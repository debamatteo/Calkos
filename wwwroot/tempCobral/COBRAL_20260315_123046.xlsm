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0" yWindow="0" windowWidth="28800" windowHeight="1230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Consegna" sheetId="18" r:id="rId12"/>
    <sheet name="Settimana" sheetId="19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Calkos!$A$5:$AW$904</definedName>
    <definedName name="_xlnm._FilterDatabase" localSheetId="4" hidden="1">'Rimessa diretta'!$B$5:$B$52</definedName>
    <definedName name="Al">Tabelle!$H$5:$H$21</definedName>
    <definedName name="Alu">Tabelle!$S$3:$S$42</definedName>
    <definedName name="Area_check_Zero">Calkos!$E$6:$E$1243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Calkos!$D$1:$AB$1292</definedName>
    <definedName name="_xlnm.Print_Area" localSheetId="4">'Rimessa diretta'!$A$1:$V$52</definedName>
    <definedName name="Br">Tabelle!$K$5:$K$10</definedName>
    <definedName name="Cella_Destinazione_SI">Calkos!$F$6</definedName>
    <definedName name="Cu">Tabelle!$J$5:$J$10</definedName>
    <definedName name="ella_Destinazione_NO">Calkos!$E$7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12" i="2" l="1"/>
  <c r="AB312" i="2" s="1"/>
  <c r="Y311" i="2"/>
  <c r="AB311" i="2" s="1"/>
  <c r="Z312" i="2"/>
  <c r="Z311" i="2"/>
  <c r="I1439" i="2" l="1"/>
  <c r="F1439" i="2"/>
  <c r="Z77" i="2"/>
  <c r="Z55" i="2"/>
  <c r="Z31" i="2"/>
  <c r="AJ160" i="2"/>
  <c r="AN160" i="2"/>
  <c r="AO160" i="2"/>
  <c r="AV160" i="2"/>
  <c r="AW160" i="2"/>
  <c r="Z160" i="2"/>
  <c r="Y160" i="2"/>
  <c r="AB160" i="2" s="1"/>
  <c r="Z14" i="2"/>
  <c r="Y14" i="2"/>
  <c r="AB14" i="2" s="1"/>
  <c r="I1448" i="2"/>
  <c r="I1354" i="2"/>
  <c r="I1323" i="2"/>
  <c r="I1318" i="2"/>
  <c r="I1392" i="2"/>
  <c r="I1344" i="2"/>
  <c r="F1344" i="2"/>
  <c r="Z20" i="2"/>
  <c r="F1441" i="2" l="1"/>
  <c r="O41" i="2" l="1"/>
  <c r="N41" i="2"/>
  <c r="M41" i="2"/>
  <c r="O40" i="2"/>
  <c r="N40" i="2"/>
  <c r="M40" i="2"/>
  <c r="O39" i="2"/>
  <c r="N39" i="2"/>
  <c r="M39" i="2"/>
  <c r="O38" i="2"/>
  <c r="N38" i="2"/>
  <c r="M38" i="2"/>
  <c r="O36" i="2"/>
  <c r="N36" i="2"/>
  <c r="M36" i="2"/>
  <c r="O35" i="2"/>
  <c r="N35" i="2"/>
  <c r="M35" i="2"/>
  <c r="O34" i="2"/>
  <c r="N34" i="2"/>
  <c r="M34" i="2"/>
  <c r="O33" i="2"/>
  <c r="N33" i="2"/>
  <c r="M33" i="2"/>
  <c r="F1317" i="2" l="1"/>
  <c r="I1421" i="2" l="1"/>
  <c r="I1423" i="2" l="1"/>
  <c r="H1423" i="2"/>
  <c r="F1423" i="2"/>
  <c r="F1421" i="2"/>
  <c r="AW1286" i="2"/>
  <c r="AV1286" i="2"/>
  <c r="AW1285" i="2"/>
  <c r="AV1285" i="2"/>
  <c r="AW1284" i="2"/>
  <c r="AV1284" i="2"/>
  <c r="AW1283" i="2"/>
  <c r="AV1283" i="2"/>
  <c r="AW1282" i="2"/>
  <c r="AV1282" i="2"/>
  <c r="AW1281" i="2"/>
  <c r="AV1281" i="2"/>
  <c r="AW1280" i="2"/>
  <c r="AV1280" i="2"/>
  <c r="AW1279" i="2"/>
  <c r="AV1279" i="2"/>
  <c r="AW1278" i="2"/>
  <c r="AV1278" i="2"/>
  <c r="AW1277" i="2"/>
  <c r="AV1277" i="2"/>
  <c r="AW1276" i="2"/>
  <c r="AV1276" i="2"/>
  <c r="AW1275" i="2"/>
  <c r="AV1275" i="2"/>
  <c r="AW1274" i="2"/>
  <c r="AV1274" i="2"/>
  <c r="AW1273" i="2"/>
  <c r="AV1273" i="2"/>
  <c r="AW1272" i="2"/>
  <c r="AV1272" i="2"/>
  <c r="AW1271" i="2"/>
  <c r="AV1271" i="2"/>
  <c r="AW1270" i="2"/>
  <c r="AV1270" i="2"/>
  <c r="AW1269" i="2"/>
  <c r="AV1269" i="2"/>
  <c r="AW1268" i="2"/>
  <c r="AV1268" i="2"/>
  <c r="AW1267" i="2"/>
  <c r="AV1267" i="2"/>
  <c r="AW1266" i="2"/>
  <c r="AV1266" i="2"/>
  <c r="AW1265" i="2"/>
  <c r="AV1265" i="2"/>
  <c r="AW1264" i="2"/>
  <c r="AV1264" i="2"/>
  <c r="AW1263" i="2"/>
  <c r="AV1263" i="2"/>
  <c r="AW1262" i="2"/>
  <c r="AV1262" i="2"/>
  <c r="AW1261" i="2"/>
  <c r="AV1261" i="2"/>
  <c r="AW1260" i="2"/>
  <c r="AV1260" i="2"/>
  <c r="AW1259" i="2"/>
  <c r="AV1259" i="2"/>
  <c r="AW1258" i="2"/>
  <c r="AV1258" i="2"/>
  <c r="AW1257" i="2"/>
  <c r="AV1257" i="2"/>
  <c r="AW1256" i="2"/>
  <c r="AV1256" i="2"/>
  <c r="AW1255" i="2"/>
  <c r="AV1255" i="2"/>
  <c r="AW1254" i="2"/>
  <c r="AV1254" i="2"/>
  <c r="AW1253" i="2"/>
  <c r="AV1253" i="2"/>
  <c r="AW1252" i="2"/>
  <c r="AV1252" i="2"/>
  <c r="AW1251" i="2"/>
  <c r="AV1251" i="2"/>
  <c r="AW1250" i="2"/>
  <c r="AV1250" i="2"/>
  <c r="AW1249" i="2"/>
  <c r="AV1249" i="2"/>
  <c r="AW1248" i="2"/>
  <c r="AV1248" i="2"/>
  <c r="AW1247" i="2"/>
  <c r="AV1247" i="2"/>
  <c r="AW1246" i="2"/>
  <c r="AV1246" i="2"/>
  <c r="AW1245" i="2"/>
  <c r="AV1245" i="2"/>
  <c r="AW1244" i="2"/>
  <c r="AV1244" i="2"/>
  <c r="AW1243" i="2"/>
  <c r="AV1243" i="2"/>
  <c r="AW1242" i="2"/>
  <c r="AV1242" i="2"/>
  <c r="AW1241" i="2"/>
  <c r="AV1241" i="2"/>
  <c r="AW1240" i="2"/>
  <c r="AV1240" i="2"/>
  <c r="AW1239" i="2"/>
  <c r="AV1239" i="2"/>
  <c r="AW1238" i="2"/>
  <c r="AV1238" i="2"/>
  <c r="AW1237" i="2"/>
  <c r="AV1237" i="2"/>
  <c r="AW1236" i="2"/>
  <c r="AV1236" i="2"/>
  <c r="AW1235" i="2"/>
  <c r="AV1235" i="2"/>
  <c r="AW1234" i="2"/>
  <c r="AV1234" i="2"/>
  <c r="AW1233" i="2"/>
  <c r="AV1233" i="2"/>
  <c r="AW1232" i="2"/>
  <c r="AV1232" i="2"/>
  <c r="AW1231" i="2"/>
  <c r="AV1231" i="2"/>
  <c r="AW1230" i="2"/>
  <c r="AV1230" i="2"/>
  <c r="AW1229" i="2"/>
  <c r="AV1229" i="2"/>
  <c r="AW1228" i="2"/>
  <c r="AV1228" i="2"/>
  <c r="AW1227" i="2"/>
  <c r="AV1227" i="2"/>
  <c r="AW1226" i="2"/>
  <c r="AV1226" i="2"/>
  <c r="AW1225" i="2"/>
  <c r="AV1225" i="2"/>
  <c r="AW1224" i="2"/>
  <c r="AV1224" i="2"/>
  <c r="AW1223" i="2"/>
  <c r="AV1223" i="2"/>
  <c r="AW1222" i="2"/>
  <c r="AV1222" i="2"/>
  <c r="AW1221" i="2"/>
  <c r="AV1221" i="2"/>
  <c r="AW1220" i="2"/>
  <c r="AV1220" i="2"/>
  <c r="AW1219" i="2"/>
  <c r="AV1219" i="2"/>
  <c r="AW1218" i="2"/>
  <c r="AV1218" i="2"/>
  <c r="AW1217" i="2"/>
  <c r="AV1217" i="2"/>
  <c r="AW1216" i="2"/>
  <c r="AV1216" i="2"/>
  <c r="AW1215" i="2"/>
  <c r="AV1215" i="2"/>
  <c r="AW1214" i="2"/>
  <c r="AV1214" i="2"/>
  <c r="AW1213" i="2"/>
  <c r="AV1213" i="2"/>
  <c r="AW1212" i="2"/>
  <c r="AV1212" i="2"/>
  <c r="AW1211" i="2"/>
  <c r="AV1211" i="2"/>
  <c r="AW1210" i="2"/>
  <c r="AV1210" i="2"/>
  <c r="AW1209" i="2"/>
  <c r="AV1209" i="2"/>
  <c r="AW1208" i="2"/>
  <c r="AV1208" i="2"/>
  <c r="AW1207" i="2"/>
  <c r="AV1207" i="2"/>
  <c r="AW1206" i="2"/>
  <c r="AV1206" i="2"/>
  <c r="AW1205" i="2"/>
  <c r="AV1205" i="2"/>
  <c r="AW1204" i="2"/>
  <c r="AV1204" i="2"/>
  <c r="AW1203" i="2"/>
  <c r="AV1203" i="2"/>
  <c r="AW1202" i="2"/>
  <c r="AV1202" i="2"/>
  <c r="AW1201" i="2"/>
  <c r="AV1201" i="2"/>
  <c r="AW1200" i="2"/>
  <c r="AV1200" i="2"/>
  <c r="AW1199" i="2"/>
  <c r="AV1199" i="2"/>
  <c r="AW1198" i="2"/>
  <c r="AV1198" i="2"/>
  <c r="AW1197" i="2"/>
  <c r="AV1197" i="2"/>
  <c r="AW1196" i="2"/>
  <c r="AV1196" i="2"/>
  <c r="AW1195" i="2"/>
  <c r="AV1195" i="2"/>
  <c r="AW1194" i="2"/>
  <c r="AV1194" i="2"/>
  <c r="AW1193" i="2"/>
  <c r="AV1193" i="2"/>
  <c r="AW1192" i="2"/>
  <c r="AV1192" i="2"/>
  <c r="AW1191" i="2"/>
  <c r="AV1191" i="2"/>
  <c r="AW1190" i="2"/>
  <c r="AV1190" i="2"/>
  <c r="AW1189" i="2"/>
  <c r="AV1189" i="2"/>
  <c r="AW1188" i="2"/>
  <c r="AV1188" i="2"/>
  <c r="AW1187" i="2"/>
  <c r="AV1187" i="2"/>
  <c r="AW1186" i="2"/>
  <c r="AV1186" i="2"/>
  <c r="AW1185" i="2"/>
  <c r="AV1185" i="2"/>
  <c r="AW1184" i="2"/>
  <c r="AV1184" i="2"/>
  <c r="AW1183" i="2"/>
  <c r="AV1183" i="2"/>
  <c r="AW1182" i="2"/>
  <c r="AV1182" i="2"/>
  <c r="AW1181" i="2"/>
  <c r="AV1181" i="2"/>
  <c r="AW1180" i="2"/>
  <c r="AV1180" i="2"/>
  <c r="AW1179" i="2"/>
  <c r="AV1179" i="2"/>
  <c r="AW1178" i="2"/>
  <c r="AV1178" i="2"/>
  <c r="AW1177" i="2"/>
  <c r="AV1177" i="2"/>
  <c r="AW1176" i="2"/>
  <c r="AV1176" i="2"/>
  <c r="AW1175" i="2"/>
  <c r="AV1175" i="2"/>
  <c r="AW1174" i="2"/>
  <c r="AV1174" i="2"/>
  <c r="AW1173" i="2"/>
  <c r="AV1173" i="2"/>
  <c r="AW1172" i="2"/>
  <c r="AV1172" i="2"/>
  <c r="AW1171" i="2"/>
  <c r="AV1171" i="2"/>
  <c r="AW1170" i="2"/>
  <c r="AV1170" i="2"/>
  <c r="AW1169" i="2"/>
  <c r="AV1169" i="2"/>
  <c r="AW1168" i="2"/>
  <c r="AV1168" i="2"/>
  <c r="AW1167" i="2"/>
  <c r="AV1167" i="2"/>
  <c r="AW1166" i="2"/>
  <c r="AV1166" i="2"/>
  <c r="AW1165" i="2"/>
  <c r="AV1165" i="2"/>
  <c r="AW1164" i="2"/>
  <c r="AV1164" i="2"/>
  <c r="AW1163" i="2"/>
  <c r="AV1163" i="2"/>
  <c r="AW1162" i="2"/>
  <c r="AV1162" i="2"/>
  <c r="AW1161" i="2"/>
  <c r="AV1161" i="2"/>
  <c r="AW1160" i="2"/>
  <c r="AV1160" i="2"/>
  <c r="AW1159" i="2"/>
  <c r="AV1159" i="2"/>
  <c r="AW1158" i="2"/>
  <c r="AV1158" i="2"/>
  <c r="AW1157" i="2"/>
  <c r="AV1157" i="2"/>
  <c r="AW1156" i="2"/>
  <c r="AV1156" i="2"/>
  <c r="AW1155" i="2"/>
  <c r="AV1155" i="2"/>
  <c r="AW1154" i="2"/>
  <c r="AV1154" i="2"/>
  <c r="AW1153" i="2"/>
  <c r="AV1153" i="2"/>
  <c r="AW1152" i="2"/>
  <c r="AV1152" i="2"/>
  <c r="AW1151" i="2"/>
  <c r="AV1151" i="2"/>
  <c r="AW1150" i="2"/>
  <c r="AV1150" i="2"/>
  <c r="AW1149" i="2"/>
  <c r="AV1149" i="2"/>
  <c r="AW1148" i="2"/>
  <c r="AV1148" i="2"/>
  <c r="AW1147" i="2"/>
  <c r="AV1147" i="2"/>
  <c r="AW1146" i="2"/>
  <c r="AV1146" i="2"/>
  <c r="AW1145" i="2"/>
  <c r="AV1145" i="2"/>
  <c r="AW1144" i="2"/>
  <c r="AV1144" i="2"/>
  <c r="AW1143" i="2"/>
  <c r="AV1143" i="2"/>
  <c r="AW1142" i="2"/>
  <c r="AV1142" i="2"/>
  <c r="AW1141" i="2"/>
  <c r="AV1141" i="2"/>
  <c r="AW1140" i="2"/>
  <c r="AV1140" i="2"/>
  <c r="AW1139" i="2"/>
  <c r="AV1139" i="2"/>
  <c r="AW1138" i="2"/>
  <c r="AV1138" i="2"/>
  <c r="AW1137" i="2"/>
  <c r="AV1137" i="2"/>
  <c r="AW1136" i="2"/>
  <c r="AV1136" i="2"/>
  <c r="AW1135" i="2"/>
  <c r="AV1135" i="2"/>
  <c r="AW1134" i="2"/>
  <c r="AV1134" i="2"/>
  <c r="AW1133" i="2"/>
  <c r="AV1133" i="2"/>
  <c r="AW1132" i="2"/>
  <c r="AV1132" i="2"/>
  <c r="AW1131" i="2"/>
  <c r="AV1131" i="2"/>
  <c r="AW1130" i="2"/>
  <c r="AV1130" i="2"/>
  <c r="AW1129" i="2"/>
  <c r="AV1129" i="2"/>
  <c r="AW1128" i="2"/>
  <c r="AV1128" i="2"/>
  <c r="AW1127" i="2"/>
  <c r="AV1127" i="2"/>
  <c r="AW1126" i="2"/>
  <c r="AV1126" i="2"/>
  <c r="AW1125" i="2"/>
  <c r="AV1125" i="2"/>
  <c r="AW1124" i="2"/>
  <c r="AV1124" i="2"/>
  <c r="AW1123" i="2"/>
  <c r="AV1123" i="2"/>
  <c r="AW1122" i="2"/>
  <c r="AV1122" i="2"/>
  <c r="AW1121" i="2"/>
  <c r="AV1121" i="2"/>
  <c r="AW1120" i="2"/>
  <c r="AV1120" i="2"/>
  <c r="AW1119" i="2"/>
  <c r="AV1119" i="2"/>
  <c r="AW1118" i="2"/>
  <c r="AV1118" i="2"/>
  <c r="AW1117" i="2"/>
  <c r="AV1117" i="2"/>
  <c r="AW1116" i="2"/>
  <c r="AV1116" i="2"/>
  <c r="AW1115" i="2"/>
  <c r="AV1115" i="2"/>
  <c r="AW1114" i="2"/>
  <c r="AV1114" i="2"/>
  <c r="AW1113" i="2"/>
  <c r="AV1113" i="2"/>
  <c r="AW1112" i="2"/>
  <c r="AV1112" i="2"/>
  <c r="AW1111" i="2"/>
  <c r="AV1111" i="2"/>
  <c r="AW1110" i="2"/>
  <c r="AV1110" i="2"/>
  <c r="AW1109" i="2"/>
  <c r="AV1109" i="2"/>
  <c r="AW1108" i="2"/>
  <c r="AV1108" i="2"/>
  <c r="AW1107" i="2"/>
  <c r="AV1107" i="2"/>
  <c r="AW1106" i="2"/>
  <c r="AV1106" i="2"/>
  <c r="AW1105" i="2"/>
  <c r="AV1105" i="2"/>
  <c r="AW1104" i="2"/>
  <c r="AV1104" i="2"/>
  <c r="AW1103" i="2"/>
  <c r="AV1103" i="2"/>
  <c r="AW1102" i="2"/>
  <c r="AV1102" i="2"/>
  <c r="AW1101" i="2"/>
  <c r="AV1101" i="2"/>
  <c r="AW1100" i="2"/>
  <c r="AV1100" i="2"/>
  <c r="AW1099" i="2"/>
  <c r="AV1099" i="2"/>
  <c r="AW1098" i="2"/>
  <c r="AV1098" i="2"/>
  <c r="AW1097" i="2"/>
  <c r="AV1097" i="2"/>
  <c r="AW1096" i="2"/>
  <c r="AV1096" i="2"/>
  <c r="AW1095" i="2"/>
  <c r="AV1095" i="2"/>
  <c r="AW1094" i="2"/>
  <c r="AV1094" i="2"/>
  <c r="AW1093" i="2"/>
  <c r="AV1093" i="2"/>
  <c r="AW1092" i="2"/>
  <c r="AV1092" i="2"/>
  <c r="AW1091" i="2"/>
  <c r="AV1091" i="2"/>
  <c r="AW1090" i="2"/>
  <c r="AV1090" i="2"/>
  <c r="AW1089" i="2"/>
  <c r="AV1089" i="2"/>
  <c r="AW1088" i="2"/>
  <c r="AV1088" i="2"/>
  <c r="AW1087" i="2"/>
  <c r="AV1087" i="2"/>
  <c r="AW1086" i="2"/>
  <c r="AV1086" i="2"/>
  <c r="AW1085" i="2"/>
  <c r="AV1085" i="2"/>
  <c r="AW1084" i="2"/>
  <c r="AV1084" i="2"/>
  <c r="AW1083" i="2"/>
  <c r="AV1083" i="2"/>
  <c r="AW1082" i="2"/>
  <c r="AV1082" i="2"/>
  <c r="AW1081" i="2"/>
  <c r="AV1081" i="2"/>
  <c r="AW1080" i="2"/>
  <c r="AV1080" i="2"/>
  <c r="AW1079" i="2"/>
  <c r="AV1079" i="2"/>
  <c r="AW1078" i="2"/>
  <c r="AV1078" i="2"/>
  <c r="AW1077" i="2"/>
  <c r="AV1077" i="2"/>
  <c r="AW1076" i="2"/>
  <c r="AV1076" i="2"/>
  <c r="AW1075" i="2"/>
  <c r="AV1075" i="2"/>
  <c r="AW1074" i="2"/>
  <c r="AV1074" i="2"/>
  <c r="AW1073" i="2"/>
  <c r="AV1073" i="2"/>
  <c r="AW1072" i="2"/>
  <c r="AV1072" i="2"/>
  <c r="AW1071" i="2"/>
  <c r="AV1071" i="2"/>
  <c r="AW1070" i="2"/>
  <c r="AV1070" i="2"/>
  <c r="AW1069" i="2"/>
  <c r="AV1069" i="2"/>
  <c r="AW1068" i="2"/>
  <c r="AV1068" i="2"/>
  <c r="AW1067" i="2"/>
  <c r="AV1067" i="2"/>
  <c r="AW1066" i="2"/>
  <c r="AV1066" i="2"/>
  <c r="AW1065" i="2"/>
  <c r="AV1065" i="2"/>
  <c r="AW1064" i="2"/>
  <c r="AV1064" i="2"/>
  <c r="AW1063" i="2"/>
  <c r="AV1063" i="2"/>
  <c r="AW1062" i="2"/>
  <c r="AV1062" i="2"/>
  <c r="AW1061" i="2"/>
  <c r="AV1061" i="2"/>
  <c r="AW1060" i="2"/>
  <c r="AV1060" i="2"/>
  <c r="AW1059" i="2"/>
  <c r="AV1059" i="2"/>
  <c r="AW1058" i="2"/>
  <c r="AV1058" i="2"/>
  <c r="AW1057" i="2"/>
  <c r="AV1057" i="2"/>
  <c r="AW1056" i="2"/>
  <c r="AV1056" i="2"/>
  <c r="AW1055" i="2"/>
  <c r="AV1055" i="2"/>
  <c r="AW1054" i="2"/>
  <c r="AV1054" i="2"/>
  <c r="AW1053" i="2"/>
  <c r="AV1053" i="2"/>
  <c r="AW1052" i="2"/>
  <c r="AV1052" i="2"/>
  <c r="AW1051" i="2"/>
  <c r="AV1051" i="2"/>
  <c r="AW1050" i="2"/>
  <c r="AV1050" i="2"/>
  <c r="AW1049" i="2"/>
  <c r="AV1049" i="2"/>
  <c r="AW1048" i="2"/>
  <c r="AV1048" i="2"/>
  <c r="AW1047" i="2"/>
  <c r="AV1047" i="2"/>
  <c r="AW1046" i="2"/>
  <c r="AV1046" i="2"/>
  <c r="AW1045" i="2"/>
  <c r="AV1045" i="2"/>
  <c r="AW1044" i="2"/>
  <c r="AV1044" i="2"/>
  <c r="AW1043" i="2"/>
  <c r="AV1043" i="2"/>
  <c r="AW1042" i="2"/>
  <c r="AV1042" i="2"/>
  <c r="AW1041" i="2"/>
  <c r="AV1041" i="2"/>
  <c r="AW1040" i="2"/>
  <c r="AV1040" i="2"/>
  <c r="AW1039" i="2"/>
  <c r="AV1039" i="2"/>
  <c r="AW1038" i="2"/>
  <c r="AV1038" i="2"/>
  <c r="AW1037" i="2"/>
  <c r="AV1037" i="2"/>
  <c r="AW1036" i="2"/>
  <c r="AV1036" i="2"/>
  <c r="AW1035" i="2"/>
  <c r="AV1035" i="2"/>
  <c r="AW1034" i="2"/>
  <c r="AV1034" i="2"/>
  <c r="AW1033" i="2"/>
  <c r="AV1033" i="2"/>
  <c r="AW1032" i="2"/>
  <c r="AV1032" i="2"/>
  <c r="AW1031" i="2"/>
  <c r="AV1031" i="2"/>
  <c r="AW1030" i="2"/>
  <c r="AV1030" i="2"/>
  <c r="AW1029" i="2"/>
  <c r="AV1029" i="2"/>
  <c r="AW1028" i="2"/>
  <c r="AV1028" i="2"/>
  <c r="AW1027" i="2"/>
  <c r="AV1027" i="2"/>
  <c r="AW1026" i="2"/>
  <c r="AV1026" i="2"/>
  <c r="AW1025" i="2"/>
  <c r="AV1025" i="2"/>
  <c r="AW1024" i="2"/>
  <c r="AV1024" i="2"/>
  <c r="AW1023" i="2"/>
  <c r="AV1023" i="2"/>
  <c r="AW1022" i="2"/>
  <c r="AV1022" i="2"/>
  <c r="AW1021" i="2"/>
  <c r="AV1021" i="2"/>
  <c r="AW1020" i="2"/>
  <c r="AV1020" i="2"/>
  <c r="AW1019" i="2"/>
  <c r="AV1019" i="2"/>
  <c r="AW1018" i="2"/>
  <c r="AV1018" i="2"/>
  <c r="AW1017" i="2"/>
  <c r="AV1017" i="2"/>
  <c r="AW1016" i="2"/>
  <c r="AV1016" i="2"/>
  <c r="AW1015" i="2"/>
  <c r="AV1015" i="2"/>
  <c r="AW1014" i="2"/>
  <c r="AV1014" i="2"/>
  <c r="AW1013" i="2"/>
  <c r="AV1013" i="2"/>
  <c r="AW1012" i="2"/>
  <c r="AV1012" i="2"/>
  <c r="AW1011" i="2"/>
  <c r="AV1011" i="2"/>
  <c r="AW1010" i="2"/>
  <c r="AV1010" i="2"/>
  <c r="AW1009" i="2"/>
  <c r="AV1009" i="2"/>
  <c r="AW1008" i="2"/>
  <c r="AV1008" i="2"/>
  <c r="AW1007" i="2"/>
  <c r="AV1007" i="2"/>
  <c r="AW1006" i="2"/>
  <c r="AV1006" i="2"/>
  <c r="AW1005" i="2"/>
  <c r="AV1005" i="2"/>
  <c r="AW1004" i="2"/>
  <c r="AV1004" i="2"/>
  <c r="AW1003" i="2"/>
  <c r="AV1003" i="2"/>
  <c r="AW1002" i="2"/>
  <c r="AV1002" i="2"/>
  <c r="AW1001" i="2"/>
  <c r="AV1001" i="2"/>
  <c r="AW1000" i="2"/>
  <c r="AV1000" i="2"/>
  <c r="AW999" i="2"/>
  <c r="AV999" i="2"/>
  <c r="AW998" i="2"/>
  <c r="AV998" i="2"/>
  <c r="AW997" i="2"/>
  <c r="AV997" i="2"/>
  <c r="AW996" i="2"/>
  <c r="AV996" i="2"/>
  <c r="AW995" i="2"/>
  <c r="AV995" i="2"/>
  <c r="AW994" i="2"/>
  <c r="AV994" i="2"/>
  <c r="AW993" i="2"/>
  <c r="AV993" i="2"/>
  <c r="AW992" i="2"/>
  <c r="AV992" i="2"/>
  <c r="AW991" i="2"/>
  <c r="AV991" i="2"/>
  <c r="AW990" i="2"/>
  <c r="AV990" i="2"/>
  <c r="AW989" i="2"/>
  <c r="AV989" i="2"/>
  <c r="AW988" i="2"/>
  <c r="AV988" i="2"/>
  <c r="AW987" i="2"/>
  <c r="AV987" i="2"/>
  <c r="AW986" i="2"/>
  <c r="AV986" i="2"/>
  <c r="AW985" i="2"/>
  <c r="AV985" i="2"/>
  <c r="AW984" i="2"/>
  <c r="AV984" i="2"/>
  <c r="AW983" i="2"/>
  <c r="AV983" i="2"/>
  <c r="AW982" i="2"/>
  <c r="AV982" i="2"/>
  <c r="AW981" i="2"/>
  <c r="AV981" i="2"/>
  <c r="AW980" i="2"/>
  <c r="AV980" i="2"/>
  <c r="AW979" i="2"/>
  <c r="AV979" i="2"/>
  <c r="AW978" i="2"/>
  <c r="AV978" i="2"/>
  <c r="AW977" i="2"/>
  <c r="AV977" i="2"/>
  <c r="AW976" i="2"/>
  <c r="AV976" i="2"/>
  <c r="AW975" i="2"/>
  <c r="AV975" i="2"/>
  <c r="AW974" i="2"/>
  <c r="AV974" i="2"/>
  <c r="AW973" i="2"/>
  <c r="AV973" i="2"/>
  <c r="AW972" i="2"/>
  <c r="AV972" i="2"/>
  <c r="AW971" i="2"/>
  <c r="AV971" i="2"/>
  <c r="AW970" i="2"/>
  <c r="AV970" i="2"/>
  <c r="AW969" i="2"/>
  <c r="AV969" i="2"/>
  <c r="AW968" i="2"/>
  <c r="AV968" i="2"/>
  <c r="AW967" i="2"/>
  <c r="AV967" i="2"/>
  <c r="AW966" i="2"/>
  <c r="AV966" i="2"/>
  <c r="AW965" i="2"/>
  <c r="AV965" i="2"/>
  <c r="AW964" i="2"/>
  <c r="AV964" i="2"/>
  <c r="AW963" i="2"/>
  <c r="AV963" i="2"/>
  <c r="AW962" i="2"/>
  <c r="AV962" i="2"/>
  <c r="AW961" i="2"/>
  <c r="AV961" i="2"/>
  <c r="AW960" i="2"/>
  <c r="AV960" i="2"/>
  <c r="AW959" i="2"/>
  <c r="AV959" i="2"/>
  <c r="AW958" i="2"/>
  <c r="AV958" i="2"/>
  <c r="AW957" i="2"/>
  <c r="AV957" i="2"/>
  <c r="AW956" i="2"/>
  <c r="AV956" i="2"/>
  <c r="AW955" i="2"/>
  <c r="AV955" i="2"/>
  <c r="AW954" i="2"/>
  <c r="AV954" i="2"/>
  <c r="AW953" i="2"/>
  <c r="AV953" i="2"/>
  <c r="AW952" i="2"/>
  <c r="AV952" i="2"/>
  <c r="AW951" i="2"/>
  <c r="AV951" i="2"/>
  <c r="AW950" i="2"/>
  <c r="AV950" i="2"/>
  <c r="AW949" i="2"/>
  <c r="AV949" i="2"/>
  <c r="AW948" i="2"/>
  <c r="AV948" i="2"/>
  <c r="AW947" i="2"/>
  <c r="AV947" i="2"/>
  <c r="AW946" i="2"/>
  <c r="AV946" i="2"/>
  <c r="AW945" i="2"/>
  <c r="AV945" i="2"/>
  <c r="AW944" i="2"/>
  <c r="AV944" i="2"/>
  <c r="AW943" i="2"/>
  <c r="AV943" i="2"/>
  <c r="AW942" i="2"/>
  <c r="AV942" i="2"/>
  <c r="AW941" i="2"/>
  <c r="AV941" i="2"/>
  <c r="AW940" i="2"/>
  <c r="AV940" i="2"/>
  <c r="AW939" i="2"/>
  <c r="AV939" i="2"/>
  <c r="AW938" i="2"/>
  <c r="AV938" i="2"/>
  <c r="AW937" i="2"/>
  <c r="AV937" i="2"/>
  <c r="AW936" i="2"/>
  <c r="AV936" i="2"/>
  <c r="AW935" i="2"/>
  <c r="AV935" i="2"/>
  <c r="AW934" i="2"/>
  <c r="AV934" i="2"/>
  <c r="AW933" i="2"/>
  <c r="AV933" i="2"/>
  <c r="AW932" i="2"/>
  <c r="AV932" i="2"/>
  <c r="AW931" i="2"/>
  <c r="AV931" i="2"/>
  <c r="AW930" i="2"/>
  <c r="AV930" i="2"/>
  <c r="AW929" i="2"/>
  <c r="AV929" i="2"/>
  <c r="AW928" i="2"/>
  <c r="AV928" i="2"/>
  <c r="AW927" i="2"/>
  <c r="AV927" i="2"/>
  <c r="AW926" i="2"/>
  <c r="AV926" i="2"/>
  <c r="AW925" i="2"/>
  <c r="AV925" i="2"/>
  <c r="AW924" i="2"/>
  <c r="AV924" i="2"/>
  <c r="AW923" i="2"/>
  <c r="AV923" i="2"/>
  <c r="AW922" i="2"/>
  <c r="AV922" i="2"/>
  <c r="AW921" i="2"/>
  <c r="AV921" i="2"/>
  <c r="AW920" i="2"/>
  <c r="AV920" i="2"/>
  <c r="AW919" i="2"/>
  <c r="AV919" i="2"/>
  <c r="AW918" i="2"/>
  <c r="AV918" i="2"/>
  <c r="AW917" i="2"/>
  <c r="AV917" i="2"/>
  <c r="AW916" i="2"/>
  <c r="AV916" i="2"/>
  <c r="AW915" i="2"/>
  <c r="AV915" i="2"/>
  <c r="AW914" i="2"/>
  <c r="AV914" i="2"/>
  <c r="AW913" i="2"/>
  <c r="AV913" i="2"/>
  <c r="AW912" i="2"/>
  <c r="AV912" i="2"/>
  <c r="AW911" i="2"/>
  <c r="AV911" i="2"/>
  <c r="AW910" i="2"/>
  <c r="AV910" i="2"/>
  <c r="AW909" i="2"/>
  <c r="AV909" i="2"/>
  <c r="AW908" i="2"/>
  <c r="AV908" i="2"/>
  <c r="AW907" i="2"/>
  <c r="AV907" i="2"/>
  <c r="AW906" i="2"/>
  <c r="AV906" i="2"/>
  <c r="AW905" i="2"/>
  <c r="AV905" i="2"/>
  <c r="AW904" i="2"/>
  <c r="AV904" i="2"/>
  <c r="AW903" i="2"/>
  <c r="AV903" i="2"/>
  <c r="AW902" i="2"/>
  <c r="AV902" i="2"/>
  <c r="AW901" i="2"/>
  <c r="AV901" i="2"/>
  <c r="AW900" i="2"/>
  <c r="AV900" i="2"/>
  <c r="AW899" i="2"/>
  <c r="AV899" i="2"/>
  <c r="AW898" i="2"/>
  <c r="AV898" i="2"/>
  <c r="AW897" i="2"/>
  <c r="AV897" i="2"/>
  <c r="AW896" i="2"/>
  <c r="AV896" i="2"/>
  <c r="AW895" i="2"/>
  <c r="AV895" i="2"/>
  <c r="AW894" i="2"/>
  <c r="AV894" i="2"/>
  <c r="AW893" i="2"/>
  <c r="AV893" i="2"/>
  <c r="AW892" i="2"/>
  <c r="AV892" i="2"/>
  <c r="AW891" i="2"/>
  <c r="AV891" i="2"/>
  <c r="AW890" i="2"/>
  <c r="AV890" i="2"/>
  <c r="AW889" i="2"/>
  <c r="AV889" i="2"/>
  <c r="AW888" i="2"/>
  <c r="AV888" i="2"/>
  <c r="AW887" i="2"/>
  <c r="AV887" i="2"/>
  <c r="AW886" i="2"/>
  <c r="AV886" i="2"/>
  <c r="AW885" i="2"/>
  <c r="AV885" i="2"/>
  <c r="AW884" i="2"/>
  <c r="AV884" i="2"/>
  <c r="AW883" i="2"/>
  <c r="AV883" i="2"/>
  <c r="AW882" i="2"/>
  <c r="AV882" i="2"/>
  <c r="AW881" i="2"/>
  <c r="AV881" i="2"/>
  <c r="AW880" i="2"/>
  <c r="AV880" i="2"/>
  <c r="AW879" i="2"/>
  <c r="AV879" i="2"/>
  <c r="AW878" i="2"/>
  <c r="AV878" i="2"/>
  <c r="AW877" i="2"/>
  <c r="AV877" i="2"/>
  <c r="AW876" i="2"/>
  <c r="AV876" i="2"/>
  <c r="AW875" i="2"/>
  <c r="AV875" i="2"/>
  <c r="AW874" i="2"/>
  <c r="AV874" i="2"/>
  <c r="AW873" i="2"/>
  <c r="AV873" i="2"/>
  <c r="AW872" i="2"/>
  <c r="AV872" i="2"/>
  <c r="AW871" i="2"/>
  <c r="AV871" i="2"/>
  <c r="AW870" i="2"/>
  <c r="AV870" i="2"/>
  <c r="AW869" i="2"/>
  <c r="AV869" i="2"/>
  <c r="AW868" i="2"/>
  <c r="AV868" i="2"/>
  <c r="AW867" i="2"/>
  <c r="AV867" i="2"/>
  <c r="AW866" i="2"/>
  <c r="AV866" i="2"/>
  <c r="AW865" i="2"/>
  <c r="AV865" i="2"/>
  <c r="AW864" i="2"/>
  <c r="AV864" i="2"/>
  <c r="AW863" i="2"/>
  <c r="AV863" i="2"/>
  <c r="AW862" i="2"/>
  <c r="AV862" i="2"/>
  <c r="AW861" i="2"/>
  <c r="AV861" i="2"/>
  <c r="AW860" i="2"/>
  <c r="AV860" i="2"/>
  <c r="AW859" i="2"/>
  <c r="AV859" i="2"/>
  <c r="AW858" i="2"/>
  <c r="AV858" i="2"/>
  <c r="AW857" i="2"/>
  <c r="AV857" i="2"/>
  <c r="AW856" i="2"/>
  <c r="AV856" i="2"/>
  <c r="AW855" i="2"/>
  <c r="AV855" i="2"/>
  <c r="AW854" i="2"/>
  <c r="AV854" i="2"/>
  <c r="AW853" i="2"/>
  <c r="AV853" i="2"/>
  <c r="AW852" i="2"/>
  <c r="AV852" i="2"/>
  <c r="AW851" i="2"/>
  <c r="AV851" i="2"/>
  <c r="AW850" i="2"/>
  <c r="AV850" i="2"/>
  <c r="AW849" i="2"/>
  <c r="AV849" i="2"/>
  <c r="AW848" i="2"/>
  <c r="AV848" i="2"/>
  <c r="AW847" i="2"/>
  <c r="AV847" i="2"/>
  <c r="AW846" i="2"/>
  <c r="AV846" i="2"/>
  <c r="AW845" i="2"/>
  <c r="AV845" i="2"/>
  <c r="AW844" i="2"/>
  <c r="AV844" i="2"/>
  <c r="AW843" i="2"/>
  <c r="AV843" i="2"/>
  <c r="AW842" i="2"/>
  <c r="AV842" i="2"/>
  <c r="AW841" i="2"/>
  <c r="AV841" i="2"/>
  <c r="AW840" i="2"/>
  <c r="AV840" i="2"/>
  <c r="AW839" i="2"/>
  <c r="AV839" i="2"/>
  <c r="AW838" i="2"/>
  <c r="AV838" i="2"/>
  <c r="AW837" i="2"/>
  <c r="AV837" i="2"/>
  <c r="AW836" i="2"/>
  <c r="AV836" i="2"/>
  <c r="AW835" i="2"/>
  <c r="AV835" i="2"/>
  <c r="AW834" i="2"/>
  <c r="AV834" i="2"/>
  <c r="AW833" i="2"/>
  <c r="AV833" i="2"/>
  <c r="AW832" i="2"/>
  <c r="AV832" i="2"/>
  <c r="AW831" i="2"/>
  <c r="AV831" i="2"/>
  <c r="AW830" i="2"/>
  <c r="AV830" i="2"/>
  <c r="AW829" i="2"/>
  <c r="AV829" i="2"/>
  <c r="AW828" i="2"/>
  <c r="AV828" i="2"/>
  <c r="AW827" i="2"/>
  <c r="AV827" i="2"/>
  <c r="AW826" i="2"/>
  <c r="AV826" i="2"/>
  <c r="AW825" i="2"/>
  <c r="AV825" i="2"/>
  <c r="AW824" i="2"/>
  <c r="AV824" i="2"/>
  <c r="AW823" i="2"/>
  <c r="AV823" i="2"/>
  <c r="AW822" i="2"/>
  <c r="AV822" i="2"/>
  <c r="AW821" i="2"/>
  <c r="AV821" i="2"/>
  <c r="AW820" i="2"/>
  <c r="AV820" i="2"/>
  <c r="AW819" i="2"/>
  <c r="AV819" i="2"/>
  <c r="AW818" i="2"/>
  <c r="AV818" i="2"/>
  <c r="AW817" i="2"/>
  <c r="AV817" i="2"/>
  <c r="AW816" i="2"/>
  <c r="AV816" i="2"/>
  <c r="AW815" i="2"/>
  <c r="AV815" i="2"/>
  <c r="AW814" i="2"/>
  <c r="AV814" i="2"/>
  <c r="AW813" i="2"/>
  <c r="AV813" i="2"/>
  <c r="AW812" i="2"/>
  <c r="AV812" i="2"/>
  <c r="AW811" i="2"/>
  <c r="AV811" i="2"/>
  <c r="AW810" i="2"/>
  <c r="AV810" i="2"/>
  <c r="AW809" i="2"/>
  <c r="AV809" i="2"/>
  <c r="AW808" i="2"/>
  <c r="AV808" i="2"/>
  <c r="AW807" i="2"/>
  <c r="AV807" i="2"/>
  <c r="AW806" i="2"/>
  <c r="AV806" i="2"/>
  <c r="AW805" i="2"/>
  <c r="AV805" i="2"/>
  <c r="AW804" i="2"/>
  <c r="AV804" i="2"/>
  <c r="AW803" i="2"/>
  <c r="AV803" i="2"/>
  <c r="AW802" i="2"/>
  <c r="AV802" i="2"/>
  <c r="AW801" i="2"/>
  <c r="AV801" i="2"/>
  <c r="AW800" i="2"/>
  <c r="AV800" i="2"/>
  <c r="AW799" i="2"/>
  <c r="AV799" i="2"/>
  <c r="AW798" i="2"/>
  <c r="AV798" i="2"/>
  <c r="AW797" i="2"/>
  <c r="AV797" i="2"/>
  <c r="AW796" i="2"/>
  <c r="AV796" i="2"/>
  <c r="AW795" i="2"/>
  <c r="AV795" i="2"/>
  <c r="AW794" i="2"/>
  <c r="AV794" i="2"/>
  <c r="AW793" i="2"/>
  <c r="AV793" i="2"/>
  <c r="AW792" i="2"/>
  <c r="AV792" i="2"/>
  <c r="AW791" i="2"/>
  <c r="AV791" i="2"/>
  <c r="AW790" i="2"/>
  <c r="AV790" i="2"/>
  <c r="AW789" i="2"/>
  <c r="AV789" i="2"/>
  <c r="AW788" i="2"/>
  <c r="AV788" i="2"/>
  <c r="AW787" i="2"/>
  <c r="AV787" i="2"/>
  <c r="AW786" i="2"/>
  <c r="AV786" i="2"/>
  <c r="AW785" i="2"/>
  <c r="AV785" i="2"/>
  <c r="AW784" i="2"/>
  <c r="AV784" i="2"/>
  <c r="AW783" i="2"/>
  <c r="AV783" i="2"/>
  <c r="AW782" i="2"/>
  <c r="AV782" i="2"/>
  <c r="AW781" i="2"/>
  <c r="AV781" i="2"/>
  <c r="AW780" i="2"/>
  <c r="AV780" i="2"/>
  <c r="AW779" i="2"/>
  <c r="AV779" i="2"/>
  <c r="AW778" i="2"/>
  <c r="AV778" i="2"/>
  <c r="AW777" i="2"/>
  <c r="AV777" i="2"/>
  <c r="AW776" i="2"/>
  <c r="AV776" i="2"/>
  <c r="AW775" i="2"/>
  <c r="AV775" i="2"/>
  <c r="AW774" i="2"/>
  <c r="AV774" i="2"/>
  <c r="AW773" i="2"/>
  <c r="AV773" i="2"/>
  <c r="AW772" i="2"/>
  <c r="AV772" i="2"/>
  <c r="AW771" i="2"/>
  <c r="AV771" i="2"/>
  <c r="AW770" i="2"/>
  <c r="AV770" i="2"/>
  <c r="AW769" i="2"/>
  <c r="AV769" i="2"/>
  <c r="AW768" i="2"/>
  <c r="AV768" i="2"/>
  <c r="AW767" i="2"/>
  <c r="AV767" i="2"/>
  <c r="AW766" i="2"/>
  <c r="AV766" i="2"/>
  <c r="AW765" i="2"/>
  <c r="AV765" i="2"/>
  <c r="AW764" i="2"/>
  <c r="AV764" i="2"/>
  <c r="AW763" i="2"/>
  <c r="AV763" i="2"/>
  <c r="AW762" i="2"/>
  <c r="AV762" i="2"/>
  <c r="AW761" i="2"/>
  <c r="AV761" i="2"/>
  <c r="AW760" i="2"/>
  <c r="AV760" i="2"/>
  <c r="AW759" i="2"/>
  <c r="AV759" i="2"/>
  <c r="AW758" i="2"/>
  <c r="AV758" i="2"/>
  <c r="AW757" i="2"/>
  <c r="AV757" i="2"/>
  <c r="AW756" i="2"/>
  <c r="AV756" i="2"/>
  <c r="AW755" i="2"/>
  <c r="AV755" i="2"/>
  <c r="AW754" i="2"/>
  <c r="AV754" i="2"/>
  <c r="AW753" i="2"/>
  <c r="AV753" i="2"/>
  <c r="AW752" i="2"/>
  <c r="AV752" i="2"/>
  <c r="AW751" i="2"/>
  <c r="AV751" i="2"/>
  <c r="AW750" i="2"/>
  <c r="AV750" i="2"/>
  <c r="AW749" i="2"/>
  <c r="AV749" i="2"/>
  <c r="AW748" i="2"/>
  <c r="AV748" i="2"/>
  <c r="AW747" i="2"/>
  <c r="AV747" i="2"/>
  <c r="AW746" i="2"/>
  <c r="AV746" i="2"/>
  <c r="AW745" i="2"/>
  <c r="AV745" i="2"/>
  <c r="AW744" i="2"/>
  <c r="AV744" i="2"/>
  <c r="AW743" i="2"/>
  <c r="AV743" i="2"/>
  <c r="AW742" i="2"/>
  <c r="AV742" i="2"/>
  <c r="AW741" i="2"/>
  <c r="AV741" i="2"/>
  <c r="AW740" i="2"/>
  <c r="AV740" i="2"/>
  <c r="AW739" i="2"/>
  <c r="AV739" i="2"/>
  <c r="AW738" i="2"/>
  <c r="AV738" i="2"/>
  <c r="AW737" i="2"/>
  <c r="AV737" i="2"/>
  <c r="AW736" i="2"/>
  <c r="AV736" i="2"/>
  <c r="AW735" i="2"/>
  <c r="AV735" i="2"/>
  <c r="AW734" i="2"/>
  <c r="AV734" i="2"/>
  <c r="AW733" i="2"/>
  <c r="AV733" i="2"/>
  <c r="AW732" i="2"/>
  <c r="AV732" i="2"/>
  <c r="AW731" i="2"/>
  <c r="AV731" i="2"/>
  <c r="AW730" i="2"/>
  <c r="AV730" i="2"/>
  <c r="AW729" i="2"/>
  <c r="AV729" i="2"/>
  <c r="AW728" i="2"/>
  <c r="AV728" i="2"/>
  <c r="AW727" i="2"/>
  <c r="AV727" i="2"/>
  <c r="AW726" i="2"/>
  <c r="AV726" i="2"/>
  <c r="AW725" i="2"/>
  <c r="AV725" i="2"/>
  <c r="AW724" i="2"/>
  <c r="AV724" i="2"/>
  <c r="AW723" i="2"/>
  <c r="AV723" i="2"/>
  <c r="AW722" i="2"/>
  <c r="AV722" i="2"/>
  <c r="AW721" i="2"/>
  <c r="AV721" i="2"/>
  <c r="AW720" i="2"/>
  <c r="AV720" i="2"/>
  <c r="AW719" i="2"/>
  <c r="AV719" i="2"/>
  <c r="AW718" i="2"/>
  <c r="AV718" i="2"/>
  <c r="AW717" i="2"/>
  <c r="AV717" i="2"/>
  <c r="AW716" i="2"/>
  <c r="AV716" i="2"/>
  <c r="AW715" i="2"/>
  <c r="AV715" i="2"/>
  <c r="AW714" i="2"/>
  <c r="AV714" i="2"/>
  <c r="AW713" i="2"/>
  <c r="AV713" i="2"/>
  <c r="AW712" i="2"/>
  <c r="AV712" i="2"/>
  <c r="AW711" i="2"/>
  <c r="AV711" i="2"/>
  <c r="AW710" i="2"/>
  <c r="AV710" i="2"/>
  <c r="AW709" i="2"/>
  <c r="AV709" i="2"/>
  <c r="AW708" i="2"/>
  <c r="AV708" i="2"/>
  <c r="AW707" i="2"/>
  <c r="AV707" i="2"/>
  <c r="AW706" i="2"/>
  <c r="AV706" i="2"/>
  <c r="AW705" i="2"/>
  <c r="AV705" i="2"/>
  <c r="AW704" i="2"/>
  <c r="AV704" i="2"/>
  <c r="AW703" i="2"/>
  <c r="AV703" i="2"/>
  <c r="AW702" i="2"/>
  <c r="AV702" i="2"/>
  <c r="AW701" i="2"/>
  <c r="AV701" i="2"/>
  <c r="AW700" i="2"/>
  <c r="AV700" i="2"/>
  <c r="AW699" i="2"/>
  <c r="AV699" i="2"/>
  <c r="AW698" i="2"/>
  <c r="AV698" i="2"/>
  <c r="AW697" i="2"/>
  <c r="AV697" i="2"/>
  <c r="AW696" i="2"/>
  <c r="AV696" i="2"/>
  <c r="AW695" i="2"/>
  <c r="AV695" i="2"/>
  <c r="AW694" i="2"/>
  <c r="AV694" i="2"/>
  <c r="AW693" i="2"/>
  <c r="AV693" i="2"/>
  <c r="AW692" i="2"/>
  <c r="AV692" i="2"/>
  <c r="AW691" i="2"/>
  <c r="AV691" i="2"/>
  <c r="AW690" i="2"/>
  <c r="AV690" i="2"/>
  <c r="AW689" i="2"/>
  <c r="AV689" i="2"/>
  <c r="AW688" i="2"/>
  <c r="AV688" i="2"/>
  <c r="AW687" i="2"/>
  <c r="AV687" i="2"/>
  <c r="AW686" i="2"/>
  <c r="AV686" i="2"/>
  <c r="AW685" i="2"/>
  <c r="AV685" i="2"/>
  <c r="AW684" i="2"/>
  <c r="AV684" i="2"/>
  <c r="AW683" i="2"/>
  <c r="AV683" i="2"/>
  <c r="AW682" i="2"/>
  <c r="AV682" i="2"/>
  <c r="AW681" i="2"/>
  <c r="AV681" i="2"/>
  <c r="AW680" i="2"/>
  <c r="AV680" i="2"/>
  <c r="AW679" i="2"/>
  <c r="AV679" i="2"/>
  <c r="AW678" i="2"/>
  <c r="AV678" i="2"/>
  <c r="AW677" i="2"/>
  <c r="AV677" i="2"/>
  <c r="AO1286" i="2"/>
  <c r="AN1286" i="2"/>
  <c r="AJ1286" i="2"/>
  <c r="AK1286" i="2" s="1"/>
  <c r="AI1286" i="2"/>
  <c r="AO1285" i="2"/>
  <c r="AN1285" i="2"/>
  <c r="AJ1285" i="2"/>
  <c r="AK1285" i="2" s="1"/>
  <c r="AI1285" i="2"/>
  <c r="AO1284" i="2"/>
  <c r="AN1284" i="2"/>
  <c r="AJ1284" i="2"/>
  <c r="AK1284" i="2" s="1"/>
  <c r="AI1284" i="2"/>
  <c r="AO1283" i="2"/>
  <c r="AN1283" i="2"/>
  <c r="AJ1283" i="2"/>
  <c r="AK1283" i="2" s="1"/>
  <c r="AI1283" i="2"/>
  <c r="AO1282" i="2"/>
  <c r="AN1282" i="2"/>
  <c r="AJ1282" i="2"/>
  <c r="AK1282" i="2" s="1"/>
  <c r="AI1282" i="2"/>
  <c r="AO1281" i="2"/>
  <c r="AN1281" i="2"/>
  <c r="AJ1281" i="2"/>
  <c r="AK1281" i="2" s="1"/>
  <c r="AI1281" i="2"/>
  <c r="AO1280" i="2"/>
  <c r="AN1280" i="2"/>
  <c r="AJ1280" i="2"/>
  <c r="AK1280" i="2" s="1"/>
  <c r="AI1280" i="2"/>
  <c r="AO1279" i="2"/>
  <c r="AN1279" i="2"/>
  <c r="AJ1279" i="2"/>
  <c r="AK1279" i="2" s="1"/>
  <c r="AI1279" i="2"/>
  <c r="AO1278" i="2"/>
  <c r="AN1278" i="2"/>
  <c r="AJ1278" i="2"/>
  <c r="AK1278" i="2" s="1"/>
  <c r="AI1278" i="2"/>
  <c r="AO1277" i="2"/>
  <c r="AN1277" i="2"/>
  <c r="AJ1277" i="2"/>
  <c r="AK1277" i="2" s="1"/>
  <c r="AI1277" i="2"/>
  <c r="AO1276" i="2"/>
  <c r="AN1276" i="2"/>
  <c r="AJ1276" i="2"/>
  <c r="AK1276" i="2" s="1"/>
  <c r="AI1276" i="2"/>
  <c r="AO1275" i="2"/>
  <c r="AN1275" i="2"/>
  <c r="AJ1275" i="2"/>
  <c r="AK1275" i="2" s="1"/>
  <c r="AI1275" i="2"/>
  <c r="AO1274" i="2"/>
  <c r="AN1274" i="2"/>
  <c r="AJ1274" i="2"/>
  <c r="AK1274" i="2" s="1"/>
  <c r="AI1274" i="2"/>
  <c r="AO1273" i="2"/>
  <c r="AN1273" i="2"/>
  <c r="AJ1273" i="2"/>
  <c r="AK1273" i="2" s="1"/>
  <c r="AI1273" i="2"/>
  <c r="AO1272" i="2"/>
  <c r="AN1272" i="2"/>
  <c r="AJ1272" i="2"/>
  <c r="AK1272" i="2" s="1"/>
  <c r="AI1272" i="2"/>
  <c r="AO1271" i="2"/>
  <c r="AN1271" i="2"/>
  <c r="AJ1271" i="2"/>
  <c r="AK1271" i="2" s="1"/>
  <c r="AI1271" i="2"/>
  <c r="AO1270" i="2"/>
  <c r="AN1270" i="2"/>
  <c r="AJ1270" i="2"/>
  <c r="AK1270" i="2" s="1"/>
  <c r="AI1270" i="2"/>
  <c r="AO1269" i="2"/>
  <c r="AN1269" i="2"/>
  <c r="AJ1269" i="2"/>
  <c r="AK1269" i="2" s="1"/>
  <c r="AI1269" i="2"/>
  <c r="AO1268" i="2"/>
  <c r="AN1268" i="2"/>
  <c r="AJ1268" i="2"/>
  <c r="AK1268" i="2" s="1"/>
  <c r="AI1268" i="2"/>
  <c r="AO1267" i="2"/>
  <c r="AN1267" i="2"/>
  <c r="AJ1267" i="2"/>
  <c r="AK1267" i="2" s="1"/>
  <c r="AI1267" i="2"/>
  <c r="AO1266" i="2"/>
  <c r="AN1266" i="2"/>
  <c r="AJ1266" i="2"/>
  <c r="AK1266" i="2" s="1"/>
  <c r="AI1266" i="2"/>
  <c r="AO1265" i="2"/>
  <c r="AN1265" i="2"/>
  <c r="AJ1265" i="2"/>
  <c r="AK1265" i="2" s="1"/>
  <c r="AI1265" i="2"/>
  <c r="AO1264" i="2"/>
  <c r="AN1264" i="2"/>
  <c r="AJ1264" i="2"/>
  <c r="AK1264" i="2" s="1"/>
  <c r="AI1264" i="2"/>
  <c r="AO1263" i="2"/>
  <c r="AN1263" i="2"/>
  <c r="AJ1263" i="2"/>
  <c r="AK1263" i="2" s="1"/>
  <c r="AI1263" i="2"/>
  <c r="AO1262" i="2"/>
  <c r="AN1262" i="2"/>
  <c r="AJ1262" i="2"/>
  <c r="AK1262" i="2" s="1"/>
  <c r="AI1262" i="2"/>
  <c r="AO1261" i="2"/>
  <c r="AN1261" i="2"/>
  <c r="AJ1261" i="2"/>
  <c r="AK1261" i="2" s="1"/>
  <c r="AI1261" i="2"/>
  <c r="AO1260" i="2"/>
  <c r="AN1260" i="2"/>
  <c r="AJ1260" i="2"/>
  <c r="AK1260" i="2" s="1"/>
  <c r="AI1260" i="2"/>
  <c r="AO1259" i="2"/>
  <c r="AN1259" i="2"/>
  <c r="AJ1259" i="2"/>
  <c r="AK1259" i="2" s="1"/>
  <c r="AI1259" i="2"/>
  <c r="AO1258" i="2"/>
  <c r="AN1258" i="2"/>
  <c r="AJ1258" i="2"/>
  <c r="AK1258" i="2" s="1"/>
  <c r="AI1258" i="2"/>
  <c r="AO1257" i="2"/>
  <c r="AN1257" i="2"/>
  <c r="AJ1257" i="2"/>
  <c r="AK1257" i="2" s="1"/>
  <c r="AI1257" i="2"/>
  <c r="AO1256" i="2"/>
  <c r="AN1256" i="2"/>
  <c r="AJ1256" i="2"/>
  <c r="AK1256" i="2" s="1"/>
  <c r="AI1256" i="2"/>
  <c r="AO1255" i="2"/>
  <c r="AN1255" i="2"/>
  <c r="AJ1255" i="2"/>
  <c r="AK1255" i="2" s="1"/>
  <c r="AI1255" i="2"/>
  <c r="AO1254" i="2"/>
  <c r="AN1254" i="2"/>
  <c r="AJ1254" i="2"/>
  <c r="AK1254" i="2" s="1"/>
  <c r="AI1254" i="2"/>
  <c r="AO1253" i="2"/>
  <c r="AN1253" i="2"/>
  <c r="AJ1253" i="2"/>
  <c r="AK1253" i="2" s="1"/>
  <c r="AI1253" i="2"/>
  <c r="AO1252" i="2"/>
  <c r="AN1252" i="2"/>
  <c r="AJ1252" i="2"/>
  <c r="AK1252" i="2" s="1"/>
  <c r="AI1252" i="2"/>
  <c r="AO1251" i="2"/>
  <c r="AN1251" i="2"/>
  <c r="AJ1251" i="2"/>
  <c r="AK1251" i="2" s="1"/>
  <c r="AI1251" i="2"/>
  <c r="AO1250" i="2"/>
  <c r="AN1250" i="2"/>
  <c r="AJ1250" i="2"/>
  <c r="AK1250" i="2" s="1"/>
  <c r="AI1250" i="2"/>
  <c r="AO1249" i="2"/>
  <c r="AN1249" i="2"/>
  <c r="AJ1249" i="2"/>
  <c r="AK1249" i="2" s="1"/>
  <c r="AI1249" i="2"/>
  <c r="AO1248" i="2"/>
  <c r="AN1248" i="2"/>
  <c r="AJ1248" i="2"/>
  <c r="AK1248" i="2" s="1"/>
  <c r="AI1248" i="2"/>
  <c r="AO1247" i="2"/>
  <c r="AN1247" i="2"/>
  <c r="AJ1247" i="2"/>
  <c r="AK1247" i="2" s="1"/>
  <c r="AI1247" i="2"/>
  <c r="AO1246" i="2"/>
  <c r="AN1246" i="2"/>
  <c r="AJ1246" i="2"/>
  <c r="AK1246" i="2" s="1"/>
  <c r="AI1246" i="2"/>
  <c r="AO1245" i="2"/>
  <c r="AN1245" i="2"/>
  <c r="AJ1245" i="2"/>
  <c r="AK1245" i="2" s="1"/>
  <c r="AI1245" i="2"/>
  <c r="AO1244" i="2"/>
  <c r="AN1244" i="2"/>
  <c r="AJ1244" i="2"/>
  <c r="AK1244" i="2" s="1"/>
  <c r="AI1244" i="2"/>
  <c r="AO1243" i="2"/>
  <c r="AN1243" i="2"/>
  <c r="AJ1243" i="2"/>
  <c r="AK1243" i="2" s="1"/>
  <c r="AI1243" i="2"/>
  <c r="AO1242" i="2"/>
  <c r="AN1242" i="2"/>
  <c r="AJ1242" i="2"/>
  <c r="AK1242" i="2" s="1"/>
  <c r="AI1242" i="2"/>
  <c r="AO1241" i="2"/>
  <c r="AN1241" i="2"/>
  <c r="AJ1241" i="2"/>
  <c r="AK1241" i="2" s="1"/>
  <c r="AI1241" i="2"/>
  <c r="AO1240" i="2"/>
  <c r="AN1240" i="2"/>
  <c r="AJ1240" i="2"/>
  <c r="AK1240" i="2" s="1"/>
  <c r="AI1240" i="2"/>
  <c r="AO1239" i="2"/>
  <c r="AN1239" i="2"/>
  <c r="AJ1239" i="2"/>
  <c r="AK1239" i="2" s="1"/>
  <c r="AI1239" i="2"/>
  <c r="AO1238" i="2"/>
  <c r="AN1238" i="2"/>
  <c r="AJ1238" i="2"/>
  <c r="AK1238" i="2" s="1"/>
  <c r="AI1238" i="2"/>
  <c r="AO1237" i="2"/>
  <c r="AN1237" i="2"/>
  <c r="AJ1237" i="2"/>
  <c r="AK1237" i="2" s="1"/>
  <c r="AI1237" i="2"/>
  <c r="AO1236" i="2"/>
  <c r="AN1236" i="2"/>
  <c r="AJ1236" i="2"/>
  <c r="AK1236" i="2" s="1"/>
  <c r="AI1236" i="2"/>
  <c r="AO1235" i="2"/>
  <c r="AN1235" i="2"/>
  <c r="AJ1235" i="2"/>
  <c r="AK1235" i="2" s="1"/>
  <c r="AI1235" i="2"/>
  <c r="AO1234" i="2"/>
  <c r="AN1234" i="2"/>
  <c r="AJ1234" i="2"/>
  <c r="AK1234" i="2" s="1"/>
  <c r="AI1234" i="2"/>
  <c r="AO1233" i="2"/>
  <c r="AN1233" i="2"/>
  <c r="AJ1233" i="2"/>
  <c r="AK1233" i="2" s="1"/>
  <c r="AI1233" i="2"/>
  <c r="AO1232" i="2"/>
  <c r="AN1232" i="2"/>
  <c r="AJ1232" i="2"/>
  <c r="AK1232" i="2" s="1"/>
  <c r="AI1232" i="2"/>
  <c r="AO1231" i="2"/>
  <c r="AN1231" i="2"/>
  <c r="AJ1231" i="2"/>
  <c r="AK1231" i="2" s="1"/>
  <c r="AI1231" i="2"/>
  <c r="AO1230" i="2"/>
  <c r="AN1230" i="2"/>
  <c r="AJ1230" i="2"/>
  <c r="AK1230" i="2" s="1"/>
  <c r="AI1230" i="2"/>
  <c r="AO1229" i="2"/>
  <c r="AN1229" i="2"/>
  <c r="AJ1229" i="2"/>
  <c r="AK1229" i="2" s="1"/>
  <c r="AI1229" i="2"/>
  <c r="AO1228" i="2"/>
  <c r="AN1228" i="2"/>
  <c r="AJ1228" i="2"/>
  <c r="AK1228" i="2" s="1"/>
  <c r="AI1228" i="2"/>
  <c r="AO1227" i="2"/>
  <c r="AN1227" i="2"/>
  <c r="AJ1227" i="2"/>
  <c r="AK1227" i="2" s="1"/>
  <c r="AI1227" i="2"/>
  <c r="AO1226" i="2"/>
  <c r="AN1226" i="2"/>
  <c r="AJ1226" i="2"/>
  <c r="AK1226" i="2" s="1"/>
  <c r="AI1226" i="2"/>
  <c r="AO1225" i="2"/>
  <c r="AN1225" i="2"/>
  <c r="AJ1225" i="2"/>
  <c r="AK1225" i="2" s="1"/>
  <c r="AI1225" i="2"/>
  <c r="AO1224" i="2"/>
  <c r="AN1224" i="2"/>
  <c r="AJ1224" i="2"/>
  <c r="AK1224" i="2" s="1"/>
  <c r="AI1224" i="2"/>
  <c r="AO1223" i="2"/>
  <c r="AN1223" i="2"/>
  <c r="AJ1223" i="2"/>
  <c r="AK1223" i="2" s="1"/>
  <c r="AI1223" i="2"/>
  <c r="AO1222" i="2"/>
  <c r="AN1222" i="2"/>
  <c r="AJ1222" i="2"/>
  <c r="AK1222" i="2" s="1"/>
  <c r="AI1222" i="2"/>
  <c r="AO1221" i="2"/>
  <c r="AN1221" i="2"/>
  <c r="AJ1221" i="2"/>
  <c r="AK1221" i="2" s="1"/>
  <c r="AI1221" i="2"/>
  <c r="AO1220" i="2"/>
  <c r="AN1220" i="2"/>
  <c r="AJ1220" i="2"/>
  <c r="AK1220" i="2" s="1"/>
  <c r="AI1220" i="2"/>
  <c r="AO1219" i="2"/>
  <c r="AN1219" i="2"/>
  <c r="AJ1219" i="2"/>
  <c r="AK1219" i="2" s="1"/>
  <c r="AI1219" i="2"/>
  <c r="AO1218" i="2"/>
  <c r="AN1218" i="2"/>
  <c r="AJ1218" i="2"/>
  <c r="AK1218" i="2" s="1"/>
  <c r="AI1218" i="2"/>
  <c r="AO1217" i="2"/>
  <c r="AN1217" i="2"/>
  <c r="AJ1217" i="2"/>
  <c r="AK1217" i="2" s="1"/>
  <c r="AI1217" i="2"/>
  <c r="AO1216" i="2"/>
  <c r="AN1216" i="2"/>
  <c r="AJ1216" i="2"/>
  <c r="AK1216" i="2" s="1"/>
  <c r="AI1216" i="2"/>
  <c r="AO1215" i="2"/>
  <c r="AN1215" i="2"/>
  <c r="AJ1215" i="2"/>
  <c r="AK1215" i="2" s="1"/>
  <c r="AI1215" i="2"/>
  <c r="AO1214" i="2"/>
  <c r="AN1214" i="2"/>
  <c r="AJ1214" i="2"/>
  <c r="AK1214" i="2" s="1"/>
  <c r="AI1214" i="2"/>
  <c r="AO1213" i="2"/>
  <c r="AN1213" i="2"/>
  <c r="AJ1213" i="2"/>
  <c r="AK1213" i="2" s="1"/>
  <c r="AI1213" i="2"/>
  <c r="AO1212" i="2"/>
  <c r="AN1212" i="2"/>
  <c r="AJ1212" i="2"/>
  <c r="AK1212" i="2" s="1"/>
  <c r="AI1212" i="2"/>
  <c r="AO1211" i="2"/>
  <c r="AN1211" i="2"/>
  <c r="AJ1211" i="2"/>
  <c r="AK1211" i="2" s="1"/>
  <c r="AI1211" i="2"/>
  <c r="AO1210" i="2"/>
  <c r="AN1210" i="2"/>
  <c r="AJ1210" i="2"/>
  <c r="AK1210" i="2" s="1"/>
  <c r="AI1210" i="2"/>
  <c r="AO1209" i="2"/>
  <c r="AN1209" i="2"/>
  <c r="AJ1209" i="2"/>
  <c r="AK1209" i="2" s="1"/>
  <c r="AI1209" i="2"/>
  <c r="AO1208" i="2"/>
  <c r="AN1208" i="2"/>
  <c r="AJ1208" i="2"/>
  <c r="AK1208" i="2" s="1"/>
  <c r="AI1208" i="2"/>
  <c r="AO1207" i="2"/>
  <c r="AN1207" i="2"/>
  <c r="AJ1207" i="2"/>
  <c r="AK1207" i="2" s="1"/>
  <c r="AI1207" i="2"/>
  <c r="AO1206" i="2"/>
  <c r="AN1206" i="2"/>
  <c r="AJ1206" i="2"/>
  <c r="AK1206" i="2" s="1"/>
  <c r="AI1206" i="2"/>
  <c r="AO1205" i="2"/>
  <c r="AN1205" i="2"/>
  <c r="AJ1205" i="2"/>
  <c r="AK1205" i="2" s="1"/>
  <c r="AI1205" i="2"/>
  <c r="AO1204" i="2"/>
  <c r="AN1204" i="2"/>
  <c r="AJ1204" i="2"/>
  <c r="AK1204" i="2" s="1"/>
  <c r="AI1204" i="2"/>
  <c r="AO1203" i="2"/>
  <c r="AN1203" i="2"/>
  <c r="AJ1203" i="2"/>
  <c r="AK1203" i="2" s="1"/>
  <c r="AI1203" i="2"/>
  <c r="AO1202" i="2"/>
  <c r="AN1202" i="2"/>
  <c r="AJ1202" i="2"/>
  <c r="AK1202" i="2" s="1"/>
  <c r="AI1202" i="2"/>
  <c r="AO1201" i="2"/>
  <c r="AN1201" i="2"/>
  <c r="AJ1201" i="2"/>
  <c r="AK1201" i="2" s="1"/>
  <c r="AI1201" i="2"/>
  <c r="AO1200" i="2"/>
  <c r="AN1200" i="2"/>
  <c r="AJ1200" i="2"/>
  <c r="AK1200" i="2" s="1"/>
  <c r="AI1200" i="2"/>
  <c r="AO1199" i="2"/>
  <c r="AN1199" i="2"/>
  <c r="AJ1199" i="2"/>
  <c r="AK1199" i="2" s="1"/>
  <c r="AI1199" i="2"/>
  <c r="AO1198" i="2"/>
  <c r="AN1198" i="2"/>
  <c r="AJ1198" i="2"/>
  <c r="AK1198" i="2" s="1"/>
  <c r="AI1198" i="2"/>
  <c r="AO1197" i="2"/>
  <c r="AN1197" i="2"/>
  <c r="AJ1197" i="2"/>
  <c r="AK1197" i="2" s="1"/>
  <c r="AI1197" i="2"/>
  <c r="AO1196" i="2"/>
  <c r="AN1196" i="2"/>
  <c r="AJ1196" i="2"/>
  <c r="AK1196" i="2" s="1"/>
  <c r="AI1196" i="2"/>
  <c r="AO1195" i="2"/>
  <c r="AN1195" i="2"/>
  <c r="AJ1195" i="2"/>
  <c r="AK1195" i="2" s="1"/>
  <c r="AI1195" i="2"/>
  <c r="AO1194" i="2"/>
  <c r="AN1194" i="2"/>
  <c r="AJ1194" i="2"/>
  <c r="AK1194" i="2" s="1"/>
  <c r="AI1194" i="2"/>
  <c r="AO1193" i="2"/>
  <c r="AN1193" i="2"/>
  <c r="AJ1193" i="2"/>
  <c r="AK1193" i="2" s="1"/>
  <c r="AI1193" i="2"/>
  <c r="AO1192" i="2"/>
  <c r="AN1192" i="2"/>
  <c r="AJ1192" i="2"/>
  <c r="AK1192" i="2" s="1"/>
  <c r="AI1192" i="2"/>
  <c r="AO1191" i="2"/>
  <c r="AN1191" i="2"/>
  <c r="AJ1191" i="2"/>
  <c r="AK1191" i="2" s="1"/>
  <c r="AI1191" i="2"/>
  <c r="AO1190" i="2"/>
  <c r="AN1190" i="2"/>
  <c r="AJ1190" i="2"/>
  <c r="AK1190" i="2" s="1"/>
  <c r="AI1190" i="2"/>
  <c r="AO1189" i="2"/>
  <c r="AN1189" i="2"/>
  <c r="AJ1189" i="2"/>
  <c r="AK1189" i="2" s="1"/>
  <c r="AI1189" i="2"/>
  <c r="AO1188" i="2"/>
  <c r="AN1188" i="2"/>
  <c r="AJ1188" i="2"/>
  <c r="AK1188" i="2" s="1"/>
  <c r="AI1188" i="2"/>
  <c r="AO1187" i="2"/>
  <c r="AN1187" i="2"/>
  <c r="AJ1187" i="2"/>
  <c r="AK1187" i="2" s="1"/>
  <c r="AI1187" i="2"/>
  <c r="AO1186" i="2"/>
  <c r="AN1186" i="2"/>
  <c r="AJ1186" i="2"/>
  <c r="AK1186" i="2" s="1"/>
  <c r="AI1186" i="2"/>
  <c r="AO1185" i="2"/>
  <c r="AN1185" i="2"/>
  <c r="AJ1185" i="2"/>
  <c r="AK1185" i="2" s="1"/>
  <c r="AI1185" i="2"/>
  <c r="AO1184" i="2"/>
  <c r="AN1184" i="2"/>
  <c r="AJ1184" i="2"/>
  <c r="AK1184" i="2" s="1"/>
  <c r="AI1184" i="2"/>
  <c r="AO1183" i="2"/>
  <c r="AN1183" i="2"/>
  <c r="AJ1183" i="2"/>
  <c r="AK1183" i="2" s="1"/>
  <c r="AI1183" i="2"/>
  <c r="AO1182" i="2"/>
  <c r="AN1182" i="2"/>
  <c r="AJ1182" i="2"/>
  <c r="AK1182" i="2" s="1"/>
  <c r="AI1182" i="2"/>
  <c r="AO1181" i="2"/>
  <c r="AN1181" i="2"/>
  <c r="AJ1181" i="2"/>
  <c r="AK1181" i="2" s="1"/>
  <c r="AI1181" i="2"/>
  <c r="AO1180" i="2"/>
  <c r="AN1180" i="2"/>
  <c r="AJ1180" i="2"/>
  <c r="AK1180" i="2" s="1"/>
  <c r="AI1180" i="2"/>
  <c r="AO1179" i="2"/>
  <c r="AN1179" i="2"/>
  <c r="AJ1179" i="2"/>
  <c r="AK1179" i="2" s="1"/>
  <c r="AI1179" i="2"/>
  <c r="AO1178" i="2"/>
  <c r="AN1178" i="2"/>
  <c r="AJ1178" i="2"/>
  <c r="AK1178" i="2" s="1"/>
  <c r="AI1178" i="2"/>
  <c r="AO1177" i="2"/>
  <c r="AN1177" i="2"/>
  <c r="AJ1177" i="2"/>
  <c r="AK1177" i="2" s="1"/>
  <c r="AI1177" i="2"/>
  <c r="AO1176" i="2"/>
  <c r="AN1176" i="2"/>
  <c r="AJ1176" i="2"/>
  <c r="AK1176" i="2" s="1"/>
  <c r="AI1176" i="2"/>
  <c r="AO1175" i="2"/>
  <c r="AN1175" i="2"/>
  <c r="AJ1175" i="2"/>
  <c r="AK1175" i="2" s="1"/>
  <c r="AI1175" i="2"/>
  <c r="AO1174" i="2"/>
  <c r="AN1174" i="2"/>
  <c r="AJ1174" i="2"/>
  <c r="AK1174" i="2" s="1"/>
  <c r="AI1174" i="2"/>
  <c r="AO1173" i="2"/>
  <c r="AN1173" i="2"/>
  <c r="AJ1173" i="2"/>
  <c r="AK1173" i="2" s="1"/>
  <c r="AI1173" i="2"/>
  <c r="AO1172" i="2"/>
  <c r="AN1172" i="2"/>
  <c r="AJ1172" i="2"/>
  <c r="AK1172" i="2" s="1"/>
  <c r="AI1172" i="2"/>
  <c r="AO1171" i="2"/>
  <c r="AN1171" i="2"/>
  <c r="AJ1171" i="2"/>
  <c r="AK1171" i="2" s="1"/>
  <c r="AI1171" i="2"/>
  <c r="AO1170" i="2"/>
  <c r="AN1170" i="2"/>
  <c r="AJ1170" i="2"/>
  <c r="AK1170" i="2" s="1"/>
  <c r="AI1170" i="2"/>
  <c r="AO1169" i="2"/>
  <c r="AN1169" i="2"/>
  <c r="AJ1169" i="2"/>
  <c r="AK1169" i="2" s="1"/>
  <c r="AI1169" i="2"/>
  <c r="AO1168" i="2"/>
  <c r="AN1168" i="2"/>
  <c r="AJ1168" i="2"/>
  <c r="AK1168" i="2" s="1"/>
  <c r="AI1168" i="2"/>
  <c r="AO1167" i="2"/>
  <c r="AN1167" i="2"/>
  <c r="AJ1167" i="2"/>
  <c r="AK1167" i="2" s="1"/>
  <c r="AI1167" i="2"/>
  <c r="AO1166" i="2"/>
  <c r="AN1166" i="2"/>
  <c r="AJ1166" i="2"/>
  <c r="AK1166" i="2" s="1"/>
  <c r="AI1166" i="2"/>
  <c r="AO1165" i="2"/>
  <c r="AN1165" i="2"/>
  <c r="AJ1165" i="2"/>
  <c r="AK1165" i="2" s="1"/>
  <c r="AI1165" i="2"/>
  <c r="AO1164" i="2"/>
  <c r="AN1164" i="2"/>
  <c r="AJ1164" i="2"/>
  <c r="AK1164" i="2" s="1"/>
  <c r="AI1164" i="2"/>
  <c r="AO1163" i="2"/>
  <c r="AN1163" i="2"/>
  <c r="AJ1163" i="2"/>
  <c r="AK1163" i="2" s="1"/>
  <c r="AI1163" i="2"/>
  <c r="AO1162" i="2"/>
  <c r="AN1162" i="2"/>
  <c r="AJ1162" i="2"/>
  <c r="AK1162" i="2" s="1"/>
  <c r="AI1162" i="2"/>
  <c r="AO1161" i="2"/>
  <c r="AN1161" i="2"/>
  <c r="AJ1161" i="2"/>
  <c r="AK1161" i="2" s="1"/>
  <c r="AI1161" i="2"/>
  <c r="AO1160" i="2"/>
  <c r="AN1160" i="2"/>
  <c r="AJ1160" i="2"/>
  <c r="AK1160" i="2" s="1"/>
  <c r="AI1160" i="2"/>
  <c r="AO1159" i="2"/>
  <c r="AN1159" i="2"/>
  <c r="AJ1159" i="2"/>
  <c r="AK1159" i="2" s="1"/>
  <c r="AI1159" i="2"/>
  <c r="AO1158" i="2"/>
  <c r="AN1158" i="2"/>
  <c r="AJ1158" i="2"/>
  <c r="AK1158" i="2" s="1"/>
  <c r="AI1158" i="2"/>
  <c r="AO1157" i="2"/>
  <c r="AN1157" i="2"/>
  <c r="AJ1157" i="2"/>
  <c r="AK1157" i="2" s="1"/>
  <c r="AI1157" i="2"/>
  <c r="AO1156" i="2"/>
  <c r="AN1156" i="2"/>
  <c r="AJ1156" i="2"/>
  <c r="AK1156" i="2" s="1"/>
  <c r="AI1156" i="2"/>
  <c r="AO1155" i="2"/>
  <c r="AN1155" i="2"/>
  <c r="AJ1155" i="2"/>
  <c r="AK1155" i="2" s="1"/>
  <c r="AI1155" i="2"/>
  <c r="AO1154" i="2"/>
  <c r="AN1154" i="2"/>
  <c r="AJ1154" i="2"/>
  <c r="AK1154" i="2" s="1"/>
  <c r="AI1154" i="2"/>
  <c r="AO1153" i="2"/>
  <c r="AN1153" i="2"/>
  <c r="AJ1153" i="2"/>
  <c r="AK1153" i="2" s="1"/>
  <c r="AI1153" i="2"/>
  <c r="AO1152" i="2"/>
  <c r="AN1152" i="2"/>
  <c r="AJ1152" i="2"/>
  <c r="AK1152" i="2" s="1"/>
  <c r="AI1152" i="2"/>
  <c r="AO1151" i="2"/>
  <c r="AN1151" i="2"/>
  <c r="AJ1151" i="2"/>
  <c r="AK1151" i="2" s="1"/>
  <c r="AI1151" i="2"/>
  <c r="AO1150" i="2"/>
  <c r="AN1150" i="2"/>
  <c r="AJ1150" i="2"/>
  <c r="AK1150" i="2" s="1"/>
  <c r="AI1150" i="2"/>
  <c r="AO1149" i="2"/>
  <c r="AN1149" i="2"/>
  <c r="AJ1149" i="2"/>
  <c r="AK1149" i="2" s="1"/>
  <c r="AI1149" i="2"/>
  <c r="AO1148" i="2"/>
  <c r="AN1148" i="2"/>
  <c r="AJ1148" i="2"/>
  <c r="AK1148" i="2" s="1"/>
  <c r="AI1148" i="2"/>
  <c r="AO1147" i="2"/>
  <c r="AN1147" i="2"/>
  <c r="AJ1147" i="2"/>
  <c r="AK1147" i="2" s="1"/>
  <c r="AI1147" i="2"/>
  <c r="AO1146" i="2"/>
  <c r="AN1146" i="2"/>
  <c r="AJ1146" i="2"/>
  <c r="AK1146" i="2" s="1"/>
  <c r="AI1146" i="2"/>
  <c r="AO1145" i="2"/>
  <c r="AN1145" i="2"/>
  <c r="AJ1145" i="2"/>
  <c r="AK1145" i="2" s="1"/>
  <c r="AI1145" i="2"/>
  <c r="AO1144" i="2"/>
  <c r="AN1144" i="2"/>
  <c r="AJ1144" i="2"/>
  <c r="AK1144" i="2" s="1"/>
  <c r="AI1144" i="2"/>
  <c r="AO1143" i="2"/>
  <c r="AN1143" i="2"/>
  <c r="AJ1143" i="2"/>
  <c r="AK1143" i="2" s="1"/>
  <c r="AI1143" i="2"/>
  <c r="AO1142" i="2"/>
  <c r="AN1142" i="2"/>
  <c r="AJ1142" i="2"/>
  <c r="AK1142" i="2" s="1"/>
  <c r="AI1142" i="2"/>
  <c r="AO1141" i="2"/>
  <c r="AN1141" i="2"/>
  <c r="AJ1141" i="2"/>
  <c r="AK1141" i="2" s="1"/>
  <c r="AI1141" i="2"/>
  <c r="AO1140" i="2"/>
  <c r="AN1140" i="2"/>
  <c r="AJ1140" i="2"/>
  <c r="AK1140" i="2" s="1"/>
  <c r="AI1140" i="2"/>
  <c r="AO1139" i="2"/>
  <c r="AN1139" i="2"/>
  <c r="AJ1139" i="2"/>
  <c r="AK1139" i="2" s="1"/>
  <c r="AI1139" i="2"/>
  <c r="AO1138" i="2"/>
  <c r="AN1138" i="2"/>
  <c r="AJ1138" i="2"/>
  <c r="AK1138" i="2" s="1"/>
  <c r="AI1138" i="2"/>
  <c r="AO1137" i="2"/>
  <c r="AN1137" i="2"/>
  <c r="AJ1137" i="2"/>
  <c r="AK1137" i="2" s="1"/>
  <c r="AI1137" i="2"/>
  <c r="AO1136" i="2"/>
  <c r="AN1136" i="2"/>
  <c r="AJ1136" i="2"/>
  <c r="AK1136" i="2" s="1"/>
  <c r="AI1136" i="2"/>
  <c r="AO1135" i="2"/>
  <c r="AN1135" i="2"/>
  <c r="AJ1135" i="2"/>
  <c r="AK1135" i="2" s="1"/>
  <c r="AI1135" i="2"/>
  <c r="AO1134" i="2"/>
  <c r="AN1134" i="2"/>
  <c r="AJ1134" i="2"/>
  <c r="AK1134" i="2" s="1"/>
  <c r="AI1134" i="2"/>
  <c r="AO1133" i="2"/>
  <c r="AN1133" i="2"/>
  <c r="AJ1133" i="2"/>
  <c r="AK1133" i="2" s="1"/>
  <c r="AI1133" i="2"/>
  <c r="AO1132" i="2"/>
  <c r="AN1132" i="2"/>
  <c r="AJ1132" i="2"/>
  <c r="AK1132" i="2" s="1"/>
  <c r="AI1132" i="2"/>
  <c r="AO1131" i="2"/>
  <c r="AN1131" i="2"/>
  <c r="AJ1131" i="2"/>
  <c r="AK1131" i="2" s="1"/>
  <c r="AI1131" i="2"/>
  <c r="AO1130" i="2"/>
  <c r="AN1130" i="2"/>
  <c r="AJ1130" i="2"/>
  <c r="AK1130" i="2" s="1"/>
  <c r="AI1130" i="2"/>
  <c r="AO1129" i="2"/>
  <c r="AN1129" i="2"/>
  <c r="AJ1129" i="2"/>
  <c r="AK1129" i="2" s="1"/>
  <c r="AI1129" i="2"/>
  <c r="AO1128" i="2"/>
  <c r="AN1128" i="2"/>
  <c r="AJ1128" i="2"/>
  <c r="AK1128" i="2" s="1"/>
  <c r="AI1128" i="2"/>
  <c r="AO1127" i="2"/>
  <c r="AN1127" i="2"/>
  <c r="AJ1127" i="2"/>
  <c r="AK1127" i="2" s="1"/>
  <c r="AI1127" i="2"/>
  <c r="AO1126" i="2"/>
  <c r="AN1126" i="2"/>
  <c r="AJ1126" i="2"/>
  <c r="AK1126" i="2" s="1"/>
  <c r="AI1126" i="2"/>
  <c r="AO1125" i="2"/>
  <c r="AN1125" i="2"/>
  <c r="AJ1125" i="2"/>
  <c r="AK1125" i="2" s="1"/>
  <c r="AI1125" i="2"/>
  <c r="AO1124" i="2"/>
  <c r="AN1124" i="2"/>
  <c r="AJ1124" i="2"/>
  <c r="AK1124" i="2" s="1"/>
  <c r="AI1124" i="2"/>
  <c r="AO1123" i="2"/>
  <c r="AN1123" i="2"/>
  <c r="AJ1123" i="2"/>
  <c r="AK1123" i="2" s="1"/>
  <c r="AI1123" i="2"/>
  <c r="AO1122" i="2"/>
  <c r="AN1122" i="2"/>
  <c r="AJ1122" i="2"/>
  <c r="AK1122" i="2" s="1"/>
  <c r="AI1122" i="2"/>
  <c r="AO1121" i="2"/>
  <c r="AN1121" i="2"/>
  <c r="AJ1121" i="2"/>
  <c r="AK1121" i="2" s="1"/>
  <c r="AI1121" i="2"/>
  <c r="AO1120" i="2"/>
  <c r="AN1120" i="2"/>
  <c r="AJ1120" i="2"/>
  <c r="AK1120" i="2" s="1"/>
  <c r="AI1120" i="2"/>
  <c r="AO1119" i="2"/>
  <c r="AN1119" i="2"/>
  <c r="AJ1119" i="2"/>
  <c r="AK1119" i="2" s="1"/>
  <c r="AI1119" i="2"/>
  <c r="AO1118" i="2"/>
  <c r="AN1118" i="2"/>
  <c r="AJ1118" i="2"/>
  <c r="AK1118" i="2" s="1"/>
  <c r="AI1118" i="2"/>
  <c r="AO1117" i="2"/>
  <c r="AN1117" i="2"/>
  <c r="AJ1117" i="2"/>
  <c r="AK1117" i="2" s="1"/>
  <c r="AI1117" i="2"/>
  <c r="AO1116" i="2"/>
  <c r="AN1116" i="2"/>
  <c r="AJ1116" i="2"/>
  <c r="AK1116" i="2" s="1"/>
  <c r="AI1116" i="2"/>
  <c r="AO1115" i="2"/>
  <c r="AN1115" i="2"/>
  <c r="AJ1115" i="2"/>
  <c r="AK1115" i="2" s="1"/>
  <c r="AI1115" i="2"/>
  <c r="AO1114" i="2"/>
  <c r="AN1114" i="2"/>
  <c r="AJ1114" i="2"/>
  <c r="AK1114" i="2" s="1"/>
  <c r="AI1114" i="2"/>
  <c r="AO1113" i="2"/>
  <c r="AN1113" i="2"/>
  <c r="AJ1113" i="2"/>
  <c r="AK1113" i="2" s="1"/>
  <c r="AI1113" i="2"/>
  <c r="AO1112" i="2"/>
  <c r="AN1112" i="2"/>
  <c r="AJ1112" i="2"/>
  <c r="AK1112" i="2" s="1"/>
  <c r="AI1112" i="2"/>
  <c r="AO1111" i="2"/>
  <c r="AN1111" i="2"/>
  <c r="AJ1111" i="2"/>
  <c r="AK1111" i="2" s="1"/>
  <c r="AI1111" i="2"/>
  <c r="AO1110" i="2"/>
  <c r="AN1110" i="2"/>
  <c r="AJ1110" i="2"/>
  <c r="AK1110" i="2" s="1"/>
  <c r="AI1110" i="2"/>
  <c r="AO1109" i="2"/>
  <c r="AN1109" i="2"/>
  <c r="AJ1109" i="2"/>
  <c r="AK1109" i="2" s="1"/>
  <c r="AI1109" i="2"/>
  <c r="AO1108" i="2"/>
  <c r="AN1108" i="2"/>
  <c r="AJ1108" i="2"/>
  <c r="AK1108" i="2" s="1"/>
  <c r="AI1108" i="2"/>
  <c r="AO1107" i="2"/>
  <c r="AN1107" i="2"/>
  <c r="AJ1107" i="2"/>
  <c r="AK1107" i="2" s="1"/>
  <c r="AI1107" i="2"/>
  <c r="AO1106" i="2"/>
  <c r="AN1106" i="2"/>
  <c r="AJ1106" i="2"/>
  <c r="AK1106" i="2" s="1"/>
  <c r="AI1106" i="2"/>
  <c r="AO1105" i="2"/>
  <c r="AN1105" i="2"/>
  <c r="AJ1105" i="2"/>
  <c r="AK1105" i="2" s="1"/>
  <c r="AI1105" i="2"/>
  <c r="AO1104" i="2"/>
  <c r="AN1104" i="2"/>
  <c r="AJ1104" i="2"/>
  <c r="AK1104" i="2" s="1"/>
  <c r="AI1104" i="2"/>
  <c r="AO1103" i="2"/>
  <c r="AN1103" i="2"/>
  <c r="AJ1103" i="2"/>
  <c r="AK1103" i="2" s="1"/>
  <c r="AI1103" i="2"/>
  <c r="AO1102" i="2"/>
  <c r="AN1102" i="2"/>
  <c r="AJ1102" i="2"/>
  <c r="AK1102" i="2" s="1"/>
  <c r="AI1102" i="2"/>
  <c r="AO1101" i="2"/>
  <c r="AN1101" i="2"/>
  <c r="AJ1101" i="2"/>
  <c r="AK1101" i="2" s="1"/>
  <c r="AI1101" i="2"/>
  <c r="AO1100" i="2"/>
  <c r="AN1100" i="2"/>
  <c r="AJ1100" i="2"/>
  <c r="AK1100" i="2" s="1"/>
  <c r="AI1100" i="2"/>
  <c r="AO1099" i="2"/>
  <c r="AN1099" i="2"/>
  <c r="AJ1099" i="2"/>
  <c r="AK1099" i="2" s="1"/>
  <c r="AI1099" i="2"/>
  <c r="AO1098" i="2"/>
  <c r="AN1098" i="2"/>
  <c r="AJ1098" i="2"/>
  <c r="AK1098" i="2" s="1"/>
  <c r="AI1098" i="2"/>
  <c r="AO1097" i="2"/>
  <c r="AN1097" i="2"/>
  <c r="AJ1097" i="2"/>
  <c r="AK1097" i="2" s="1"/>
  <c r="AI1097" i="2"/>
  <c r="AO1096" i="2"/>
  <c r="AN1096" i="2"/>
  <c r="AJ1096" i="2"/>
  <c r="AK1096" i="2" s="1"/>
  <c r="AI1096" i="2"/>
  <c r="AO1095" i="2"/>
  <c r="AN1095" i="2"/>
  <c r="AJ1095" i="2"/>
  <c r="AK1095" i="2" s="1"/>
  <c r="AI1095" i="2"/>
  <c r="AO1094" i="2"/>
  <c r="AN1094" i="2"/>
  <c r="AJ1094" i="2"/>
  <c r="AK1094" i="2" s="1"/>
  <c r="AI1094" i="2"/>
  <c r="AO1093" i="2"/>
  <c r="AN1093" i="2"/>
  <c r="AJ1093" i="2"/>
  <c r="AK1093" i="2" s="1"/>
  <c r="AI1093" i="2"/>
  <c r="AO1092" i="2"/>
  <c r="AN1092" i="2"/>
  <c r="AJ1092" i="2"/>
  <c r="AK1092" i="2" s="1"/>
  <c r="AI1092" i="2"/>
  <c r="AO1091" i="2"/>
  <c r="AN1091" i="2"/>
  <c r="AJ1091" i="2"/>
  <c r="AK1091" i="2" s="1"/>
  <c r="AI1091" i="2"/>
  <c r="AO1090" i="2"/>
  <c r="AN1090" i="2"/>
  <c r="AJ1090" i="2"/>
  <c r="AK1090" i="2" s="1"/>
  <c r="AI1090" i="2"/>
  <c r="AO1089" i="2"/>
  <c r="AN1089" i="2"/>
  <c r="AJ1089" i="2"/>
  <c r="AK1089" i="2" s="1"/>
  <c r="AI1089" i="2"/>
  <c r="AO1088" i="2"/>
  <c r="AN1088" i="2"/>
  <c r="AJ1088" i="2"/>
  <c r="AK1088" i="2" s="1"/>
  <c r="AI1088" i="2"/>
  <c r="AO1087" i="2"/>
  <c r="AN1087" i="2"/>
  <c r="AJ1087" i="2"/>
  <c r="AK1087" i="2" s="1"/>
  <c r="AI1087" i="2"/>
  <c r="AO1086" i="2"/>
  <c r="AN1086" i="2"/>
  <c r="AJ1086" i="2"/>
  <c r="AK1086" i="2" s="1"/>
  <c r="AI1086" i="2"/>
  <c r="AO1085" i="2"/>
  <c r="AN1085" i="2"/>
  <c r="AJ1085" i="2"/>
  <c r="AK1085" i="2" s="1"/>
  <c r="AI1085" i="2"/>
  <c r="AO1084" i="2"/>
  <c r="AN1084" i="2"/>
  <c r="AJ1084" i="2"/>
  <c r="AK1084" i="2" s="1"/>
  <c r="AI1084" i="2"/>
  <c r="AO1083" i="2"/>
  <c r="AN1083" i="2"/>
  <c r="AJ1083" i="2"/>
  <c r="AK1083" i="2" s="1"/>
  <c r="AI1083" i="2"/>
  <c r="AO1082" i="2"/>
  <c r="AN1082" i="2"/>
  <c r="AJ1082" i="2"/>
  <c r="AK1082" i="2" s="1"/>
  <c r="AI1082" i="2"/>
  <c r="AO1081" i="2"/>
  <c r="AN1081" i="2"/>
  <c r="AJ1081" i="2"/>
  <c r="AK1081" i="2" s="1"/>
  <c r="AI1081" i="2"/>
  <c r="AO1080" i="2"/>
  <c r="AN1080" i="2"/>
  <c r="AJ1080" i="2"/>
  <c r="AK1080" i="2" s="1"/>
  <c r="AI1080" i="2"/>
  <c r="AO1079" i="2"/>
  <c r="AN1079" i="2"/>
  <c r="AJ1079" i="2"/>
  <c r="AK1079" i="2" s="1"/>
  <c r="AI1079" i="2"/>
  <c r="AO1078" i="2"/>
  <c r="AN1078" i="2"/>
  <c r="AJ1078" i="2"/>
  <c r="AK1078" i="2" s="1"/>
  <c r="AI1078" i="2"/>
  <c r="AO1077" i="2"/>
  <c r="AN1077" i="2"/>
  <c r="AJ1077" i="2"/>
  <c r="AK1077" i="2" s="1"/>
  <c r="AI1077" i="2"/>
  <c r="AO1076" i="2"/>
  <c r="AN1076" i="2"/>
  <c r="AJ1076" i="2"/>
  <c r="AK1076" i="2" s="1"/>
  <c r="AI1076" i="2"/>
  <c r="AO1075" i="2"/>
  <c r="AN1075" i="2"/>
  <c r="AJ1075" i="2"/>
  <c r="AK1075" i="2" s="1"/>
  <c r="AI1075" i="2"/>
  <c r="AO1074" i="2"/>
  <c r="AN1074" i="2"/>
  <c r="AJ1074" i="2"/>
  <c r="AK1074" i="2" s="1"/>
  <c r="AI1074" i="2"/>
  <c r="AO1073" i="2"/>
  <c r="AN1073" i="2"/>
  <c r="AJ1073" i="2"/>
  <c r="AK1073" i="2" s="1"/>
  <c r="AI1073" i="2"/>
  <c r="AO1072" i="2"/>
  <c r="AN1072" i="2"/>
  <c r="AJ1072" i="2"/>
  <c r="AK1072" i="2" s="1"/>
  <c r="AI1072" i="2"/>
  <c r="AO1071" i="2"/>
  <c r="AN1071" i="2"/>
  <c r="AJ1071" i="2"/>
  <c r="AK1071" i="2" s="1"/>
  <c r="AI1071" i="2"/>
  <c r="AO1070" i="2"/>
  <c r="AN1070" i="2"/>
  <c r="AJ1070" i="2"/>
  <c r="AK1070" i="2" s="1"/>
  <c r="AI1070" i="2"/>
  <c r="AO1069" i="2"/>
  <c r="AN1069" i="2"/>
  <c r="AJ1069" i="2"/>
  <c r="AK1069" i="2" s="1"/>
  <c r="AI1069" i="2"/>
  <c r="AO1068" i="2"/>
  <c r="AN1068" i="2"/>
  <c r="AJ1068" i="2"/>
  <c r="AK1068" i="2" s="1"/>
  <c r="AI1068" i="2"/>
  <c r="AO1067" i="2"/>
  <c r="AN1067" i="2"/>
  <c r="AJ1067" i="2"/>
  <c r="AK1067" i="2" s="1"/>
  <c r="AI1067" i="2"/>
  <c r="AO1066" i="2"/>
  <c r="AN1066" i="2"/>
  <c r="AJ1066" i="2"/>
  <c r="AK1066" i="2" s="1"/>
  <c r="AI1066" i="2"/>
  <c r="AO1065" i="2"/>
  <c r="AN1065" i="2"/>
  <c r="AJ1065" i="2"/>
  <c r="AK1065" i="2" s="1"/>
  <c r="AI1065" i="2"/>
  <c r="AO1064" i="2"/>
  <c r="AN1064" i="2"/>
  <c r="AJ1064" i="2"/>
  <c r="AK1064" i="2" s="1"/>
  <c r="AI1064" i="2"/>
  <c r="AO1063" i="2"/>
  <c r="AN1063" i="2"/>
  <c r="AJ1063" i="2"/>
  <c r="AK1063" i="2" s="1"/>
  <c r="AI1063" i="2"/>
  <c r="AO1062" i="2"/>
  <c r="AN1062" i="2"/>
  <c r="AJ1062" i="2"/>
  <c r="AK1062" i="2" s="1"/>
  <c r="AI1062" i="2"/>
  <c r="AO1061" i="2"/>
  <c r="AN1061" i="2"/>
  <c r="AJ1061" i="2"/>
  <c r="AK1061" i="2" s="1"/>
  <c r="AI1061" i="2"/>
  <c r="AO1060" i="2"/>
  <c r="AN1060" i="2"/>
  <c r="AJ1060" i="2"/>
  <c r="AK1060" i="2" s="1"/>
  <c r="AI1060" i="2"/>
  <c r="AO1059" i="2"/>
  <c r="AN1059" i="2"/>
  <c r="AJ1059" i="2"/>
  <c r="AK1059" i="2" s="1"/>
  <c r="AI1059" i="2"/>
  <c r="AO1058" i="2"/>
  <c r="AN1058" i="2"/>
  <c r="AJ1058" i="2"/>
  <c r="AK1058" i="2" s="1"/>
  <c r="AI1058" i="2"/>
  <c r="AO1057" i="2"/>
  <c r="AN1057" i="2"/>
  <c r="AJ1057" i="2"/>
  <c r="AK1057" i="2" s="1"/>
  <c r="AI1057" i="2"/>
  <c r="AO1056" i="2"/>
  <c r="AN1056" i="2"/>
  <c r="AJ1056" i="2"/>
  <c r="AK1056" i="2" s="1"/>
  <c r="AI1056" i="2"/>
  <c r="AO1055" i="2"/>
  <c r="AN1055" i="2"/>
  <c r="AJ1055" i="2"/>
  <c r="AK1055" i="2" s="1"/>
  <c r="AI1055" i="2"/>
  <c r="AO1054" i="2"/>
  <c r="AN1054" i="2"/>
  <c r="AJ1054" i="2"/>
  <c r="AK1054" i="2" s="1"/>
  <c r="AI1054" i="2"/>
  <c r="AO1053" i="2"/>
  <c r="AN1053" i="2"/>
  <c r="AJ1053" i="2"/>
  <c r="AK1053" i="2" s="1"/>
  <c r="AI1053" i="2"/>
  <c r="AO1052" i="2"/>
  <c r="AN1052" i="2"/>
  <c r="AJ1052" i="2"/>
  <c r="AK1052" i="2" s="1"/>
  <c r="AI1052" i="2"/>
  <c r="AO1051" i="2"/>
  <c r="AN1051" i="2"/>
  <c r="AJ1051" i="2"/>
  <c r="AK1051" i="2" s="1"/>
  <c r="AI1051" i="2"/>
  <c r="AO1050" i="2"/>
  <c r="AN1050" i="2"/>
  <c r="AJ1050" i="2"/>
  <c r="AK1050" i="2" s="1"/>
  <c r="AI1050" i="2"/>
  <c r="AO1049" i="2"/>
  <c r="AN1049" i="2"/>
  <c r="AJ1049" i="2"/>
  <c r="AK1049" i="2" s="1"/>
  <c r="AI1049" i="2"/>
  <c r="AO1048" i="2"/>
  <c r="AN1048" i="2"/>
  <c r="AJ1048" i="2"/>
  <c r="AK1048" i="2" s="1"/>
  <c r="AI1048" i="2"/>
  <c r="AO1047" i="2"/>
  <c r="AN1047" i="2"/>
  <c r="AJ1047" i="2"/>
  <c r="AK1047" i="2" s="1"/>
  <c r="AI1047" i="2"/>
  <c r="AO1046" i="2"/>
  <c r="AN1046" i="2"/>
  <c r="AJ1046" i="2"/>
  <c r="AK1046" i="2" s="1"/>
  <c r="AI1046" i="2"/>
  <c r="AO1045" i="2"/>
  <c r="AN1045" i="2"/>
  <c r="AJ1045" i="2"/>
  <c r="AK1045" i="2" s="1"/>
  <c r="AI1045" i="2"/>
  <c r="AO1044" i="2"/>
  <c r="AN1044" i="2"/>
  <c r="AJ1044" i="2"/>
  <c r="AK1044" i="2" s="1"/>
  <c r="AI1044" i="2"/>
  <c r="AO1043" i="2"/>
  <c r="AN1043" i="2"/>
  <c r="AJ1043" i="2"/>
  <c r="AK1043" i="2" s="1"/>
  <c r="AI1043" i="2"/>
  <c r="AO1042" i="2"/>
  <c r="AN1042" i="2"/>
  <c r="AJ1042" i="2"/>
  <c r="AK1042" i="2" s="1"/>
  <c r="AI1042" i="2"/>
  <c r="AO1041" i="2"/>
  <c r="AN1041" i="2"/>
  <c r="AJ1041" i="2"/>
  <c r="AK1041" i="2" s="1"/>
  <c r="AI1041" i="2"/>
  <c r="AO1040" i="2"/>
  <c r="AN1040" i="2"/>
  <c r="AJ1040" i="2"/>
  <c r="AK1040" i="2" s="1"/>
  <c r="AI1040" i="2"/>
  <c r="AO1039" i="2"/>
  <c r="AN1039" i="2"/>
  <c r="AJ1039" i="2"/>
  <c r="AK1039" i="2" s="1"/>
  <c r="AI1039" i="2"/>
  <c r="AO1038" i="2"/>
  <c r="AN1038" i="2"/>
  <c r="AJ1038" i="2"/>
  <c r="AK1038" i="2" s="1"/>
  <c r="AI1038" i="2"/>
  <c r="AO1037" i="2"/>
  <c r="AN1037" i="2"/>
  <c r="AJ1037" i="2"/>
  <c r="AK1037" i="2" s="1"/>
  <c r="AI1037" i="2"/>
  <c r="AO1036" i="2"/>
  <c r="AN1036" i="2"/>
  <c r="AJ1036" i="2"/>
  <c r="AK1036" i="2" s="1"/>
  <c r="AI1036" i="2"/>
  <c r="AO1035" i="2"/>
  <c r="AN1035" i="2"/>
  <c r="AJ1035" i="2"/>
  <c r="AK1035" i="2" s="1"/>
  <c r="AI1035" i="2"/>
  <c r="AO1034" i="2"/>
  <c r="AN1034" i="2"/>
  <c r="AJ1034" i="2"/>
  <c r="AK1034" i="2" s="1"/>
  <c r="AI1034" i="2"/>
  <c r="AO1033" i="2"/>
  <c r="AN1033" i="2"/>
  <c r="AJ1033" i="2"/>
  <c r="AK1033" i="2" s="1"/>
  <c r="AI1033" i="2"/>
  <c r="AO1032" i="2"/>
  <c r="AN1032" i="2"/>
  <c r="AJ1032" i="2"/>
  <c r="AK1032" i="2" s="1"/>
  <c r="AI1032" i="2"/>
  <c r="AO1031" i="2"/>
  <c r="AN1031" i="2"/>
  <c r="AJ1031" i="2"/>
  <c r="AK1031" i="2" s="1"/>
  <c r="AI1031" i="2"/>
  <c r="AO1030" i="2"/>
  <c r="AN1030" i="2"/>
  <c r="AJ1030" i="2"/>
  <c r="AK1030" i="2" s="1"/>
  <c r="AI1030" i="2"/>
  <c r="AO1029" i="2"/>
  <c r="AN1029" i="2"/>
  <c r="AJ1029" i="2"/>
  <c r="AK1029" i="2" s="1"/>
  <c r="AI1029" i="2"/>
  <c r="AO1028" i="2"/>
  <c r="AN1028" i="2"/>
  <c r="AJ1028" i="2"/>
  <c r="AK1028" i="2" s="1"/>
  <c r="AI1028" i="2"/>
  <c r="AO1027" i="2"/>
  <c r="AN1027" i="2"/>
  <c r="AJ1027" i="2"/>
  <c r="AK1027" i="2" s="1"/>
  <c r="AI1027" i="2"/>
  <c r="AO1026" i="2"/>
  <c r="AN1026" i="2"/>
  <c r="AJ1026" i="2"/>
  <c r="AK1026" i="2" s="1"/>
  <c r="AI1026" i="2"/>
  <c r="AO1025" i="2"/>
  <c r="AN1025" i="2"/>
  <c r="AJ1025" i="2"/>
  <c r="AK1025" i="2" s="1"/>
  <c r="AI1025" i="2"/>
  <c r="AO1024" i="2"/>
  <c r="AN1024" i="2"/>
  <c r="AJ1024" i="2"/>
  <c r="AK1024" i="2" s="1"/>
  <c r="AI1024" i="2"/>
  <c r="AO1023" i="2"/>
  <c r="AN1023" i="2"/>
  <c r="AJ1023" i="2"/>
  <c r="AK1023" i="2" s="1"/>
  <c r="AI1023" i="2"/>
  <c r="AO1022" i="2"/>
  <c r="AN1022" i="2"/>
  <c r="AJ1022" i="2"/>
  <c r="AK1022" i="2" s="1"/>
  <c r="AI1022" i="2"/>
  <c r="AO1021" i="2"/>
  <c r="AN1021" i="2"/>
  <c r="AJ1021" i="2"/>
  <c r="AK1021" i="2" s="1"/>
  <c r="AI1021" i="2"/>
  <c r="AO1020" i="2"/>
  <c r="AN1020" i="2"/>
  <c r="AJ1020" i="2"/>
  <c r="AK1020" i="2" s="1"/>
  <c r="AI1020" i="2"/>
  <c r="AO1019" i="2"/>
  <c r="AN1019" i="2"/>
  <c r="AJ1019" i="2"/>
  <c r="AK1019" i="2" s="1"/>
  <c r="AI1019" i="2"/>
  <c r="AO1018" i="2"/>
  <c r="AN1018" i="2"/>
  <c r="AJ1018" i="2"/>
  <c r="AK1018" i="2" s="1"/>
  <c r="AI1018" i="2"/>
  <c r="AO1017" i="2"/>
  <c r="AN1017" i="2"/>
  <c r="AJ1017" i="2"/>
  <c r="AK1017" i="2" s="1"/>
  <c r="AI1017" i="2"/>
  <c r="AO1016" i="2"/>
  <c r="AN1016" i="2"/>
  <c r="AJ1016" i="2"/>
  <c r="AK1016" i="2" s="1"/>
  <c r="AI1016" i="2"/>
  <c r="AO1015" i="2"/>
  <c r="AN1015" i="2"/>
  <c r="AJ1015" i="2"/>
  <c r="AK1015" i="2" s="1"/>
  <c r="AI1015" i="2"/>
  <c r="AO1014" i="2"/>
  <c r="AN1014" i="2"/>
  <c r="AJ1014" i="2"/>
  <c r="AK1014" i="2" s="1"/>
  <c r="AI1014" i="2"/>
  <c r="AO1013" i="2"/>
  <c r="AN1013" i="2"/>
  <c r="AJ1013" i="2"/>
  <c r="AK1013" i="2" s="1"/>
  <c r="AI1013" i="2"/>
  <c r="AO1012" i="2"/>
  <c r="AN1012" i="2"/>
  <c r="AJ1012" i="2"/>
  <c r="AK1012" i="2" s="1"/>
  <c r="AI1012" i="2"/>
  <c r="AO1011" i="2"/>
  <c r="AN1011" i="2"/>
  <c r="AJ1011" i="2"/>
  <c r="AK1011" i="2" s="1"/>
  <c r="AI1011" i="2"/>
  <c r="AO1010" i="2"/>
  <c r="AN1010" i="2"/>
  <c r="AJ1010" i="2"/>
  <c r="AK1010" i="2" s="1"/>
  <c r="AI1010" i="2"/>
  <c r="AO1009" i="2"/>
  <c r="AN1009" i="2"/>
  <c r="AJ1009" i="2"/>
  <c r="AK1009" i="2" s="1"/>
  <c r="AI1009" i="2"/>
  <c r="AO1008" i="2"/>
  <c r="AN1008" i="2"/>
  <c r="AJ1008" i="2"/>
  <c r="AK1008" i="2" s="1"/>
  <c r="AI1008" i="2"/>
  <c r="AO1007" i="2"/>
  <c r="AN1007" i="2"/>
  <c r="AJ1007" i="2"/>
  <c r="AK1007" i="2" s="1"/>
  <c r="AI1007" i="2"/>
  <c r="AO1006" i="2"/>
  <c r="AN1006" i="2"/>
  <c r="AJ1006" i="2"/>
  <c r="AK1006" i="2" s="1"/>
  <c r="AI1006" i="2"/>
  <c r="AO1005" i="2"/>
  <c r="AN1005" i="2"/>
  <c r="AJ1005" i="2"/>
  <c r="AK1005" i="2" s="1"/>
  <c r="AI1005" i="2"/>
  <c r="AO1004" i="2"/>
  <c r="AN1004" i="2"/>
  <c r="AJ1004" i="2"/>
  <c r="AK1004" i="2" s="1"/>
  <c r="AI1004" i="2"/>
  <c r="AO1003" i="2"/>
  <c r="AN1003" i="2"/>
  <c r="AJ1003" i="2"/>
  <c r="AK1003" i="2" s="1"/>
  <c r="AI1003" i="2"/>
  <c r="AO1002" i="2"/>
  <c r="AN1002" i="2"/>
  <c r="AJ1002" i="2"/>
  <c r="AK1002" i="2" s="1"/>
  <c r="AI1002" i="2"/>
  <c r="AO1001" i="2"/>
  <c r="AN1001" i="2"/>
  <c r="AJ1001" i="2"/>
  <c r="AK1001" i="2" s="1"/>
  <c r="AI1001" i="2"/>
  <c r="AO1000" i="2"/>
  <c r="AN1000" i="2"/>
  <c r="AJ1000" i="2"/>
  <c r="AK1000" i="2" s="1"/>
  <c r="AI1000" i="2"/>
  <c r="AO999" i="2"/>
  <c r="AN999" i="2"/>
  <c r="AJ999" i="2"/>
  <c r="AK999" i="2" s="1"/>
  <c r="AI999" i="2"/>
  <c r="AO998" i="2"/>
  <c r="AN998" i="2"/>
  <c r="AJ998" i="2"/>
  <c r="AK998" i="2" s="1"/>
  <c r="AI998" i="2"/>
  <c r="AO997" i="2"/>
  <c r="AN997" i="2"/>
  <c r="AJ997" i="2"/>
  <c r="AK997" i="2" s="1"/>
  <c r="AI997" i="2"/>
  <c r="AO996" i="2"/>
  <c r="AN996" i="2"/>
  <c r="AJ996" i="2"/>
  <c r="AK996" i="2" s="1"/>
  <c r="AI996" i="2"/>
  <c r="AO995" i="2"/>
  <c r="AN995" i="2"/>
  <c r="AJ995" i="2"/>
  <c r="AK995" i="2" s="1"/>
  <c r="AI995" i="2"/>
  <c r="AO994" i="2"/>
  <c r="AN994" i="2"/>
  <c r="AJ994" i="2"/>
  <c r="AK994" i="2" s="1"/>
  <c r="AI994" i="2"/>
  <c r="AO993" i="2"/>
  <c r="AN993" i="2"/>
  <c r="AJ993" i="2"/>
  <c r="AK993" i="2" s="1"/>
  <c r="AI993" i="2"/>
  <c r="AO992" i="2"/>
  <c r="AN992" i="2"/>
  <c r="AJ992" i="2"/>
  <c r="AK992" i="2" s="1"/>
  <c r="AI992" i="2"/>
  <c r="AO991" i="2"/>
  <c r="AN991" i="2"/>
  <c r="AJ991" i="2"/>
  <c r="AK991" i="2" s="1"/>
  <c r="AI991" i="2"/>
  <c r="AO990" i="2"/>
  <c r="AN990" i="2"/>
  <c r="AJ990" i="2"/>
  <c r="AK990" i="2" s="1"/>
  <c r="AI990" i="2"/>
  <c r="AO989" i="2"/>
  <c r="AN989" i="2"/>
  <c r="AJ989" i="2"/>
  <c r="AK989" i="2" s="1"/>
  <c r="AI989" i="2"/>
  <c r="AO988" i="2"/>
  <c r="AN988" i="2"/>
  <c r="AJ988" i="2"/>
  <c r="AK988" i="2" s="1"/>
  <c r="AI988" i="2"/>
  <c r="AO987" i="2"/>
  <c r="AN987" i="2"/>
  <c r="AJ987" i="2"/>
  <c r="AK987" i="2" s="1"/>
  <c r="AI987" i="2"/>
  <c r="AO986" i="2"/>
  <c r="AN986" i="2"/>
  <c r="AJ986" i="2"/>
  <c r="AK986" i="2" s="1"/>
  <c r="AI986" i="2"/>
  <c r="AO985" i="2"/>
  <c r="AN985" i="2"/>
  <c r="AJ985" i="2"/>
  <c r="AK985" i="2" s="1"/>
  <c r="AI985" i="2"/>
  <c r="AO984" i="2"/>
  <c r="AN984" i="2"/>
  <c r="AJ984" i="2"/>
  <c r="AK984" i="2" s="1"/>
  <c r="AI984" i="2"/>
  <c r="AO983" i="2"/>
  <c r="AN983" i="2"/>
  <c r="AJ983" i="2"/>
  <c r="AK983" i="2" s="1"/>
  <c r="AI983" i="2"/>
  <c r="AO982" i="2"/>
  <c r="AN982" i="2"/>
  <c r="AJ982" i="2"/>
  <c r="AK982" i="2" s="1"/>
  <c r="AI982" i="2"/>
  <c r="AO981" i="2"/>
  <c r="AN981" i="2"/>
  <c r="AJ981" i="2"/>
  <c r="AK981" i="2" s="1"/>
  <c r="AI981" i="2"/>
  <c r="AO980" i="2"/>
  <c r="AN980" i="2"/>
  <c r="AJ980" i="2"/>
  <c r="AK980" i="2" s="1"/>
  <c r="AI980" i="2"/>
  <c r="AO979" i="2"/>
  <c r="AN979" i="2"/>
  <c r="AJ979" i="2"/>
  <c r="AK979" i="2" s="1"/>
  <c r="AI979" i="2"/>
  <c r="AO978" i="2"/>
  <c r="AN978" i="2"/>
  <c r="AJ978" i="2"/>
  <c r="AK978" i="2" s="1"/>
  <c r="AI978" i="2"/>
  <c r="AO977" i="2"/>
  <c r="AN977" i="2"/>
  <c r="AJ977" i="2"/>
  <c r="AK977" i="2" s="1"/>
  <c r="AI977" i="2"/>
  <c r="AO976" i="2"/>
  <c r="AN976" i="2"/>
  <c r="AJ976" i="2"/>
  <c r="AK976" i="2" s="1"/>
  <c r="AI976" i="2"/>
  <c r="AO975" i="2"/>
  <c r="AN975" i="2"/>
  <c r="AJ975" i="2"/>
  <c r="AK975" i="2" s="1"/>
  <c r="AI975" i="2"/>
  <c r="AO974" i="2"/>
  <c r="AN974" i="2"/>
  <c r="AJ974" i="2"/>
  <c r="AK974" i="2" s="1"/>
  <c r="AI974" i="2"/>
  <c r="AO973" i="2"/>
  <c r="AN973" i="2"/>
  <c r="AJ973" i="2"/>
  <c r="AK973" i="2" s="1"/>
  <c r="AI973" i="2"/>
  <c r="AO972" i="2"/>
  <c r="AN972" i="2"/>
  <c r="AJ972" i="2"/>
  <c r="AK972" i="2" s="1"/>
  <c r="AI972" i="2"/>
  <c r="AO971" i="2"/>
  <c r="AN971" i="2"/>
  <c r="AJ971" i="2"/>
  <c r="AK971" i="2" s="1"/>
  <c r="AI971" i="2"/>
  <c r="AO970" i="2"/>
  <c r="AN970" i="2"/>
  <c r="AJ970" i="2"/>
  <c r="AK970" i="2" s="1"/>
  <c r="AI970" i="2"/>
  <c r="AO969" i="2"/>
  <c r="AN969" i="2"/>
  <c r="AJ969" i="2"/>
  <c r="AK969" i="2" s="1"/>
  <c r="AI969" i="2"/>
  <c r="AO968" i="2"/>
  <c r="AN968" i="2"/>
  <c r="AJ968" i="2"/>
  <c r="AK968" i="2" s="1"/>
  <c r="AI968" i="2"/>
  <c r="AO967" i="2"/>
  <c r="AN967" i="2"/>
  <c r="AJ967" i="2"/>
  <c r="AK967" i="2" s="1"/>
  <c r="AI967" i="2"/>
  <c r="AO966" i="2"/>
  <c r="AN966" i="2"/>
  <c r="AJ966" i="2"/>
  <c r="AK966" i="2" s="1"/>
  <c r="AI966" i="2"/>
  <c r="AO965" i="2"/>
  <c r="AN965" i="2"/>
  <c r="AJ965" i="2"/>
  <c r="AK965" i="2" s="1"/>
  <c r="AI965" i="2"/>
  <c r="AO964" i="2"/>
  <c r="AN964" i="2"/>
  <c r="AJ964" i="2"/>
  <c r="AK964" i="2" s="1"/>
  <c r="AI964" i="2"/>
  <c r="AO963" i="2"/>
  <c r="AN963" i="2"/>
  <c r="AJ963" i="2"/>
  <c r="AK963" i="2" s="1"/>
  <c r="AI963" i="2"/>
  <c r="AO962" i="2"/>
  <c r="AN962" i="2"/>
  <c r="AJ962" i="2"/>
  <c r="AK962" i="2" s="1"/>
  <c r="AI962" i="2"/>
  <c r="AO961" i="2"/>
  <c r="AN961" i="2"/>
  <c r="AJ961" i="2"/>
  <c r="AK961" i="2" s="1"/>
  <c r="AI961" i="2"/>
  <c r="AO960" i="2"/>
  <c r="AN960" i="2"/>
  <c r="AJ960" i="2"/>
  <c r="AK960" i="2" s="1"/>
  <c r="AI960" i="2"/>
  <c r="AO959" i="2"/>
  <c r="AN959" i="2"/>
  <c r="AJ959" i="2"/>
  <c r="AK959" i="2" s="1"/>
  <c r="AI959" i="2"/>
  <c r="AO958" i="2"/>
  <c r="AN958" i="2"/>
  <c r="AJ958" i="2"/>
  <c r="AK958" i="2" s="1"/>
  <c r="AI958" i="2"/>
  <c r="AO957" i="2"/>
  <c r="AN957" i="2"/>
  <c r="AJ957" i="2"/>
  <c r="AK957" i="2" s="1"/>
  <c r="AI957" i="2"/>
  <c r="AO956" i="2"/>
  <c r="AN956" i="2"/>
  <c r="AJ956" i="2"/>
  <c r="AK956" i="2" s="1"/>
  <c r="AI956" i="2"/>
  <c r="AO955" i="2"/>
  <c r="AN955" i="2"/>
  <c r="AJ955" i="2"/>
  <c r="AK955" i="2" s="1"/>
  <c r="AI955" i="2"/>
  <c r="AO954" i="2"/>
  <c r="AN954" i="2"/>
  <c r="AJ954" i="2"/>
  <c r="AK954" i="2" s="1"/>
  <c r="AI954" i="2"/>
  <c r="AO953" i="2"/>
  <c r="AN953" i="2"/>
  <c r="AJ953" i="2"/>
  <c r="AK953" i="2" s="1"/>
  <c r="AI953" i="2"/>
  <c r="AO952" i="2"/>
  <c r="AN952" i="2"/>
  <c r="AJ952" i="2"/>
  <c r="AK952" i="2" s="1"/>
  <c r="AI952" i="2"/>
  <c r="AO951" i="2"/>
  <c r="AN951" i="2"/>
  <c r="AJ951" i="2"/>
  <c r="AK951" i="2" s="1"/>
  <c r="AI951" i="2"/>
  <c r="AO950" i="2"/>
  <c r="AN950" i="2"/>
  <c r="AJ950" i="2"/>
  <c r="AK950" i="2" s="1"/>
  <c r="AI950" i="2"/>
  <c r="AO949" i="2"/>
  <c r="AN949" i="2"/>
  <c r="AJ949" i="2"/>
  <c r="AK949" i="2" s="1"/>
  <c r="AI949" i="2"/>
  <c r="AO948" i="2"/>
  <c r="AN948" i="2"/>
  <c r="AJ948" i="2"/>
  <c r="AK948" i="2" s="1"/>
  <c r="AI948" i="2"/>
  <c r="AO947" i="2"/>
  <c r="AN947" i="2"/>
  <c r="AJ947" i="2"/>
  <c r="AK947" i="2" s="1"/>
  <c r="AI947" i="2"/>
  <c r="AO946" i="2"/>
  <c r="AN946" i="2"/>
  <c r="AJ946" i="2"/>
  <c r="AK946" i="2" s="1"/>
  <c r="AI946" i="2"/>
  <c r="AO945" i="2"/>
  <c r="AN945" i="2"/>
  <c r="AJ945" i="2"/>
  <c r="AK945" i="2" s="1"/>
  <c r="AI945" i="2"/>
  <c r="AO944" i="2"/>
  <c r="AN944" i="2"/>
  <c r="AJ944" i="2"/>
  <c r="AK944" i="2" s="1"/>
  <c r="AI944" i="2"/>
  <c r="AO943" i="2"/>
  <c r="AN943" i="2"/>
  <c r="AJ943" i="2"/>
  <c r="AK943" i="2" s="1"/>
  <c r="AI943" i="2"/>
  <c r="AO942" i="2"/>
  <c r="AN942" i="2"/>
  <c r="AJ942" i="2"/>
  <c r="AK942" i="2" s="1"/>
  <c r="AI942" i="2"/>
  <c r="AO941" i="2"/>
  <c r="AN941" i="2"/>
  <c r="AJ941" i="2"/>
  <c r="AK941" i="2" s="1"/>
  <c r="AI941" i="2"/>
  <c r="AO940" i="2"/>
  <c r="AN940" i="2"/>
  <c r="AJ940" i="2"/>
  <c r="AK940" i="2" s="1"/>
  <c r="AI940" i="2"/>
  <c r="AO939" i="2"/>
  <c r="AN939" i="2"/>
  <c r="AJ939" i="2"/>
  <c r="AK939" i="2" s="1"/>
  <c r="AI939" i="2"/>
  <c r="AO938" i="2"/>
  <c r="AN938" i="2"/>
  <c r="AJ938" i="2"/>
  <c r="AK938" i="2" s="1"/>
  <c r="AI938" i="2"/>
  <c r="AO937" i="2"/>
  <c r="AN937" i="2"/>
  <c r="AJ937" i="2"/>
  <c r="AK937" i="2" s="1"/>
  <c r="AI937" i="2"/>
  <c r="AO936" i="2"/>
  <c r="AN936" i="2"/>
  <c r="AJ936" i="2"/>
  <c r="AK936" i="2" s="1"/>
  <c r="AI936" i="2"/>
  <c r="AO935" i="2"/>
  <c r="AN935" i="2"/>
  <c r="AJ935" i="2"/>
  <c r="AK935" i="2" s="1"/>
  <c r="AI935" i="2"/>
  <c r="AO934" i="2"/>
  <c r="AN934" i="2"/>
  <c r="AJ934" i="2"/>
  <c r="AK934" i="2" s="1"/>
  <c r="AI934" i="2"/>
  <c r="AO933" i="2"/>
  <c r="AN933" i="2"/>
  <c r="AJ933" i="2"/>
  <c r="AK933" i="2" s="1"/>
  <c r="AI933" i="2"/>
  <c r="AO932" i="2"/>
  <c r="AN932" i="2"/>
  <c r="AJ932" i="2"/>
  <c r="AK932" i="2" s="1"/>
  <c r="AI932" i="2"/>
  <c r="AO931" i="2"/>
  <c r="AN931" i="2"/>
  <c r="AJ931" i="2"/>
  <c r="AK931" i="2" s="1"/>
  <c r="AI931" i="2"/>
  <c r="AO930" i="2"/>
  <c r="AN930" i="2"/>
  <c r="AJ930" i="2"/>
  <c r="AK930" i="2" s="1"/>
  <c r="AI930" i="2"/>
  <c r="AO929" i="2"/>
  <c r="AN929" i="2"/>
  <c r="AJ929" i="2"/>
  <c r="AK929" i="2" s="1"/>
  <c r="AI929" i="2"/>
  <c r="AO928" i="2"/>
  <c r="AN928" i="2"/>
  <c r="AJ928" i="2"/>
  <c r="AK928" i="2" s="1"/>
  <c r="AI928" i="2"/>
  <c r="AO927" i="2"/>
  <c r="AN927" i="2"/>
  <c r="AJ927" i="2"/>
  <c r="AK927" i="2" s="1"/>
  <c r="AI927" i="2"/>
  <c r="AO926" i="2"/>
  <c r="AN926" i="2"/>
  <c r="AJ926" i="2"/>
  <c r="AK926" i="2" s="1"/>
  <c r="AI926" i="2"/>
  <c r="AO925" i="2"/>
  <c r="AN925" i="2"/>
  <c r="AJ925" i="2"/>
  <c r="AK925" i="2" s="1"/>
  <c r="AI925" i="2"/>
  <c r="AO924" i="2"/>
  <c r="AN924" i="2"/>
  <c r="AJ924" i="2"/>
  <c r="AK924" i="2" s="1"/>
  <c r="AI924" i="2"/>
  <c r="AO923" i="2"/>
  <c r="AN923" i="2"/>
  <c r="AJ923" i="2"/>
  <c r="AK923" i="2" s="1"/>
  <c r="AI923" i="2"/>
  <c r="AO922" i="2"/>
  <c r="AN922" i="2"/>
  <c r="AJ922" i="2"/>
  <c r="AK922" i="2" s="1"/>
  <c r="AI922" i="2"/>
  <c r="AO921" i="2"/>
  <c r="AN921" i="2"/>
  <c r="AJ921" i="2"/>
  <c r="AK921" i="2" s="1"/>
  <c r="AI921" i="2"/>
  <c r="AO920" i="2"/>
  <c r="AN920" i="2"/>
  <c r="AJ920" i="2"/>
  <c r="AK920" i="2" s="1"/>
  <c r="AI920" i="2"/>
  <c r="AO919" i="2"/>
  <c r="AN919" i="2"/>
  <c r="AJ919" i="2"/>
  <c r="AK919" i="2" s="1"/>
  <c r="AI919" i="2"/>
  <c r="AO918" i="2"/>
  <c r="AN918" i="2"/>
  <c r="AJ918" i="2"/>
  <c r="AK918" i="2" s="1"/>
  <c r="AI918" i="2"/>
  <c r="AO917" i="2"/>
  <c r="AN917" i="2"/>
  <c r="AJ917" i="2"/>
  <c r="AK917" i="2" s="1"/>
  <c r="AI917" i="2"/>
  <c r="AO916" i="2"/>
  <c r="AN916" i="2"/>
  <c r="AJ916" i="2"/>
  <c r="AK916" i="2" s="1"/>
  <c r="AI916" i="2"/>
  <c r="AO915" i="2"/>
  <c r="AN915" i="2"/>
  <c r="AJ915" i="2"/>
  <c r="AK915" i="2" s="1"/>
  <c r="AI915" i="2"/>
  <c r="AO914" i="2"/>
  <c r="AN914" i="2"/>
  <c r="AJ914" i="2"/>
  <c r="AK914" i="2" s="1"/>
  <c r="AI914" i="2"/>
  <c r="AO913" i="2"/>
  <c r="AN913" i="2"/>
  <c r="AJ913" i="2"/>
  <c r="AK913" i="2" s="1"/>
  <c r="AI913" i="2"/>
  <c r="AO912" i="2"/>
  <c r="AN912" i="2"/>
  <c r="AJ912" i="2"/>
  <c r="AK912" i="2" s="1"/>
  <c r="AI912" i="2"/>
  <c r="AO911" i="2"/>
  <c r="AN911" i="2"/>
  <c r="AJ911" i="2"/>
  <c r="AK911" i="2" s="1"/>
  <c r="AI911" i="2"/>
  <c r="AO910" i="2"/>
  <c r="AN910" i="2"/>
  <c r="AJ910" i="2"/>
  <c r="AK910" i="2" s="1"/>
  <c r="AI910" i="2"/>
  <c r="AO909" i="2"/>
  <c r="AN909" i="2"/>
  <c r="AJ909" i="2"/>
  <c r="AK909" i="2" s="1"/>
  <c r="AI909" i="2"/>
  <c r="AO908" i="2"/>
  <c r="AN908" i="2"/>
  <c r="AJ908" i="2"/>
  <c r="AK908" i="2" s="1"/>
  <c r="AI908" i="2"/>
  <c r="AO907" i="2"/>
  <c r="AN907" i="2"/>
  <c r="AJ907" i="2"/>
  <c r="AK907" i="2" s="1"/>
  <c r="AI907" i="2"/>
  <c r="AO906" i="2"/>
  <c r="AN906" i="2"/>
  <c r="AJ906" i="2"/>
  <c r="AK906" i="2" s="1"/>
  <c r="AI906" i="2"/>
  <c r="AO905" i="2"/>
  <c r="AN905" i="2"/>
  <c r="AJ905" i="2"/>
  <c r="AK905" i="2" s="1"/>
  <c r="AI905" i="2"/>
  <c r="AO904" i="2"/>
  <c r="AN904" i="2"/>
  <c r="AJ904" i="2"/>
  <c r="AK904" i="2" s="1"/>
  <c r="AI904" i="2"/>
  <c r="AO903" i="2"/>
  <c r="AN903" i="2"/>
  <c r="AJ903" i="2"/>
  <c r="AK903" i="2" s="1"/>
  <c r="AI903" i="2"/>
  <c r="AO902" i="2"/>
  <c r="AN902" i="2"/>
  <c r="AJ902" i="2"/>
  <c r="AK902" i="2" s="1"/>
  <c r="AI902" i="2"/>
  <c r="AO901" i="2"/>
  <c r="AN901" i="2"/>
  <c r="AJ901" i="2"/>
  <c r="AK901" i="2" s="1"/>
  <c r="AI901" i="2"/>
  <c r="AO900" i="2"/>
  <c r="AN900" i="2"/>
  <c r="AJ900" i="2"/>
  <c r="AK900" i="2" s="1"/>
  <c r="AI900" i="2"/>
  <c r="AO899" i="2"/>
  <c r="AN899" i="2"/>
  <c r="AJ899" i="2"/>
  <c r="AK899" i="2" s="1"/>
  <c r="AI899" i="2"/>
  <c r="AO898" i="2"/>
  <c r="AN898" i="2"/>
  <c r="AJ898" i="2"/>
  <c r="AK898" i="2" s="1"/>
  <c r="AI898" i="2"/>
  <c r="AO897" i="2"/>
  <c r="AN897" i="2"/>
  <c r="AJ897" i="2"/>
  <c r="AK897" i="2" s="1"/>
  <c r="AI897" i="2"/>
  <c r="AO896" i="2"/>
  <c r="AN896" i="2"/>
  <c r="AJ896" i="2"/>
  <c r="AK896" i="2" s="1"/>
  <c r="AI896" i="2"/>
  <c r="AO895" i="2"/>
  <c r="AN895" i="2"/>
  <c r="AJ895" i="2"/>
  <c r="AK895" i="2" s="1"/>
  <c r="AI895" i="2"/>
  <c r="AO894" i="2"/>
  <c r="AN894" i="2"/>
  <c r="AJ894" i="2"/>
  <c r="AK894" i="2" s="1"/>
  <c r="AI894" i="2"/>
  <c r="AO893" i="2"/>
  <c r="AN893" i="2"/>
  <c r="AJ893" i="2"/>
  <c r="AK893" i="2" s="1"/>
  <c r="AI893" i="2"/>
  <c r="AO892" i="2"/>
  <c r="AN892" i="2"/>
  <c r="AJ892" i="2"/>
  <c r="AK892" i="2" s="1"/>
  <c r="AI892" i="2"/>
  <c r="AO891" i="2"/>
  <c r="AN891" i="2"/>
  <c r="AJ891" i="2"/>
  <c r="AK891" i="2" s="1"/>
  <c r="AI891" i="2"/>
  <c r="AO890" i="2"/>
  <c r="AN890" i="2"/>
  <c r="AJ890" i="2"/>
  <c r="AK890" i="2" s="1"/>
  <c r="AI890" i="2"/>
  <c r="AO889" i="2"/>
  <c r="AN889" i="2"/>
  <c r="AJ889" i="2"/>
  <c r="AK889" i="2" s="1"/>
  <c r="AI889" i="2"/>
  <c r="AO888" i="2"/>
  <c r="AN888" i="2"/>
  <c r="AJ888" i="2"/>
  <c r="AK888" i="2" s="1"/>
  <c r="AI888" i="2"/>
  <c r="AO887" i="2"/>
  <c r="AN887" i="2"/>
  <c r="AJ887" i="2"/>
  <c r="AK887" i="2" s="1"/>
  <c r="AI887" i="2"/>
  <c r="AO886" i="2"/>
  <c r="AN886" i="2"/>
  <c r="AJ886" i="2"/>
  <c r="AK886" i="2" s="1"/>
  <c r="AI886" i="2"/>
  <c r="AO885" i="2"/>
  <c r="AN885" i="2"/>
  <c r="AJ885" i="2"/>
  <c r="AK885" i="2" s="1"/>
  <c r="AI885" i="2"/>
  <c r="AO884" i="2"/>
  <c r="AN884" i="2"/>
  <c r="AJ884" i="2"/>
  <c r="AK884" i="2" s="1"/>
  <c r="AI884" i="2"/>
  <c r="AO883" i="2"/>
  <c r="AN883" i="2"/>
  <c r="AJ883" i="2"/>
  <c r="AK883" i="2" s="1"/>
  <c r="AI883" i="2"/>
  <c r="AO882" i="2"/>
  <c r="AN882" i="2"/>
  <c r="AJ882" i="2"/>
  <c r="AK882" i="2" s="1"/>
  <c r="AI882" i="2"/>
  <c r="AO881" i="2"/>
  <c r="AN881" i="2"/>
  <c r="AJ881" i="2"/>
  <c r="AK881" i="2" s="1"/>
  <c r="AI881" i="2"/>
  <c r="AO880" i="2"/>
  <c r="AN880" i="2"/>
  <c r="AJ880" i="2"/>
  <c r="AK880" i="2" s="1"/>
  <c r="AI880" i="2"/>
  <c r="AO879" i="2"/>
  <c r="AN879" i="2"/>
  <c r="AJ879" i="2"/>
  <c r="AK879" i="2" s="1"/>
  <c r="AI879" i="2"/>
  <c r="AO878" i="2"/>
  <c r="AN878" i="2"/>
  <c r="AJ878" i="2"/>
  <c r="AK878" i="2" s="1"/>
  <c r="AI878" i="2"/>
  <c r="AO877" i="2"/>
  <c r="AN877" i="2"/>
  <c r="AJ877" i="2"/>
  <c r="AK877" i="2" s="1"/>
  <c r="AI877" i="2"/>
  <c r="AO876" i="2"/>
  <c r="AN876" i="2"/>
  <c r="AJ876" i="2"/>
  <c r="AK876" i="2" s="1"/>
  <c r="AI876" i="2"/>
  <c r="AO875" i="2"/>
  <c r="AN875" i="2"/>
  <c r="AJ875" i="2"/>
  <c r="AK875" i="2" s="1"/>
  <c r="AI875" i="2"/>
  <c r="AO874" i="2"/>
  <c r="AN874" i="2"/>
  <c r="AJ874" i="2"/>
  <c r="AK874" i="2" s="1"/>
  <c r="AI874" i="2"/>
  <c r="AO873" i="2"/>
  <c r="AN873" i="2"/>
  <c r="AJ873" i="2"/>
  <c r="AK873" i="2" s="1"/>
  <c r="AI873" i="2"/>
  <c r="AO872" i="2"/>
  <c r="AN872" i="2"/>
  <c r="AJ872" i="2"/>
  <c r="AK872" i="2" s="1"/>
  <c r="AI872" i="2"/>
  <c r="AO871" i="2"/>
  <c r="AN871" i="2"/>
  <c r="AJ871" i="2"/>
  <c r="AK871" i="2" s="1"/>
  <c r="AI871" i="2"/>
  <c r="AO870" i="2"/>
  <c r="AN870" i="2"/>
  <c r="AJ870" i="2"/>
  <c r="AK870" i="2" s="1"/>
  <c r="AI870" i="2"/>
  <c r="AO869" i="2"/>
  <c r="AN869" i="2"/>
  <c r="AJ869" i="2"/>
  <c r="AK869" i="2" s="1"/>
  <c r="AI869" i="2"/>
  <c r="AO868" i="2"/>
  <c r="AN868" i="2"/>
  <c r="AJ868" i="2"/>
  <c r="AK868" i="2" s="1"/>
  <c r="AI868" i="2"/>
  <c r="AO867" i="2"/>
  <c r="AN867" i="2"/>
  <c r="AJ867" i="2"/>
  <c r="AK867" i="2" s="1"/>
  <c r="AI867" i="2"/>
  <c r="AO866" i="2"/>
  <c r="AN866" i="2"/>
  <c r="AJ866" i="2"/>
  <c r="AK866" i="2" s="1"/>
  <c r="AI866" i="2"/>
  <c r="AO865" i="2"/>
  <c r="AN865" i="2"/>
  <c r="AJ865" i="2"/>
  <c r="AK865" i="2" s="1"/>
  <c r="AI865" i="2"/>
  <c r="AO864" i="2"/>
  <c r="AN864" i="2"/>
  <c r="AJ864" i="2"/>
  <c r="AK864" i="2" s="1"/>
  <c r="AI864" i="2"/>
  <c r="AO863" i="2"/>
  <c r="AN863" i="2"/>
  <c r="AJ863" i="2"/>
  <c r="AK863" i="2" s="1"/>
  <c r="AI863" i="2"/>
  <c r="AO862" i="2"/>
  <c r="AN862" i="2"/>
  <c r="AJ862" i="2"/>
  <c r="AK862" i="2" s="1"/>
  <c r="AI862" i="2"/>
  <c r="AO861" i="2"/>
  <c r="AN861" i="2"/>
  <c r="AJ861" i="2"/>
  <c r="AK861" i="2" s="1"/>
  <c r="AI861" i="2"/>
  <c r="AO860" i="2"/>
  <c r="AN860" i="2"/>
  <c r="AJ860" i="2"/>
  <c r="AK860" i="2" s="1"/>
  <c r="AI860" i="2"/>
  <c r="AO859" i="2"/>
  <c r="AN859" i="2"/>
  <c r="AJ859" i="2"/>
  <c r="AK859" i="2" s="1"/>
  <c r="AI859" i="2"/>
  <c r="AO858" i="2"/>
  <c r="AN858" i="2"/>
  <c r="AJ858" i="2"/>
  <c r="AK858" i="2" s="1"/>
  <c r="AI858" i="2"/>
  <c r="AO857" i="2"/>
  <c r="AN857" i="2"/>
  <c r="AJ857" i="2"/>
  <c r="AK857" i="2" s="1"/>
  <c r="AI857" i="2"/>
  <c r="AO856" i="2"/>
  <c r="AN856" i="2"/>
  <c r="AJ856" i="2"/>
  <c r="AK856" i="2" s="1"/>
  <c r="AI856" i="2"/>
  <c r="AO855" i="2"/>
  <c r="AN855" i="2"/>
  <c r="AJ855" i="2"/>
  <c r="AK855" i="2" s="1"/>
  <c r="AI855" i="2"/>
  <c r="AO854" i="2"/>
  <c r="AN854" i="2"/>
  <c r="AJ854" i="2"/>
  <c r="AK854" i="2" s="1"/>
  <c r="AI854" i="2"/>
  <c r="AO853" i="2"/>
  <c r="AN853" i="2"/>
  <c r="AJ853" i="2"/>
  <c r="AK853" i="2" s="1"/>
  <c r="AI853" i="2"/>
  <c r="AO852" i="2"/>
  <c r="AN852" i="2"/>
  <c r="AJ852" i="2"/>
  <c r="AK852" i="2" s="1"/>
  <c r="AI852" i="2"/>
  <c r="AO851" i="2"/>
  <c r="AN851" i="2"/>
  <c r="AJ851" i="2"/>
  <c r="AK851" i="2" s="1"/>
  <c r="AI851" i="2"/>
  <c r="AO850" i="2"/>
  <c r="AN850" i="2"/>
  <c r="AJ850" i="2"/>
  <c r="AK850" i="2" s="1"/>
  <c r="AI850" i="2"/>
  <c r="AO849" i="2"/>
  <c r="AN849" i="2"/>
  <c r="AJ849" i="2"/>
  <c r="AK849" i="2" s="1"/>
  <c r="AI849" i="2"/>
  <c r="AO848" i="2"/>
  <c r="AN848" i="2"/>
  <c r="AJ848" i="2"/>
  <c r="AK848" i="2" s="1"/>
  <c r="AI848" i="2"/>
  <c r="AO847" i="2"/>
  <c r="AN847" i="2"/>
  <c r="AJ847" i="2"/>
  <c r="AK847" i="2" s="1"/>
  <c r="AI847" i="2"/>
  <c r="AO846" i="2"/>
  <c r="AN846" i="2"/>
  <c r="AJ846" i="2"/>
  <c r="AK846" i="2" s="1"/>
  <c r="AI846" i="2"/>
  <c r="AO845" i="2"/>
  <c r="AN845" i="2"/>
  <c r="AJ845" i="2"/>
  <c r="AK845" i="2" s="1"/>
  <c r="AI845" i="2"/>
  <c r="AO844" i="2"/>
  <c r="AN844" i="2"/>
  <c r="AJ844" i="2"/>
  <c r="AK844" i="2" s="1"/>
  <c r="AI844" i="2"/>
  <c r="AO843" i="2"/>
  <c r="AN843" i="2"/>
  <c r="AJ843" i="2"/>
  <c r="AK843" i="2" s="1"/>
  <c r="AI843" i="2"/>
  <c r="AO842" i="2"/>
  <c r="AN842" i="2"/>
  <c r="AJ842" i="2"/>
  <c r="AK842" i="2" s="1"/>
  <c r="AI842" i="2"/>
  <c r="AO841" i="2"/>
  <c r="AN841" i="2"/>
  <c r="AJ841" i="2"/>
  <c r="AK841" i="2" s="1"/>
  <c r="AI841" i="2"/>
  <c r="AO840" i="2"/>
  <c r="AN840" i="2"/>
  <c r="AJ840" i="2"/>
  <c r="AK840" i="2" s="1"/>
  <c r="AI840" i="2"/>
  <c r="AO839" i="2"/>
  <c r="AN839" i="2"/>
  <c r="AJ839" i="2"/>
  <c r="AK839" i="2" s="1"/>
  <c r="AI839" i="2"/>
  <c r="AO838" i="2"/>
  <c r="AN838" i="2"/>
  <c r="AJ838" i="2"/>
  <c r="AK838" i="2" s="1"/>
  <c r="AI838" i="2"/>
  <c r="AO837" i="2"/>
  <c r="AN837" i="2"/>
  <c r="AJ837" i="2"/>
  <c r="AK837" i="2" s="1"/>
  <c r="AI837" i="2"/>
  <c r="AO836" i="2"/>
  <c r="AN836" i="2"/>
  <c r="AJ836" i="2"/>
  <c r="AK836" i="2" s="1"/>
  <c r="AI836" i="2"/>
  <c r="AO835" i="2"/>
  <c r="AN835" i="2"/>
  <c r="AJ835" i="2"/>
  <c r="AK835" i="2" s="1"/>
  <c r="AI835" i="2"/>
  <c r="AO834" i="2"/>
  <c r="AN834" i="2"/>
  <c r="AJ834" i="2"/>
  <c r="AK834" i="2" s="1"/>
  <c r="AI834" i="2"/>
  <c r="AO833" i="2"/>
  <c r="AN833" i="2"/>
  <c r="AJ833" i="2"/>
  <c r="AK833" i="2" s="1"/>
  <c r="AI833" i="2"/>
  <c r="AO832" i="2"/>
  <c r="AN832" i="2"/>
  <c r="AJ832" i="2"/>
  <c r="AK832" i="2" s="1"/>
  <c r="AI832" i="2"/>
  <c r="AO831" i="2"/>
  <c r="AN831" i="2"/>
  <c r="AJ831" i="2"/>
  <c r="AK831" i="2" s="1"/>
  <c r="AI831" i="2"/>
  <c r="AO830" i="2"/>
  <c r="AN830" i="2"/>
  <c r="AJ830" i="2"/>
  <c r="AK830" i="2" s="1"/>
  <c r="AI830" i="2"/>
  <c r="AO829" i="2"/>
  <c r="AN829" i="2"/>
  <c r="AJ829" i="2"/>
  <c r="AK829" i="2" s="1"/>
  <c r="AI829" i="2"/>
  <c r="AO828" i="2"/>
  <c r="AN828" i="2"/>
  <c r="AJ828" i="2"/>
  <c r="AK828" i="2" s="1"/>
  <c r="AI828" i="2"/>
  <c r="AO827" i="2"/>
  <c r="AN827" i="2"/>
  <c r="AJ827" i="2"/>
  <c r="AK827" i="2" s="1"/>
  <c r="AI827" i="2"/>
  <c r="AO826" i="2"/>
  <c r="AN826" i="2"/>
  <c r="AJ826" i="2"/>
  <c r="AK826" i="2" s="1"/>
  <c r="AI826" i="2"/>
  <c r="AO825" i="2"/>
  <c r="AN825" i="2"/>
  <c r="AJ825" i="2"/>
  <c r="AK825" i="2" s="1"/>
  <c r="AI825" i="2"/>
  <c r="AO824" i="2"/>
  <c r="AN824" i="2"/>
  <c r="AJ824" i="2"/>
  <c r="AK824" i="2" s="1"/>
  <c r="AI824" i="2"/>
  <c r="AO823" i="2"/>
  <c r="AN823" i="2"/>
  <c r="AJ823" i="2"/>
  <c r="AK823" i="2" s="1"/>
  <c r="AI823" i="2"/>
  <c r="AO822" i="2"/>
  <c r="AN822" i="2"/>
  <c r="AJ822" i="2"/>
  <c r="AK822" i="2" s="1"/>
  <c r="AI822" i="2"/>
  <c r="AO821" i="2"/>
  <c r="AN821" i="2"/>
  <c r="AJ821" i="2"/>
  <c r="AK821" i="2" s="1"/>
  <c r="AI821" i="2"/>
  <c r="AO820" i="2"/>
  <c r="AN820" i="2"/>
  <c r="AJ820" i="2"/>
  <c r="AK820" i="2" s="1"/>
  <c r="AI820" i="2"/>
  <c r="AO819" i="2"/>
  <c r="AN819" i="2"/>
  <c r="AJ819" i="2"/>
  <c r="AK819" i="2" s="1"/>
  <c r="AI819" i="2"/>
  <c r="AO818" i="2"/>
  <c r="AN818" i="2"/>
  <c r="AJ818" i="2"/>
  <c r="AK818" i="2" s="1"/>
  <c r="AI818" i="2"/>
  <c r="AO817" i="2"/>
  <c r="AN817" i="2"/>
  <c r="AJ817" i="2"/>
  <c r="AK817" i="2" s="1"/>
  <c r="AI817" i="2"/>
  <c r="AO816" i="2"/>
  <c r="AN816" i="2"/>
  <c r="AJ816" i="2"/>
  <c r="AK816" i="2" s="1"/>
  <c r="AI816" i="2"/>
  <c r="AO815" i="2"/>
  <c r="AN815" i="2"/>
  <c r="AJ815" i="2"/>
  <c r="AK815" i="2" s="1"/>
  <c r="AI815" i="2"/>
  <c r="AO814" i="2"/>
  <c r="AN814" i="2"/>
  <c r="AJ814" i="2"/>
  <c r="AK814" i="2" s="1"/>
  <c r="AI814" i="2"/>
  <c r="AO813" i="2"/>
  <c r="AN813" i="2"/>
  <c r="AJ813" i="2"/>
  <c r="AK813" i="2" s="1"/>
  <c r="AI813" i="2"/>
  <c r="AO812" i="2"/>
  <c r="AN812" i="2"/>
  <c r="AJ812" i="2"/>
  <c r="AK812" i="2" s="1"/>
  <c r="AI812" i="2"/>
  <c r="AO811" i="2"/>
  <c r="AN811" i="2"/>
  <c r="AJ811" i="2"/>
  <c r="AK811" i="2" s="1"/>
  <c r="AI811" i="2"/>
  <c r="AO810" i="2"/>
  <c r="AN810" i="2"/>
  <c r="AJ810" i="2"/>
  <c r="AK810" i="2" s="1"/>
  <c r="AI810" i="2"/>
  <c r="AO809" i="2"/>
  <c r="AN809" i="2"/>
  <c r="AJ809" i="2"/>
  <c r="AK809" i="2" s="1"/>
  <c r="AI809" i="2"/>
  <c r="AO808" i="2"/>
  <c r="AN808" i="2"/>
  <c r="AJ808" i="2"/>
  <c r="AK808" i="2" s="1"/>
  <c r="AI808" i="2"/>
  <c r="AO807" i="2"/>
  <c r="AN807" i="2"/>
  <c r="AJ807" i="2"/>
  <c r="AK807" i="2" s="1"/>
  <c r="AI807" i="2"/>
  <c r="AO806" i="2"/>
  <c r="AN806" i="2"/>
  <c r="AJ806" i="2"/>
  <c r="AK806" i="2" s="1"/>
  <c r="AI806" i="2"/>
  <c r="AO805" i="2"/>
  <c r="AN805" i="2"/>
  <c r="AJ805" i="2"/>
  <c r="AK805" i="2" s="1"/>
  <c r="AI805" i="2"/>
  <c r="AO804" i="2"/>
  <c r="AN804" i="2"/>
  <c r="AJ804" i="2"/>
  <c r="AK804" i="2" s="1"/>
  <c r="AI804" i="2"/>
  <c r="AO803" i="2"/>
  <c r="AN803" i="2"/>
  <c r="AJ803" i="2"/>
  <c r="AK803" i="2" s="1"/>
  <c r="AI803" i="2"/>
  <c r="AO802" i="2"/>
  <c r="AN802" i="2"/>
  <c r="AJ802" i="2"/>
  <c r="AK802" i="2" s="1"/>
  <c r="AI802" i="2"/>
  <c r="AO801" i="2"/>
  <c r="AN801" i="2"/>
  <c r="AJ801" i="2"/>
  <c r="AK801" i="2" s="1"/>
  <c r="AI801" i="2"/>
  <c r="AO800" i="2"/>
  <c r="AN800" i="2"/>
  <c r="AJ800" i="2"/>
  <c r="AK800" i="2" s="1"/>
  <c r="AI800" i="2"/>
  <c r="AO799" i="2"/>
  <c r="AN799" i="2"/>
  <c r="AJ799" i="2"/>
  <c r="AK799" i="2" s="1"/>
  <c r="AI799" i="2"/>
  <c r="AO798" i="2"/>
  <c r="AN798" i="2"/>
  <c r="AJ798" i="2"/>
  <c r="AK798" i="2" s="1"/>
  <c r="AI798" i="2"/>
  <c r="AO797" i="2"/>
  <c r="AN797" i="2"/>
  <c r="AJ797" i="2"/>
  <c r="AK797" i="2" s="1"/>
  <c r="AI797" i="2"/>
  <c r="AO796" i="2"/>
  <c r="AN796" i="2"/>
  <c r="AJ796" i="2"/>
  <c r="AK796" i="2" s="1"/>
  <c r="AI796" i="2"/>
  <c r="AO795" i="2"/>
  <c r="AN795" i="2"/>
  <c r="AJ795" i="2"/>
  <c r="AK795" i="2" s="1"/>
  <c r="AI795" i="2"/>
  <c r="AO794" i="2"/>
  <c r="AN794" i="2"/>
  <c r="AJ794" i="2"/>
  <c r="AK794" i="2" s="1"/>
  <c r="AI794" i="2"/>
  <c r="AO793" i="2"/>
  <c r="AN793" i="2"/>
  <c r="AJ793" i="2"/>
  <c r="AK793" i="2" s="1"/>
  <c r="AI793" i="2"/>
  <c r="AO792" i="2"/>
  <c r="AN792" i="2"/>
  <c r="AJ792" i="2"/>
  <c r="AK792" i="2" s="1"/>
  <c r="AI792" i="2"/>
  <c r="AO791" i="2"/>
  <c r="AN791" i="2"/>
  <c r="AJ791" i="2"/>
  <c r="AK791" i="2" s="1"/>
  <c r="AI791" i="2"/>
  <c r="AO790" i="2"/>
  <c r="AN790" i="2"/>
  <c r="AJ790" i="2"/>
  <c r="AK790" i="2" s="1"/>
  <c r="AI790" i="2"/>
  <c r="AO789" i="2"/>
  <c r="AN789" i="2"/>
  <c r="AJ789" i="2"/>
  <c r="AK789" i="2" s="1"/>
  <c r="AI789" i="2"/>
  <c r="AO788" i="2"/>
  <c r="AN788" i="2"/>
  <c r="AJ788" i="2"/>
  <c r="AK788" i="2" s="1"/>
  <c r="AI788" i="2"/>
  <c r="AO787" i="2"/>
  <c r="AN787" i="2"/>
  <c r="AJ787" i="2"/>
  <c r="AK787" i="2" s="1"/>
  <c r="AI787" i="2"/>
  <c r="AO786" i="2"/>
  <c r="AN786" i="2"/>
  <c r="AJ786" i="2"/>
  <c r="AK786" i="2" s="1"/>
  <c r="AI786" i="2"/>
  <c r="AO785" i="2"/>
  <c r="AN785" i="2"/>
  <c r="AJ785" i="2"/>
  <c r="AK785" i="2" s="1"/>
  <c r="AI785" i="2"/>
  <c r="AO784" i="2"/>
  <c r="AN784" i="2"/>
  <c r="AJ784" i="2"/>
  <c r="AK784" i="2" s="1"/>
  <c r="AI784" i="2"/>
  <c r="AO783" i="2"/>
  <c r="AN783" i="2"/>
  <c r="AJ783" i="2"/>
  <c r="AK783" i="2" s="1"/>
  <c r="AI783" i="2"/>
  <c r="AO782" i="2"/>
  <c r="AN782" i="2"/>
  <c r="AJ782" i="2"/>
  <c r="AK782" i="2" s="1"/>
  <c r="AI782" i="2"/>
  <c r="AO781" i="2"/>
  <c r="AN781" i="2"/>
  <c r="AJ781" i="2"/>
  <c r="AK781" i="2" s="1"/>
  <c r="AI781" i="2"/>
  <c r="AO780" i="2"/>
  <c r="AN780" i="2"/>
  <c r="AJ780" i="2"/>
  <c r="AK780" i="2" s="1"/>
  <c r="AI780" i="2"/>
  <c r="AO779" i="2"/>
  <c r="AN779" i="2"/>
  <c r="AJ779" i="2"/>
  <c r="AK779" i="2" s="1"/>
  <c r="AI779" i="2"/>
  <c r="AO778" i="2"/>
  <c r="AN778" i="2"/>
  <c r="AJ778" i="2"/>
  <c r="AK778" i="2" s="1"/>
  <c r="AI778" i="2"/>
  <c r="AO777" i="2"/>
  <c r="AN777" i="2"/>
  <c r="AJ777" i="2"/>
  <c r="AK777" i="2" s="1"/>
  <c r="AI777" i="2"/>
  <c r="AO776" i="2"/>
  <c r="AN776" i="2"/>
  <c r="AJ776" i="2"/>
  <c r="AK776" i="2" s="1"/>
  <c r="AI776" i="2"/>
  <c r="AO775" i="2"/>
  <c r="AN775" i="2"/>
  <c r="AJ775" i="2"/>
  <c r="AK775" i="2" s="1"/>
  <c r="AI775" i="2"/>
  <c r="AO774" i="2"/>
  <c r="AN774" i="2"/>
  <c r="AJ774" i="2"/>
  <c r="AK774" i="2" s="1"/>
  <c r="AI774" i="2"/>
  <c r="AO773" i="2"/>
  <c r="AN773" i="2"/>
  <c r="AJ773" i="2"/>
  <c r="AK773" i="2" s="1"/>
  <c r="AI773" i="2"/>
  <c r="AO772" i="2"/>
  <c r="AN772" i="2"/>
  <c r="AJ772" i="2"/>
  <c r="AK772" i="2" s="1"/>
  <c r="AI772" i="2"/>
  <c r="AO771" i="2"/>
  <c r="AN771" i="2"/>
  <c r="AJ771" i="2"/>
  <c r="AK771" i="2" s="1"/>
  <c r="AI771" i="2"/>
  <c r="AO770" i="2"/>
  <c r="AN770" i="2"/>
  <c r="AJ770" i="2"/>
  <c r="AK770" i="2" s="1"/>
  <c r="AI770" i="2"/>
  <c r="AO769" i="2"/>
  <c r="AN769" i="2"/>
  <c r="AJ769" i="2"/>
  <c r="AK769" i="2" s="1"/>
  <c r="AI769" i="2"/>
  <c r="AO768" i="2"/>
  <c r="AN768" i="2"/>
  <c r="AJ768" i="2"/>
  <c r="AK768" i="2" s="1"/>
  <c r="AI768" i="2"/>
  <c r="AO767" i="2"/>
  <c r="AN767" i="2"/>
  <c r="AJ767" i="2"/>
  <c r="AK767" i="2" s="1"/>
  <c r="AI767" i="2"/>
  <c r="AO766" i="2"/>
  <c r="AN766" i="2"/>
  <c r="AJ766" i="2"/>
  <c r="AK766" i="2" s="1"/>
  <c r="AI766" i="2"/>
  <c r="AO765" i="2"/>
  <c r="AN765" i="2"/>
  <c r="AJ765" i="2"/>
  <c r="AK765" i="2" s="1"/>
  <c r="AI765" i="2"/>
  <c r="AO764" i="2"/>
  <c r="AN764" i="2"/>
  <c r="AJ764" i="2"/>
  <c r="AK764" i="2" s="1"/>
  <c r="AI764" i="2"/>
  <c r="AO763" i="2"/>
  <c r="AN763" i="2"/>
  <c r="AJ763" i="2"/>
  <c r="AK763" i="2" s="1"/>
  <c r="AI763" i="2"/>
  <c r="AO762" i="2"/>
  <c r="AN762" i="2"/>
  <c r="AJ762" i="2"/>
  <c r="AK762" i="2" s="1"/>
  <c r="AI762" i="2"/>
  <c r="AO761" i="2"/>
  <c r="AN761" i="2"/>
  <c r="AJ761" i="2"/>
  <c r="AK761" i="2" s="1"/>
  <c r="AI761" i="2"/>
  <c r="AO760" i="2"/>
  <c r="AN760" i="2"/>
  <c r="AJ760" i="2"/>
  <c r="AK760" i="2" s="1"/>
  <c r="AI760" i="2"/>
  <c r="AO759" i="2"/>
  <c r="AN759" i="2"/>
  <c r="AJ759" i="2"/>
  <c r="AK759" i="2" s="1"/>
  <c r="AI759" i="2"/>
  <c r="AO758" i="2"/>
  <c r="AN758" i="2"/>
  <c r="AJ758" i="2"/>
  <c r="AK758" i="2" s="1"/>
  <c r="AI758" i="2"/>
  <c r="AO757" i="2"/>
  <c r="AN757" i="2"/>
  <c r="AJ757" i="2"/>
  <c r="AK757" i="2" s="1"/>
  <c r="AI757" i="2"/>
  <c r="AO756" i="2"/>
  <c r="AN756" i="2"/>
  <c r="AJ756" i="2"/>
  <c r="AK756" i="2" s="1"/>
  <c r="AI756" i="2"/>
  <c r="AO755" i="2"/>
  <c r="AN755" i="2"/>
  <c r="AJ755" i="2"/>
  <c r="AK755" i="2" s="1"/>
  <c r="AI755" i="2"/>
  <c r="AO754" i="2"/>
  <c r="AN754" i="2"/>
  <c r="AJ754" i="2"/>
  <c r="AK754" i="2" s="1"/>
  <c r="AI754" i="2"/>
  <c r="AO753" i="2"/>
  <c r="AN753" i="2"/>
  <c r="AJ753" i="2"/>
  <c r="AK753" i="2" s="1"/>
  <c r="AI753" i="2"/>
  <c r="AO752" i="2"/>
  <c r="AN752" i="2"/>
  <c r="AJ752" i="2"/>
  <c r="AK752" i="2" s="1"/>
  <c r="AI752" i="2"/>
  <c r="AO751" i="2"/>
  <c r="AN751" i="2"/>
  <c r="AJ751" i="2"/>
  <c r="AK751" i="2" s="1"/>
  <c r="AI751" i="2"/>
  <c r="AO750" i="2"/>
  <c r="AN750" i="2"/>
  <c r="AJ750" i="2"/>
  <c r="AK750" i="2" s="1"/>
  <c r="AI750" i="2"/>
  <c r="AO749" i="2"/>
  <c r="AN749" i="2"/>
  <c r="AJ749" i="2"/>
  <c r="AK749" i="2" s="1"/>
  <c r="AI749" i="2"/>
  <c r="AO748" i="2"/>
  <c r="AN748" i="2"/>
  <c r="AJ748" i="2"/>
  <c r="AK748" i="2" s="1"/>
  <c r="AI748" i="2"/>
  <c r="AO747" i="2"/>
  <c r="AN747" i="2"/>
  <c r="AJ747" i="2"/>
  <c r="AK747" i="2" s="1"/>
  <c r="AI747" i="2"/>
  <c r="AO746" i="2"/>
  <c r="AN746" i="2"/>
  <c r="AJ746" i="2"/>
  <c r="AK746" i="2" s="1"/>
  <c r="AI746" i="2"/>
  <c r="AO745" i="2"/>
  <c r="AN745" i="2"/>
  <c r="AJ745" i="2"/>
  <c r="AK745" i="2" s="1"/>
  <c r="AI745" i="2"/>
  <c r="AO744" i="2"/>
  <c r="AN744" i="2"/>
  <c r="AJ744" i="2"/>
  <c r="AK744" i="2" s="1"/>
  <c r="AI744" i="2"/>
  <c r="AO743" i="2"/>
  <c r="AN743" i="2"/>
  <c r="AJ743" i="2"/>
  <c r="AK743" i="2" s="1"/>
  <c r="AI743" i="2"/>
  <c r="AO742" i="2"/>
  <c r="AN742" i="2"/>
  <c r="AJ742" i="2"/>
  <c r="AK742" i="2" s="1"/>
  <c r="AI742" i="2"/>
  <c r="AO741" i="2"/>
  <c r="AN741" i="2"/>
  <c r="AJ741" i="2"/>
  <c r="AK741" i="2" s="1"/>
  <c r="AI741" i="2"/>
  <c r="AO740" i="2"/>
  <c r="AN740" i="2"/>
  <c r="AJ740" i="2"/>
  <c r="AK740" i="2" s="1"/>
  <c r="AI740" i="2"/>
  <c r="AO739" i="2"/>
  <c r="AN739" i="2"/>
  <c r="AJ739" i="2"/>
  <c r="AK739" i="2" s="1"/>
  <c r="AI739" i="2"/>
  <c r="AO738" i="2"/>
  <c r="AN738" i="2"/>
  <c r="AJ738" i="2"/>
  <c r="AK738" i="2" s="1"/>
  <c r="AI738" i="2"/>
  <c r="AO737" i="2"/>
  <c r="AN737" i="2"/>
  <c r="AJ737" i="2"/>
  <c r="AK737" i="2" s="1"/>
  <c r="AI737" i="2"/>
  <c r="AO736" i="2"/>
  <c r="AN736" i="2"/>
  <c r="AJ736" i="2"/>
  <c r="AK736" i="2" s="1"/>
  <c r="AI736" i="2"/>
  <c r="AO735" i="2"/>
  <c r="AN735" i="2"/>
  <c r="AJ735" i="2"/>
  <c r="AK735" i="2" s="1"/>
  <c r="AI735" i="2"/>
  <c r="AO734" i="2"/>
  <c r="AN734" i="2"/>
  <c r="AJ734" i="2"/>
  <c r="AK734" i="2" s="1"/>
  <c r="AI734" i="2"/>
  <c r="AO733" i="2"/>
  <c r="AN733" i="2"/>
  <c r="AJ733" i="2"/>
  <c r="AK733" i="2" s="1"/>
  <c r="AI733" i="2"/>
  <c r="AO732" i="2"/>
  <c r="AN732" i="2"/>
  <c r="AJ732" i="2"/>
  <c r="AK732" i="2" s="1"/>
  <c r="AI732" i="2"/>
  <c r="AO731" i="2"/>
  <c r="AN731" i="2"/>
  <c r="AJ731" i="2"/>
  <c r="AK731" i="2" s="1"/>
  <c r="AI731" i="2"/>
  <c r="AO730" i="2"/>
  <c r="AN730" i="2"/>
  <c r="AJ730" i="2"/>
  <c r="AK730" i="2" s="1"/>
  <c r="AI730" i="2"/>
  <c r="AO729" i="2"/>
  <c r="AN729" i="2"/>
  <c r="AJ729" i="2"/>
  <c r="AK729" i="2" s="1"/>
  <c r="AI729" i="2"/>
  <c r="AO728" i="2"/>
  <c r="AN728" i="2"/>
  <c r="AJ728" i="2"/>
  <c r="AK728" i="2" s="1"/>
  <c r="AI728" i="2"/>
  <c r="AO727" i="2"/>
  <c r="AN727" i="2"/>
  <c r="AJ727" i="2"/>
  <c r="AK727" i="2" s="1"/>
  <c r="AI727" i="2"/>
  <c r="AO726" i="2"/>
  <c r="AN726" i="2"/>
  <c r="AJ726" i="2"/>
  <c r="AK726" i="2" s="1"/>
  <c r="AI726" i="2"/>
  <c r="AO725" i="2"/>
  <c r="AN725" i="2"/>
  <c r="AJ725" i="2"/>
  <c r="AK725" i="2" s="1"/>
  <c r="AI725" i="2"/>
  <c r="AO724" i="2"/>
  <c r="AN724" i="2"/>
  <c r="AJ724" i="2"/>
  <c r="AK724" i="2" s="1"/>
  <c r="AI724" i="2"/>
  <c r="AO723" i="2"/>
  <c r="AN723" i="2"/>
  <c r="AJ723" i="2"/>
  <c r="AK723" i="2" s="1"/>
  <c r="AI723" i="2"/>
  <c r="AO722" i="2"/>
  <c r="AN722" i="2"/>
  <c r="AJ722" i="2"/>
  <c r="AK722" i="2" s="1"/>
  <c r="AI722" i="2"/>
  <c r="AO721" i="2"/>
  <c r="AN721" i="2"/>
  <c r="AJ721" i="2"/>
  <c r="AK721" i="2" s="1"/>
  <c r="AI721" i="2"/>
  <c r="AO720" i="2"/>
  <c r="AN720" i="2"/>
  <c r="AJ720" i="2"/>
  <c r="AK720" i="2" s="1"/>
  <c r="AI720" i="2"/>
  <c r="AO719" i="2"/>
  <c r="AN719" i="2"/>
  <c r="AJ719" i="2"/>
  <c r="AK719" i="2" s="1"/>
  <c r="AI719" i="2"/>
  <c r="AO718" i="2"/>
  <c r="AN718" i="2"/>
  <c r="AJ718" i="2"/>
  <c r="AK718" i="2" s="1"/>
  <c r="AI718" i="2"/>
  <c r="AO717" i="2"/>
  <c r="AN717" i="2"/>
  <c r="AJ717" i="2"/>
  <c r="AK717" i="2" s="1"/>
  <c r="AI717" i="2"/>
  <c r="AO716" i="2"/>
  <c r="AN716" i="2"/>
  <c r="AJ716" i="2"/>
  <c r="AK716" i="2" s="1"/>
  <c r="AI716" i="2"/>
  <c r="AO715" i="2"/>
  <c r="AN715" i="2"/>
  <c r="AJ715" i="2"/>
  <c r="AK715" i="2" s="1"/>
  <c r="AI715" i="2"/>
  <c r="AO714" i="2"/>
  <c r="AN714" i="2"/>
  <c r="AJ714" i="2"/>
  <c r="AK714" i="2" s="1"/>
  <c r="AI714" i="2"/>
  <c r="AO713" i="2"/>
  <c r="AN713" i="2"/>
  <c r="AJ713" i="2"/>
  <c r="AK713" i="2" s="1"/>
  <c r="AI713" i="2"/>
  <c r="AO712" i="2"/>
  <c r="AN712" i="2"/>
  <c r="AJ712" i="2"/>
  <c r="AK712" i="2" s="1"/>
  <c r="AI712" i="2"/>
  <c r="AO711" i="2"/>
  <c r="AN711" i="2"/>
  <c r="AJ711" i="2"/>
  <c r="AK711" i="2" s="1"/>
  <c r="AI711" i="2"/>
  <c r="AO710" i="2"/>
  <c r="AN710" i="2"/>
  <c r="AJ710" i="2"/>
  <c r="AK710" i="2" s="1"/>
  <c r="AI710" i="2"/>
  <c r="AO709" i="2"/>
  <c r="AN709" i="2"/>
  <c r="AJ709" i="2"/>
  <c r="AK709" i="2" s="1"/>
  <c r="AI709" i="2"/>
  <c r="AO708" i="2"/>
  <c r="AN708" i="2"/>
  <c r="AJ708" i="2"/>
  <c r="AK708" i="2" s="1"/>
  <c r="AI708" i="2"/>
  <c r="AO707" i="2"/>
  <c r="AN707" i="2"/>
  <c r="AJ707" i="2"/>
  <c r="AK707" i="2" s="1"/>
  <c r="AI707" i="2"/>
  <c r="AO706" i="2"/>
  <c r="AN706" i="2"/>
  <c r="AJ706" i="2"/>
  <c r="AK706" i="2" s="1"/>
  <c r="AI706" i="2"/>
  <c r="AO705" i="2"/>
  <c r="AN705" i="2"/>
  <c r="AJ705" i="2"/>
  <c r="AK705" i="2" s="1"/>
  <c r="AI705" i="2"/>
  <c r="AO704" i="2"/>
  <c r="AN704" i="2"/>
  <c r="AJ704" i="2"/>
  <c r="AK704" i="2" s="1"/>
  <c r="AI704" i="2"/>
  <c r="AO703" i="2"/>
  <c r="AN703" i="2"/>
  <c r="AJ703" i="2"/>
  <c r="AK703" i="2" s="1"/>
  <c r="AI703" i="2"/>
  <c r="AO702" i="2"/>
  <c r="AN702" i="2"/>
  <c r="AJ702" i="2"/>
  <c r="AK702" i="2" s="1"/>
  <c r="AI702" i="2"/>
  <c r="AO701" i="2"/>
  <c r="AN701" i="2"/>
  <c r="AJ701" i="2"/>
  <c r="AK701" i="2" s="1"/>
  <c r="AI701" i="2"/>
  <c r="AO700" i="2"/>
  <c r="AN700" i="2"/>
  <c r="AJ700" i="2"/>
  <c r="AK700" i="2" s="1"/>
  <c r="AI700" i="2"/>
  <c r="AO699" i="2"/>
  <c r="AN699" i="2"/>
  <c r="AJ699" i="2"/>
  <c r="AK699" i="2" s="1"/>
  <c r="AI699" i="2"/>
  <c r="AO698" i="2"/>
  <c r="AN698" i="2"/>
  <c r="AJ698" i="2"/>
  <c r="AK698" i="2" s="1"/>
  <c r="AI698" i="2"/>
  <c r="AO697" i="2"/>
  <c r="AN697" i="2"/>
  <c r="AJ697" i="2"/>
  <c r="AK697" i="2" s="1"/>
  <c r="AI697" i="2"/>
  <c r="AO696" i="2"/>
  <c r="AN696" i="2"/>
  <c r="AJ696" i="2"/>
  <c r="AK696" i="2" s="1"/>
  <c r="AI696" i="2"/>
  <c r="AO695" i="2"/>
  <c r="AN695" i="2"/>
  <c r="AJ695" i="2"/>
  <c r="AK695" i="2" s="1"/>
  <c r="AI695" i="2"/>
  <c r="AO694" i="2"/>
  <c r="AN694" i="2"/>
  <c r="AJ694" i="2"/>
  <c r="AK694" i="2" s="1"/>
  <c r="AI694" i="2"/>
  <c r="AO693" i="2"/>
  <c r="AN693" i="2"/>
  <c r="AJ693" i="2"/>
  <c r="AK693" i="2" s="1"/>
  <c r="AI693" i="2"/>
  <c r="AO692" i="2"/>
  <c r="AN692" i="2"/>
  <c r="AJ692" i="2"/>
  <c r="AK692" i="2" s="1"/>
  <c r="AI692" i="2"/>
  <c r="AO691" i="2"/>
  <c r="AN691" i="2"/>
  <c r="AJ691" i="2"/>
  <c r="AK691" i="2" s="1"/>
  <c r="AI691" i="2"/>
  <c r="AO690" i="2"/>
  <c r="AN690" i="2"/>
  <c r="AJ690" i="2"/>
  <c r="AK690" i="2" s="1"/>
  <c r="AI690" i="2"/>
  <c r="AO689" i="2"/>
  <c r="AN689" i="2"/>
  <c r="AJ689" i="2"/>
  <c r="AK689" i="2" s="1"/>
  <c r="AI689" i="2"/>
  <c r="AO688" i="2"/>
  <c r="AN688" i="2"/>
  <c r="AJ688" i="2"/>
  <c r="AK688" i="2" s="1"/>
  <c r="AI688" i="2"/>
  <c r="AO687" i="2"/>
  <c r="AN687" i="2"/>
  <c r="AJ687" i="2"/>
  <c r="AK687" i="2" s="1"/>
  <c r="AI687" i="2"/>
  <c r="AO686" i="2"/>
  <c r="AN686" i="2"/>
  <c r="AJ686" i="2"/>
  <c r="AK686" i="2" s="1"/>
  <c r="AI686" i="2"/>
  <c r="AO685" i="2"/>
  <c r="AN685" i="2"/>
  <c r="AJ685" i="2"/>
  <c r="AK685" i="2" s="1"/>
  <c r="AI685" i="2"/>
  <c r="AO684" i="2"/>
  <c r="AN684" i="2"/>
  <c r="AJ684" i="2"/>
  <c r="AK684" i="2" s="1"/>
  <c r="AI684" i="2"/>
  <c r="AO683" i="2"/>
  <c r="AN683" i="2"/>
  <c r="AJ683" i="2"/>
  <c r="AK683" i="2" s="1"/>
  <c r="AI683" i="2"/>
  <c r="AO682" i="2"/>
  <c r="AN682" i="2"/>
  <c r="AJ682" i="2"/>
  <c r="AK682" i="2" s="1"/>
  <c r="AI682" i="2"/>
  <c r="AO681" i="2"/>
  <c r="AN681" i="2"/>
  <c r="AJ681" i="2"/>
  <c r="AK681" i="2" s="1"/>
  <c r="AI681" i="2"/>
  <c r="AO680" i="2"/>
  <c r="AN680" i="2"/>
  <c r="AJ680" i="2"/>
  <c r="AK680" i="2" s="1"/>
  <c r="AI680" i="2"/>
  <c r="AO679" i="2"/>
  <c r="AN679" i="2"/>
  <c r="AJ679" i="2"/>
  <c r="AK679" i="2" s="1"/>
  <c r="AI679" i="2"/>
  <c r="AO678" i="2"/>
  <c r="AN678" i="2"/>
  <c r="AJ678" i="2"/>
  <c r="AK678" i="2" s="1"/>
  <c r="AI678" i="2"/>
  <c r="AO677" i="2"/>
  <c r="AN677" i="2"/>
  <c r="AJ677" i="2"/>
  <c r="AK677" i="2" s="1"/>
  <c r="AI677" i="2"/>
  <c r="AO676" i="2"/>
  <c r="AN676" i="2"/>
  <c r="AJ676" i="2"/>
  <c r="AK676" i="2" s="1"/>
  <c r="AI676" i="2"/>
  <c r="AO675" i="2"/>
  <c r="AN675" i="2"/>
  <c r="AJ675" i="2"/>
  <c r="AK675" i="2" s="1"/>
  <c r="AI675" i="2"/>
  <c r="AO674" i="2"/>
  <c r="AN674" i="2"/>
  <c r="AJ674" i="2"/>
  <c r="AK674" i="2" s="1"/>
  <c r="AI674" i="2"/>
  <c r="AO673" i="2"/>
  <c r="AN673" i="2"/>
  <c r="AJ673" i="2"/>
  <c r="AK673" i="2" s="1"/>
  <c r="AI673" i="2"/>
  <c r="AO672" i="2"/>
  <c r="AN672" i="2"/>
  <c r="AJ672" i="2"/>
  <c r="AK672" i="2" s="1"/>
  <c r="AI672" i="2"/>
  <c r="AO671" i="2"/>
  <c r="AN671" i="2"/>
  <c r="AJ671" i="2"/>
  <c r="AK671" i="2" s="1"/>
  <c r="AI671" i="2"/>
  <c r="AO670" i="2"/>
  <c r="AN670" i="2"/>
  <c r="AJ670" i="2"/>
  <c r="AK670" i="2" s="1"/>
  <c r="AI670" i="2"/>
  <c r="AO669" i="2"/>
  <c r="AN669" i="2"/>
  <c r="AJ669" i="2"/>
  <c r="AK669" i="2" s="1"/>
  <c r="AI669" i="2"/>
  <c r="AO668" i="2"/>
  <c r="AN668" i="2"/>
  <c r="AJ668" i="2"/>
  <c r="AK668" i="2" s="1"/>
  <c r="AI668" i="2"/>
  <c r="AO667" i="2"/>
  <c r="AN667" i="2"/>
  <c r="AJ667" i="2"/>
  <c r="AK667" i="2" s="1"/>
  <c r="AI667" i="2"/>
  <c r="AO666" i="2"/>
  <c r="AN666" i="2"/>
  <c r="AJ666" i="2"/>
  <c r="AK666" i="2" s="1"/>
  <c r="AI666" i="2"/>
  <c r="AO665" i="2"/>
  <c r="AN665" i="2"/>
  <c r="AJ665" i="2"/>
  <c r="AK665" i="2" s="1"/>
  <c r="AI665" i="2"/>
  <c r="AO664" i="2"/>
  <c r="AN664" i="2"/>
  <c r="AJ664" i="2"/>
  <c r="AK664" i="2" s="1"/>
  <c r="AI664" i="2"/>
  <c r="AO663" i="2"/>
  <c r="AN663" i="2"/>
  <c r="AJ663" i="2"/>
  <c r="AK663" i="2" s="1"/>
  <c r="AI663" i="2"/>
  <c r="AO662" i="2"/>
  <c r="AN662" i="2"/>
  <c r="AJ662" i="2"/>
  <c r="AK662" i="2" s="1"/>
  <c r="AI662" i="2"/>
  <c r="AO661" i="2"/>
  <c r="AN661" i="2"/>
  <c r="AJ661" i="2"/>
  <c r="AK661" i="2" s="1"/>
  <c r="AI661" i="2"/>
  <c r="AO660" i="2"/>
  <c r="AN660" i="2"/>
  <c r="AJ660" i="2"/>
  <c r="AK660" i="2" s="1"/>
  <c r="AI660" i="2"/>
  <c r="AO659" i="2"/>
  <c r="AN659" i="2"/>
  <c r="AJ659" i="2"/>
  <c r="AK659" i="2" s="1"/>
  <c r="AI659" i="2"/>
  <c r="AO658" i="2"/>
  <c r="AN658" i="2"/>
  <c r="AJ658" i="2"/>
  <c r="AK658" i="2" s="1"/>
  <c r="AI658" i="2"/>
  <c r="AO657" i="2"/>
  <c r="AN657" i="2"/>
  <c r="AJ657" i="2"/>
  <c r="AK657" i="2" s="1"/>
  <c r="AI657" i="2"/>
  <c r="AO656" i="2"/>
  <c r="AN656" i="2"/>
  <c r="AJ656" i="2"/>
  <c r="AK656" i="2" s="1"/>
  <c r="AI656" i="2"/>
  <c r="AO655" i="2"/>
  <c r="AN655" i="2"/>
  <c r="AJ655" i="2"/>
  <c r="AK655" i="2" s="1"/>
  <c r="AI655" i="2"/>
  <c r="AO654" i="2"/>
  <c r="AN654" i="2"/>
  <c r="AJ654" i="2"/>
  <c r="AK654" i="2" s="1"/>
  <c r="AI654" i="2"/>
  <c r="AO653" i="2"/>
  <c r="AN653" i="2"/>
  <c r="AJ653" i="2"/>
  <c r="AK653" i="2" s="1"/>
  <c r="AI653" i="2"/>
  <c r="AO652" i="2"/>
  <c r="AN652" i="2"/>
  <c r="AJ652" i="2"/>
  <c r="AK652" i="2" s="1"/>
  <c r="AI652" i="2"/>
  <c r="AO651" i="2"/>
  <c r="AN651" i="2"/>
  <c r="AJ651" i="2"/>
  <c r="AK651" i="2" s="1"/>
  <c r="AI651" i="2"/>
  <c r="AO650" i="2"/>
  <c r="AN650" i="2"/>
  <c r="AJ650" i="2"/>
  <c r="AK650" i="2" s="1"/>
  <c r="AI650" i="2"/>
  <c r="AO649" i="2"/>
  <c r="AN649" i="2"/>
  <c r="AJ649" i="2"/>
  <c r="AK649" i="2" s="1"/>
  <c r="AI649" i="2"/>
  <c r="AO648" i="2"/>
  <c r="AN648" i="2"/>
  <c r="AJ648" i="2"/>
  <c r="AK648" i="2" s="1"/>
  <c r="AI648" i="2"/>
  <c r="AO647" i="2"/>
  <c r="AN647" i="2"/>
  <c r="AJ647" i="2"/>
  <c r="AK647" i="2" s="1"/>
  <c r="AI647" i="2"/>
  <c r="AO646" i="2"/>
  <c r="AN646" i="2"/>
  <c r="AJ646" i="2"/>
  <c r="AK646" i="2" s="1"/>
  <c r="AI646" i="2"/>
  <c r="AO645" i="2"/>
  <c r="AN645" i="2"/>
  <c r="AJ645" i="2"/>
  <c r="AK645" i="2" s="1"/>
  <c r="AI645" i="2"/>
  <c r="AO644" i="2"/>
  <c r="AN644" i="2"/>
  <c r="AJ644" i="2"/>
  <c r="AK644" i="2" s="1"/>
  <c r="AI644" i="2"/>
  <c r="AO643" i="2"/>
  <c r="AN643" i="2"/>
  <c r="AJ643" i="2"/>
  <c r="AK643" i="2" s="1"/>
  <c r="AI643" i="2"/>
  <c r="AO642" i="2"/>
  <c r="AN642" i="2"/>
  <c r="AJ642" i="2"/>
  <c r="AK642" i="2" s="1"/>
  <c r="AI642" i="2"/>
  <c r="AO641" i="2"/>
  <c r="AN641" i="2"/>
  <c r="AJ641" i="2"/>
  <c r="AK641" i="2" s="1"/>
  <c r="AI641" i="2"/>
  <c r="AO640" i="2"/>
  <c r="AN640" i="2"/>
  <c r="AJ640" i="2"/>
  <c r="AK640" i="2" s="1"/>
  <c r="AI640" i="2"/>
  <c r="AO639" i="2"/>
  <c r="AN639" i="2"/>
  <c r="AJ639" i="2"/>
  <c r="AK639" i="2" s="1"/>
  <c r="AI639" i="2"/>
  <c r="AO638" i="2"/>
  <c r="AN638" i="2"/>
  <c r="AJ638" i="2"/>
  <c r="AK638" i="2" s="1"/>
  <c r="AI638" i="2"/>
  <c r="AO637" i="2"/>
  <c r="AN637" i="2"/>
  <c r="AJ637" i="2"/>
  <c r="AK637" i="2" s="1"/>
  <c r="AI637" i="2"/>
  <c r="AO636" i="2"/>
  <c r="AN636" i="2"/>
  <c r="AJ636" i="2"/>
  <c r="AK636" i="2" s="1"/>
  <c r="AI636" i="2"/>
  <c r="AO635" i="2"/>
  <c r="AN635" i="2"/>
  <c r="AJ635" i="2"/>
  <c r="AK635" i="2" s="1"/>
  <c r="AI635" i="2"/>
  <c r="AO634" i="2"/>
  <c r="AN634" i="2"/>
  <c r="AJ634" i="2"/>
  <c r="AK634" i="2" s="1"/>
  <c r="AI634" i="2"/>
  <c r="AO633" i="2"/>
  <c r="AN633" i="2"/>
  <c r="AJ633" i="2"/>
  <c r="AK633" i="2" s="1"/>
  <c r="AI633" i="2"/>
  <c r="AO632" i="2"/>
  <c r="AN632" i="2"/>
  <c r="AJ632" i="2"/>
  <c r="AK632" i="2" s="1"/>
  <c r="AI632" i="2"/>
  <c r="AO631" i="2"/>
  <c r="AN631" i="2"/>
  <c r="AJ631" i="2"/>
  <c r="AK631" i="2" s="1"/>
  <c r="AI631" i="2"/>
  <c r="AO630" i="2"/>
  <c r="AN630" i="2"/>
  <c r="AJ630" i="2"/>
  <c r="AK630" i="2" s="1"/>
  <c r="AI630" i="2"/>
  <c r="AO629" i="2"/>
  <c r="AN629" i="2"/>
  <c r="AJ629" i="2"/>
  <c r="AK629" i="2" s="1"/>
  <c r="AI629" i="2"/>
  <c r="AO628" i="2"/>
  <c r="AN628" i="2"/>
  <c r="AJ628" i="2"/>
  <c r="AK628" i="2" s="1"/>
  <c r="AI628" i="2"/>
  <c r="AO627" i="2"/>
  <c r="AN627" i="2"/>
  <c r="AJ627" i="2"/>
  <c r="AK627" i="2" s="1"/>
  <c r="AI627" i="2"/>
  <c r="AO626" i="2"/>
  <c r="AN626" i="2"/>
  <c r="AJ626" i="2"/>
  <c r="AK626" i="2" s="1"/>
  <c r="AI626" i="2"/>
  <c r="AO625" i="2"/>
  <c r="AN625" i="2"/>
  <c r="AJ625" i="2"/>
  <c r="AK625" i="2" s="1"/>
  <c r="AI625" i="2"/>
  <c r="AO624" i="2"/>
  <c r="AN624" i="2"/>
  <c r="AJ624" i="2"/>
  <c r="AK624" i="2" s="1"/>
  <c r="AI624" i="2"/>
  <c r="AO623" i="2"/>
  <c r="AN623" i="2"/>
  <c r="AJ623" i="2"/>
  <c r="AK623" i="2" s="1"/>
  <c r="AI623" i="2"/>
  <c r="AO622" i="2"/>
  <c r="AN622" i="2"/>
  <c r="AJ622" i="2"/>
  <c r="AK622" i="2" s="1"/>
  <c r="AI622" i="2"/>
  <c r="AO621" i="2"/>
  <c r="AN621" i="2"/>
  <c r="AJ621" i="2"/>
  <c r="AK621" i="2" s="1"/>
  <c r="AI621" i="2"/>
  <c r="AO620" i="2"/>
  <c r="AN620" i="2"/>
  <c r="AJ620" i="2"/>
  <c r="AK620" i="2" s="1"/>
  <c r="AI620" i="2"/>
  <c r="AO619" i="2"/>
  <c r="AN619" i="2"/>
  <c r="AJ619" i="2"/>
  <c r="AK619" i="2" s="1"/>
  <c r="AI619" i="2"/>
  <c r="AO618" i="2"/>
  <c r="AN618" i="2"/>
  <c r="AJ618" i="2"/>
  <c r="AK618" i="2" s="1"/>
  <c r="AI618" i="2"/>
  <c r="AO617" i="2"/>
  <c r="AN617" i="2"/>
  <c r="AJ617" i="2"/>
  <c r="AK617" i="2" s="1"/>
  <c r="AI617" i="2"/>
  <c r="AO616" i="2"/>
  <c r="AN616" i="2"/>
  <c r="AJ616" i="2"/>
  <c r="AK616" i="2" s="1"/>
  <c r="AI616" i="2"/>
  <c r="AO615" i="2"/>
  <c r="AN615" i="2"/>
  <c r="AJ615" i="2"/>
  <c r="AK615" i="2" s="1"/>
  <c r="AI615" i="2"/>
  <c r="AO614" i="2"/>
  <c r="AN614" i="2"/>
  <c r="AJ614" i="2"/>
  <c r="AK614" i="2" s="1"/>
  <c r="AI614" i="2"/>
  <c r="AO613" i="2"/>
  <c r="AN613" i="2"/>
  <c r="AJ613" i="2"/>
  <c r="AK613" i="2" s="1"/>
  <c r="AI613" i="2"/>
  <c r="AO612" i="2"/>
  <c r="AN612" i="2"/>
  <c r="AJ612" i="2"/>
  <c r="AK612" i="2" s="1"/>
  <c r="AI612" i="2"/>
  <c r="AO611" i="2"/>
  <c r="AN611" i="2"/>
  <c r="AJ611" i="2"/>
  <c r="AK611" i="2" s="1"/>
  <c r="AI611" i="2"/>
  <c r="AO610" i="2"/>
  <c r="AN610" i="2"/>
  <c r="AJ610" i="2"/>
  <c r="AK610" i="2" s="1"/>
  <c r="AI610" i="2"/>
  <c r="AO609" i="2"/>
  <c r="AN609" i="2"/>
  <c r="AJ609" i="2"/>
  <c r="AK609" i="2" s="1"/>
  <c r="AI609" i="2"/>
  <c r="AO608" i="2"/>
  <c r="AN608" i="2"/>
  <c r="AJ608" i="2"/>
  <c r="AK608" i="2" s="1"/>
  <c r="AI608" i="2"/>
  <c r="AO607" i="2"/>
  <c r="AN607" i="2"/>
  <c r="AJ607" i="2"/>
  <c r="AK607" i="2" s="1"/>
  <c r="AI607" i="2"/>
  <c r="AO606" i="2"/>
  <c r="AN606" i="2"/>
  <c r="AJ606" i="2"/>
  <c r="AK606" i="2" s="1"/>
  <c r="AI606" i="2"/>
  <c r="AO605" i="2"/>
  <c r="AN605" i="2"/>
  <c r="AJ605" i="2"/>
  <c r="AK605" i="2" s="1"/>
  <c r="AI605" i="2"/>
  <c r="AO604" i="2"/>
  <c r="AN604" i="2"/>
  <c r="AJ604" i="2"/>
  <c r="AK604" i="2" s="1"/>
  <c r="AI604" i="2"/>
  <c r="AO603" i="2"/>
  <c r="AN603" i="2"/>
  <c r="AJ603" i="2"/>
  <c r="AK603" i="2" s="1"/>
  <c r="AI603" i="2"/>
  <c r="AO602" i="2"/>
  <c r="AN602" i="2"/>
  <c r="AJ602" i="2"/>
  <c r="AK602" i="2" s="1"/>
  <c r="AI602" i="2"/>
  <c r="AO601" i="2"/>
  <c r="AN601" i="2"/>
  <c r="AJ601" i="2"/>
  <c r="AK601" i="2" s="1"/>
  <c r="AI601" i="2"/>
  <c r="AO600" i="2"/>
  <c r="AN600" i="2"/>
  <c r="AJ600" i="2"/>
  <c r="AK600" i="2" s="1"/>
  <c r="AI600" i="2"/>
  <c r="AO599" i="2"/>
  <c r="AN599" i="2"/>
  <c r="AJ599" i="2"/>
  <c r="AK599" i="2" s="1"/>
  <c r="AI599" i="2"/>
  <c r="AO598" i="2"/>
  <c r="AN598" i="2"/>
  <c r="AJ598" i="2"/>
  <c r="AK598" i="2" s="1"/>
  <c r="AI598" i="2"/>
  <c r="AO597" i="2"/>
  <c r="AN597" i="2"/>
  <c r="AJ597" i="2"/>
  <c r="AK597" i="2" s="1"/>
  <c r="AI597" i="2"/>
  <c r="AO596" i="2"/>
  <c r="AN596" i="2"/>
  <c r="AJ596" i="2"/>
  <c r="AK596" i="2" s="1"/>
  <c r="AI596" i="2"/>
  <c r="AO595" i="2"/>
  <c r="AN595" i="2"/>
  <c r="AJ595" i="2"/>
  <c r="AK595" i="2" s="1"/>
  <c r="AI595" i="2"/>
  <c r="AO594" i="2"/>
  <c r="AN594" i="2"/>
  <c r="AJ594" i="2"/>
  <c r="AK594" i="2" s="1"/>
  <c r="AI594" i="2"/>
  <c r="AO593" i="2"/>
  <c r="AN593" i="2"/>
  <c r="AJ593" i="2"/>
  <c r="AK593" i="2" s="1"/>
  <c r="AI593" i="2"/>
  <c r="AO592" i="2"/>
  <c r="AN592" i="2"/>
  <c r="AJ592" i="2"/>
  <c r="AK592" i="2" s="1"/>
  <c r="AI592" i="2"/>
  <c r="AO591" i="2"/>
  <c r="AN591" i="2"/>
  <c r="AJ591" i="2"/>
  <c r="AK591" i="2" s="1"/>
  <c r="AI591" i="2"/>
  <c r="AO590" i="2"/>
  <c r="AN590" i="2"/>
  <c r="AJ590" i="2"/>
  <c r="AK590" i="2" s="1"/>
  <c r="AI590" i="2"/>
  <c r="AO589" i="2"/>
  <c r="AN589" i="2"/>
  <c r="AJ589" i="2"/>
  <c r="AK589" i="2" s="1"/>
  <c r="AI589" i="2"/>
  <c r="AO588" i="2"/>
  <c r="AN588" i="2"/>
  <c r="AJ588" i="2"/>
  <c r="AK588" i="2" s="1"/>
  <c r="AI588" i="2"/>
  <c r="AO587" i="2"/>
  <c r="AN587" i="2"/>
  <c r="AJ587" i="2"/>
  <c r="AK587" i="2" s="1"/>
  <c r="AI587" i="2"/>
  <c r="AO586" i="2"/>
  <c r="AN586" i="2"/>
  <c r="AJ586" i="2"/>
  <c r="AK586" i="2" s="1"/>
  <c r="AI586" i="2"/>
  <c r="AO585" i="2"/>
  <c r="AN585" i="2"/>
  <c r="AJ585" i="2"/>
  <c r="AK585" i="2" s="1"/>
  <c r="AI585" i="2"/>
  <c r="AO584" i="2"/>
  <c r="AN584" i="2"/>
  <c r="AJ584" i="2"/>
  <c r="AK584" i="2" s="1"/>
  <c r="AI584" i="2"/>
  <c r="AO583" i="2"/>
  <c r="AN583" i="2"/>
  <c r="AJ583" i="2"/>
  <c r="AK583" i="2" s="1"/>
  <c r="AI583" i="2"/>
  <c r="AO582" i="2"/>
  <c r="AN582" i="2"/>
  <c r="AJ582" i="2"/>
  <c r="AK582" i="2" s="1"/>
  <c r="AI582" i="2"/>
  <c r="AO581" i="2"/>
  <c r="AN581" i="2"/>
  <c r="AJ581" i="2"/>
  <c r="AK581" i="2" s="1"/>
  <c r="AI581" i="2"/>
  <c r="AO580" i="2"/>
  <c r="AN580" i="2"/>
  <c r="AJ580" i="2"/>
  <c r="AK580" i="2" s="1"/>
  <c r="AI580" i="2"/>
  <c r="AO579" i="2"/>
  <c r="AN579" i="2"/>
  <c r="AJ579" i="2"/>
  <c r="AK579" i="2" s="1"/>
  <c r="AI579" i="2"/>
  <c r="AO578" i="2"/>
  <c r="AN578" i="2"/>
  <c r="AJ578" i="2"/>
  <c r="AK578" i="2" s="1"/>
  <c r="AI578" i="2"/>
  <c r="AO577" i="2"/>
  <c r="AN577" i="2"/>
  <c r="AJ577" i="2"/>
  <c r="AK577" i="2" s="1"/>
  <c r="AI577" i="2"/>
  <c r="AO576" i="2"/>
  <c r="AN576" i="2"/>
  <c r="AJ576" i="2"/>
  <c r="AK576" i="2" s="1"/>
  <c r="AI576" i="2"/>
  <c r="AO575" i="2"/>
  <c r="AN575" i="2"/>
  <c r="AJ575" i="2"/>
  <c r="AK575" i="2" s="1"/>
  <c r="AI575" i="2"/>
  <c r="AO574" i="2"/>
  <c r="AN574" i="2"/>
  <c r="AJ574" i="2"/>
  <c r="AK574" i="2" s="1"/>
  <c r="AI574" i="2"/>
  <c r="AO573" i="2"/>
  <c r="AN573" i="2"/>
  <c r="AJ573" i="2"/>
  <c r="AK573" i="2" s="1"/>
  <c r="AI573" i="2"/>
  <c r="AO572" i="2"/>
  <c r="AN572" i="2"/>
  <c r="AJ572" i="2"/>
  <c r="AK572" i="2" s="1"/>
  <c r="AI572" i="2"/>
  <c r="AO571" i="2"/>
  <c r="AN571" i="2"/>
  <c r="AJ571" i="2"/>
  <c r="AK571" i="2" s="1"/>
  <c r="AI571" i="2"/>
  <c r="AO570" i="2"/>
  <c r="AN570" i="2"/>
  <c r="AJ570" i="2"/>
  <c r="AK570" i="2" s="1"/>
  <c r="AI570" i="2"/>
  <c r="AO569" i="2"/>
  <c r="AN569" i="2"/>
  <c r="AJ569" i="2"/>
  <c r="AK569" i="2" s="1"/>
  <c r="AI569" i="2"/>
  <c r="AO568" i="2"/>
  <c r="AN568" i="2"/>
  <c r="AJ568" i="2"/>
  <c r="AK568" i="2" s="1"/>
  <c r="AI568" i="2"/>
  <c r="AO567" i="2"/>
  <c r="AN567" i="2"/>
  <c r="AJ567" i="2"/>
  <c r="AK567" i="2" s="1"/>
  <c r="AI567" i="2"/>
  <c r="AO566" i="2"/>
  <c r="AN566" i="2"/>
  <c r="AJ566" i="2"/>
  <c r="AK566" i="2" s="1"/>
  <c r="AI566" i="2"/>
  <c r="AO565" i="2"/>
  <c r="AN565" i="2"/>
  <c r="AJ565" i="2"/>
  <c r="AK565" i="2" s="1"/>
  <c r="AI565" i="2"/>
  <c r="AO564" i="2"/>
  <c r="AN564" i="2"/>
  <c r="AJ564" i="2"/>
  <c r="AK564" i="2" s="1"/>
  <c r="AI564" i="2"/>
  <c r="AO563" i="2"/>
  <c r="AN563" i="2"/>
  <c r="AJ563" i="2"/>
  <c r="AK563" i="2" s="1"/>
  <c r="AI563" i="2"/>
  <c r="AO562" i="2"/>
  <c r="AN562" i="2"/>
  <c r="AJ562" i="2"/>
  <c r="AK562" i="2" s="1"/>
  <c r="AI562" i="2"/>
  <c r="AO561" i="2"/>
  <c r="AN561" i="2"/>
  <c r="AJ561" i="2"/>
  <c r="AK561" i="2" s="1"/>
  <c r="AI561" i="2"/>
  <c r="AO560" i="2"/>
  <c r="AN560" i="2"/>
  <c r="AJ560" i="2"/>
  <c r="AK560" i="2" s="1"/>
  <c r="AI560" i="2"/>
  <c r="AO559" i="2"/>
  <c r="AN559" i="2"/>
  <c r="AJ559" i="2"/>
  <c r="AK559" i="2" s="1"/>
  <c r="AI559" i="2"/>
  <c r="AO558" i="2"/>
  <c r="AN558" i="2"/>
  <c r="AJ558" i="2"/>
  <c r="AK558" i="2" s="1"/>
  <c r="AI558" i="2"/>
  <c r="AO557" i="2"/>
  <c r="AN557" i="2"/>
  <c r="AJ557" i="2"/>
  <c r="AK557" i="2" s="1"/>
  <c r="AI557" i="2"/>
  <c r="AO556" i="2"/>
  <c r="AN556" i="2"/>
  <c r="AJ556" i="2"/>
  <c r="AK556" i="2" s="1"/>
  <c r="AI556" i="2"/>
  <c r="AO555" i="2"/>
  <c r="AN555" i="2"/>
  <c r="AJ555" i="2"/>
  <c r="AK555" i="2" s="1"/>
  <c r="AI555" i="2"/>
  <c r="AO554" i="2"/>
  <c r="AN554" i="2"/>
  <c r="AJ554" i="2"/>
  <c r="AK554" i="2" s="1"/>
  <c r="AI554" i="2"/>
  <c r="AO553" i="2"/>
  <c r="AN553" i="2"/>
  <c r="AJ553" i="2"/>
  <c r="AK553" i="2" s="1"/>
  <c r="AI553" i="2"/>
  <c r="AO552" i="2"/>
  <c r="AN552" i="2"/>
  <c r="AJ552" i="2"/>
  <c r="AK552" i="2" s="1"/>
  <c r="AI552" i="2"/>
  <c r="AO551" i="2"/>
  <c r="AN551" i="2"/>
  <c r="AJ551" i="2"/>
  <c r="AK551" i="2" s="1"/>
  <c r="AI551" i="2"/>
  <c r="AO550" i="2"/>
  <c r="AN550" i="2"/>
  <c r="AJ550" i="2"/>
  <c r="AK550" i="2" s="1"/>
  <c r="AI550" i="2"/>
  <c r="AO549" i="2"/>
  <c r="AN549" i="2"/>
  <c r="AJ549" i="2"/>
  <c r="AK549" i="2" s="1"/>
  <c r="AI549" i="2"/>
  <c r="AO548" i="2"/>
  <c r="AN548" i="2"/>
  <c r="AJ548" i="2"/>
  <c r="AK548" i="2" s="1"/>
  <c r="AI548" i="2"/>
  <c r="AO547" i="2"/>
  <c r="AN547" i="2"/>
  <c r="AJ547" i="2"/>
  <c r="AK547" i="2" s="1"/>
  <c r="AI547" i="2"/>
  <c r="AO546" i="2"/>
  <c r="AN546" i="2"/>
  <c r="AJ546" i="2"/>
  <c r="AK546" i="2" s="1"/>
  <c r="AI546" i="2"/>
  <c r="AO545" i="2"/>
  <c r="AN545" i="2"/>
  <c r="AJ545" i="2"/>
  <c r="AK545" i="2" s="1"/>
  <c r="AI545" i="2"/>
  <c r="AO544" i="2"/>
  <c r="AN544" i="2"/>
  <c r="AJ544" i="2"/>
  <c r="AK544" i="2" s="1"/>
  <c r="AI544" i="2"/>
  <c r="AO543" i="2"/>
  <c r="AN543" i="2"/>
  <c r="AJ543" i="2"/>
  <c r="AK543" i="2" s="1"/>
  <c r="AI543" i="2"/>
  <c r="AO542" i="2"/>
  <c r="AN542" i="2"/>
  <c r="AJ542" i="2"/>
  <c r="AK542" i="2" s="1"/>
  <c r="AI542" i="2"/>
  <c r="AO541" i="2"/>
  <c r="AN541" i="2"/>
  <c r="AJ541" i="2"/>
  <c r="AK541" i="2" s="1"/>
  <c r="AI541" i="2"/>
  <c r="AO540" i="2"/>
  <c r="AN540" i="2"/>
  <c r="AJ540" i="2"/>
  <c r="AK540" i="2" s="1"/>
  <c r="AI540" i="2"/>
  <c r="AO539" i="2"/>
  <c r="AN539" i="2"/>
  <c r="AJ539" i="2"/>
  <c r="AK539" i="2" s="1"/>
  <c r="AI539" i="2"/>
  <c r="AO538" i="2"/>
  <c r="AN538" i="2"/>
  <c r="AJ538" i="2"/>
  <c r="AK538" i="2" s="1"/>
  <c r="AI538" i="2"/>
  <c r="AO537" i="2"/>
  <c r="AN537" i="2"/>
  <c r="AJ537" i="2"/>
  <c r="AK537" i="2" s="1"/>
  <c r="AI537" i="2"/>
  <c r="AO536" i="2"/>
  <c r="AN536" i="2"/>
  <c r="AJ536" i="2"/>
  <c r="AK536" i="2" s="1"/>
  <c r="AI536" i="2"/>
  <c r="AO535" i="2"/>
  <c r="AN535" i="2"/>
  <c r="AJ535" i="2"/>
  <c r="AK535" i="2" s="1"/>
  <c r="AI535" i="2"/>
  <c r="AO534" i="2"/>
  <c r="AN534" i="2"/>
  <c r="AJ534" i="2"/>
  <c r="AK534" i="2" s="1"/>
  <c r="AI534" i="2"/>
  <c r="AO533" i="2"/>
  <c r="AN533" i="2"/>
  <c r="AJ533" i="2"/>
  <c r="AK533" i="2" s="1"/>
  <c r="AI533" i="2"/>
  <c r="AO532" i="2"/>
  <c r="AN532" i="2"/>
  <c r="AJ532" i="2"/>
  <c r="AK532" i="2" s="1"/>
  <c r="AI532" i="2"/>
  <c r="AO531" i="2"/>
  <c r="AN531" i="2"/>
  <c r="AJ531" i="2"/>
  <c r="AK531" i="2" s="1"/>
  <c r="AI531" i="2"/>
  <c r="AO530" i="2"/>
  <c r="AN530" i="2"/>
  <c r="AJ530" i="2"/>
  <c r="AK530" i="2" s="1"/>
  <c r="AI530" i="2"/>
  <c r="AO529" i="2"/>
  <c r="AN529" i="2"/>
  <c r="AJ529" i="2"/>
  <c r="AK529" i="2" s="1"/>
  <c r="AI529" i="2"/>
  <c r="AO528" i="2"/>
  <c r="AN528" i="2"/>
  <c r="AJ528" i="2"/>
  <c r="AK528" i="2" s="1"/>
  <c r="AI528" i="2"/>
  <c r="AO527" i="2"/>
  <c r="AN527" i="2"/>
  <c r="AJ527" i="2"/>
  <c r="AK527" i="2" s="1"/>
  <c r="AI527" i="2"/>
  <c r="AO526" i="2"/>
  <c r="AN526" i="2"/>
  <c r="AJ526" i="2"/>
  <c r="AK526" i="2" s="1"/>
  <c r="AI526" i="2"/>
  <c r="AO525" i="2"/>
  <c r="AN525" i="2"/>
  <c r="AJ525" i="2"/>
  <c r="AK525" i="2" s="1"/>
  <c r="AI525" i="2"/>
  <c r="AO524" i="2"/>
  <c r="AN524" i="2"/>
  <c r="AJ524" i="2"/>
  <c r="AK524" i="2" s="1"/>
  <c r="AI524" i="2"/>
  <c r="AO523" i="2"/>
  <c r="AN523" i="2"/>
  <c r="AJ523" i="2"/>
  <c r="AK523" i="2" s="1"/>
  <c r="AI523" i="2"/>
  <c r="AO522" i="2"/>
  <c r="AN522" i="2"/>
  <c r="AJ522" i="2"/>
  <c r="AK522" i="2" s="1"/>
  <c r="AI522" i="2"/>
  <c r="AO521" i="2"/>
  <c r="AN521" i="2"/>
  <c r="AJ521" i="2"/>
  <c r="AK521" i="2" s="1"/>
  <c r="AI521" i="2"/>
  <c r="AO520" i="2"/>
  <c r="AN520" i="2"/>
  <c r="AJ520" i="2"/>
  <c r="AK520" i="2" s="1"/>
  <c r="AI520" i="2"/>
  <c r="AO519" i="2"/>
  <c r="AN519" i="2"/>
  <c r="AJ519" i="2"/>
  <c r="AK519" i="2" s="1"/>
  <c r="AI519" i="2"/>
  <c r="AO518" i="2"/>
  <c r="AN518" i="2"/>
  <c r="AJ518" i="2"/>
  <c r="AK518" i="2" s="1"/>
  <c r="AI518" i="2"/>
  <c r="AO517" i="2"/>
  <c r="AN517" i="2"/>
  <c r="AJ517" i="2"/>
  <c r="AK517" i="2" s="1"/>
  <c r="AI517" i="2"/>
  <c r="AO516" i="2"/>
  <c r="AN516" i="2"/>
  <c r="AJ516" i="2"/>
  <c r="AK516" i="2" s="1"/>
  <c r="AI516" i="2"/>
  <c r="AO515" i="2"/>
  <c r="AN515" i="2"/>
  <c r="AJ515" i="2"/>
  <c r="AK515" i="2" s="1"/>
  <c r="AI515" i="2"/>
  <c r="AO514" i="2"/>
  <c r="AN514" i="2"/>
  <c r="AJ514" i="2"/>
  <c r="AK514" i="2" s="1"/>
  <c r="AI514" i="2"/>
  <c r="AO513" i="2"/>
  <c r="AN513" i="2"/>
  <c r="AJ513" i="2"/>
  <c r="AK513" i="2" s="1"/>
  <c r="AI513" i="2"/>
  <c r="AO512" i="2"/>
  <c r="AN512" i="2"/>
  <c r="AJ512" i="2"/>
  <c r="AK512" i="2" s="1"/>
  <c r="AI512" i="2"/>
  <c r="AO511" i="2"/>
  <c r="AN511" i="2"/>
  <c r="AJ511" i="2"/>
  <c r="AK511" i="2" s="1"/>
  <c r="AI511" i="2"/>
  <c r="AO510" i="2"/>
  <c r="AN510" i="2"/>
  <c r="AJ510" i="2"/>
  <c r="AK510" i="2" s="1"/>
  <c r="AI510" i="2"/>
  <c r="AO509" i="2"/>
  <c r="AN509" i="2"/>
  <c r="AJ509" i="2"/>
  <c r="AK509" i="2" s="1"/>
  <c r="AI509" i="2"/>
  <c r="AO508" i="2"/>
  <c r="AN508" i="2"/>
  <c r="AJ508" i="2"/>
  <c r="AK508" i="2" s="1"/>
  <c r="AI508" i="2"/>
  <c r="AO507" i="2"/>
  <c r="AN507" i="2"/>
  <c r="AJ507" i="2"/>
  <c r="AK507" i="2" s="1"/>
  <c r="AI507" i="2"/>
  <c r="AO506" i="2"/>
  <c r="AN506" i="2"/>
  <c r="AJ506" i="2"/>
  <c r="AK506" i="2" s="1"/>
  <c r="AI506" i="2"/>
  <c r="AO505" i="2"/>
  <c r="AN505" i="2"/>
  <c r="AJ505" i="2"/>
  <c r="AK505" i="2" s="1"/>
  <c r="AI505" i="2"/>
  <c r="AO504" i="2"/>
  <c r="AN504" i="2"/>
  <c r="AJ504" i="2"/>
  <c r="AK504" i="2" s="1"/>
  <c r="AI504" i="2"/>
  <c r="AO503" i="2"/>
  <c r="AN503" i="2"/>
  <c r="AJ503" i="2"/>
  <c r="AK503" i="2" s="1"/>
  <c r="AI503" i="2"/>
  <c r="AO502" i="2"/>
  <c r="AN502" i="2"/>
  <c r="AJ502" i="2"/>
  <c r="AK502" i="2" s="1"/>
  <c r="AI502" i="2"/>
  <c r="AO501" i="2"/>
  <c r="AN501" i="2"/>
  <c r="AJ501" i="2"/>
  <c r="AK501" i="2" s="1"/>
  <c r="AI501" i="2"/>
  <c r="AO500" i="2"/>
  <c r="AN500" i="2"/>
  <c r="AJ500" i="2"/>
  <c r="AK500" i="2" s="1"/>
  <c r="AI500" i="2"/>
  <c r="AO499" i="2"/>
  <c r="AN499" i="2"/>
  <c r="AJ499" i="2"/>
  <c r="AK499" i="2" s="1"/>
  <c r="AI499" i="2"/>
  <c r="AO498" i="2"/>
  <c r="AN498" i="2"/>
  <c r="AJ498" i="2"/>
  <c r="AK498" i="2" s="1"/>
  <c r="AI498" i="2"/>
  <c r="AO497" i="2"/>
  <c r="AN497" i="2"/>
  <c r="AJ497" i="2"/>
  <c r="AK497" i="2" s="1"/>
  <c r="AI497" i="2"/>
  <c r="AO496" i="2"/>
  <c r="AN496" i="2"/>
  <c r="AJ496" i="2"/>
  <c r="AK496" i="2" s="1"/>
  <c r="AI496" i="2"/>
  <c r="AO495" i="2"/>
  <c r="AN495" i="2"/>
  <c r="AJ495" i="2"/>
  <c r="AK495" i="2" s="1"/>
  <c r="AI495" i="2"/>
  <c r="AO494" i="2"/>
  <c r="AN494" i="2"/>
  <c r="AJ494" i="2"/>
  <c r="AK494" i="2" s="1"/>
  <c r="AI494" i="2"/>
  <c r="AO493" i="2"/>
  <c r="AN493" i="2"/>
  <c r="AJ493" i="2"/>
  <c r="AK493" i="2" s="1"/>
  <c r="AI493" i="2"/>
  <c r="AO492" i="2"/>
  <c r="AN492" i="2"/>
  <c r="AJ492" i="2"/>
  <c r="AK492" i="2" s="1"/>
  <c r="AI492" i="2"/>
  <c r="AO491" i="2"/>
  <c r="AN491" i="2"/>
  <c r="AJ491" i="2"/>
  <c r="AK491" i="2" s="1"/>
  <c r="AI491" i="2"/>
  <c r="AO490" i="2"/>
  <c r="AN490" i="2"/>
  <c r="AJ490" i="2"/>
  <c r="AK490" i="2" s="1"/>
  <c r="AI490" i="2"/>
  <c r="AO489" i="2"/>
  <c r="AN489" i="2"/>
  <c r="AJ489" i="2"/>
  <c r="AK489" i="2" s="1"/>
  <c r="AI489" i="2"/>
  <c r="AO488" i="2"/>
  <c r="AN488" i="2"/>
  <c r="AJ488" i="2"/>
  <c r="AK488" i="2" s="1"/>
  <c r="AI488" i="2"/>
  <c r="AO487" i="2"/>
  <c r="AN487" i="2"/>
  <c r="AJ487" i="2"/>
  <c r="AK487" i="2" s="1"/>
  <c r="AI487" i="2"/>
  <c r="AO486" i="2"/>
  <c r="AN486" i="2"/>
  <c r="AJ486" i="2"/>
  <c r="AK486" i="2" s="1"/>
  <c r="AI486" i="2"/>
  <c r="AO485" i="2"/>
  <c r="AN485" i="2"/>
  <c r="AJ485" i="2"/>
  <c r="AK485" i="2" s="1"/>
  <c r="AI485" i="2"/>
  <c r="AO484" i="2"/>
  <c r="AN484" i="2"/>
  <c r="AJ484" i="2"/>
  <c r="AK484" i="2" s="1"/>
  <c r="AI484" i="2"/>
  <c r="AO483" i="2"/>
  <c r="AN483" i="2"/>
  <c r="AJ483" i="2"/>
  <c r="AK483" i="2" s="1"/>
  <c r="AI483" i="2"/>
  <c r="AO482" i="2"/>
  <c r="AN482" i="2"/>
  <c r="AJ482" i="2"/>
  <c r="AK482" i="2" s="1"/>
  <c r="AI482" i="2"/>
  <c r="AO481" i="2"/>
  <c r="AN481" i="2"/>
  <c r="AJ481" i="2"/>
  <c r="AK481" i="2" s="1"/>
  <c r="AI481" i="2"/>
  <c r="AO480" i="2"/>
  <c r="AN480" i="2"/>
  <c r="AJ480" i="2"/>
  <c r="AK480" i="2" s="1"/>
  <c r="AI480" i="2"/>
  <c r="AO479" i="2"/>
  <c r="AN479" i="2"/>
  <c r="AJ479" i="2"/>
  <c r="AK479" i="2" s="1"/>
  <c r="AI479" i="2"/>
  <c r="AO478" i="2"/>
  <c r="AN478" i="2"/>
  <c r="AJ478" i="2"/>
  <c r="AK478" i="2" s="1"/>
  <c r="AI478" i="2"/>
  <c r="AO477" i="2"/>
  <c r="AN477" i="2"/>
  <c r="AJ477" i="2"/>
  <c r="AK477" i="2" s="1"/>
  <c r="AI477" i="2"/>
  <c r="AO476" i="2"/>
  <c r="AN476" i="2"/>
  <c r="AJ476" i="2"/>
  <c r="AK476" i="2" s="1"/>
  <c r="AI476" i="2"/>
  <c r="AO475" i="2"/>
  <c r="AN475" i="2"/>
  <c r="AJ475" i="2"/>
  <c r="AK475" i="2" s="1"/>
  <c r="AI475" i="2"/>
  <c r="AO474" i="2"/>
  <c r="AN474" i="2"/>
  <c r="AJ474" i="2"/>
  <c r="AK474" i="2" s="1"/>
  <c r="AI474" i="2"/>
  <c r="AO473" i="2"/>
  <c r="AN473" i="2"/>
  <c r="AJ473" i="2"/>
  <c r="AK473" i="2" s="1"/>
  <c r="AI473" i="2"/>
  <c r="AO472" i="2"/>
  <c r="AN472" i="2"/>
  <c r="AJ472" i="2"/>
  <c r="AK472" i="2" s="1"/>
  <c r="AI472" i="2"/>
  <c r="AO471" i="2"/>
  <c r="AN471" i="2"/>
  <c r="AJ471" i="2"/>
  <c r="AK471" i="2" s="1"/>
  <c r="AI471" i="2"/>
  <c r="AO470" i="2"/>
  <c r="AN470" i="2"/>
  <c r="AJ470" i="2"/>
  <c r="AK470" i="2" s="1"/>
  <c r="AI470" i="2"/>
  <c r="AO469" i="2"/>
  <c r="AN469" i="2"/>
  <c r="AJ469" i="2"/>
  <c r="AK469" i="2" s="1"/>
  <c r="AI469" i="2"/>
  <c r="AO468" i="2"/>
  <c r="AN468" i="2"/>
  <c r="AJ468" i="2"/>
  <c r="AK468" i="2" s="1"/>
  <c r="AI468" i="2"/>
  <c r="AO467" i="2"/>
  <c r="AN467" i="2"/>
  <c r="AJ467" i="2"/>
  <c r="AK467" i="2" s="1"/>
  <c r="AI467" i="2"/>
  <c r="AO466" i="2"/>
  <c r="AN466" i="2"/>
  <c r="AJ466" i="2"/>
  <c r="AK466" i="2" s="1"/>
  <c r="AI466" i="2"/>
  <c r="AO465" i="2"/>
  <c r="AN465" i="2"/>
  <c r="AJ465" i="2"/>
  <c r="AK465" i="2" s="1"/>
  <c r="AI465" i="2"/>
  <c r="AO464" i="2"/>
  <c r="AN464" i="2"/>
  <c r="AJ464" i="2"/>
  <c r="AK464" i="2" s="1"/>
  <c r="AI464" i="2"/>
  <c r="AO463" i="2"/>
  <c r="AN463" i="2"/>
  <c r="AJ463" i="2"/>
  <c r="AK463" i="2" s="1"/>
  <c r="AI463" i="2"/>
  <c r="AO462" i="2"/>
  <c r="AN462" i="2"/>
  <c r="AJ462" i="2"/>
  <c r="AK462" i="2" s="1"/>
  <c r="AI462" i="2"/>
  <c r="AO461" i="2"/>
  <c r="AN461" i="2"/>
  <c r="AJ461" i="2"/>
  <c r="AK461" i="2" s="1"/>
  <c r="AI461" i="2"/>
  <c r="AO460" i="2"/>
  <c r="AN460" i="2"/>
  <c r="AJ460" i="2"/>
  <c r="AK460" i="2" s="1"/>
  <c r="AI460" i="2"/>
  <c r="AO459" i="2"/>
  <c r="AN459" i="2"/>
  <c r="AJ459" i="2"/>
  <c r="AK459" i="2" s="1"/>
  <c r="AI459" i="2"/>
  <c r="AO458" i="2"/>
  <c r="AN458" i="2"/>
  <c r="AJ458" i="2"/>
  <c r="AK458" i="2" s="1"/>
  <c r="AI458" i="2"/>
  <c r="AO457" i="2"/>
  <c r="AN457" i="2"/>
  <c r="AJ457" i="2"/>
  <c r="AK457" i="2" s="1"/>
  <c r="AI457" i="2"/>
  <c r="AO456" i="2"/>
  <c r="AN456" i="2"/>
  <c r="AJ456" i="2"/>
  <c r="AK456" i="2" s="1"/>
  <c r="AI456" i="2"/>
  <c r="AO455" i="2"/>
  <c r="AN455" i="2"/>
  <c r="AJ455" i="2"/>
  <c r="AK455" i="2" s="1"/>
  <c r="AI455" i="2"/>
  <c r="AO454" i="2"/>
  <c r="AN454" i="2"/>
  <c r="AJ454" i="2"/>
  <c r="AK454" i="2" s="1"/>
  <c r="AI454" i="2"/>
  <c r="AO453" i="2"/>
  <c r="AN453" i="2"/>
  <c r="AJ453" i="2"/>
  <c r="AK453" i="2" s="1"/>
  <c r="AI453" i="2"/>
  <c r="AO452" i="2"/>
  <c r="AN452" i="2"/>
  <c r="AJ452" i="2"/>
  <c r="AK452" i="2" s="1"/>
  <c r="AI452" i="2"/>
  <c r="AO451" i="2"/>
  <c r="AN451" i="2"/>
  <c r="AJ451" i="2"/>
  <c r="AK451" i="2" s="1"/>
  <c r="AI451" i="2"/>
  <c r="AO450" i="2"/>
  <c r="AN450" i="2"/>
  <c r="AJ450" i="2"/>
  <c r="AK450" i="2" s="1"/>
  <c r="AI450" i="2"/>
  <c r="AO449" i="2"/>
  <c r="AN449" i="2"/>
  <c r="AJ449" i="2"/>
  <c r="AK449" i="2" s="1"/>
  <c r="AI449" i="2"/>
  <c r="AO448" i="2"/>
  <c r="AN448" i="2"/>
  <c r="AJ448" i="2"/>
  <c r="AK448" i="2" s="1"/>
  <c r="AI448" i="2"/>
  <c r="AO447" i="2"/>
  <c r="AN447" i="2"/>
  <c r="AJ447" i="2"/>
  <c r="AK447" i="2" s="1"/>
  <c r="AI447" i="2"/>
  <c r="AO446" i="2"/>
  <c r="AN446" i="2"/>
  <c r="AJ446" i="2"/>
  <c r="AK446" i="2" s="1"/>
  <c r="AI446" i="2"/>
  <c r="AO445" i="2"/>
  <c r="AN445" i="2"/>
  <c r="AJ445" i="2"/>
  <c r="AK445" i="2" s="1"/>
  <c r="AI445" i="2"/>
  <c r="AO444" i="2"/>
  <c r="AN444" i="2"/>
  <c r="AJ444" i="2"/>
  <c r="AK444" i="2" s="1"/>
  <c r="AI444" i="2"/>
  <c r="AO443" i="2"/>
  <c r="AN443" i="2"/>
  <c r="AJ443" i="2"/>
  <c r="AK443" i="2" s="1"/>
  <c r="AI443" i="2"/>
  <c r="AO442" i="2"/>
  <c r="AN442" i="2"/>
  <c r="AJ442" i="2"/>
  <c r="AK442" i="2" s="1"/>
  <c r="AI442" i="2"/>
  <c r="AO441" i="2"/>
  <c r="AN441" i="2"/>
  <c r="AJ441" i="2"/>
  <c r="AK441" i="2" s="1"/>
  <c r="AI441" i="2"/>
  <c r="AO440" i="2"/>
  <c r="AN440" i="2"/>
  <c r="AJ440" i="2"/>
  <c r="AK440" i="2" s="1"/>
  <c r="AI440" i="2"/>
  <c r="AO439" i="2"/>
  <c r="AN439" i="2"/>
  <c r="AJ439" i="2"/>
  <c r="AK439" i="2" s="1"/>
  <c r="AI439" i="2"/>
  <c r="AO438" i="2"/>
  <c r="AN438" i="2"/>
  <c r="AJ438" i="2"/>
  <c r="AK438" i="2" s="1"/>
  <c r="AI438" i="2"/>
  <c r="AO437" i="2"/>
  <c r="AN437" i="2"/>
  <c r="AJ437" i="2"/>
  <c r="AK437" i="2" s="1"/>
  <c r="AI437" i="2"/>
  <c r="AO436" i="2"/>
  <c r="AN436" i="2"/>
  <c r="AJ436" i="2"/>
  <c r="AK436" i="2" s="1"/>
  <c r="AI436" i="2"/>
  <c r="AO435" i="2"/>
  <c r="AN435" i="2"/>
  <c r="AJ435" i="2"/>
  <c r="AK435" i="2" s="1"/>
  <c r="AI435" i="2"/>
  <c r="AO434" i="2"/>
  <c r="AN434" i="2"/>
  <c r="AJ434" i="2"/>
  <c r="AK434" i="2" s="1"/>
  <c r="AI434" i="2"/>
  <c r="AO433" i="2"/>
  <c r="AN433" i="2"/>
  <c r="AJ433" i="2"/>
  <c r="AK433" i="2" s="1"/>
  <c r="AI433" i="2"/>
  <c r="AO432" i="2"/>
  <c r="AN432" i="2"/>
  <c r="AJ432" i="2"/>
  <c r="AK432" i="2" s="1"/>
  <c r="AI432" i="2"/>
  <c r="AO431" i="2"/>
  <c r="AN431" i="2"/>
  <c r="AJ431" i="2"/>
  <c r="AK431" i="2" s="1"/>
  <c r="AI431" i="2"/>
  <c r="AO430" i="2"/>
  <c r="AN430" i="2"/>
  <c r="AJ430" i="2"/>
  <c r="AK430" i="2" s="1"/>
  <c r="AI430" i="2"/>
  <c r="AO429" i="2"/>
  <c r="AN429" i="2"/>
  <c r="AJ429" i="2"/>
  <c r="AK429" i="2" s="1"/>
  <c r="AI429" i="2"/>
  <c r="AO428" i="2"/>
  <c r="AN428" i="2"/>
  <c r="AJ428" i="2"/>
  <c r="AK428" i="2" s="1"/>
  <c r="AI428" i="2"/>
  <c r="AO427" i="2"/>
  <c r="AN427" i="2"/>
  <c r="AJ427" i="2"/>
  <c r="AK427" i="2" s="1"/>
  <c r="AI427" i="2"/>
  <c r="AO426" i="2"/>
  <c r="AN426" i="2"/>
  <c r="AJ426" i="2"/>
  <c r="AK426" i="2" s="1"/>
  <c r="AI426" i="2"/>
  <c r="AO425" i="2"/>
  <c r="AN425" i="2"/>
  <c r="AJ425" i="2"/>
  <c r="AK425" i="2" s="1"/>
  <c r="AI425" i="2"/>
  <c r="AO424" i="2"/>
  <c r="AN424" i="2"/>
  <c r="AJ424" i="2"/>
  <c r="AK424" i="2" s="1"/>
  <c r="AI424" i="2"/>
  <c r="AO423" i="2"/>
  <c r="AN423" i="2"/>
  <c r="AJ423" i="2"/>
  <c r="AK423" i="2" s="1"/>
  <c r="AI423" i="2"/>
  <c r="AO422" i="2"/>
  <c r="AN422" i="2"/>
  <c r="AJ422" i="2"/>
  <c r="AK422" i="2" s="1"/>
  <c r="AI422" i="2"/>
  <c r="AO421" i="2"/>
  <c r="AN421" i="2"/>
  <c r="AJ421" i="2"/>
  <c r="AK421" i="2" s="1"/>
  <c r="AI421" i="2"/>
  <c r="AO420" i="2"/>
  <c r="AN420" i="2"/>
  <c r="AJ420" i="2"/>
  <c r="AK420" i="2" s="1"/>
  <c r="AI420" i="2"/>
  <c r="AO419" i="2"/>
  <c r="AN419" i="2"/>
  <c r="AJ419" i="2"/>
  <c r="AK419" i="2" s="1"/>
  <c r="AI419" i="2"/>
  <c r="AO418" i="2"/>
  <c r="AN418" i="2"/>
  <c r="AJ418" i="2"/>
  <c r="AK418" i="2" s="1"/>
  <c r="AI418" i="2"/>
  <c r="AO417" i="2"/>
  <c r="AN417" i="2"/>
  <c r="AJ417" i="2"/>
  <c r="AK417" i="2" s="1"/>
  <c r="AI417" i="2"/>
  <c r="AO416" i="2"/>
  <c r="AN416" i="2"/>
  <c r="AJ416" i="2"/>
  <c r="AK416" i="2" s="1"/>
  <c r="AI416" i="2"/>
  <c r="AO415" i="2"/>
  <c r="AN415" i="2"/>
  <c r="AJ415" i="2"/>
  <c r="AK415" i="2" s="1"/>
  <c r="AI415" i="2"/>
  <c r="AO414" i="2"/>
  <c r="AN414" i="2"/>
  <c r="AJ414" i="2"/>
  <c r="AK414" i="2" s="1"/>
  <c r="AI414" i="2"/>
  <c r="AO413" i="2"/>
  <c r="AN413" i="2"/>
  <c r="AJ413" i="2"/>
  <c r="AK413" i="2" s="1"/>
  <c r="AI413" i="2"/>
  <c r="AO412" i="2"/>
  <c r="AN412" i="2"/>
  <c r="AJ412" i="2"/>
  <c r="AK412" i="2" s="1"/>
  <c r="AI412" i="2"/>
  <c r="AO411" i="2"/>
  <c r="AN411" i="2"/>
  <c r="AJ411" i="2"/>
  <c r="AK411" i="2" s="1"/>
  <c r="AI411" i="2"/>
  <c r="AO410" i="2"/>
  <c r="AN410" i="2"/>
  <c r="AJ410" i="2"/>
  <c r="AK410" i="2" s="1"/>
  <c r="AI410" i="2"/>
  <c r="AO409" i="2"/>
  <c r="AN409" i="2"/>
  <c r="AJ409" i="2"/>
  <c r="AK409" i="2" s="1"/>
  <c r="AI409" i="2"/>
  <c r="AO408" i="2"/>
  <c r="AN408" i="2"/>
  <c r="AJ408" i="2"/>
  <c r="AK408" i="2" s="1"/>
  <c r="AI408" i="2"/>
  <c r="AO407" i="2"/>
  <c r="AN407" i="2"/>
  <c r="AJ407" i="2"/>
  <c r="AK407" i="2" s="1"/>
  <c r="AI407" i="2"/>
  <c r="AO406" i="2"/>
  <c r="AN406" i="2"/>
  <c r="AJ406" i="2"/>
  <c r="AK406" i="2" s="1"/>
  <c r="AI406" i="2"/>
  <c r="AO405" i="2"/>
  <c r="AN405" i="2"/>
  <c r="AJ405" i="2"/>
  <c r="AK405" i="2" s="1"/>
  <c r="AI405" i="2"/>
  <c r="AO404" i="2"/>
  <c r="AN404" i="2"/>
  <c r="AJ404" i="2"/>
  <c r="AK404" i="2" s="1"/>
  <c r="AI404" i="2"/>
  <c r="AO403" i="2"/>
  <c r="AN403" i="2"/>
  <c r="AJ403" i="2"/>
  <c r="AK403" i="2" s="1"/>
  <c r="AI403" i="2"/>
  <c r="AO402" i="2"/>
  <c r="AN402" i="2"/>
  <c r="AJ402" i="2"/>
  <c r="AK402" i="2" s="1"/>
  <c r="AI402" i="2"/>
  <c r="AO401" i="2"/>
  <c r="AN401" i="2"/>
  <c r="AJ401" i="2"/>
  <c r="AK401" i="2" s="1"/>
  <c r="AI401" i="2"/>
  <c r="AO400" i="2"/>
  <c r="AN400" i="2"/>
  <c r="AJ400" i="2"/>
  <c r="AK400" i="2" s="1"/>
  <c r="AI400" i="2"/>
  <c r="AO399" i="2"/>
  <c r="AN399" i="2"/>
  <c r="AJ399" i="2"/>
  <c r="AK399" i="2" s="1"/>
  <c r="AI399" i="2"/>
  <c r="AO398" i="2"/>
  <c r="AN398" i="2"/>
  <c r="AJ398" i="2"/>
  <c r="AK398" i="2" s="1"/>
  <c r="AI398" i="2"/>
  <c r="AO397" i="2"/>
  <c r="AN397" i="2"/>
  <c r="AJ397" i="2"/>
  <c r="AK397" i="2" s="1"/>
  <c r="AI397" i="2"/>
  <c r="AO396" i="2"/>
  <c r="AN396" i="2"/>
  <c r="AJ396" i="2"/>
  <c r="AK396" i="2" s="1"/>
  <c r="AI396" i="2"/>
  <c r="AO395" i="2"/>
  <c r="AN395" i="2"/>
  <c r="AJ395" i="2"/>
  <c r="AK395" i="2" s="1"/>
  <c r="AI395" i="2"/>
  <c r="AO394" i="2"/>
  <c r="AN394" i="2"/>
  <c r="AJ394" i="2"/>
  <c r="AK394" i="2" s="1"/>
  <c r="AI394" i="2"/>
  <c r="AO393" i="2"/>
  <c r="AN393" i="2"/>
  <c r="AJ393" i="2"/>
  <c r="AK393" i="2" s="1"/>
  <c r="AI393" i="2"/>
  <c r="AO392" i="2"/>
  <c r="AN392" i="2"/>
  <c r="AJ392" i="2"/>
  <c r="AK392" i="2" s="1"/>
  <c r="AI392" i="2"/>
  <c r="AO391" i="2"/>
  <c r="AN391" i="2"/>
  <c r="AJ391" i="2"/>
  <c r="AK391" i="2" s="1"/>
  <c r="AI391" i="2"/>
  <c r="AO390" i="2"/>
  <c r="AN390" i="2"/>
  <c r="AJ390" i="2"/>
  <c r="AK390" i="2" s="1"/>
  <c r="AI390" i="2"/>
  <c r="AO389" i="2"/>
  <c r="AN389" i="2"/>
  <c r="AJ389" i="2"/>
  <c r="AK389" i="2" s="1"/>
  <c r="AI389" i="2"/>
  <c r="AO388" i="2"/>
  <c r="AN388" i="2"/>
  <c r="AJ388" i="2"/>
  <c r="AK388" i="2" s="1"/>
  <c r="AI388" i="2"/>
  <c r="AO387" i="2"/>
  <c r="AN387" i="2"/>
  <c r="AJ387" i="2"/>
  <c r="AK387" i="2" s="1"/>
  <c r="AI387" i="2"/>
  <c r="AO386" i="2"/>
  <c r="AN386" i="2"/>
  <c r="AJ386" i="2"/>
  <c r="AK386" i="2" s="1"/>
  <c r="AI386" i="2"/>
  <c r="AO385" i="2"/>
  <c r="AN385" i="2"/>
  <c r="AJ385" i="2"/>
  <c r="AK385" i="2" s="1"/>
  <c r="AI385" i="2"/>
  <c r="AO384" i="2"/>
  <c r="AN384" i="2"/>
  <c r="AJ384" i="2"/>
  <c r="AK384" i="2" s="1"/>
  <c r="AI384" i="2"/>
  <c r="AO383" i="2"/>
  <c r="AN383" i="2"/>
  <c r="AJ383" i="2"/>
  <c r="AK383" i="2" s="1"/>
  <c r="AI383" i="2"/>
  <c r="AO382" i="2"/>
  <c r="AN382" i="2"/>
  <c r="AJ382" i="2"/>
  <c r="AK382" i="2" s="1"/>
  <c r="AI382" i="2"/>
  <c r="AO381" i="2"/>
  <c r="AN381" i="2"/>
  <c r="AJ381" i="2"/>
  <c r="AK381" i="2" s="1"/>
  <c r="AI381" i="2"/>
  <c r="AO380" i="2"/>
  <c r="AN380" i="2"/>
  <c r="AJ380" i="2"/>
  <c r="AK380" i="2" s="1"/>
  <c r="AI380" i="2"/>
  <c r="AO379" i="2"/>
  <c r="AN379" i="2"/>
  <c r="AJ379" i="2"/>
  <c r="AK379" i="2" s="1"/>
  <c r="AI379" i="2"/>
  <c r="AO378" i="2"/>
  <c r="AN378" i="2"/>
  <c r="AJ378" i="2"/>
  <c r="AK378" i="2" s="1"/>
  <c r="AI378" i="2"/>
  <c r="AO377" i="2"/>
  <c r="AN377" i="2"/>
  <c r="AJ377" i="2"/>
  <c r="AK377" i="2" s="1"/>
  <c r="AI377" i="2"/>
  <c r="AO376" i="2"/>
  <c r="AN376" i="2"/>
  <c r="AJ376" i="2"/>
  <c r="AK376" i="2" s="1"/>
  <c r="AI376" i="2"/>
  <c r="AO375" i="2"/>
  <c r="AN375" i="2"/>
  <c r="AJ375" i="2"/>
  <c r="AK375" i="2" s="1"/>
  <c r="AI375" i="2"/>
  <c r="AO374" i="2"/>
  <c r="AN374" i="2"/>
  <c r="AJ374" i="2"/>
  <c r="AK374" i="2" s="1"/>
  <c r="AI374" i="2"/>
  <c r="AO373" i="2"/>
  <c r="AN373" i="2"/>
  <c r="AJ373" i="2"/>
  <c r="AK373" i="2" s="1"/>
  <c r="AI373" i="2"/>
  <c r="AO372" i="2"/>
  <c r="AN372" i="2"/>
  <c r="AJ372" i="2"/>
  <c r="AK372" i="2" s="1"/>
  <c r="AI372" i="2"/>
  <c r="AO371" i="2"/>
  <c r="AN371" i="2"/>
  <c r="AJ371" i="2"/>
  <c r="AK371" i="2" s="1"/>
  <c r="AI371" i="2"/>
  <c r="AO370" i="2"/>
  <c r="AN370" i="2"/>
  <c r="AJ370" i="2"/>
  <c r="AK370" i="2" s="1"/>
  <c r="AI370" i="2"/>
  <c r="AO369" i="2"/>
  <c r="AN369" i="2"/>
  <c r="AJ369" i="2"/>
  <c r="AK369" i="2" s="1"/>
  <c r="AI369" i="2"/>
  <c r="AO368" i="2"/>
  <c r="AN368" i="2"/>
  <c r="AJ368" i="2"/>
  <c r="AK368" i="2" s="1"/>
  <c r="AI368" i="2"/>
  <c r="AO367" i="2"/>
  <c r="AN367" i="2"/>
  <c r="AJ367" i="2"/>
  <c r="AK367" i="2" s="1"/>
  <c r="AI367" i="2"/>
  <c r="AO366" i="2"/>
  <c r="AN366" i="2"/>
  <c r="AJ366" i="2"/>
  <c r="AK366" i="2" s="1"/>
  <c r="AI366" i="2"/>
  <c r="AO365" i="2"/>
  <c r="AN365" i="2"/>
  <c r="AJ365" i="2"/>
  <c r="AK365" i="2" s="1"/>
  <c r="AI365" i="2"/>
  <c r="AO364" i="2"/>
  <c r="AN364" i="2"/>
  <c r="AJ364" i="2"/>
  <c r="AK364" i="2" s="1"/>
  <c r="AI364" i="2"/>
  <c r="AO363" i="2"/>
  <c r="AN363" i="2"/>
  <c r="AJ363" i="2"/>
  <c r="AK363" i="2" s="1"/>
  <c r="AI363" i="2"/>
  <c r="AO362" i="2"/>
  <c r="AN362" i="2"/>
  <c r="AJ362" i="2"/>
  <c r="AK362" i="2" s="1"/>
  <c r="AI362" i="2"/>
  <c r="AO361" i="2"/>
  <c r="AN361" i="2"/>
  <c r="AJ361" i="2"/>
  <c r="AK361" i="2" s="1"/>
  <c r="AI361" i="2"/>
  <c r="AO360" i="2"/>
  <c r="AN360" i="2"/>
  <c r="AJ360" i="2"/>
  <c r="AK360" i="2" s="1"/>
  <c r="AI360" i="2"/>
  <c r="AO359" i="2"/>
  <c r="AN359" i="2"/>
  <c r="AJ359" i="2"/>
  <c r="AK359" i="2" s="1"/>
  <c r="AI359" i="2"/>
  <c r="AO358" i="2"/>
  <c r="AN358" i="2"/>
  <c r="AJ358" i="2"/>
  <c r="AK358" i="2" s="1"/>
  <c r="AI358" i="2"/>
  <c r="AO357" i="2"/>
  <c r="AN357" i="2"/>
  <c r="AJ357" i="2"/>
  <c r="AK357" i="2" s="1"/>
  <c r="AI357" i="2"/>
  <c r="AO356" i="2"/>
  <c r="AN356" i="2"/>
  <c r="AJ356" i="2"/>
  <c r="AK356" i="2" s="1"/>
  <c r="AI356" i="2"/>
  <c r="AO355" i="2"/>
  <c r="AN355" i="2"/>
  <c r="AJ355" i="2"/>
  <c r="AK355" i="2" s="1"/>
  <c r="AI355" i="2"/>
  <c r="AO354" i="2"/>
  <c r="AN354" i="2"/>
  <c r="AJ354" i="2"/>
  <c r="AK354" i="2" s="1"/>
  <c r="AI354" i="2"/>
  <c r="AO353" i="2"/>
  <c r="AN353" i="2"/>
  <c r="AJ353" i="2"/>
  <c r="AK353" i="2" s="1"/>
  <c r="AI353" i="2"/>
  <c r="AO352" i="2"/>
  <c r="AN352" i="2"/>
  <c r="AJ352" i="2"/>
  <c r="AK352" i="2" s="1"/>
  <c r="AI352" i="2"/>
  <c r="AO351" i="2"/>
  <c r="AN351" i="2"/>
  <c r="AJ351" i="2"/>
  <c r="AK351" i="2" s="1"/>
  <c r="AI351" i="2"/>
  <c r="AO350" i="2"/>
  <c r="AN350" i="2"/>
  <c r="AJ350" i="2"/>
  <c r="AK350" i="2" s="1"/>
  <c r="AI350" i="2"/>
  <c r="AO349" i="2"/>
  <c r="AN349" i="2"/>
  <c r="AJ349" i="2"/>
  <c r="AK349" i="2" s="1"/>
  <c r="AI349" i="2"/>
  <c r="AO348" i="2"/>
  <c r="AN348" i="2"/>
  <c r="AJ348" i="2"/>
  <c r="AK348" i="2" s="1"/>
  <c r="AI348" i="2"/>
  <c r="AO347" i="2"/>
  <c r="AN347" i="2"/>
  <c r="AJ347" i="2"/>
  <c r="AK347" i="2" s="1"/>
  <c r="AI347" i="2"/>
  <c r="AO346" i="2"/>
  <c r="AN346" i="2"/>
  <c r="AJ346" i="2"/>
  <c r="AK346" i="2" s="1"/>
  <c r="AI346" i="2"/>
  <c r="AO345" i="2"/>
  <c r="AN345" i="2"/>
  <c r="AJ345" i="2"/>
  <c r="AK345" i="2" s="1"/>
  <c r="AI345" i="2"/>
  <c r="AO344" i="2"/>
  <c r="AN344" i="2"/>
  <c r="AJ344" i="2"/>
  <c r="AK344" i="2" s="1"/>
  <c r="AI344" i="2"/>
  <c r="AO343" i="2"/>
  <c r="AN343" i="2"/>
  <c r="AJ343" i="2"/>
  <c r="AK343" i="2" s="1"/>
  <c r="AI343" i="2"/>
  <c r="AO342" i="2"/>
  <c r="AN342" i="2"/>
  <c r="AJ342" i="2"/>
  <c r="AK342" i="2" s="1"/>
  <c r="AI342" i="2"/>
  <c r="AO341" i="2"/>
  <c r="AN341" i="2"/>
  <c r="AJ341" i="2"/>
  <c r="AK341" i="2" s="1"/>
  <c r="AI341" i="2"/>
  <c r="AO340" i="2"/>
  <c r="AN340" i="2"/>
  <c r="AJ340" i="2"/>
  <c r="AK340" i="2" s="1"/>
  <c r="AI340" i="2"/>
  <c r="AO339" i="2"/>
  <c r="AN339" i="2"/>
  <c r="AJ339" i="2"/>
  <c r="AK339" i="2" s="1"/>
  <c r="AI339" i="2"/>
  <c r="AO338" i="2"/>
  <c r="AN338" i="2"/>
  <c r="AJ338" i="2"/>
  <c r="AK338" i="2" s="1"/>
  <c r="AI338" i="2"/>
  <c r="AO337" i="2"/>
  <c r="AN337" i="2"/>
  <c r="AJ337" i="2"/>
  <c r="AK337" i="2" s="1"/>
  <c r="AI337" i="2"/>
  <c r="AO336" i="2"/>
  <c r="AN336" i="2"/>
  <c r="AJ336" i="2"/>
  <c r="AK336" i="2" s="1"/>
  <c r="AI336" i="2"/>
  <c r="AO335" i="2"/>
  <c r="AN335" i="2"/>
  <c r="AJ335" i="2"/>
  <c r="AK335" i="2" s="1"/>
  <c r="AI335" i="2"/>
  <c r="AO334" i="2"/>
  <c r="AN334" i="2"/>
  <c r="AJ334" i="2"/>
  <c r="AK334" i="2" s="1"/>
  <c r="AI334" i="2"/>
  <c r="AO333" i="2"/>
  <c r="AN333" i="2"/>
  <c r="AJ333" i="2"/>
  <c r="AK333" i="2" s="1"/>
  <c r="AI333" i="2"/>
  <c r="AO332" i="2"/>
  <c r="AN332" i="2"/>
  <c r="AJ332" i="2"/>
  <c r="AK332" i="2" s="1"/>
  <c r="AI332" i="2"/>
  <c r="AO331" i="2"/>
  <c r="AN331" i="2"/>
  <c r="AJ331" i="2"/>
  <c r="AK331" i="2" s="1"/>
  <c r="AI331" i="2"/>
  <c r="AO330" i="2"/>
  <c r="AN330" i="2"/>
  <c r="AJ330" i="2"/>
  <c r="AK330" i="2" s="1"/>
  <c r="AI330" i="2"/>
  <c r="AO329" i="2"/>
  <c r="AN329" i="2"/>
  <c r="AJ329" i="2"/>
  <c r="AK329" i="2" s="1"/>
  <c r="AI329" i="2"/>
  <c r="AO328" i="2"/>
  <c r="AN328" i="2"/>
  <c r="AJ328" i="2"/>
  <c r="AK328" i="2" s="1"/>
  <c r="AI328" i="2"/>
  <c r="AO327" i="2"/>
  <c r="AN327" i="2"/>
  <c r="AJ327" i="2"/>
  <c r="AI327" i="2"/>
  <c r="AO326" i="2"/>
  <c r="AN326" i="2"/>
  <c r="AJ326" i="2"/>
  <c r="AI326" i="2"/>
  <c r="AO325" i="2"/>
  <c r="AN325" i="2"/>
  <c r="AJ325" i="2"/>
  <c r="AI325" i="2"/>
  <c r="AO324" i="2"/>
  <c r="AN324" i="2"/>
  <c r="AJ324" i="2"/>
  <c r="AI324" i="2"/>
  <c r="AO323" i="2"/>
  <c r="AN323" i="2"/>
  <c r="AJ323" i="2"/>
  <c r="AI323" i="2"/>
  <c r="AO322" i="2"/>
  <c r="AN322" i="2"/>
  <c r="AJ322" i="2"/>
  <c r="AI322" i="2"/>
  <c r="AO321" i="2"/>
  <c r="AN321" i="2"/>
  <c r="AJ321" i="2"/>
  <c r="AI321" i="2"/>
  <c r="AO320" i="2"/>
  <c r="AN320" i="2"/>
  <c r="AJ320" i="2"/>
  <c r="AI320" i="2"/>
  <c r="AO319" i="2"/>
  <c r="AN319" i="2"/>
  <c r="AJ319" i="2"/>
  <c r="AI319" i="2"/>
  <c r="AO318" i="2"/>
  <c r="AN318" i="2"/>
  <c r="AJ318" i="2"/>
  <c r="AI318" i="2"/>
  <c r="AO317" i="2"/>
  <c r="AN317" i="2"/>
  <c r="AJ317" i="2"/>
  <c r="AI317" i="2"/>
  <c r="AO316" i="2"/>
  <c r="AN316" i="2"/>
  <c r="AJ316" i="2"/>
  <c r="AI316" i="2"/>
  <c r="AO315" i="2"/>
  <c r="AN315" i="2"/>
  <c r="AJ315" i="2"/>
  <c r="AK315" i="2" s="1"/>
  <c r="AI315" i="2"/>
  <c r="AO314" i="2"/>
  <c r="AN314" i="2"/>
  <c r="AJ314" i="2"/>
  <c r="AK314" i="2" s="1"/>
  <c r="AI314" i="2"/>
  <c r="AO313" i="2"/>
  <c r="AN313" i="2"/>
  <c r="AJ313" i="2"/>
  <c r="AI313" i="2"/>
  <c r="AO310" i="2"/>
  <c r="AN310" i="2"/>
  <c r="AJ310" i="2"/>
  <c r="AK310" i="2" s="1"/>
  <c r="AI310" i="2"/>
  <c r="AO309" i="2"/>
  <c r="AN309" i="2"/>
  <c r="AJ309" i="2"/>
  <c r="AK309" i="2" s="1"/>
  <c r="AI309" i="2"/>
  <c r="AO308" i="2"/>
  <c r="AN308" i="2"/>
  <c r="AJ308" i="2"/>
  <c r="AK308" i="2" s="1"/>
  <c r="AI308" i="2"/>
  <c r="AO307" i="2"/>
  <c r="AN307" i="2"/>
  <c r="AJ307" i="2"/>
  <c r="AI307" i="2"/>
  <c r="AO306" i="2"/>
  <c r="AN306" i="2"/>
  <c r="AJ306" i="2"/>
  <c r="AK306" i="2" s="1"/>
  <c r="AI306" i="2"/>
  <c r="AO305" i="2"/>
  <c r="AN305" i="2"/>
  <c r="AJ305" i="2"/>
  <c r="AI305" i="2"/>
  <c r="AO304" i="2"/>
  <c r="AN304" i="2"/>
  <c r="AJ304" i="2"/>
  <c r="AI304" i="2"/>
  <c r="AO303" i="2"/>
  <c r="AN303" i="2"/>
  <c r="AJ303" i="2"/>
  <c r="AI303" i="2"/>
  <c r="AO302" i="2"/>
  <c r="AN302" i="2"/>
  <c r="AJ302" i="2"/>
  <c r="AI302" i="2"/>
  <c r="AO301" i="2"/>
  <c r="AN301" i="2"/>
  <c r="AJ301" i="2"/>
  <c r="AI301" i="2"/>
  <c r="AO300" i="2"/>
  <c r="AN300" i="2"/>
  <c r="AJ300" i="2"/>
  <c r="AK300" i="2" s="1"/>
  <c r="AI300" i="2"/>
  <c r="AO299" i="2"/>
  <c r="AN299" i="2"/>
  <c r="AJ299" i="2"/>
  <c r="AI299" i="2"/>
  <c r="AO298" i="2"/>
  <c r="AN298" i="2"/>
  <c r="AJ298" i="2"/>
  <c r="AI298" i="2"/>
  <c r="AO297" i="2"/>
  <c r="AN297" i="2"/>
  <c r="AJ297" i="2"/>
  <c r="AI297" i="2"/>
  <c r="AO296" i="2"/>
  <c r="AN296" i="2"/>
  <c r="AJ296" i="2"/>
  <c r="AI296" i="2"/>
  <c r="AO295" i="2"/>
  <c r="AN295" i="2"/>
  <c r="AJ295" i="2"/>
  <c r="AI295" i="2"/>
  <c r="AO294" i="2"/>
  <c r="AN294" i="2"/>
  <c r="AJ294" i="2"/>
  <c r="AI294" i="2"/>
  <c r="AO293" i="2"/>
  <c r="AN293" i="2"/>
  <c r="AJ293" i="2"/>
  <c r="AI293" i="2"/>
  <c r="AO292" i="2"/>
  <c r="AN292" i="2"/>
  <c r="AJ292" i="2"/>
  <c r="AI292" i="2"/>
  <c r="AO291" i="2"/>
  <c r="AN291" i="2"/>
  <c r="AJ291" i="2"/>
  <c r="AI291" i="2"/>
  <c r="AO290" i="2"/>
  <c r="AN290" i="2"/>
  <c r="AJ290" i="2"/>
  <c r="AK290" i="2" s="1"/>
  <c r="AI290" i="2"/>
  <c r="AO289" i="2"/>
  <c r="AN289" i="2"/>
  <c r="AJ289" i="2"/>
  <c r="AI289" i="2"/>
  <c r="AO288" i="2"/>
  <c r="AN288" i="2"/>
  <c r="AJ288" i="2"/>
  <c r="AI288" i="2"/>
  <c r="AO287" i="2"/>
  <c r="AN287" i="2"/>
  <c r="AJ287" i="2"/>
  <c r="AI287" i="2"/>
  <c r="AO286" i="2"/>
  <c r="AN286" i="2"/>
  <c r="AJ286" i="2"/>
  <c r="AI286" i="2"/>
  <c r="AO285" i="2"/>
  <c r="AN285" i="2"/>
  <c r="AJ285" i="2"/>
  <c r="AK285" i="2" s="1"/>
  <c r="AI285" i="2"/>
  <c r="AO284" i="2"/>
  <c r="AN284" i="2"/>
  <c r="AJ284" i="2"/>
  <c r="AI284" i="2"/>
  <c r="AO283" i="2"/>
  <c r="AN283" i="2"/>
  <c r="AJ283" i="2"/>
  <c r="AI283" i="2"/>
  <c r="AO282" i="2"/>
  <c r="AN282" i="2"/>
  <c r="AJ282" i="2"/>
  <c r="AI282" i="2"/>
  <c r="AO281" i="2"/>
  <c r="AN281" i="2"/>
  <c r="AJ281" i="2"/>
  <c r="AI281" i="2"/>
  <c r="AO280" i="2"/>
  <c r="AN280" i="2"/>
  <c r="AJ280" i="2"/>
  <c r="AI280" i="2"/>
  <c r="AO279" i="2"/>
  <c r="AN279" i="2"/>
  <c r="AJ279" i="2"/>
  <c r="AI279" i="2"/>
  <c r="AO278" i="2"/>
  <c r="AN278" i="2"/>
  <c r="AJ278" i="2"/>
  <c r="AI278" i="2"/>
  <c r="AO277" i="2"/>
  <c r="AN277" i="2"/>
  <c r="AJ277" i="2"/>
  <c r="AI277" i="2"/>
  <c r="AO276" i="2"/>
  <c r="AN276" i="2"/>
  <c r="AJ276" i="2"/>
  <c r="AI276" i="2"/>
  <c r="AO275" i="2"/>
  <c r="AN275" i="2"/>
  <c r="AJ275" i="2"/>
  <c r="AI275" i="2"/>
  <c r="AO274" i="2"/>
  <c r="AN274" i="2"/>
  <c r="AJ274" i="2"/>
  <c r="AI274" i="2"/>
  <c r="AO273" i="2"/>
  <c r="AN273" i="2"/>
  <c r="AJ273" i="2"/>
  <c r="AI273" i="2"/>
  <c r="AO272" i="2"/>
  <c r="AN272" i="2"/>
  <c r="AJ272" i="2"/>
  <c r="AI272" i="2"/>
  <c r="AO271" i="2"/>
  <c r="AN271" i="2"/>
  <c r="AJ271" i="2"/>
  <c r="AI271" i="2"/>
  <c r="AO270" i="2"/>
  <c r="AN270" i="2"/>
  <c r="AJ270" i="2"/>
  <c r="AI270" i="2"/>
  <c r="AO269" i="2"/>
  <c r="AN269" i="2"/>
  <c r="AJ269" i="2"/>
  <c r="AI269" i="2"/>
  <c r="AO268" i="2"/>
  <c r="AN268" i="2"/>
  <c r="AJ268" i="2"/>
  <c r="AI268" i="2"/>
  <c r="AO267" i="2"/>
  <c r="AN267" i="2"/>
  <c r="AJ267" i="2"/>
  <c r="AI267" i="2"/>
  <c r="AO266" i="2"/>
  <c r="AN266" i="2"/>
  <c r="AJ266" i="2"/>
  <c r="AI266" i="2"/>
  <c r="AO265" i="2"/>
  <c r="AN265" i="2"/>
  <c r="AJ265" i="2"/>
  <c r="AI265" i="2"/>
  <c r="AO264" i="2"/>
  <c r="AN264" i="2"/>
  <c r="AJ264" i="2"/>
  <c r="AI264" i="2"/>
  <c r="AO263" i="2"/>
  <c r="AN263" i="2"/>
  <c r="AJ263" i="2"/>
  <c r="AI263" i="2"/>
  <c r="AO262" i="2"/>
  <c r="AN262" i="2"/>
  <c r="AJ262" i="2"/>
  <c r="AI262" i="2"/>
  <c r="AO261" i="2"/>
  <c r="AN261" i="2"/>
  <c r="AJ261" i="2"/>
  <c r="AI261" i="2"/>
  <c r="AO260" i="2"/>
  <c r="AN260" i="2"/>
  <c r="AJ260" i="2"/>
  <c r="AI260" i="2"/>
  <c r="AO259" i="2"/>
  <c r="AN259" i="2"/>
  <c r="AJ259" i="2"/>
  <c r="AI259" i="2"/>
  <c r="AO258" i="2"/>
  <c r="AN258" i="2"/>
  <c r="AJ258" i="2"/>
  <c r="AI258" i="2"/>
  <c r="AO257" i="2"/>
  <c r="AN257" i="2"/>
  <c r="AJ257" i="2"/>
  <c r="AI257" i="2"/>
  <c r="AO256" i="2"/>
  <c r="AN256" i="2"/>
  <c r="AJ256" i="2"/>
  <c r="AK256" i="2" s="1"/>
  <c r="AI256" i="2"/>
  <c r="AO255" i="2"/>
  <c r="AN255" i="2"/>
  <c r="AJ255" i="2"/>
  <c r="AI255" i="2"/>
  <c r="AO254" i="2"/>
  <c r="AN254" i="2"/>
  <c r="AJ254" i="2"/>
  <c r="AI254" i="2"/>
  <c r="AO253" i="2"/>
  <c r="AN253" i="2"/>
  <c r="AJ253" i="2"/>
  <c r="AI253" i="2"/>
  <c r="AO252" i="2"/>
  <c r="AN252" i="2"/>
  <c r="AJ252" i="2"/>
  <c r="AI252" i="2"/>
  <c r="AO251" i="2"/>
  <c r="AN251" i="2"/>
  <c r="AJ251" i="2"/>
  <c r="AI251" i="2"/>
  <c r="AO250" i="2"/>
  <c r="AN250" i="2"/>
  <c r="AJ250" i="2"/>
  <c r="AI250" i="2"/>
  <c r="AO249" i="2"/>
  <c r="AN249" i="2"/>
  <c r="AJ249" i="2"/>
  <c r="AI249" i="2"/>
  <c r="AO248" i="2"/>
  <c r="AN248" i="2"/>
  <c r="AJ248" i="2"/>
  <c r="AI248" i="2"/>
  <c r="AO247" i="2"/>
  <c r="AN247" i="2"/>
  <c r="AJ247" i="2"/>
  <c r="AI247" i="2"/>
  <c r="AO246" i="2"/>
  <c r="AN246" i="2"/>
  <c r="AJ246" i="2"/>
  <c r="AI246" i="2"/>
  <c r="AO245" i="2"/>
  <c r="AN245" i="2"/>
  <c r="AJ245" i="2"/>
  <c r="AI245" i="2"/>
  <c r="AO244" i="2"/>
  <c r="AN244" i="2"/>
  <c r="AJ244" i="2"/>
  <c r="AI244" i="2"/>
  <c r="AO243" i="2"/>
  <c r="AN243" i="2"/>
  <c r="AJ243" i="2"/>
  <c r="AI243" i="2"/>
  <c r="AO242" i="2"/>
  <c r="AN242" i="2"/>
  <c r="AJ242" i="2"/>
  <c r="AI242" i="2"/>
  <c r="AO241" i="2"/>
  <c r="AN241" i="2"/>
  <c r="AJ241" i="2"/>
  <c r="AI241" i="2"/>
  <c r="AO240" i="2"/>
  <c r="AN240" i="2"/>
  <c r="AJ240" i="2"/>
  <c r="AI240" i="2"/>
  <c r="AO239" i="2"/>
  <c r="AN239" i="2"/>
  <c r="AJ239" i="2"/>
  <c r="AI239" i="2"/>
  <c r="AO238" i="2"/>
  <c r="AN238" i="2"/>
  <c r="AJ238" i="2"/>
  <c r="AI238" i="2"/>
  <c r="AO237" i="2"/>
  <c r="AN237" i="2"/>
  <c r="AJ237" i="2"/>
  <c r="AI237" i="2"/>
  <c r="AO236" i="2"/>
  <c r="AN236" i="2"/>
  <c r="AJ236" i="2"/>
  <c r="AI236" i="2"/>
  <c r="AO235" i="2"/>
  <c r="AN235" i="2"/>
  <c r="AJ235" i="2"/>
  <c r="AI235" i="2"/>
  <c r="AO234" i="2"/>
  <c r="AN234" i="2"/>
  <c r="AJ234" i="2"/>
  <c r="AI234" i="2"/>
  <c r="AO233" i="2"/>
  <c r="AN233" i="2"/>
  <c r="AJ233" i="2"/>
  <c r="AI233" i="2"/>
  <c r="AO232" i="2"/>
  <c r="AN232" i="2"/>
  <c r="AJ232" i="2"/>
  <c r="AI232" i="2"/>
  <c r="AO231" i="2"/>
  <c r="AN231" i="2"/>
  <c r="AJ231" i="2"/>
  <c r="AI231" i="2"/>
  <c r="AO230" i="2"/>
  <c r="AN230" i="2"/>
  <c r="AJ230" i="2"/>
  <c r="AI230" i="2"/>
  <c r="AO229" i="2"/>
  <c r="AN229" i="2"/>
  <c r="AJ229" i="2"/>
  <c r="AI229" i="2"/>
  <c r="AO228" i="2"/>
  <c r="AN228" i="2"/>
  <c r="AJ228" i="2"/>
  <c r="AI228" i="2"/>
  <c r="AO227" i="2"/>
  <c r="AN227" i="2"/>
  <c r="AJ227" i="2"/>
  <c r="AI227" i="2"/>
  <c r="AO226" i="2"/>
  <c r="AN226" i="2"/>
  <c r="AJ226" i="2"/>
  <c r="AI226" i="2"/>
  <c r="AO225" i="2"/>
  <c r="AN225" i="2"/>
  <c r="AJ225" i="2"/>
  <c r="AI225" i="2"/>
  <c r="AO224" i="2"/>
  <c r="AN224" i="2"/>
  <c r="AJ224" i="2"/>
  <c r="AI224" i="2"/>
  <c r="AO223" i="2"/>
  <c r="AN223" i="2"/>
  <c r="AJ223" i="2"/>
  <c r="AI223" i="2"/>
  <c r="AO222" i="2"/>
  <c r="AN222" i="2"/>
  <c r="AJ222" i="2"/>
  <c r="AI222" i="2"/>
  <c r="AO221" i="2"/>
  <c r="AN221" i="2"/>
  <c r="AJ221" i="2"/>
  <c r="AI221" i="2"/>
  <c r="AO220" i="2"/>
  <c r="AN220" i="2"/>
  <c r="AJ220" i="2"/>
  <c r="AI220" i="2"/>
  <c r="AO219" i="2"/>
  <c r="AN219" i="2"/>
  <c r="AJ219" i="2"/>
  <c r="AI219" i="2"/>
  <c r="AO218" i="2"/>
  <c r="AN218" i="2"/>
  <c r="AJ218" i="2"/>
  <c r="AI218" i="2"/>
  <c r="AO217" i="2"/>
  <c r="AN217" i="2"/>
  <c r="AJ217" i="2"/>
  <c r="AI217" i="2"/>
  <c r="AO216" i="2"/>
  <c r="AN216" i="2"/>
  <c r="AJ216" i="2"/>
  <c r="AI216" i="2"/>
  <c r="AO215" i="2"/>
  <c r="AN215" i="2"/>
  <c r="AJ215" i="2"/>
  <c r="AI215" i="2"/>
  <c r="AO214" i="2"/>
  <c r="AN214" i="2"/>
  <c r="AJ214" i="2"/>
  <c r="AI214" i="2"/>
  <c r="AO213" i="2"/>
  <c r="AN213" i="2"/>
  <c r="AJ213" i="2"/>
  <c r="AI213" i="2"/>
  <c r="AO212" i="2"/>
  <c r="AN212" i="2"/>
  <c r="AJ212" i="2"/>
  <c r="AI212" i="2"/>
  <c r="AO211" i="2"/>
  <c r="AN211" i="2"/>
  <c r="AJ211" i="2"/>
  <c r="AI211" i="2"/>
  <c r="AO210" i="2"/>
  <c r="AN210" i="2"/>
  <c r="AJ210" i="2"/>
  <c r="AI210" i="2"/>
  <c r="AO209" i="2"/>
  <c r="AN209" i="2"/>
  <c r="AJ209" i="2"/>
  <c r="AI209" i="2"/>
  <c r="AO208" i="2"/>
  <c r="AN208" i="2"/>
  <c r="AJ208" i="2"/>
  <c r="AI208" i="2"/>
  <c r="AO207" i="2"/>
  <c r="AN207" i="2"/>
  <c r="AJ207" i="2"/>
  <c r="AI207" i="2"/>
  <c r="AO206" i="2"/>
  <c r="AN206" i="2"/>
  <c r="AJ206" i="2"/>
  <c r="AI206" i="2"/>
  <c r="AO205" i="2"/>
  <c r="AN205" i="2"/>
  <c r="AJ205" i="2"/>
  <c r="AI205" i="2"/>
  <c r="AO204" i="2"/>
  <c r="AN204" i="2"/>
  <c r="AJ204" i="2"/>
  <c r="AI204" i="2"/>
  <c r="AO203" i="2"/>
  <c r="AN203" i="2"/>
  <c r="AJ203" i="2"/>
  <c r="AI203" i="2"/>
  <c r="AO202" i="2"/>
  <c r="AN202" i="2"/>
  <c r="AJ202" i="2"/>
  <c r="AI202" i="2"/>
  <c r="AO201" i="2"/>
  <c r="AN201" i="2"/>
  <c r="AJ201" i="2"/>
  <c r="AI201" i="2"/>
  <c r="AO200" i="2"/>
  <c r="AN200" i="2"/>
  <c r="AJ200" i="2"/>
  <c r="AI200" i="2"/>
  <c r="AO199" i="2"/>
  <c r="AN199" i="2"/>
  <c r="AJ199" i="2"/>
  <c r="AI199" i="2"/>
  <c r="AO198" i="2"/>
  <c r="AN198" i="2"/>
  <c r="AJ198" i="2"/>
  <c r="AI198" i="2"/>
  <c r="AO197" i="2"/>
  <c r="AN197" i="2"/>
  <c r="AJ197" i="2"/>
  <c r="AI197" i="2"/>
  <c r="AO196" i="2"/>
  <c r="AN196" i="2"/>
  <c r="AJ196" i="2"/>
  <c r="AI196" i="2"/>
  <c r="AO195" i="2"/>
  <c r="AN195" i="2"/>
  <c r="AJ195" i="2"/>
  <c r="AI195" i="2"/>
  <c r="AO194" i="2"/>
  <c r="AN194" i="2"/>
  <c r="AJ194" i="2"/>
  <c r="AI194" i="2"/>
  <c r="AO193" i="2"/>
  <c r="AN193" i="2"/>
  <c r="AJ193" i="2"/>
  <c r="AI193" i="2"/>
  <c r="AO192" i="2"/>
  <c r="AN192" i="2"/>
  <c r="AJ192" i="2"/>
  <c r="AI192" i="2"/>
  <c r="AO191" i="2"/>
  <c r="AN191" i="2"/>
  <c r="AJ191" i="2"/>
  <c r="AI191" i="2"/>
  <c r="AO190" i="2"/>
  <c r="AN190" i="2"/>
  <c r="AJ190" i="2"/>
  <c r="AI190" i="2"/>
  <c r="AO189" i="2"/>
  <c r="AN189" i="2"/>
  <c r="AJ189" i="2"/>
  <c r="AI189" i="2"/>
  <c r="AO188" i="2"/>
  <c r="AN188" i="2"/>
  <c r="AJ188" i="2"/>
  <c r="AI188" i="2"/>
  <c r="AO187" i="2"/>
  <c r="AN187" i="2"/>
  <c r="AJ187" i="2"/>
  <c r="AI187" i="2"/>
  <c r="AO186" i="2"/>
  <c r="AN186" i="2"/>
  <c r="AJ186" i="2"/>
  <c r="AI186" i="2"/>
  <c r="AO185" i="2"/>
  <c r="AN185" i="2"/>
  <c r="AJ185" i="2"/>
  <c r="AI185" i="2"/>
  <c r="AO184" i="2"/>
  <c r="AN184" i="2"/>
  <c r="AJ184" i="2"/>
  <c r="AI184" i="2"/>
  <c r="AO183" i="2"/>
  <c r="AN183" i="2"/>
  <c r="AJ183" i="2"/>
  <c r="AI183" i="2"/>
  <c r="AO182" i="2"/>
  <c r="AN182" i="2"/>
  <c r="AJ182" i="2"/>
  <c r="AI182" i="2"/>
  <c r="AO181" i="2"/>
  <c r="AN181" i="2"/>
  <c r="AJ181" i="2"/>
  <c r="AI181" i="2"/>
  <c r="AO180" i="2"/>
  <c r="AN180" i="2"/>
  <c r="AJ180" i="2"/>
  <c r="AI180" i="2"/>
  <c r="AO179" i="2"/>
  <c r="AN179" i="2"/>
  <c r="AJ179" i="2"/>
  <c r="AI179" i="2"/>
  <c r="AO178" i="2"/>
  <c r="AN178" i="2"/>
  <c r="AJ178" i="2"/>
  <c r="AI178" i="2"/>
  <c r="AO177" i="2"/>
  <c r="AN177" i="2"/>
  <c r="AJ177" i="2"/>
  <c r="AI177" i="2"/>
  <c r="AO176" i="2"/>
  <c r="AN176" i="2"/>
  <c r="AJ176" i="2"/>
  <c r="AI176" i="2"/>
  <c r="AO175" i="2"/>
  <c r="AN175" i="2"/>
  <c r="AJ175" i="2"/>
  <c r="AI175" i="2"/>
  <c r="AO174" i="2"/>
  <c r="AN174" i="2"/>
  <c r="AJ174" i="2"/>
  <c r="AI174" i="2"/>
  <c r="AO173" i="2"/>
  <c r="AN173" i="2"/>
  <c r="AJ173" i="2"/>
  <c r="AI173" i="2"/>
  <c r="AO172" i="2"/>
  <c r="AN172" i="2"/>
  <c r="AJ172" i="2"/>
  <c r="AI172" i="2"/>
  <c r="AO171" i="2"/>
  <c r="AN171" i="2"/>
  <c r="AJ171" i="2"/>
  <c r="AI171" i="2"/>
  <c r="AO170" i="2"/>
  <c r="AN170" i="2"/>
  <c r="AJ170" i="2"/>
  <c r="AI170" i="2"/>
  <c r="AO169" i="2"/>
  <c r="AN169" i="2"/>
  <c r="AJ169" i="2"/>
  <c r="AI169" i="2"/>
  <c r="AO168" i="2"/>
  <c r="AN168" i="2"/>
  <c r="AJ168" i="2"/>
  <c r="AI168" i="2"/>
  <c r="AO167" i="2"/>
  <c r="AN167" i="2"/>
  <c r="AJ167" i="2"/>
  <c r="AI167" i="2"/>
  <c r="AO166" i="2"/>
  <c r="AN166" i="2"/>
  <c r="AJ166" i="2"/>
  <c r="AI166" i="2"/>
  <c r="AO165" i="2"/>
  <c r="AN165" i="2"/>
  <c r="AJ165" i="2"/>
  <c r="AI165" i="2"/>
  <c r="AO164" i="2"/>
  <c r="AN164" i="2"/>
  <c r="AJ164" i="2"/>
  <c r="AI164" i="2"/>
  <c r="AO163" i="2"/>
  <c r="AN163" i="2"/>
  <c r="AJ163" i="2"/>
  <c r="AI163" i="2"/>
  <c r="AO162" i="2"/>
  <c r="AN162" i="2"/>
  <c r="AJ162" i="2"/>
  <c r="AI162" i="2"/>
  <c r="AO161" i="2"/>
  <c r="AN161" i="2"/>
  <c r="AJ161" i="2"/>
  <c r="AI161" i="2"/>
  <c r="AO159" i="2"/>
  <c r="AN159" i="2"/>
  <c r="AJ159" i="2"/>
  <c r="AI159" i="2"/>
  <c r="AO158" i="2"/>
  <c r="AN158" i="2"/>
  <c r="AJ158" i="2"/>
  <c r="AI158" i="2"/>
  <c r="AO157" i="2"/>
  <c r="AN157" i="2"/>
  <c r="AJ157" i="2"/>
  <c r="AI157" i="2"/>
  <c r="AO156" i="2"/>
  <c r="AN156" i="2"/>
  <c r="AJ156" i="2"/>
  <c r="AI156" i="2"/>
  <c r="AO155" i="2"/>
  <c r="AN155" i="2"/>
  <c r="AJ155" i="2"/>
  <c r="AI155" i="2"/>
  <c r="AO154" i="2"/>
  <c r="AN154" i="2"/>
  <c r="AJ154" i="2"/>
  <c r="AI154" i="2"/>
  <c r="AO153" i="2"/>
  <c r="AN153" i="2"/>
  <c r="AJ153" i="2"/>
  <c r="AI153" i="2"/>
  <c r="AO152" i="2"/>
  <c r="AN152" i="2"/>
  <c r="AJ152" i="2"/>
  <c r="AI152" i="2"/>
  <c r="AO151" i="2"/>
  <c r="AN151" i="2"/>
  <c r="AJ151" i="2"/>
  <c r="AI151" i="2"/>
  <c r="AO150" i="2"/>
  <c r="AN150" i="2"/>
  <c r="AJ150" i="2"/>
  <c r="AI150" i="2"/>
  <c r="AO149" i="2"/>
  <c r="AN149" i="2"/>
  <c r="AJ149" i="2"/>
  <c r="AI149" i="2"/>
  <c r="AO148" i="2"/>
  <c r="AN148" i="2"/>
  <c r="AJ148" i="2"/>
  <c r="AI148" i="2"/>
  <c r="AO147" i="2"/>
  <c r="AN147" i="2"/>
  <c r="AJ147" i="2"/>
  <c r="AI147" i="2"/>
  <c r="AO146" i="2"/>
  <c r="AN146" i="2"/>
  <c r="AJ146" i="2"/>
  <c r="AI146" i="2"/>
  <c r="AO145" i="2"/>
  <c r="AN145" i="2"/>
  <c r="AJ145" i="2"/>
  <c r="AI145" i="2"/>
  <c r="AO144" i="2"/>
  <c r="AN144" i="2"/>
  <c r="AJ144" i="2"/>
  <c r="AI144" i="2"/>
  <c r="AO143" i="2"/>
  <c r="AN143" i="2"/>
  <c r="AJ143" i="2"/>
  <c r="AI143" i="2"/>
  <c r="AO142" i="2"/>
  <c r="AN142" i="2"/>
  <c r="AJ142" i="2"/>
  <c r="AI142" i="2"/>
  <c r="AO141" i="2"/>
  <c r="AN141" i="2"/>
  <c r="AJ141" i="2"/>
  <c r="AI141" i="2"/>
  <c r="AO140" i="2"/>
  <c r="AN140" i="2"/>
  <c r="AJ140" i="2"/>
  <c r="AI140" i="2"/>
  <c r="AO139" i="2"/>
  <c r="AN139" i="2"/>
  <c r="AJ139" i="2"/>
  <c r="AI139" i="2"/>
  <c r="AO138" i="2"/>
  <c r="AN138" i="2"/>
  <c r="AJ138" i="2"/>
  <c r="AI138" i="2"/>
  <c r="AO137" i="2"/>
  <c r="AN137" i="2"/>
  <c r="AJ137" i="2"/>
  <c r="AI137" i="2"/>
  <c r="AO136" i="2"/>
  <c r="AN136" i="2"/>
  <c r="AJ136" i="2"/>
  <c r="AI136" i="2"/>
  <c r="AO135" i="2"/>
  <c r="AN135" i="2"/>
  <c r="AJ135" i="2"/>
  <c r="AI135" i="2"/>
  <c r="AO134" i="2"/>
  <c r="AN134" i="2"/>
  <c r="AJ134" i="2"/>
  <c r="AI134" i="2"/>
  <c r="AO133" i="2"/>
  <c r="AN133" i="2"/>
  <c r="AJ133" i="2"/>
  <c r="AI133" i="2"/>
  <c r="AO132" i="2"/>
  <c r="AN132" i="2"/>
  <c r="AJ132" i="2"/>
  <c r="AI132" i="2"/>
  <c r="AO131" i="2"/>
  <c r="AN131" i="2"/>
  <c r="AJ131" i="2"/>
  <c r="AI131" i="2"/>
  <c r="AO130" i="2"/>
  <c r="AN130" i="2"/>
  <c r="AJ130" i="2"/>
  <c r="AI130" i="2"/>
  <c r="AO129" i="2"/>
  <c r="AN129" i="2"/>
  <c r="AJ129" i="2"/>
  <c r="AI129" i="2"/>
  <c r="AO128" i="2"/>
  <c r="AN128" i="2"/>
  <c r="AJ128" i="2"/>
  <c r="AI128" i="2"/>
  <c r="AO127" i="2"/>
  <c r="AN127" i="2"/>
  <c r="AJ127" i="2"/>
  <c r="AI127" i="2"/>
  <c r="AO126" i="2"/>
  <c r="AN126" i="2"/>
  <c r="AJ126" i="2"/>
  <c r="AI126" i="2"/>
  <c r="AO125" i="2"/>
  <c r="AN125" i="2"/>
  <c r="AJ125" i="2"/>
  <c r="AI125" i="2"/>
  <c r="AO124" i="2"/>
  <c r="AN124" i="2"/>
  <c r="AJ124" i="2"/>
  <c r="AI124" i="2"/>
  <c r="AO123" i="2"/>
  <c r="AN123" i="2"/>
  <c r="AJ123" i="2"/>
  <c r="AI123" i="2"/>
  <c r="AO122" i="2"/>
  <c r="AN122" i="2"/>
  <c r="AJ122" i="2"/>
  <c r="AI122" i="2"/>
  <c r="AO121" i="2"/>
  <c r="AN121" i="2"/>
  <c r="AJ121" i="2"/>
  <c r="AI121" i="2"/>
  <c r="AO120" i="2"/>
  <c r="AN120" i="2"/>
  <c r="AJ120" i="2"/>
  <c r="AI120" i="2"/>
  <c r="AO119" i="2"/>
  <c r="AN119" i="2"/>
  <c r="AJ119" i="2"/>
  <c r="AI119" i="2"/>
  <c r="AO118" i="2"/>
  <c r="AN118" i="2"/>
  <c r="AJ118" i="2"/>
  <c r="AI118" i="2"/>
  <c r="AO117" i="2"/>
  <c r="AN117" i="2"/>
  <c r="AJ117" i="2"/>
  <c r="AI117" i="2"/>
  <c r="AO116" i="2"/>
  <c r="AN116" i="2"/>
  <c r="AJ116" i="2"/>
  <c r="AI116" i="2"/>
  <c r="AO115" i="2"/>
  <c r="AN115" i="2"/>
  <c r="AJ115" i="2"/>
  <c r="AI115" i="2"/>
  <c r="AO114" i="2"/>
  <c r="AN114" i="2"/>
  <c r="AJ114" i="2"/>
  <c r="AI114" i="2"/>
  <c r="AO113" i="2"/>
  <c r="AN113" i="2"/>
  <c r="AJ113" i="2"/>
  <c r="AI113" i="2"/>
  <c r="AO112" i="2"/>
  <c r="AN112" i="2"/>
  <c r="AJ112" i="2"/>
  <c r="AI112" i="2"/>
  <c r="AO111" i="2"/>
  <c r="AN111" i="2"/>
  <c r="AJ111" i="2"/>
  <c r="AI111" i="2"/>
  <c r="AO110" i="2"/>
  <c r="AN110" i="2"/>
  <c r="AJ110" i="2"/>
  <c r="AI110" i="2"/>
  <c r="AO109" i="2"/>
  <c r="AN109" i="2"/>
  <c r="AJ109" i="2"/>
  <c r="AI109" i="2"/>
  <c r="AO108" i="2"/>
  <c r="AN108" i="2"/>
  <c r="AJ108" i="2"/>
  <c r="AI108" i="2"/>
  <c r="AO107" i="2"/>
  <c r="AN107" i="2"/>
  <c r="AJ107" i="2"/>
  <c r="AI107" i="2"/>
  <c r="AO106" i="2"/>
  <c r="AN106" i="2"/>
  <c r="AJ106" i="2"/>
  <c r="AI106" i="2"/>
  <c r="AO105" i="2"/>
  <c r="AN105" i="2"/>
  <c r="AJ105" i="2"/>
  <c r="AI105" i="2"/>
  <c r="AO104" i="2"/>
  <c r="AN104" i="2"/>
  <c r="AJ104" i="2"/>
  <c r="AI104" i="2"/>
  <c r="AO103" i="2"/>
  <c r="AN103" i="2"/>
  <c r="AJ103" i="2"/>
  <c r="AI103" i="2"/>
  <c r="AO102" i="2"/>
  <c r="AN102" i="2"/>
  <c r="AJ102" i="2"/>
  <c r="AI102" i="2"/>
  <c r="AO101" i="2"/>
  <c r="AN101" i="2"/>
  <c r="AJ101" i="2"/>
  <c r="AI101" i="2"/>
  <c r="AO100" i="2"/>
  <c r="AN100" i="2"/>
  <c r="AJ100" i="2"/>
  <c r="AI100" i="2"/>
  <c r="AO99" i="2"/>
  <c r="AN99" i="2"/>
  <c r="AJ99" i="2"/>
  <c r="AI99" i="2"/>
  <c r="AO98" i="2"/>
  <c r="AN98" i="2"/>
  <c r="AJ98" i="2"/>
  <c r="AI98" i="2"/>
  <c r="AO97" i="2"/>
  <c r="AN97" i="2"/>
  <c r="AJ97" i="2"/>
  <c r="AI97" i="2"/>
  <c r="AO96" i="2"/>
  <c r="AN96" i="2"/>
  <c r="AJ96" i="2"/>
  <c r="AI96" i="2"/>
  <c r="AO95" i="2"/>
  <c r="AN95" i="2"/>
  <c r="AJ95" i="2"/>
  <c r="AI95" i="2"/>
  <c r="AO94" i="2"/>
  <c r="AN94" i="2"/>
  <c r="AJ94" i="2"/>
  <c r="AI94" i="2"/>
  <c r="AO93" i="2"/>
  <c r="AN93" i="2"/>
  <c r="AJ93" i="2"/>
  <c r="AI93" i="2"/>
  <c r="AO92" i="2"/>
  <c r="AN92" i="2"/>
  <c r="AJ92" i="2"/>
  <c r="AI92" i="2"/>
  <c r="AO91" i="2"/>
  <c r="AN91" i="2"/>
  <c r="AJ91" i="2"/>
  <c r="AI91" i="2"/>
  <c r="AO90" i="2"/>
  <c r="AN90" i="2"/>
  <c r="AJ90" i="2"/>
  <c r="AI90" i="2"/>
  <c r="AO89" i="2"/>
  <c r="AN89" i="2"/>
  <c r="AJ89" i="2"/>
  <c r="AI89" i="2"/>
  <c r="AO88" i="2"/>
  <c r="AN88" i="2"/>
  <c r="AJ88" i="2"/>
  <c r="AI88" i="2"/>
  <c r="AO87" i="2"/>
  <c r="AN87" i="2"/>
  <c r="AJ87" i="2"/>
  <c r="AI87" i="2"/>
  <c r="AO86" i="2"/>
  <c r="AN86" i="2"/>
  <c r="AJ86" i="2"/>
  <c r="AI86" i="2"/>
  <c r="AO85" i="2"/>
  <c r="AN85" i="2"/>
  <c r="AJ85" i="2"/>
  <c r="AI85" i="2"/>
  <c r="AO84" i="2"/>
  <c r="AN84" i="2"/>
  <c r="AJ84" i="2"/>
  <c r="AI84" i="2"/>
  <c r="AO83" i="2"/>
  <c r="AN83" i="2"/>
  <c r="AJ83" i="2"/>
  <c r="AI83" i="2"/>
  <c r="AO82" i="2"/>
  <c r="AN82" i="2"/>
  <c r="AJ82" i="2"/>
  <c r="AI82" i="2"/>
  <c r="AO81" i="2"/>
  <c r="AN81" i="2"/>
  <c r="AJ81" i="2"/>
  <c r="AI81" i="2"/>
  <c r="AO80" i="2"/>
  <c r="AN80" i="2"/>
  <c r="AJ80" i="2"/>
  <c r="AI80" i="2"/>
  <c r="AO79" i="2"/>
  <c r="AN79" i="2"/>
  <c r="AJ79" i="2"/>
  <c r="AI79" i="2"/>
  <c r="AO78" i="2"/>
  <c r="AN78" i="2"/>
  <c r="AJ78" i="2"/>
  <c r="AI78" i="2"/>
  <c r="AO76" i="2"/>
  <c r="AN76" i="2"/>
  <c r="AJ76" i="2"/>
  <c r="AI76" i="2"/>
  <c r="AO75" i="2"/>
  <c r="AN75" i="2"/>
  <c r="AJ75" i="2"/>
  <c r="AI75" i="2"/>
  <c r="AO74" i="2"/>
  <c r="AN74" i="2"/>
  <c r="AJ74" i="2"/>
  <c r="AI74" i="2"/>
  <c r="AO73" i="2"/>
  <c r="AN73" i="2"/>
  <c r="AJ73" i="2"/>
  <c r="AI73" i="2"/>
  <c r="AO72" i="2"/>
  <c r="AN72" i="2"/>
  <c r="AJ72" i="2"/>
  <c r="AI72" i="2"/>
  <c r="AO71" i="2"/>
  <c r="AN71" i="2"/>
  <c r="AJ71" i="2"/>
  <c r="AI71" i="2"/>
  <c r="AO70" i="2"/>
  <c r="AN70" i="2"/>
  <c r="AJ70" i="2"/>
  <c r="AI70" i="2"/>
  <c r="AO69" i="2"/>
  <c r="AN69" i="2"/>
  <c r="AJ69" i="2"/>
  <c r="AI69" i="2"/>
  <c r="AO68" i="2"/>
  <c r="AN68" i="2"/>
  <c r="AJ68" i="2"/>
  <c r="AI68" i="2"/>
  <c r="AO67" i="2"/>
  <c r="AN67" i="2"/>
  <c r="AJ67" i="2"/>
  <c r="AI67" i="2"/>
  <c r="AO66" i="2"/>
  <c r="AN66" i="2"/>
  <c r="AJ66" i="2"/>
  <c r="AI66" i="2"/>
  <c r="AO65" i="2"/>
  <c r="AN65" i="2"/>
  <c r="AJ65" i="2"/>
  <c r="AI65" i="2"/>
  <c r="AO64" i="2"/>
  <c r="AN64" i="2"/>
  <c r="AJ64" i="2"/>
  <c r="AI64" i="2"/>
  <c r="AO63" i="2"/>
  <c r="AN63" i="2"/>
  <c r="AJ63" i="2"/>
  <c r="AI63" i="2"/>
  <c r="AO62" i="2"/>
  <c r="AN62" i="2"/>
  <c r="AJ62" i="2"/>
  <c r="AI62" i="2"/>
  <c r="AO61" i="2"/>
  <c r="AN61" i="2"/>
  <c r="AJ61" i="2"/>
  <c r="AI61" i="2"/>
  <c r="AO60" i="2"/>
  <c r="AN60" i="2"/>
  <c r="AJ60" i="2"/>
  <c r="AI60" i="2"/>
  <c r="AO59" i="2"/>
  <c r="AN59" i="2"/>
  <c r="AJ59" i="2"/>
  <c r="AI59" i="2"/>
  <c r="AO58" i="2"/>
  <c r="AN58" i="2"/>
  <c r="AJ58" i="2"/>
  <c r="AI58" i="2"/>
  <c r="AO57" i="2"/>
  <c r="AN57" i="2"/>
  <c r="AJ57" i="2"/>
  <c r="AI57" i="2"/>
  <c r="AO56" i="2"/>
  <c r="AN56" i="2"/>
  <c r="AJ56" i="2"/>
  <c r="AI56" i="2"/>
  <c r="AO54" i="2"/>
  <c r="AN54" i="2"/>
  <c r="AJ54" i="2"/>
  <c r="AI54" i="2"/>
  <c r="AO53" i="2"/>
  <c r="AN53" i="2"/>
  <c r="AJ53" i="2"/>
  <c r="AI53" i="2"/>
  <c r="AO52" i="2"/>
  <c r="AN52" i="2"/>
  <c r="AJ52" i="2"/>
  <c r="AI52" i="2"/>
  <c r="AO51" i="2"/>
  <c r="AN51" i="2"/>
  <c r="AJ51" i="2"/>
  <c r="AI51" i="2"/>
  <c r="AO50" i="2"/>
  <c r="AN50" i="2"/>
  <c r="AJ50" i="2"/>
  <c r="AI50" i="2"/>
  <c r="AO49" i="2"/>
  <c r="AN49" i="2"/>
  <c r="AJ49" i="2"/>
  <c r="AI49" i="2"/>
  <c r="AO48" i="2"/>
  <c r="AN48" i="2"/>
  <c r="AJ48" i="2"/>
  <c r="AI48" i="2"/>
  <c r="AO47" i="2"/>
  <c r="AN47" i="2"/>
  <c r="AJ47" i="2"/>
  <c r="AI47" i="2"/>
  <c r="AO46" i="2"/>
  <c r="AN46" i="2"/>
  <c r="AJ46" i="2"/>
  <c r="AI46" i="2"/>
  <c r="AO45" i="2"/>
  <c r="AN45" i="2"/>
  <c r="AJ45" i="2"/>
  <c r="AI45" i="2"/>
  <c r="AO44" i="2"/>
  <c r="AN44" i="2"/>
  <c r="AJ44" i="2"/>
  <c r="AI44" i="2"/>
  <c r="AO43" i="2"/>
  <c r="AN43" i="2"/>
  <c r="AJ43" i="2"/>
  <c r="AI43" i="2"/>
  <c r="AO42" i="2"/>
  <c r="AN42" i="2"/>
  <c r="AJ42" i="2"/>
  <c r="AI42" i="2"/>
  <c r="AO41" i="2"/>
  <c r="AN41" i="2"/>
  <c r="AJ41" i="2"/>
  <c r="AI41" i="2"/>
  <c r="AO40" i="2"/>
  <c r="AN40" i="2"/>
  <c r="AJ40" i="2"/>
  <c r="AI40" i="2"/>
  <c r="AO39" i="2"/>
  <c r="AN39" i="2"/>
  <c r="AJ39" i="2"/>
  <c r="AI39" i="2"/>
  <c r="AO38" i="2"/>
  <c r="AN38" i="2"/>
  <c r="AJ38" i="2"/>
  <c r="AI38" i="2"/>
  <c r="AO36" i="2"/>
  <c r="AN36" i="2"/>
  <c r="AJ36" i="2"/>
  <c r="AI36" i="2"/>
  <c r="AO35" i="2"/>
  <c r="AN35" i="2"/>
  <c r="AJ35" i="2"/>
  <c r="AI35" i="2"/>
  <c r="AO34" i="2"/>
  <c r="AN34" i="2"/>
  <c r="AJ34" i="2"/>
  <c r="AI34" i="2"/>
  <c r="AO33" i="2"/>
  <c r="AN33" i="2"/>
  <c r="AJ33" i="2"/>
  <c r="AI33" i="2"/>
  <c r="AO32" i="2"/>
  <c r="AN32" i="2"/>
  <c r="AJ32" i="2"/>
  <c r="AI32" i="2"/>
  <c r="AO30" i="2"/>
  <c r="AN30" i="2"/>
  <c r="AJ30" i="2"/>
  <c r="AI30" i="2"/>
  <c r="AO29" i="2"/>
  <c r="AN29" i="2"/>
  <c r="AJ29" i="2"/>
  <c r="AI29" i="2"/>
  <c r="AO28" i="2"/>
  <c r="AN28" i="2"/>
  <c r="AJ28" i="2"/>
  <c r="AI28" i="2"/>
  <c r="AO27" i="2"/>
  <c r="AN27" i="2"/>
  <c r="AJ27" i="2"/>
  <c r="AI27" i="2"/>
  <c r="AO26" i="2"/>
  <c r="AN26" i="2"/>
  <c r="AJ26" i="2"/>
  <c r="AI26" i="2"/>
  <c r="AO25" i="2"/>
  <c r="AN25" i="2"/>
  <c r="AJ25" i="2"/>
  <c r="AI25" i="2"/>
  <c r="AO24" i="2"/>
  <c r="AN24" i="2"/>
  <c r="AJ24" i="2"/>
  <c r="AI24" i="2"/>
  <c r="AO23" i="2"/>
  <c r="AN23" i="2"/>
  <c r="AJ23" i="2"/>
  <c r="AI23" i="2"/>
  <c r="AO22" i="2"/>
  <c r="AN22" i="2"/>
  <c r="AJ22" i="2"/>
  <c r="AI22" i="2"/>
  <c r="AO21" i="2"/>
  <c r="AN21" i="2"/>
  <c r="AJ21" i="2"/>
  <c r="AI21" i="2"/>
  <c r="AO19" i="2"/>
  <c r="AN19" i="2"/>
  <c r="AJ19" i="2"/>
  <c r="AI19" i="2"/>
  <c r="AO18" i="2"/>
  <c r="AN18" i="2"/>
  <c r="AJ18" i="2"/>
  <c r="AI18" i="2"/>
  <c r="AO17" i="2"/>
  <c r="AN17" i="2"/>
  <c r="AJ17" i="2"/>
  <c r="AI17" i="2"/>
  <c r="AO16" i="2"/>
  <c r="AN16" i="2"/>
  <c r="AJ16" i="2"/>
  <c r="AI16" i="2"/>
  <c r="AO15" i="2"/>
  <c r="AN15" i="2"/>
  <c r="AJ15" i="2"/>
  <c r="AI15" i="2"/>
  <c r="AO13" i="2"/>
  <c r="AN13" i="2"/>
  <c r="AJ13" i="2"/>
  <c r="AI13" i="2"/>
  <c r="AO12" i="2"/>
  <c r="AN12" i="2"/>
  <c r="AJ12" i="2"/>
  <c r="AI12" i="2"/>
  <c r="AO11" i="2"/>
  <c r="AN11" i="2"/>
  <c r="AJ11" i="2"/>
  <c r="AI11" i="2"/>
  <c r="AW676" i="2"/>
  <c r="AV676" i="2"/>
  <c r="AW675" i="2"/>
  <c r="AV675" i="2"/>
  <c r="AW674" i="2"/>
  <c r="AV674" i="2"/>
  <c r="AW673" i="2"/>
  <c r="AV673" i="2"/>
  <c r="AW672" i="2"/>
  <c r="AV672" i="2"/>
  <c r="AW671" i="2"/>
  <c r="AV671" i="2"/>
  <c r="AW670" i="2"/>
  <c r="AV670" i="2"/>
  <c r="AW669" i="2"/>
  <c r="AV669" i="2"/>
  <c r="AW668" i="2"/>
  <c r="AV668" i="2"/>
  <c r="AW667" i="2"/>
  <c r="AV667" i="2"/>
  <c r="AW666" i="2"/>
  <c r="AV666" i="2"/>
  <c r="AW665" i="2"/>
  <c r="AV665" i="2"/>
  <c r="AW664" i="2"/>
  <c r="AV664" i="2"/>
  <c r="AW663" i="2"/>
  <c r="AV663" i="2"/>
  <c r="AW662" i="2"/>
  <c r="AV662" i="2"/>
  <c r="AW661" i="2"/>
  <c r="AV661" i="2"/>
  <c r="AW660" i="2"/>
  <c r="AV660" i="2"/>
  <c r="AW659" i="2"/>
  <c r="AV659" i="2"/>
  <c r="AW658" i="2"/>
  <c r="AV658" i="2"/>
  <c r="AW657" i="2"/>
  <c r="AV657" i="2"/>
  <c r="AW656" i="2"/>
  <c r="AV656" i="2"/>
  <c r="AW655" i="2"/>
  <c r="AV655" i="2"/>
  <c r="AW654" i="2"/>
  <c r="AV654" i="2"/>
  <c r="AW653" i="2"/>
  <c r="AV653" i="2"/>
  <c r="AW652" i="2"/>
  <c r="AV652" i="2"/>
  <c r="AW651" i="2"/>
  <c r="AV651" i="2"/>
  <c r="AW650" i="2"/>
  <c r="AV650" i="2"/>
  <c r="AW649" i="2"/>
  <c r="AV649" i="2"/>
  <c r="AW648" i="2"/>
  <c r="AV648" i="2"/>
  <c r="AW647" i="2"/>
  <c r="AV647" i="2"/>
  <c r="AW646" i="2"/>
  <c r="AV646" i="2"/>
  <c r="AW645" i="2"/>
  <c r="AV645" i="2"/>
  <c r="AW644" i="2"/>
  <c r="AV644" i="2"/>
  <c r="AW643" i="2"/>
  <c r="AV643" i="2"/>
  <c r="AW642" i="2"/>
  <c r="AV642" i="2"/>
  <c r="AW641" i="2"/>
  <c r="AV641" i="2"/>
  <c r="AW640" i="2"/>
  <c r="AV640" i="2"/>
  <c r="AW639" i="2"/>
  <c r="AV639" i="2"/>
  <c r="AW638" i="2"/>
  <c r="AV638" i="2"/>
  <c r="AW637" i="2"/>
  <c r="AV637" i="2"/>
  <c r="AW636" i="2"/>
  <c r="AV636" i="2"/>
  <c r="AW635" i="2"/>
  <c r="AV635" i="2"/>
  <c r="AW634" i="2"/>
  <c r="AV634" i="2"/>
  <c r="AW633" i="2"/>
  <c r="AV633" i="2"/>
  <c r="AW632" i="2"/>
  <c r="AV632" i="2"/>
  <c r="AW631" i="2"/>
  <c r="AV631" i="2"/>
  <c r="AW630" i="2"/>
  <c r="AV630" i="2"/>
  <c r="AW629" i="2"/>
  <c r="AV629" i="2"/>
  <c r="AW628" i="2"/>
  <c r="AV628" i="2"/>
  <c r="AW627" i="2"/>
  <c r="AV627" i="2"/>
  <c r="AW626" i="2"/>
  <c r="AV626" i="2"/>
  <c r="AW625" i="2"/>
  <c r="AV625" i="2"/>
  <c r="AW624" i="2"/>
  <c r="AV624" i="2"/>
  <c r="AW623" i="2"/>
  <c r="AV623" i="2"/>
  <c r="AW622" i="2"/>
  <c r="AV622" i="2"/>
  <c r="AW621" i="2"/>
  <c r="AV621" i="2"/>
  <c r="AW620" i="2"/>
  <c r="AV620" i="2"/>
  <c r="AW619" i="2"/>
  <c r="AV619" i="2"/>
  <c r="AW618" i="2"/>
  <c r="AV618" i="2"/>
  <c r="AW617" i="2"/>
  <c r="AV617" i="2"/>
  <c r="AW616" i="2"/>
  <c r="AV616" i="2"/>
  <c r="AW615" i="2"/>
  <c r="AV615" i="2"/>
  <c r="AW614" i="2"/>
  <c r="AV614" i="2"/>
  <c r="AW613" i="2"/>
  <c r="AV613" i="2"/>
  <c r="AW612" i="2"/>
  <c r="AV612" i="2"/>
  <c r="AW611" i="2"/>
  <c r="AV611" i="2"/>
  <c r="AW610" i="2"/>
  <c r="AV610" i="2"/>
  <c r="AW609" i="2"/>
  <c r="AV609" i="2"/>
  <c r="AW608" i="2"/>
  <c r="AV608" i="2"/>
  <c r="AW607" i="2"/>
  <c r="AV607" i="2"/>
  <c r="AW606" i="2"/>
  <c r="AV606" i="2"/>
  <c r="AW605" i="2"/>
  <c r="AV605" i="2"/>
  <c r="AW604" i="2"/>
  <c r="AV604" i="2"/>
  <c r="AW603" i="2"/>
  <c r="AV603" i="2"/>
  <c r="AW602" i="2"/>
  <c r="AV602" i="2"/>
  <c r="AW601" i="2"/>
  <c r="AV601" i="2"/>
  <c r="AW600" i="2"/>
  <c r="AV600" i="2"/>
  <c r="AW599" i="2"/>
  <c r="AV599" i="2"/>
  <c r="AW598" i="2"/>
  <c r="AV598" i="2"/>
  <c r="AW597" i="2"/>
  <c r="AV597" i="2"/>
  <c r="AW596" i="2"/>
  <c r="AV596" i="2"/>
  <c r="AW595" i="2"/>
  <c r="AV595" i="2"/>
  <c r="AW594" i="2"/>
  <c r="AV594" i="2"/>
  <c r="AW593" i="2"/>
  <c r="AV593" i="2"/>
  <c r="AW592" i="2"/>
  <c r="AV592" i="2"/>
  <c r="AW591" i="2"/>
  <c r="AV591" i="2"/>
  <c r="AW590" i="2"/>
  <c r="AV590" i="2"/>
  <c r="AW589" i="2"/>
  <c r="AV589" i="2"/>
  <c r="AW588" i="2"/>
  <c r="AV588" i="2"/>
  <c r="AW587" i="2"/>
  <c r="AV587" i="2"/>
  <c r="AW586" i="2"/>
  <c r="AV586" i="2"/>
  <c r="AW585" i="2"/>
  <c r="AV585" i="2"/>
  <c r="AW584" i="2"/>
  <c r="AV584" i="2"/>
  <c r="AW583" i="2"/>
  <c r="AV583" i="2"/>
  <c r="AW582" i="2"/>
  <c r="AV582" i="2"/>
  <c r="AW581" i="2"/>
  <c r="AV581" i="2"/>
  <c r="AW580" i="2"/>
  <c r="AV580" i="2"/>
  <c r="AW579" i="2"/>
  <c r="AV579" i="2"/>
  <c r="AW578" i="2"/>
  <c r="AV578" i="2"/>
  <c r="AW577" i="2"/>
  <c r="AV577" i="2"/>
  <c r="AW576" i="2"/>
  <c r="AV576" i="2"/>
  <c r="AW575" i="2"/>
  <c r="AV575" i="2"/>
  <c r="AW574" i="2"/>
  <c r="AV574" i="2"/>
  <c r="AW573" i="2"/>
  <c r="AV573" i="2"/>
  <c r="AW572" i="2"/>
  <c r="AV572" i="2"/>
  <c r="AW571" i="2"/>
  <c r="AV571" i="2"/>
  <c r="AW570" i="2"/>
  <c r="AV570" i="2"/>
  <c r="AW569" i="2"/>
  <c r="AV569" i="2"/>
  <c r="AW568" i="2"/>
  <c r="AV568" i="2"/>
  <c r="AW567" i="2"/>
  <c r="AV567" i="2"/>
  <c r="AW566" i="2"/>
  <c r="AV566" i="2"/>
  <c r="AW565" i="2"/>
  <c r="AV565" i="2"/>
  <c r="AW564" i="2"/>
  <c r="AV564" i="2"/>
  <c r="AW563" i="2"/>
  <c r="AV563" i="2"/>
  <c r="AW562" i="2"/>
  <c r="AV562" i="2"/>
  <c r="AW561" i="2"/>
  <c r="AV561" i="2"/>
  <c r="AW560" i="2"/>
  <c r="AV560" i="2"/>
  <c r="AW559" i="2"/>
  <c r="AV559" i="2"/>
  <c r="AW558" i="2"/>
  <c r="AV558" i="2"/>
  <c r="AW557" i="2"/>
  <c r="AV557" i="2"/>
  <c r="AW556" i="2"/>
  <c r="AV556" i="2"/>
  <c r="AW555" i="2"/>
  <c r="AV555" i="2"/>
  <c r="AW554" i="2"/>
  <c r="AV554" i="2"/>
  <c r="AW553" i="2"/>
  <c r="AV553" i="2"/>
  <c r="AW552" i="2"/>
  <c r="AV552" i="2"/>
  <c r="AW551" i="2"/>
  <c r="AV551" i="2"/>
  <c r="AW550" i="2"/>
  <c r="AV550" i="2"/>
  <c r="AW549" i="2"/>
  <c r="AV549" i="2"/>
  <c r="AW548" i="2"/>
  <c r="AV548" i="2"/>
  <c r="AW547" i="2"/>
  <c r="AV547" i="2"/>
  <c r="AW546" i="2"/>
  <c r="AV546" i="2"/>
  <c r="AW545" i="2"/>
  <c r="AV545" i="2"/>
  <c r="AW544" i="2"/>
  <c r="AV544" i="2"/>
  <c r="AW543" i="2"/>
  <c r="AV543" i="2"/>
  <c r="AW542" i="2"/>
  <c r="AV542" i="2"/>
  <c r="AW541" i="2"/>
  <c r="AV541" i="2"/>
  <c r="AW540" i="2"/>
  <c r="AV540" i="2"/>
  <c r="AW539" i="2"/>
  <c r="AV539" i="2"/>
  <c r="AW538" i="2"/>
  <c r="AV538" i="2"/>
  <c r="AW537" i="2"/>
  <c r="AV537" i="2"/>
  <c r="AW536" i="2"/>
  <c r="AV536" i="2"/>
  <c r="AW535" i="2"/>
  <c r="AV535" i="2"/>
  <c r="AW534" i="2"/>
  <c r="AV534" i="2"/>
  <c r="AW533" i="2"/>
  <c r="AV533" i="2"/>
  <c r="AW532" i="2"/>
  <c r="AV532" i="2"/>
  <c r="AW531" i="2"/>
  <c r="AV531" i="2"/>
  <c r="AW530" i="2"/>
  <c r="AV530" i="2"/>
  <c r="AW529" i="2"/>
  <c r="AV529" i="2"/>
  <c r="AW528" i="2"/>
  <c r="AV528" i="2"/>
  <c r="AW527" i="2"/>
  <c r="AV527" i="2"/>
  <c r="AW526" i="2"/>
  <c r="AV526" i="2"/>
  <c r="AW525" i="2"/>
  <c r="AV525" i="2"/>
  <c r="AW524" i="2"/>
  <c r="AV524" i="2"/>
  <c r="AW523" i="2"/>
  <c r="AV523" i="2"/>
  <c r="AW522" i="2"/>
  <c r="AV522" i="2"/>
  <c r="AW521" i="2"/>
  <c r="AV521" i="2"/>
  <c r="AW520" i="2"/>
  <c r="AV520" i="2"/>
  <c r="AW519" i="2"/>
  <c r="AV519" i="2"/>
  <c r="AW518" i="2"/>
  <c r="AV518" i="2"/>
  <c r="AW517" i="2"/>
  <c r="AV517" i="2"/>
  <c r="AW516" i="2"/>
  <c r="AV516" i="2"/>
  <c r="AW515" i="2"/>
  <c r="AV515" i="2"/>
  <c r="AW514" i="2"/>
  <c r="AV514" i="2"/>
  <c r="AW513" i="2"/>
  <c r="AV513" i="2"/>
  <c r="AW512" i="2"/>
  <c r="AV512" i="2"/>
  <c r="AW511" i="2"/>
  <c r="AV511" i="2"/>
  <c r="AW510" i="2"/>
  <c r="AV510" i="2"/>
  <c r="AW509" i="2"/>
  <c r="AV509" i="2"/>
  <c r="AW508" i="2"/>
  <c r="AV508" i="2"/>
  <c r="AW507" i="2"/>
  <c r="AV507" i="2"/>
  <c r="AW506" i="2"/>
  <c r="AV506" i="2"/>
  <c r="AW505" i="2"/>
  <c r="AV505" i="2"/>
  <c r="AW504" i="2"/>
  <c r="AV504" i="2"/>
  <c r="AW503" i="2"/>
  <c r="AV503" i="2"/>
  <c r="AW502" i="2"/>
  <c r="AV502" i="2"/>
  <c r="AW501" i="2"/>
  <c r="AV501" i="2"/>
  <c r="AW500" i="2"/>
  <c r="AV500" i="2"/>
  <c r="AW499" i="2"/>
  <c r="AV499" i="2"/>
  <c r="AW498" i="2"/>
  <c r="AV498" i="2"/>
  <c r="AW497" i="2"/>
  <c r="AV497" i="2"/>
  <c r="AW496" i="2"/>
  <c r="AV496" i="2"/>
  <c r="AW495" i="2"/>
  <c r="AV495" i="2"/>
  <c r="AW494" i="2"/>
  <c r="AV494" i="2"/>
  <c r="AW493" i="2"/>
  <c r="AV493" i="2"/>
  <c r="AW492" i="2"/>
  <c r="AV492" i="2"/>
  <c r="AW491" i="2"/>
  <c r="AV491" i="2"/>
  <c r="AW490" i="2"/>
  <c r="AV490" i="2"/>
  <c r="AW489" i="2"/>
  <c r="AV489" i="2"/>
  <c r="AW488" i="2"/>
  <c r="AV488" i="2"/>
  <c r="AW487" i="2"/>
  <c r="AV487" i="2"/>
  <c r="AW486" i="2"/>
  <c r="AV486" i="2"/>
  <c r="AW485" i="2"/>
  <c r="AV485" i="2"/>
  <c r="AW484" i="2"/>
  <c r="AV484" i="2"/>
  <c r="AW483" i="2"/>
  <c r="AV483" i="2"/>
  <c r="AW482" i="2"/>
  <c r="AV482" i="2"/>
  <c r="AW481" i="2"/>
  <c r="AV481" i="2"/>
  <c r="AW480" i="2"/>
  <c r="AV480" i="2"/>
  <c r="AW479" i="2"/>
  <c r="AV479" i="2"/>
  <c r="AW478" i="2"/>
  <c r="AV478" i="2"/>
  <c r="AW477" i="2"/>
  <c r="AV477" i="2"/>
  <c r="AW476" i="2"/>
  <c r="AV476" i="2"/>
  <c r="AW475" i="2"/>
  <c r="AV475" i="2"/>
  <c r="AW474" i="2"/>
  <c r="AV474" i="2"/>
  <c r="AW473" i="2"/>
  <c r="AV473" i="2"/>
  <c r="AW472" i="2"/>
  <c r="AV472" i="2"/>
  <c r="AW471" i="2"/>
  <c r="AV471" i="2"/>
  <c r="AW470" i="2"/>
  <c r="AV470" i="2"/>
  <c r="AW469" i="2"/>
  <c r="AV469" i="2"/>
  <c r="AW468" i="2"/>
  <c r="AV468" i="2"/>
  <c r="AW467" i="2"/>
  <c r="AV467" i="2"/>
  <c r="AW466" i="2"/>
  <c r="AV466" i="2"/>
  <c r="AW465" i="2"/>
  <c r="AV465" i="2"/>
  <c r="AW464" i="2"/>
  <c r="AV464" i="2"/>
  <c r="AW463" i="2"/>
  <c r="AV463" i="2"/>
  <c r="AW462" i="2"/>
  <c r="AV462" i="2"/>
  <c r="AW461" i="2"/>
  <c r="AV461" i="2"/>
  <c r="AW460" i="2"/>
  <c r="AV460" i="2"/>
  <c r="AW459" i="2"/>
  <c r="AV459" i="2"/>
  <c r="AW458" i="2"/>
  <c r="AV458" i="2"/>
  <c r="AW457" i="2"/>
  <c r="AV457" i="2"/>
  <c r="AW456" i="2"/>
  <c r="AV456" i="2"/>
  <c r="AW455" i="2"/>
  <c r="AV455" i="2"/>
  <c r="AW454" i="2"/>
  <c r="AV454" i="2"/>
  <c r="AW453" i="2"/>
  <c r="AV453" i="2"/>
  <c r="AW452" i="2"/>
  <c r="AV452" i="2"/>
  <c r="AW451" i="2"/>
  <c r="AV451" i="2"/>
  <c r="AW450" i="2"/>
  <c r="AV450" i="2"/>
  <c r="AW449" i="2"/>
  <c r="AV449" i="2"/>
  <c r="AW448" i="2"/>
  <c r="AV448" i="2"/>
  <c r="AW447" i="2"/>
  <c r="AV447" i="2"/>
  <c r="AW446" i="2"/>
  <c r="AV446" i="2"/>
  <c r="AW445" i="2"/>
  <c r="AV445" i="2"/>
  <c r="AW444" i="2"/>
  <c r="AV444" i="2"/>
  <c r="AW443" i="2"/>
  <c r="AV443" i="2"/>
  <c r="AW442" i="2"/>
  <c r="AV442" i="2"/>
  <c r="AW441" i="2"/>
  <c r="AV441" i="2"/>
  <c r="AW440" i="2"/>
  <c r="AV440" i="2"/>
  <c r="AW439" i="2"/>
  <c r="AV439" i="2"/>
  <c r="AW438" i="2"/>
  <c r="AV438" i="2"/>
  <c r="AW437" i="2"/>
  <c r="AV437" i="2"/>
  <c r="AW436" i="2"/>
  <c r="AV436" i="2"/>
  <c r="AW435" i="2"/>
  <c r="AV435" i="2"/>
  <c r="AW434" i="2"/>
  <c r="AV434" i="2"/>
  <c r="AW433" i="2"/>
  <c r="AV433" i="2"/>
  <c r="AW432" i="2"/>
  <c r="AV432" i="2"/>
  <c r="AW431" i="2"/>
  <c r="AV431" i="2"/>
  <c r="AW430" i="2"/>
  <c r="AV430" i="2"/>
  <c r="AW429" i="2"/>
  <c r="AV429" i="2"/>
  <c r="AW428" i="2"/>
  <c r="AV428" i="2"/>
  <c r="AW427" i="2"/>
  <c r="AV427" i="2"/>
  <c r="AW426" i="2"/>
  <c r="AV426" i="2"/>
  <c r="AW425" i="2"/>
  <c r="AV425" i="2"/>
  <c r="AW424" i="2"/>
  <c r="AV424" i="2"/>
  <c r="AW423" i="2"/>
  <c r="AV423" i="2"/>
  <c r="AW422" i="2"/>
  <c r="AV422" i="2"/>
  <c r="AW421" i="2"/>
  <c r="AV421" i="2"/>
  <c r="AW420" i="2"/>
  <c r="AV420" i="2"/>
  <c r="AW419" i="2"/>
  <c r="AV419" i="2"/>
  <c r="AW418" i="2"/>
  <c r="AV418" i="2"/>
  <c r="AW417" i="2"/>
  <c r="AV417" i="2"/>
  <c r="AW416" i="2"/>
  <c r="AV416" i="2"/>
  <c r="AW415" i="2"/>
  <c r="AV415" i="2"/>
  <c r="AW414" i="2"/>
  <c r="AV414" i="2"/>
  <c r="AW413" i="2"/>
  <c r="AV413" i="2"/>
  <c r="AW412" i="2"/>
  <c r="AV412" i="2"/>
  <c r="AW411" i="2"/>
  <c r="AV411" i="2"/>
  <c r="AW410" i="2"/>
  <c r="AV410" i="2"/>
  <c r="AW409" i="2"/>
  <c r="AV409" i="2"/>
  <c r="AW408" i="2"/>
  <c r="AV408" i="2"/>
  <c r="AW407" i="2"/>
  <c r="AV407" i="2"/>
  <c r="AW406" i="2"/>
  <c r="AV406" i="2"/>
  <c r="AW405" i="2"/>
  <c r="AV405" i="2"/>
  <c r="AW404" i="2"/>
  <c r="AV404" i="2"/>
  <c r="AW403" i="2"/>
  <c r="AV403" i="2"/>
  <c r="AW402" i="2"/>
  <c r="AV402" i="2"/>
  <c r="AW401" i="2"/>
  <c r="AV401" i="2"/>
  <c r="AW400" i="2"/>
  <c r="AV400" i="2"/>
  <c r="AW399" i="2"/>
  <c r="AV399" i="2"/>
  <c r="AW398" i="2"/>
  <c r="AV398" i="2"/>
  <c r="AW397" i="2"/>
  <c r="AV397" i="2"/>
  <c r="AW396" i="2"/>
  <c r="AV396" i="2"/>
  <c r="AW395" i="2"/>
  <c r="AV395" i="2"/>
  <c r="AW394" i="2"/>
  <c r="AV394" i="2"/>
  <c r="AW393" i="2"/>
  <c r="AV393" i="2"/>
  <c r="AW392" i="2"/>
  <c r="AV392" i="2"/>
  <c r="AW391" i="2"/>
  <c r="AV391" i="2"/>
  <c r="AW390" i="2"/>
  <c r="AV390" i="2"/>
  <c r="AW389" i="2"/>
  <c r="AV389" i="2"/>
  <c r="AW388" i="2"/>
  <c r="AV388" i="2"/>
  <c r="AW387" i="2"/>
  <c r="AV387" i="2"/>
  <c r="AW386" i="2"/>
  <c r="AV386" i="2"/>
  <c r="AW385" i="2"/>
  <c r="AV385" i="2"/>
  <c r="AW384" i="2"/>
  <c r="AV384" i="2"/>
  <c r="AW383" i="2"/>
  <c r="AV383" i="2"/>
  <c r="AW382" i="2"/>
  <c r="AV382" i="2"/>
  <c r="AW381" i="2"/>
  <c r="AV381" i="2"/>
  <c r="AW380" i="2"/>
  <c r="AV380" i="2"/>
  <c r="AW379" i="2"/>
  <c r="AV379" i="2"/>
  <c r="AW378" i="2"/>
  <c r="AV378" i="2"/>
  <c r="AW377" i="2"/>
  <c r="AV377" i="2"/>
  <c r="AW376" i="2"/>
  <c r="AV376" i="2"/>
  <c r="AW375" i="2"/>
  <c r="AV375" i="2"/>
  <c r="AW374" i="2"/>
  <c r="AV374" i="2"/>
  <c r="AW373" i="2"/>
  <c r="AV373" i="2"/>
  <c r="AW372" i="2"/>
  <c r="AV372" i="2"/>
  <c r="AW371" i="2"/>
  <c r="AV371" i="2"/>
  <c r="AW370" i="2"/>
  <c r="AV370" i="2"/>
  <c r="AW369" i="2"/>
  <c r="AV369" i="2"/>
  <c r="AW368" i="2"/>
  <c r="AV368" i="2"/>
  <c r="AW367" i="2"/>
  <c r="AV367" i="2"/>
  <c r="AW366" i="2"/>
  <c r="AV366" i="2"/>
  <c r="AW365" i="2"/>
  <c r="AV365" i="2"/>
  <c r="AW364" i="2"/>
  <c r="AV364" i="2"/>
  <c r="AW363" i="2"/>
  <c r="AV363" i="2"/>
  <c r="AW362" i="2"/>
  <c r="AV362" i="2"/>
  <c r="AW361" i="2"/>
  <c r="AV361" i="2"/>
  <c r="AW360" i="2"/>
  <c r="AV360" i="2"/>
  <c r="AW359" i="2"/>
  <c r="AV359" i="2"/>
  <c r="AW358" i="2"/>
  <c r="AV358" i="2"/>
  <c r="AW357" i="2"/>
  <c r="AV357" i="2"/>
  <c r="AW356" i="2"/>
  <c r="AV356" i="2"/>
  <c r="AW355" i="2"/>
  <c r="AV355" i="2"/>
  <c r="AW354" i="2"/>
  <c r="AV354" i="2"/>
  <c r="AW353" i="2"/>
  <c r="AV353" i="2"/>
  <c r="AW352" i="2"/>
  <c r="AV352" i="2"/>
  <c r="AW351" i="2"/>
  <c r="AV351" i="2"/>
  <c r="AW350" i="2"/>
  <c r="AV350" i="2"/>
  <c r="AW349" i="2"/>
  <c r="AV349" i="2"/>
  <c r="AW348" i="2"/>
  <c r="AV348" i="2"/>
  <c r="AW347" i="2"/>
  <c r="AV347" i="2"/>
  <c r="AW346" i="2"/>
  <c r="AV346" i="2"/>
  <c r="AW345" i="2"/>
  <c r="AV345" i="2"/>
  <c r="AW344" i="2"/>
  <c r="AV344" i="2"/>
  <c r="AW343" i="2"/>
  <c r="AV343" i="2"/>
  <c r="AW342" i="2"/>
  <c r="AV342" i="2"/>
  <c r="AW341" i="2"/>
  <c r="AV341" i="2"/>
  <c r="AW340" i="2"/>
  <c r="AV340" i="2"/>
  <c r="AW339" i="2"/>
  <c r="AV339" i="2"/>
  <c r="AW338" i="2"/>
  <c r="AV338" i="2"/>
  <c r="AW337" i="2"/>
  <c r="AV337" i="2"/>
  <c r="AW336" i="2"/>
  <c r="AV336" i="2"/>
  <c r="AW335" i="2"/>
  <c r="AV335" i="2"/>
  <c r="AW334" i="2"/>
  <c r="AV334" i="2"/>
  <c r="AW333" i="2"/>
  <c r="AV333" i="2"/>
  <c r="AW332" i="2"/>
  <c r="AV332" i="2"/>
  <c r="AW331" i="2"/>
  <c r="AV331" i="2"/>
  <c r="AW330" i="2"/>
  <c r="AV330" i="2"/>
  <c r="AW329" i="2"/>
  <c r="AV329" i="2"/>
  <c r="AW328" i="2"/>
  <c r="AV328" i="2"/>
  <c r="AW327" i="2"/>
  <c r="AV327" i="2"/>
  <c r="AW326" i="2"/>
  <c r="AV326" i="2"/>
  <c r="AW325" i="2"/>
  <c r="AV325" i="2"/>
  <c r="AW324" i="2"/>
  <c r="AV324" i="2"/>
  <c r="AW323" i="2"/>
  <c r="AV323" i="2"/>
  <c r="AW322" i="2"/>
  <c r="AV322" i="2"/>
  <c r="AW321" i="2"/>
  <c r="AV321" i="2"/>
  <c r="AW320" i="2"/>
  <c r="AV320" i="2"/>
  <c r="AW319" i="2"/>
  <c r="AV319" i="2"/>
  <c r="AW318" i="2"/>
  <c r="AV318" i="2"/>
  <c r="AW317" i="2"/>
  <c r="AV317" i="2"/>
  <c r="AW316" i="2"/>
  <c r="AV316" i="2"/>
  <c r="AW315" i="2"/>
  <c r="AV315" i="2"/>
  <c r="AW314" i="2"/>
  <c r="AV314" i="2"/>
  <c r="AW313" i="2"/>
  <c r="AV313" i="2"/>
  <c r="AW310" i="2"/>
  <c r="AV310" i="2"/>
  <c r="AW309" i="2"/>
  <c r="AV309" i="2"/>
  <c r="AW308" i="2"/>
  <c r="AV308" i="2"/>
  <c r="AW307" i="2"/>
  <c r="AV307" i="2"/>
  <c r="AW306" i="2"/>
  <c r="AV306" i="2"/>
  <c r="AW305" i="2"/>
  <c r="AV305" i="2"/>
  <c r="AW304" i="2"/>
  <c r="AV304" i="2"/>
  <c r="AW303" i="2"/>
  <c r="AV303" i="2"/>
  <c r="AW302" i="2"/>
  <c r="AV302" i="2"/>
  <c r="AW301" i="2"/>
  <c r="AV301" i="2"/>
  <c r="AW300" i="2"/>
  <c r="AV300" i="2"/>
  <c r="AW299" i="2"/>
  <c r="AV299" i="2"/>
  <c r="AW298" i="2"/>
  <c r="AV298" i="2"/>
  <c r="AW297" i="2"/>
  <c r="AV297" i="2"/>
  <c r="AW296" i="2"/>
  <c r="AV296" i="2"/>
  <c r="AW295" i="2"/>
  <c r="AV295" i="2"/>
  <c r="AW294" i="2"/>
  <c r="AV294" i="2"/>
  <c r="AW293" i="2"/>
  <c r="AV293" i="2"/>
  <c r="AW292" i="2"/>
  <c r="AV292" i="2"/>
  <c r="AW291" i="2"/>
  <c r="AV291" i="2"/>
  <c r="AW290" i="2"/>
  <c r="AV290" i="2"/>
  <c r="AW289" i="2"/>
  <c r="AV289" i="2"/>
  <c r="AW288" i="2"/>
  <c r="AV288" i="2"/>
  <c r="AW287" i="2"/>
  <c r="AV287" i="2"/>
  <c r="AW286" i="2"/>
  <c r="AV286" i="2"/>
  <c r="AW285" i="2"/>
  <c r="AV285" i="2"/>
  <c r="AW284" i="2"/>
  <c r="AV284" i="2"/>
  <c r="AW283" i="2"/>
  <c r="AV283" i="2"/>
  <c r="AW282" i="2"/>
  <c r="AV282" i="2"/>
  <c r="AW281" i="2"/>
  <c r="AV281" i="2"/>
  <c r="AW280" i="2"/>
  <c r="AV280" i="2"/>
  <c r="AW279" i="2"/>
  <c r="AV279" i="2"/>
  <c r="AW278" i="2"/>
  <c r="AV278" i="2"/>
  <c r="AW277" i="2"/>
  <c r="AV277" i="2"/>
  <c r="AW276" i="2"/>
  <c r="AV276" i="2"/>
  <c r="AW275" i="2"/>
  <c r="AV275" i="2"/>
  <c r="AW274" i="2"/>
  <c r="AV274" i="2"/>
  <c r="AW273" i="2"/>
  <c r="AV273" i="2"/>
  <c r="AW272" i="2"/>
  <c r="AV272" i="2"/>
  <c r="AW271" i="2"/>
  <c r="AV271" i="2"/>
  <c r="AW270" i="2"/>
  <c r="AV270" i="2"/>
  <c r="AW269" i="2"/>
  <c r="AV269" i="2"/>
  <c r="AW268" i="2"/>
  <c r="AV268" i="2"/>
  <c r="AW267" i="2"/>
  <c r="AV267" i="2"/>
  <c r="AW266" i="2"/>
  <c r="AV266" i="2"/>
  <c r="AW265" i="2"/>
  <c r="AV265" i="2"/>
  <c r="AW264" i="2"/>
  <c r="AV264" i="2"/>
  <c r="AW263" i="2"/>
  <c r="AV263" i="2"/>
  <c r="AW262" i="2"/>
  <c r="AV262" i="2"/>
  <c r="AW261" i="2"/>
  <c r="AV261" i="2"/>
  <c r="AW260" i="2"/>
  <c r="AV260" i="2"/>
  <c r="AW259" i="2"/>
  <c r="AV259" i="2"/>
  <c r="AW258" i="2"/>
  <c r="AV258" i="2"/>
  <c r="AW257" i="2"/>
  <c r="AV257" i="2"/>
  <c r="AW256" i="2"/>
  <c r="AV256" i="2"/>
  <c r="AW255" i="2"/>
  <c r="AV255" i="2"/>
  <c r="AW254" i="2"/>
  <c r="AV254" i="2"/>
  <c r="AW253" i="2"/>
  <c r="AV253" i="2"/>
  <c r="AW252" i="2"/>
  <c r="AV252" i="2"/>
  <c r="AW251" i="2"/>
  <c r="AV251" i="2"/>
  <c r="AW250" i="2"/>
  <c r="AV250" i="2"/>
  <c r="AW249" i="2"/>
  <c r="AV249" i="2"/>
  <c r="AW248" i="2"/>
  <c r="AV248" i="2"/>
  <c r="AW247" i="2"/>
  <c r="AV247" i="2"/>
  <c r="AW246" i="2"/>
  <c r="AV246" i="2"/>
  <c r="AW245" i="2"/>
  <c r="AV245" i="2"/>
  <c r="AW244" i="2"/>
  <c r="AV244" i="2"/>
  <c r="AW243" i="2"/>
  <c r="AV243" i="2"/>
  <c r="AW242" i="2"/>
  <c r="AV242" i="2"/>
  <c r="AW241" i="2"/>
  <c r="AV241" i="2"/>
  <c r="AW240" i="2"/>
  <c r="AV240" i="2"/>
  <c r="AW239" i="2"/>
  <c r="AV239" i="2"/>
  <c r="AW238" i="2"/>
  <c r="AV238" i="2"/>
  <c r="AW237" i="2"/>
  <c r="AV237" i="2"/>
  <c r="AW236" i="2"/>
  <c r="AV236" i="2"/>
  <c r="AW235" i="2"/>
  <c r="AV235" i="2"/>
  <c r="AW234" i="2"/>
  <c r="AV234" i="2"/>
  <c r="AW233" i="2"/>
  <c r="AV233" i="2"/>
  <c r="AW232" i="2"/>
  <c r="AV232" i="2"/>
  <c r="AW231" i="2"/>
  <c r="AV231" i="2"/>
  <c r="AW230" i="2"/>
  <c r="AV230" i="2"/>
  <c r="AW229" i="2"/>
  <c r="AV229" i="2"/>
  <c r="AW228" i="2"/>
  <c r="AV228" i="2"/>
  <c r="AW227" i="2"/>
  <c r="AV227" i="2"/>
  <c r="AW226" i="2"/>
  <c r="AV226" i="2"/>
  <c r="AW225" i="2"/>
  <c r="AV225" i="2"/>
  <c r="AW224" i="2"/>
  <c r="AV224" i="2"/>
  <c r="AW223" i="2"/>
  <c r="AV223" i="2"/>
  <c r="AW222" i="2"/>
  <c r="AV222" i="2"/>
  <c r="AW221" i="2"/>
  <c r="AV221" i="2"/>
  <c r="AW220" i="2"/>
  <c r="AV220" i="2"/>
  <c r="AW219" i="2"/>
  <c r="AV219" i="2"/>
  <c r="AW218" i="2"/>
  <c r="AV218" i="2"/>
  <c r="AW217" i="2"/>
  <c r="AV217" i="2"/>
  <c r="AW216" i="2"/>
  <c r="AV216" i="2"/>
  <c r="AW215" i="2"/>
  <c r="AV215" i="2"/>
  <c r="AW214" i="2"/>
  <c r="AV214" i="2"/>
  <c r="AW213" i="2"/>
  <c r="AV213" i="2"/>
  <c r="AW212" i="2"/>
  <c r="AV212" i="2"/>
  <c r="AW211" i="2"/>
  <c r="AV211" i="2"/>
  <c r="AW210" i="2"/>
  <c r="AV210" i="2"/>
  <c r="AW209" i="2"/>
  <c r="AV209" i="2"/>
  <c r="AW208" i="2"/>
  <c r="AV208" i="2"/>
  <c r="AW207" i="2"/>
  <c r="AV207" i="2"/>
  <c r="AW206" i="2"/>
  <c r="AV206" i="2"/>
  <c r="AW205" i="2"/>
  <c r="AV205" i="2"/>
  <c r="AW204" i="2"/>
  <c r="AV204" i="2"/>
  <c r="AW203" i="2"/>
  <c r="AV203" i="2"/>
  <c r="AW202" i="2"/>
  <c r="AV202" i="2"/>
  <c r="AW201" i="2"/>
  <c r="AV201" i="2"/>
  <c r="AW200" i="2"/>
  <c r="AV200" i="2"/>
  <c r="AW199" i="2"/>
  <c r="AV199" i="2"/>
  <c r="AW198" i="2"/>
  <c r="AV198" i="2"/>
  <c r="AW197" i="2"/>
  <c r="AV197" i="2"/>
  <c r="AW196" i="2"/>
  <c r="AV196" i="2"/>
  <c r="AW195" i="2"/>
  <c r="AV195" i="2"/>
  <c r="AW194" i="2"/>
  <c r="AV194" i="2"/>
  <c r="AW193" i="2"/>
  <c r="AV193" i="2"/>
  <c r="AW192" i="2"/>
  <c r="AV192" i="2"/>
  <c r="AW191" i="2"/>
  <c r="AV191" i="2"/>
  <c r="AW190" i="2"/>
  <c r="AV190" i="2"/>
  <c r="AW189" i="2"/>
  <c r="AV189" i="2"/>
  <c r="AW188" i="2"/>
  <c r="AV188" i="2"/>
  <c r="AW187" i="2"/>
  <c r="AV187" i="2"/>
  <c r="AW186" i="2"/>
  <c r="AV186" i="2"/>
  <c r="AW185" i="2"/>
  <c r="AV185" i="2"/>
  <c r="AW184" i="2"/>
  <c r="AV184" i="2"/>
  <c r="AW183" i="2"/>
  <c r="AV183" i="2"/>
  <c r="AW182" i="2"/>
  <c r="AV182" i="2"/>
  <c r="AW181" i="2"/>
  <c r="AV181" i="2"/>
  <c r="AW180" i="2"/>
  <c r="AV180" i="2"/>
  <c r="AW179" i="2"/>
  <c r="AV179" i="2"/>
  <c r="AW178" i="2"/>
  <c r="AV178" i="2"/>
  <c r="AW177" i="2"/>
  <c r="AV177" i="2"/>
  <c r="AW176" i="2"/>
  <c r="AV176" i="2"/>
  <c r="AW175" i="2"/>
  <c r="AV175" i="2"/>
  <c r="AW174" i="2"/>
  <c r="AV174" i="2"/>
  <c r="AW173" i="2"/>
  <c r="AV173" i="2"/>
  <c r="AW172" i="2"/>
  <c r="AV172" i="2"/>
  <c r="AW171" i="2"/>
  <c r="AV171" i="2"/>
  <c r="AW170" i="2"/>
  <c r="AV170" i="2"/>
  <c r="AW169" i="2"/>
  <c r="AV169" i="2"/>
  <c r="AW168" i="2"/>
  <c r="AV168" i="2"/>
  <c r="AW167" i="2"/>
  <c r="AV167" i="2"/>
  <c r="AW166" i="2"/>
  <c r="AV166" i="2"/>
  <c r="AW165" i="2"/>
  <c r="AV165" i="2"/>
  <c r="AW164" i="2"/>
  <c r="AV164" i="2"/>
  <c r="AW163" i="2"/>
  <c r="AV163" i="2"/>
  <c r="AW162" i="2"/>
  <c r="AV162" i="2"/>
  <c r="AW161" i="2"/>
  <c r="AV161" i="2"/>
  <c r="AW159" i="2"/>
  <c r="AV159" i="2"/>
  <c r="AW158" i="2"/>
  <c r="AV158" i="2"/>
  <c r="AW157" i="2"/>
  <c r="AV157" i="2"/>
  <c r="AW156" i="2"/>
  <c r="AV156" i="2"/>
  <c r="AW155" i="2"/>
  <c r="AV155" i="2"/>
  <c r="AW154" i="2"/>
  <c r="AV154" i="2"/>
  <c r="AW153" i="2"/>
  <c r="AV153" i="2"/>
  <c r="AW152" i="2"/>
  <c r="AV152" i="2"/>
  <c r="AW151" i="2"/>
  <c r="AV151" i="2"/>
  <c r="AW150" i="2"/>
  <c r="AV150" i="2"/>
  <c r="AW149" i="2"/>
  <c r="AV149" i="2"/>
  <c r="AW148" i="2"/>
  <c r="AV148" i="2"/>
  <c r="AW147" i="2"/>
  <c r="AV147" i="2"/>
  <c r="AW146" i="2"/>
  <c r="AV146" i="2"/>
  <c r="AW145" i="2"/>
  <c r="AV145" i="2"/>
  <c r="AW144" i="2"/>
  <c r="AV144" i="2"/>
  <c r="AW143" i="2"/>
  <c r="AV143" i="2"/>
  <c r="AW142" i="2"/>
  <c r="AV142" i="2"/>
  <c r="AW141" i="2"/>
  <c r="AV141" i="2"/>
  <c r="AW140" i="2"/>
  <c r="AV140" i="2"/>
  <c r="AW139" i="2"/>
  <c r="AV139" i="2"/>
  <c r="AW138" i="2"/>
  <c r="AV138" i="2"/>
  <c r="AW137" i="2"/>
  <c r="AV137" i="2"/>
  <c r="AW136" i="2"/>
  <c r="AV136" i="2"/>
  <c r="AW135" i="2"/>
  <c r="AV135" i="2"/>
  <c r="AW134" i="2"/>
  <c r="AV134" i="2"/>
  <c r="AW133" i="2"/>
  <c r="AV133" i="2"/>
  <c r="AW132" i="2"/>
  <c r="AV132" i="2"/>
  <c r="AW131" i="2"/>
  <c r="AV131" i="2"/>
  <c r="AW130" i="2"/>
  <c r="AV130" i="2"/>
  <c r="AW129" i="2"/>
  <c r="AV129" i="2"/>
  <c r="AW128" i="2"/>
  <c r="AV128" i="2"/>
  <c r="AW127" i="2"/>
  <c r="AV127" i="2"/>
  <c r="AW126" i="2"/>
  <c r="AV126" i="2"/>
  <c r="AW125" i="2"/>
  <c r="AV125" i="2"/>
  <c r="AW124" i="2"/>
  <c r="AV124" i="2"/>
  <c r="AW123" i="2"/>
  <c r="AV123" i="2"/>
  <c r="AW122" i="2"/>
  <c r="AV122" i="2"/>
  <c r="AW121" i="2"/>
  <c r="AV121" i="2"/>
  <c r="AW120" i="2"/>
  <c r="AV120" i="2"/>
  <c r="AW119" i="2"/>
  <c r="AV119" i="2"/>
  <c r="AW118" i="2"/>
  <c r="AV118" i="2"/>
  <c r="AW117" i="2"/>
  <c r="AV117" i="2"/>
  <c r="AW116" i="2"/>
  <c r="AV116" i="2"/>
  <c r="AW115" i="2"/>
  <c r="AV115" i="2"/>
  <c r="AW114" i="2"/>
  <c r="AV114" i="2"/>
  <c r="AW113" i="2"/>
  <c r="AV113" i="2"/>
  <c r="AW112" i="2"/>
  <c r="AV112" i="2"/>
  <c r="AW111" i="2"/>
  <c r="AV111" i="2"/>
  <c r="AW110" i="2"/>
  <c r="AV110" i="2"/>
  <c r="AW109" i="2"/>
  <c r="AV109" i="2"/>
  <c r="AW108" i="2"/>
  <c r="AV108" i="2"/>
  <c r="AW107" i="2"/>
  <c r="AV107" i="2"/>
  <c r="AW106" i="2"/>
  <c r="AV106" i="2"/>
  <c r="AW105" i="2"/>
  <c r="AV105" i="2"/>
  <c r="AW104" i="2"/>
  <c r="AV104" i="2"/>
  <c r="AW103" i="2"/>
  <c r="AV103" i="2"/>
  <c r="AW102" i="2"/>
  <c r="AV102" i="2"/>
  <c r="AW101" i="2"/>
  <c r="AV101" i="2"/>
  <c r="AW100" i="2"/>
  <c r="AV100" i="2"/>
  <c r="AW99" i="2"/>
  <c r="AV99" i="2"/>
  <c r="AW98" i="2"/>
  <c r="AV98" i="2"/>
  <c r="AW97" i="2"/>
  <c r="AV97" i="2"/>
  <c r="AW96" i="2"/>
  <c r="AV96" i="2"/>
  <c r="AW95" i="2"/>
  <c r="AV95" i="2"/>
  <c r="AW94" i="2"/>
  <c r="AV94" i="2"/>
  <c r="AW93" i="2"/>
  <c r="AV93" i="2"/>
  <c r="AW92" i="2"/>
  <c r="AV92" i="2"/>
  <c r="AW91" i="2"/>
  <c r="AV91" i="2"/>
  <c r="AW90" i="2"/>
  <c r="AV90" i="2"/>
  <c r="AW89" i="2"/>
  <c r="AV89" i="2"/>
  <c r="AW88" i="2"/>
  <c r="AV88" i="2"/>
  <c r="AW87" i="2"/>
  <c r="AV87" i="2"/>
  <c r="AW86" i="2"/>
  <c r="AV86" i="2"/>
  <c r="AW85" i="2"/>
  <c r="AV85" i="2"/>
  <c r="AW84" i="2"/>
  <c r="AV84" i="2"/>
  <c r="AW83" i="2"/>
  <c r="AV83" i="2"/>
  <c r="AW82" i="2"/>
  <c r="AV82" i="2"/>
  <c r="AW81" i="2"/>
  <c r="AV81" i="2"/>
  <c r="AW80" i="2"/>
  <c r="AV80" i="2"/>
  <c r="AW79" i="2"/>
  <c r="AV79" i="2"/>
  <c r="AW78" i="2"/>
  <c r="AV78" i="2"/>
  <c r="AW76" i="2"/>
  <c r="AV76" i="2"/>
  <c r="AW75" i="2"/>
  <c r="AV75" i="2"/>
  <c r="AW74" i="2"/>
  <c r="AV74" i="2"/>
  <c r="AW73" i="2"/>
  <c r="AV73" i="2"/>
  <c r="AW72" i="2"/>
  <c r="AV72" i="2"/>
  <c r="AW71" i="2"/>
  <c r="AV71" i="2"/>
  <c r="AW70" i="2"/>
  <c r="AV70" i="2"/>
  <c r="AW69" i="2"/>
  <c r="AV69" i="2"/>
  <c r="AW68" i="2"/>
  <c r="AV68" i="2"/>
  <c r="AW67" i="2"/>
  <c r="AV67" i="2"/>
  <c r="AW66" i="2"/>
  <c r="AV66" i="2"/>
  <c r="AW65" i="2"/>
  <c r="AV65" i="2"/>
  <c r="AW64" i="2"/>
  <c r="AV64" i="2"/>
  <c r="AW63" i="2"/>
  <c r="AV63" i="2"/>
  <c r="AW62" i="2"/>
  <c r="AV62" i="2"/>
  <c r="AW61" i="2"/>
  <c r="AV61" i="2"/>
  <c r="AW60" i="2"/>
  <c r="AV60" i="2"/>
  <c r="AW59" i="2"/>
  <c r="AV59" i="2"/>
  <c r="AW58" i="2"/>
  <c r="AV58" i="2"/>
  <c r="AW57" i="2"/>
  <c r="AV57" i="2"/>
  <c r="AW56" i="2"/>
  <c r="AV56" i="2"/>
  <c r="AW54" i="2"/>
  <c r="AV54" i="2"/>
  <c r="AW53" i="2"/>
  <c r="AV53" i="2"/>
  <c r="AW52" i="2"/>
  <c r="AV52" i="2"/>
  <c r="AW51" i="2"/>
  <c r="AV51" i="2"/>
  <c r="AW50" i="2"/>
  <c r="AV50" i="2"/>
  <c r="AW49" i="2"/>
  <c r="AV49" i="2"/>
  <c r="AW48" i="2"/>
  <c r="AV48" i="2"/>
  <c r="AW47" i="2"/>
  <c r="AV47" i="2"/>
  <c r="AW46" i="2"/>
  <c r="AV46" i="2"/>
  <c r="AW45" i="2"/>
  <c r="AV45" i="2"/>
  <c r="AW44" i="2"/>
  <c r="AV44" i="2"/>
  <c r="AW43" i="2"/>
  <c r="AV43" i="2"/>
  <c r="AW42" i="2"/>
  <c r="AV42" i="2"/>
  <c r="AW41" i="2"/>
  <c r="AV41" i="2"/>
  <c r="AW40" i="2"/>
  <c r="AV40" i="2"/>
  <c r="AW39" i="2"/>
  <c r="AV39" i="2"/>
  <c r="AW38" i="2"/>
  <c r="AV38" i="2"/>
  <c r="AW36" i="2"/>
  <c r="AV36" i="2"/>
  <c r="AW35" i="2"/>
  <c r="AV35" i="2"/>
  <c r="AW34" i="2"/>
  <c r="AV34" i="2"/>
  <c r="AW33" i="2"/>
  <c r="AV33" i="2"/>
  <c r="AW32" i="2"/>
  <c r="AV32" i="2"/>
  <c r="AW30" i="2"/>
  <c r="AV30" i="2"/>
  <c r="AW29" i="2"/>
  <c r="AV29" i="2"/>
  <c r="AW28" i="2"/>
  <c r="AV28" i="2"/>
  <c r="AW27" i="2"/>
  <c r="AV27" i="2"/>
  <c r="AW26" i="2"/>
  <c r="AV26" i="2"/>
  <c r="AW25" i="2"/>
  <c r="AV25" i="2"/>
  <c r="AW24" i="2"/>
  <c r="AV24" i="2"/>
  <c r="AW23" i="2"/>
  <c r="AV23" i="2"/>
  <c r="AW22" i="2"/>
  <c r="AV22" i="2"/>
  <c r="AW21" i="2"/>
  <c r="AV21" i="2"/>
  <c r="AW19" i="2"/>
  <c r="AV19" i="2"/>
  <c r="AW18" i="2"/>
  <c r="AV18" i="2"/>
  <c r="AW17" i="2"/>
  <c r="AV17" i="2"/>
  <c r="AW16" i="2"/>
  <c r="AV16" i="2"/>
  <c r="AW15" i="2"/>
  <c r="AV15" i="2"/>
  <c r="AW13" i="2"/>
  <c r="AV13" i="2"/>
  <c r="AW12" i="2"/>
  <c r="AV12" i="2"/>
  <c r="AW11" i="2"/>
  <c r="AV11" i="2"/>
  <c r="AK248" i="2" l="1"/>
  <c r="AK249" i="2"/>
  <c r="AK247" i="2"/>
  <c r="AK246" i="2"/>
  <c r="AK326" i="2"/>
  <c r="AK327" i="2"/>
  <c r="AK325" i="2"/>
  <c r="AK324" i="2"/>
  <c r="AK321" i="2"/>
  <c r="AK323" i="2"/>
  <c r="AK322" i="2"/>
  <c r="AK318" i="2"/>
  <c r="AK317" i="2"/>
  <c r="AK316" i="2"/>
  <c r="AK298" i="2"/>
  <c r="AK294" i="2"/>
  <c r="AK299" i="2"/>
  <c r="AK320" i="2"/>
  <c r="AK319" i="2"/>
  <c r="AK313" i="2"/>
  <c r="AK307" i="2"/>
  <c r="AK291" i="2"/>
  <c r="AK297" i="2"/>
  <c r="AK296" i="2"/>
  <c r="AK295" i="2"/>
  <c r="AK301" i="2"/>
  <c r="AK302" i="2"/>
  <c r="AK303" i="2"/>
  <c r="AK274" i="2"/>
  <c r="AK273" i="2"/>
  <c r="AK272" i="2"/>
  <c r="AK258" i="2"/>
  <c r="AK259" i="2"/>
  <c r="AK260" i="2"/>
  <c r="AK305" i="2"/>
  <c r="AK292" i="2"/>
  <c r="AK304" i="2"/>
  <c r="AK281" i="2"/>
  <c r="AK280" i="2"/>
  <c r="AK279" i="2"/>
  <c r="AK293" i="2"/>
  <c r="AK282" i="2"/>
  <c r="AK284" i="2"/>
  <c r="AK283" i="2"/>
  <c r="AK276" i="2"/>
  <c r="AK288" i="2"/>
  <c r="AK278" i="2"/>
  <c r="AK277" i="2"/>
  <c r="AK275" i="2"/>
  <c r="AK253" i="2"/>
  <c r="AK254" i="2"/>
  <c r="AK252" i="2"/>
  <c r="AK255" i="2"/>
  <c r="AK251" i="2"/>
  <c r="AK250" i="2"/>
  <c r="AK287" i="2"/>
  <c r="AK286" i="2"/>
  <c r="AK289" i="2"/>
  <c r="AK261" i="2"/>
  <c r="AK263" i="2"/>
  <c r="AK262" i="2"/>
  <c r="AK271" i="2"/>
  <c r="AK264" i="2"/>
  <c r="AK268" i="2"/>
  <c r="AK267" i="2"/>
  <c r="AK265" i="2"/>
  <c r="AK266" i="2"/>
  <c r="AK257" i="2"/>
  <c r="AK269" i="2"/>
  <c r="AK270" i="2"/>
  <c r="AK244" i="2"/>
  <c r="AK245" i="2"/>
  <c r="AK236" i="2"/>
  <c r="AK225" i="2"/>
  <c r="AK228" i="2"/>
  <c r="AK234" i="2"/>
  <c r="AK235" i="2"/>
  <c r="AK232" i="2"/>
  <c r="AK233" i="2"/>
  <c r="AK227" i="2"/>
  <c r="AK226" i="2"/>
  <c r="AK224" i="2"/>
  <c r="AK223" i="2"/>
  <c r="AK238" i="2"/>
  <c r="AK241" i="2"/>
  <c r="AK239" i="2"/>
  <c r="AK242" i="2"/>
  <c r="AK237" i="2"/>
  <c r="AK240" i="2"/>
  <c r="AK243" i="2"/>
  <c r="AK221" i="2"/>
  <c r="AK229" i="2"/>
  <c r="AK220" i="2"/>
  <c r="AK219" i="2"/>
  <c r="AK218" i="2"/>
  <c r="AK217" i="2"/>
  <c r="AK201" i="2"/>
  <c r="AK202" i="2"/>
  <c r="AK200" i="2"/>
  <c r="AK215" i="2"/>
  <c r="AK231" i="2"/>
  <c r="AK230" i="2"/>
  <c r="AK214" i="2"/>
  <c r="AK222" i="2"/>
  <c r="AK199" i="2"/>
  <c r="AK216" i="2"/>
  <c r="AK198" i="2"/>
  <c r="AK206" i="2"/>
  <c r="AK204" i="2"/>
  <c r="AK207" i="2"/>
  <c r="AK210" i="2"/>
  <c r="AK205" i="2"/>
  <c r="AK209" i="2"/>
  <c r="AK212" i="2"/>
  <c r="AK213" i="2"/>
  <c r="AK208" i="2"/>
  <c r="AK211" i="2"/>
  <c r="AK203" i="2"/>
  <c r="AK195" i="2"/>
  <c r="AK187" i="2"/>
  <c r="AK197" i="2"/>
  <c r="AK196" i="2"/>
  <c r="AK188" i="2"/>
  <c r="AK194" i="2"/>
  <c r="AK174" i="2"/>
  <c r="AK173" i="2"/>
  <c r="AK131" i="2"/>
  <c r="AK186" i="2"/>
  <c r="AK185" i="2"/>
  <c r="AK184" i="2"/>
  <c r="AK171" i="2"/>
  <c r="AK170" i="2"/>
  <c r="AK169" i="2"/>
  <c r="AK168" i="2"/>
  <c r="AK189" i="2"/>
  <c r="AK192" i="2"/>
  <c r="AK193" i="2"/>
  <c r="AK191" i="2"/>
  <c r="AK190" i="2"/>
  <c r="AK179" i="2"/>
  <c r="AK182" i="2"/>
  <c r="AK180" i="2"/>
  <c r="AK183" i="2"/>
  <c r="AK178" i="2"/>
  <c r="AK181" i="2"/>
  <c r="AK177" i="2"/>
  <c r="AK159" i="2"/>
  <c r="AK158" i="2"/>
  <c r="AK157" i="2"/>
  <c r="AK176" i="2"/>
  <c r="AK175" i="2"/>
  <c r="AK172" i="2"/>
  <c r="AK165" i="2"/>
  <c r="AK167" i="2"/>
  <c r="AK166" i="2"/>
  <c r="AK152" i="2"/>
  <c r="AK155" i="2"/>
  <c r="AK153" i="2"/>
  <c r="AK156" i="2"/>
  <c r="AK154" i="2"/>
  <c r="AK137" i="2"/>
  <c r="AK161" i="2"/>
  <c r="AK164" i="2"/>
  <c r="AK163" i="2"/>
  <c r="AK162" i="2"/>
  <c r="AK141" i="2"/>
  <c r="AK144" i="2"/>
  <c r="AK136" i="2"/>
  <c r="AK129" i="2"/>
  <c r="AK132" i="2"/>
  <c r="AK143" i="2"/>
  <c r="AK145" i="2"/>
  <c r="AK142" i="2"/>
  <c r="AK140" i="2"/>
  <c r="AK146" i="2"/>
  <c r="AK148" i="2"/>
  <c r="AK147" i="2"/>
  <c r="AK149" i="2"/>
  <c r="AK151" i="2"/>
  <c r="AK150" i="2"/>
  <c r="AK139" i="2"/>
  <c r="AK138" i="2"/>
  <c r="AK135" i="2"/>
  <c r="AK130" i="2"/>
  <c r="AK100" i="2"/>
  <c r="AK134" i="2"/>
  <c r="AK133" i="2"/>
  <c r="AK123" i="2"/>
  <c r="AK126" i="2"/>
  <c r="AK125" i="2"/>
  <c r="AK124" i="2"/>
  <c r="AK122" i="2"/>
  <c r="AK115" i="2"/>
  <c r="AK113" i="2"/>
  <c r="AK108" i="2"/>
  <c r="AK110" i="2"/>
  <c r="AK109" i="2"/>
  <c r="AK116" i="2"/>
  <c r="AK127" i="2"/>
  <c r="AK128" i="2"/>
  <c r="AK112" i="2"/>
  <c r="AK111" i="2"/>
  <c r="AK120" i="2"/>
  <c r="AK119" i="2"/>
  <c r="AK118" i="2"/>
  <c r="AK117" i="2"/>
  <c r="AK121" i="2"/>
  <c r="AK101" i="2"/>
  <c r="AK106" i="2"/>
  <c r="AK103" i="2"/>
  <c r="AK114" i="2"/>
  <c r="AK104" i="2"/>
  <c r="AK88" i="2"/>
  <c r="AK90" i="2"/>
  <c r="AK89" i="2"/>
  <c r="AK91" i="2"/>
  <c r="AK79" i="2"/>
  <c r="AK78" i="2"/>
  <c r="AK82" i="2"/>
  <c r="AK96" i="2"/>
  <c r="AK105" i="2"/>
  <c r="AK99" i="2"/>
  <c r="AK107" i="2"/>
  <c r="AK102" i="2"/>
  <c r="AK95" i="2"/>
  <c r="AK92" i="2"/>
  <c r="AK83" i="2"/>
  <c r="AK98" i="2"/>
  <c r="AK97" i="2"/>
  <c r="AK94" i="2"/>
  <c r="AK93" i="2"/>
  <c r="AK80" i="2"/>
  <c r="AK81" i="2"/>
  <c r="AK86" i="2"/>
  <c r="AK85" i="2"/>
  <c r="AK84" i="2"/>
  <c r="AK87" i="2"/>
  <c r="AK76" i="2"/>
  <c r="AK75" i="2"/>
  <c r="AK74" i="2"/>
  <c r="AK73" i="2"/>
  <c r="AK72" i="2"/>
  <c r="AK70" i="2"/>
  <c r="AK69" i="2"/>
  <c r="AK71" i="2"/>
  <c r="AK68" i="2"/>
  <c r="AK67" i="2"/>
  <c r="AK63" i="2"/>
  <c r="AK62" i="2"/>
  <c r="AK65" i="2"/>
  <c r="AK66" i="2"/>
  <c r="AK64" i="2"/>
  <c r="AK60" i="2"/>
  <c r="AK58" i="2"/>
  <c r="AK61" i="2"/>
  <c r="AK59" i="2"/>
  <c r="AK56" i="2"/>
  <c r="AK54" i="2"/>
  <c r="AK53" i="2"/>
  <c r="AK57" i="2"/>
  <c r="AK22" i="2"/>
  <c r="AK52" i="2"/>
  <c r="AK51" i="2"/>
  <c r="AK50" i="2"/>
  <c r="AK49" i="2"/>
  <c r="AK29" i="2"/>
  <c r="AK30" i="2"/>
  <c r="AK28" i="2"/>
  <c r="AK44" i="2"/>
  <c r="AK43" i="2"/>
  <c r="AK27" i="2"/>
  <c r="AK42" i="2"/>
  <c r="AK46" i="2"/>
  <c r="AK48" i="2"/>
  <c r="AK47" i="2"/>
  <c r="AK45" i="2"/>
  <c r="AK35" i="2"/>
  <c r="AK38" i="2"/>
  <c r="AK33" i="2"/>
  <c r="AK36" i="2"/>
  <c r="AK39" i="2"/>
  <c r="AK34" i="2"/>
  <c r="AK40" i="2"/>
  <c r="AK32" i="2"/>
  <c r="AK41" i="2"/>
  <c r="AK23" i="2"/>
  <c r="AK25" i="2"/>
  <c r="AK24" i="2"/>
  <c r="AK26" i="2"/>
  <c r="AK21" i="2"/>
  <c r="AK19" i="2"/>
  <c r="AK17" i="2"/>
  <c r="AK18" i="2"/>
  <c r="AK16" i="2"/>
  <c r="AK15" i="2"/>
  <c r="AK11" i="2"/>
  <c r="AK12" i="2"/>
  <c r="AK13" i="2"/>
  <c r="I1361" i="2"/>
  <c r="F1361" i="2"/>
  <c r="Z1286" i="2"/>
  <c r="U1286" i="2"/>
  <c r="T1286" i="2"/>
  <c r="S1286" i="2"/>
  <c r="R1286" i="2"/>
  <c r="O1286" i="2"/>
  <c r="N1286" i="2"/>
  <c r="M1286" i="2"/>
  <c r="Z1285" i="2"/>
  <c r="U1285" i="2"/>
  <c r="T1285" i="2"/>
  <c r="S1285" i="2"/>
  <c r="R1285" i="2"/>
  <c r="O1285" i="2"/>
  <c r="N1285" i="2"/>
  <c r="M1285" i="2"/>
  <c r="Z1284" i="2"/>
  <c r="U1284" i="2"/>
  <c r="T1284" i="2"/>
  <c r="S1284" i="2"/>
  <c r="R1284" i="2"/>
  <c r="O1284" i="2"/>
  <c r="N1284" i="2"/>
  <c r="M1284" i="2"/>
  <c r="Z1283" i="2"/>
  <c r="U1283" i="2"/>
  <c r="T1283" i="2"/>
  <c r="S1283" i="2"/>
  <c r="R1283" i="2"/>
  <c r="O1283" i="2"/>
  <c r="N1283" i="2"/>
  <c r="M1283" i="2"/>
  <c r="Z1282" i="2"/>
  <c r="U1282" i="2"/>
  <c r="T1282" i="2"/>
  <c r="S1282" i="2"/>
  <c r="R1282" i="2"/>
  <c r="O1282" i="2"/>
  <c r="N1282" i="2"/>
  <c r="M1282" i="2"/>
  <c r="Z1281" i="2"/>
  <c r="U1281" i="2"/>
  <c r="T1281" i="2"/>
  <c r="S1281" i="2"/>
  <c r="R1281" i="2"/>
  <c r="O1281" i="2"/>
  <c r="N1281" i="2"/>
  <c r="M1281" i="2"/>
  <c r="Z1280" i="2"/>
  <c r="U1280" i="2"/>
  <c r="T1280" i="2"/>
  <c r="S1280" i="2"/>
  <c r="R1280" i="2"/>
  <c r="O1280" i="2"/>
  <c r="N1280" i="2"/>
  <c r="M1280" i="2"/>
  <c r="Z1279" i="2"/>
  <c r="U1279" i="2"/>
  <c r="T1279" i="2"/>
  <c r="S1279" i="2"/>
  <c r="R1279" i="2"/>
  <c r="O1279" i="2"/>
  <c r="N1279" i="2"/>
  <c r="M1279" i="2"/>
  <c r="Z1278" i="2"/>
  <c r="U1278" i="2"/>
  <c r="T1278" i="2"/>
  <c r="S1278" i="2"/>
  <c r="R1278" i="2"/>
  <c r="O1278" i="2"/>
  <c r="N1278" i="2"/>
  <c r="M1278" i="2"/>
  <c r="Z1277" i="2"/>
  <c r="U1277" i="2"/>
  <c r="T1277" i="2"/>
  <c r="S1277" i="2"/>
  <c r="R1277" i="2"/>
  <c r="O1277" i="2"/>
  <c r="N1277" i="2"/>
  <c r="M1277" i="2"/>
  <c r="Z1276" i="2"/>
  <c r="U1276" i="2"/>
  <c r="T1276" i="2"/>
  <c r="S1276" i="2"/>
  <c r="R1276" i="2"/>
  <c r="O1276" i="2"/>
  <c r="N1276" i="2"/>
  <c r="M1276" i="2"/>
  <c r="Z1275" i="2"/>
  <c r="U1275" i="2"/>
  <c r="T1275" i="2"/>
  <c r="S1275" i="2"/>
  <c r="R1275" i="2"/>
  <c r="O1275" i="2"/>
  <c r="N1275" i="2"/>
  <c r="M1275" i="2"/>
  <c r="Z1274" i="2"/>
  <c r="U1274" i="2"/>
  <c r="T1274" i="2"/>
  <c r="S1274" i="2"/>
  <c r="R1274" i="2"/>
  <c r="O1274" i="2"/>
  <c r="N1274" i="2"/>
  <c r="M1274" i="2"/>
  <c r="Z1273" i="2"/>
  <c r="U1273" i="2"/>
  <c r="T1273" i="2"/>
  <c r="S1273" i="2"/>
  <c r="R1273" i="2"/>
  <c r="O1273" i="2"/>
  <c r="N1273" i="2"/>
  <c r="M1273" i="2"/>
  <c r="Z1272" i="2"/>
  <c r="U1272" i="2"/>
  <c r="T1272" i="2"/>
  <c r="S1272" i="2"/>
  <c r="R1272" i="2"/>
  <c r="O1272" i="2"/>
  <c r="N1272" i="2"/>
  <c r="M1272" i="2"/>
  <c r="Z1271" i="2"/>
  <c r="U1271" i="2"/>
  <c r="T1271" i="2"/>
  <c r="S1271" i="2"/>
  <c r="R1271" i="2"/>
  <c r="O1271" i="2"/>
  <c r="N1271" i="2"/>
  <c r="M1271" i="2"/>
  <c r="Z1270" i="2"/>
  <c r="U1270" i="2"/>
  <c r="T1270" i="2"/>
  <c r="S1270" i="2"/>
  <c r="R1270" i="2"/>
  <c r="O1270" i="2"/>
  <c r="N1270" i="2"/>
  <c r="M1270" i="2"/>
  <c r="Z1269" i="2"/>
  <c r="U1269" i="2"/>
  <c r="T1269" i="2"/>
  <c r="S1269" i="2"/>
  <c r="R1269" i="2"/>
  <c r="O1269" i="2"/>
  <c r="N1269" i="2"/>
  <c r="M1269" i="2"/>
  <c r="Z1268" i="2"/>
  <c r="U1268" i="2"/>
  <c r="T1268" i="2"/>
  <c r="S1268" i="2"/>
  <c r="R1268" i="2"/>
  <c r="O1268" i="2"/>
  <c r="N1268" i="2"/>
  <c r="M1268" i="2"/>
  <c r="Z1267" i="2"/>
  <c r="U1267" i="2"/>
  <c r="T1267" i="2"/>
  <c r="S1267" i="2"/>
  <c r="R1267" i="2"/>
  <c r="O1267" i="2"/>
  <c r="N1267" i="2"/>
  <c r="M1267" i="2"/>
  <c r="Z1266" i="2"/>
  <c r="U1266" i="2"/>
  <c r="T1266" i="2"/>
  <c r="S1266" i="2"/>
  <c r="R1266" i="2"/>
  <c r="O1266" i="2"/>
  <c r="N1266" i="2"/>
  <c r="M1266" i="2"/>
  <c r="Z1265" i="2"/>
  <c r="U1265" i="2"/>
  <c r="T1265" i="2"/>
  <c r="S1265" i="2"/>
  <c r="R1265" i="2"/>
  <c r="O1265" i="2"/>
  <c r="N1265" i="2"/>
  <c r="M1265" i="2"/>
  <c r="Z1264" i="2"/>
  <c r="U1264" i="2"/>
  <c r="T1264" i="2"/>
  <c r="S1264" i="2"/>
  <c r="R1264" i="2"/>
  <c r="O1264" i="2"/>
  <c r="N1264" i="2"/>
  <c r="M1264" i="2"/>
  <c r="Z1263" i="2"/>
  <c r="U1263" i="2"/>
  <c r="T1263" i="2"/>
  <c r="S1263" i="2"/>
  <c r="R1263" i="2"/>
  <c r="O1263" i="2"/>
  <c r="N1263" i="2"/>
  <c r="M1263" i="2"/>
  <c r="Z1262" i="2"/>
  <c r="U1262" i="2"/>
  <c r="T1262" i="2"/>
  <c r="S1262" i="2"/>
  <c r="R1262" i="2"/>
  <c r="O1262" i="2"/>
  <c r="N1262" i="2"/>
  <c r="M1262" i="2"/>
  <c r="Z1261" i="2"/>
  <c r="U1261" i="2"/>
  <c r="T1261" i="2"/>
  <c r="S1261" i="2"/>
  <c r="R1261" i="2"/>
  <c r="O1261" i="2"/>
  <c r="N1261" i="2"/>
  <c r="M1261" i="2"/>
  <c r="Z1260" i="2"/>
  <c r="U1260" i="2"/>
  <c r="T1260" i="2"/>
  <c r="S1260" i="2"/>
  <c r="R1260" i="2"/>
  <c r="O1260" i="2"/>
  <c r="N1260" i="2"/>
  <c r="M1260" i="2"/>
  <c r="Z1259" i="2"/>
  <c r="U1259" i="2"/>
  <c r="T1259" i="2"/>
  <c r="S1259" i="2"/>
  <c r="R1259" i="2"/>
  <c r="O1259" i="2"/>
  <c r="N1259" i="2"/>
  <c r="M1259" i="2"/>
  <c r="Z1258" i="2"/>
  <c r="U1258" i="2"/>
  <c r="T1258" i="2"/>
  <c r="S1258" i="2"/>
  <c r="R1258" i="2"/>
  <c r="O1258" i="2"/>
  <c r="N1258" i="2"/>
  <c r="M1258" i="2"/>
  <c r="Z1257" i="2"/>
  <c r="U1257" i="2"/>
  <c r="T1257" i="2"/>
  <c r="S1257" i="2"/>
  <c r="R1257" i="2"/>
  <c r="O1257" i="2"/>
  <c r="N1257" i="2"/>
  <c r="M1257" i="2"/>
  <c r="Z1256" i="2"/>
  <c r="U1256" i="2"/>
  <c r="T1256" i="2"/>
  <c r="S1256" i="2"/>
  <c r="R1256" i="2"/>
  <c r="O1256" i="2"/>
  <c r="N1256" i="2"/>
  <c r="M1256" i="2"/>
  <c r="Z1255" i="2"/>
  <c r="U1255" i="2"/>
  <c r="T1255" i="2"/>
  <c r="S1255" i="2"/>
  <c r="R1255" i="2"/>
  <c r="O1255" i="2"/>
  <c r="N1255" i="2"/>
  <c r="M1255" i="2"/>
  <c r="Z1254" i="2"/>
  <c r="U1254" i="2"/>
  <c r="T1254" i="2"/>
  <c r="S1254" i="2"/>
  <c r="R1254" i="2"/>
  <c r="O1254" i="2"/>
  <c r="N1254" i="2"/>
  <c r="M1254" i="2"/>
  <c r="Z1253" i="2"/>
  <c r="U1253" i="2"/>
  <c r="T1253" i="2"/>
  <c r="S1253" i="2"/>
  <c r="R1253" i="2"/>
  <c r="O1253" i="2"/>
  <c r="N1253" i="2"/>
  <c r="M1253" i="2"/>
  <c r="Z1252" i="2"/>
  <c r="U1252" i="2"/>
  <c r="T1252" i="2"/>
  <c r="S1252" i="2"/>
  <c r="R1252" i="2"/>
  <c r="O1252" i="2"/>
  <c r="N1252" i="2"/>
  <c r="M1252" i="2"/>
  <c r="Z1251" i="2"/>
  <c r="U1251" i="2"/>
  <c r="T1251" i="2"/>
  <c r="S1251" i="2"/>
  <c r="R1251" i="2"/>
  <c r="O1251" i="2"/>
  <c r="N1251" i="2"/>
  <c r="M1251" i="2"/>
  <c r="Z1250" i="2"/>
  <c r="U1250" i="2"/>
  <c r="T1250" i="2"/>
  <c r="S1250" i="2"/>
  <c r="R1250" i="2"/>
  <c r="O1250" i="2"/>
  <c r="N1250" i="2"/>
  <c r="M1250" i="2"/>
  <c r="Z1249" i="2"/>
  <c r="U1249" i="2"/>
  <c r="T1249" i="2"/>
  <c r="S1249" i="2"/>
  <c r="R1249" i="2"/>
  <c r="O1249" i="2"/>
  <c r="N1249" i="2"/>
  <c r="M1249" i="2"/>
  <c r="Z1248" i="2"/>
  <c r="U1248" i="2"/>
  <c r="T1248" i="2"/>
  <c r="S1248" i="2"/>
  <c r="R1248" i="2"/>
  <c r="O1248" i="2"/>
  <c r="N1248" i="2"/>
  <c r="M1248" i="2"/>
  <c r="Z1247" i="2"/>
  <c r="U1247" i="2"/>
  <c r="T1247" i="2"/>
  <c r="S1247" i="2"/>
  <c r="R1247" i="2"/>
  <c r="O1247" i="2"/>
  <c r="N1247" i="2"/>
  <c r="M1247" i="2"/>
  <c r="Z1246" i="2"/>
  <c r="U1246" i="2"/>
  <c r="T1246" i="2"/>
  <c r="S1246" i="2"/>
  <c r="R1246" i="2"/>
  <c r="O1246" i="2"/>
  <c r="N1246" i="2"/>
  <c r="M1246" i="2"/>
  <c r="Z1245" i="2"/>
  <c r="U1245" i="2"/>
  <c r="T1245" i="2"/>
  <c r="S1245" i="2"/>
  <c r="R1245" i="2"/>
  <c r="O1245" i="2"/>
  <c r="N1245" i="2"/>
  <c r="M1245" i="2"/>
  <c r="Z1244" i="2"/>
  <c r="U1244" i="2"/>
  <c r="T1244" i="2"/>
  <c r="S1244" i="2"/>
  <c r="R1244" i="2"/>
  <c r="O1244" i="2"/>
  <c r="N1244" i="2"/>
  <c r="M1244" i="2"/>
  <c r="Z1243" i="2"/>
  <c r="U1243" i="2"/>
  <c r="T1243" i="2"/>
  <c r="S1243" i="2"/>
  <c r="R1243" i="2"/>
  <c r="O1243" i="2"/>
  <c r="N1243" i="2"/>
  <c r="M1243" i="2"/>
  <c r="Z1242" i="2"/>
  <c r="U1242" i="2"/>
  <c r="T1242" i="2"/>
  <c r="S1242" i="2"/>
  <c r="R1242" i="2"/>
  <c r="O1242" i="2"/>
  <c r="N1242" i="2"/>
  <c r="M1242" i="2"/>
  <c r="Z1241" i="2"/>
  <c r="U1241" i="2"/>
  <c r="T1241" i="2"/>
  <c r="S1241" i="2"/>
  <c r="R1241" i="2"/>
  <c r="O1241" i="2"/>
  <c r="N1241" i="2"/>
  <c r="M1241" i="2"/>
  <c r="Z1240" i="2"/>
  <c r="U1240" i="2"/>
  <c r="T1240" i="2"/>
  <c r="S1240" i="2"/>
  <c r="R1240" i="2"/>
  <c r="O1240" i="2"/>
  <c r="N1240" i="2"/>
  <c r="M1240" i="2"/>
  <c r="Z1239" i="2"/>
  <c r="U1239" i="2"/>
  <c r="T1239" i="2"/>
  <c r="S1239" i="2"/>
  <c r="R1239" i="2"/>
  <c r="O1239" i="2"/>
  <c r="N1239" i="2"/>
  <c r="M1239" i="2"/>
  <c r="Z1238" i="2"/>
  <c r="U1238" i="2"/>
  <c r="T1238" i="2"/>
  <c r="S1238" i="2"/>
  <c r="R1238" i="2"/>
  <c r="O1238" i="2"/>
  <c r="N1238" i="2"/>
  <c r="M1238" i="2"/>
  <c r="Z1237" i="2"/>
  <c r="U1237" i="2"/>
  <c r="T1237" i="2"/>
  <c r="S1237" i="2"/>
  <c r="R1237" i="2"/>
  <c r="O1237" i="2"/>
  <c r="N1237" i="2"/>
  <c r="M1237" i="2"/>
  <c r="Z1236" i="2"/>
  <c r="U1236" i="2"/>
  <c r="T1236" i="2"/>
  <c r="S1236" i="2"/>
  <c r="R1236" i="2"/>
  <c r="O1236" i="2"/>
  <c r="N1236" i="2"/>
  <c r="M1236" i="2"/>
  <c r="Z1235" i="2"/>
  <c r="U1235" i="2"/>
  <c r="T1235" i="2"/>
  <c r="S1235" i="2"/>
  <c r="R1235" i="2"/>
  <c r="O1235" i="2"/>
  <c r="N1235" i="2"/>
  <c r="M1235" i="2"/>
  <c r="Z1234" i="2"/>
  <c r="U1234" i="2"/>
  <c r="T1234" i="2"/>
  <c r="S1234" i="2"/>
  <c r="R1234" i="2"/>
  <c r="O1234" i="2"/>
  <c r="N1234" i="2"/>
  <c r="M1234" i="2"/>
  <c r="Z1233" i="2"/>
  <c r="U1233" i="2"/>
  <c r="T1233" i="2"/>
  <c r="S1233" i="2"/>
  <c r="R1233" i="2"/>
  <c r="O1233" i="2"/>
  <c r="N1233" i="2"/>
  <c r="M1233" i="2"/>
  <c r="Z1232" i="2"/>
  <c r="U1232" i="2"/>
  <c r="T1232" i="2"/>
  <c r="S1232" i="2"/>
  <c r="R1232" i="2"/>
  <c r="O1232" i="2"/>
  <c r="N1232" i="2"/>
  <c r="M1232" i="2"/>
  <c r="Z1231" i="2"/>
  <c r="U1231" i="2"/>
  <c r="T1231" i="2"/>
  <c r="S1231" i="2"/>
  <c r="R1231" i="2"/>
  <c r="O1231" i="2"/>
  <c r="N1231" i="2"/>
  <c r="M1231" i="2"/>
  <c r="Z1230" i="2"/>
  <c r="U1230" i="2"/>
  <c r="T1230" i="2"/>
  <c r="S1230" i="2"/>
  <c r="R1230" i="2"/>
  <c r="O1230" i="2"/>
  <c r="N1230" i="2"/>
  <c r="M1230" i="2"/>
  <c r="Z1229" i="2"/>
  <c r="U1229" i="2"/>
  <c r="T1229" i="2"/>
  <c r="S1229" i="2"/>
  <c r="R1229" i="2"/>
  <c r="O1229" i="2"/>
  <c r="N1229" i="2"/>
  <c r="M1229" i="2"/>
  <c r="Z1228" i="2"/>
  <c r="U1228" i="2"/>
  <c r="T1228" i="2"/>
  <c r="S1228" i="2"/>
  <c r="R1228" i="2"/>
  <c r="O1228" i="2"/>
  <c r="N1228" i="2"/>
  <c r="M1228" i="2"/>
  <c r="Z1227" i="2"/>
  <c r="U1227" i="2"/>
  <c r="T1227" i="2"/>
  <c r="S1227" i="2"/>
  <c r="R1227" i="2"/>
  <c r="O1227" i="2"/>
  <c r="N1227" i="2"/>
  <c r="M1227" i="2"/>
  <c r="Z1226" i="2"/>
  <c r="U1226" i="2"/>
  <c r="T1226" i="2"/>
  <c r="S1226" i="2"/>
  <c r="R1226" i="2"/>
  <c r="O1226" i="2"/>
  <c r="N1226" i="2"/>
  <c r="M1226" i="2"/>
  <c r="Z1225" i="2"/>
  <c r="U1225" i="2"/>
  <c r="T1225" i="2"/>
  <c r="S1225" i="2"/>
  <c r="R1225" i="2"/>
  <c r="O1225" i="2"/>
  <c r="N1225" i="2"/>
  <c r="M1225" i="2"/>
  <c r="Z1224" i="2"/>
  <c r="U1224" i="2"/>
  <c r="T1224" i="2"/>
  <c r="S1224" i="2"/>
  <c r="R1224" i="2"/>
  <c r="O1224" i="2"/>
  <c r="N1224" i="2"/>
  <c r="M1224" i="2"/>
  <c r="Z1223" i="2"/>
  <c r="U1223" i="2"/>
  <c r="T1223" i="2"/>
  <c r="S1223" i="2"/>
  <c r="R1223" i="2"/>
  <c r="O1223" i="2"/>
  <c r="N1223" i="2"/>
  <c r="M1223" i="2"/>
  <c r="Z1222" i="2"/>
  <c r="U1222" i="2"/>
  <c r="T1222" i="2"/>
  <c r="S1222" i="2"/>
  <c r="R1222" i="2"/>
  <c r="O1222" i="2"/>
  <c r="N1222" i="2"/>
  <c r="M1222" i="2"/>
  <c r="Z1221" i="2"/>
  <c r="U1221" i="2"/>
  <c r="T1221" i="2"/>
  <c r="S1221" i="2"/>
  <c r="R1221" i="2"/>
  <c r="O1221" i="2"/>
  <c r="N1221" i="2"/>
  <c r="M1221" i="2"/>
  <c r="Z1220" i="2"/>
  <c r="U1220" i="2"/>
  <c r="T1220" i="2"/>
  <c r="S1220" i="2"/>
  <c r="R1220" i="2"/>
  <c r="O1220" i="2"/>
  <c r="N1220" i="2"/>
  <c r="M1220" i="2"/>
  <c r="Z1219" i="2"/>
  <c r="U1219" i="2"/>
  <c r="T1219" i="2"/>
  <c r="S1219" i="2"/>
  <c r="R1219" i="2"/>
  <c r="O1219" i="2"/>
  <c r="N1219" i="2"/>
  <c r="M1219" i="2"/>
  <c r="Z1218" i="2"/>
  <c r="U1218" i="2"/>
  <c r="T1218" i="2"/>
  <c r="S1218" i="2"/>
  <c r="R1218" i="2"/>
  <c r="O1218" i="2"/>
  <c r="N1218" i="2"/>
  <c r="M1218" i="2"/>
  <c r="Z1217" i="2"/>
  <c r="U1217" i="2"/>
  <c r="T1217" i="2"/>
  <c r="S1217" i="2"/>
  <c r="R1217" i="2"/>
  <c r="O1217" i="2"/>
  <c r="N1217" i="2"/>
  <c r="M1217" i="2"/>
  <c r="Z1216" i="2"/>
  <c r="U1216" i="2"/>
  <c r="T1216" i="2"/>
  <c r="S1216" i="2"/>
  <c r="R1216" i="2"/>
  <c r="O1216" i="2"/>
  <c r="N1216" i="2"/>
  <c r="M1216" i="2"/>
  <c r="Z1215" i="2"/>
  <c r="U1215" i="2"/>
  <c r="T1215" i="2"/>
  <c r="S1215" i="2"/>
  <c r="R1215" i="2"/>
  <c r="O1215" i="2"/>
  <c r="N1215" i="2"/>
  <c r="M1215" i="2"/>
  <c r="Z1214" i="2"/>
  <c r="U1214" i="2"/>
  <c r="T1214" i="2"/>
  <c r="S1214" i="2"/>
  <c r="R1214" i="2"/>
  <c r="O1214" i="2"/>
  <c r="N1214" i="2"/>
  <c r="M1214" i="2"/>
  <c r="Z1213" i="2"/>
  <c r="U1213" i="2"/>
  <c r="T1213" i="2"/>
  <c r="S1213" i="2"/>
  <c r="R1213" i="2"/>
  <c r="O1213" i="2"/>
  <c r="N1213" i="2"/>
  <c r="M1213" i="2"/>
  <c r="Z1212" i="2"/>
  <c r="U1212" i="2"/>
  <c r="T1212" i="2"/>
  <c r="S1212" i="2"/>
  <c r="R1212" i="2"/>
  <c r="O1212" i="2"/>
  <c r="N1212" i="2"/>
  <c r="M1212" i="2"/>
  <c r="Z1211" i="2"/>
  <c r="U1211" i="2"/>
  <c r="T1211" i="2"/>
  <c r="S1211" i="2"/>
  <c r="R1211" i="2"/>
  <c r="O1211" i="2"/>
  <c r="N1211" i="2"/>
  <c r="M1211" i="2"/>
  <c r="Z1210" i="2"/>
  <c r="U1210" i="2"/>
  <c r="T1210" i="2"/>
  <c r="S1210" i="2"/>
  <c r="R1210" i="2"/>
  <c r="O1210" i="2"/>
  <c r="N1210" i="2"/>
  <c r="M1210" i="2"/>
  <c r="Z1209" i="2"/>
  <c r="U1209" i="2"/>
  <c r="T1209" i="2"/>
  <c r="S1209" i="2"/>
  <c r="R1209" i="2"/>
  <c r="O1209" i="2"/>
  <c r="N1209" i="2"/>
  <c r="M1209" i="2"/>
  <c r="Z1208" i="2"/>
  <c r="U1208" i="2"/>
  <c r="T1208" i="2"/>
  <c r="S1208" i="2"/>
  <c r="R1208" i="2"/>
  <c r="O1208" i="2"/>
  <c r="N1208" i="2"/>
  <c r="M1208" i="2"/>
  <c r="Z1207" i="2"/>
  <c r="U1207" i="2"/>
  <c r="T1207" i="2"/>
  <c r="S1207" i="2"/>
  <c r="R1207" i="2"/>
  <c r="O1207" i="2"/>
  <c r="N1207" i="2"/>
  <c r="M1207" i="2"/>
  <c r="Z1206" i="2"/>
  <c r="U1206" i="2"/>
  <c r="T1206" i="2"/>
  <c r="S1206" i="2"/>
  <c r="R1206" i="2"/>
  <c r="O1206" i="2"/>
  <c r="N1206" i="2"/>
  <c r="M1206" i="2"/>
  <c r="Z1205" i="2"/>
  <c r="U1205" i="2"/>
  <c r="T1205" i="2"/>
  <c r="S1205" i="2"/>
  <c r="R1205" i="2"/>
  <c r="O1205" i="2"/>
  <c r="N1205" i="2"/>
  <c r="M1205" i="2"/>
  <c r="Z1204" i="2"/>
  <c r="U1204" i="2"/>
  <c r="T1204" i="2"/>
  <c r="S1204" i="2"/>
  <c r="R1204" i="2"/>
  <c r="O1204" i="2"/>
  <c r="N1204" i="2"/>
  <c r="M1204" i="2"/>
  <c r="Z1203" i="2"/>
  <c r="U1203" i="2"/>
  <c r="T1203" i="2"/>
  <c r="S1203" i="2"/>
  <c r="R1203" i="2"/>
  <c r="O1203" i="2"/>
  <c r="N1203" i="2"/>
  <c r="M1203" i="2"/>
  <c r="Z1202" i="2"/>
  <c r="U1202" i="2"/>
  <c r="T1202" i="2"/>
  <c r="S1202" i="2"/>
  <c r="R1202" i="2"/>
  <c r="O1202" i="2"/>
  <c r="N1202" i="2"/>
  <c r="M1202" i="2"/>
  <c r="Z1201" i="2"/>
  <c r="U1201" i="2"/>
  <c r="T1201" i="2"/>
  <c r="S1201" i="2"/>
  <c r="R1201" i="2"/>
  <c r="O1201" i="2"/>
  <c r="N1201" i="2"/>
  <c r="M1201" i="2"/>
  <c r="Z1200" i="2"/>
  <c r="U1200" i="2"/>
  <c r="T1200" i="2"/>
  <c r="S1200" i="2"/>
  <c r="R1200" i="2"/>
  <c r="O1200" i="2"/>
  <c r="N1200" i="2"/>
  <c r="M1200" i="2"/>
  <c r="Z1199" i="2"/>
  <c r="U1199" i="2"/>
  <c r="T1199" i="2"/>
  <c r="S1199" i="2"/>
  <c r="R1199" i="2"/>
  <c r="O1199" i="2"/>
  <c r="N1199" i="2"/>
  <c r="M1199" i="2"/>
  <c r="Z1198" i="2"/>
  <c r="U1198" i="2"/>
  <c r="T1198" i="2"/>
  <c r="S1198" i="2"/>
  <c r="R1198" i="2"/>
  <c r="O1198" i="2"/>
  <c r="N1198" i="2"/>
  <c r="M1198" i="2"/>
  <c r="Z1197" i="2"/>
  <c r="U1197" i="2"/>
  <c r="T1197" i="2"/>
  <c r="S1197" i="2"/>
  <c r="R1197" i="2"/>
  <c r="O1197" i="2"/>
  <c r="N1197" i="2"/>
  <c r="M1197" i="2"/>
  <c r="Z1196" i="2"/>
  <c r="U1196" i="2"/>
  <c r="T1196" i="2"/>
  <c r="S1196" i="2"/>
  <c r="R1196" i="2"/>
  <c r="O1196" i="2"/>
  <c r="N1196" i="2"/>
  <c r="M1196" i="2"/>
  <c r="Z1195" i="2"/>
  <c r="U1195" i="2"/>
  <c r="T1195" i="2"/>
  <c r="S1195" i="2"/>
  <c r="R1195" i="2"/>
  <c r="O1195" i="2"/>
  <c r="N1195" i="2"/>
  <c r="M1195" i="2"/>
  <c r="Z1194" i="2"/>
  <c r="U1194" i="2"/>
  <c r="T1194" i="2"/>
  <c r="S1194" i="2"/>
  <c r="R1194" i="2"/>
  <c r="O1194" i="2"/>
  <c r="N1194" i="2"/>
  <c r="M1194" i="2"/>
  <c r="Z1193" i="2"/>
  <c r="U1193" i="2"/>
  <c r="T1193" i="2"/>
  <c r="S1193" i="2"/>
  <c r="R1193" i="2"/>
  <c r="O1193" i="2"/>
  <c r="N1193" i="2"/>
  <c r="M1193" i="2"/>
  <c r="Z1192" i="2"/>
  <c r="U1192" i="2"/>
  <c r="T1192" i="2"/>
  <c r="S1192" i="2"/>
  <c r="R1192" i="2"/>
  <c r="O1192" i="2"/>
  <c r="N1192" i="2"/>
  <c r="M1192" i="2"/>
  <c r="Z1191" i="2"/>
  <c r="U1191" i="2"/>
  <c r="T1191" i="2"/>
  <c r="S1191" i="2"/>
  <c r="R1191" i="2"/>
  <c r="O1191" i="2"/>
  <c r="N1191" i="2"/>
  <c r="M1191" i="2"/>
  <c r="Z1190" i="2"/>
  <c r="U1190" i="2"/>
  <c r="T1190" i="2"/>
  <c r="S1190" i="2"/>
  <c r="R1190" i="2"/>
  <c r="O1190" i="2"/>
  <c r="N1190" i="2"/>
  <c r="M1190" i="2"/>
  <c r="Z1189" i="2"/>
  <c r="U1189" i="2"/>
  <c r="T1189" i="2"/>
  <c r="S1189" i="2"/>
  <c r="R1189" i="2"/>
  <c r="O1189" i="2"/>
  <c r="N1189" i="2"/>
  <c r="M1189" i="2"/>
  <c r="Z1188" i="2"/>
  <c r="U1188" i="2"/>
  <c r="T1188" i="2"/>
  <c r="S1188" i="2"/>
  <c r="R1188" i="2"/>
  <c r="O1188" i="2"/>
  <c r="N1188" i="2"/>
  <c r="M1188" i="2"/>
  <c r="Z1187" i="2"/>
  <c r="U1187" i="2"/>
  <c r="T1187" i="2"/>
  <c r="S1187" i="2"/>
  <c r="R1187" i="2"/>
  <c r="O1187" i="2"/>
  <c r="N1187" i="2"/>
  <c r="M1187" i="2"/>
  <c r="Z1186" i="2"/>
  <c r="U1186" i="2"/>
  <c r="T1186" i="2"/>
  <c r="S1186" i="2"/>
  <c r="R1186" i="2"/>
  <c r="O1186" i="2"/>
  <c r="N1186" i="2"/>
  <c r="M1186" i="2"/>
  <c r="Z1185" i="2"/>
  <c r="U1185" i="2"/>
  <c r="T1185" i="2"/>
  <c r="S1185" i="2"/>
  <c r="R1185" i="2"/>
  <c r="O1185" i="2"/>
  <c r="N1185" i="2"/>
  <c r="M1185" i="2"/>
  <c r="Z1184" i="2"/>
  <c r="U1184" i="2"/>
  <c r="T1184" i="2"/>
  <c r="S1184" i="2"/>
  <c r="R1184" i="2"/>
  <c r="O1184" i="2"/>
  <c r="N1184" i="2"/>
  <c r="M1184" i="2"/>
  <c r="Z1183" i="2"/>
  <c r="U1183" i="2"/>
  <c r="T1183" i="2"/>
  <c r="S1183" i="2"/>
  <c r="R1183" i="2"/>
  <c r="O1183" i="2"/>
  <c r="N1183" i="2"/>
  <c r="M1183" i="2"/>
  <c r="Z1182" i="2"/>
  <c r="U1182" i="2"/>
  <c r="T1182" i="2"/>
  <c r="S1182" i="2"/>
  <c r="R1182" i="2"/>
  <c r="O1182" i="2"/>
  <c r="N1182" i="2"/>
  <c r="M1182" i="2"/>
  <c r="Z1181" i="2"/>
  <c r="U1181" i="2"/>
  <c r="T1181" i="2"/>
  <c r="S1181" i="2"/>
  <c r="R1181" i="2"/>
  <c r="O1181" i="2"/>
  <c r="N1181" i="2"/>
  <c r="M1181" i="2"/>
  <c r="Z1180" i="2"/>
  <c r="U1180" i="2"/>
  <c r="T1180" i="2"/>
  <c r="S1180" i="2"/>
  <c r="R1180" i="2"/>
  <c r="O1180" i="2"/>
  <c r="N1180" i="2"/>
  <c r="M1180" i="2"/>
  <c r="Z1179" i="2"/>
  <c r="U1179" i="2"/>
  <c r="T1179" i="2"/>
  <c r="S1179" i="2"/>
  <c r="R1179" i="2"/>
  <c r="O1179" i="2"/>
  <c r="N1179" i="2"/>
  <c r="M1179" i="2"/>
  <c r="Z1178" i="2"/>
  <c r="U1178" i="2"/>
  <c r="T1178" i="2"/>
  <c r="S1178" i="2"/>
  <c r="R1178" i="2"/>
  <c r="O1178" i="2"/>
  <c r="N1178" i="2"/>
  <c r="M1178" i="2"/>
  <c r="Z1177" i="2"/>
  <c r="U1177" i="2"/>
  <c r="T1177" i="2"/>
  <c r="S1177" i="2"/>
  <c r="R1177" i="2"/>
  <c r="O1177" i="2"/>
  <c r="N1177" i="2"/>
  <c r="M1177" i="2"/>
  <c r="Z1176" i="2"/>
  <c r="U1176" i="2"/>
  <c r="T1176" i="2"/>
  <c r="S1176" i="2"/>
  <c r="R1176" i="2"/>
  <c r="O1176" i="2"/>
  <c r="N1176" i="2"/>
  <c r="M1176" i="2"/>
  <c r="Z1175" i="2"/>
  <c r="U1175" i="2"/>
  <c r="T1175" i="2"/>
  <c r="S1175" i="2"/>
  <c r="R1175" i="2"/>
  <c r="O1175" i="2"/>
  <c r="N1175" i="2"/>
  <c r="M1175" i="2"/>
  <c r="Z1174" i="2"/>
  <c r="U1174" i="2"/>
  <c r="T1174" i="2"/>
  <c r="S1174" i="2"/>
  <c r="R1174" i="2"/>
  <c r="O1174" i="2"/>
  <c r="N1174" i="2"/>
  <c r="M1174" i="2"/>
  <c r="Z1173" i="2"/>
  <c r="U1173" i="2"/>
  <c r="T1173" i="2"/>
  <c r="S1173" i="2"/>
  <c r="R1173" i="2"/>
  <c r="O1173" i="2"/>
  <c r="N1173" i="2"/>
  <c r="M1173" i="2"/>
  <c r="Z1172" i="2"/>
  <c r="U1172" i="2"/>
  <c r="T1172" i="2"/>
  <c r="S1172" i="2"/>
  <c r="R1172" i="2"/>
  <c r="O1172" i="2"/>
  <c r="N1172" i="2"/>
  <c r="M1172" i="2"/>
  <c r="Z1171" i="2"/>
  <c r="U1171" i="2"/>
  <c r="T1171" i="2"/>
  <c r="S1171" i="2"/>
  <c r="R1171" i="2"/>
  <c r="O1171" i="2"/>
  <c r="N1171" i="2"/>
  <c r="M1171" i="2"/>
  <c r="Z1170" i="2"/>
  <c r="U1170" i="2"/>
  <c r="T1170" i="2"/>
  <c r="S1170" i="2"/>
  <c r="R1170" i="2"/>
  <c r="O1170" i="2"/>
  <c r="N1170" i="2"/>
  <c r="M1170" i="2"/>
  <c r="Z1169" i="2"/>
  <c r="U1169" i="2"/>
  <c r="T1169" i="2"/>
  <c r="S1169" i="2"/>
  <c r="R1169" i="2"/>
  <c r="O1169" i="2"/>
  <c r="N1169" i="2"/>
  <c r="M1169" i="2"/>
  <c r="Z1168" i="2"/>
  <c r="U1168" i="2"/>
  <c r="T1168" i="2"/>
  <c r="S1168" i="2"/>
  <c r="R1168" i="2"/>
  <c r="O1168" i="2"/>
  <c r="N1168" i="2"/>
  <c r="M1168" i="2"/>
  <c r="Z1167" i="2"/>
  <c r="U1167" i="2"/>
  <c r="T1167" i="2"/>
  <c r="S1167" i="2"/>
  <c r="R1167" i="2"/>
  <c r="O1167" i="2"/>
  <c r="N1167" i="2"/>
  <c r="M1167" i="2"/>
  <c r="Z1166" i="2"/>
  <c r="U1166" i="2"/>
  <c r="T1166" i="2"/>
  <c r="S1166" i="2"/>
  <c r="R1166" i="2"/>
  <c r="O1166" i="2"/>
  <c r="N1166" i="2"/>
  <c r="M1166" i="2"/>
  <c r="Z1165" i="2"/>
  <c r="U1165" i="2"/>
  <c r="T1165" i="2"/>
  <c r="S1165" i="2"/>
  <c r="R1165" i="2"/>
  <c r="O1165" i="2"/>
  <c r="N1165" i="2"/>
  <c r="M1165" i="2"/>
  <c r="Z1164" i="2"/>
  <c r="U1164" i="2"/>
  <c r="T1164" i="2"/>
  <c r="S1164" i="2"/>
  <c r="R1164" i="2"/>
  <c r="O1164" i="2"/>
  <c r="N1164" i="2"/>
  <c r="M1164" i="2"/>
  <c r="Z1163" i="2"/>
  <c r="U1163" i="2"/>
  <c r="T1163" i="2"/>
  <c r="S1163" i="2"/>
  <c r="R1163" i="2"/>
  <c r="O1163" i="2"/>
  <c r="N1163" i="2"/>
  <c r="M1163" i="2"/>
  <c r="Z1162" i="2"/>
  <c r="U1162" i="2"/>
  <c r="T1162" i="2"/>
  <c r="S1162" i="2"/>
  <c r="R1162" i="2"/>
  <c r="O1162" i="2"/>
  <c r="N1162" i="2"/>
  <c r="M1162" i="2"/>
  <c r="Z1161" i="2"/>
  <c r="U1161" i="2"/>
  <c r="T1161" i="2"/>
  <c r="S1161" i="2"/>
  <c r="R1161" i="2"/>
  <c r="O1161" i="2"/>
  <c r="N1161" i="2"/>
  <c r="M1161" i="2"/>
  <c r="Z1160" i="2"/>
  <c r="U1160" i="2"/>
  <c r="T1160" i="2"/>
  <c r="S1160" i="2"/>
  <c r="R1160" i="2"/>
  <c r="O1160" i="2"/>
  <c r="N1160" i="2"/>
  <c r="M1160" i="2"/>
  <c r="Z1159" i="2"/>
  <c r="U1159" i="2"/>
  <c r="T1159" i="2"/>
  <c r="S1159" i="2"/>
  <c r="R1159" i="2"/>
  <c r="O1159" i="2"/>
  <c r="N1159" i="2"/>
  <c r="M1159" i="2"/>
  <c r="Z1158" i="2"/>
  <c r="U1158" i="2"/>
  <c r="T1158" i="2"/>
  <c r="S1158" i="2"/>
  <c r="R1158" i="2"/>
  <c r="O1158" i="2"/>
  <c r="N1158" i="2"/>
  <c r="M1158" i="2"/>
  <c r="Z1157" i="2"/>
  <c r="U1157" i="2"/>
  <c r="T1157" i="2"/>
  <c r="S1157" i="2"/>
  <c r="R1157" i="2"/>
  <c r="O1157" i="2"/>
  <c r="N1157" i="2"/>
  <c r="M1157" i="2"/>
  <c r="Z1156" i="2"/>
  <c r="U1156" i="2"/>
  <c r="T1156" i="2"/>
  <c r="S1156" i="2"/>
  <c r="R1156" i="2"/>
  <c r="O1156" i="2"/>
  <c r="N1156" i="2"/>
  <c r="M1156" i="2"/>
  <c r="Z1155" i="2"/>
  <c r="U1155" i="2"/>
  <c r="T1155" i="2"/>
  <c r="S1155" i="2"/>
  <c r="R1155" i="2"/>
  <c r="O1155" i="2"/>
  <c r="N1155" i="2"/>
  <c r="M1155" i="2"/>
  <c r="Z1154" i="2"/>
  <c r="U1154" i="2"/>
  <c r="T1154" i="2"/>
  <c r="S1154" i="2"/>
  <c r="R1154" i="2"/>
  <c r="O1154" i="2"/>
  <c r="N1154" i="2"/>
  <c r="M1154" i="2"/>
  <c r="Z1153" i="2"/>
  <c r="U1153" i="2"/>
  <c r="T1153" i="2"/>
  <c r="S1153" i="2"/>
  <c r="R1153" i="2"/>
  <c r="O1153" i="2"/>
  <c r="N1153" i="2"/>
  <c r="M1153" i="2"/>
  <c r="Z1152" i="2"/>
  <c r="U1152" i="2"/>
  <c r="T1152" i="2"/>
  <c r="S1152" i="2"/>
  <c r="R1152" i="2"/>
  <c r="O1152" i="2"/>
  <c r="N1152" i="2"/>
  <c r="M1152" i="2"/>
  <c r="Z1151" i="2"/>
  <c r="U1151" i="2"/>
  <c r="T1151" i="2"/>
  <c r="S1151" i="2"/>
  <c r="R1151" i="2"/>
  <c r="O1151" i="2"/>
  <c r="N1151" i="2"/>
  <c r="M1151" i="2"/>
  <c r="Z1150" i="2"/>
  <c r="U1150" i="2"/>
  <c r="T1150" i="2"/>
  <c r="S1150" i="2"/>
  <c r="R1150" i="2"/>
  <c r="O1150" i="2"/>
  <c r="N1150" i="2"/>
  <c r="M1150" i="2"/>
  <c r="Z1149" i="2"/>
  <c r="U1149" i="2"/>
  <c r="T1149" i="2"/>
  <c r="S1149" i="2"/>
  <c r="R1149" i="2"/>
  <c r="O1149" i="2"/>
  <c r="N1149" i="2"/>
  <c r="M1149" i="2"/>
  <c r="Z1148" i="2"/>
  <c r="U1148" i="2"/>
  <c r="T1148" i="2"/>
  <c r="S1148" i="2"/>
  <c r="R1148" i="2"/>
  <c r="O1148" i="2"/>
  <c r="N1148" i="2"/>
  <c r="M1148" i="2"/>
  <c r="Z1147" i="2"/>
  <c r="U1147" i="2"/>
  <c r="T1147" i="2"/>
  <c r="S1147" i="2"/>
  <c r="R1147" i="2"/>
  <c r="O1147" i="2"/>
  <c r="N1147" i="2"/>
  <c r="M1147" i="2"/>
  <c r="Z1146" i="2"/>
  <c r="U1146" i="2"/>
  <c r="T1146" i="2"/>
  <c r="S1146" i="2"/>
  <c r="R1146" i="2"/>
  <c r="O1146" i="2"/>
  <c r="N1146" i="2"/>
  <c r="M1146" i="2"/>
  <c r="Z1145" i="2"/>
  <c r="U1145" i="2"/>
  <c r="T1145" i="2"/>
  <c r="S1145" i="2"/>
  <c r="R1145" i="2"/>
  <c r="O1145" i="2"/>
  <c r="N1145" i="2"/>
  <c r="M1145" i="2"/>
  <c r="Z1144" i="2"/>
  <c r="U1144" i="2"/>
  <c r="T1144" i="2"/>
  <c r="S1144" i="2"/>
  <c r="R1144" i="2"/>
  <c r="O1144" i="2"/>
  <c r="N1144" i="2"/>
  <c r="M1144" i="2"/>
  <c r="Z1143" i="2"/>
  <c r="U1143" i="2"/>
  <c r="T1143" i="2"/>
  <c r="S1143" i="2"/>
  <c r="R1143" i="2"/>
  <c r="O1143" i="2"/>
  <c r="N1143" i="2"/>
  <c r="M1143" i="2"/>
  <c r="Z1142" i="2"/>
  <c r="U1142" i="2"/>
  <c r="T1142" i="2"/>
  <c r="S1142" i="2"/>
  <c r="R1142" i="2"/>
  <c r="O1142" i="2"/>
  <c r="N1142" i="2"/>
  <c r="M1142" i="2"/>
  <c r="Z1141" i="2"/>
  <c r="U1141" i="2"/>
  <c r="T1141" i="2"/>
  <c r="S1141" i="2"/>
  <c r="R1141" i="2"/>
  <c r="O1141" i="2"/>
  <c r="N1141" i="2"/>
  <c r="M1141" i="2"/>
  <c r="Z1140" i="2"/>
  <c r="U1140" i="2"/>
  <c r="T1140" i="2"/>
  <c r="S1140" i="2"/>
  <c r="R1140" i="2"/>
  <c r="O1140" i="2"/>
  <c r="N1140" i="2"/>
  <c r="M1140" i="2"/>
  <c r="Z1139" i="2"/>
  <c r="U1139" i="2"/>
  <c r="T1139" i="2"/>
  <c r="S1139" i="2"/>
  <c r="R1139" i="2"/>
  <c r="O1139" i="2"/>
  <c r="N1139" i="2"/>
  <c r="M1139" i="2"/>
  <c r="Z1138" i="2"/>
  <c r="U1138" i="2"/>
  <c r="T1138" i="2"/>
  <c r="S1138" i="2"/>
  <c r="R1138" i="2"/>
  <c r="O1138" i="2"/>
  <c r="N1138" i="2"/>
  <c r="M1138" i="2"/>
  <c r="Z1137" i="2"/>
  <c r="U1137" i="2"/>
  <c r="T1137" i="2"/>
  <c r="S1137" i="2"/>
  <c r="R1137" i="2"/>
  <c r="O1137" i="2"/>
  <c r="N1137" i="2"/>
  <c r="M1137" i="2"/>
  <c r="Z1136" i="2"/>
  <c r="U1136" i="2"/>
  <c r="T1136" i="2"/>
  <c r="S1136" i="2"/>
  <c r="R1136" i="2"/>
  <c r="O1136" i="2"/>
  <c r="N1136" i="2"/>
  <c r="M1136" i="2"/>
  <c r="Z1135" i="2"/>
  <c r="U1135" i="2"/>
  <c r="T1135" i="2"/>
  <c r="S1135" i="2"/>
  <c r="R1135" i="2"/>
  <c r="O1135" i="2"/>
  <c r="N1135" i="2"/>
  <c r="M1135" i="2"/>
  <c r="Z1134" i="2"/>
  <c r="U1134" i="2"/>
  <c r="T1134" i="2"/>
  <c r="S1134" i="2"/>
  <c r="R1134" i="2"/>
  <c r="O1134" i="2"/>
  <c r="N1134" i="2"/>
  <c r="M1134" i="2"/>
  <c r="Z1133" i="2"/>
  <c r="U1133" i="2"/>
  <c r="T1133" i="2"/>
  <c r="S1133" i="2"/>
  <c r="R1133" i="2"/>
  <c r="O1133" i="2"/>
  <c r="N1133" i="2"/>
  <c r="M1133" i="2"/>
  <c r="Z1132" i="2"/>
  <c r="U1132" i="2"/>
  <c r="T1132" i="2"/>
  <c r="S1132" i="2"/>
  <c r="R1132" i="2"/>
  <c r="O1132" i="2"/>
  <c r="N1132" i="2"/>
  <c r="M1132" i="2"/>
  <c r="Z1131" i="2"/>
  <c r="U1131" i="2"/>
  <c r="T1131" i="2"/>
  <c r="S1131" i="2"/>
  <c r="R1131" i="2"/>
  <c r="O1131" i="2"/>
  <c r="N1131" i="2"/>
  <c r="M1131" i="2"/>
  <c r="Z1130" i="2"/>
  <c r="U1130" i="2"/>
  <c r="T1130" i="2"/>
  <c r="S1130" i="2"/>
  <c r="R1130" i="2"/>
  <c r="O1130" i="2"/>
  <c r="N1130" i="2"/>
  <c r="M1130" i="2"/>
  <c r="Z1129" i="2"/>
  <c r="U1129" i="2"/>
  <c r="T1129" i="2"/>
  <c r="S1129" i="2"/>
  <c r="R1129" i="2"/>
  <c r="O1129" i="2"/>
  <c r="N1129" i="2"/>
  <c r="M1129" i="2"/>
  <c r="Z1128" i="2"/>
  <c r="U1128" i="2"/>
  <c r="T1128" i="2"/>
  <c r="S1128" i="2"/>
  <c r="R1128" i="2"/>
  <c r="O1128" i="2"/>
  <c r="N1128" i="2"/>
  <c r="M1128" i="2"/>
  <c r="Z1127" i="2"/>
  <c r="U1127" i="2"/>
  <c r="T1127" i="2"/>
  <c r="S1127" i="2"/>
  <c r="R1127" i="2"/>
  <c r="O1127" i="2"/>
  <c r="N1127" i="2"/>
  <c r="M1127" i="2"/>
  <c r="Z1126" i="2"/>
  <c r="U1126" i="2"/>
  <c r="T1126" i="2"/>
  <c r="S1126" i="2"/>
  <c r="R1126" i="2"/>
  <c r="O1126" i="2"/>
  <c r="N1126" i="2"/>
  <c r="M1126" i="2"/>
  <c r="Z1125" i="2"/>
  <c r="U1125" i="2"/>
  <c r="T1125" i="2"/>
  <c r="S1125" i="2"/>
  <c r="R1125" i="2"/>
  <c r="O1125" i="2"/>
  <c r="N1125" i="2"/>
  <c r="M1125" i="2"/>
  <c r="Z1124" i="2"/>
  <c r="U1124" i="2"/>
  <c r="T1124" i="2"/>
  <c r="S1124" i="2"/>
  <c r="R1124" i="2"/>
  <c r="O1124" i="2"/>
  <c r="N1124" i="2"/>
  <c r="M1124" i="2"/>
  <c r="Z1123" i="2"/>
  <c r="U1123" i="2"/>
  <c r="T1123" i="2"/>
  <c r="S1123" i="2"/>
  <c r="R1123" i="2"/>
  <c r="O1123" i="2"/>
  <c r="N1123" i="2"/>
  <c r="M1123" i="2"/>
  <c r="Z1122" i="2"/>
  <c r="U1122" i="2"/>
  <c r="T1122" i="2"/>
  <c r="S1122" i="2"/>
  <c r="R1122" i="2"/>
  <c r="O1122" i="2"/>
  <c r="N1122" i="2"/>
  <c r="M1122" i="2"/>
  <c r="Z1121" i="2"/>
  <c r="U1121" i="2"/>
  <c r="T1121" i="2"/>
  <c r="S1121" i="2"/>
  <c r="R1121" i="2"/>
  <c r="O1121" i="2"/>
  <c r="N1121" i="2"/>
  <c r="M1121" i="2"/>
  <c r="Z1120" i="2"/>
  <c r="U1120" i="2"/>
  <c r="T1120" i="2"/>
  <c r="S1120" i="2"/>
  <c r="R1120" i="2"/>
  <c r="O1120" i="2"/>
  <c r="N1120" i="2"/>
  <c r="M1120" i="2"/>
  <c r="Z1119" i="2"/>
  <c r="U1119" i="2"/>
  <c r="T1119" i="2"/>
  <c r="S1119" i="2"/>
  <c r="R1119" i="2"/>
  <c r="O1119" i="2"/>
  <c r="N1119" i="2"/>
  <c r="M1119" i="2"/>
  <c r="Z1118" i="2"/>
  <c r="U1118" i="2"/>
  <c r="T1118" i="2"/>
  <c r="S1118" i="2"/>
  <c r="R1118" i="2"/>
  <c r="O1118" i="2"/>
  <c r="N1118" i="2"/>
  <c r="M1118" i="2"/>
  <c r="Z1117" i="2"/>
  <c r="U1117" i="2"/>
  <c r="T1117" i="2"/>
  <c r="S1117" i="2"/>
  <c r="R1117" i="2"/>
  <c r="O1117" i="2"/>
  <c r="N1117" i="2"/>
  <c r="M1117" i="2"/>
  <c r="Z1116" i="2"/>
  <c r="U1116" i="2"/>
  <c r="T1116" i="2"/>
  <c r="S1116" i="2"/>
  <c r="R1116" i="2"/>
  <c r="O1116" i="2"/>
  <c r="N1116" i="2"/>
  <c r="M1116" i="2"/>
  <c r="Z1115" i="2"/>
  <c r="U1115" i="2"/>
  <c r="T1115" i="2"/>
  <c r="S1115" i="2"/>
  <c r="R1115" i="2"/>
  <c r="O1115" i="2"/>
  <c r="N1115" i="2"/>
  <c r="M1115" i="2"/>
  <c r="Z1114" i="2"/>
  <c r="U1114" i="2"/>
  <c r="T1114" i="2"/>
  <c r="S1114" i="2"/>
  <c r="R1114" i="2"/>
  <c r="O1114" i="2"/>
  <c r="N1114" i="2"/>
  <c r="M1114" i="2"/>
  <c r="Z1113" i="2"/>
  <c r="U1113" i="2"/>
  <c r="T1113" i="2"/>
  <c r="S1113" i="2"/>
  <c r="R1113" i="2"/>
  <c r="O1113" i="2"/>
  <c r="N1113" i="2"/>
  <c r="M1113" i="2"/>
  <c r="Z1112" i="2"/>
  <c r="U1112" i="2"/>
  <c r="T1112" i="2"/>
  <c r="S1112" i="2"/>
  <c r="R1112" i="2"/>
  <c r="O1112" i="2"/>
  <c r="N1112" i="2"/>
  <c r="M1112" i="2"/>
  <c r="Z1111" i="2"/>
  <c r="U1111" i="2"/>
  <c r="T1111" i="2"/>
  <c r="S1111" i="2"/>
  <c r="R1111" i="2"/>
  <c r="O1111" i="2"/>
  <c r="N1111" i="2"/>
  <c r="M1111" i="2"/>
  <c r="Z1110" i="2"/>
  <c r="U1110" i="2"/>
  <c r="T1110" i="2"/>
  <c r="S1110" i="2"/>
  <c r="R1110" i="2"/>
  <c r="O1110" i="2"/>
  <c r="N1110" i="2"/>
  <c r="M1110" i="2"/>
  <c r="Z1109" i="2"/>
  <c r="U1109" i="2"/>
  <c r="T1109" i="2"/>
  <c r="S1109" i="2"/>
  <c r="R1109" i="2"/>
  <c r="O1109" i="2"/>
  <c r="N1109" i="2"/>
  <c r="M1109" i="2"/>
  <c r="Z1108" i="2"/>
  <c r="U1108" i="2"/>
  <c r="T1108" i="2"/>
  <c r="S1108" i="2"/>
  <c r="R1108" i="2"/>
  <c r="O1108" i="2"/>
  <c r="N1108" i="2"/>
  <c r="M1108" i="2"/>
  <c r="Z1107" i="2"/>
  <c r="U1107" i="2"/>
  <c r="T1107" i="2"/>
  <c r="S1107" i="2"/>
  <c r="R1107" i="2"/>
  <c r="O1107" i="2"/>
  <c r="N1107" i="2"/>
  <c r="M1107" i="2"/>
  <c r="Z1106" i="2"/>
  <c r="U1106" i="2"/>
  <c r="T1106" i="2"/>
  <c r="S1106" i="2"/>
  <c r="R1106" i="2"/>
  <c r="O1106" i="2"/>
  <c r="N1106" i="2"/>
  <c r="M1106" i="2"/>
  <c r="Z1105" i="2"/>
  <c r="U1105" i="2"/>
  <c r="T1105" i="2"/>
  <c r="S1105" i="2"/>
  <c r="R1105" i="2"/>
  <c r="O1105" i="2"/>
  <c r="N1105" i="2"/>
  <c r="M1105" i="2"/>
  <c r="Z1104" i="2"/>
  <c r="U1104" i="2"/>
  <c r="T1104" i="2"/>
  <c r="S1104" i="2"/>
  <c r="R1104" i="2"/>
  <c r="O1104" i="2"/>
  <c r="N1104" i="2"/>
  <c r="M1104" i="2"/>
  <c r="Z1103" i="2"/>
  <c r="U1103" i="2"/>
  <c r="T1103" i="2"/>
  <c r="S1103" i="2"/>
  <c r="R1103" i="2"/>
  <c r="O1103" i="2"/>
  <c r="N1103" i="2"/>
  <c r="M1103" i="2"/>
  <c r="Z1102" i="2"/>
  <c r="U1102" i="2"/>
  <c r="T1102" i="2"/>
  <c r="S1102" i="2"/>
  <c r="R1102" i="2"/>
  <c r="O1102" i="2"/>
  <c r="N1102" i="2"/>
  <c r="M1102" i="2"/>
  <c r="Z1101" i="2"/>
  <c r="U1101" i="2"/>
  <c r="T1101" i="2"/>
  <c r="S1101" i="2"/>
  <c r="R1101" i="2"/>
  <c r="O1101" i="2"/>
  <c r="N1101" i="2"/>
  <c r="M1101" i="2"/>
  <c r="Z1100" i="2"/>
  <c r="U1100" i="2"/>
  <c r="T1100" i="2"/>
  <c r="S1100" i="2"/>
  <c r="R1100" i="2"/>
  <c r="O1100" i="2"/>
  <c r="N1100" i="2"/>
  <c r="M1100" i="2"/>
  <c r="Z1099" i="2"/>
  <c r="U1099" i="2"/>
  <c r="T1099" i="2"/>
  <c r="S1099" i="2"/>
  <c r="R1099" i="2"/>
  <c r="O1099" i="2"/>
  <c r="N1099" i="2"/>
  <c r="M1099" i="2"/>
  <c r="Z1098" i="2"/>
  <c r="U1098" i="2"/>
  <c r="T1098" i="2"/>
  <c r="S1098" i="2"/>
  <c r="R1098" i="2"/>
  <c r="O1098" i="2"/>
  <c r="N1098" i="2"/>
  <c r="M1098" i="2"/>
  <c r="Z1097" i="2"/>
  <c r="U1097" i="2"/>
  <c r="T1097" i="2"/>
  <c r="S1097" i="2"/>
  <c r="R1097" i="2"/>
  <c r="O1097" i="2"/>
  <c r="N1097" i="2"/>
  <c r="M1097" i="2"/>
  <c r="Z1096" i="2"/>
  <c r="U1096" i="2"/>
  <c r="T1096" i="2"/>
  <c r="S1096" i="2"/>
  <c r="R1096" i="2"/>
  <c r="O1096" i="2"/>
  <c r="N1096" i="2"/>
  <c r="M1096" i="2"/>
  <c r="Z1095" i="2"/>
  <c r="U1095" i="2"/>
  <c r="T1095" i="2"/>
  <c r="S1095" i="2"/>
  <c r="R1095" i="2"/>
  <c r="O1095" i="2"/>
  <c r="N1095" i="2"/>
  <c r="M1095" i="2"/>
  <c r="Z1094" i="2"/>
  <c r="U1094" i="2"/>
  <c r="T1094" i="2"/>
  <c r="S1094" i="2"/>
  <c r="R1094" i="2"/>
  <c r="O1094" i="2"/>
  <c r="N1094" i="2"/>
  <c r="M1094" i="2"/>
  <c r="Z1093" i="2"/>
  <c r="U1093" i="2"/>
  <c r="T1093" i="2"/>
  <c r="S1093" i="2"/>
  <c r="R1093" i="2"/>
  <c r="O1093" i="2"/>
  <c r="N1093" i="2"/>
  <c r="M1093" i="2"/>
  <c r="Z1092" i="2"/>
  <c r="U1092" i="2"/>
  <c r="T1092" i="2"/>
  <c r="S1092" i="2"/>
  <c r="R1092" i="2"/>
  <c r="O1092" i="2"/>
  <c r="N1092" i="2"/>
  <c r="M1092" i="2"/>
  <c r="Z1091" i="2"/>
  <c r="U1091" i="2"/>
  <c r="T1091" i="2"/>
  <c r="S1091" i="2"/>
  <c r="R1091" i="2"/>
  <c r="O1091" i="2"/>
  <c r="N1091" i="2"/>
  <c r="M1091" i="2"/>
  <c r="Z1090" i="2"/>
  <c r="U1090" i="2"/>
  <c r="T1090" i="2"/>
  <c r="S1090" i="2"/>
  <c r="R1090" i="2"/>
  <c r="O1090" i="2"/>
  <c r="N1090" i="2"/>
  <c r="M1090" i="2"/>
  <c r="Z1089" i="2"/>
  <c r="U1089" i="2"/>
  <c r="T1089" i="2"/>
  <c r="S1089" i="2"/>
  <c r="R1089" i="2"/>
  <c r="O1089" i="2"/>
  <c r="N1089" i="2"/>
  <c r="M1089" i="2"/>
  <c r="Z1088" i="2"/>
  <c r="U1088" i="2"/>
  <c r="T1088" i="2"/>
  <c r="S1088" i="2"/>
  <c r="R1088" i="2"/>
  <c r="O1088" i="2"/>
  <c r="N1088" i="2"/>
  <c r="M1088" i="2"/>
  <c r="Z1087" i="2"/>
  <c r="U1087" i="2"/>
  <c r="T1087" i="2"/>
  <c r="S1087" i="2"/>
  <c r="R1087" i="2"/>
  <c r="O1087" i="2"/>
  <c r="N1087" i="2"/>
  <c r="M1087" i="2"/>
  <c r="Z1086" i="2"/>
  <c r="U1086" i="2"/>
  <c r="T1086" i="2"/>
  <c r="S1086" i="2"/>
  <c r="R1086" i="2"/>
  <c r="O1086" i="2"/>
  <c r="N1086" i="2"/>
  <c r="M1086" i="2"/>
  <c r="Z1085" i="2"/>
  <c r="U1085" i="2"/>
  <c r="T1085" i="2"/>
  <c r="S1085" i="2"/>
  <c r="R1085" i="2"/>
  <c r="O1085" i="2"/>
  <c r="N1085" i="2"/>
  <c r="M1085" i="2"/>
  <c r="Z1084" i="2"/>
  <c r="U1084" i="2"/>
  <c r="T1084" i="2"/>
  <c r="S1084" i="2"/>
  <c r="R1084" i="2"/>
  <c r="O1084" i="2"/>
  <c r="N1084" i="2"/>
  <c r="M1084" i="2"/>
  <c r="Z1083" i="2"/>
  <c r="U1083" i="2"/>
  <c r="T1083" i="2"/>
  <c r="S1083" i="2"/>
  <c r="R1083" i="2"/>
  <c r="O1083" i="2"/>
  <c r="N1083" i="2"/>
  <c r="M1083" i="2"/>
  <c r="Z1082" i="2"/>
  <c r="U1082" i="2"/>
  <c r="T1082" i="2"/>
  <c r="S1082" i="2"/>
  <c r="R1082" i="2"/>
  <c r="O1082" i="2"/>
  <c r="N1082" i="2"/>
  <c r="M1082" i="2"/>
  <c r="Z1081" i="2"/>
  <c r="U1081" i="2"/>
  <c r="T1081" i="2"/>
  <c r="S1081" i="2"/>
  <c r="R1081" i="2"/>
  <c r="O1081" i="2"/>
  <c r="N1081" i="2"/>
  <c r="M1081" i="2"/>
  <c r="Z1080" i="2"/>
  <c r="U1080" i="2"/>
  <c r="T1080" i="2"/>
  <c r="S1080" i="2"/>
  <c r="R1080" i="2"/>
  <c r="O1080" i="2"/>
  <c r="N1080" i="2"/>
  <c r="M1080" i="2"/>
  <c r="Z1079" i="2"/>
  <c r="U1079" i="2"/>
  <c r="T1079" i="2"/>
  <c r="S1079" i="2"/>
  <c r="R1079" i="2"/>
  <c r="O1079" i="2"/>
  <c r="N1079" i="2"/>
  <c r="M1079" i="2"/>
  <c r="Z1078" i="2"/>
  <c r="U1078" i="2"/>
  <c r="T1078" i="2"/>
  <c r="S1078" i="2"/>
  <c r="R1078" i="2"/>
  <c r="O1078" i="2"/>
  <c r="N1078" i="2"/>
  <c r="M1078" i="2"/>
  <c r="Z1077" i="2"/>
  <c r="U1077" i="2"/>
  <c r="T1077" i="2"/>
  <c r="S1077" i="2"/>
  <c r="R1077" i="2"/>
  <c r="O1077" i="2"/>
  <c r="N1077" i="2"/>
  <c r="M1077" i="2"/>
  <c r="Z1076" i="2"/>
  <c r="U1076" i="2"/>
  <c r="T1076" i="2"/>
  <c r="S1076" i="2"/>
  <c r="R1076" i="2"/>
  <c r="O1076" i="2"/>
  <c r="N1076" i="2"/>
  <c r="M1076" i="2"/>
  <c r="Z1075" i="2"/>
  <c r="U1075" i="2"/>
  <c r="T1075" i="2"/>
  <c r="S1075" i="2"/>
  <c r="R1075" i="2"/>
  <c r="O1075" i="2"/>
  <c r="N1075" i="2"/>
  <c r="M1075" i="2"/>
  <c r="Z1074" i="2"/>
  <c r="U1074" i="2"/>
  <c r="T1074" i="2"/>
  <c r="S1074" i="2"/>
  <c r="R1074" i="2"/>
  <c r="O1074" i="2"/>
  <c r="N1074" i="2"/>
  <c r="M1074" i="2"/>
  <c r="Z1073" i="2"/>
  <c r="U1073" i="2"/>
  <c r="T1073" i="2"/>
  <c r="S1073" i="2"/>
  <c r="R1073" i="2"/>
  <c r="O1073" i="2"/>
  <c r="N1073" i="2"/>
  <c r="M1073" i="2"/>
  <c r="Z1072" i="2"/>
  <c r="U1072" i="2"/>
  <c r="T1072" i="2"/>
  <c r="S1072" i="2"/>
  <c r="R1072" i="2"/>
  <c r="O1072" i="2"/>
  <c r="N1072" i="2"/>
  <c r="M1072" i="2"/>
  <c r="Z1071" i="2"/>
  <c r="U1071" i="2"/>
  <c r="T1071" i="2"/>
  <c r="S1071" i="2"/>
  <c r="R1071" i="2"/>
  <c r="O1071" i="2"/>
  <c r="N1071" i="2"/>
  <c r="M1071" i="2"/>
  <c r="Z1070" i="2"/>
  <c r="U1070" i="2"/>
  <c r="T1070" i="2"/>
  <c r="S1070" i="2"/>
  <c r="R1070" i="2"/>
  <c r="O1070" i="2"/>
  <c r="N1070" i="2"/>
  <c r="M1070" i="2"/>
  <c r="Z1069" i="2"/>
  <c r="U1069" i="2"/>
  <c r="T1069" i="2"/>
  <c r="S1069" i="2"/>
  <c r="R1069" i="2"/>
  <c r="O1069" i="2"/>
  <c r="N1069" i="2"/>
  <c r="M1069" i="2"/>
  <c r="Z1068" i="2"/>
  <c r="U1068" i="2"/>
  <c r="T1068" i="2"/>
  <c r="S1068" i="2"/>
  <c r="R1068" i="2"/>
  <c r="O1068" i="2"/>
  <c r="N1068" i="2"/>
  <c r="M1068" i="2"/>
  <c r="Z1067" i="2"/>
  <c r="U1067" i="2"/>
  <c r="T1067" i="2"/>
  <c r="S1067" i="2"/>
  <c r="R1067" i="2"/>
  <c r="O1067" i="2"/>
  <c r="N1067" i="2"/>
  <c r="M1067" i="2"/>
  <c r="Z1066" i="2"/>
  <c r="U1066" i="2"/>
  <c r="T1066" i="2"/>
  <c r="S1066" i="2"/>
  <c r="R1066" i="2"/>
  <c r="O1066" i="2"/>
  <c r="N1066" i="2"/>
  <c r="M1066" i="2"/>
  <c r="Z1065" i="2"/>
  <c r="U1065" i="2"/>
  <c r="T1065" i="2"/>
  <c r="S1065" i="2"/>
  <c r="R1065" i="2"/>
  <c r="O1065" i="2"/>
  <c r="N1065" i="2"/>
  <c r="M1065" i="2"/>
  <c r="Z1064" i="2"/>
  <c r="U1064" i="2"/>
  <c r="T1064" i="2"/>
  <c r="S1064" i="2"/>
  <c r="R1064" i="2"/>
  <c r="O1064" i="2"/>
  <c r="N1064" i="2"/>
  <c r="M1064" i="2"/>
  <c r="Z1063" i="2"/>
  <c r="U1063" i="2"/>
  <c r="T1063" i="2"/>
  <c r="S1063" i="2"/>
  <c r="R1063" i="2"/>
  <c r="O1063" i="2"/>
  <c r="N1063" i="2"/>
  <c r="M1063" i="2"/>
  <c r="Z1062" i="2"/>
  <c r="U1062" i="2"/>
  <c r="T1062" i="2"/>
  <c r="S1062" i="2"/>
  <c r="R1062" i="2"/>
  <c r="O1062" i="2"/>
  <c r="N1062" i="2"/>
  <c r="M1062" i="2"/>
  <c r="Z1061" i="2"/>
  <c r="U1061" i="2"/>
  <c r="T1061" i="2"/>
  <c r="S1061" i="2"/>
  <c r="R1061" i="2"/>
  <c r="O1061" i="2"/>
  <c r="N1061" i="2"/>
  <c r="M1061" i="2"/>
  <c r="Z1060" i="2"/>
  <c r="U1060" i="2"/>
  <c r="T1060" i="2"/>
  <c r="S1060" i="2"/>
  <c r="R1060" i="2"/>
  <c r="O1060" i="2"/>
  <c r="N1060" i="2"/>
  <c r="M1060" i="2"/>
  <c r="Z1059" i="2"/>
  <c r="U1059" i="2"/>
  <c r="T1059" i="2"/>
  <c r="S1059" i="2"/>
  <c r="R1059" i="2"/>
  <c r="O1059" i="2"/>
  <c r="N1059" i="2"/>
  <c r="M1059" i="2"/>
  <c r="Z1058" i="2"/>
  <c r="U1058" i="2"/>
  <c r="T1058" i="2"/>
  <c r="S1058" i="2"/>
  <c r="R1058" i="2"/>
  <c r="O1058" i="2"/>
  <c r="N1058" i="2"/>
  <c r="M1058" i="2"/>
  <c r="Z1057" i="2"/>
  <c r="U1057" i="2"/>
  <c r="T1057" i="2"/>
  <c r="S1057" i="2"/>
  <c r="R1057" i="2"/>
  <c r="O1057" i="2"/>
  <c r="N1057" i="2"/>
  <c r="M1057" i="2"/>
  <c r="Z1056" i="2"/>
  <c r="U1056" i="2"/>
  <c r="T1056" i="2"/>
  <c r="S1056" i="2"/>
  <c r="R1056" i="2"/>
  <c r="O1056" i="2"/>
  <c r="N1056" i="2"/>
  <c r="M1056" i="2"/>
  <c r="Z1055" i="2"/>
  <c r="U1055" i="2"/>
  <c r="T1055" i="2"/>
  <c r="S1055" i="2"/>
  <c r="R1055" i="2"/>
  <c r="O1055" i="2"/>
  <c r="N1055" i="2"/>
  <c r="M1055" i="2"/>
  <c r="Z1054" i="2"/>
  <c r="U1054" i="2"/>
  <c r="T1054" i="2"/>
  <c r="S1054" i="2"/>
  <c r="R1054" i="2"/>
  <c r="O1054" i="2"/>
  <c r="N1054" i="2"/>
  <c r="M1054" i="2"/>
  <c r="Z1053" i="2"/>
  <c r="U1053" i="2"/>
  <c r="T1053" i="2"/>
  <c r="S1053" i="2"/>
  <c r="R1053" i="2"/>
  <c r="O1053" i="2"/>
  <c r="N1053" i="2"/>
  <c r="M1053" i="2"/>
  <c r="Z1052" i="2"/>
  <c r="U1052" i="2"/>
  <c r="T1052" i="2"/>
  <c r="S1052" i="2"/>
  <c r="R1052" i="2"/>
  <c r="O1052" i="2"/>
  <c r="N1052" i="2"/>
  <c r="M1052" i="2"/>
  <c r="Z1051" i="2"/>
  <c r="U1051" i="2"/>
  <c r="T1051" i="2"/>
  <c r="S1051" i="2"/>
  <c r="R1051" i="2"/>
  <c r="O1051" i="2"/>
  <c r="N1051" i="2"/>
  <c r="M1051" i="2"/>
  <c r="Z1050" i="2"/>
  <c r="U1050" i="2"/>
  <c r="T1050" i="2"/>
  <c r="S1050" i="2"/>
  <c r="R1050" i="2"/>
  <c r="O1050" i="2"/>
  <c r="N1050" i="2"/>
  <c r="M1050" i="2"/>
  <c r="Z1049" i="2"/>
  <c r="U1049" i="2"/>
  <c r="T1049" i="2"/>
  <c r="S1049" i="2"/>
  <c r="R1049" i="2"/>
  <c r="O1049" i="2"/>
  <c r="N1049" i="2"/>
  <c r="M1049" i="2"/>
  <c r="Z1048" i="2"/>
  <c r="U1048" i="2"/>
  <c r="T1048" i="2"/>
  <c r="S1048" i="2"/>
  <c r="R1048" i="2"/>
  <c r="O1048" i="2"/>
  <c r="N1048" i="2"/>
  <c r="M1048" i="2"/>
  <c r="Z1047" i="2"/>
  <c r="U1047" i="2"/>
  <c r="T1047" i="2"/>
  <c r="S1047" i="2"/>
  <c r="R1047" i="2"/>
  <c r="O1047" i="2"/>
  <c r="N1047" i="2"/>
  <c r="M1047" i="2"/>
  <c r="Z1046" i="2"/>
  <c r="U1046" i="2"/>
  <c r="T1046" i="2"/>
  <c r="S1046" i="2"/>
  <c r="R1046" i="2"/>
  <c r="O1046" i="2"/>
  <c r="N1046" i="2"/>
  <c r="M1046" i="2"/>
  <c r="Z1045" i="2"/>
  <c r="U1045" i="2"/>
  <c r="T1045" i="2"/>
  <c r="S1045" i="2"/>
  <c r="R1045" i="2"/>
  <c r="O1045" i="2"/>
  <c r="N1045" i="2"/>
  <c r="M1045" i="2"/>
  <c r="Z1044" i="2"/>
  <c r="U1044" i="2"/>
  <c r="T1044" i="2"/>
  <c r="S1044" i="2"/>
  <c r="R1044" i="2"/>
  <c r="O1044" i="2"/>
  <c r="N1044" i="2"/>
  <c r="M1044" i="2"/>
  <c r="Z1043" i="2"/>
  <c r="U1043" i="2"/>
  <c r="T1043" i="2"/>
  <c r="S1043" i="2"/>
  <c r="R1043" i="2"/>
  <c r="O1043" i="2"/>
  <c r="N1043" i="2"/>
  <c r="M1043" i="2"/>
  <c r="Z1042" i="2"/>
  <c r="U1042" i="2"/>
  <c r="T1042" i="2"/>
  <c r="S1042" i="2"/>
  <c r="R1042" i="2"/>
  <c r="O1042" i="2"/>
  <c r="N1042" i="2"/>
  <c r="M1042" i="2"/>
  <c r="Z1041" i="2"/>
  <c r="U1041" i="2"/>
  <c r="T1041" i="2"/>
  <c r="S1041" i="2"/>
  <c r="R1041" i="2"/>
  <c r="O1041" i="2"/>
  <c r="N1041" i="2"/>
  <c r="M1041" i="2"/>
  <c r="Z1040" i="2"/>
  <c r="U1040" i="2"/>
  <c r="T1040" i="2"/>
  <c r="S1040" i="2"/>
  <c r="R1040" i="2"/>
  <c r="O1040" i="2"/>
  <c r="N1040" i="2"/>
  <c r="M1040" i="2"/>
  <c r="Z1039" i="2"/>
  <c r="U1039" i="2"/>
  <c r="T1039" i="2"/>
  <c r="S1039" i="2"/>
  <c r="R1039" i="2"/>
  <c r="O1039" i="2"/>
  <c r="N1039" i="2"/>
  <c r="M1039" i="2"/>
  <c r="Z1038" i="2"/>
  <c r="U1038" i="2"/>
  <c r="T1038" i="2"/>
  <c r="S1038" i="2"/>
  <c r="R1038" i="2"/>
  <c r="O1038" i="2"/>
  <c r="N1038" i="2"/>
  <c r="M1038" i="2"/>
  <c r="Z1037" i="2"/>
  <c r="U1037" i="2"/>
  <c r="T1037" i="2"/>
  <c r="S1037" i="2"/>
  <c r="R1037" i="2"/>
  <c r="O1037" i="2"/>
  <c r="N1037" i="2"/>
  <c r="M1037" i="2"/>
  <c r="Z1036" i="2"/>
  <c r="U1036" i="2"/>
  <c r="T1036" i="2"/>
  <c r="S1036" i="2"/>
  <c r="R1036" i="2"/>
  <c r="O1036" i="2"/>
  <c r="N1036" i="2"/>
  <c r="M1036" i="2"/>
  <c r="Z1035" i="2"/>
  <c r="U1035" i="2"/>
  <c r="T1035" i="2"/>
  <c r="S1035" i="2"/>
  <c r="R1035" i="2"/>
  <c r="O1035" i="2"/>
  <c r="N1035" i="2"/>
  <c r="M1035" i="2"/>
  <c r="Z1034" i="2"/>
  <c r="U1034" i="2"/>
  <c r="T1034" i="2"/>
  <c r="S1034" i="2"/>
  <c r="R1034" i="2"/>
  <c r="O1034" i="2"/>
  <c r="N1034" i="2"/>
  <c r="M1034" i="2"/>
  <c r="Z1033" i="2"/>
  <c r="U1033" i="2"/>
  <c r="T1033" i="2"/>
  <c r="S1033" i="2"/>
  <c r="R1033" i="2"/>
  <c r="O1033" i="2"/>
  <c r="N1033" i="2"/>
  <c r="M1033" i="2"/>
  <c r="Z1032" i="2"/>
  <c r="U1032" i="2"/>
  <c r="T1032" i="2"/>
  <c r="S1032" i="2"/>
  <c r="R1032" i="2"/>
  <c r="O1032" i="2"/>
  <c r="N1032" i="2"/>
  <c r="M1032" i="2"/>
  <c r="Z1031" i="2"/>
  <c r="U1031" i="2"/>
  <c r="T1031" i="2"/>
  <c r="S1031" i="2"/>
  <c r="R1031" i="2"/>
  <c r="O1031" i="2"/>
  <c r="N1031" i="2"/>
  <c r="M1031" i="2"/>
  <c r="Z1030" i="2"/>
  <c r="U1030" i="2"/>
  <c r="T1030" i="2"/>
  <c r="S1030" i="2"/>
  <c r="R1030" i="2"/>
  <c r="O1030" i="2"/>
  <c r="N1030" i="2"/>
  <c r="M1030" i="2"/>
  <c r="Z1029" i="2"/>
  <c r="U1029" i="2"/>
  <c r="T1029" i="2"/>
  <c r="S1029" i="2"/>
  <c r="R1029" i="2"/>
  <c r="O1029" i="2"/>
  <c r="N1029" i="2"/>
  <c r="M1029" i="2"/>
  <c r="Z1028" i="2"/>
  <c r="U1028" i="2"/>
  <c r="T1028" i="2"/>
  <c r="S1028" i="2"/>
  <c r="R1028" i="2"/>
  <c r="O1028" i="2"/>
  <c r="N1028" i="2"/>
  <c r="M1028" i="2"/>
  <c r="Z1027" i="2"/>
  <c r="U1027" i="2"/>
  <c r="T1027" i="2"/>
  <c r="S1027" i="2"/>
  <c r="R1027" i="2"/>
  <c r="O1027" i="2"/>
  <c r="N1027" i="2"/>
  <c r="M1027" i="2"/>
  <c r="Z1026" i="2"/>
  <c r="U1026" i="2"/>
  <c r="T1026" i="2"/>
  <c r="S1026" i="2"/>
  <c r="R1026" i="2"/>
  <c r="O1026" i="2"/>
  <c r="N1026" i="2"/>
  <c r="M1026" i="2"/>
  <c r="Z1025" i="2"/>
  <c r="U1025" i="2"/>
  <c r="T1025" i="2"/>
  <c r="S1025" i="2"/>
  <c r="R1025" i="2"/>
  <c r="O1025" i="2"/>
  <c r="N1025" i="2"/>
  <c r="M1025" i="2"/>
  <c r="Z1024" i="2"/>
  <c r="U1024" i="2"/>
  <c r="T1024" i="2"/>
  <c r="S1024" i="2"/>
  <c r="R1024" i="2"/>
  <c r="O1024" i="2"/>
  <c r="N1024" i="2"/>
  <c r="M1024" i="2"/>
  <c r="Z1023" i="2"/>
  <c r="U1023" i="2"/>
  <c r="T1023" i="2"/>
  <c r="S1023" i="2"/>
  <c r="R1023" i="2"/>
  <c r="O1023" i="2"/>
  <c r="N1023" i="2"/>
  <c r="M1023" i="2"/>
  <c r="Z1022" i="2"/>
  <c r="U1022" i="2"/>
  <c r="T1022" i="2"/>
  <c r="S1022" i="2"/>
  <c r="R1022" i="2"/>
  <c r="O1022" i="2"/>
  <c r="N1022" i="2"/>
  <c r="M1022" i="2"/>
  <c r="Z1021" i="2"/>
  <c r="U1021" i="2"/>
  <c r="T1021" i="2"/>
  <c r="S1021" i="2"/>
  <c r="R1021" i="2"/>
  <c r="O1021" i="2"/>
  <c r="N1021" i="2"/>
  <c r="M1021" i="2"/>
  <c r="Z1020" i="2"/>
  <c r="U1020" i="2"/>
  <c r="T1020" i="2"/>
  <c r="S1020" i="2"/>
  <c r="R1020" i="2"/>
  <c r="O1020" i="2"/>
  <c r="N1020" i="2"/>
  <c r="M1020" i="2"/>
  <c r="Z1019" i="2"/>
  <c r="U1019" i="2"/>
  <c r="T1019" i="2"/>
  <c r="S1019" i="2"/>
  <c r="R1019" i="2"/>
  <c r="O1019" i="2"/>
  <c r="N1019" i="2"/>
  <c r="M1019" i="2"/>
  <c r="Z1018" i="2"/>
  <c r="U1018" i="2"/>
  <c r="T1018" i="2"/>
  <c r="S1018" i="2"/>
  <c r="R1018" i="2"/>
  <c r="O1018" i="2"/>
  <c r="N1018" i="2"/>
  <c r="M1018" i="2"/>
  <c r="Z1017" i="2"/>
  <c r="U1017" i="2"/>
  <c r="T1017" i="2"/>
  <c r="S1017" i="2"/>
  <c r="R1017" i="2"/>
  <c r="O1017" i="2"/>
  <c r="N1017" i="2"/>
  <c r="M1017" i="2"/>
  <c r="Z1016" i="2"/>
  <c r="U1016" i="2"/>
  <c r="T1016" i="2"/>
  <c r="S1016" i="2"/>
  <c r="R1016" i="2"/>
  <c r="O1016" i="2"/>
  <c r="N1016" i="2"/>
  <c r="M1016" i="2"/>
  <c r="Z1015" i="2"/>
  <c r="U1015" i="2"/>
  <c r="T1015" i="2"/>
  <c r="S1015" i="2"/>
  <c r="R1015" i="2"/>
  <c r="O1015" i="2"/>
  <c r="N1015" i="2"/>
  <c r="M1015" i="2"/>
  <c r="Z1014" i="2"/>
  <c r="U1014" i="2"/>
  <c r="T1014" i="2"/>
  <c r="S1014" i="2"/>
  <c r="R1014" i="2"/>
  <c r="O1014" i="2"/>
  <c r="N1014" i="2"/>
  <c r="M1014" i="2"/>
  <c r="Z1013" i="2"/>
  <c r="U1013" i="2"/>
  <c r="T1013" i="2"/>
  <c r="S1013" i="2"/>
  <c r="R1013" i="2"/>
  <c r="O1013" i="2"/>
  <c r="N1013" i="2"/>
  <c r="M1013" i="2"/>
  <c r="Z1012" i="2"/>
  <c r="U1012" i="2"/>
  <c r="T1012" i="2"/>
  <c r="S1012" i="2"/>
  <c r="R1012" i="2"/>
  <c r="O1012" i="2"/>
  <c r="N1012" i="2"/>
  <c r="M1012" i="2"/>
  <c r="Z1011" i="2"/>
  <c r="U1011" i="2"/>
  <c r="T1011" i="2"/>
  <c r="S1011" i="2"/>
  <c r="R1011" i="2"/>
  <c r="O1011" i="2"/>
  <c r="N1011" i="2"/>
  <c r="M1011" i="2"/>
  <c r="Z1010" i="2"/>
  <c r="U1010" i="2"/>
  <c r="T1010" i="2"/>
  <c r="S1010" i="2"/>
  <c r="R1010" i="2"/>
  <c r="O1010" i="2"/>
  <c r="N1010" i="2"/>
  <c r="M1010" i="2"/>
  <c r="Z1009" i="2"/>
  <c r="U1009" i="2"/>
  <c r="T1009" i="2"/>
  <c r="S1009" i="2"/>
  <c r="R1009" i="2"/>
  <c r="O1009" i="2"/>
  <c r="N1009" i="2"/>
  <c r="M1009" i="2"/>
  <c r="Z1008" i="2"/>
  <c r="U1008" i="2"/>
  <c r="T1008" i="2"/>
  <c r="S1008" i="2"/>
  <c r="R1008" i="2"/>
  <c r="O1008" i="2"/>
  <c r="N1008" i="2"/>
  <c r="M1008" i="2"/>
  <c r="Z1007" i="2"/>
  <c r="U1007" i="2"/>
  <c r="T1007" i="2"/>
  <c r="S1007" i="2"/>
  <c r="R1007" i="2"/>
  <c r="O1007" i="2"/>
  <c r="N1007" i="2"/>
  <c r="M1007" i="2"/>
  <c r="Z1006" i="2"/>
  <c r="U1006" i="2"/>
  <c r="T1006" i="2"/>
  <c r="S1006" i="2"/>
  <c r="R1006" i="2"/>
  <c r="O1006" i="2"/>
  <c r="N1006" i="2"/>
  <c r="M1006" i="2"/>
  <c r="Z1005" i="2"/>
  <c r="U1005" i="2"/>
  <c r="T1005" i="2"/>
  <c r="S1005" i="2"/>
  <c r="R1005" i="2"/>
  <c r="O1005" i="2"/>
  <c r="N1005" i="2"/>
  <c r="M1005" i="2"/>
  <c r="Z1004" i="2"/>
  <c r="U1004" i="2"/>
  <c r="T1004" i="2"/>
  <c r="S1004" i="2"/>
  <c r="R1004" i="2"/>
  <c r="O1004" i="2"/>
  <c r="N1004" i="2"/>
  <c r="M1004" i="2"/>
  <c r="Z1003" i="2"/>
  <c r="U1003" i="2"/>
  <c r="T1003" i="2"/>
  <c r="S1003" i="2"/>
  <c r="R1003" i="2"/>
  <c r="O1003" i="2"/>
  <c r="N1003" i="2"/>
  <c r="M1003" i="2"/>
  <c r="Z1002" i="2"/>
  <c r="U1002" i="2"/>
  <c r="T1002" i="2"/>
  <c r="S1002" i="2"/>
  <c r="R1002" i="2"/>
  <c r="O1002" i="2"/>
  <c r="N1002" i="2"/>
  <c r="M1002" i="2"/>
  <c r="Z1001" i="2"/>
  <c r="U1001" i="2"/>
  <c r="T1001" i="2"/>
  <c r="S1001" i="2"/>
  <c r="R1001" i="2"/>
  <c r="O1001" i="2"/>
  <c r="N1001" i="2"/>
  <c r="M1001" i="2"/>
  <c r="Z1000" i="2"/>
  <c r="U1000" i="2"/>
  <c r="T1000" i="2"/>
  <c r="S1000" i="2"/>
  <c r="R1000" i="2"/>
  <c r="O1000" i="2"/>
  <c r="N1000" i="2"/>
  <c r="M1000" i="2"/>
  <c r="Z999" i="2"/>
  <c r="U999" i="2"/>
  <c r="T999" i="2"/>
  <c r="S999" i="2"/>
  <c r="R999" i="2"/>
  <c r="O999" i="2"/>
  <c r="N999" i="2"/>
  <c r="M999" i="2"/>
  <c r="Z998" i="2"/>
  <c r="U998" i="2"/>
  <c r="T998" i="2"/>
  <c r="S998" i="2"/>
  <c r="R998" i="2"/>
  <c r="O998" i="2"/>
  <c r="N998" i="2"/>
  <c r="M998" i="2"/>
  <c r="Z997" i="2"/>
  <c r="U997" i="2"/>
  <c r="T997" i="2"/>
  <c r="S997" i="2"/>
  <c r="R997" i="2"/>
  <c r="O997" i="2"/>
  <c r="N997" i="2"/>
  <c r="M997" i="2"/>
  <c r="Z996" i="2"/>
  <c r="U996" i="2"/>
  <c r="T996" i="2"/>
  <c r="S996" i="2"/>
  <c r="R996" i="2"/>
  <c r="O996" i="2"/>
  <c r="N996" i="2"/>
  <c r="M996" i="2"/>
  <c r="Z995" i="2"/>
  <c r="U995" i="2"/>
  <c r="T995" i="2"/>
  <c r="S995" i="2"/>
  <c r="R995" i="2"/>
  <c r="O995" i="2"/>
  <c r="N995" i="2"/>
  <c r="M995" i="2"/>
  <c r="Z994" i="2"/>
  <c r="U994" i="2"/>
  <c r="T994" i="2"/>
  <c r="S994" i="2"/>
  <c r="R994" i="2"/>
  <c r="O994" i="2"/>
  <c r="N994" i="2"/>
  <c r="M994" i="2"/>
  <c r="Z993" i="2"/>
  <c r="U993" i="2"/>
  <c r="T993" i="2"/>
  <c r="S993" i="2"/>
  <c r="R993" i="2"/>
  <c r="O993" i="2"/>
  <c r="N993" i="2"/>
  <c r="M993" i="2"/>
  <c r="Z992" i="2"/>
  <c r="U992" i="2"/>
  <c r="T992" i="2"/>
  <c r="S992" i="2"/>
  <c r="R992" i="2"/>
  <c r="O992" i="2"/>
  <c r="N992" i="2"/>
  <c r="M992" i="2"/>
  <c r="Z991" i="2"/>
  <c r="U991" i="2"/>
  <c r="T991" i="2"/>
  <c r="S991" i="2"/>
  <c r="R991" i="2"/>
  <c r="O991" i="2"/>
  <c r="N991" i="2"/>
  <c r="M991" i="2"/>
  <c r="Z990" i="2"/>
  <c r="U990" i="2"/>
  <c r="T990" i="2"/>
  <c r="S990" i="2"/>
  <c r="R990" i="2"/>
  <c r="O990" i="2"/>
  <c r="N990" i="2"/>
  <c r="M990" i="2"/>
  <c r="Z989" i="2"/>
  <c r="U989" i="2"/>
  <c r="T989" i="2"/>
  <c r="S989" i="2"/>
  <c r="R989" i="2"/>
  <c r="O989" i="2"/>
  <c r="N989" i="2"/>
  <c r="M989" i="2"/>
  <c r="Z988" i="2"/>
  <c r="U988" i="2"/>
  <c r="T988" i="2"/>
  <c r="S988" i="2"/>
  <c r="R988" i="2"/>
  <c r="O988" i="2"/>
  <c r="N988" i="2"/>
  <c r="M988" i="2"/>
  <c r="Z987" i="2"/>
  <c r="U987" i="2"/>
  <c r="T987" i="2"/>
  <c r="S987" i="2"/>
  <c r="R987" i="2"/>
  <c r="O987" i="2"/>
  <c r="N987" i="2"/>
  <c r="M987" i="2"/>
  <c r="Z986" i="2"/>
  <c r="U986" i="2"/>
  <c r="T986" i="2"/>
  <c r="S986" i="2"/>
  <c r="R986" i="2"/>
  <c r="O986" i="2"/>
  <c r="N986" i="2"/>
  <c r="M986" i="2"/>
  <c r="Z985" i="2"/>
  <c r="U985" i="2"/>
  <c r="T985" i="2"/>
  <c r="S985" i="2"/>
  <c r="R985" i="2"/>
  <c r="O985" i="2"/>
  <c r="N985" i="2"/>
  <c r="M985" i="2"/>
  <c r="Z984" i="2"/>
  <c r="U984" i="2"/>
  <c r="T984" i="2"/>
  <c r="S984" i="2"/>
  <c r="R984" i="2"/>
  <c r="O984" i="2"/>
  <c r="N984" i="2"/>
  <c r="M984" i="2"/>
  <c r="Z983" i="2"/>
  <c r="U983" i="2"/>
  <c r="T983" i="2"/>
  <c r="S983" i="2"/>
  <c r="R983" i="2"/>
  <c r="O983" i="2"/>
  <c r="N983" i="2"/>
  <c r="M983" i="2"/>
  <c r="Z982" i="2"/>
  <c r="U982" i="2"/>
  <c r="T982" i="2"/>
  <c r="S982" i="2"/>
  <c r="R982" i="2"/>
  <c r="O982" i="2"/>
  <c r="N982" i="2"/>
  <c r="M982" i="2"/>
  <c r="Z981" i="2"/>
  <c r="U981" i="2"/>
  <c r="T981" i="2"/>
  <c r="S981" i="2"/>
  <c r="R981" i="2"/>
  <c r="O981" i="2"/>
  <c r="N981" i="2"/>
  <c r="M981" i="2"/>
  <c r="Z980" i="2"/>
  <c r="U980" i="2"/>
  <c r="T980" i="2"/>
  <c r="S980" i="2"/>
  <c r="R980" i="2"/>
  <c r="O980" i="2"/>
  <c r="N980" i="2"/>
  <c r="M980" i="2"/>
  <c r="Z979" i="2"/>
  <c r="U979" i="2"/>
  <c r="T979" i="2"/>
  <c r="S979" i="2"/>
  <c r="R979" i="2"/>
  <c r="O979" i="2"/>
  <c r="N979" i="2"/>
  <c r="M979" i="2"/>
  <c r="Z978" i="2"/>
  <c r="U978" i="2"/>
  <c r="T978" i="2"/>
  <c r="S978" i="2"/>
  <c r="R978" i="2"/>
  <c r="O978" i="2"/>
  <c r="N978" i="2"/>
  <c r="M978" i="2"/>
  <c r="Z977" i="2"/>
  <c r="U977" i="2"/>
  <c r="T977" i="2"/>
  <c r="S977" i="2"/>
  <c r="R977" i="2"/>
  <c r="O977" i="2"/>
  <c r="N977" i="2"/>
  <c r="M977" i="2"/>
  <c r="Z976" i="2"/>
  <c r="U976" i="2"/>
  <c r="T976" i="2"/>
  <c r="S976" i="2"/>
  <c r="R976" i="2"/>
  <c r="O976" i="2"/>
  <c r="N976" i="2"/>
  <c r="M976" i="2"/>
  <c r="Z975" i="2"/>
  <c r="U975" i="2"/>
  <c r="T975" i="2"/>
  <c r="S975" i="2"/>
  <c r="R975" i="2"/>
  <c r="O975" i="2"/>
  <c r="N975" i="2"/>
  <c r="M975" i="2"/>
  <c r="Z974" i="2"/>
  <c r="U974" i="2"/>
  <c r="T974" i="2"/>
  <c r="S974" i="2"/>
  <c r="R974" i="2"/>
  <c r="O974" i="2"/>
  <c r="N974" i="2"/>
  <c r="M974" i="2"/>
  <c r="Z973" i="2"/>
  <c r="U973" i="2"/>
  <c r="T973" i="2"/>
  <c r="S973" i="2"/>
  <c r="R973" i="2"/>
  <c r="O973" i="2"/>
  <c r="N973" i="2"/>
  <c r="M973" i="2"/>
  <c r="Z972" i="2"/>
  <c r="U972" i="2"/>
  <c r="T972" i="2"/>
  <c r="S972" i="2"/>
  <c r="R972" i="2"/>
  <c r="O972" i="2"/>
  <c r="N972" i="2"/>
  <c r="M972" i="2"/>
  <c r="Z971" i="2"/>
  <c r="U971" i="2"/>
  <c r="T971" i="2"/>
  <c r="S971" i="2"/>
  <c r="R971" i="2"/>
  <c r="O971" i="2"/>
  <c r="N971" i="2"/>
  <c r="M971" i="2"/>
  <c r="Z970" i="2"/>
  <c r="U970" i="2"/>
  <c r="T970" i="2"/>
  <c r="S970" i="2"/>
  <c r="R970" i="2"/>
  <c r="O970" i="2"/>
  <c r="N970" i="2"/>
  <c r="M970" i="2"/>
  <c r="Z969" i="2"/>
  <c r="U969" i="2"/>
  <c r="T969" i="2"/>
  <c r="S969" i="2"/>
  <c r="R969" i="2"/>
  <c r="O969" i="2"/>
  <c r="N969" i="2"/>
  <c r="M969" i="2"/>
  <c r="Z968" i="2"/>
  <c r="U968" i="2"/>
  <c r="T968" i="2"/>
  <c r="S968" i="2"/>
  <c r="R968" i="2"/>
  <c r="O968" i="2"/>
  <c r="N968" i="2"/>
  <c r="M968" i="2"/>
  <c r="Z967" i="2"/>
  <c r="U967" i="2"/>
  <c r="T967" i="2"/>
  <c r="S967" i="2"/>
  <c r="R967" i="2"/>
  <c r="O967" i="2"/>
  <c r="N967" i="2"/>
  <c r="M967" i="2"/>
  <c r="Z966" i="2"/>
  <c r="U966" i="2"/>
  <c r="T966" i="2"/>
  <c r="S966" i="2"/>
  <c r="R966" i="2"/>
  <c r="O966" i="2"/>
  <c r="N966" i="2"/>
  <c r="M966" i="2"/>
  <c r="Z965" i="2"/>
  <c r="U965" i="2"/>
  <c r="T965" i="2"/>
  <c r="S965" i="2"/>
  <c r="R965" i="2"/>
  <c r="O965" i="2"/>
  <c r="N965" i="2"/>
  <c r="M965" i="2"/>
  <c r="Z964" i="2"/>
  <c r="U964" i="2"/>
  <c r="T964" i="2"/>
  <c r="S964" i="2"/>
  <c r="R964" i="2"/>
  <c r="O964" i="2"/>
  <c r="N964" i="2"/>
  <c r="M964" i="2"/>
  <c r="Z963" i="2"/>
  <c r="U963" i="2"/>
  <c r="T963" i="2"/>
  <c r="S963" i="2"/>
  <c r="R963" i="2"/>
  <c r="O963" i="2"/>
  <c r="N963" i="2"/>
  <c r="M963" i="2"/>
  <c r="Z962" i="2"/>
  <c r="U962" i="2"/>
  <c r="T962" i="2"/>
  <c r="S962" i="2"/>
  <c r="R962" i="2"/>
  <c r="O962" i="2"/>
  <c r="N962" i="2"/>
  <c r="M962" i="2"/>
  <c r="Z961" i="2"/>
  <c r="U961" i="2"/>
  <c r="T961" i="2"/>
  <c r="S961" i="2"/>
  <c r="R961" i="2"/>
  <c r="O961" i="2"/>
  <c r="N961" i="2"/>
  <c r="M961" i="2"/>
  <c r="Z960" i="2"/>
  <c r="U960" i="2"/>
  <c r="T960" i="2"/>
  <c r="S960" i="2"/>
  <c r="R960" i="2"/>
  <c r="O960" i="2"/>
  <c r="N960" i="2"/>
  <c r="M960" i="2"/>
  <c r="Z959" i="2"/>
  <c r="U959" i="2"/>
  <c r="T959" i="2"/>
  <c r="S959" i="2"/>
  <c r="R959" i="2"/>
  <c r="O959" i="2"/>
  <c r="N959" i="2"/>
  <c r="M959" i="2"/>
  <c r="Z958" i="2"/>
  <c r="U958" i="2"/>
  <c r="T958" i="2"/>
  <c r="S958" i="2"/>
  <c r="R958" i="2"/>
  <c r="O958" i="2"/>
  <c r="N958" i="2"/>
  <c r="M958" i="2"/>
  <c r="Z957" i="2"/>
  <c r="U957" i="2"/>
  <c r="T957" i="2"/>
  <c r="S957" i="2"/>
  <c r="R957" i="2"/>
  <c r="O957" i="2"/>
  <c r="N957" i="2"/>
  <c r="M957" i="2"/>
  <c r="Z956" i="2"/>
  <c r="U956" i="2"/>
  <c r="T956" i="2"/>
  <c r="S956" i="2"/>
  <c r="R956" i="2"/>
  <c r="O956" i="2"/>
  <c r="N956" i="2"/>
  <c r="M956" i="2"/>
  <c r="Z955" i="2"/>
  <c r="U955" i="2"/>
  <c r="T955" i="2"/>
  <c r="S955" i="2"/>
  <c r="R955" i="2"/>
  <c r="O955" i="2"/>
  <c r="N955" i="2"/>
  <c r="M955" i="2"/>
  <c r="Z954" i="2"/>
  <c r="U954" i="2"/>
  <c r="T954" i="2"/>
  <c r="S954" i="2"/>
  <c r="R954" i="2"/>
  <c r="O954" i="2"/>
  <c r="N954" i="2"/>
  <c r="M954" i="2"/>
  <c r="Z953" i="2"/>
  <c r="U953" i="2"/>
  <c r="T953" i="2"/>
  <c r="S953" i="2"/>
  <c r="R953" i="2"/>
  <c r="O953" i="2"/>
  <c r="N953" i="2"/>
  <c r="M953" i="2"/>
  <c r="Z952" i="2"/>
  <c r="U952" i="2"/>
  <c r="T952" i="2"/>
  <c r="S952" i="2"/>
  <c r="R952" i="2"/>
  <c r="O952" i="2"/>
  <c r="N952" i="2"/>
  <c r="M952" i="2"/>
  <c r="Z951" i="2"/>
  <c r="U951" i="2"/>
  <c r="T951" i="2"/>
  <c r="S951" i="2"/>
  <c r="R951" i="2"/>
  <c r="O951" i="2"/>
  <c r="N951" i="2"/>
  <c r="M951" i="2"/>
  <c r="Z950" i="2"/>
  <c r="U950" i="2"/>
  <c r="T950" i="2"/>
  <c r="S950" i="2"/>
  <c r="R950" i="2"/>
  <c r="O950" i="2"/>
  <c r="N950" i="2"/>
  <c r="M950" i="2"/>
  <c r="Z949" i="2"/>
  <c r="U949" i="2"/>
  <c r="T949" i="2"/>
  <c r="S949" i="2"/>
  <c r="R949" i="2"/>
  <c r="O949" i="2"/>
  <c r="N949" i="2"/>
  <c r="M949" i="2"/>
  <c r="Z948" i="2"/>
  <c r="U948" i="2"/>
  <c r="T948" i="2"/>
  <c r="S948" i="2"/>
  <c r="R948" i="2"/>
  <c r="O948" i="2"/>
  <c r="N948" i="2"/>
  <c r="M948" i="2"/>
  <c r="Z947" i="2"/>
  <c r="U947" i="2"/>
  <c r="T947" i="2"/>
  <c r="S947" i="2"/>
  <c r="R947" i="2"/>
  <c r="O947" i="2"/>
  <c r="N947" i="2"/>
  <c r="M947" i="2"/>
  <c r="Z946" i="2"/>
  <c r="U946" i="2"/>
  <c r="T946" i="2"/>
  <c r="S946" i="2"/>
  <c r="R946" i="2"/>
  <c r="O946" i="2"/>
  <c r="N946" i="2"/>
  <c r="M946" i="2"/>
  <c r="Z945" i="2"/>
  <c r="U945" i="2"/>
  <c r="T945" i="2"/>
  <c r="S945" i="2"/>
  <c r="R945" i="2"/>
  <c r="O945" i="2"/>
  <c r="N945" i="2"/>
  <c r="M945" i="2"/>
  <c r="Z944" i="2"/>
  <c r="U944" i="2"/>
  <c r="T944" i="2"/>
  <c r="S944" i="2"/>
  <c r="R944" i="2"/>
  <c r="O944" i="2"/>
  <c r="N944" i="2"/>
  <c r="M944" i="2"/>
  <c r="Z943" i="2"/>
  <c r="U943" i="2"/>
  <c r="T943" i="2"/>
  <c r="S943" i="2"/>
  <c r="R943" i="2"/>
  <c r="O943" i="2"/>
  <c r="N943" i="2"/>
  <c r="M943" i="2"/>
  <c r="Z942" i="2"/>
  <c r="U942" i="2"/>
  <c r="T942" i="2"/>
  <c r="S942" i="2"/>
  <c r="R942" i="2"/>
  <c r="O942" i="2"/>
  <c r="N942" i="2"/>
  <c r="M942" i="2"/>
  <c r="Z941" i="2"/>
  <c r="U941" i="2"/>
  <c r="T941" i="2"/>
  <c r="S941" i="2"/>
  <c r="R941" i="2"/>
  <c r="O941" i="2"/>
  <c r="N941" i="2"/>
  <c r="M941" i="2"/>
  <c r="Z940" i="2"/>
  <c r="U940" i="2"/>
  <c r="T940" i="2"/>
  <c r="S940" i="2"/>
  <c r="R940" i="2"/>
  <c r="O940" i="2"/>
  <c r="N940" i="2"/>
  <c r="M940" i="2"/>
  <c r="Z939" i="2"/>
  <c r="U939" i="2"/>
  <c r="T939" i="2"/>
  <c r="S939" i="2"/>
  <c r="R939" i="2"/>
  <c r="O939" i="2"/>
  <c r="N939" i="2"/>
  <c r="M939" i="2"/>
  <c r="Z938" i="2"/>
  <c r="U938" i="2"/>
  <c r="T938" i="2"/>
  <c r="S938" i="2"/>
  <c r="R938" i="2"/>
  <c r="O938" i="2"/>
  <c r="N938" i="2"/>
  <c r="M938" i="2"/>
  <c r="Z937" i="2"/>
  <c r="U937" i="2"/>
  <c r="T937" i="2"/>
  <c r="S937" i="2"/>
  <c r="R937" i="2"/>
  <c r="O937" i="2"/>
  <c r="N937" i="2"/>
  <c r="M937" i="2"/>
  <c r="Z936" i="2"/>
  <c r="U936" i="2"/>
  <c r="T936" i="2"/>
  <c r="S936" i="2"/>
  <c r="R936" i="2"/>
  <c r="O936" i="2"/>
  <c r="N936" i="2"/>
  <c r="M936" i="2"/>
  <c r="Z935" i="2"/>
  <c r="U935" i="2"/>
  <c r="T935" i="2"/>
  <c r="S935" i="2"/>
  <c r="R935" i="2"/>
  <c r="O935" i="2"/>
  <c r="N935" i="2"/>
  <c r="M935" i="2"/>
  <c r="Z934" i="2"/>
  <c r="U934" i="2"/>
  <c r="T934" i="2"/>
  <c r="S934" i="2"/>
  <c r="R934" i="2"/>
  <c r="O934" i="2"/>
  <c r="N934" i="2"/>
  <c r="M934" i="2"/>
  <c r="Z933" i="2"/>
  <c r="U933" i="2"/>
  <c r="T933" i="2"/>
  <c r="S933" i="2"/>
  <c r="R933" i="2"/>
  <c r="O933" i="2"/>
  <c r="N933" i="2"/>
  <c r="M933" i="2"/>
  <c r="Z932" i="2"/>
  <c r="U932" i="2"/>
  <c r="T932" i="2"/>
  <c r="S932" i="2"/>
  <c r="R932" i="2"/>
  <c r="O932" i="2"/>
  <c r="N932" i="2"/>
  <c r="M932" i="2"/>
  <c r="Z931" i="2"/>
  <c r="U931" i="2"/>
  <c r="T931" i="2"/>
  <c r="S931" i="2"/>
  <c r="R931" i="2"/>
  <c r="O931" i="2"/>
  <c r="N931" i="2"/>
  <c r="M931" i="2"/>
  <c r="Z930" i="2"/>
  <c r="U930" i="2"/>
  <c r="T930" i="2"/>
  <c r="S930" i="2"/>
  <c r="R930" i="2"/>
  <c r="O930" i="2"/>
  <c r="N930" i="2"/>
  <c r="M930" i="2"/>
  <c r="Z929" i="2"/>
  <c r="U929" i="2"/>
  <c r="T929" i="2"/>
  <c r="S929" i="2"/>
  <c r="R929" i="2"/>
  <c r="O929" i="2"/>
  <c r="N929" i="2"/>
  <c r="M929" i="2"/>
  <c r="Z928" i="2"/>
  <c r="U928" i="2"/>
  <c r="T928" i="2"/>
  <c r="S928" i="2"/>
  <c r="R928" i="2"/>
  <c r="O928" i="2"/>
  <c r="N928" i="2"/>
  <c r="M928" i="2"/>
  <c r="Z927" i="2"/>
  <c r="U927" i="2"/>
  <c r="T927" i="2"/>
  <c r="S927" i="2"/>
  <c r="R927" i="2"/>
  <c r="O927" i="2"/>
  <c r="N927" i="2"/>
  <c r="M927" i="2"/>
  <c r="Z926" i="2"/>
  <c r="U926" i="2"/>
  <c r="T926" i="2"/>
  <c r="S926" i="2"/>
  <c r="R926" i="2"/>
  <c r="O926" i="2"/>
  <c r="N926" i="2"/>
  <c r="M926" i="2"/>
  <c r="Z925" i="2"/>
  <c r="U925" i="2"/>
  <c r="T925" i="2"/>
  <c r="S925" i="2"/>
  <c r="R925" i="2"/>
  <c r="O925" i="2"/>
  <c r="N925" i="2"/>
  <c r="M925" i="2"/>
  <c r="Z924" i="2"/>
  <c r="U924" i="2"/>
  <c r="T924" i="2"/>
  <c r="S924" i="2"/>
  <c r="R924" i="2"/>
  <c r="O924" i="2"/>
  <c r="N924" i="2"/>
  <c r="M924" i="2"/>
  <c r="Z923" i="2"/>
  <c r="U923" i="2"/>
  <c r="T923" i="2"/>
  <c r="S923" i="2"/>
  <c r="R923" i="2"/>
  <c r="O923" i="2"/>
  <c r="N923" i="2"/>
  <c r="M923" i="2"/>
  <c r="Z922" i="2"/>
  <c r="U922" i="2"/>
  <c r="T922" i="2"/>
  <c r="S922" i="2"/>
  <c r="R922" i="2"/>
  <c r="O922" i="2"/>
  <c r="N922" i="2"/>
  <c r="M922" i="2"/>
  <c r="Z921" i="2"/>
  <c r="U921" i="2"/>
  <c r="T921" i="2"/>
  <c r="S921" i="2"/>
  <c r="R921" i="2"/>
  <c r="O921" i="2"/>
  <c r="N921" i="2"/>
  <c r="M921" i="2"/>
  <c r="Z920" i="2"/>
  <c r="U920" i="2"/>
  <c r="T920" i="2"/>
  <c r="S920" i="2"/>
  <c r="R920" i="2"/>
  <c r="O920" i="2"/>
  <c r="N920" i="2"/>
  <c r="M920" i="2"/>
  <c r="Z919" i="2"/>
  <c r="U919" i="2"/>
  <c r="T919" i="2"/>
  <c r="S919" i="2"/>
  <c r="R919" i="2"/>
  <c r="O919" i="2"/>
  <c r="N919" i="2"/>
  <c r="M919" i="2"/>
  <c r="Z918" i="2"/>
  <c r="U918" i="2"/>
  <c r="T918" i="2"/>
  <c r="S918" i="2"/>
  <c r="R918" i="2"/>
  <c r="O918" i="2"/>
  <c r="N918" i="2"/>
  <c r="M918" i="2"/>
  <c r="Z917" i="2"/>
  <c r="U917" i="2"/>
  <c r="T917" i="2"/>
  <c r="S917" i="2"/>
  <c r="R917" i="2"/>
  <c r="O917" i="2"/>
  <c r="N917" i="2"/>
  <c r="M917" i="2"/>
  <c r="Z916" i="2"/>
  <c r="U916" i="2"/>
  <c r="T916" i="2"/>
  <c r="S916" i="2"/>
  <c r="R916" i="2"/>
  <c r="O916" i="2"/>
  <c r="N916" i="2"/>
  <c r="M916" i="2"/>
  <c r="Z915" i="2"/>
  <c r="U915" i="2"/>
  <c r="T915" i="2"/>
  <c r="S915" i="2"/>
  <c r="R915" i="2"/>
  <c r="O915" i="2"/>
  <c r="N915" i="2"/>
  <c r="M915" i="2"/>
  <c r="Z914" i="2"/>
  <c r="U914" i="2"/>
  <c r="T914" i="2"/>
  <c r="S914" i="2"/>
  <c r="R914" i="2"/>
  <c r="O914" i="2"/>
  <c r="N914" i="2"/>
  <c r="M914" i="2"/>
  <c r="Z913" i="2"/>
  <c r="U913" i="2"/>
  <c r="T913" i="2"/>
  <c r="S913" i="2"/>
  <c r="R913" i="2"/>
  <c r="O913" i="2"/>
  <c r="N913" i="2"/>
  <c r="M913" i="2"/>
  <c r="Z912" i="2"/>
  <c r="U912" i="2"/>
  <c r="T912" i="2"/>
  <c r="S912" i="2"/>
  <c r="R912" i="2"/>
  <c r="O912" i="2"/>
  <c r="N912" i="2"/>
  <c r="M912" i="2"/>
  <c r="Z911" i="2"/>
  <c r="U911" i="2"/>
  <c r="T911" i="2"/>
  <c r="S911" i="2"/>
  <c r="R911" i="2"/>
  <c r="O911" i="2"/>
  <c r="N911" i="2"/>
  <c r="M911" i="2"/>
  <c r="Z910" i="2"/>
  <c r="U910" i="2"/>
  <c r="T910" i="2"/>
  <c r="S910" i="2"/>
  <c r="R910" i="2"/>
  <c r="O910" i="2"/>
  <c r="N910" i="2"/>
  <c r="M910" i="2"/>
  <c r="Z909" i="2"/>
  <c r="U909" i="2"/>
  <c r="T909" i="2"/>
  <c r="S909" i="2"/>
  <c r="R909" i="2"/>
  <c r="O909" i="2"/>
  <c r="N909" i="2"/>
  <c r="M909" i="2"/>
  <c r="Z908" i="2"/>
  <c r="U908" i="2"/>
  <c r="T908" i="2"/>
  <c r="S908" i="2"/>
  <c r="R908" i="2"/>
  <c r="O908" i="2"/>
  <c r="N908" i="2"/>
  <c r="M908" i="2"/>
  <c r="Z907" i="2"/>
  <c r="U907" i="2"/>
  <c r="T907" i="2"/>
  <c r="S907" i="2"/>
  <c r="R907" i="2"/>
  <c r="O907" i="2"/>
  <c r="N907" i="2"/>
  <c r="M907" i="2"/>
  <c r="Z906" i="2"/>
  <c r="U906" i="2"/>
  <c r="T906" i="2"/>
  <c r="S906" i="2"/>
  <c r="R906" i="2"/>
  <c r="O906" i="2"/>
  <c r="N906" i="2"/>
  <c r="M906" i="2"/>
  <c r="Z905" i="2"/>
  <c r="U905" i="2"/>
  <c r="T905" i="2"/>
  <c r="S905" i="2"/>
  <c r="R905" i="2"/>
  <c r="O905" i="2"/>
  <c r="N905" i="2"/>
  <c r="M905" i="2"/>
  <c r="Z904" i="2"/>
  <c r="U904" i="2"/>
  <c r="T904" i="2"/>
  <c r="S904" i="2"/>
  <c r="R904" i="2"/>
  <c r="O904" i="2"/>
  <c r="N904" i="2"/>
  <c r="M904" i="2"/>
  <c r="Z903" i="2"/>
  <c r="U903" i="2"/>
  <c r="T903" i="2"/>
  <c r="S903" i="2"/>
  <c r="R903" i="2"/>
  <c r="O903" i="2"/>
  <c r="N903" i="2"/>
  <c r="M903" i="2"/>
  <c r="Z902" i="2"/>
  <c r="U902" i="2"/>
  <c r="T902" i="2"/>
  <c r="S902" i="2"/>
  <c r="R902" i="2"/>
  <c r="O902" i="2"/>
  <c r="N902" i="2"/>
  <c r="M902" i="2"/>
  <c r="Z901" i="2"/>
  <c r="U901" i="2"/>
  <c r="T901" i="2"/>
  <c r="S901" i="2"/>
  <c r="R901" i="2"/>
  <c r="O901" i="2"/>
  <c r="N901" i="2"/>
  <c r="M901" i="2"/>
  <c r="Z900" i="2"/>
  <c r="U900" i="2"/>
  <c r="T900" i="2"/>
  <c r="S900" i="2"/>
  <c r="R900" i="2"/>
  <c r="O900" i="2"/>
  <c r="N900" i="2"/>
  <c r="M900" i="2"/>
  <c r="Z899" i="2"/>
  <c r="U899" i="2"/>
  <c r="T899" i="2"/>
  <c r="S899" i="2"/>
  <c r="R899" i="2"/>
  <c r="O899" i="2"/>
  <c r="N899" i="2"/>
  <c r="M899" i="2"/>
  <c r="Z898" i="2"/>
  <c r="U898" i="2"/>
  <c r="T898" i="2"/>
  <c r="S898" i="2"/>
  <c r="R898" i="2"/>
  <c r="O898" i="2"/>
  <c r="N898" i="2"/>
  <c r="M898" i="2"/>
  <c r="Z897" i="2"/>
  <c r="U897" i="2"/>
  <c r="T897" i="2"/>
  <c r="S897" i="2"/>
  <c r="R897" i="2"/>
  <c r="O897" i="2"/>
  <c r="N897" i="2"/>
  <c r="M897" i="2"/>
  <c r="Z896" i="2"/>
  <c r="U896" i="2"/>
  <c r="T896" i="2"/>
  <c r="S896" i="2"/>
  <c r="R896" i="2"/>
  <c r="O896" i="2"/>
  <c r="N896" i="2"/>
  <c r="M896" i="2"/>
  <c r="Z895" i="2"/>
  <c r="U895" i="2"/>
  <c r="T895" i="2"/>
  <c r="S895" i="2"/>
  <c r="R895" i="2"/>
  <c r="O895" i="2"/>
  <c r="N895" i="2"/>
  <c r="M895" i="2"/>
  <c r="Z894" i="2"/>
  <c r="U894" i="2"/>
  <c r="T894" i="2"/>
  <c r="S894" i="2"/>
  <c r="R894" i="2"/>
  <c r="O894" i="2"/>
  <c r="N894" i="2"/>
  <c r="M894" i="2"/>
  <c r="Z893" i="2"/>
  <c r="U893" i="2"/>
  <c r="T893" i="2"/>
  <c r="S893" i="2"/>
  <c r="R893" i="2"/>
  <c r="O893" i="2"/>
  <c r="N893" i="2"/>
  <c r="M893" i="2"/>
  <c r="Z892" i="2"/>
  <c r="U892" i="2"/>
  <c r="T892" i="2"/>
  <c r="S892" i="2"/>
  <c r="R892" i="2"/>
  <c r="O892" i="2"/>
  <c r="N892" i="2"/>
  <c r="M892" i="2"/>
  <c r="Z891" i="2"/>
  <c r="U891" i="2"/>
  <c r="T891" i="2"/>
  <c r="S891" i="2"/>
  <c r="R891" i="2"/>
  <c r="O891" i="2"/>
  <c r="N891" i="2"/>
  <c r="M891" i="2"/>
  <c r="Z890" i="2"/>
  <c r="U890" i="2"/>
  <c r="T890" i="2"/>
  <c r="S890" i="2"/>
  <c r="R890" i="2"/>
  <c r="O890" i="2"/>
  <c r="N890" i="2"/>
  <c r="M890" i="2"/>
  <c r="Z889" i="2"/>
  <c r="U889" i="2"/>
  <c r="T889" i="2"/>
  <c r="S889" i="2"/>
  <c r="R889" i="2"/>
  <c r="O889" i="2"/>
  <c r="N889" i="2"/>
  <c r="M889" i="2"/>
  <c r="Z888" i="2"/>
  <c r="U888" i="2"/>
  <c r="T888" i="2"/>
  <c r="S888" i="2"/>
  <c r="R888" i="2"/>
  <c r="O888" i="2"/>
  <c r="N888" i="2"/>
  <c r="M888" i="2"/>
  <c r="Z887" i="2"/>
  <c r="U887" i="2"/>
  <c r="T887" i="2"/>
  <c r="S887" i="2"/>
  <c r="R887" i="2"/>
  <c r="O887" i="2"/>
  <c r="N887" i="2"/>
  <c r="M887" i="2"/>
  <c r="Z886" i="2"/>
  <c r="U886" i="2"/>
  <c r="T886" i="2"/>
  <c r="S886" i="2"/>
  <c r="R886" i="2"/>
  <c r="O886" i="2"/>
  <c r="N886" i="2"/>
  <c r="M886" i="2"/>
  <c r="Z885" i="2"/>
  <c r="U885" i="2"/>
  <c r="T885" i="2"/>
  <c r="S885" i="2"/>
  <c r="R885" i="2"/>
  <c r="O885" i="2"/>
  <c r="N885" i="2"/>
  <c r="M885" i="2"/>
  <c r="Z884" i="2"/>
  <c r="U884" i="2"/>
  <c r="T884" i="2"/>
  <c r="S884" i="2"/>
  <c r="R884" i="2"/>
  <c r="O884" i="2"/>
  <c r="N884" i="2"/>
  <c r="M884" i="2"/>
  <c r="Z883" i="2"/>
  <c r="U883" i="2"/>
  <c r="T883" i="2"/>
  <c r="S883" i="2"/>
  <c r="R883" i="2"/>
  <c r="O883" i="2"/>
  <c r="N883" i="2"/>
  <c r="M883" i="2"/>
  <c r="Z882" i="2"/>
  <c r="U882" i="2"/>
  <c r="T882" i="2"/>
  <c r="S882" i="2"/>
  <c r="R882" i="2"/>
  <c r="O882" i="2"/>
  <c r="N882" i="2"/>
  <c r="M882" i="2"/>
  <c r="Z881" i="2"/>
  <c r="U881" i="2"/>
  <c r="T881" i="2"/>
  <c r="S881" i="2"/>
  <c r="R881" i="2"/>
  <c r="O881" i="2"/>
  <c r="N881" i="2"/>
  <c r="M881" i="2"/>
  <c r="Z880" i="2"/>
  <c r="U880" i="2"/>
  <c r="T880" i="2"/>
  <c r="S880" i="2"/>
  <c r="R880" i="2"/>
  <c r="O880" i="2"/>
  <c r="N880" i="2"/>
  <c r="M880" i="2"/>
  <c r="Z879" i="2"/>
  <c r="U879" i="2"/>
  <c r="T879" i="2"/>
  <c r="S879" i="2"/>
  <c r="R879" i="2"/>
  <c r="O879" i="2"/>
  <c r="N879" i="2"/>
  <c r="M879" i="2"/>
  <c r="Z878" i="2"/>
  <c r="U878" i="2"/>
  <c r="T878" i="2"/>
  <c r="S878" i="2"/>
  <c r="R878" i="2"/>
  <c r="O878" i="2"/>
  <c r="N878" i="2"/>
  <c r="M878" i="2"/>
  <c r="Z877" i="2"/>
  <c r="U877" i="2"/>
  <c r="T877" i="2"/>
  <c r="S877" i="2"/>
  <c r="R877" i="2"/>
  <c r="O877" i="2"/>
  <c r="N877" i="2"/>
  <c r="M877" i="2"/>
  <c r="Z876" i="2"/>
  <c r="U876" i="2"/>
  <c r="T876" i="2"/>
  <c r="S876" i="2"/>
  <c r="R876" i="2"/>
  <c r="O876" i="2"/>
  <c r="N876" i="2"/>
  <c r="M876" i="2"/>
  <c r="Z875" i="2"/>
  <c r="U875" i="2"/>
  <c r="T875" i="2"/>
  <c r="S875" i="2"/>
  <c r="R875" i="2"/>
  <c r="O875" i="2"/>
  <c r="N875" i="2"/>
  <c r="M875" i="2"/>
  <c r="Z874" i="2"/>
  <c r="U874" i="2"/>
  <c r="T874" i="2"/>
  <c r="S874" i="2"/>
  <c r="R874" i="2"/>
  <c r="O874" i="2"/>
  <c r="N874" i="2"/>
  <c r="M874" i="2"/>
  <c r="Z873" i="2"/>
  <c r="U873" i="2"/>
  <c r="T873" i="2"/>
  <c r="S873" i="2"/>
  <c r="R873" i="2"/>
  <c r="O873" i="2"/>
  <c r="N873" i="2"/>
  <c r="M873" i="2"/>
  <c r="Z872" i="2"/>
  <c r="U872" i="2"/>
  <c r="T872" i="2"/>
  <c r="S872" i="2"/>
  <c r="R872" i="2"/>
  <c r="O872" i="2"/>
  <c r="N872" i="2"/>
  <c r="M872" i="2"/>
  <c r="Z871" i="2"/>
  <c r="U871" i="2"/>
  <c r="T871" i="2"/>
  <c r="S871" i="2"/>
  <c r="R871" i="2"/>
  <c r="O871" i="2"/>
  <c r="N871" i="2"/>
  <c r="M871" i="2"/>
  <c r="Z870" i="2"/>
  <c r="U870" i="2"/>
  <c r="T870" i="2"/>
  <c r="S870" i="2"/>
  <c r="R870" i="2"/>
  <c r="O870" i="2"/>
  <c r="N870" i="2"/>
  <c r="M870" i="2"/>
  <c r="Z869" i="2"/>
  <c r="U869" i="2"/>
  <c r="T869" i="2"/>
  <c r="S869" i="2"/>
  <c r="R869" i="2"/>
  <c r="O869" i="2"/>
  <c r="N869" i="2"/>
  <c r="M869" i="2"/>
  <c r="Z868" i="2"/>
  <c r="U868" i="2"/>
  <c r="T868" i="2"/>
  <c r="S868" i="2"/>
  <c r="R868" i="2"/>
  <c r="O868" i="2"/>
  <c r="N868" i="2"/>
  <c r="M868" i="2"/>
  <c r="Z867" i="2"/>
  <c r="U867" i="2"/>
  <c r="T867" i="2"/>
  <c r="S867" i="2"/>
  <c r="R867" i="2"/>
  <c r="O867" i="2"/>
  <c r="N867" i="2"/>
  <c r="M867" i="2"/>
  <c r="Z866" i="2"/>
  <c r="U866" i="2"/>
  <c r="T866" i="2"/>
  <c r="S866" i="2"/>
  <c r="R866" i="2"/>
  <c r="O866" i="2"/>
  <c r="N866" i="2"/>
  <c r="M866" i="2"/>
  <c r="Z865" i="2"/>
  <c r="U865" i="2"/>
  <c r="T865" i="2"/>
  <c r="S865" i="2"/>
  <c r="R865" i="2"/>
  <c r="O865" i="2"/>
  <c r="N865" i="2"/>
  <c r="M865" i="2"/>
  <c r="Z864" i="2"/>
  <c r="U864" i="2"/>
  <c r="T864" i="2"/>
  <c r="S864" i="2"/>
  <c r="R864" i="2"/>
  <c r="O864" i="2"/>
  <c r="N864" i="2"/>
  <c r="M864" i="2"/>
  <c r="Z863" i="2"/>
  <c r="U863" i="2"/>
  <c r="T863" i="2"/>
  <c r="S863" i="2"/>
  <c r="R863" i="2"/>
  <c r="O863" i="2"/>
  <c r="N863" i="2"/>
  <c r="M863" i="2"/>
  <c r="Z862" i="2"/>
  <c r="U862" i="2"/>
  <c r="T862" i="2"/>
  <c r="S862" i="2"/>
  <c r="R862" i="2"/>
  <c r="O862" i="2"/>
  <c r="N862" i="2"/>
  <c r="M862" i="2"/>
  <c r="Z861" i="2"/>
  <c r="U861" i="2"/>
  <c r="T861" i="2"/>
  <c r="S861" i="2"/>
  <c r="R861" i="2"/>
  <c r="O861" i="2"/>
  <c r="N861" i="2"/>
  <c r="M861" i="2"/>
  <c r="Z860" i="2"/>
  <c r="U860" i="2"/>
  <c r="T860" i="2"/>
  <c r="S860" i="2"/>
  <c r="R860" i="2"/>
  <c r="O860" i="2"/>
  <c r="N860" i="2"/>
  <c r="M860" i="2"/>
  <c r="Z859" i="2"/>
  <c r="U859" i="2"/>
  <c r="T859" i="2"/>
  <c r="S859" i="2"/>
  <c r="R859" i="2"/>
  <c r="O859" i="2"/>
  <c r="N859" i="2"/>
  <c r="M859" i="2"/>
  <c r="Z858" i="2"/>
  <c r="U858" i="2"/>
  <c r="T858" i="2"/>
  <c r="S858" i="2"/>
  <c r="R858" i="2"/>
  <c r="O858" i="2"/>
  <c r="N858" i="2"/>
  <c r="M858" i="2"/>
  <c r="Z857" i="2"/>
  <c r="U857" i="2"/>
  <c r="T857" i="2"/>
  <c r="S857" i="2"/>
  <c r="R857" i="2"/>
  <c r="O857" i="2"/>
  <c r="N857" i="2"/>
  <c r="M857" i="2"/>
  <c r="Z856" i="2"/>
  <c r="U856" i="2"/>
  <c r="T856" i="2"/>
  <c r="S856" i="2"/>
  <c r="R856" i="2"/>
  <c r="O856" i="2"/>
  <c r="N856" i="2"/>
  <c r="M856" i="2"/>
  <c r="Z855" i="2"/>
  <c r="U855" i="2"/>
  <c r="T855" i="2"/>
  <c r="S855" i="2"/>
  <c r="R855" i="2"/>
  <c r="O855" i="2"/>
  <c r="N855" i="2"/>
  <c r="M855" i="2"/>
  <c r="Z854" i="2"/>
  <c r="U854" i="2"/>
  <c r="T854" i="2"/>
  <c r="S854" i="2"/>
  <c r="R854" i="2"/>
  <c r="O854" i="2"/>
  <c r="N854" i="2"/>
  <c r="M854" i="2"/>
  <c r="Z853" i="2"/>
  <c r="U853" i="2"/>
  <c r="T853" i="2"/>
  <c r="S853" i="2"/>
  <c r="R853" i="2"/>
  <c r="O853" i="2"/>
  <c r="N853" i="2"/>
  <c r="M853" i="2"/>
  <c r="Z852" i="2"/>
  <c r="U852" i="2"/>
  <c r="T852" i="2"/>
  <c r="S852" i="2"/>
  <c r="R852" i="2"/>
  <c r="O852" i="2"/>
  <c r="N852" i="2"/>
  <c r="M852" i="2"/>
  <c r="Z851" i="2"/>
  <c r="U851" i="2"/>
  <c r="T851" i="2"/>
  <c r="S851" i="2"/>
  <c r="R851" i="2"/>
  <c r="O851" i="2"/>
  <c r="N851" i="2"/>
  <c r="M851" i="2"/>
  <c r="Z850" i="2"/>
  <c r="U850" i="2"/>
  <c r="T850" i="2"/>
  <c r="S850" i="2"/>
  <c r="R850" i="2"/>
  <c r="O850" i="2"/>
  <c r="N850" i="2"/>
  <c r="M850" i="2"/>
  <c r="Z849" i="2"/>
  <c r="U849" i="2"/>
  <c r="T849" i="2"/>
  <c r="S849" i="2"/>
  <c r="R849" i="2"/>
  <c r="O849" i="2"/>
  <c r="N849" i="2"/>
  <c r="M849" i="2"/>
  <c r="Z848" i="2"/>
  <c r="U848" i="2"/>
  <c r="T848" i="2"/>
  <c r="S848" i="2"/>
  <c r="R848" i="2"/>
  <c r="O848" i="2"/>
  <c r="N848" i="2"/>
  <c r="M848" i="2"/>
  <c r="Z847" i="2"/>
  <c r="U847" i="2"/>
  <c r="T847" i="2"/>
  <c r="S847" i="2"/>
  <c r="R847" i="2"/>
  <c r="O847" i="2"/>
  <c r="N847" i="2"/>
  <c r="M847" i="2"/>
  <c r="Z846" i="2"/>
  <c r="U846" i="2"/>
  <c r="T846" i="2"/>
  <c r="S846" i="2"/>
  <c r="R846" i="2"/>
  <c r="O846" i="2"/>
  <c r="N846" i="2"/>
  <c r="M846" i="2"/>
  <c r="Z845" i="2"/>
  <c r="U845" i="2"/>
  <c r="T845" i="2"/>
  <c r="S845" i="2"/>
  <c r="R845" i="2"/>
  <c r="O845" i="2"/>
  <c r="N845" i="2"/>
  <c r="M845" i="2"/>
  <c r="Z844" i="2"/>
  <c r="U844" i="2"/>
  <c r="T844" i="2"/>
  <c r="S844" i="2"/>
  <c r="R844" i="2"/>
  <c r="O844" i="2"/>
  <c r="N844" i="2"/>
  <c r="M844" i="2"/>
  <c r="Z843" i="2"/>
  <c r="U843" i="2"/>
  <c r="T843" i="2"/>
  <c r="S843" i="2"/>
  <c r="R843" i="2"/>
  <c r="O843" i="2"/>
  <c r="N843" i="2"/>
  <c r="M843" i="2"/>
  <c r="Z842" i="2"/>
  <c r="U842" i="2"/>
  <c r="T842" i="2"/>
  <c r="S842" i="2"/>
  <c r="R842" i="2"/>
  <c r="O842" i="2"/>
  <c r="N842" i="2"/>
  <c r="M842" i="2"/>
  <c r="Z841" i="2"/>
  <c r="U841" i="2"/>
  <c r="T841" i="2"/>
  <c r="S841" i="2"/>
  <c r="R841" i="2"/>
  <c r="O841" i="2"/>
  <c r="N841" i="2"/>
  <c r="M841" i="2"/>
  <c r="Z840" i="2"/>
  <c r="U840" i="2"/>
  <c r="T840" i="2"/>
  <c r="S840" i="2"/>
  <c r="R840" i="2"/>
  <c r="O840" i="2"/>
  <c r="N840" i="2"/>
  <c r="M840" i="2"/>
  <c r="Z839" i="2"/>
  <c r="U839" i="2"/>
  <c r="T839" i="2"/>
  <c r="S839" i="2"/>
  <c r="R839" i="2"/>
  <c r="O839" i="2"/>
  <c r="N839" i="2"/>
  <c r="M839" i="2"/>
  <c r="Z838" i="2"/>
  <c r="U838" i="2"/>
  <c r="T838" i="2"/>
  <c r="S838" i="2"/>
  <c r="R838" i="2"/>
  <c r="O838" i="2"/>
  <c r="N838" i="2"/>
  <c r="M838" i="2"/>
  <c r="Z837" i="2"/>
  <c r="U837" i="2"/>
  <c r="T837" i="2"/>
  <c r="S837" i="2"/>
  <c r="R837" i="2"/>
  <c r="O837" i="2"/>
  <c r="N837" i="2"/>
  <c r="M837" i="2"/>
  <c r="Z836" i="2"/>
  <c r="U836" i="2"/>
  <c r="T836" i="2"/>
  <c r="S836" i="2"/>
  <c r="R836" i="2"/>
  <c r="O836" i="2"/>
  <c r="N836" i="2"/>
  <c r="M836" i="2"/>
  <c r="Z835" i="2"/>
  <c r="U835" i="2"/>
  <c r="T835" i="2"/>
  <c r="S835" i="2"/>
  <c r="R835" i="2"/>
  <c r="O835" i="2"/>
  <c r="N835" i="2"/>
  <c r="M835" i="2"/>
  <c r="Z834" i="2"/>
  <c r="U834" i="2"/>
  <c r="T834" i="2"/>
  <c r="S834" i="2"/>
  <c r="R834" i="2"/>
  <c r="O834" i="2"/>
  <c r="N834" i="2"/>
  <c r="M834" i="2"/>
  <c r="Z833" i="2"/>
  <c r="U833" i="2"/>
  <c r="T833" i="2"/>
  <c r="S833" i="2"/>
  <c r="R833" i="2"/>
  <c r="O833" i="2"/>
  <c r="N833" i="2"/>
  <c r="M833" i="2"/>
  <c r="Z832" i="2"/>
  <c r="U832" i="2"/>
  <c r="T832" i="2"/>
  <c r="S832" i="2"/>
  <c r="R832" i="2"/>
  <c r="O832" i="2"/>
  <c r="N832" i="2"/>
  <c r="M832" i="2"/>
  <c r="Z831" i="2"/>
  <c r="U831" i="2"/>
  <c r="T831" i="2"/>
  <c r="S831" i="2"/>
  <c r="R831" i="2"/>
  <c r="O831" i="2"/>
  <c r="N831" i="2"/>
  <c r="M831" i="2"/>
  <c r="Z830" i="2"/>
  <c r="U830" i="2"/>
  <c r="T830" i="2"/>
  <c r="S830" i="2"/>
  <c r="R830" i="2"/>
  <c r="O830" i="2"/>
  <c r="N830" i="2"/>
  <c r="M830" i="2"/>
  <c r="Z829" i="2"/>
  <c r="U829" i="2"/>
  <c r="T829" i="2"/>
  <c r="S829" i="2"/>
  <c r="R829" i="2"/>
  <c r="O829" i="2"/>
  <c r="N829" i="2"/>
  <c r="M829" i="2"/>
  <c r="Z828" i="2"/>
  <c r="U828" i="2"/>
  <c r="T828" i="2"/>
  <c r="S828" i="2"/>
  <c r="R828" i="2"/>
  <c r="O828" i="2"/>
  <c r="N828" i="2"/>
  <c r="M828" i="2"/>
  <c r="Z827" i="2"/>
  <c r="U827" i="2"/>
  <c r="T827" i="2"/>
  <c r="S827" i="2"/>
  <c r="R827" i="2"/>
  <c r="O827" i="2"/>
  <c r="N827" i="2"/>
  <c r="M827" i="2"/>
  <c r="Z826" i="2"/>
  <c r="U826" i="2"/>
  <c r="T826" i="2"/>
  <c r="S826" i="2"/>
  <c r="R826" i="2"/>
  <c r="O826" i="2"/>
  <c r="N826" i="2"/>
  <c r="M826" i="2"/>
  <c r="Z825" i="2"/>
  <c r="U825" i="2"/>
  <c r="T825" i="2"/>
  <c r="S825" i="2"/>
  <c r="R825" i="2"/>
  <c r="O825" i="2"/>
  <c r="N825" i="2"/>
  <c r="M825" i="2"/>
  <c r="Z824" i="2"/>
  <c r="U824" i="2"/>
  <c r="T824" i="2"/>
  <c r="S824" i="2"/>
  <c r="R824" i="2"/>
  <c r="O824" i="2"/>
  <c r="N824" i="2"/>
  <c r="M824" i="2"/>
  <c r="Z823" i="2"/>
  <c r="U823" i="2"/>
  <c r="T823" i="2"/>
  <c r="S823" i="2"/>
  <c r="R823" i="2"/>
  <c r="O823" i="2"/>
  <c r="N823" i="2"/>
  <c r="M823" i="2"/>
  <c r="Z822" i="2"/>
  <c r="U822" i="2"/>
  <c r="T822" i="2"/>
  <c r="S822" i="2"/>
  <c r="R822" i="2"/>
  <c r="O822" i="2"/>
  <c r="N822" i="2"/>
  <c r="M822" i="2"/>
  <c r="Z821" i="2"/>
  <c r="U821" i="2"/>
  <c r="T821" i="2"/>
  <c r="S821" i="2"/>
  <c r="R821" i="2"/>
  <c r="O821" i="2"/>
  <c r="N821" i="2"/>
  <c r="M821" i="2"/>
  <c r="Z820" i="2"/>
  <c r="U820" i="2"/>
  <c r="T820" i="2"/>
  <c r="S820" i="2"/>
  <c r="R820" i="2"/>
  <c r="O820" i="2"/>
  <c r="N820" i="2"/>
  <c r="M820" i="2"/>
  <c r="Z819" i="2"/>
  <c r="U819" i="2"/>
  <c r="T819" i="2"/>
  <c r="S819" i="2"/>
  <c r="R819" i="2"/>
  <c r="O819" i="2"/>
  <c r="N819" i="2"/>
  <c r="M819" i="2"/>
  <c r="Z818" i="2"/>
  <c r="U818" i="2"/>
  <c r="T818" i="2"/>
  <c r="S818" i="2"/>
  <c r="R818" i="2"/>
  <c r="O818" i="2"/>
  <c r="N818" i="2"/>
  <c r="M818" i="2"/>
  <c r="Z817" i="2"/>
  <c r="U817" i="2"/>
  <c r="T817" i="2"/>
  <c r="S817" i="2"/>
  <c r="R817" i="2"/>
  <c r="O817" i="2"/>
  <c r="N817" i="2"/>
  <c r="M817" i="2"/>
  <c r="Z816" i="2"/>
  <c r="U816" i="2"/>
  <c r="T816" i="2"/>
  <c r="S816" i="2"/>
  <c r="R816" i="2"/>
  <c r="O816" i="2"/>
  <c r="N816" i="2"/>
  <c r="M816" i="2"/>
  <c r="Z815" i="2"/>
  <c r="U815" i="2"/>
  <c r="T815" i="2"/>
  <c r="S815" i="2"/>
  <c r="R815" i="2"/>
  <c r="O815" i="2"/>
  <c r="N815" i="2"/>
  <c r="M815" i="2"/>
  <c r="Z814" i="2"/>
  <c r="U814" i="2"/>
  <c r="T814" i="2"/>
  <c r="S814" i="2"/>
  <c r="R814" i="2"/>
  <c r="O814" i="2"/>
  <c r="N814" i="2"/>
  <c r="M814" i="2"/>
  <c r="Z813" i="2"/>
  <c r="U813" i="2"/>
  <c r="T813" i="2"/>
  <c r="S813" i="2"/>
  <c r="R813" i="2"/>
  <c r="O813" i="2"/>
  <c r="N813" i="2"/>
  <c r="M813" i="2"/>
  <c r="Z812" i="2"/>
  <c r="U812" i="2"/>
  <c r="T812" i="2"/>
  <c r="S812" i="2"/>
  <c r="R812" i="2"/>
  <c r="O812" i="2"/>
  <c r="N812" i="2"/>
  <c r="M812" i="2"/>
  <c r="Z811" i="2"/>
  <c r="U811" i="2"/>
  <c r="T811" i="2"/>
  <c r="S811" i="2"/>
  <c r="R811" i="2"/>
  <c r="O811" i="2"/>
  <c r="N811" i="2"/>
  <c r="M811" i="2"/>
  <c r="Z810" i="2"/>
  <c r="U810" i="2"/>
  <c r="T810" i="2"/>
  <c r="S810" i="2"/>
  <c r="R810" i="2"/>
  <c r="O810" i="2"/>
  <c r="N810" i="2"/>
  <c r="M810" i="2"/>
  <c r="Z809" i="2"/>
  <c r="U809" i="2"/>
  <c r="T809" i="2"/>
  <c r="S809" i="2"/>
  <c r="R809" i="2"/>
  <c r="O809" i="2"/>
  <c r="N809" i="2"/>
  <c r="M809" i="2"/>
  <c r="Z808" i="2"/>
  <c r="U808" i="2"/>
  <c r="T808" i="2"/>
  <c r="S808" i="2"/>
  <c r="R808" i="2"/>
  <c r="O808" i="2"/>
  <c r="N808" i="2"/>
  <c r="M808" i="2"/>
  <c r="Z807" i="2"/>
  <c r="U807" i="2"/>
  <c r="T807" i="2"/>
  <c r="S807" i="2"/>
  <c r="R807" i="2"/>
  <c r="O807" i="2"/>
  <c r="N807" i="2"/>
  <c r="M807" i="2"/>
  <c r="Z806" i="2"/>
  <c r="U806" i="2"/>
  <c r="T806" i="2"/>
  <c r="S806" i="2"/>
  <c r="R806" i="2"/>
  <c r="O806" i="2"/>
  <c r="N806" i="2"/>
  <c r="M806" i="2"/>
  <c r="Z805" i="2"/>
  <c r="U805" i="2"/>
  <c r="T805" i="2"/>
  <c r="S805" i="2"/>
  <c r="R805" i="2"/>
  <c r="O805" i="2"/>
  <c r="N805" i="2"/>
  <c r="M805" i="2"/>
  <c r="Z804" i="2"/>
  <c r="U804" i="2"/>
  <c r="T804" i="2"/>
  <c r="S804" i="2"/>
  <c r="R804" i="2"/>
  <c r="O804" i="2"/>
  <c r="N804" i="2"/>
  <c r="M804" i="2"/>
  <c r="Z803" i="2"/>
  <c r="U803" i="2"/>
  <c r="T803" i="2"/>
  <c r="S803" i="2"/>
  <c r="R803" i="2"/>
  <c r="O803" i="2"/>
  <c r="N803" i="2"/>
  <c r="M803" i="2"/>
  <c r="Z802" i="2"/>
  <c r="U802" i="2"/>
  <c r="T802" i="2"/>
  <c r="S802" i="2"/>
  <c r="R802" i="2"/>
  <c r="O802" i="2"/>
  <c r="N802" i="2"/>
  <c r="M802" i="2"/>
  <c r="Z801" i="2"/>
  <c r="U801" i="2"/>
  <c r="T801" i="2"/>
  <c r="S801" i="2"/>
  <c r="R801" i="2"/>
  <c r="O801" i="2"/>
  <c r="N801" i="2"/>
  <c r="M801" i="2"/>
  <c r="Z800" i="2"/>
  <c r="U800" i="2"/>
  <c r="T800" i="2"/>
  <c r="S800" i="2"/>
  <c r="R800" i="2"/>
  <c r="O800" i="2"/>
  <c r="N800" i="2"/>
  <c r="M800" i="2"/>
  <c r="Z799" i="2"/>
  <c r="U799" i="2"/>
  <c r="T799" i="2"/>
  <c r="S799" i="2"/>
  <c r="R799" i="2"/>
  <c r="O799" i="2"/>
  <c r="N799" i="2"/>
  <c r="M799" i="2"/>
  <c r="Z798" i="2"/>
  <c r="U798" i="2"/>
  <c r="T798" i="2"/>
  <c r="S798" i="2"/>
  <c r="R798" i="2"/>
  <c r="O798" i="2"/>
  <c r="N798" i="2"/>
  <c r="M798" i="2"/>
  <c r="Z797" i="2"/>
  <c r="U797" i="2"/>
  <c r="T797" i="2"/>
  <c r="S797" i="2"/>
  <c r="R797" i="2"/>
  <c r="O797" i="2"/>
  <c r="N797" i="2"/>
  <c r="M797" i="2"/>
  <c r="Z796" i="2"/>
  <c r="U796" i="2"/>
  <c r="T796" i="2"/>
  <c r="S796" i="2"/>
  <c r="R796" i="2"/>
  <c r="O796" i="2"/>
  <c r="N796" i="2"/>
  <c r="M796" i="2"/>
  <c r="Z795" i="2"/>
  <c r="U795" i="2"/>
  <c r="T795" i="2"/>
  <c r="S795" i="2"/>
  <c r="R795" i="2"/>
  <c r="O795" i="2"/>
  <c r="N795" i="2"/>
  <c r="M795" i="2"/>
  <c r="Z794" i="2"/>
  <c r="U794" i="2"/>
  <c r="T794" i="2"/>
  <c r="S794" i="2"/>
  <c r="R794" i="2"/>
  <c r="O794" i="2"/>
  <c r="N794" i="2"/>
  <c r="M794" i="2"/>
  <c r="Z793" i="2"/>
  <c r="U793" i="2"/>
  <c r="T793" i="2"/>
  <c r="S793" i="2"/>
  <c r="R793" i="2"/>
  <c r="O793" i="2"/>
  <c r="N793" i="2"/>
  <c r="M793" i="2"/>
  <c r="Z792" i="2"/>
  <c r="U792" i="2"/>
  <c r="T792" i="2"/>
  <c r="S792" i="2"/>
  <c r="R792" i="2"/>
  <c r="O792" i="2"/>
  <c r="N792" i="2"/>
  <c r="M792" i="2"/>
  <c r="Z791" i="2"/>
  <c r="U791" i="2"/>
  <c r="T791" i="2"/>
  <c r="S791" i="2"/>
  <c r="R791" i="2"/>
  <c r="O791" i="2"/>
  <c r="N791" i="2"/>
  <c r="M791" i="2"/>
  <c r="Z790" i="2"/>
  <c r="U790" i="2"/>
  <c r="T790" i="2"/>
  <c r="S790" i="2"/>
  <c r="R790" i="2"/>
  <c r="O790" i="2"/>
  <c r="N790" i="2"/>
  <c r="M790" i="2"/>
  <c r="Z789" i="2"/>
  <c r="U789" i="2"/>
  <c r="T789" i="2"/>
  <c r="S789" i="2"/>
  <c r="R789" i="2"/>
  <c r="O789" i="2"/>
  <c r="N789" i="2"/>
  <c r="M789" i="2"/>
  <c r="Z788" i="2"/>
  <c r="U788" i="2"/>
  <c r="T788" i="2"/>
  <c r="S788" i="2"/>
  <c r="R788" i="2"/>
  <c r="O788" i="2"/>
  <c r="N788" i="2"/>
  <c r="M788" i="2"/>
  <c r="Z787" i="2"/>
  <c r="U787" i="2"/>
  <c r="T787" i="2"/>
  <c r="S787" i="2"/>
  <c r="R787" i="2"/>
  <c r="O787" i="2"/>
  <c r="N787" i="2"/>
  <c r="M787" i="2"/>
  <c r="Z786" i="2"/>
  <c r="U786" i="2"/>
  <c r="T786" i="2"/>
  <c r="S786" i="2"/>
  <c r="R786" i="2"/>
  <c r="O786" i="2"/>
  <c r="N786" i="2"/>
  <c r="M786" i="2"/>
  <c r="Z785" i="2"/>
  <c r="U785" i="2"/>
  <c r="T785" i="2"/>
  <c r="S785" i="2"/>
  <c r="R785" i="2"/>
  <c r="O785" i="2"/>
  <c r="N785" i="2"/>
  <c r="M785" i="2"/>
  <c r="Z784" i="2"/>
  <c r="U784" i="2"/>
  <c r="T784" i="2"/>
  <c r="S784" i="2"/>
  <c r="R784" i="2"/>
  <c r="O784" i="2"/>
  <c r="N784" i="2"/>
  <c r="M784" i="2"/>
  <c r="Z783" i="2"/>
  <c r="U783" i="2"/>
  <c r="T783" i="2"/>
  <c r="S783" i="2"/>
  <c r="R783" i="2"/>
  <c r="O783" i="2"/>
  <c r="N783" i="2"/>
  <c r="M783" i="2"/>
  <c r="Z782" i="2"/>
  <c r="U782" i="2"/>
  <c r="T782" i="2"/>
  <c r="S782" i="2"/>
  <c r="R782" i="2"/>
  <c r="O782" i="2"/>
  <c r="N782" i="2"/>
  <c r="M782" i="2"/>
  <c r="Z781" i="2"/>
  <c r="U781" i="2"/>
  <c r="T781" i="2"/>
  <c r="S781" i="2"/>
  <c r="R781" i="2"/>
  <c r="O781" i="2"/>
  <c r="N781" i="2"/>
  <c r="M781" i="2"/>
  <c r="Z780" i="2"/>
  <c r="U780" i="2"/>
  <c r="T780" i="2"/>
  <c r="S780" i="2"/>
  <c r="R780" i="2"/>
  <c r="O780" i="2"/>
  <c r="N780" i="2"/>
  <c r="M780" i="2"/>
  <c r="Z779" i="2"/>
  <c r="U779" i="2"/>
  <c r="T779" i="2"/>
  <c r="S779" i="2"/>
  <c r="R779" i="2"/>
  <c r="O779" i="2"/>
  <c r="N779" i="2"/>
  <c r="M779" i="2"/>
  <c r="Z778" i="2"/>
  <c r="U778" i="2"/>
  <c r="T778" i="2"/>
  <c r="S778" i="2"/>
  <c r="R778" i="2"/>
  <c r="O778" i="2"/>
  <c r="N778" i="2"/>
  <c r="M778" i="2"/>
  <c r="Z777" i="2"/>
  <c r="U777" i="2"/>
  <c r="T777" i="2"/>
  <c r="S777" i="2"/>
  <c r="R777" i="2"/>
  <c r="O777" i="2"/>
  <c r="N777" i="2"/>
  <c r="M777" i="2"/>
  <c r="Z776" i="2"/>
  <c r="U776" i="2"/>
  <c r="T776" i="2"/>
  <c r="S776" i="2"/>
  <c r="R776" i="2"/>
  <c r="O776" i="2"/>
  <c r="N776" i="2"/>
  <c r="M776" i="2"/>
  <c r="Z775" i="2"/>
  <c r="U775" i="2"/>
  <c r="T775" i="2"/>
  <c r="S775" i="2"/>
  <c r="R775" i="2"/>
  <c r="O775" i="2"/>
  <c r="N775" i="2"/>
  <c r="M775" i="2"/>
  <c r="Z774" i="2"/>
  <c r="U774" i="2"/>
  <c r="T774" i="2"/>
  <c r="S774" i="2"/>
  <c r="R774" i="2"/>
  <c r="O774" i="2"/>
  <c r="N774" i="2"/>
  <c r="M774" i="2"/>
  <c r="Z773" i="2"/>
  <c r="U773" i="2"/>
  <c r="T773" i="2"/>
  <c r="S773" i="2"/>
  <c r="R773" i="2"/>
  <c r="O773" i="2"/>
  <c r="N773" i="2"/>
  <c r="M773" i="2"/>
  <c r="Z772" i="2"/>
  <c r="U772" i="2"/>
  <c r="T772" i="2"/>
  <c r="S772" i="2"/>
  <c r="R772" i="2"/>
  <c r="O772" i="2"/>
  <c r="N772" i="2"/>
  <c r="M772" i="2"/>
  <c r="Z771" i="2"/>
  <c r="U771" i="2"/>
  <c r="T771" i="2"/>
  <c r="S771" i="2"/>
  <c r="R771" i="2"/>
  <c r="O771" i="2"/>
  <c r="N771" i="2"/>
  <c r="M771" i="2"/>
  <c r="Z770" i="2"/>
  <c r="U770" i="2"/>
  <c r="T770" i="2"/>
  <c r="S770" i="2"/>
  <c r="R770" i="2"/>
  <c r="O770" i="2"/>
  <c r="N770" i="2"/>
  <c r="M770" i="2"/>
  <c r="Z769" i="2"/>
  <c r="U769" i="2"/>
  <c r="T769" i="2"/>
  <c r="S769" i="2"/>
  <c r="R769" i="2"/>
  <c r="O769" i="2"/>
  <c r="N769" i="2"/>
  <c r="M769" i="2"/>
  <c r="Z768" i="2"/>
  <c r="U768" i="2"/>
  <c r="T768" i="2"/>
  <c r="S768" i="2"/>
  <c r="R768" i="2"/>
  <c r="O768" i="2"/>
  <c r="N768" i="2"/>
  <c r="M768" i="2"/>
  <c r="Z767" i="2"/>
  <c r="U767" i="2"/>
  <c r="T767" i="2"/>
  <c r="S767" i="2"/>
  <c r="R767" i="2"/>
  <c r="O767" i="2"/>
  <c r="N767" i="2"/>
  <c r="M767" i="2"/>
  <c r="Z766" i="2"/>
  <c r="U766" i="2"/>
  <c r="T766" i="2"/>
  <c r="S766" i="2"/>
  <c r="R766" i="2"/>
  <c r="O766" i="2"/>
  <c r="N766" i="2"/>
  <c r="M766" i="2"/>
  <c r="Z765" i="2"/>
  <c r="U765" i="2"/>
  <c r="T765" i="2"/>
  <c r="S765" i="2"/>
  <c r="R765" i="2"/>
  <c r="O765" i="2"/>
  <c r="N765" i="2"/>
  <c r="M765" i="2"/>
  <c r="Z764" i="2"/>
  <c r="U764" i="2"/>
  <c r="T764" i="2"/>
  <c r="S764" i="2"/>
  <c r="R764" i="2"/>
  <c r="O764" i="2"/>
  <c r="N764" i="2"/>
  <c r="M764" i="2"/>
  <c r="Z763" i="2"/>
  <c r="U763" i="2"/>
  <c r="T763" i="2"/>
  <c r="S763" i="2"/>
  <c r="R763" i="2"/>
  <c r="O763" i="2"/>
  <c r="N763" i="2"/>
  <c r="M763" i="2"/>
  <c r="Z762" i="2"/>
  <c r="U762" i="2"/>
  <c r="T762" i="2"/>
  <c r="S762" i="2"/>
  <c r="R762" i="2"/>
  <c r="O762" i="2"/>
  <c r="N762" i="2"/>
  <c r="M762" i="2"/>
  <c r="Z761" i="2"/>
  <c r="U761" i="2"/>
  <c r="T761" i="2"/>
  <c r="S761" i="2"/>
  <c r="R761" i="2"/>
  <c r="O761" i="2"/>
  <c r="N761" i="2"/>
  <c r="M761" i="2"/>
  <c r="Z760" i="2"/>
  <c r="U760" i="2"/>
  <c r="T760" i="2"/>
  <c r="S760" i="2"/>
  <c r="R760" i="2"/>
  <c r="O760" i="2"/>
  <c r="N760" i="2"/>
  <c r="M760" i="2"/>
  <c r="Z759" i="2"/>
  <c r="U759" i="2"/>
  <c r="T759" i="2"/>
  <c r="S759" i="2"/>
  <c r="R759" i="2"/>
  <c r="O759" i="2"/>
  <c r="N759" i="2"/>
  <c r="M759" i="2"/>
  <c r="Z758" i="2"/>
  <c r="U758" i="2"/>
  <c r="T758" i="2"/>
  <c r="S758" i="2"/>
  <c r="R758" i="2"/>
  <c r="O758" i="2"/>
  <c r="N758" i="2"/>
  <c r="M758" i="2"/>
  <c r="Z757" i="2"/>
  <c r="U757" i="2"/>
  <c r="T757" i="2"/>
  <c r="S757" i="2"/>
  <c r="R757" i="2"/>
  <c r="O757" i="2"/>
  <c r="N757" i="2"/>
  <c r="M757" i="2"/>
  <c r="Z756" i="2"/>
  <c r="U756" i="2"/>
  <c r="T756" i="2"/>
  <c r="S756" i="2"/>
  <c r="R756" i="2"/>
  <c r="O756" i="2"/>
  <c r="N756" i="2"/>
  <c r="M756" i="2"/>
  <c r="Z755" i="2"/>
  <c r="U755" i="2"/>
  <c r="T755" i="2"/>
  <c r="S755" i="2"/>
  <c r="R755" i="2"/>
  <c r="O755" i="2"/>
  <c r="N755" i="2"/>
  <c r="M755" i="2"/>
  <c r="Z754" i="2"/>
  <c r="U754" i="2"/>
  <c r="T754" i="2"/>
  <c r="S754" i="2"/>
  <c r="R754" i="2"/>
  <c r="O754" i="2"/>
  <c r="N754" i="2"/>
  <c r="M754" i="2"/>
  <c r="Z753" i="2"/>
  <c r="U753" i="2"/>
  <c r="T753" i="2"/>
  <c r="S753" i="2"/>
  <c r="R753" i="2"/>
  <c r="O753" i="2"/>
  <c r="N753" i="2"/>
  <c r="M753" i="2"/>
  <c r="Z752" i="2"/>
  <c r="U752" i="2"/>
  <c r="T752" i="2"/>
  <c r="S752" i="2"/>
  <c r="R752" i="2"/>
  <c r="O752" i="2"/>
  <c r="N752" i="2"/>
  <c r="M752" i="2"/>
  <c r="Z751" i="2"/>
  <c r="U751" i="2"/>
  <c r="T751" i="2"/>
  <c r="S751" i="2"/>
  <c r="R751" i="2"/>
  <c r="O751" i="2"/>
  <c r="N751" i="2"/>
  <c r="M751" i="2"/>
  <c r="Z750" i="2"/>
  <c r="U750" i="2"/>
  <c r="T750" i="2"/>
  <c r="S750" i="2"/>
  <c r="R750" i="2"/>
  <c r="O750" i="2"/>
  <c r="N750" i="2"/>
  <c r="M750" i="2"/>
  <c r="Z749" i="2"/>
  <c r="U749" i="2"/>
  <c r="T749" i="2"/>
  <c r="S749" i="2"/>
  <c r="R749" i="2"/>
  <c r="O749" i="2"/>
  <c r="N749" i="2"/>
  <c r="M749" i="2"/>
  <c r="Z748" i="2"/>
  <c r="U748" i="2"/>
  <c r="T748" i="2"/>
  <c r="S748" i="2"/>
  <c r="R748" i="2"/>
  <c r="O748" i="2"/>
  <c r="N748" i="2"/>
  <c r="M748" i="2"/>
  <c r="Z747" i="2"/>
  <c r="U747" i="2"/>
  <c r="T747" i="2"/>
  <c r="S747" i="2"/>
  <c r="R747" i="2"/>
  <c r="O747" i="2"/>
  <c r="N747" i="2"/>
  <c r="M747" i="2"/>
  <c r="Z746" i="2"/>
  <c r="U746" i="2"/>
  <c r="T746" i="2"/>
  <c r="S746" i="2"/>
  <c r="R746" i="2"/>
  <c r="O746" i="2"/>
  <c r="N746" i="2"/>
  <c r="M746" i="2"/>
  <c r="Z745" i="2"/>
  <c r="U745" i="2"/>
  <c r="T745" i="2"/>
  <c r="S745" i="2"/>
  <c r="R745" i="2"/>
  <c r="O745" i="2"/>
  <c r="N745" i="2"/>
  <c r="M745" i="2"/>
  <c r="Z744" i="2"/>
  <c r="U744" i="2"/>
  <c r="T744" i="2"/>
  <c r="S744" i="2"/>
  <c r="R744" i="2"/>
  <c r="O744" i="2"/>
  <c r="N744" i="2"/>
  <c r="M744" i="2"/>
  <c r="Z743" i="2"/>
  <c r="U743" i="2"/>
  <c r="T743" i="2"/>
  <c r="S743" i="2"/>
  <c r="R743" i="2"/>
  <c r="O743" i="2"/>
  <c r="N743" i="2"/>
  <c r="M743" i="2"/>
  <c r="Z742" i="2"/>
  <c r="U742" i="2"/>
  <c r="T742" i="2"/>
  <c r="S742" i="2"/>
  <c r="R742" i="2"/>
  <c r="O742" i="2"/>
  <c r="N742" i="2"/>
  <c r="M742" i="2"/>
  <c r="Z741" i="2"/>
  <c r="U741" i="2"/>
  <c r="T741" i="2"/>
  <c r="S741" i="2"/>
  <c r="R741" i="2"/>
  <c r="O741" i="2"/>
  <c r="N741" i="2"/>
  <c r="M741" i="2"/>
  <c r="Z740" i="2"/>
  <c r="U740" i="2"/>
  <c r="T740" i="2"/>
  <c r="S740" i="2"/>
  <c r="R740" i="2"/>
  <c r="O740" i="2"/>
  <c r="N740" i="2"/>
  <c r="M740" i="2"/>
  <c r="Z739" i="2"/>
  <c r="U739" i="2"/>
  <c r="T739" i="2"/>
  <c r="S739" i="2"/>
  <c r="R739" i="2"/>
  <c r="O739" i="2"/>
  <c r="N739" i="2"/>
  <c r="M739" i="2"/>
  <c r="Z738" i="2"/>
  <c r="U738" i="2"/>
  <c r="T738" i="2"/>
  <c r="S738" i="2"/>
  <c r="R738" i="2"/>
  <c r="O738" i="2"/>
  <c r="N738" i="2"/>
  <c r="M738" i="2"/>
  <c r="Z737" i="2"/>
  <c r="U737" i="2"/>
  <c r="T737" i="2"/>
  <c r="S737" i="2"/>
  <c r="R737" i="2"/>
  <c r="O737" i="2"/>
  <c r="N737" i="2"/>
  <c r="M737" i="2"/>
  <c r="Z736" i="2"/>
  <c r="U736" i="2"/>
  <c r="T736" i="2"/>
  <c r="S736" i="2"/>
  <c r="R736" i="2"/>
  <c r="O736" i="2"/>
  <c r="N736" i="2"/>
  <c r="M736" i="2"/>
  <c r="Z735" i="2"/>
  <c r="U735" i="2"/>
  <c r="T735" i="2"/>
  <c r="S735" i="2"/>
  <c r="R735" i="2"/>
  <c r="O735" i="2"/>
  <c r="N735" i="2"/>
  <c r="M735" i="2"/>
  <c r="Z734" i="2"/>
  <c r="U734" i="2"/>
  <c r="T734" i="2"/>
  <c r="S734" i="2"/>
  <c r="R734" i="2"/>
  <c r="O734" i="2"/>
  <c r="N734" i="2"/>
  <c r="M734" i="2"/>
  <c r="Z733" i="2"/>
  <c r="U733" i="2"/>
  <c r="T733" i="2"/>
  <c r="S733" i="2"/>
  <c r="R733" i="2"/>
  <c r="O733" i="2"/>
  <c r="N733" i="2"/>
  <c r="M733" i="2"/>
  <c r="Z732" i="2"/>
  <c r="U732" i="2"/>
  <c r="T732" i="2"/>
  <c r="S732" i="2"/>
  <c r="R732" i="2"/>
  <c r="O732" i="2"/>
  <c r="N732" i="2"/>
  <c r="M732" i="2"/>
  <c r="Z731" i="2"/>
  <c r="U731" i="2"/>
  <c r="T731" i="2"/>
  <c r="S731" i="2"/>
  <c r="R731" i="2"/>
  <c r="O731" i="2"/>
  <c r="N731" i="2"/>
  <c r="M731" i="2"/>
  <c r="Z730" i="2"/>
  <c r="U730" i="2"/>
  <c r="T730" i="2"/>
  <c r="S730" i="2"/>
  <c r="R730" i="2"/>
  <c r="O730" i="2"/>
  <c r="N730" i="2"/>
  <c r="M730" i="2"/>
  <c r="Z729" i="2"/>
  <c r="U729" i="2"/>
  <c r="T729" i="2"/>
  <c r="S729" i="2"/>
  <c r="R729" i="2"/>
  <c r="O729" i="2"/>
  <c r="N729" i="2"/>
  <c r="M729" i="2"/>
  <c r="Z728" i="2"/>
  <c r="U728" i="2"/>
  <c r="T728" i="2"/>
  <c r="S728" i="2"/>
  <c r="R728" i="2"/>
  <c r="O728" i="2"/>
  <c r="N728" i="2"/>
  <c r="M728" i="2"/>
  <c r="Z727" i="2"/>
  <c r="U727" i="2"/>
  <c r="T727" i="2"/>
  <c r="S727" i="2"/>
  <c r="R727" i="2"/>
  <c r="O727" i="2"/>
  <c r="N727" i="2"/>
  <c r="M727" i="2"/>
  <c r="Z726" i="2"/>
  <c r="U726" i="2"/>
  <c r="T726" i="2"/>
  <c r="S726" i="2"/>
  <c r="R726" i="2"/>
  <c r="O726" i="2"/>
  <c r="N726" i="2"/>
  <c r="M726" i="2"/>
  <c r="Z725" i="2"/>
  <c r="U725" i="2"/>
  <c r="T725" i="2"/>
  <c r="S725" i="2"/>
  <c r="R725" i="2"/>
  <c r="O725" i="2"/>
  <c r="N725" i="2"/>
  <c r="M725" i="2"/>
  <c r="Z724" i="2"/>
  <c r="U724" i="2"/>
  <c r="T724" i="2"/>
  <c r="S724" i="2"/>
  <c r="R724" i="2"/>
  <c r="O724" i="2"/>
  <c r="N724" i="2"/>
  <c r="M724" i="2"/>
  <c r="Z723" i="2"/>
  <c r="U723" i="2"/>
  <c r="T723" i="2"/>
  <c r="S723" i="2"/>
  <c r="R723" i="2"/>
  <c r="O723" i="2"/>
  <c r="N723" i="2"/>
  <c r="M723" i="2"/>
  <c r="Z722" i="2"/>
  <c r="U722" i="2"/>
  <c r="T722" i="2"/>
  <c r="S722" i="2"/>
  <c r="R722" i="2"/>
  <c r="O722" i="2"/>
  <c r="N722" i="2"/>
  <c r="M722" i="2"/>
  <c r="Z721" i="2"/>
  <c r="U721" i="2"/>
  <c r="T721" i="2"/>
  <c r="S721" i="2"/>
  <c r="R721" i="2"/>
  <c r="O721" i="2"/>
  <c r="N721" i="2"/>
  <c r="M721" i="2"/>
  <c r="Z720" i="2"/>
  <c r="U720" i="2"/>
  <c r="T720" i="2"/>
  <c r="S720" i="2"/>
  <c r="R720" i="2"/>
  <c r="O720" i="2"/>
  <c r="N720" i="2"/>
  <c r="M720" i="2"/>
  <c r="Z719" i="2"/>
  <c r="U719" i="2"/>
  <c r="T719" i="2"/>
  <c r="S719" i="2"/>
  <c r="R719" i="2"/>
  <c r="O719" i="2"/>
  <c r="N719" i="2"/>
  <c r="M719" i="2"/>
  <c r="Z718" i="2"/>
  <c r="U718" i="2"/>
  <c r="T718" i="2"/>
  <c r="S718" i="2"/>
  <c r="R718" i="2"/>
  <c r="O718" i="2"/>
  <c r="N718" i="2"/>
  <c r="M718" i="2"/>
  <c r="Z717" i="2"/>
  <c r="U717" i="2"/>
  <c r="T717" i="2"/>
  <c r="S717" i="2"/>
  <c r="R717" i="2"/>
  <c r="O717" i="2"/>
  <c r="N717" i="2"/>
  <c r="M717" i="2"/>
  <c r="Z716" i="2"/>
  <c r="U716" i="2"/>
  <c r="T716" i="2"/>
  <c r="S716" i="2"/>
  <c r="R716" i="2"/>
  <c r="O716" i="2"/>
  <c r="N716" i="2"/>
  <c r="M716" i="2"/>
  <c r="Z715" i="2"/>
  <c r="U715" i="2"/>
  <c r="T715" i="2"/>
  <c r="S715" i="2"/>
  <c r="R715" i="2"/>
  <c r="O715" i="2"/>
  <c r="N715" i="2"/>
  <c r="M715" i="2"/>
  <c r="Z714" i="2"/>
  <c r="U714" i="2"/>
  <c r="T714" i="2"/>
  <c r="S714" i="2"/>
  <c r="R714" i="2"/>
  <c r="O714" i="2"/>
  <c r="N714" i="2"/>
  <c r="M714" i="2"/>
  <c r="Z713" i="2"/>
  <c r="U713" i="2"/>
  <c r="T713" i="2"/>
  <c r="S713" i="2"/>
  <c r="R713" i="2"/>
  <c r="O713" i="2"/>
  <c r="N713" i="2"/>
  <c r="M713" i="2"/>
  <c r="Z712" i="2"/>
  <c r="U712" i="2"/>
  <c r="T712" i="2"/>
  <c r="S712" i="2"/>
  <c r="R712" i="2"/>
  <c r="O712" i="2"/>
  <c r="N712" i="2"/>
  <c r="M712" i="2"/>
  <c r="Z711" i="2"/>
  <c r="U711" i="2"/>
  <c r="T711" i="2"/>
  <c r="S711" i="2"/>
  <c r="R711" i="2"/>
  <c r="O711" i="2"/>
  <c r="N711" i="2"/>
  <c r="M711" i="2"/>
  <c r="Z710" i="2"/>
  <c r="U710" i="2"/>
  <c r="T710" i="2"/>
  <c r="S710" i="2"/>
  <c r="R710" i="2"/>
  <c r="O710" i="2"/>
  <c r="N710" i="2"/>
  <c r="M710" i="2"/>
  <c r="Z709" i="2"/>
  <c r="U709" i="2"/>
  <c r="T709" i="2"/>
  <c r="S709" i="2"/>
  <c r="R709" i="2"/>
  <c r="O709" i="2"/>
  <c r="N709" i="2"/>
  <c r="M709" i="2"/>
  <c r="Z708" i="2"/>
  <c r="U708" i="2"/>
  <c r="T708" i="2"/>
  <c r="S708" i="2"/>
  <c r="R708" i="2"/>
  <c r="O708" i="2"/>
  <c r="N708" i="2"/>
  <c r="M708" i="2"/>
  <c r="Z707" i="2"/>
  <c r="U707" i="2"/>
  <c r="T707" i="2"/>
  <c r="S707" i="2"/>
  <c r="R707" i="2"/>
  <c r="O707" i="2"/>
  <c r="N707" i="2"/>
  <c r="M707" i="2"/>
  <c r="Z706" i="2"/>
  <c r="U706" i="2"/>
  <c r="T706" i="2"/>
  <c r="S706" i="2"/>
  <c r="R706" i="2"/>
  <c r="O706" i="2"/>
  <c r="N706" i="2"/>
  <c r="M706" i="2"/>
  <c r="Z705" i="2"/>
  <c r="U705" i="2"/>
  <c r="T705" i="2"/>
  <c r="S705" i="2"/>
  <c r="R705" i="2"/>
  <c r="O705" i="2"/>
  <c r="N705" i="2"/>
  <c r="M705" i="2"/>
  <c r="Z704" i="2"/>
  <c r="U704" i="2"/>
  <c r="T704" i="2"/>
  <c r="S704" i="2"/>
  <c r="R704" i="2"/>
  <c r="O704" i="2"/>
  <c r="N704" i="2"/>
  <c r="M704" i="2"/>
  <c r="Z703" i="2"/>
  <c r="U703" i="2"/>
  <c r="T703" i="2"/>
  <c r="S703" i="2"/>
  <c r="R703" i="2"/>
  <c r="O703" i="2"/>
  <c r="N703" i="2"/>
  <c r="M703" i="2"/>
  <c r="Z702" i="2"/>
  <c r="U702" i="2"/>
  <c r="T702" i="2"/>
  <c r="S702" i="2"/>
  <c r="R702" i="2"/>
  <c r="O702" i="2"/>
  <c r="N702" i="2"/>
  <c r="M702" i="2"/>
  <c r="Z701" i="2"/>
  <c r="U701" i="2"/>
  <c r="T701" i="2"/>
  <c r="S701" i="2"/>
  <c r="R701" i="2"/>
  <c r="O701" i="2"/>
  <c r="N701" i="2"/>
  <c r="M701" i="2"/>
  <c r="Z700" i="2"/>
  <c r="U700" i="2"/>
  <c r="T700" i="2"/>
  <c r="S700" i="2"/>
  <c r="R700" i="2"/>
  <c r="O700" i="2"/>
  <c r="N700" i="2"/>
  <c r="M700" i="2"/>
  <c r="Z699" i="2"/>
  <c r="U699" i="2"/>
  <c r="T699" i="2"/>
  <c r="S699" i="2"/>
  <c r="R699" i="2"/>
  <c r="O699" i="2"/>
  <c r="N699" i="2"/>
  <c r="M699" i="2"/>
  <c r="Z698" i="2"/>
  <c r="U698" i="2"/>
  <c r="T698" i="2"/>
  <c r="S698" i="2"/>
  <c r="R698" i="2"/>
  <c r="O698" i="2"/>
  <c r="N698" i="2"/>
  <c r="M698" i="2"/>
  <c r="Z697" i="2"/>
  <c r="U697" i="2"/>
  <c r="T697" i="2"/>
  <c r="S697" i="2"/>
  <c r="R697" i="2"/>
  <c r="O697" i="2"/>
  <c r="N697" i="2"/>
  <c r="M697" i="2"/>
  <c r="Z696" i="2"/>
  <c r="U696" i="2"/>
  <c r="T696" i="2"/>
  <c r="S696" i="2"/>
  <c r="R696" i="2"/>
  <c r="O696" i="2"/>
  <c r="N696" i="2"/>
  <c r="M696" i="2"/>
  <c r="Z695" i="2"/>
  <c r="U695" i="2"/>
  <c r="T695" i="2"/>
  <c r="S695" i="2"/>
  <c r="R695" i="2"/>
  <c r="O695" i="2"/>
  <c r="N695" i="2"/>
  <c r="M695" i="2"/>
  <c r="Z694" i="2"/>
  <c r="U694" i="2"/>
  <c r="T694" i="2"/>
  <c r="S694" i="2"/>
  <c r="R694" i="2"/>
  <c r="O694" i="2"/>
  <c r="N694" i="2"/>
  <c r="M694" i="2"/>
  <c r="Z693" i="2"/>
  <c r="U693" i="2"/>
  <c r="T693" i="2"/>
  <c r="S693" i="2"/>
  <c r="R693" i="2"/>
  <c r="O693" i="2"/>
  <c r="N693" i="2"/>
  <c r="M693" i="2"/>
  <c r="Z692" i="2"/>
  <c r="U692" i="2"/>
  <c r="T692" i="2"/>
  <c r="S692" i="2"/>
  <c r="R692" i="2"/>
  <c r="O692" i="2"/>
  <c r="N692" i="2"/>
  <c r="M692" i="2"/>
  <c r="Z691" i="2"/>
  <c r="U691" i="2"/>
  <c r="T691" i="2"/>
  <c r="S691" i="2"/>
  <c r="R691" i="2"/>
  <c r="O691" i="2"/>
  <c r="N691" i="2"/>
  <c r="M691" i="2"/>
  <c r="Z690" i="2"/>
  <c r="U690" i="2"/>
  <c r="T690" i="2"/>
  <c r="S690" i="2"/>
  <c r="R690" i="2"/>
  <c r="O690" i="2"/>
  <c r="N690" i="2"/>
  <c r="M690" i="2"/>
  <c r="Z689" i="2"/>
  <c r="U689" i="2"/>
  <c r="T689" i="2"/>
  <c r="S689" i="2"/>
  <c r="R689" i="2"/>
  <c r="O689" i="2"/>
  <c r="N689" i="2"/>
  <c r="M689" i="2"/>
  <c r="Z688" i="2"/>
  <c r="U688" i="2"/>
  <c r="T688" i="2"/>
  <c r="S688" i="2"/>
  <c r="R688" i="2"/>
  <c r="O688" i="2"/>
  <c r="N688" i="2"/>
  <c r="M688" i="2"/>
  <c r="Z687" i="2"/>
  <c r="U687" i="2"/>
  <c r="T687" i="2"/>
  <c r="S687" i="2"/>
  <c r="R687" i="2"/>
  <c r="O687" i="2"/>
  <c r="N687" i="2"/>
  <c r="M687" i="2"/>
  <c r="Z686" i="2"/>
  <c r="U686" i="2"/>
  <c r="T686" i="2"/>
  <c r="S686" i="2"/>
  <c r="R686" i="2"/>
  <c r="O686" i="2"/>
  <c r="N686" i="2"/>
  <c r="M686" i="2"/>
  <c r="Z685" i="2"/>
  <c r="U685" i="2"/>
  <c r="T685" i="2"/>
  <c r="S685" i="2"/>
  <c r="R685" i="2"/>
  <c r="O685" i="2"/>
  <c r="N685" i="2"/>
  <c r="M685" i="2"/>
  <c r="Z684" i="2"/>
  <c r="U684" i="2"/>
  <c r="T684" i="2"/>
  <c r="S684" i="2"/>
  <c r="R684" i="2"/>
  <c r="O684" i="2"/>
  <c r="N684" i="2"/>
  <c r="M684" i="2"/>
  <c r="Z683" i="2"/>
  <c r="U683" i="2"/>
  <c r="T683" i="2"/>
  <c r="S683" i="2"/>
  <c r="R683" i="2"/>
  <c r="O683" i="2"/>
  <c r="N683" i="2"/>
  <c r="M683" i="2"/>
  <c r="Z682" i="2"/>
  <c r="U682" i="2"/>
  <c r="T682" i="2"/>
  <c r="S682" i="2"/>
  <c r="R682" i="2"/>
  <c r="O682" i="2"/>
  <c r="N682" i="2"/>
  <c r="M682" i="2"/>
  <c r="Z681" i="2"/>
  <c r="U681" i="2"/>
  <c r="T681" i="2"/>
  <c r="S681" i="2"/>
  <c r="R681" i="2"/>
  <c r="O681" i="2"/>
  <c r="N681" i="2"/>
  <c r="M681" i="2"/>
  <c r="Z680" i="2"/>
  <c r="U680" i="2"/>
  <c r="T680" i="2"/>
  <c r="S680" i="2"/>
  <c r="R680" i="2"/>
  <c r="O680" i="2"/>
  <c r="N680" i="2"/>
  <c r="M680" i="2"/>
  <c r="Z679" i="2"/>
  <c r="U679" i="2"/>
  <c r="T679" i="2"/>
  <c r="S679" i="2"/>
  <c r="R679" i="2"/>
  <c r="O679" i="2"/>
  <c r="N679" i="2"/>
  <c r="M679" i="2"/>
  <c r="Z678" i="2"/>
  <c r="U678" i="2"/>
  <c r="T678" i="2"/>
  <c r="S678" i="2"/>
  <c r="R678" i="2"/>
  <c r="O678" i="2"/>
  <c r="N678" i="2"/>
  <c r="M678" i="2"/>
  <c r="Z677" i="2"/>
  <c r="U677" i="2"/>
  <c r="T677" i="2"/>
  <c r="S677" i="2"/>
  <c r="R677" i="2"/>
  <c r="O677" i="2"/>
  <c r="N677" i="2"/>
  <c r="M677" i="2"/>
  <c r="Z676" i="2"/>
  <c r="U676" i="2"/>
  <c r="T676" i="2"/>
  <c r="S676" i="2"/>
  <c r="R676" i="2"/>
  <c r="O676" i="2"/>
  <c r="N676" i="2"/>
  <c r="M676" i="2"/>
  <c r="Z675" i="2"/>
  <c r="U675" i="2"/>
  <c r="T675" i="2"/>
  <c r="S675" i="2"/>
  <c r="R675" i="2"/>
  <c r="O675" i="2"/>
  <c r="N675" i="2"/>
  <c r="M675" i="2"/>
  <c r="Z674" i="2"/>
  <c r="U674" i="2"/>
  <c r="T674" i="2"/>
  <c r="S674" i="2"/>
  <c r="R674" i="2"/>
  <c r="O674" i="2"/>
  <c r="N674" i="2"/>
  <c r="M674" i="2"/>
  <c r="Z673" i="2"/>
  <c r="U673" i="2"/>
  <c r="T673" i="2"/>
  <c r="S673" i="2"/>
  <c r="R673" i="2"/>
  <c r="O673" i="2"/>
  <c r="N673" i="2"/>
  <c r="M673" i="2"/>
  <c r="Z672" i="2"/>
  <c r="U672" i="2"/>
  <c r="T672" i="2"/>
  <c r="S672" i="2"/>
  <c r="R672" i="2"/>
  <c r="O672" i="2"/>
  <c r="N672" i="2"/>
  <c r="M672" i="2"/>
  <c r="Z671" i="2"/>
  <c r="U671" i="2"/>
  <c r="T671" i="2"/>
  <c r="S671" i="2"/>
  <c r="R671" i="2"/>
  <c r="O671" i="2"/>
  <c r="N671" i="2"/>
  <c r="M671" i="2"/>
  <c r="Z670" i="2"/>
  <c r="U670" i="2"/>
  <c r="T670" i="2"/>
  <c r="S670" i="2"/>
  <c r="R670" i="2"/>
  <c r="O670" i="2"/>
  <c r="N670" i="2"/>
  <c r="M670" i="2"/>
  <c r="Z669" i="2"/>
  <c r="U669" i="2"/>
  <c r="T669" i="2"/>
  <c r="S669" i="2"/>
  <c r="R669" i="2"/>
  <c r="O669" i="2"/>
  <c r="N669" i="2"/>
  <c r="M669" i="2"/>
  <c r="Z668" i="2"/>
  <c r="U668" i="2"/>
  <c r="T668" i="2"/>
  <c r="S668" i="2"/>
  <c r="R668" i="2"/>
  <c r="O668" i="2"/>
  <c r="N668" i="2"/>
  <c r="M668" i="2"/>
  <c r="Z667" i="2"/>
  <c r="U667" i="2"/>
  <c r="T667" i="2"/>
  <c r="S667" i="2"/>
  <c r="R667" i="2"/>
  <c r="O667" i="2"/>
  <c r="N667" i="2"/>
  <c r="M667" i="2"/>
  <c r="Z666" i="2"/>
  <c r="U666" i="2"/>
  <c r="T666" i="2"/>
  <c r="S666" i="2"/>
  <c r="R666" i="2"/>
  <c r="O666" i="2"/>
  <c r="N666" i="2"/>
  <c r="M666" i="2"/>
  <c r="Z665" i="2"/>
  <c r="U665" i="2"/>
  <c r="T665" i="2"/>
  <c r="S665" i="2"/>
  <c r="R665" i="2"/>
  <c r="O665" i="2"/>
  <c r="N665" i="2"/>
  <c r="M665" i="2"/>
  <c r="Z664" i="2"/>
  <c r="U664" i="2"/>
  <c r="T664" i="2"/>
  <c r="S664" i="2"/>
  <c r="R664" i="2"/>
  <c r="O664" i="2"/>
  <c r="N664" i="2"/>
  <c r="M664" i="2"/>
  <c r="Z663" i="2"/>
  <c r="U663" i="2"/>
  <c r="T663" i="2"/>
  <c r="S663" i="2"/>
  <c r="R663" i="2"/>
  <c r="O663" i="2"/>
  <c r="N663" i="2"/>
  <c r="M663" i="2"/>
  <c r="Z662" i="2"/>
  <c r="U662" i="2"/>
  <c r="T662" i="2"/>
  <c r="S662" i="2"/>
  <c r="R662" i="2"/>
  <c r="O662" i="2"/>
  <c r="N662" i="2"/>
  <c r="M662" i="2"/>
  <c r="Z661" i="2"/>
  <c r="U661" i="2"/>
  <c r="T661" i="2"/>
  <c r="S661" i="2"/>
  <c r="R661" i="2"/>
  <c r="O661" i="2"/>
  <c r="N661" i="2"/>
  <c r="M661" i="2"/>
  <c r="Z660" i="2"/>
  <c r="U660" i="2"/>
  <c r="T660" i="2"/>
  <c r="S660" i="2"/>
  <c r="R660" i="2"/>
  <c r="O660" i="2"/>
  <c r="N660" i="2"/>
  <c r="M660" i="2"/>
  <c r="Z659" i="2"/>
  <c r="U659" i="2"/>
  <c r="T659" i="2"/>
  <c r="S659" i="2"/>
  <c r="R659" i="2"/>
  <c r="O659" i="2"/>
  <c r="N659" i="2"/>
  <c r="M659" i="2"/>
  <c r="Z658" i="2"/>
  <c r="U658" i="2"/>
  <c r="T658" i="2"/>
  <c r="S658" i="2"/>
  <c r="R658" i="2"/>
  <c r="O658" i="2"/>
  <c r="N658" i="2"/>
  <c r="M658" i="2"/>
  <c r="Z657" i="2"/>
  <c r="U657" i="2"/>
  <c r="T657" i="2"/>
  <c r="S657" i="2"/>
  <c r="R657" i="2"/>
  <c r="O657" i="2"/>
  <c r="N657" i="2"/>
  <c r="M657" i="2"/>
  <c r="Z656" i="2"/>
  <c r="U656" i="2"/>
  <c r="T656" i="2"/>
  <c r="S656" i="2"/>
  <c r="R656" i="2"/>
  <c r="O656" i="2"/>
  <c r="N656" i="2"/>
  <c r="M656" i="2"/>
  <c r="Z655" i="2"/>
  <c r="U655" i="2"/>
  <c r="T655" i="2"/>
  <c r="S655" i="2"/>
  <c r="R655" i="2"/>
  <c r="O655" i="2"/>
  <c r="N655" i="2"/>
  <c r="M655" i="2"/>
  <c r="Z654" i="2"/>
  <c r="U654" i="2"/>
  <c r="T654" i="2"/>
  <c r="S654" i="2"/>
  <c r="R654" i="2"/>
  <c r="O654" i="2"/>
  <c r="N654" i="2"/>
  <c r="M654" i="2"/>
  <c r="Z653" i="2"/>
  <c r="U653" i="2"/>
  <c r="T653" i="2"/>
  <c r="S653" i="2"/>
  <c r="R653" i="2"/>
  <c r="O653" i="2"/>
  <c r="N653" i="2"/>
  <c r="M653" i="2"/>
  <c r="Z652" i="2"/>
  <c r="U652" i="2"/>
  <c r="T652" i="2"/>
  <c r="S652" i="2"/>
  <c r="R652" i="2"/>
  <c r="O652" i="2"/>
  <c r="N652" i="2"/>
  <c r="M652" i="2"/>
  <c r="Z651" i="2"/>
  <c r="U651" i="2"/>
  <c r="T651" i="2"/>
  <c r="S651" i="2"/>
  <c r="R651" i="2"/>
  <c r="O651" i="2"/>
  <c r="N651" i="2"/>
  <c r="M651" i="2"/>
  <c r="Z650" i="2"/>
  <c r="U650" i="2"/>
  <c r="T650" i="2"/>
  <c r="S650" i="2"/>
  <c r="R650" i="2"/>
  <c r="O650" i="2"/>
  <c r="N650" i="2"/>
  <c r="M650" i="2"/>
  <c r="Z649" i="2"/>
  <c r="U649" i="2"/>
  <c r="T649" i="2"/>
  <c r="S649" i="2"/>
  <c r="R649" i="2"/>
  <c r="O649" i="2"/>
  <c r="N649" i="2"/>
  <c r="M649" i="2"/>
  <c r="Z648" i="2"/>
  <c r="U648" i="2"/>
  <c r="T648" i="2"/>
  <c r="S648" i="2"/>
  <c r="R648" i="2"/>
  <c r="O648" i="2"/>
  <c r="N648" i="2"/>
  <c r="M648" i="2"/>
  <c r="Z647" i="2"/>
  <c r="U647" i="2"/>
  <c r="T647" i="2"/>
  <c r="S647" i="2"/>
  <c r="R647" i="2"/>
  <c r="O647" i="2"/>
  <c r="N647" i="2"/>
  <c r="M647" i="2"/>
  <c r="Z646" i="2"/>
  <c r="U646" i="2"/>
  <c r="T646" i="2"/>
  <c r="S646" i="2"/>
  <c r="R646" i="2"/>
  <c r="O646" i="2"/>
  <c r="N646" i="2"/>
  <c r="M646" i="2"/>
  <c r="Z645" i="2"/>
  <c r="U645" i="2"/>
  <c r="T645" i="2"/>
  <c r="S645" i="2"/>
  <c r="R645" i="2"/>
  <c r="O645" i="2"/>
  <c r="N645" i="2"/>
  <c r="M645" i="2"/>
  <c r="Z644" i="2"/>
  <c r="U644" i="2"/>
  <c r="T644" i="2"/>
  <c r="S644" i="2"/>
  <c r="R644" i="2"/>
  <c r="O644" i="2"/>
  <c r="N644" i="2"/>
  <c r="M644" i="2"/>
  <c r="Z643" i="2"/>
  <c r="U643" i="2"/>
  <c r="T643" i="2"/>
  <c r="S643" i="2"/>
  <c r="R643" i="2"/>
  <c r="O643" i="2"/>
  <c r="N643" i="2"/>
  <c r="M643" i="2"/>
  <c r="Z642" i="2"/>
  <c r="U642" i="2"/>
  <c r="T642" i="2"/>
  <c r="S642" i="2"/>
  <c r="R642" i="2"/>
  <c r="O642" i="2"/>
  <c r="N642" i="2"/>
  <c r="M642" i="2"/>
  <c r="Z641" i="2"/>
  <c r="U641" i="2"/>
  <c r="T641" i="2"/>
  <c r="S641" i="2"/>
  <c r="R641" i="2"/>
  <c r="O641" i="2"/>
  <c r="N641" i="2"/>
  <c r="M641" i="2"/>
  <c r="Z640" i="2"/>
  <c r="U640" i="2"/>
  <c r="T640" i="2"/>
  <c r="S640" i="2"/>
  <c r="R640" i="2"/>
  <c r="O640" i="2"/>
  <c r="N640" i="2"/>
  <c r="M640" i="2"/>
  <c r="Z639" i="2"/>
  <c r="U639" i="2"/>
  <c r="T639" i="2"/>
  <c r="S639" i="2"/>
  <c r="R639" i="2"/>
  <c r="O639" i="2"/>
  <c r="N639" i="2"/>
  <c r="M639" i="2"/>
  <c r="Z638" i="2"/>
  <c r="U638" i="2"/>
  <c r="T638" i="2"/>
  <c r="S638" i="2"/>
  <c r="R638" i="2"/>
  <c r="O638" i="2"/>
  <c r="N638" i="2"/>
  <c r="M638" i="2"/>
  <c r="Z637" i="2"/>
  <c r="U637" i="2"/>
  <c r="T637" i="2"/>
  <c r="S637" i="2"/>
  <c r="R637" i="2"/>
  <c r="O637" i="2"/>
  <c r="N637" i="2"/>
  <c r="M637" i="2"/>
  <c r="Z636" i="2"/>
  <c r="U636" i="2"/>
  <c r="T636" i="2"/>
  <c r="S636" i="2"/>
  <c r="R636" i="2"/>
  <c r="O636" i="2"/>
  <c r="N636" i="2"/>
  <c r="M636" i="2"/>
  <c r="Z635" i="2"/>
  <c r="U635" i="2"/>
  <c r="T635" i="2"/>
  <c r="S635" i="2"/>
  <c r="R635" i="2"/>
  <c r="O635" i="2"/>
  <c r="N635" i="2"/>
  <c r="M635" i="2"/>
  <c r="Z634" i="2"/>
  <c r="U634" i="2"/>
  <c r="T634" i="2"/>
  <c r="S634" i="2"/>
  <c r="R634" i="2"/>
  <c r="O634" i="2"/>
  <c r="N634" i="2"/>
  <c r="M634" i="2"/>
  <c r="Z633" i="2"/>
  <c r="U633" i="2"/>
  <c r="T633" i="2"/>
  <c r="S633" i="2"/>
  <c r="R633" i="2"/>
  <c r="O633" i="2"/>
  <c r="N633" i="2"/>
  <c r="M633" i="2"/>
  <c r="Z632" i="2"/>
  <c r="U632" i="2"/>
  <c r="T632" i="2"/>
  <c r="S632" i="2"/>
  <c r="R632" i="2"/>
  <c r="O632" i="2"/>
  <c r="N632" i="2"/>
  <c r="M632" i="2"/>
  <c r="Z631" i="2"/>
  <c r="U631" i="2"/>
  <c r="T631" i="2"/>
  <c r="S631" i="2"/>
  <c r="R631" i="2"/>
  <c r="O631" i="2"/>
  <c r="N631" i="2"/>
  <c r="M631" i="2"/>
  <c r="Z630" i="2"/>
  <c r="U630" i="2"/>
  <c r="T630" i="2"/>
  <c r="S630" i="2"/>
  <c r="R630" i="2"/>
  <c r="O630" i="2"/>
  <c r="N630" i="2"/>
  <c r="M630" i="2"/>
  <c r="Z629" i="2"/>
  <c r="U629" i="2"/>
  <c r="T629" i="2"/>
  <c r="S629" i="2"/>
  <c r="R629" i="2"/>
  <c r="O629" i="2"/>
  <c r="N629" i="2"/>
  <c r="M629" i="2"/>
  <c r="Z628" i="2"/>
  <c r="U628" i="2"/>
  <c r="T628" i="2"/>
  <c r="S628" i="2"/>
  <c r="R628" i="2"/>
  <c r="O628" i="2"/>
  <c r="N628" i="2"/>
  <c r="M628" i="2"/>
  <c r="Z627" i="2"/>
  <c r="U627" i="2"/>
  <c r="T627" i="2"/>
  <c r="S627" i="2"/>
  <c r="R627" i="2"/>
  <c r="O627" i="2"/>
  <c r="N627" i="2"/>
  <c r="M627" i="2"/>
  <c r="Z626" i="2"/>
  <c r="U626" i="2"/>
  <c r="T626" i="2"/>
  <c r="S626" i="2"/>
  <c r="R626" i="2"/>
  <c r="O626" i="2"/>
  <c r="N626" i="2"/>
  <c r="M626" i="2"/>
  <c r="Z625" i="2"/>
  <c r="U625" i="2"/>
  <c r="T625" i="2"/>
  <c r="S625" i="2"/>
  <c r="R625" i="2"/>
  <c r="O625" i="2"/>
  <c r="N625" i="2"/>
  <c r="M625" i="2"/>
  <c r="Z624" i="2"/>
  <c r="U624" i="2"/>
  <c r="T624" i="2"/>
  <c r="S624" i="2"/>
  <c r="R624" i="2"/>
  <c r="O624" i="2"/>
  <c r="N624" i="2"/>
  <c r="M624" i="2"/>
  <c r="Z623" i="2"/>
  <c r="U623" i="2"/>
  <c r="T623" i="2"/>
  <c r="S623" i="2"/>
  <c r="R623" i="2"/>
  <c r="O623" i="2"/>
  <c r="N623" i="2"/>
  <c r="M623" i="2"/>
  <c r="Z622" i="2"/>
  <c r="U622" i="2"/>
  <c r="T622" i="2"/>
  <c r="S622" i="2"/>
  <c r="R622" i="2"/>
  <c r="O622" i="2"/>
  <c r="N622" i="2"/>
  <c r="M622" i="2"/>
  <c r="Z621" i="2"/>
  <c r="U621" i="2"/>
  <c r="T621" i="2"/>
  <c r="S621" i="2"/>
  <c r="R621" i="2"/>
  <c r="O621" i="2"/>
  <c r="N621" i="2"/>
  <c r="M621" i="2"/>
  <c r="Z620" i="2"/>
  <c r="U620" i="2"/>
  <c r="T620" i="2"/>
  <c r="S620" i="2"/>
  <c r="R620" i="2"/>
  <c r="O620" i="2"/>
  <c r="N620" i="2"/>
  <c r="M620" i="2"/>
  <c r="Z619" i="2"/>
  <c r="U619" i="2"/>
  <c r="T619" i="2"/>
  <c r="S619" i="2"/>
  <c r="R619" i="2"/>
  <c r="O619" i="2"/>
  <c r="N619" i="2"/>
  <c r="M619" i="2"/>
  <c r="Z618" i="2"/>
  <c r="U618" i="2"/>
  <c r="T618" i="2"/>
  <c r="S618" i="2"/>
  <c r="R618" i="2"/>
  <c r="O618" i="2"/>
  <c r="N618" i="2"/>
  <c r="M618" i="2"/>
  <c r="Z617" i="2"/>
  <c r="U617" i="2"/>
  <c r="T617" i="2"/>
  <c r="S617" i="2"/>
  <c r="R617" i="2"/>
  <c r="O617" i="2"/>
  <c r="N617" i="2"/>
  <c r="M617" i="2"/>
  <c r="Z616" i="2"/>
  <c r="U616" i="2"/>
  <c r="T616" i="2"/>
  <c r="S616" i="2"/>
  <c r="R616" i="2"/>
  <c r="O616" i="2"/>
  <c r="N616" i="2"/>
  <c r="M616" i="2"/>
  <c r="Z615" i="2"/>
  <c r="U615" i="2"/>
  <c r="T615" i="2"/>
  <c r="S615" i="2"/>
  <c r="R615" i="2"/>
  <c r="O615" i="2"/>
  <c r="N615" i="2"/>
  <c r="M615" i="2"/>
  <c r="Z614" i="2"/>
  <c r="U614" i="2"/>
  <c r="T614" i="2"/>
  <c r="S614" i="2"/>
  <c r="R614" i="2"/>
  <c r="O614" i="2"/>
  <c r="N614" i="2"/>
  <c r="M614" i="2"/>
  <c r="Z613" i="2"/>
  <c r="U613" i="2"/>
  <c r="T613" i="2"/>
  <c r="S613" i="2"/>
  <c r="R613" i="2"/>
  <c r="O613" i="2"/>
  <c r="N613" i="2"/>
  <c r="M613" i="2"/>
  <c r="Z612" i="2"/>
  <c r="U612" i="2"/>
  <c r="T612" i="2"/>
  <c r="S612" i="2"/>
  <c r="R612" i="2"/>
  <c r="O612" i="2"/>
  <c r="N612" i="2"/>
  <c r="M612" i="2"/>
  <c r="Z611" i="2"/>
  <c r="U611" i="2"/>
  <c r="T611" i="2"/>
  <c r="S611" i="2"/>
  <c r="R611" i="2"/>
  <c r="O611" i="2"/>
  <c r="N611" i="2"/>
  <c r="M611" i="2"/>
  <c r="Z610" i="2"/>
  <c r="U610" i="2"/>
  <c r="T610" i="2"/>
  <c r="S610" i="2"/>
  <c r="R610" i="2"/>
  <c r="O610" i="2"/>
  <c r="N610" i="2"/>
  <c r="M610" i="2"/>
  <c r="Z609" i="2"/>
  <c r="U609" i="2"/>
  <c r="T609" i="2"/>
  <c r="S609" i="2"/>
  <c r="R609" i="2"/>
  <c r="O609" i="2"/>
  <c r="N609" i="2"/>
  <c r="M609" i="2"/>
  <c r="Z608" i="2"/>
  <c r="U608" i="2"/>
  <c r="T608" i="2"/>
  <c r="S608" i="2"/>
  <c r="R608" i="2"/>
  <c r="O608" i="2"/>
  <c r="N608" i="2"/>
  <c r="M608" i="2"/>
  <c r="Z607" i="2"/>
  <c r="U607" i="2"/>
  <c r="T607" i="2"/>
  <c r="S607" i="2"/>
  <c r="R607" i="2"/>
  <c r="O607" i="2"/>
  <c r="N607" i="2"/>
  <c r="M607" i="2"/>
  <c r="Z606" i="2"/>
  <c r="U606" i="2"/>
  <c r="T606" i="2"/>
  <c r="S606" i="2"/>
  <c r="R606" i="2"/>
  <c r="O606" i="2"/>
  <c r="N606" i="2"/>
  <c r="M606" i="2"/>
  <c r="Z605" i="2"/>
  <c r="U605" i="2"/>
  <c r="T605" i="2"/>
  <c r="S605" i="2"/>
  <c r="R605" i="2"/>
  <c r="O605" i="2"/>
  <c r="N605" i="2"/>
  <c r="M605" i="2"/>
  <c r="Z604" i="2"/>
  <c r="U604" i="2"/>
  <c r="T604" i="2"/>
  <c r="S604" i="2"/>
  <c r="R604" i="2"/>
  <c r="O604" i="2"/>
  <c r="N604" i="2"/>
  <c r="M604" i="2"/>
  <c r="Z603" i="2"/>
  <c r="U603" i="2"/>
  <c r="T603" i="2"/>
  <c r="S603" i="2"/>
  <c r="R603" i="2"/>
  <c r="O603" i="2"/>
  <c r="N603" i="2"/>
  <c r="M603" i="2"/>
  <c r="Z602" i="2"/>
  <c r="U602" i="2"/>
  <c r="T602" i="2"/>
  <c r="S602" i="2"/>
  <c r="R602" i="2"/>
  <c r="O602" i="2"/>
  <c r="N602" i="2"/>
  <c r="M602" i="2"/>
  <c r="Z601" i="2"/>
  <c r="U601" i="2"/>
  <c r="T601" i="2"/>
  <c r="S601" i="2"/>
  <c r="R601" i="2"/>
  <c r="O601" i="2"/>
  <c r="N601" i="2"/>
  <c r="M601" i="2"/>
  <c r="Z600" i="2"/>
  <c r="U600" i="2"/>
  <c r="T600" i="2"/>
  <c r="S600" i="2"/>
  <c r="R600" i="2"/>
  <c r="O600" i="2"/>
  <c r="N600" i="2"/>
  <c r="M600" i="2"/>
  <c r="Z599" i="2"/>
  <c r="U599" i="2"/>
  <c r="T599" i="2"/>
  <c r="S599" i="2"/>
  <c r="R599" i="2"/>
  <c r="O599" i="2"/>
  <c r="N599" i="2"/>
  <c r="M599" i="2"/>
  <c r="Z598" i="2"/>
  <c r="U598" i="2"/>
  <c r="T598" i="2"/>
  <c r="S598" i="2"/>
  <c r="R598" i="2"/>
  <c r="O598" i="2"/>
  <c r="N598" i="2"/>
  <c r="M598" i="2"/>
  <c r="Z597" i="2"/>
  <c r="U597" i="2"/>
  <c r="T597" i="2"/>
  <c r="S597" i="2"/>
  <c r="R597" i="2"/>
  <c r="O597" i="2"/>
  <c r="N597" i="2"/>
  <c r="M597" i="2"/>
  <c r="Z596" i="2"/>
  <c r="U596" i="2"/>
  <c r="T596" i="2"/>
  <c r="S596" i="2"/>
  <c r="R596" i="2"/>
  <c r="O596" i="2"/>
  <c r="N596" i="2"/>
  <c r="M596" i="2"/>
  <c r="Z595" i="2"/>
  <c r="U595" i="2"/>
  <c r="T595" i="2"/>
  <c r="S595" i="2"/>
  <c r="R595" i="2"/>
  <c r="O595" i="2"/>
  <c r="N595" i="2"/>
  <c r="M595" i="2"/>
  <c r="Z594" i="2"/>
  <c r="U594" i="2"/>
  <c r="T594" i="2"/>
  <c r="S594" i="2"/>
  <c r="R594" i="2"/>
  <c r="O594" i="2"/>
  <c r="N594" i="2"/>
  <c r="M594" i="2"/>
  <c r="Z593" i="2"/>
  <c r="U593" i="2"/>
  <c r="T593" i="2"/>
  <c r="S593" i="2"/>
  <c r="R593" i="2"/>
  <c r="O593" i="2"/>
  <c r="N593" i="2"/>
  <c r="M593" i="2"/>
  <c r="Z592" i="2"/>
  <c r="U592" i="2"/>
  <c r="T592" i="2"/>
  <c r="S592" i="2"/>
  <c r="R592" i="2"/>
  <c r="O592" i="2"/>
  <c r="N592" i="2"/>
  <c r="M592" i="2"/>
  <c r="Z591" i="2"/>
  <c r="U591" i="2"/>
  <c r="T591" i="2"/>
  <c r="S591" i="2"/>
  <c r="R591" i="2"/>
  <c r="O591" i="2"/>
  <c r="N591" i="2"/>
  <c r="M591" i="2"/>
  <c r="Z590" i="2"/>
  <c r="U590" i="2"/>
  <c r="T590" i="2"/>
  <c r="S590" i="2"/>
  <c r="R590" i="2"/>
  <c r="O590" i="2"/>
  <c r="N590" i="2"/>
  <c r="M590" i="2"/>
  <c r="Z589" i="2"/>
  <c r="U589" i="2"/>
  <c r="T589" i="2"/>
  <c r="S589" i="2"/>
  <c r="R589" i="2"/>
  <c r="O589" i="2"/>
  <c r="N589" i="2"/>
  <c r="M589" i="2"/>
  <c r="Z588" i="2"/>
  <c r="U588" i="2"/>
  <c r="T588" i="2"/>
  <c r="S588" i="2"/>
  <c r="R588" i="2"/>
  <c r="O588" i="2"/>
  <c r="N588" i="2"/>
  <c r="M588" i="2"/>
  <c r="Z587" i="2"/>
  <c r="U587" i="2"/>
  <c r="T587" i="2"/>
  <c r="S587" i="2"/>
  <c r="R587" i="2"/>
  <c r="O587" i="2"/>
  <c r="N587" i="2"/>
  <c r="M587" i="2"/>
  <c r="Z586" i="2"/>
  <c r="U586" i="2"/>
  <c r="T586" i="2"/>
  <c r="S586" i="2"/>
  <c r="R586" i="2"/>
  <c r="O586" i="2"/>
  <c r="N586" i="2"/>
  <c r="M586" i="2"/>
  <c r="Z585" i="2"/>
  <c r="U585" i="2"/>
  <c r="T585" i="2"/>
  <c r="S585" i="2"/>
  <c r="R585" i="2"/>
  <c r="O585" i="2"/>
  <c r="N585" i="2"/>
  <c r="M585" i="2"/>
  <c r="Z584" i="2"/>
  <c r="U584" i="2"/>
  <c r="T584" i="2"/>
  <c r="S584" i="2"/>
  <c r="R584" i="2"/>
  <c r="O584" i="2"/>
  <c r="N584" i="2"/>
  <c r="M584" i="2"/>
  <c r="Z583" i="2"/>
  <c r="U583" i="2"/>
  <c r="T583" i="2"/>
  <c r="S583" i="2"/>
  <c r="R583" i="2"/>
  <c r="O583" i="2"/>
  <c r="N583" i="2"/>
  <c r="M583" i="2"/>
  <c r="Z582" i="2"/>
  <c r="U582" i="2"/>
  <c r="T582" i="2"/>
  <c r="S582" i="2"/>
  <c r="R582" i="2"/>
  <c r="O582" i="2"/>
  <c r="N582" i="2"/>
  <c r="M582" i="2"/>
  <c r="Z581" i="2"/>
  <c r="U581" i="2"/>
  <c r="T581" i="2"/>
  <c r="S581" i="2"/>
  <c r="R581" i="2"/>
  <c r="O581" i="2"/>
  <c r="N581" i="2"/>
  <c r="M581" i="2"/>
  <c r="Z580" i="2"/>
  <c r="U580" i="2"/>
  <c r="T580" i="2"/>
  <c r="S580" i="2"/>
  <c r="R580" i="2"/>
  <c r="O580" i="2"/>
  <c r="N580" i="2"/>
  <c r="M580" i="2"/>
  <c r="Z579" i="2"/>
  <c r="U579" i="2"/>
  <c r="T579" i="2"/>
  <c r="S579" i="2"/>
  <c r="R579" i="2"/>
  <c r="O579" i="2"/>
  <c r="N579" i="2"/>
  <c r="M579" i="2"/>
  <c r="Z578" i="2"/>
  <c r="U578" i="2"/>
  <c r="T578" i="2"/>
  <c r="S578" i="2"/>
  <c r="R578" i="2"/>
  <c r="O578" i="2"/>
  <c r="N578" i="2"/>
  <c r="M578" i="2"/>
  <c r="Z577" i="2"/>
  <c r="U577" i="2"/>
  <c r="T577" i="2"/>
  <c r="S577" i="2"/>
  <c r="R577" i="2"/>
  <c r="O577" i="2"/>
  <c r="N577" i="2"/>
  <c r="M577" i="2"/>
  <c r="Z576" i="2"/>
  <c r="U576" i="2"/>
  <c r="T576" i="2"/>
  <c r="S576" i="2"/>
  <c r="R576" i="2"/>
  <c r="O576" i="2"/>
  <c r="N576" i="2"/>
  <c r="M576" i="2"/>
  <c r="Z575" i="2"/>
  <c r="U575" i="2"/>
  <c r="T575" i="2"/>
  <c r="S575" i="2"/>
  <c r="R575" i="2"/>
  <c r="O575" i="2"/>
  <c r="N575" i="2"/>
  <c r="M575" i="2"/>
  <c r="Z574" i="2"/>
  <c r="U574" i="2"/>
  <c r="T574" i="2"/>
  <c r="S574" i="2"/>
  <c r="R574" i="2"/>
  <c r="O574" i="2"/>
  <c r="N574" i="2"/>
  <c r="M574" i="2"/>
  <c r="Z573" i="2"/>
  <c r="U573" i="2"/>
  <c r="T573" i="2"/>
  <c r="S573" i="2"/>
  <c r="R573" i="2"/>
  <c r="O573" i="2"/>
  <c r="N573" i="2"/>
  <c r="M573" i="2"/>
  <c r="Z572" i="2"/>
  <c r="U572" i="2"/>
  <c r="T572" i="2"/>
  <c r="S572" i="2"/>
  <c r="R572" i="2"/>
  <c r="O572" i="2"/>
  <c r="N572" i="2"/>
  <c r="M572" i="2"/>
  <c r="Z571" i="2"/>
  <c r="U571" i="2"/>
  <c r="T571" i="2"/>
  <c r="S571" i="2"/>
  <c r="R571" i="2"/>
  <c r="O571" i="2"/>
  <c r="N571" i="2"/>
  <c r="M571" i="2"/>
  <c r="Z570" i="2"/>
  <c r="U570" i="2"/>
  <c r="T570" i="2"/>
  <c r="S570" i="2"/>
  <c r="R570" i="2"/>
  <c r="O570" i="2"/>
  <c r="N570" i="2"/>
  <c r="M570" i="2"/>
  <c r="Z569" i="2"/>
  <c r="U569" i="2"/>
  <c r="T569" i="2"/>
  <c r="S569" i="2"/>
  <c r="R569" i="2"/>
  <c r="O569" i="2"/>
  <c r="N569" i="2"/>
  <c r="M569" i="2"/>
  <c r="Z568" i="2"/>
  <c r="U568" i="2"/>
  <c r="T568" i="2"/>
  <c r="S568" i="2"/>
  <c r="R568" i="2"/>
  <c r="O568" i="2"/>
  <c r="N568" i="2"/>
  <c r="M568" i="2"/>
  <c r="Z567" i="2"/>
  <c r="U567" i="2"/>
  <c r="T567" i="2"/>
  <c r="S567" i="2"/>
  <c r="R567" i="2"/>
  <c r="O567" i="2"/>
  <c r="N567" i="2"/>
  <c r="M567" i="2"/>
  <c r="Z566" i="2"/>
  <c r="U566" i="2"/>
  <c r="T566" i="2"/>
  <c r="S566" i="2"/>
  <c r="R566" i="2"/>
  <c r="O566" i="2"/>
  <c r="N566" i="2"/>
  <c r="M566" i="2"/>
  <c r="Z565" i="2"/>
  <c r="U565" i="2"/>
  <c r="T565" i="2"/>
  <c r="S565" i="2"/>
  <c r="R565" i="2"/>
  <c r="O565" i="2"/>
  <c r="N565" i="2"/>
  <c r="M565" i="2"/>
  <c r="Z564" i="2"/>
  <c r="U564" i="2"/>
  <c r="T564" i="2"/>
  <c r="S564" i="2"/>
  <c r="R564" i="2"/>
  <c r="O564" i="2"/>
  <c r="N564" i="2"/>
  <c r="M564" i="2"/>
  <c r="Z563" i="2"/>
  <c r="U563" i="2"/>
  <c r="T563" i="2"/>
  <c r="S563" i="2"/>
  <c r="R563" i="2"/>
  <c r="O563" i="2"/>
  <c r="N563" i="2"/>
  <c r="M563" i="2"/>
  <c r="Z562" i="2"/>
  <c r="U562" i="2"/>
  <c r="T562" i="2"/>
  <c r="S562" i="2"/>
  <c r="R562" i="2"/>
  <c r="O562" i="2"/>
  <c r="N562" i="2"/>
  <c r="M562" i="2"/>
  <c r="Z561" i="2"/>
  <c r="U561" i="2"/>
  <c r="T561" i="2"/>
  <c r="S561" i="2"/>
  <c r="R561" i="2"/>
  <c r="O561" i="2"/>
  <c r="N561" i="2"/>
  <c r="M561" i="2"/>
  <c r="Z560" i="2"/>
  <c r="U560" i="2"/>
  <c r="T560" i="2"/>
  <c r="S560" i="2"/>
  <c r="R560" i="2"/>
  <c r="O560" i="2"/>
  <c r="N560" i="2"/>
  <c r="M560" i="2"/>
  <c r="Z559" i="2"/>
  <c r="U559" i="2"/>
  <c r="T559" i="2"/>
  <c r="S559" i="2"/>
  <c r="R559" i="2"/>
  <c r="O559" i="2"/>
  <c r="N559" i="2"/>
  <c r="M559" i="2"/>
  <c r="Z558" i="2"/>
  <c r="U558" i="2"/>
  <c r="T558" i="2"/>
  <c r="S558" i="2"/>
  <c r="R558" i="2"/>
  <c r="O558" i="2"/>
  <c r="N558" i="2"/>
  <c r="M558" i="2"/>
  <c r="Z557" i="2"/>
  <c r="U557" i="2"/>
  <c r="T557" i="2"/>
  <c r="S557" i="2"/>
  <c r="R557" i="2"/>
  <c r="O557" i="2"/>
  <c r="N557" i="2"/>
  <c r="M557" i="2"/>
  <c r="Z556" i="2"/>
  <c r="U556" i="2"/>
  <c r="T556" i="2"/>
  <c r="S556" i="2"/>
  <c r="R556" i="2"/>
  <c r="O556" i="2"/>
  <c r="N556" i="2"/>
  <c r="M556" i="2"/>
  <c r="Z555" i="2"/>
  <c r="U555" i="2"/>
  <c r="T555" i="2"/>
  <c r="S555" i="2"/>
  <c r="R555" i="2"/>
  <c r="O555" i="2"/>
  <c r="N555" i="2"/>
  <c r="M555" i="2"/>
  <c r="Z554" i="2"/>
  <c r="U554" i="2"/>
  <c r="T554" i="2"/>
  <c r="S554" i="2"/>
  <c r="R554" i="2"/>
  <c r="O554" i="2"/>
  <c r="N554" i="2"/>
  <c r="M554" i="2"/>
  <c r="Z553" i="2"/>
  <c r="U553" i="2"/>
  <c r="T553" i="2"/>
  <c r="S553" i="2"/>
  <c r="R553" i="2"/>
  <c r="O553" i="2"/>
  <c r="N553" i="2"/>
  <c r="M553" i="2"/>
  <c r="Z552" i="2"/>
  <c r="U552" i="2"/>
  <c r="T552" i="2"/>
  <c r="S552" i="2"/>
  <c r="R552" i="2"/>
  <c r="O552" i="2"/>
  <c r="N552" i="2"/>
  <c r="M552" i="2"/>
  <c r="Z551" i="2"/>
  <c r="U551" i="2"/>
  <c r="T551" i="2"/>
  <c r="S551" i="2"/>
  <c r="R551" i="2"/>
  <c r="O551" i="2"/>
  <c r="N551" i="2"/>
  <c r="M551" i="2"/>
  <c r="Z550" i="2"/>
  <c r="U550" i="2"/>
  <c r="T550" i="2"/>
  <c r="S550" i="2"/>
  <c r="R550" i="2"/>
  <c r="O550" i="2"/>
  <c r="N550" i="2"/>
  <c r="M550" i="2"/>
  <c r="Z549" i="2"/>
  <c r="U549" i="2"/>
  <c r="T549" i="2"/>
  <c r="S549" i="2"/>
  <c r="R549" i="2"/>
  <c r="O549" i="2"/>
  <c r="N549" i="2"/>
  <c r="M549" i="2"/>
  <c r="Z548" i="2"/>
  <c r="U548" i="2"/>
  <c r="T548" i="2"/>
  <c r="S548" i="2"/>
  <c r="R548" i="2"/>
  <c r="O548" i="2"/>
  <c r="N548" i="2"/>
  <c r="M548" i="2"/>
  <c r="Z547" i="2"/>
  <c r="U547" i="2"/>
  <c r="T547" i="2"/>
  <c r="S547" i="2"/>
  <c r="R547" i="2"/>
  <c r="O547" i="2"/>
  <c r="N547" i="2"/>
  <c r="M547" i="2"/>
  <c r="Z546" i="2"/>
  <c r="U546" i="2"/>
  <c r="T546" i="2"/>
  <c r="S546" i="2"/>
  <c r="R546" i="2"/>
  <c r="O546" i="2"/>
  <c r="N546" i="2"/>
  <c r="M546" i="2"/>
  <c r="Z545" i="2"/>
  <c r="U545" i="2"/>
  <c r="T545" i="2"/>
  <c r="S545" i="2"/>
  <c r="R545" i="2"/>
  <c r="O545" i="2"/>
  <c r="N545" i="2"/>
  <c r="M545" i="2"/>
  <c r="Z544" i="2"/>
  <c r="U544" i="2"/>
  <c r="T544" i="2"/>
  <c r="S544" i="2"/>
  <c r="R544" i="2"/>
  <c r="O544" i="2"/>
  <c r="N544" i="2"/>
  <c r="M544" i="2"/>
  <c r="Z543" i="2"/>
  <c r="U543" i="2"/>
  <c r="T543" i="2"/>
  <c r="S543" i="2"/>
  <c r="R543" i="2"/>
  <c r="O543" i="2"/>
  <c r="N543" i="2"/>
  <c r="M543" i="2"/>
  <c r="Z542" i="2"/>
  <c r="U542" i="2"/>
  <c r="T542" i="2"/>
  <c r="S542" i="2"/>
  <c r="R542" i="2"/>
  <c r="O542" i="2"/>
  <c r="N542" i="2"/>
  <c r="M542" i="2"/>
  <c r="Z541" i="2"/>
  <c r="U541" i="2"/>
  <c r="T541" i="2"/>
  <c r="S541" i="2"/>
  <c r="R541" i="2"/>
  <c r="O541" i="2"/>
  <c r="N541" i="2"/>
  <c r="M541" i="2"/>
  <c r="Z540" i="2"/>
  <c r="U540" i="2"/>
  <c r="T540" i="2"/>
  <c r="S540" i="2"/>
  <c r="R540" i="2"/>
  <c r="O540" i="2"/>
  <c r="N540" i="2"/>
  <c r="M540" i="2"/>
  <c r="Z539" i="2"/>
  <c r="U539" i="2"/>
  <c r="T539" i="2"/>
  <c r="S539" i="2"/>
  <c r="R539" i="2"/>
  <c r="O539" i="2"/>
  <c r="N539" i="2"/>
  <c r="M539" i="2"/>
  <c r="Z538" i="2"/>
  <c r="U538" i="2"/>
  <c r="T538" i="2"/>
  <c r="S538" i="2"/>
  <c r="R538" i="2"/>
  <c r="O538" i="2"/>
  <c r="N538" i="2"/>
  <c r="M538" i="2"/>
  <c r="Z537" i="2"/>
  <c r="U537" i="2"/>
  <c r="T537" i="2"/>
  <c r="S537" i="2"/>
  <c r="R537" i="2"/>
  <c r="O537" i="2"/>
  <c r="N537" i="2"/>
  <c r="M537" i="2"/>
  <c r="Z536" i="2"/>
  <c r="U536" i="2"/>
  <c r="T536" i="2"/>
  <c r="S536" i="2"/>
  <c r="R536" i="2"/>
  <c r="O536" i="2"/>
  <c r="N536" i="2"/>
  <c r="M536" i="2"/>
  <c r="Z535" i="2"/>
  <c r="U535" i="2"/>
  <c r="T535" i="2"/>
  <c r="S535" i="2"/>
  <c r="R535" i="2"/>
  <c r="O535" i="2"/>
  <c r="N535" i="2"/>
  <c r="M535" i="2"/>
  <c r="Z534" i="2"/>
  <c r="U534" i="2"/>
  <c r="T534" i="2"/>
  <c r="S534" i="2"/>
  <c r="R534" i="2"/>
  <c r="O534" i="2"/>
  <c r="N534" i="2"/>
  <c r="M534" i="2"/>
  <c r="Z533" i="2"/>
  <c r="U533" i="2"/>
  <c r="T533" i="2"/>
  <c r="S533" i="2"/>
  <c r="R533" i="2"/>
  <c r="O533" i="2"/>
  <c r="N533" i="2"/>
  <c r="M533" i="2"/>
  <c r="Z532" i="2"/>
  <c r="U532" i="2"/>
  <c r="T532" i="2"/>
  <c r="S532" i="2"/>
  <c r="R532" i="2"/>
  <c r="O532" i="2"/>
  <c r="N532" i="2"/>
  <c r="M532" i="2"/>
  <c r="Z531" i="2"/>
  <c r="U531" i="2"/>
  <c r="T531" i="2"/>
  <c r="S531" i="2"/>
  <c r="R531" i="2"/>
  <c r="O531" i="2"/>
  <c r="N531" i="2"/>
  <c r="M531" i="2"/>
  <c r="Z530" i="2"/>
  <c r="U530" i="2"/>
  <c r="T530" i="2"/>
  <c r="S530" i="2"/>
  <c r="R530" i="2"/>
  <c r="O530" i="2"/>
  <c r="N530" i="2"/>
  <c r="M530" i="2"/>
  <c r="Z529" i="2"/>
  <c r="U529" i="2"/>
  <c r="T529" i="2"/>
  <c r="S529" i="2"/>
  <c r="R529" i="2"/>
  <c r="O529" i="2"/>
  <c r="N529" i="2"/>
  <c r="M529" i="2"/>
  <c r="Z528" i="2"/>
  <c r="U528" i="2"/>
  <c r="T528" i="2"/>
  <c r="S528" i="2"/>
  <c r="R528" i="2"/>
  <c r="O528" i="2"/>
  <c r="N528" i="2"/>
  <c r="M528" i="2"/>
  <c r="Z527" i="2"/>
  <c r="U527" i="2"/>
  <c r="T527" i="2"/>
  <c r="S527" i="2"/>
  <c r="R527" i="2"/>
  <c r="O527" i="2"/>
  <c r="N527" i="2"/>
  <c r="M527" i="2"/>
  <c r="Z526" i="2"/>
  <c r="U526" i="2"/>
  <c r="T526" i="2"/>
  <c r="S526" i="2"/>
  <c r="R526" i="2"/>
  <c r="O526" i="2"/>
  <c r="N526" i="2"/>
  <c r="M526" i="2"/>
  <c r="Z525" i="2"/>
  <c r="U525" i="2"/>
  <c r="T525" i="2"/>
  <c r="S525" i="2"/>
  <c r="R525" i="2"/>
  <c r="O525" i="2"/>
  <c r="N525" i="2"/>
  <c r="M525" i="2"/>
  <c r="Z524" i="2"/>
  <c r="U524" i="2"/>
  <c r="T524" i="2"/>
  <c r="S524" i="2"/>
  <c r="R524" i="2"/>
  <c r="O524" i="2"/>
  <c r="N524" i="2"/>
  <c r="M524" i="2"/>
  <c r="Z523" i="2"/>
  <c r="U523" i="2"/>
  <c r="T523" i="2"/>
  <c r="S523" i="2"/>
  <c r="R523" i="2"/>
  <c r="O523" i="2"/>
  <c r="N523" i="2"/>
  <c r="M523" i="2"/>
  <c r="Z522" i="2"/>
  <c r="U522" i="2"/>
  <c r="T522" i="2"/>
  <c r="S522" i="2"/>
  <c r="R522" i="2"/>
  <c r="O522" i="2"/>
  <c r="N522" i="2"/>
  <c r="M522" i="2"/>
  <c r="Z521" i="2"/>
  <c r="U521" i="2"/>
  <c r="T521" i="2"/>
  <c r="S521" i="2"/>
  <c r="R521" i="2"/>
  <c r="O521" i="2"/>
  <c r="N521" i="2"/>
  <c r="M521" i="2"/>
  <c r="Z520" i="2"/>
  <c r="U520" i="2"/>
  <c r="T520" i="2"/>
  <c r="S520" i="2"/>
  <c r="R520" i="2"/>
  <c r="O520" i="2"/>
  <c r="N520" i="2"/>
  <c r="M520" i="2"/>
  <c r="Z519" i="2"/>
  <c r="U519" i="2"/>
  <c r="T519" i="2"/>
  <c r="S519" i="2"/>
  <c r="R519" i="2"/>
  <c r="O519" i="2"/>
  <c r="N519" i="2"/>
  <c r="M519" i="2"/>
  <c r="Z518" i="2"/>
  <c r="U518" i="2"/>
  <c r="T518" i="2"/>
  <c r="S518" i="2"/>
  <c r="R518" i="2"/>
  <c r="O518" i="2"/>
  <c r="N518" i="2"/>
  <c r="M518" i="2"/>
  <c r="Z517" i="2"/>
  <c r="U517" i="2"/>
  <c r="T517" i="2"/>
  <c r="S517" i="2"/>
  <c r="R517" i="2"/>
  <c r="O517" i="2"/>
  <c r="N517" i="2"/>
  <c r="M517" i="2"/>
  <c r="Z516" i="2"/>
  <c r="U516" i="2"/>
  <c r="T516" i="2"/>
  <c r="S516" i="2"/>
  <c r="R516" i="2"/>
  <c r="O516" i="2"/>
  <c r="N516" i="2"/>
  <c r="M516" i="2"/>
  <c r="Z515" i="2"/>
  <c r="U515" i="2"/>
  <c r="T515" i="2"/>
  <c r="S515" i="2"/>
  <c r="R515" i="2"/>
  <c r="O515" i="2"/>
  <c r="N515" i="2"/>
  <c r="M515" i="2"/>
  <c r="Z514" i="2"/>
  <c r="U514" i="2"/>
  <c r="T514" i="2"/>
  <c r="S514" i="2"/>
  <c r="R514" i="2"/>
  <c r="O514" i="2"/>
  <c r="N514" i="2"/>
  <c r="M514" i="2"/>
  <c r="Z513" i="2"/>
  <c r="U513" i="2"/>
  <c r="T513" i="2"/>
  <c r="S513" i="2"/>
  <c r="R513" i="2"/>
  <c r="O513" i="2"/>
  <c r="N513" i="2"/>
  <c r="M513" i="2"/>
  <c r="Z512" i="2"/>
  <c r="U512" i="2"/>
  <c r="T512" i="2"/>
  <c r="S512" i="2"/>
  <c r="R512" i="2"/>
  <c r="O512" i="2"/>
  <c r="N512" i="2"/>
  <c r="M512" i="2"/>
  <c r="Z511" i="2"/>
  <c r="U511" i="2"/>
  <c r="T511" i="2"/>
  <c r="S511" i="2"/>
  <c r="R511" i="2"/>
  <c r="O511" i="2"/>
  <c r="N511" i="2"/>
  <c r="M511" i="2"/>
  <c r="Z510" i="2"/>
  <c r="U510" i="2"/>
  <c r="T510" i="2"/>
  <c r="S510" i="2"/>
  <c r="R510" i="2"/>
  <c r="O510" i="2"/>
  <c r="N510" i="2"/>
  <c r="M510" i="2"/>
  <c r="Z509" i="2"/>
  <c r="U509" i="2"/>
  <c r="T509" i="2"/>
  <c r="S509" i="2"/>
  <c r="R509" i="2"/>
  <c r="O509" i="2"/>
  <c r="N509" i="2"/>
  <c r="M509" i="2"/>
  <c r="Z508" i="2"/>
  <c r="U508" i="2"/>
  <c r="T508" i="2"/>
  <c r="S508" i="2"/>
  <c r="R508" i="2"/>
  <c r="O508" i="2"/>
  <c r="N508" i="2"/>
  <c r="M508" i="2"/>
  <c r="Z507" i="2"/>
  <c r="U507" i="2"/>
  <c r="T507" i="2"/>
  <c r="S507" i="2"/>
  <c r="R507" i="2"/>
  <c r="O507" i="2"/>
  <c r="N507" i="2"/>
  <c r="M507" i="2"/>
  <c r="Z506" i="2"/>
  <c r="U506" i="2"/>
  <c r="T506" i="2"/>
  <c r="S506" i="2"/>
  <c r="R506" i="2"/>
  <c r="O506" i="2"/>
  <c r="N506" i="2"/>
  <c r="M506" i="2"/>
  <c r="Z505" i="2"/>
  <c r="U505" i="2"/>
  <c r="T505" i="2"/>
  <c r="S505" i="2"/>
  <c r="R505" i="2"/>
  <c r="O505" i="2"/>
  <c r="N505" i="2"/>
  <c r="M505" i="2"/>
  <c r="Z504" i="2"/>
  <c r="U504" i="2"/>
  <c r="T504" i="2"/>
  <c r="S504" i="2"/>
  <c r="R504" i="2"/>
  <c r="O504" i="2"/>
  <c r="N504" i="2"/>
  <c r="M504" i="2"/>
  <c r="Z503" i="2"/>
  <c r="U503" i="2"/>
  <c r="T503" i="2"/>
  <c r="S503" i="2"/>
  <c r="R503" i="2"/>
  <c r="O503" i="2"/>
  <c r="N503" i="2"/>
  <c r="M503" i="2"/>
  <c r="Z502" i="2"/>
  <c r="U502" i="2"/>
  <c r="T502" i="2"/>
  <c r="S502" i="2"/>
  <c r="R502" i="2"/>
  <c r="O502" i="2"/>
  <c r="N502" i="2"/>
  <c r="M502" i="2"/>
  <c r="Z501" i="2"/>
  <c r="U501" i="2"/>
  <c r="T501" i="2"/>
  <c r="S501" i="2"/>
  <c r="R501" i="2"/>
  <c r="O501" i="2"/>
  <c r="N501" i="2"/>
  <c r="M501" i="2"/>
  <c r="Z500" i="2"/>
  <c r="U500" i="2"/>
  <c r="T500" i="2"/>
  <c r="S500" i="2"/>
  <c r="R500" i="2"/>
  <c r="O500" i="2"/>
  <c r="N500" i="2"/>
  <c r="M500" i="2"/>
  <c r="Z499" i="2"/>
  <c r="U499" i="2"/>
  <c r="T499" i="2"/>
  <c r="S499" i="2"/>
  <c r="R499" i="2"/>
  <c r="O499" i="2"/>
  <c r="N499" i="2"/>
  <c r="M499" i="2"/>
  <c r="Z498" i="2"/>
  <c r="U498" i="2"/>
  <c r="T498" i="2"/>
  <c r="S498" i="2"/>
  <c r="R498" i="2"/>
  <c r="O498" i="2"/>
  <c r="N498" i="2"/>
  <c r="M498" i="2"/>
  <c r="Z497" i="2"/>
  <c r="U497" i="2"/>
  <c r="T497" i="2"/>
  <c r="S497" i="2"/>
  <c r="R497" i="2"/>
  <c r="O497" i="2"/>
  <c r="N497" i="2"/>
  <c r="M497" i="2"/>
  <c r="Z496" i="2"/>
  <c r="U496" i="2"/>
  <c r="T496" i="2"/>
  <c r="S496" i="2"/>
  <c r="R496" i="2"/>
  <c r="O496" i="2"/>
  <c r="N496" i="2"/>
  <c r="M496" i="2"/>
  <c r="Z495" i="2"/>
  <c r="U495" i="2"/>
  <c r="T495" i="2"/>
  <c r="S495" i="2"/>
  <c r="R495" i="2"/>
  <c r="O495" i="2"/>
  <c r="N495" i="2"/>
  <c r="M495" i="2"/>
  <c r="Z494" i="2"/>
  <c r="U494" i="2"/>
  <c r="T494" i="2"/>
  <c r="S494" i="2"/>
  <c r="R494" i="2"/>
  <c r="O494" i="2"/>
  <c r="N494" i="2"/>
  <c r="M494" i="2"/>
  <c r="Z493" i="2"/>
  <c r="U493" i="2"/>
  <c r="T493" i="2"/>
  <c r="S493" i="2"/>
  <c r="R493" i="2"/>
  <c r="O493" i="2"/>
  <c r="N493" i="2"/>
  <c r="M493" i="2"/>
  <c r="Z492" i="2"/>
  <c r="U492" i="2"/>
  <c r="T492" i="2"/>
  <c r="S492" i="2"/>
  <c r="R492" i="2"/>
  <c r="O492" i="2"/>
  <c r="N492" i="2"/>
  <c r="M492" i="2"/>
  <c r="Z491" i="2"/>
  <c r="U491" i="2"/>
  <c r="T491" i="2"/>
  <c r="S491" i="2"/>
  <c r="R491" i="2"/>
  <c r="O491" i="2"/>
  <c r="N491" i="2"/>
  <c r="M491" i="2"/>
  <c r="Z490" i="2"/>
  <c r="U490" i="2"/>
  <c r="T490" i="2"/>
  <c r="S490" i="2"/>
  <c r="R490" i="2"/>
  <c r="O490" i="2"/>
  <c r="N490" i="2"/>
  <c r="M490" i="2"/>
  <c r="Z489" i="2"/>
  <c r="U489" i="2"/>
  <c r="T489" i="2"/>
  <c r="S489" i="2"/>
  <c r="R489" i="2"/>
  <c r="O489" i="2"/>
  <c r="N489" i="2"/>
  <c r="M489" i="2"/>
  <c r="Z488" i="2"/>
  <c r="U488" i="2"/>
  <c r="T488" i="2"/>
  <c r="S488" i="2"/>
  <c r="R488" i="2"/>
  <c r="O488" i="2"/>
  <c r="N488" i="2"/>
  <c r="M488" i="2"/>
  <c r="Z487" i="2"/>
  <c r="U487" i="2"/>
  <c r="T487" i="2"/>
  <c r="S487" i="2"/>
  <c r="R487" i="2"/>
  <c r="O487" i="2"/>
  <c r="N487" i="2"/>
  <c r="M487" i="2"/>
  <c r="Z486" i="2"/>
  <c r="U486" i="2"/>
  <c r="T486" i="2"/>
  <c r="S486" i="2"/>
  <c r="R486" i="2"/>
  <c r="O486" i="2"/>
  <c r="N486" i="2"/>
  <c r="M486" i="2"/>
  <c r="Z485" i="2"/>
  <c r="U485" i="2"/>
  <c r="T485" i="2"/>
  <c r="S485" i="2"/>
  <c r="R485" i="2"/>
  <c r="O485" i="2"/>
  <c r="N485" i="2"/>
  <c r="M485" i="2"/>
  <c r="Z484" i="2"/>
  <c r="U484" i="2"/>
  <c r="T484" i="2"/>
  <c r="S484" i="2"/>
  <c r="R484" i="2"/>
  <c r="O484" i="2"/>
  <c r="N484" i="2"/>
  <c r="M484" i="2"/>
  <c r="Z483" i="2"/>
  <c r="U483" i="2"/>
  <c r="T483" i="2"/>
  <c r="S483" i="2"/>
  <c r="R483" i="2"/>
  <c r="O483" i="2"/>
  <c r="N483" i="2"/>
  <c r="M483" i="2"/>
  <c r="Z482" i="2"/>
  <c r="U482" i="2"/>
  <c r="T482" i="2"/>
  <c r="S482" i="2"/>
  <c r="R482" i="2"/>
  <c r="O482" i="2"/>
  <c r="N482" i="2"/>
  <c r="M482" i="2"/>
  <c r="Z481" i="2"/>
  <c r="U481" i="2"/>
  <c r="T481" i="2"/>
  <c r="S481" i="2"/>
  <c r="R481" i="2"/>
  <c r="O481" i="2"/>
  <c r="N481" i="2"/>
  <c r="M481" i="2"/>
  <c r="Z480" i="2"/>
  <c r="U480" i="2"/>
  <c r="T480" i="2"/>
  <c r="S480" i="2"/>
  <c r="R480" i="2"/>
  <c r="O480" i="2"/>
  <c r="N480" i="2"/>
  <c r="M480" i="2"/>
  <c r="Z479" i="2"/>
  <c r="U479" i="2"/>
  <c r="T479" i="2"/>
  <c r="S479" i="2"/>
  <c r="R479" i="2"/>
  <c r="O479" i="2"/>
  <c r="N479" i="2"/>
  <c r="M479" i="2"/>
  <c r="Z478" i="2"/>
  <c r="U478" i="2"/>
  <c r="T478" i="2"/>
  <c r="S478" i="2"/>
  <c r="R478" i="2"/>
  <c r="O478" i="2"/>
  <c r="N478" i="2"/>
  <c r="M478" i="2"/>
  <c r="Z477" i="2"/>
  <c r="U477" i="2"/>
  <c r="T477" i="2"/>
  <c r="S477" i="2"/>
  <c r="R477" i="2"/>
  <c r="O477" i="2"/>
  <c r="N477" i="2"/>
  <c r="M477" i="2"/>
  <c r="Z476" i="2"/>
  <c r="U476" i="2"/>
  <c r="T476" i="2"/>
  <c r="S476" i="2"/>
  <c r="R476" i="2"/>
  <c r="O476" i="2"/>
  <c r="N476" i="2"/>
  <c r="M476" i="2"/>
  <c r="Z475" i="2"/>
  <c r="U475" i="2"/>
  <c r="T475" i="2"/>
  <c r="S475" i="2"/>
  <c r="R475" i="2"/>
  <c r="O475" i="2"/>
  <c r="N475" i="2"/>
  <c r="M475" i="2"/>
  <c r="Z474" i="2"/>
  <c r="U474" i="2"/>
  <c r="T474" i="2"/>
  <c r="S474" i="2"/>
  <c r="R474" i="2"/>
  <c r="O474" i="2"/>
  <c r="N474" i="2"/>
  <c r="M474" i="2"/>
  <c r="Z473" i="2"/>
  <c r="U473" i="2"/>
  <c r="T473" i="2"/>
  <c r="S473" i="2"/>
  <c r="R473" i="2"/>
  <c r="O473" i="2"/>
  <c r="N473" i="2"/>
  <c r="M473" i="2"/>
  <c r="Z472" i="2"/>
  <c r="U472" i="2"/>
  <c r="T472" i="2"/>
  <c r="S472" i="2"/>
  <c r="R472" i="2"/>
  <c r="O472" i="2"/>
  <c r="N472" i="2"/>
  <c r="M472" i="2"/>
  <c r="Z471" i="2"/>
  <c r="U471" i="2"/>
  <c r="T471" i="2"/>
  <c r="S471" i="2"/>
  <c r="R471" i="2"/>
  <c r="O471" i="2"/>
  <c r="N471" i="2"/>
  <c r="M471" i="2"/>
  <c r="Z470" i="2"/>
  <c r="U470" i="2"/>
  <c r="T470" i="2"/>
  <c r="S470" i="2"/>
  <c r="R470" i="2"/>
  <c r="O470" i="2"/>
  <c r="N470" i="2"/>
  <c r="M470" i="2"/>
  <c r="Z469" i="2"/>
  <c r="U469" i="2"/>
  <c r="T469" i="2"/>
  <c r="S469" i="2"/>
  <c r="R469" i="2"/>
  <c r="O469" i="2"/>
  <c r="N469" i="2"/>
  <c r="M469" i="2"/>
  <c r="Z468" i="2"/>
  <c r="U468" i="2"/>
  <c r="T468" i="2"/>
  <c r="S468" i="2"/>
  <c r="R468" i="2"/>
  <c r="O468" i="2"/>
  <c r="N468" i="2"/>
  <c r="M468" i="2"/>
  <c r="Z467" i="2"/>
  <c r="U467" i="2"/>
  <c r="T467" i="2"/>
  <c r="S467" i="2"/>
  <c r="R467" i="2"/>
  <c r="O467" i="2"/>
  <c r="N467" i="2"/>
  <c r="M467" i="2"/>
  <c r="Z466" i="2"/>
  <c r="U466" i="2"/>
  <c r="T466" i="2"/>
  <c r="S466" i="2"/>
  <c r="R466" i="2"/>
  <c r="O466" i="2"/>
  <c r="N466" i="2"/>
  <c r="M466" i="2"/>
  <c r="Z465" i="2"/>
  <c r="U465" i="2"/>
  <c r="T465" i="2"/>
  <c r="S465" i="2"/>
  <c r="R465" i="2"/>
  <c r="O465" i="2"/>
  <c r="N465" i="2"/>
  <c r="M465" i="2"/>
  <c r="Z464" i="2"/>
  <c r="U464" i="2"/>
  <c r="T464" i="2"/>
  <c r="S464" i="2"/>
  <c r="R464" i="2"/>
  <c r="O464" i="2"/>
  <c r="N464" i="2"/>
  <c r="M464" i="2"/>
  <c r="Z463" i="2"/>
  <c r="U463" i="2"/>
  <c r="T463" i="2"/>
  <c r="S463" i="2"/>
  <c r="R463" i="2"/>
  <c r="O463" i="2"/>
  <c r="N463" i="2"/>
  <c r="M463" i="2"/>
  <c r="Z462" i="2"/>
  <c r="U462" i="2"/>
  <c r="T462" i="2"/>
  <c r="S462" i="2"/>
  <c r="R462" i="2"/>
  <c r="O462" i="2"/>
  <c r="N462" i="2"/>
  <c r="M462" i="2"/>
  <c r="Z461" i="2"/>
  <c r="U461" i="2"/>
  <c r="T461" i="2"/>
  <c r="S461" i="2"/>
  <c r="R461" i="2"/>
  <c r="O461" i="2"/>
  <c r="N461" i="2"/>
  <c r="M461" i="2"/>
  <c r="Z460" i="2"/>
  <c r="U460" i="2"/>
  <c r="T460" i="2"/>
  <c r="S460" i="2"/>
  <c r="R460" i="2"/>
  <c r="O460" i="2"/>
  <c r="N460" i="2"/>
  <c r="M460" i="2"/>
  <c r="Z459" i="2"/>
  <c r="U459" i="2"/>
  <c r="T459" i="2"/>
  <c r="S459" i="2"/>
  <c r="R459" i="2"/>
  <c r="O459" i="2"/>
  <c r="N459" i="2"/>
  <c r="M459" i="2"/>
  <c r="Z458" i="2"/>
  <c r="U458" i="2"/>
  <c r="T458" i="2"/>
  <c r="S458" i="2"/>
  <c r="R458" i="2"/>
  <c r="O458" i="2"/>
  <c r="N458" i="2"/>
  <c r="M458" i="2"/>
  <c r="Z457" i="2"/>
  <c r="U457" i="2"/>
  <c r="T457" i="2"/>
  <c r="S457" i="2"/>
  <c r="R457" i="2"/>
  <c r="O457" i="2"/>
  <c r="N457" i="2"/>
  <c r="M457" i="2"/>
  <c r="Z456" i="2"/>
  <c r="U456" i="2"/>
  <c r="T456" i="2"/>
  <c r="S456" i="2"/>
  <c r="R456" i="2"/>
  <c r="O456" i="2"/>
  <c r="N456" i="2"/>
  <c r="M456" i="2"/>
  <c r="Z455" i="2"/>
  <c r="U455" i="2"/>
  <c r="T455" i="2"/>
  <c r="S455" i="2"/>
  <c r="R455" i="2"/>
  <c r="O455" i="2"/>
  <c r="N455" i="2"/>
  <c r="M455" i="2"/>
  <c r="Z454" i="2"/>
  <c r="U454" i="2"/>
  <c r="T454" i="2"/>
  <c r="S454" i="2"/>
  <c r="R454" i="2"/>
  <c r="O454" i="2"/>
  <c r="N454" i="2"/>
  <c r="M454" i="2"/>
  <c r="Z453" i="2"/>
  <c r="U453" i="2"/>
  <c r="T453" i="2"/>
  <c r="S453" i="2"/>
  <c r="R453" i="2"/>
  <c r="O453" i="2"/>
  <c r="N453" i="2"/>
  <c r="M453" i="2"/>
  <c r="Z452" i="2"/>
  <c r="U452" i="2"/>
  <c r="T452" i="2"/>
  <c r="S452" i="2"/>
  <c r="R452" i="2"/>
  <c r="O452" i="2"/>
  <c r="N452" i="2"/>
  <c r="M452" i="2"/>
  <c r="Z451" i="2"/>
  <c r="U451" i="2"/>
  <c r="T451" i="2"/>
  <c r="S451" i="2"/>
  <c r="R451" i="2"/>
  <c r="O451" i="2"/>
  <c r="N451" i="2"/>
  <c r="M451" i="2"/>
  <c r="Z450" i="2"/>
  <c r="U450" i="2"/>
  <c r="T450" i="2"/>
  <c r="S450" i="2"/>
  <c r="R450" i="2"/>
  <c r="O450" i="2"/>
  <c r="N450" i="2"/>
  <c r="M450" i="2"/>
  <c r="Z449" i="2"/>
  <c r="U449" i="2"/>
  <c r="T449" i="2"/>
  <c r="S449" i="2"/>
  <c r="R449" i="2"/>
  <c r="O449" i="2"/>
  <c r="N449" i="2"/>
  <c r="M449" i="2"/>
  <c r="Z448" i="2"/>
  <c r="U448" i="2"/>
  <c r="T448" i="2"/>
  <c r="S448" i="2"/>
  <c r="R448" i="2"/>
  <c r="O448" i="2"/>
  <c r="N448" i="2"/>
  <c r="M448" i="2"/>
  <c r="Z447" i="2"/>
  <c r="U447" i="2"/>
  <c r="T447" i="2"/>
  <c r="S447" i="2"/>
  <c r="R447" i="2"/>
  <c r="O447" i="2"/>
  <c r="N447" i="2"/>
  <c r="M447" i="2"/>
  <c r="Z446" i="2"/>
  <c r="U446" i="2"/>
  <c r="T446" i="2"/>
  <c r="S446" i="2"/>
  <c r="R446" i="2"/>
  <c r="O446" i="2"/>
  <c r="N446" i="2"/>
  <c r="M446" i="2"/>
  <c r="Z445" i="2"/>
  <c r="U445" i="2"/>
  <c r="T445" i="2"/>
  <c r="S445" i="2"/>
  <c r="R445" i="2"/>
  <c r="O445" i="2"/>
  <c r="N445" i="2"/>
  <c r="M445" i="2"/>
  <c r="Z444" i="2"/>
  <c r="U444" i="2"/>
  <c r="T444" i="2"/>
  <c r="S444" i="2"/>
  <c r="R444" i="2"/>
  <c r="O444" i="2"/>
  <c r="N444" i="2"/>
  <c r="M444" i="2"/>
  <c r="Z443" i="2"/>
  <c r="U443" i="2"/>
  <c r="T443" i="2"/>
  <c r="S443" i="2"/>
  <c r="R443" i="2"/>
  <c r="O443" i="2"/>
  <c r="N443" i="2"/>
  <c r="M443" i="2"/>
  <c r="Z442" i="2"/>
  <c r="U442" i="2"/>
  <c r="T442" i="2"/>
  <c r="S442" i="2"/>
  <c r="R442" i="2"/>
  <c r="O442" i="2"/>
  <c r="N442" i="2"/>
  <c r="M442" i="2"/>
  <c r="Z441" i="2"/>
  <c r="U441" i="2"/>
  <c r="T441" i="2"/>
  <c r="S441" i="2"/>
  <c r="R441" i="2"/>
  <c r="O441" i="2"/>
  <c r="N441" i="2"/>
  <c r="M441" i="2"/>
  <c r="Z440" i="2"/>
  <c r="U440" i="2"/>
  <c r="T440" i="2"/>
  <c r="S440" i="2"/>
  <c r="R440" i="2"/>
  <c r="O440" i="2"/>
  <c r="N440" i="2"/>
  <c r="M440" i="2"/>
  <c r="Z439" i="2"/>
  <c r="U439" i="2"/>
  <c r="T439" i="2"/>
  <c r="S439" i="2"/>
  <c r="R439" i="2"/>
  <c r="O439" i="2"/>
  <c r="N439" i="2"/>
  <c r="M439" i="2"/>
  <c r="Z438" i="2"/>
  <c r="U438" i="2"/>
  <c r="T438" i="2"/>
  <c r="S438" i="2"/>
  <c r="R438" i="2"/>
  <c r="O438" i="2"/>
  <c r="N438" i="2"/>
  <c r="M438" i="2"/>
  <c r="Z437" i="2"/>
  <c r="U437" i="2"/>
  <c r="T437" i="2"/>
  <c r="S437" i="2"/>
  <c r="R437" i="2"/>
  <c r="O437" i="2"/>
  <c r="N437" i="2"/>
  <c r="M437" i="2"/>
  <c r="Z436" i="2"/>
  <c r="U436" i="2"/>
  <c r="T436" i="2"/>
  <c r="S436" i="2"/>
  <c r="R436" i="2"/>
  <c r="O436" i="2"/>
  <c r="N436" i="2"/>
  <c r="M436" i="2"/>
  <c r="Z435" i="2"/>
  <c r="U435" i="2"/>
  <c r="T435" i="2"/>
  <c r="S435" i="2"/>
  <c r="R435" i="2"/>
  <c r="O435" i="2"/>
  <c r="N435" i="2"/>
  <c r="M435" i="2"/>
  <c r="Z434" i="2"/>
  <c r="U434" i="2"/>
  <c r="T434" i="2"/>
  <c r="S434" i="2"/>
  <c r="R434" i="2"/>
  <c r="O434" i="2"/>
  <c r="N434" i="2"/>
  <c r="M434" i="2"/>
  <c r="Z433" i="2"/>
  <c r="U433" i="2"/>
  <c r="T433" i="2"/>
  <c r="S433" i="2"/>
  <c r="R433" i="2"/>
  <c r="O433" i="2"/>
  <c r="N433" i="2"/>
  <c r="M433" i="2"/>
  <c r="Z432" i="2"/>
  <c r="U432" i="2"/>
  <c r="T432" i="2"/>
  <c r="S432" i="2"/>
  <c r="R432" i="2"/>
  <c r="O432" i="2"/>
  <c r="N432" i="2"/>
  <c r="M432" i="2"/>
  <c r="Z431" i="2"/>
  <c r="U431" i="2"/>
  <c r="T431" i="2"/>
  <c r="S431" i="2"/>
  <c r="R431" i="2"/>
  <c r="O431" i="2"/>
  <c r="N431" i="2"/>
  <c r="M431" i="2"/>
  <c r="Z430" i="2"/>
  <c r="U430" i="2"/>
  <c r="T430" i="2"/>
  <c r="S430" i="2"/>
  <c r="R430" i="2"/>
  <c r="O430" i="2"/>
  <c r="N430" i="2"/>
  <c r="M430" i="2"/>
  <c r="Z429" i="2"/>
  <c r="U429" i="2"/>
  <c r="T429" i="2"/>
  <c r="S429" i="2"/>
  <c r="R429" i="2"/>
  <c r="O429" i="2"/>
  <c r="N429" i="2"/>
  <c r="M429" i="2"/>
  <c r="Z428" i="2"/>
  <c r="U428" i="2"/>
  <c r="T428" i="2"/>
  <c r="S428" i="2"/>
  <c r="R428" i="2"/>
  <c r="O428" i="2"/>
  <c r="N428" i="2"/>
  <c r="M428" i="2"/>
  <c r="Z427" i="2"/>
  <c r="U427" i="2"/>
  <c r="T427" i="2"/>
  <c r="S427" i="2"/>
  <c r="R427" i="2"/>
  <c r="O427" i="2"/>
  <c r="N427" i="2"/>
  <c r="M427" i="2"/>
  <c r="Z426" i="2"/>
  <c r="U426" i="2"/>
  <c r="T426" i="2"/>
  <c r="S426" i="2"/>
  <c r="R426" i="2"/>
  <c r="O426" i="2"/>
  <c r="N426" i="2"/>
  <c r="M426" i="2"/>
  <c r="Z425" i="2"/>
  <c r="U425" i="2"/>
  <c r="T425" i="2"/>
  <c r="S425" i="2"/>
  <c r="R425" i="2"/>
  <c r="O425" i="2"/>
  <c r="N425" i="2"/>
  <c r="M425" i="2"/>
  <c r="Z424" i="2"/>
  <c r="U424" i="2"/>
  <c r="T424" i="2"/>
  <c r="S424" i="2"/>
  <c r="R424" i="2"/>
  <c r="O424" i="2"/>
  <c r="N424" i="2"/>
  <c r="M424" i="2"/>
  <c r="Z423" i="2"/>
  <c r="U423" i="2"/>
  <c r="T423" i="2"/>
  <c r="S423" i="2"/>
  <c r="R423" i="2"/>
  <c r="O423" i="2"/>
  <c r="N423" i="2"/>
  <c r="M423" i="2"/>
  <c r="Z422" i="2"/>
  <c r="U422" i="2"/>
  <c r="T422" i="2"/>
  <c r="S422" i="2"/>
  <c r="R422" i="2"/>
  <c r="O422" i="2"/>
  <c r="N422" i="2"/>
  <c r="M422" i="2"/>
  <c r="Z421" i="2"/>
  <c r="U421" i="2"/>
  <c r="T421" i="2"/>
  <c r="S421" i="2"/>
  <c r="R421" i="2"/>
  <c r="O421" i="2"/>
  <c r="N421" i="2"/>
  <c r="M421" i="2"/>
  <c r="Z420" i="2"/>
  <c r="U420" i="2"/>
  <c r="T420" i="2"/>
  <c r="S420" i="2"/>
  <c r="R420" i="2"/>
  <c r="O420" i="2"/>
  <c r="N420" i="2"/>
  <c r="M420" i="2"/>
  <c r="Z419" i="2"/>
  <c r="U419" i="2"/>
  <c r="T419" i="2"/>
  <c r="S419" i="2"/>
  <c r="R419" i="2"/>
  <c r="O419" i="2"/>
  <c r="N419" i="2"/>
  <c r="M419" i="2"/>
  <c r="Z418" i="2"/>
  <c r="U418" i="2"/>
  <c r="T418" i="2"/>
  <c r="S418" i="2"/>
  <c r="R418" i="2"/>
  <c r="O418" i="2"/>
  <c r="N418" i="2"/>
  <c r="M418" i="2"/>
  <c r="Z417" i="2"/>
  <c r="U417" i="2"/>
  <c r="T417" i="2"/>
  <c r="S417" i="2"/>
  <c r="R417" i="2"/>
  <c r="O417" i="2"/>
  <c r="N417" i="2"/>
  <c r="M417" i="2"/>
  <c r="Z416" i="2"/>
  <c r="U416" i="2"/>
  <c r="T416" i="2"/>
  <c r="S416" i="2"/>
  <c r="R416" i="2"/>
  <c r="O416" i="2"/>
  <c r="N416" i="2"/>
  <c r="M416" i="2"/>
  <c r="Z415" i="2"/>
  <c r="U415" i="2"/>
  <c r="T415" i="2"/>
  <c r="S415" i="2"/>
  <c r="R415" i="2"/>
  <c r="O415" i="2"/>
  <c r="N415" i="2"/>
  <c r="M415" i="2"/>
  <c r="Z414" i="2"/>
  <c r="U414" i="2"/>
  <c r="T414" i="2"/>
  <c r="S414" i="2"/>
  <c r="R414" i="2"/>
  <c r="O414" i="2"/>
  <c r="N414" i="2"/>
  <c r="M414" i="2"/>
  <c r="Z413" i="2"/>
  <c r="U413" i="2"/>
  <c r="T413" i="2"/>
  <c r="S413" i="2"/>
  <c r="R413" i="2"/>
  <c r="O413" i="2"/>
  <c r="N413" i="2"/>
  <c r="M413" i="2"/>
  <c r="Z412" i="2"/>
  <c r="U412" i="2"/>
  <c r="T412" i="2"/>
  <c r="S412" i="2"/>
  <c r="R412" i="2"/>
  <c r="O412" i="2"/>
  <c r="N412" i="2"/>
  <c r="M412" i="2"/>
  <c r="Z411" i="2"/>
  <c r="U411" i="2"/>
  <c r="T411" i="2"/>
  <c r="S411" i="2"/>
  <c r="R411" i="2"/>
  <c r="O411" i="2"/>
  <c r="N411" i="2"/>
  <c r="M411" i="2"/>
  <c r="Z410" i="2"/>
  <c r="U410" i="2"/>
  <c r="T410" i="2"/>
  <c r="S410" i="2"/>
  <c r="R410" i="2"/>
  <c r="O410" i="2"/>
  <c r="N410" i="2"/>
  <c r="M410" i="2"/>
  <c r="Z409" i="2"/>
  <c r="U409" i="2"/>
  <c r="T409" i="2"/>
  <c r="S409" i="2"/>
  <c r="R409" i="2"/>
  <c r="O409" i="2"/>
  <c r="N409" i="2"/>
  <c r="M409" i="2"/>
  <c r="Z408" i="2"/>
  <c r="U408" i="2"/>
  <c r="T408" i="2"/>
  <c r="S408" i="2"/>
  <c r="R408" i="2"/>
  <c r="O408" i="2"/>
  <c r="N408" i="2"/>
  <c r="M408" i="2"/>
  <c r="Z407" i="2"/>
  <c r="U407" i="2"/>
  <c r="T407" i="2"/>
  <c r="S407" i="2"/>
  <c r="R407" i="2"/>
  <c r="O407" i="2"/>
  <c r="N407" i="2"/>
  <c r="M407" i="2"/>
  <c r="Z406" i="2"/>
  <c r="U406" i="2"/>
  <c r="T406" i="2"/>
  <c r="S406" i="2"/>
  <c r="R406" i="2"/>
  <c r="O406" i="2"/>
  <c r="N406" i="2"/>
  <c r="M406" i="2"/>
  <c r="Z405" i="2"/>
  <c r="U405" i="2"/>
  <c r="T405" i="2"/>
  <c r="S405" i="2"/>
  <c r="R405" i="2"/>
  <c r="O405" i="2"/>
  <c r="N405" i="2"/>
  <c r="M405" i="2"/>
  <c r="Z404" i="2"/>
  <c r="U404" i="2"/>
  <c r="T404" i="2"/>
  <c r="S404" i="2"/>
  <c r="R404" i="2"/>
  <c r="O404" i="2"/>
  <c r="N404" i="2"/>
  <c r="M404" i="2"/>
  <c r="Z403" i="2"/>
  <c r="U403" i="2"/>
  <c r="T403" i="2"/>
  <c r="S403" i="2"/>
  <c r="R403" i="2"/>
  <c r="O403" i="2"/>
  <c r="N403" i="2"/>
  <c r="M403" i="2"/>
  <c r="Z402" i="2"/>
  <c r="U402" i="2"/>
  <c r="T402" i="2"/>
  <c r="S402" i="2"/>
  <c r="R402" i="2"/>
  <c r="O402" i="2"/>
  <c r="N402" i="2"/>
  <c r="M402" i="2"/>
  <c r="Z401" i="2"/>
  <c r="U401" i="2"/>
  <c r="T401" i="2"/>
  <c r="S401" i="2"/>
  <c r="R401" i="2"/>
  <c r="O401" i="2"/>
  <c r="N401" i="2"/>
  <c r="M401" i="2"/>
  <c r="Z400" i="2"/>
  <c r="U400" i="2"/>
  <c r="T400" i="2"/>
  <c r="S400" i="2"/>
  <c r="R400" i="2"/>
  <c r="O400" i="2"/>
  <c r="N400" i="2"/>
  <c r="M400" i="2"/>
  <c r="Z399" i="2"/>
  <c r="U399" i="2"/>
  <c r="T399" i="2"/>
  <c r="S399" i="2"/>
  <c r="R399" i="2"/>
  <c r="O399" i="2"/>
  <c r="N399" i="2"/>
  <c r="M399" i="2"/>
  <c r="Z398" i="2"/>
  <c r="U398" i="2"/>
  <c r="T398" i="2"/>
  <c r="S398" i="2"/>
  <c r="R398" i="2"/>
  <c r="O398" i="2"/>
  <c r="N398" i="2"/>
  <c r="M398" i="2"/>
  <c r="Z397" i="2"/>
  <c r="U397" i="2"/>
  <c r="T397" i="2"/>
  <c r="S397" i="2"/>
  <c r="R397" i="2"/>
  <c r="O397" i="2"/>
  <c r="N397" i="2"/>
  <c r="M397" i="2"/>
  <c r="Z396" i="2"/>
  <c r="U396" i="2"/>
  <c r="T396" i="2"/>
  <c r="S396" i="2"/>
  <c r="R396" i="2"/>
  <c r="O396" i="2"/>
  <c r="N396" i="2"/>
  <c r="M396" i="2"/>
  <c r="Z395" i="2"/>
  <c r="U395" i="2"/>
  <c r="T395" i="2"/>
  <c r="S395" i="2"/>
  <c r="R395" i="2"/>
  <c r="O395" i="2"/>
  <c r="N395" i="2"/>
  <c r="M395" i="2"/>
  <c r="Z394" i="2"/>
  <c r="U394" i="2"/>
  <c r="T394" i="2"/>
  <c r="S394" i="2"/>
  <c r="R394" i="2"/>
  <c r="O394" i="2"/>
  <c r="N394" i="2"/>
  <c r="M394" i="2"/>
  <c r="Z393" i="2"/>
  <c r="U393" i="2"/>
  <c r="T393" i="2"/>
  <c r="S393" i="2"/>
  <c r="R393" i="2"/>
  <c r="O393" i="2"/>
  <c r="N393" i="2"/>
  <c r="M393" i="2"/>
  <c r="Z392" i="2"/>
  <c r="U392" i="2"/>
  <c r="T392" i="2"/>
  <c r="S392" i="2"/>
  <c r="R392" i="2"/>
  <c r="O392" i="2"/>
  <c r="N392" i="2"/>
  <c r="M392" i="2"/>
  <c r="Z391" i="2"/>
  <c r="U391" i="2"/>
  <c r="T391" i="2"/>
  <c r="S391" i="2"/>
  <c r="R391" i="2"/>
  <c r="O391" i="2"/>
  <c r="N391" i="2"/>
  <c r="M391" i="2"/>
  <c r="Z390" i="2"/>
  <c r="U390" i="2"/>
  <c r="T390" i="2"/>
  <c r="S390" i="2"/>
  <c r="R390" i="2"/>
  <c r="O390" i="2"/>
  <c r="N390" i="2"/>
  <c r="M390" i="2"/>
  <c r="Z389" i="2"/>
  <c r="U389" i="2"/>
  <c r="T389" i="2"/>
  <c r="S389" i="2"/>
  <c r="R389" i="2"/>
  <c r="O389" i="2"/>
  <c r="N389" i="2"/>
  <c r="M389" i="2"/>
  <c r="Z388" i="2"/>
  <c r="U388" i="2"/>
  <c r="T388" i="2"/>
  <c r="S388" i="2"/>
  <c r="R388" i="2"/>
  <c r="O388" i="2"/>
  <c r="N388" i="2"/>
  <c r="M388" i="2"/>
  <c r="Z387" i="2"/>
  <c r="U387" i="2"/>
  <c r="T387" i="2"/>
  <c r="S387" i="2"/>
  <c r="R387" i="2"/>
  <c r="O387" i="2"/>
  <c r="N387" i="2"/>
  <c r="M387" i="2"/>
  <c r="Z386" i="2"/>
  <c r="U386" i="2"/>
  <c r="T386" i="2"/>
  <c r="S386" i="2"/>
  <c r="R386" i="2"/>
  <c r="O386" i="2"/>
  <c r="N386" i="2"/>
  <c r="M386" i="2"/>
  <c r="Z385" i="2"/>
  <c r="U385" i="2"/>
  <c r="T385" i="2"/>
  <c r="S385" i="2"/>
  <c r="R385" i="2"/>
  <c r="O385" i="2"/>
  <c r="N385" i="2"/>
  <c r="M385" i="2"/>
  <c r="Z384" i="2"/>
  <c r="U384" i="2"/>
  <c r="T384" i="2"/>
  <c r="S384" i="2"/>
  <c r="R384" i="2"/>
  <c r="O384" i="2"/>
  <c r="N384" i="2"/>
  <c r="M384" i="2"/>
  <c r="Z383" i="2"/>
  <c r="U383" i="2"/>
  <c r="T383" i="2"/>
  <c r="S383" i="2"/>
  <c r="R383" i="2"/>
  <c r="O383" i="2"/>
  <c r="N383" i="2"/>
  <c r="M383" i="2"/>
  <c r="Z382" i="2"/>
  <c r="U382" i="2"/>
  <c r="T382" i="2"/>
  <c r="S382" i="2"/>
  <c r="R382" i="2"/>
  <c r="O382" i="2"/>
  <c r="N382" i="2"/>
  <c r="M382" i="2"/>
  <c r="Z381" i="2"/>
  <c r="U381" i="2"/>
  <c r="T381" i="2"/>
  <c r="S381" i="2"/>
  <c r="R381" i="2"/>
  <c r="O381" i="2"/>
  <c r="N381" i="2"/>
  <c r="M381" i="2"/>
  <c r="Z380" i="2"/>
  <c r="U380" i="2"/>
  <c r="T380" i="2"/>
  <c r="S380" i="2"/>
  <c r="R380" i="2"/>
  <c r="O380" i="2"/>
  <c r="N380" i="2"/>
  <c r="M380" i="2"/>
  <c r="Z379" i="2"/>
  <c r="U379" i="2"/>
  <c r="T379" i="2"/>
  <c r="S379" i="2"/>
  <c r="R379" i="2"/>
  <c r="O379" i="2"/>
  <c r="N379" i="2"/>
  <c r="M379" i="2"/>
  <c r="Z378" i="2"/>
  <c r="U378" i="2"/>
  <c r="T378" i="2"/>
  <c r="S378" i="2"/>
  <c r="R378" i="2"/>
  <c r="O378" i="2"/>
  <c r="N378" i="2"/>
  <c r="M378" i="2"/>
  <c r="Z377" i="2"/>
  <c r="U377" i="2"/>
  <c r="T377" i="2"/>
  <c r="S377" i="2"/>
  <c r="R377" i="2"/>
  <c r="O377" i="2"/>
  <c r="N377" i="2"/>
  <c r="M377" i="2"/>
  <c r="Z376" i="2"/>
  <c r="U376" i="2"/>
  <c r="T376" i="2"/>
  <c r="S376" i="2"/>
  <c r="R376" i="2"/>
  <c r="O376" i="2"/>
  <c r="N376" i="2"/>
  <c r="M376" i="2"/>
  <c r="Z375" i="2"/>
  <c r="U375" i="2"/>
  <c r="T375" i="2"/>
  <c r="S375" i="2"/>
  <c r="R375" i="2"/>
  <c r="O375" i="2"/>
  <c r="N375" i="2"/>
  <c r="M375" i="2"/>
  <c r="Z374" i="2"/>
  <c r="U374" i="2"/>
  <c r="T374" i="2"/>
  <c r="S374" i="2"/>
  <c r="R374" i="2"/>
  <c r="O374" i="2"/>
  <c r="N374" i="2"/>
  <c r="M374" i="2"/>
  <c r="Z373" i="2"/>
  <c r="U373" i="2"/>
  <c r="T373" i="2"/>
  <c r="S373" i="2"/>
  <c r="R373" i="2"/>
  <c r="O373" i="2"/>
  <c r="N373" i="2"/>
  <c r="M373" i="2"/>
  <c r="Z372" i="2"/>
  <c r="U372" i="2"/>
  <c r="T372" i="2"/>
  <c r="S372" i="2"/>
  <c r="R372" i="2"/>
  <c r="O372" i="2"/>
  <c r="N372" i="2"/>
  <c r="M372" i="2"/>
  <c r="Z371" i="2"/>
  <c r="U371" i="2"/>
  <c r="T371" i="2"/>
  <c r="S371" i="2"/>
  <c r="R371" i="2"/>
  <c r="O371" i="2"/>
  <c r="N371" i="2"/>
  <c r="M371" i="2"/>
  <c r="Z370" i="2"/>
  <c r="U370" i="2"/>
  <c r="T370" i="2"/>
  <c r="S370" i="2"/>
  <c r="R370" i="2"/>
  <c r="O370" i="2"/>
  <c r="N370" i="2"/>
  <c r="M370" i="2"/>
  <c r="Z369" i="2"/>
  <c r="U369" i="2"/>
  <c r="T369" i="2"/>
  <c r="S369" i="2"/>
  <c r="R369" i="2"/>
  <c r="O369" i="2"/>
  <c r="N369" i="2"/>
  <c r="M369" i="2"/>
  <c r="Z368" i="2"/>
  <c r="U368" i="2"/>
  <c r="T368" i="2"/>
  <c r="S368" i="2"/>
  <c r="R368" i="2"/>
  <c r="O368" i="2"/>
  <c r="N368" i="2"/>
  <c r="M368" i="2"/>
  <c r="Z367" i="2"/>
  <c r="U367" i="2"/>
  <c r="T367" i="2"/>
  <c r="S367" i="2"/>
  <c r="R367" i="2"/>
  <c r="O367" i="2"/>
  <c r="N367" i="2"/>
  <c r="M367" i="2"/>
  <c r="Z366" i="2"/>
  <c r="U366" i="2"/>
  <c r="T366" i="2"/>
  <c r="S366" i="2"/>
  <c r="R366" i="2"/>
  <c r="O366" i="2"/>
  <c r="N366" i="2"/>
  <c r="M366" i="2"/>
  <c r="Z365" i="2"/>
  <c r="U365" i="2"/>
  <c r="T365" i="2"/>
  <c r="S365" i="2"/>
  <c r="R365" i="2"/>
  <c r="O365" i="2"/>
  <c r="N365" i="2"/>
  <c r="M365" i="2"/>
  <c r="Z364" i="2"/>
  <c r="U364" i="2"/>
  <c r="T364" i="2"/>
  <c r="S364" i="2"/>
  <c r="R364" i="2"/>
  <c r="O364" i="2"/>
  <c r="N364" i="2"/>
  <c r="M364" i="2"/>
  <c r="Z363" i="2"/>
  <c r="U363" i="2"/>
  <c r="T363" i="2"/>
  <c r="S363" i="2"/>
  <c r="R363" i="2"/>
  <c r="O363" i="2"/>
  <c r="N363" i="2"/>
  <c r="M363" i="2"/>
  <c r="Z362" i="2"/>
  <c r="U362" i="2"/>
  <c r="T362" i="2"/>
  <c r="S362" i="2"/>
  <c r="R362" i="2"/>
  <c r="O362" i="2"/>
  <c r="N362" i="2"/>
  <c r="M362" i="2"/>
  <c r="Z361" i="2"/>
  <c r="U361" i="2"/>
  <c r="T361" i="2"/>
  <c r="S361" i="2"/>
  <c r="R361" i="2"/>
  <c r="O361" i="2"/>
  <c r="N361" i="2"/>
  <c r="M361" i="2"/>
  <c r="Z360" i="2"/>
  <c r="U360" i="2"/>
  <c r="T360" i="2"/>
  <c r="S360" i="2"/>
  <c r="R360" i="2"/>
  <c r="O360" i="2"/>
  <c r="N360" i="2"/>
  <c r="M360" i="2"/>
  <c r="Z359" i="2"/>
  <c r="U359" i="2"/>
  <c r="T359" i="2"/>
  <c r="S359" i="2"/>
  <c r="R359" i="2"/>
  <c r="O359" i="2"/>
  <c r="N359" i="2"/>
  <c r="M359" i="2"/>
  <c r="Z358" i="2"/>
  <c r="U358" i="2"/>
  <c r="T358" i="2"/>
  <c r="S358" i="2"/>
  <c r="R358" i="2"/>
  <c r="O358" i="2"/>
  <c r="N358" i="2"/>
  <c r="M358" i="2"/>
  <c r="Z357" i="2"/>
  <c r="U357" i="2"/>
  <c r="T357" i="2"/>
  <c r="S357" i="2"/>
  <c r="R357" i="2"/>
  <c r="O357" i="2"/>
  <c r="N357" i="2"/>
  <c r="M357" i="2"/>
  <c r="Z356" i="2"/>
  <c r="U356" i="2"/>
  <c r="T356" i="2"/>
  <c r="S356" i="2"/>
  <c r="R356" i="2"/>
  <c r="O356" i="2"/>
  <c r="N356" i="2"/>
  <c r="M356" i="2"/>
  <c r="Z355" i="2"/>
  <c r="U355" i="2"/>
  <c r="T355" i="2"/>
  <c r="S355" i="2"/>
  <c r="R355" i="2"/>
  <c r="O355" i="2"/>
  <c r="N355" i="2"/>
  <c r="M355" i="2"/>
  <c r="Z354" i="2"/>
  <c r="U354" i="2"/>
  <c r="T354" i="2"/>
  <c r="S354" i="2"/>
  <c r="R354" i="2"/>
  <c r="O354" i="2"/>
  <c r="N354" i="2"/>
  <c r="M354" i="2"/>
  <c r="Z353" i="2"/>
  <c r="U353" i="2"/>
  <c r="T353" i="2"/>
  <c r="S353" i="2"/>
  <c r="R353" i="2"/>
  <c r="O353" i="2"/>
  <c r="N353" i="2"/>
  <c r="M353" i="2"/>
  <c r="Z352" i="2"/>
  <c r="U352" i="2"/>
  <c r="T352" i="2"/>
  <c r="S352" i="2"/>
  <c r="R352" i="2"/>
  <c r="O352" i="2"/>
  <c r="N352" i="2"/>
  <c r="M352" i="2"/>
  <c r="Z351" i="2"/>
  <c r="U351" i="2"/>
  <c r="T351" i="2"/>
  <c r="S351" i="2"/>
  <c r="R351" i="2"/>
  <c r="O351" i="2"/>
  <c r="N351" i="2"/>
  <c r="M351" i="2"/>
  <c r="Z350" i="2"/>
  <c r="U350" i="2"/>
  <c r="T350" i="2"/>
  <c r="S350" i="2"/>
  <c r="R350" i="2"/>
  <c r="O350" i="2"/>
  <c r="N350" i="2"/>
  <c r="M350" i="2"/>
  <c r="Z349" i="2"/>
  <c r="U349" i="2"/>
  <c r="T349" i="2"/>
  <c r="S349" i="2"/>
  <c r="R349" i="2"/>
  <c r="O349" i="2"/>
  <c r="N349" i="2"/>
  <c r="M349" i="2"/>
  <c r="Z348" i="2"/>
  <c r="U348" i="2"/>
  <c r="T348" i="2"/>
  <c r="S348" i="2"/>
  <c r="R348" i="2"/>
  <c r="O348" i="2"/>
  <c r="N348" i="2"/>
  <c r="M348" i="2"/>
  <c r="Z347" i="2"/>
  <c r="U347" i="2"/>
  <c r="T347" i="2"/>
  <c r="S347" i="2"/>
  <c r="R347" i="2"/>
  <c r="O347" i="2"/>
  <c r="N347" i="2"/>
  <c r="M347" i="2"/>
  <c r="Z346" i="2"/>
  <c r="U346" i="2"/>
  <c r="T346" i="2"/>
  <c r="S346" i="2"/>
  <c r="R346" i="2"/>
  <c r="O346" i="2"/>
  <c r="N346" i="2"/>
  <c r="M346" i="2"/>
  <c r="Z345" i="2"/>
  <c r="U345" i="2"/>
  <c r="T345" i="2"/>
  <c r="S345" i="2"/>
  <c r="R345" i="2"/>
  <c r="O345" i="2"/>
  <c r="N345" i="2"/>
  <c r="M345" i="2"/>
  <c r="Z344" i="2"/>
  <c r="U344" i="2"/>
  <c r="T344" i="2"/>
  <c r="S344" i="2"/>
  <c r="R344" i="2"/>
  <c r="O344" i="2"/>
  <c r="N344" i="2"/>
  <c r="M344" i="2"/>
  <c r="Z343" i="2"/>
  <c r="U343" i="2"/>
  <c r="T343" i="2"/>
  <c r="S343" i="2"/>
  <c r="R343" i="2"/>
  <c r="O343" i="2"/>
  <c r="N343" i="2"/>
  <c r="M343" i="2"/>
  <c r="Z342" i="2"/>
  <c r="U342" i="2"/>
  <c r="T342" i="2"/>
  <c r="S342" i="2"/>
  <c r="R342" i="2"/>
  <c r="O342" i="2"/>
  <c r="N342" i="2"/>
  <c r="M342" i="2"/>
  <c r="Z341" i="2"/>
  <c r="U341" i="2"/>
  <c r="T341" i="2"/>
  <c r="S341" i="2"/>
  <c r="R341" i="2"/>
  <c r="O341" i="2"/>
  <c r="N341" i="2"/>
  <c r="M341" i="2"/>
  <c r="Z340" i="2"/>
  <c r="U340" i="2"/>
  <c r="T340" i="2"/>
  <c r="S340" i="2"/>
  <c r="R340" i="2"/>
  <c r="O340" i="2"/>
  <c r="N340" i="2"/>
  <c r="M340" i="2"/>
  <c r="Z339" i="2"/>
  <c r="U339" i="2"/>
  <c r="T339" i="2"/>
  <c r="S339" i="2"/>
  <c r="R339" i="2"/>
  <c r="O339" i="2"/>
  <c r="N339" i="2"/>
  <c r="M339" i="2"/>
  <c r="Z338" i="2"/>
  <c r="U338" i="2"/>
  <c r="T338" i="2"/>
  <c r="S338" i="2"/>
  <c r="R338" i="2"/>
  <c r="O338" i="2"/>
  <c r="N338" i="2"/>
  <c r="M338" i="2"/>
  <c r="Z337" i="2"/>
  <c r="U337" i="2"/>
  <c r="T337" i="2"/>
  <c r="S337" i="2"/>
  <c r="R337" i="2"/>
  <c r="O337" i="2"/>
  <c r="N337" i="2"/>
  <c r="M337" i="2"/>
  <c r="Z336" i="2"/>
  <c r="U336" i="2"/>
  <c r="T336" i="2"/>
  <c r="S336" i="2"/>
  <c r="R336" i="2"/>
  <c r="O336" i="2"/>
  <c r="N336" i="2"/>
  <c r="M336" i="2"/>
  <c r="Z335" i="2"/>
  <c r="U335" i="2"/>
  <c r="T335" i="2"/>
  <c r="S335" i="2"/>
  <c r="R335" i="2"/>
  <c r="O335" i="2"/>
  <c r="N335" i="2"/>
  <c r="M335" i="2"/>
  <c r="Z334" i="2"/>
  <c r="U334" i="2"/>
  <c r="T334" i="2"/>
  <c r="S334" i="2"/>
  <c r="R334" i="2"/>
  <c r="O334" i="2"/>
  <c r="N334" i="2"/>
  <c r="M334" i="2"/>
  <c r="Z333" i="2"/>
  <c r="U333" i="2"/>
  <c r="T333" i="2"/>
  <c r="S333" i="2"/>
  <c r="R333" i="2"/>
  <c r="O333" i="2"/>
  <c r="N333" i="2"/>
  <c r="M333" i="2"/>
  <c r="Z332" i="2"/>
  <c r="U332" i="2"/>
  <c r="T332" i="2"/>
  <c r="S332" i="2"/>
  <c r="R332" i="2"/>
  <c r="O332" i="2"/>
  <c r="N332" i="2"/>
  <c r="M332" i="2"/>
  <c r="Z331" i="2"/>
  <c r="U331" i="2"/>
  <c r="T331" i="2"/>
  <c r="S331" i="2"/>
  <c r="R331" i="2"/>
  <c r="O331" i="2"/>
  <c r="N331" i="2"/>
  <c r="M331" i="2"/>
  <c r="Z330" i="2"/>
  <c r="U330" i="2"/>
  <c r="T330" i="2"/>
  <c r="S330" i="2"/>
  <c r="R330" i="2"/>
  <c r="O330" i="2"/>
  <c r="N330" i="2"/>
  <c r="M330" i="2"/>
  <c r="Z329" i="2"/>
  <c r="U329" i="2"/>
  <c r="T329" i="2"/>
  <c r="S329" i="2"/>
  <c r="R329" i="2"/>
  <c r="O329" i="2"/>
  <c r="N329" i="2"/>
  <c r="M329" i="2"/>
  <c r="Z328" i="2"/>
  <c r="U328" i="2"/>
  <c r="T328" i="2"/>
  <c r="S328" i="2"/>
  <c r="R328" i="2"/>
  <c r="O328" i="2"/>
  <c r="N328" i="2"/>
  <c r="M328" i="2"/>
  <c r="Z327" i="2"/>
  <c r="U327" i="2"/>
  <c r="T327" i="2"/>
  <c r="S327" i="2"/>
  <c r="R327" i="2"/>
  <c r="O327" i="2"/>
  <c r="N327" i="2"/>
  <c r="M327" i="2"/>
  <c r="Z326" i="2"/>
  <c r="U326" i="2"/>
  <c r="T326" i="2"/>
  <c r="S326" i="2"/>
  <c r="R326" i="2"/>
  <c r="O326" i="2"/>
  <c r="N326" i="2"/>
  <c r="M326" i="2"/>
  <c r="Z325" i="2"/>
  <c r="U325" i="2"/>
  <c r="T325" i="2"/>
  <c r="S325" i="2"/>
  <c r="R325" i="2"/>
  <c r="O325" i="2"/>
  <c r="N325" i="2"/>
  <c r="M325" i="2"/>
  <c r="Z324" i="2"/>
  <c r="U324" i="2"/>
  <c r="T324" i="2"/>
  <c r="S324" i="2"/>
  <c r="R324" i="2"/>
  <c r="O324" i="2"/>
  <c r="N324" i="2"/>
  <c r="M324" i="2"/>
  <c r="Z323" i="2"/>
  <c r="U323" i="2"/>
  <c r="T323" i="2"/>
  <c r="S323" i="2"/>
  <c r="R323" i="2"/>
  <c r="O323" i="2"/>
  <c r="N323" i="2"/>
  <c r="M323" i="2"/>
  <c r="Z322" i="2"/>
  <c r="U322" i="2"/>
  <c r="T322" i="2"/>
  <c r="S322" i="2"/>
  <c r="R322" i="2"/>
  <c r="O322" i="2"/>
  <c r="N322" i="2"/>
  <c r="M322" i="2"/>
  <c r="Z321" i="2"/>
  <c r="U321" i="2"/>
  <c r="T321" i="2"/>
  <c r="S321" i="2"/>
  <c r="R321" i="2"/>
  <c r="O321" i="2"/>
  <c r="N321" i="2"/>
  <c r="M321" i="2"/>
  <c r="Z320" i="2"/>
  <c r="U320" i="2"/>
  <c r="T320" i="2"/>
  <c r="S320" i="2"/>
  <c r="R320" i="2"/>
  <c r="O320" i="2"/>
  <c r="N320" i="2"/>
  <c r="M320" i="2"/>
  <c r="Z319" i="2"/>
  <c r="U319" i="2"/>
  <c r="T319" i="2"/>
  <c r="S319" i="2"/>
  <c r="R319" i="2"/>
  <c r="O319" i="2"/>
  <c r="N319" i="2"/>
  <c r="M319" i="2"/>
  <c r="Z318" i="2"/>
  <c r="U318" i="2"/>
  <c r="T318" i="2"/>
  <c r="S318" i="2"/>
  <c r="R318" i="2"/>
  <c r="O318" i="2"/>
  <c r="N318" i="2"/>
  <c r="M318" i="2"/>
  <c r="Z317" i="2"/>
  <c r="U317" i="2"/>
  <c r="T317" i="2"/>
  <c r="S317" i="2"/>
  <c r="R317" i="2"/>
  <c r="O317" i="2"/>
  <c r="N317" i="2"/>
  <c r="M317" i="2"/>
  <c r="Z316" i="2"/>
  <c r="U316" i="2"/>
  <c r="T316" i="2"/>
  <c r="S316" i="2"/>
  <c r="R316" i="2"/>
  <c r="O316" i="2"/>
  <c r="N316" i="2"/>
  <c r="M316" i="2"/>
  <c r="Z315" i="2"/>
  <c r="U315" i="2"/>
  <c r="T315" i="2"/>
  <c r="S315" i="2"/>
  <c r="R315" i="2"/>
  <c r="O315" i="2"/>
  <c r="N315" i="2"/>
  <c r="M315" i="2"/>
  <c r="Z314" i="2"/>
  <c r="U314" i="2"/>
  <c r="T314" i="2"/>
  <c r="S314" i="2"/>
  <c r="R314" i="2"/>
  <c r="O314" i="2"/>
  <c r="N314" i="2"/>
  <c r="M314" i="2"/>
  <c r="Z313" i="2"/>
  <c r="U313" i="2"/>
  <c r="T313" i="2"/>
  <c r="S313" i="2"/>
  <c r="R313" i="2"/>
  <c r="O313" i="2"/>
  <c r="N313" i="2"/>
  <c r="M313" i="2"/>
  <c r="Z310" i="2"/>
  <c r="U310" i="2"/>
  <c r="T310" i="2"/>
  <c r="S310" i="2"/>
  <c r="R310" i="2"/>
  <c r="O310" i="2"/>
  <c r="N310" i="2"/>
  <c r="M310" i="2"/>
  <c r="Z309" i="2"/>
  <c r="U309" i="2"/>
  <c r="T309" i="2"/>
  <c r="S309" i="2"/>
  <c r="R309" i="2"/>
  <c r="O309" i="2"/>
  <c r="N309" i="2"/>
  <c r="M309" i="2"/>
  <c r="Z308" i="2"/>
  <c r="U308" i="2"/>
  <c r="T308" i="2"/>
  <c r="S308" i="2"/>
  <c r="R308" i="2"/>
  <c r="O308" i="2"/>
  <c r="N308" i="2"/>
  <c r="M308" i="2"/>
  <c r="Z307" i="2"/>
  <c r="U307" i="2"/>
  <c r="T307" i="2"/>
  <c r="S307" i="2"/>
  <c r="R307" i="2"/>
  <c r="O307" i="2"/>
  <c r="N307" i="2"/>
  <c r="M307" i="2"/>
  <c r="Z306" i="2"/>
  <c r="U306" i="2"/>
  <c r="T306" i="2"/>
  <c r="S306" i="2"/>
  <c r="R306" i="2"/>
  <c r="O306" i="2"/>
  <c r="N306" i="2"/>
  <c r="M306" i="2"/>
  <c r="Z305" i="2"/>
  <c r="U305" i="2"/>
  <c r="T305" i="2"/>
  <c r="S305" i="2"/>
  <c r="R305" i="2"/>
  <c r="O305" i="2"/>
  <c r="N305" i="2"/>
  <c r="M305" i="2"/>
  <c r="Z304" i="2"/>
  <c r="U304" i="2"/>
  <c r="T304" i="2"/>
  <c r="S304" i="2"/>
  <c r="R304" i="2"/>
  <c r="O304" i="2"/>
  <c r="N304" i="2"/>
  <c r="M304" i="2"/>
  <c r="Z303" i="2"/>
  <c r="U303" i="2"/>
  <c r="T303" i="2"/>
  <c r="S303" i="2"/>
  <c r="R303" i="2"/>
  <c r="O303" i="2"/>
  <c r="N303" i="2"/>
  <c r="M303" i="2"/>
  <c r="Z302" i="2"/>
  <c r="U302" i="2"/>
  <c r="T302" i="2"/>
  <c r="S302" i="2"/>
  <c r="R302" i="2"/>
  <c r="O302" i="2"/>
  <c r="N302" i="2"/>
  <c r="M302" i="2"/>
  <c r="Z301" i="2"/>
  <c r="U301" i="2"/>
  <c r="T301" i="2"/>
  <c r="S301" i="2"/>
  <c r="R301" i="2"/>
  <c r="O301" i="2"/>
  <c r="N301" i="2"/>
  <c r="M301" i="2"/>
  <c r="Z300" i="2"/>
  <c r="U300" i="2"/>
  <c r="T300" i="2"/>
  <c r="S300" i="2"/>
  <c r="R300" i="2"/>
  <c r="O300" i="2"/>
  <c r="N300" i="2"/>
  <c r="M300" i="2"/>
  <c r="Z299" i="2"/>
  <c r="U299" i="2"/>
  <c r="T299" i="2"/>
  <c r="S299" i="2"/>
  <c r="R299" i="2"/>
  <c r="O299" i="2"/>
  <c r="N299" i="2"/>
  <c r="M299" i="2"/>
  <c r="Z298" i="2"/>
  <c r="U298" i="2"/>
  <c r="T298" i="2"/>
  <c r="S298" i="2"/>
  <c r="R298" i="2"/>
  <c r="O298" i="2"/>
  <c r="N298" i="2"/>
  <c r="M298" i="2"/>
  <c r="Z297" i="2"/>
  <c r="U297" i="2"/>
  <c r="T297" i="2"/>
  <c r="S297" i="2"/>
  <c r="R297" i="2"/>
  <c r="O297" i="2"/>
  <c r="N297" i="2"/>
  <c r="M297" i="2"/>
  <c r="Z296" i="2"/>
  <c r="U296" i="2"/>
  <c r="T296" i="2"/>
  <c r="S296" i="2"/>
  <c r="R296" i="2"/>
  <c r="O296" i="2"/>
  <c r="N296" i="2"/>
  <c r="M296" i="2"/>
  <c r="Z295" i="2"/>
  <c r="U295" i="2"/>
  <c r="T295" i="2"/>
  <c r="S295" i="2"/>
  <c r="R295" i="2"/>
  <c r="O295" i="2"/>
  <c r="N295" i="2"/>
  <c r="M295" i="2"/>
  <c r="Z294" i="2"/>
  <c r="U294" i="2"/>
  <c r="T294" i="2"/>
  <c r="S294" i="2"/>
  <c r="R294" i="2"/>
  <c r="O294" i="2"/>
  <c r="N294" i="2"/>
  <c r="M294" i="2"/>
  <c r="Z293" i="2"/>
  <c r="U293" i="2"/>
  <c r="T293" i="2"/>
  <c r="S293" i="2"/>
  <c r="R293" i="2"/>
  <c r="O293" i="2"/>
  <c r="N293" i="2"/>
  <c r="M293" i="2"/>
  <c r="Z292" i="2"/>
  <c r="U292" i="2"/>
  <c r="T292" i="2"/>
  <c r="S292" i="2"/>
  <c r="R292" i="2"/>
  <c r="O292" i="2"/>
  <c r="N292" i="2"/>
  <c r="M292" i="2"/>
  <c r="Z291" i="2"/>
  <c r="U291" i="2"/>
  <c r="T291" i="2"/>
  <c r="S291" i="2"/>
  <c r="R291" i="2"/>
  <c r="O291" i="2"/>
  <c r="N291" i="2"/>
  <c r="M291" i="2"/>
  <c r="Z290" i="2"/>
  <c r="U290" i="2"/>
  <c r="T290" i="2"/>
  <c r="S290" i="2"/>
  <c r="R290" i="2"/>
  <c r="O290" i="2"/>
  <c r="N290" i="2"/>
  <c r="M290" i="2"/>
  <c r="Z289" i="2"/>
  <c r="U289" i="2"/>
  <c r="T289" i="2"/>
  <c r="S289" i="2"/>
  <c r="R289" i="2"/>
  <c r="O289" i="2"/>
  <c r="N289" i="2"/>
  <c r="M289" i="2"/>
  <c r="Z288" i="2"/>
  <c r="U288" i="2"/>
  <c r="T288" i="2"/>
  <c r="S288" i="2"/>
  <c r="R288" i="2"/>
  <c r="O288" i="2"/>
  <c r="N288" i="2"/>
  <c r="M288" i="2"/>
  <c r="Z287" i="2"/>
  <c r="U287" i="2"/>
  <c r="T287" i="2"/>
  <c r="S287" i="2"/>
  <c r="R287" i="2"/>
  <c r="O287" i="2"/>
  <c r="N287" i="2"/>
  <c r="M287" i="2"/>
  <c r="Z286" i="2"/>
  <c r="U286" i="2"/>
  <c r="T286" i="2"/>
  <c r="S286" i="2"/>
  <c r="R286" i="2"/>
  <c r="O286" i="2"/>
  <c r="N286" i="2"/>
  <c r="M286" i="2"/>
  <c r="Z285" i="2"/>
  <c r="U285" i="2"/>
  <c r="T285" i="2"/>
  <c r="S285" i="2"/>
  <c r="R285" i="2"/>
  <c r="O285" i="2"/>
  <c r="N285" i="2"/>
  <c r="M285" i="2"/>
  <c r="Z284" i="2"/>
  <c r="U284" i="2"/>
  <c r="T284" i="2"/>
  <c r="S284" i="2"/>
  <c r="R284" i="2"/>
  <c r="O284" i="2"/>
  <c r="N284" i="2"/>
  <c r="M284" i="2"/>
  <c r="Z283" i="2"/>
  <c r="U283" i="2"/>
  <c r="T283" i="2"/>
  <c r="S283" i="2"/>
  <c r="R283" i="2"/>
  <c r="O283" i="2"/>
  <c r="N283" i="2"/>
  <c r="M283" i="2"/>
  <c r="Z282" i="2"/>
  <c r="U282" i="2"/>
  <c r="T282" i="2"/>
  <c r="S282" i="2"/>
  <c r="R282" i="2"/>
  <c r="O282" i="2"/>
  <c r="N282" i="2"/>
  <c r="M282" i="2"/>
  <c r="Z281" i="2"/>
  <c r="U281" i="2"/>
  <c r="T281" i="2"/>
  <c r="S281" i="2"/>
  <c r="R281" i="2"/>
  <c r="O281" i="2"/>
  <c r="N281" i="2"/>
  <c r="M281" i="2"/>
  <c r="Z280" i="2"/>
  <c r="U280" i="2"/>
  <c r="T280" i="2"/>
  <c r="S280" i="2"/>
  <c r="R280" i="2"/>
  <c r="O280" i="2"/>
  <c r="N280" i="2"/>
  <c r="M280" i="2"/>
  <c r="Z279" i="2"/>
  <c r="U279" i="2"/>
  <c r="T279" i="2"/>
  <c r="S279" i="2"/>
  <c r="R279" i="2"/>
  <c r="O279" i="2"/>
  <c r="N279" i="2"/>
  <c r="M279" i="2"/>
  <c r="Z278" i="2"/>
  <c r="U278" i="2"/>
  <c r="T278" i="2"/>
  <c r="S278" i="2"/>
  <c r="R278" i="2"/>
  <c r="O278" i="2"/>
  <c r="N278" i="2"/>
  <c r="M278" i="2"/>
  <c r="Z277" i="2"/>
  <c r="U277" i="2"/>
  <c r="T277" i="2"/>
  <c r="S277" i="2"/>
  <c r="R277" i="2"/>
  <c r="O277" i="2"/>
  <c r="N277" i="2"/>
  <c r="M277" i="2"/>
  <c r="Z276" i="2"/>
  <c r="U276" i="2"/>
  <c r="T276" i="2"/>
  <c r="S276" i="2"/>
  <c r="R276" i="2"/>
  <c r="O276" i="2"/>
  <c r="N276" i="2"/>
  <c r="M276" i="2"/>
  <c r="Z275" i="2"/>
  <c r="U275" i="2"/>
  <c r="T275" i="2"/>
  <c r="S275" i="2"/>
  <c r="R275" i="2"/>
  <c r="O275" i="2"/>
  <c r="N275" i="2"/>
  <c r="M275" i="2"/>
  <c r="Z274" i="2"/>
  <c r="U274" i="2"/>
  <c r="T274" i="2"/>
  <c r="S274" i="2"/>
  <c r="R274" i="2"/>
  <c r="O274" i="2"/>
  <c r="N274" i="2"/>
  <c r="M274" i="2"/>
  <c r="Z273" i="2"/>
  <c r="U273" i="2"/>
  <c r="T273" i="2"/>
  <c r="S273" i="2"/>
  <c r="R273" i="2"/>
  <c r="O273" i="2"/>
  <c r="N273" i="2"/>
  <c r="M273" i="2"/>
  <c r="Z272" i="2"/>
  <c r="U272" i="2"/>
  <c r="T272" i="2"/>
  <c r="S272" i="2"/>
  <c r="R272" i="2"/>
  <c r="O272" i="2"/>
  <c r="N272" i="2"/>
  <c r="M272" i="2"/>
  <c r="Z271" i="2"/>
  <c r="U271" i="2"/>
  <c r="T271" i="2"/>
  <c r="S271" i="2"/>
  <c r="R271" i="2"/>
  <c r="O271" i="2"/>
  <c r="N271" i="2"/>
  <c r="M271" i="2"/>
  <c r="Z270" i="2"/>
  <c r="U270" i="2"/>
  <c r="T270" i="2"/>
  <c r="S270" i="2"/>
  <c r="R270" i="2"/>
  <c r="O270" i="2"/>
  <c r="N270" i="2"/>
  <c r="M270" i="2"/>
  <c r="Z269" i="2"/>
  <c r="U269" i="2"/>
  <c r="T269" i="2"/>
  <c r="S269" i="2"/>
  <c r="R269" i="2"/>
  <c r="O269" i="2"/>
  <c r="N269" i="2"/>
  <c r="M269" i="2"/>
  <c r="Z268" i="2"/>
  <c r="U268" i="2"/>
  <c r="T268" i="2"/>
  <c r="S268" i="2"/>
  <c r="R268" i="2"/>
  <c r="O268" i="2"/>
  <c r="N268" i="2"/>
  <c r="M268" i="2"/>
  <c r="Z267" i="2"/>
  <c r="U267" i="2"/>
  <c r="T267" i="2"/>
  <c r="S267" i="2"/>
  <c r="R267" i="2"/>
  <c r="O267" i="2"/>
  <c r="N267" i="2"/>
  <c r="M267" i="2"/>
  <c r="Z266" i="2"/>
  <c r="U266" i="2"/>
  <c r="T266" i="2"/>
  <c r="S266" i="2"/>
  <c r="R266" i="2"/>
  <c r="O266" i="2"/>
  <c r="N266" i="2"/>
  <c r="M266" i="2"/>
  <c r="Z265" i="2"/>
  <c r="U265" i="2"/>
  <c r="T265" i="2"/>
  <c r="S265" i="2"/>
  <c r="R265" i="2"/>
  <c r="O265" i="2"/>
  <c r="N265" i="2"/>
  <c r="M265" i="2"/>
  <c r="Z264" i="2"/>
  <c r="U264" i="2"/>
  <c r="T264" i="2"/>
  <c r="S264" i="2"/>
  <c r="R264" i="2"/>
  <c r="O264" i="2"/>
  <c r="N264" i="2"/>
  <c r="M264" i="2"/>
  <c r="Z263" i="2"/>
  <c r="U263" i="2"/>
  <c r="T263" i="2"/>
  <c r="S263" i="2"/>
  <c r="R263" i="2"/>
  <c r="O263" i="2"/>
  <c r="N263" i="2"/>
  <c r="M263" i="2"/>
  <c r="Z262" i="2"/>
  <c r="U262" i="2"/>
  <c r="T262" i="2"/>
  <c r="S262" i="2"/>
  <c r="R262" i="2"/>
  <c r="O262" i="2"/>
  <c r="N262" i="2"/>
  <c r="M262" i="2"/>
  <c r="Z261" i="2"/>
  <c r="U261" i="2"/>
  <c r="T261" i="2"/>
  <c r="S261" i="2"/>
  <c r="R261" i="2"/>
  <c r="O261" i="2"/>
  <c r="N261" i="2"/>
  <c r="M261" i="2"/>
  <c r="Z260" i="2"/>
  <c r="U260" i="2"/>
  <c r="T260" i="2"/>
  <c r="S260" i="2"/>
  <c r="R260" i="2"/>
  <c r="O260" i="2"/>
  <c r="N260" i="2"/>
  <c r="M260" i="2"/>
  <c r="Z259" i="2"/>
  <c r="U259" i="2"/>
  <c r="T259" i="2"/>
  <c r="S259" i="2"/>
  <c r="R259" i="2"/>
  <c r="O259" i="2"/>
  <c r="N259" i="2"/>
  <c r="M259" i="2"/>
  <c r="Z258" i="2"/>
  <c r="U258" i="2"/>
  <c r="T258" i="2"/>
  <c r="S258" i="2"/>
  <c r="R258" i="2"/>
  <c r="O258" i="2"/>
  <c r="N258" i="2"/>
  <c r="M258" i="2"/>
  <c r="Z257" i="2"/>
  <c r="U257" i="2"/>
  <c r="T257" i="2"/>
  <c r="S257" i="2"/>
  <c r="R257" i="2"/>
  <c r="O257" i="2"/>
  <c r="N257" i="2"/>
  <c r="M257" i="2"/>
  <c r="Z256" i="2"/>
  <c r="U256" i="2"/>
  <c r="T256" i="2"/>
  <c r="S256" i="2"/>
  <c r="R256" i="2"/>
  <c r="O256" i="2"/>
  <c r="N256" i="2"/>
  <c r="M256" i="2"/>
  <c r="Z255" i="2"/>
  <c r="U255" i="2"/>
  <c r="T255" i="2"/>
  <c r="S255" i="2"/>
  <c r="R255" i="2"/>
  <c r="O255" i="2"/>
  <c r="N255" i="2"/>
  <c r="M255" i="2"/>
  <c r="Z254" i="2"/>
  <c r="U254" i="2"/>
  <c r="T254" i="2"/>
  <c r="S254" i="2"/>
  <c r="R254" i="2"/>
  <c r="O254" i="2"/>
  <c r="N254" i="2"/>
  <c r="M254" i="2"/>
  <c r="Z253" i="2"/>
  <c r="U253" i="2"/>
  <c r="T253" i="2"/>
  <c r="S253" i="2"/>
  <c r="R253" i="2"/>
  <c r="O253" i="2"/>
  <c r="N253" i="2"/>
  <c r="M253" i="2"/>
  <c r="Z252" i="2"/>
  <c r="U252" i="2"/>
  <c r="T252" i="2"/>
  <c r="S252" i="2"/>
  <c r="R252" i="2"/>
  <c r="O252" i="2"/>
  <c r="N252" i="2"/>
  <c r="M252" i="2"/>
  <c r="Z251" i="2"/>
  <c r="U251" i="2"/>
  <c r="T251" i="2"/>
  <c r="S251" i="2"/>
  <c r="R251" i="2"/>
  <c r="O251" i="2"/>
  <c r="N251" i="2"/>
  <c r="M251" i="2"/>
  <c r="Z250" i="2"/>
  <c r="U250" i="2"/>
  <c r="T250" i="2"/>
  <c r="S250" i="2"/>
  <c r="R250" i="2"/>
  <c r="O250" i="2"/>
  <c r="N250" i="2"/>
  <c r="M250" i="2"/>
  <c r="Z249" i="2"/>
  <c r="U249" i="2"/>
  <c r="T249" i="2"/>
  <c r="S249" i="2"/>
  <c r="R249" i="2"/>
  <c r="O249" i="2"/>
  <c r="N249" i="2"/>
  <c r="M249" i="2"/>
  <c r="Z248" i="2"/>
  <c r="U248" i="2"/>
  <c r="T248" i="2"/>
  <c r="S248" i="2"/>
  <c r="R248" i="2"/>
  <c r="O248" i="2"/>
  <c r="N248" i="2"/>
  <c r="M248" i="2"/>
  <c r="Z247" i="2"/>
  <c r="U247" i="2"/>
  <c r="T247" i="2"/>
  <c r="S247" i="2"/>
  <c r="R247" i="2"/>
  <c r="O247" i="2"/>
  <c r="N247" i="2"/>
  <c r="M247" i="2"/>
  <c r="Z246" i="2"/>
  <c r="U246" i="2"/>
  <c r="T246" i="2"/>
  <c r="S246" i="2"/>
  <c r="R246" i="2"/>
  <c r="O246" i="2"/>
  <c r="N246" i="2"/>
  <c r="M246" i="2"/>
  <c r="Z245" i="2"/>
  <c r="U245" i="2"/>
  <c r="T245" i="2"/>
  <c r="S245" i="2"/>
  <c r="R245" i="2"/>
  <c r="O245" i="2"/>
  <c r="N245" i="2"/>
  <c r="M245" i="2"/>
  <c r="Z244" i="2"/>
  <c r="U244" i="2"/>
  <c r="T244" i="2"/>
  <c r="S244" i="2"/>
  <c r="R244" i="2"/>
  <c r="O244" i="2"/>
  <c r="N244" i="2"/>
  <c r="M244" i="2"/>
  <c r="Z243" i="2"/>
  <c r="U243" i="2"/>
  <c r="T243" i="2"/>
  <c r="S243" i="2"/>
  <c r="R243" i="2"/>
  <c r="O243" i="2"/>
  <c r="N243" i="2"/>
  <c r="M243" i="2"/>
  <c r="Z242" i="2"/>
  <c r="U242" i="2"/>
  <c r="T242" i="2"/>
  <c r="S242" i="2"/>
  <c r="R242" i="2"/>
  <c r="O242" i="2"/>
  <c r="N242" i="2"/>
  <c r="M242" i="2"/>
  <c r="Z241" i="2"/>
  <c r="U241" i="2"/>
  <c r="T241" i="2"/>
  <c r="S241" i="2"/>
  <c r="R241" i="2"/>
  <c r="O241" i="2"/>
  <c r="N241" i="2"/>
  <c r="M241" i="2"/>
  <c r="Z240" i="2"/>
  <c r="U240" i="2"/>
  <c r="T240" i="2"/>
  <c r="S240" i="2"/>
  <c r="R240" i="2"/>
  <c r="O240" i="2"/>
  <c r="N240" i="2"/>
  <c r="M240" i="2"/>
  <c r="Z239" i="2"/>
  <c r="U239" i="2"/>
  <c r="T239" i="2"/>
  <c r="S239" i="2"/>
  <c r="R239" i="2"/>
  <c r="O239" i="2"/>
  <c r="N239" i="2"/>
  <c r="M239" i="2"/>
  <c r="Z238" i="2"/>
  <c r="U238" i="2"/>
  <c r="T238" i="2"/>
  <c r="S238" i="2"/>
  <c r="R238" i="2"/>
  <c r="O238" i="2"/>
  <c r="N238" i="2"/>
  <c r="M238" i="2"/>
  <c r="Z237" i="2"/>
  <c r="U237" i="2"/>
  <c r="T237" i="2"/>
  <c r="S237" i="2"/>
  <c r="R237" i="2"/>
  <c r="O237" i="2"/>
  <c r="N237" i="2"/>
  <c r="M237" i="2"/>
  <c r="Z236" i="2"/>
  <c r="U236" i="2"/>
  <c r="T236" i="2"/>
  <c r="S236" i="2"/>
  <c r="R236" i="2"/>
  <c r="O236" i="2"/>
  <c r="N236" i="2"/>
  <c r="M236" i="2"/>
  <c r="Z235" i="2"/>
  <c r="U235" i="2"/>
  <c r="T235" i="2"/>
  <c r="S235" i="2"/>
  <c r="R235" i="2"/>
  <c r="O235" i="2"/>
  <c r="N235" i="2"/>
  <c r="M235" i="2"/>
  <c r="Z234" i="2"/>
  <c r="U234" i="2"/>
  <c r="T234" i="2"/>
  <c r="S234" i="2"/>
  <c r="R234" i="2"/>
  <c r="O234" i="2"/>
  <c r="N234" i="2"/>
  <c r="M234" i="2"/>
  <c r="Z233" i="2"/>
  <c r="U233" i="2"/>
  <c r="T233" i="2"/>
  <c r="S233" i="2"/>
  <c r="R233" i="2"/>
  <c r="O233" i="2"/>
  <c r="N233" i="2"/>
  <c r="M233" i="2"/>
  <c r="Z232" i="2"/>
  <c r="U232" i="2"/>
  <c r="T232" i="2"/>
  <c r="S232" i="2"/>
  <c r="R232" i="2"/>
  <c r="O232" i="2"/>
  <c r="N232" i="2"/>
  <c r="M232" i="2"/>
  <c r="Z231" i="2"/>
  <c r="U231" i="2"/>
  <c r="T231" i="2"/>
  <c r="S231" i="2"/>
  <c r="R231" i="2"/>
  <c r="O231" i="2"/>
  <c r="N231" i="2"/>
  <c r="M231" i="2"/>
  <c r="Z230" i="2"/>
  <c r="U230" i="2"/>
  <c r="T230" i="2"/>
  <c r="S230" i="2"/>
  <c r="R230" i="2"/>
  <c r="O230" i="2"/>
  <c r="N230" i="2"/>
  <c r="M230" i="2"/>
  <c r="Z229" i="2"/>
  <c r="U229" i="2"/>
  <c r="T229" i="2"/>
  <c r="S229" i="2"/>
  <c r="R229" i="2"/>
  <c r="O229" i="2"/>
  <c r="N229" i="2"/>
  <c r="M229" i="2"/>
  <c r="Z228" i="2"/>
  <c r="U228" i="2"/>
  <c r="T228" i="2"/>
  <c r="S228" i="2"/>
  <c r="R228" i="2"/>
  <c r="O228" i="2"/>
  <c r="N228" i="2"/>
  <c r="M228" i="2"/>
  <c r="Z227" i="2"/>
  <c r="U227" i="2"/>
  <c r="T227" i="2"/>
  <c r="S227" i="2"/>
  <c r="R227" i="2"/>
  <c r="O227" i="2"/>
  <c r="N227" i="2"/>
  <c r="M227" i="2"/>
  <c r="Z226" i="2"/>
  <c r="U226" i="2"/>
  <c r="T226" i="2"/>
  <c r="S226" i="2"/>
  <c r="R226" i="2"/>
  <c r="O226" i="2"/>
  <c r="N226" i="2"/>
  <c r="M226" i="2"/>
  <c r="Z225" i="2"/>
  <c r="U225" i="2"/>
  <c r="T225" i="2"/>
  <c r="S225" i="2"/>
  <c r="R225" i="2"/>
  <c r="O225" i="2"/>
  <c r="N225" i="2"/>
  <c r="M225" i="2"/>
  <c r="Z224" i="2"/>
  <c r="U224" i="2"/>
  <c r="T224" i="2"/>
  <c r="S224" i="2"/>
  <c r="R224" i="2"/>
  <c r="O224" i="2"/>
  <c r="N224" i="2"/>
  <c r="M224" i="2"/>
  <c r="Z223" i="2"/>
  <c r="U223" i="2"/>
  <c r="T223" i="2"/>
  <c r="S223" i="2"/>
  <c r="R223" i="2"/>
  <c r="O223" i="2"/>
  <c r="N223" i="2"/>
  <c r="M223" i="2"/>
  <c r="Z222" i="2"/>
  <c r="U222" i="2"/>
  <c r="T222" i="2"/>
  <c r="S222" i="2"/>
  <c r="R222" i="2"/>
  <c r="O222" i="2"/>
  <c r="N222" i="2"/>
  <c r="M222" i="2"/>
  <c r="Z221" i="2"/>
  <c r="U221" i="2"/>
  <c r="T221" i="2"/>
  <c r="S221" i="2"/>
  <c r="R221" i="2"/>
  <c r="O221" i="2"/>
  <c r="N221" i="2"/>
  <c r="M221" i="2"/>
  <c r="Z220" i="2"/>
  <c r="U220" i="2"/>
  <c r="T220" i="2"/>
  <c r="S220" i="2"/>
  <c r="R220" i="2"/>
  <c r="O220" i="2"/>
  <c r="N220" i="2"/>
  <c r="M220" i="2"/>
  <c r="Z219" i="2"/>
  <c r="U219" i="2"/>
  <c r="T219" i="2"/>
  <c r="S219" i="2"/>
  <c r="R219" i="2"/>
  <c r="O219" i="2"/>
  <c r="N219" i="2"/>
  <c r="M219" i="2"/>
  <c r="Z218" i="2"/>
  <c r="U218" i="2"/>
  <c r="T218" i="2"/>
  <c r="S218" i="2"/>
  <c r="R218" i="2"/>
  <c r="O218" i="2"/>
  <c r="N218" i="2"/>
  <c r="M218" i="2"/>
  <c r="Z217" i="2"/>
  <c r="U217" i="2"/>
  <c r="T217" i="2"/>
  <c r="S217" i="2"/>
  <c r="R217" i="2"/>
  <c r="O217" i="2"/>
  <c r="N217" i="2"/>
  <c r="M217" i="2"/>
  <c r="Z216" i="2"/>
  <c r="U216" i="2"/>
  <c r="T216" i="2"/>
  <c r="S216" i="2"/>
  <c r="R216" i="2"/>
  <c r="O216" i="2"/>
  <c r="N216" i="2"/>
  <c r="M216" i="2"/>
  <c r="Z215" i="2"/>
  <c r="U215" i="2"/>
  <c r="T215" i="2"/>
  <c r="S215" i="2"/>
  <c r="R215" i="2"/>
  <c r="O215" i="2"/>
  <c r="N215" i="2"/>
  <c r="M215" i="2"/>
  <c r="Z214" i="2"/>
  <c r="U214" i="2"/>
  <c r="T214" i="2"/>
  <c r="S214" i="2"/>
  <c r="R214" i="2"/>
  <c r="O214" i="2"/>
  <c r="N214" i="2"/>
  <c r="M214" i="2"/>
  <c r="Z213" i="2"/>
  <c r="U213" i="2"/>
  <c r="T213" i="2"/>
  <c r="S213" i="2"/>
  <c r="R213" i="2"/>
  <c r="O213" i="2"/>
  <c r="N213" i="2"/>
  <c r="M213" i="2"/>
  <c r="Z212" i="2"/>
  <c r="U212" i="2"/>
  <c r="T212" i="2"/>
  <c r="S212" i="2"/>
  <c r="R212" i="2"/>
  <c r="O212" i="2"/>
  <c r="N212" i="2"/>
  <c r="M212" i="2"/>
  <c r="Z211" i="2"/>
  <c r="U211" i="2"/>
  <c r="T211" i="2"/>
  <c r="S211" i="2"/>
  <c r="R211" i="2"/>
  <c r="O211" i="2"/>
  <c r="N211" i="2"/>
  <c r="M211" i="2"/>
  <c r="Z210" i="2"/>
  <c r="U210" i="2"/>
  <c r="T210" i="2"/>
  <c r="S210" i="2"/>
  <c r="R210" i="2"/>
  <c r="O210" i="2"/>
  <c r="N210" i="2"/>
  <c r="M210" i="2"/>
  <c r="Z209" i="2"/>
  <c r="U209" i="2"/>
  <c r="T209" i="2"/>
  <c r="S209" i="2"/>
  <c r="R209" i="2"/>
  <c r="O209" i="2"/>
  <c r="N209" i="2"/>
  <c r="M209" i="2"/>
  <c r="Z208" i="2"/>
  <c r="U208" i="2"/>
  <c r="T208" i="2"/>
  <c r="S208" i="2"/>
  <c r="R208" i="2"/>
  <c r="O208" i="2"/>
  <c r="N208" i="2"/>
  <c r="M208" i="2"/>
  <c r="Z207" i="2"/>
  <c r="U207" i="2"/>
  <c r="T207" i="2"/>
  <c r="S207" i="2"/>
  <c r="R207" i="2"/>
  <c r="O207" i="2"/>
  <c r="N207" i="2"/>
  <c r="M207" i="2"/>
  <c r="Z206" i="2"/>
  <c r="U206" i="2"/>
  <c r="T206" i="2"/>
  <c r="S206" i="2"/>
  <c r="R206" i="2"/>
  <c r="O206" i="2"/>
  <c r="N206" i="2"/>
  <c r="M206" i="2"/>
  <c r="Z205" i="2"/>
  <c r="U205" i="2"/>
  <c r="T205" i="2"/>
  <c r="S205" i="2"/>
  <c r="R205" i="2"/>
  <c r="O205" i="2"/>
  <c r="N205" i="2"/>
  <c r="M205" i="2"/>
  <c r="Z204" i="2"/>
  <c r="U204" i="2"/>
  <c r="T204" i="2"/>
  <c r="S204" i="2"/>
  <c r="R204" i="2"/>
  <c r="O204" i="2"/>
  <c r="N204" i="2"/>
  <c r="M204" i="2"/>
  <c r="Z203" i="2"/>
  <c r="U203" i="2"/>
  <c r="T203" i="2"/>
  <c r="S203" i="2"/>
  <c r="R203" i="2"/>
  <c r="O203" i="2"/>
  <c r="N203" i="2"/>
  <c r="M203" i="2"/>
  <c r="Z202" i="2"/>
  <c r="U202" i="2"/>
  <c r="T202" i="2"/>
  <c r="S202" i="2"/>
  <c r="R202" i="2"/>
  <c r="O202" i="2"/>
  <c r="N202" i="2"/>
  <c r="M202" i="2"/>
  <c r="Z201" i="2"/>
  <c r="U201" i="2"/>
  <c r="T201" i="2"/>
  <c r="S201" i="2"/>
  <c r="R201" i="2"/>
  <c r="O201" i="2"/>
  <c r="N201" i="2"/>
  <c r="M201" i="2"/>
  <c r="Z200" i="2"/>
  <c r="U200" i="2"/>
  <c r="T200" i="2"/>
  <c r="S200" i="2"/>
  <c r="R200" i="2"/>
  <c r="O200" i="2"/>
  <c r="N200" i="2"/>
  <c r="M200" i="2"/>
  <c r="Z199" i="2"/>
  <c r="U199" i="2"/>
  <c r="T199" i="2"/>
  <c r="S199" i="2"/>
  <c r="R199" i="2"/>
  <c r="O199" i="2"/>
  <c r="N199" i="2"/>
  <c r="M199" i="2"/>
  <c r="Z198" i="2"/>
  <c r="U198" i="2"/>
  <c r="T198" i="2"/>
  <c r="S198" i="2"/>
  <c r="R198" i="2"/>
  <c r="O198" i="2"/>
  <c r="N198" i="2"/>
  <c r="M198" i="2"/>
  <c r="Z197" i="2"/>
  <c r="U197" i="2"/>
  <c r="T197" i="2"/>
  <c r="S197" i="2"/>
  <c r="R197" i="2"/>
  <c r="O197" i="2"/>
  <c r="N197" i="2"/>
  <c r="M197" i="2"/>
  <c r="Z196" i="2"/>
  <c r="U196" i="2"/>
  <c r="T196" i="2"/>
  <c r="S196" i="2"/>
  <c r="R196" i="2"/>
  <c r="O196" i="2"/>
  <c r="N196" i="2"/>
  <c r="M196" i="2"/>
  <c r="Z195" i="2"/>
  <c r="U195" i="2"/>
  <c r="T195" i="2"/>
  <c r="S195" i="2"/>
  <c r="R195" i="2"/>
  <c r="O195" i="2"/>
  <c r="N195" i="2"/>
  <c r="M195" i="2"/>
  <c r="Z194" i="2"/>
  <c r="U194" i="2"/>
  <c r="T194" i="2"/>
  <c r="S194" i="2"/>
  <c r="R194" i="2"/>
  <c r="O194" i="2"/>
  <c r="N194" i="2"/>
  <c r="M194" i="2"/>
  <c r="Z193" i="2"/>
  <c r="U193" i="2"/>
  <c r="T193" i="2"/>
  <c r="S193" i="2"/>
  <c r="R193" i="2"/>
  <c r="O193" i="2"/>
  <c r="N193" i="2"/>
  <c r="M193" i="2"/>
  <c r="Z192" i="2"/>
  <c r="U192" i="2"/>
  <c r="T192" i="2"/>
  <c r="S192" i="2"/>
  <c r="R192" i="2"/>
  <c r="O192" i="2"/>
  <c r="N192" i="2"/>
  <c r="M192" i="2"/>
  <c r="Z191" i="2"/>
  <c r="U191" i="2"/>
  <c r="T191" i="2"/>
  <c r="S191" i="2"/>
  <c r="R191" i="2"/>
  <c r="O191" i="2"/>
  <c r="N191" i="2"/>
  <c r="M191" i="2"/>
  <c r="Z190" i="2"/>
  <c r="U190" i="2"/>
  <c r="T190" i="2"/>
  <c r="S190" i="2"/>
  <c r="R190" i="2"/>
  <c r="O190" i="2"/>
  <c r="N190" i="2"/>
  <c r="M190" i="2"/>
  <c r="Z189" i="2"/>
  <c r="U189" i="2"/>
  <c r="T189" i="2"/>
  <c r="S189" i="2"/>
  <c r="R189" i="2"/>
  <c r="O189" i="2"/>
  <c r="N189" i="2"/>
  <c r="M189" i="2"/>
  <c r="Z188" i="2"/>
  <c r="U188" i="2"/>
  <c r="T188" i="2"/>
  <c r="S188" i="2"/>
  <c r="R188" i="2"/>
  <c r="O188" i="2"/>
  <c r="N188" i="2"/>
  <c r="M188" i="2"/>
  <c r="Z187" i="2"/>
  <c r="U187" i="2"/>
  <c r="T187" i="2"/>
  <c r="S187" i="2"/>
  <c r="R187" i="2"/>
  <c r="O187" i="2"/>
  <c r="N187" i="2"/>
  <c r="M187" i="2"/>
  <c r="Z186" i="2"/>
  <c r="U186" i="2"/>
  <c r="T186" i="2"/>
  <c r="S186" i="2"/>
  <c r="R186" i="2"/>
  <c r="O186" i="2"/>
  <c r="N186" i="2"/>
  <c r="M186" i="2"/>
  <c r="Z185" i="2"/>
  <c r="U185" i="2"/>
  <c r="T185" i="2"/>
  <c r="S185" i="2"/>
  <c r="R185" i="2"/>
  <c r="O185" i="2"/>
  <c r="N185" i="2"/>
  <c r="M185" i="2"/>
  <c r="Z184" i="2"/>
  <c r="U184" i="2"/>
  <c r="T184" i="2"/>
  <c r="S184" i="2"/>
  <c r="R184" i="2"/>
  <c r="O184" i="2"/>
  <c r="N184" i="2"/>
  <c r="M184" i="2"/>
  <c r="Z183" i="2"/>
  <c r="U183" i="2"/>
  <c r="T183" i="2"/>
  <c r="S183" i="2"/>
  <c r="R183" i="2"/>
  <c r="O183" i="2"/>
  <c r="N183" i="2"/>
  <c r="M183" i="2"/>
  <c r="Z182" i="2"/>
  <c r="U182" i="2"/>
  <c r="T182" i="2"/>
  <c r="S182" i="2"/>
  <c r="R182" i="2"/>
  <c r="O182" i="2"/>
  <c r="N182" i="2"/>
  <c r="M182" i="2"/>
  <c r="Z181" i="2"/>
  <c r="U181" i="2"/>
  <c r="T181" i="2"/>
  <c r="S181" i="2"/>
  <c r="R181" i="2"/>
  <c r="O181" i="2"/>
  <c r="N181" i="2"/>
  <c r="M181" i="2"/>
  <c r="Z180" i="2"/>
  <c r="U180" i="2"/>
  <c r="T180" i="2"/>
  <c r="S180" i="2"/>
  <c r="R180" i="2"/>
  <c r="O180" i="2"/>
  <c r="N180" i="2"/>
  <c r="M180" i="2"/>
  <c r="Z179" i="2"/>
  <c r="U179" i="2"/>
  <c r="T179" i="2"/>
  <c r="S179" i="2"/>
  <c r="R179" i="2"/>
  <c r="O179" i="2"/>
  <c r="N179" i="2"/>
  <c r="M179" i="2"/>
  <c r="Z178" i="2"/>
  <c r="U178" i="2"/>
  <c r="T178" i="2"/>
  <c r="S178" i="2"/>
  <c r="R178" i="2"/>
  <c r="O178" i="2"/>
  <c r="N178" i="2"/>
  <c r="M178" i="2"/>
  <c r="Z177" i="2"/>
  <c r="U177" i="2"/>
  <c r="T177" i="2"/>
  <c r="S177" i="2"/>
  <c r="R177" i="2"/>
  <c r="O177" i="2"/>
  <c r="N177" i="2"/>
  <c r="M177" i="2"/>
  <c r="Z176" i="2"/>
  <c r="U176" i="2"/>
  <c r="T176" i="2"/>
  <c r="S176" i="2"/>
  <c r="R176" i="2"/>
  <c r="O176" i="2"/>
  <c r="N176" i="2"/>
  <c r="M176" i="2"/>
  <c r="Z175" i="2"/>
  <c r="U175" i="2"/>
  <c r="T175" i="2"/>
  <c r="S175" i="2"/>
  <c r="R175" i="2"/>
  <c r="O175" i="2"/>
  <c r="N175" i="2"/>
  <c r="M175" i="2"/>
  <c r="Z174" i="2"/>
  <c r="U174" i="2"/>
  <c r="T174" i="2"/>
  <c r="S174" i="2"/>
  <c r="R174" i="2"/>
  <c r="O174" i="2"/>
  <c r="N174" i="2"/>
  <c r="M174" i="2"/>
  <c r="Z173" i="2"/>
  <c r="U173" i="2"/>
  <c r="T173" i="2"/>
  <c r="S173" i="2"/>
  <c r="R173" i="2"/>
  <c r="O173" i="2"/>
  <c r="N173" i="2"/>
  <c r="M173" i="2"/>
  <c r="Z172" i="2"/>
  <c r="U172" i="2"/>
  <c r="T172" i="2"/>
  <c r="S172" i="2"/>
  <c r="R172" i="2"/>
  <c r="O172" i="2"/>
  <c r="N172" i="2"/>
  <c r="M172" i="2"/>
  <c r="Z171" i="2"/>
  <c r="U171" i="2"/>
  <c r="T171" i="2"/>
  <c r="S171" i="2"/>
  <c r="R171" i="2"/>
  <c r="O171" i="2"/>
  <c r="N171" i="2"/>
  <c r="M171" i="2"/>
  <c r="Z170" i="2"/>
  <c r="U170" i="2"/>
  <c r="T170" i="2"/>
  <c r="S170" i="2"/>
  <c r="R170" i="2"/>
  <c r="O170" i="2"/>
  <c r="N170" i="2"/>
  <c r="M170" i="2"/>
  <c r="Z169" i="2"/>
  <c r="U169" i="2"/>
  <c r="T169" i="2"/>
  <c r="S169" i="2"/>
  <c r="R169" i="2"/>
  <c r="O169" i="2"/>
  <c r="N169" i="2"/>
  <c r="M169" i="2"/>
  <c r="Z168" i="2"/>
  <c r="U168" i="2"/>
  <c r="T168" i="2"/>
  <c r="S168" i="2"/>
  <c r="R168" i="2"/>
  <c r="O168" i="2"/>
  <c r="N168" i="2"/>
  <c r="M168" i="2"/>
  <c r="Z167" i="2"/>
  <c r="U167" i="2"/>
  <c r="T167" i="2"/>
  <c r="S167" i="2"/>
  <c r="R167" i="2"/>
  <c r="O167" i="2"/>
  <c r="N167" i="2"/>
  <c r="M167" i="2"/>
  <c r="Z166" i="2"/>
  <c r="U166" i="2"/>
  <c r="T166" i="2"/>
  <c r="S166" i="2"/>
  <c r="R166" i="2"/>
  <c r="O166" i="2"/>
  <c r="N166" i="2"/>
  <c r="M166" i="2"/>
  <c r="Z165" i="2"/>
  <c r="U165" i="2"/>
  <c r="T165" i="2"/>
  <c r="S165" i="2"/>
  <c r="R165" i="2"/>
  <c r="O165" i="2"/>
  <c r="N165" i="2"/>
  <c r="M165" i="2"/>
  <c r="Z164" i="2"/>
  <c r="U164" i="2"/>
  <c r="T164" i="2"/>
  <c r="S164" i="2"/>
  <c r="R164" i="2"/>
  <c r="O164" i="2"/>
  <c r="N164" i="2"/>
  <c r="M164" i="2"/>
  <c r="Z163" i="2"/>
  <c r="U163" i="2"/>
  <c r="T163" i="2"/>
  <c r="S163" i="2"/>
  <c r="R163" i="2"/>
  <c r="O163" i="2"/>
  <c r="N163" i="2"/>
  <c r="M163" i="2"/>
  <c r="Z162" i="2"/>
  <c r="U162" i="2"/>
  <c r="T162" i="2"/>
  <c r="S162" i="2"/>
  <c r="R162" i="2"/>
  <c r="O162" i="2"/>
  <c r="N162" i="2"/>
  <c r="M162" i="2"/>
  <c r="Z161" i="2"/>
  <c r="U161" i="2"/>
  <c r="T161" i="2"/>
  <c r="S161" i="2"/>
  <c r="R161" i="2"/>
  <c r="O161" i="2"/>
  <c r="N161" i="2"/>
  <c r="M161" i="2"/>
  <c r="Z159" i="2"/>
  <c r="U159" i="2"/>
  <c r="T159" i="2"/>
  <c r="S159" i="2"/>
  <c r="R159" i="2"/>
  <c r="O159" i="2"/>
  <c r="N159" i="2"/>
  <c r="M159" i="2"/>
  <c r="Z158" i="2"/>
  <c r="U158" i="2"/>
  <c r="T158" i="2"/>
  <c r="S158" i="2"/>
  <c r="R158" i="2"/>
  <c r="O158" i="2"/>
  <c r="N158" i="2"/>
  <c r="M158" i="2"/>
  <c r="Z157" i="2"/>
  <c r="U157" i="2"/>
  <c r="T157" i="2"/>
  <c r="S157" i="2"/>
  <c r="R157" i="2"/>
  <c r="O157" i="2"/>
  <c r="N157" i="2"/>
  <c r="M157" i="2"/>
  <c r="Z156" i="2"/>
  <c r="U156" i="2"/>
  <c r="T156" i="2"/>
  <c r="S156" i="2"/>
  <c r="R156" i="2"/>
  <c r="O156" i="2"/>
  <c r="N156" i="2"/>
  <c r="M156" i="2"/>
  <c r="Z155" i="2"/>
  <c r="U155" i="2"/>
  <c r="T155" i="2"/>
  <c r="S155" i="2"/>
  <c r="R155" i="2"/>
  <c r="O155" i="2"/>
  <c r="N155" i="2"/>
  <c r="M155" i="2"/>
  <c r="Z154" i="2"/>
  <c r="U154" i="2"/>
  <c r="T154" i="2"/>
  <c r="S154" i="2"/>
  <c r="R154" i="2"/>
  <c r="O154" i="2"/>
  <c r="N154" i="2"/>
  <c r="M154" i="2"/>
  <c r="Z153" i="2"/>
  <c r="U153" i="2"/>
  <c r="T153" i="2"/>
  <c r="S153" i="2"/>
  <c r="R153" i="2"/>
  <c r="O153" i="2"/>
  <c r="N153" i="2"/>
  <c r="M153" i="2"/>
  <c r="Z152" i="2"/>
  <c r="U152" i="2"/>
  <c r="T152" i="2"/>
  <c r="S152" i="2"/>
  <c r="R152" i="2"/>
  <c r="O152" i="2"/>
  <c r="N152" i="2"/>
  <c r="M152" i="2"/>
  <c r="Z151" i="2"/>
  <c r="U151" i="2"/>
  <c r="T151" i="2"/>
  <c r="S151" i="2"/>
  <c r="R151" i="2"/>
  <c r="O151" i="2"/>
  <c r="N151" i="2"/>
  <c r="M151" i="2"/>
  <c r="Z150" i="2"/>
  <c r="U150" i="2"/>
  <c r="T150" i="2"/>
  <c r="S150" i="2"/>
  <c r="R150" i="2"/>
  <c r="O150" i="2"/>
  <c r="N150" i="2"/>
  <c r="M150" i="2"/>
  <c r="Z149" i="2"/>
  <c r="U149" i="2"/>
  <c r="T149" i="2"/>
  <c r="S149" i="2"/>
  <c r="R149" i="2"/>
  <c r="O149" i="2"/>
  <c r="N149" i="2"/>
  <c r="M149" i="2"/>
  <c r="Z148" i="2"/>
  <c r="U148" i="2"/>
  <c r="T148" i="2"/>
  <c r="S148" i="2"/>
  <c r="R148" i="2"/>
  <c r="O148" i="2"/>
  <c r="N148" i="2"/>
  <c r="M148" i="2"/>
  <c r="Z147" i="2"/>
  <c r="U147" i="2"/>
  <c r="T147" i="2"/>
  <c r="S147" i="2"/>
  <c r="R147" i="2"/>
  <c r="O147" i="2"/>
  <c r="N147" i="2"/>
  <c r="M147" i="2"/>
  <c r="Z146" i="2"/>
  <c r="U146" i="2"/>
  <c r="T146" i="2"/>
  <c r="S146" i="2"/>
  <c r="R146" i="2"/>
  <c r="O146" i="2"/>
  <c r="N146" i="2"/>
  <c r="M146" i="2"/>
  <c r="Z145" i="2"/>
  <c r="U145" i="2"/>
  <c r="T145" i="2"/>
  <c r="S145" i="2"/>
  <c r="R145" i="2"/>
  <c r="O145" i="2"/>
  <c r="N145" i="2"/>
  <c r="M145" i="2"/>
  <c r="Z144" i="2"/>
  <c r="U144" i="2"/>
  <c r="T144" i="2"/>
  <c r="S144" i="2"/>
  <c r="R144" i="2"/>
  <c r="O144" i="2"/>
  <c r="N144" i="2"/>
  <c r="M144" i="2"/>
  <c r="Z143" i="2"/>
  <c r="U143" i="2"/>
  <c r="T143" i="2"/>
  <c r="S143" i="2"/>
  <c r="R143" i="2"/>
  <c r="O143" i="2"/>
  <c r="N143" i="2"/>
  <c r="M143" i="2"/>
  <c r="Z142" i="2"/>
  <c r="U142" i="2"/>
  <c r="T142" i="2"/>
  <c r="S142" i="2"/>
  <c r="R142" i="2"/>
  <c r="O142" i="2"/>
  <c r="N142" i="2"/>
  <c r="M142" i="2"/>
  <c r="Z141" i="2"/>
  <c r="U141" i="2"/>
  <c r="T141" i="2"/>
  <c r="S141" i="2"/>
  <c r="R141" i="2"/>
  <c r="O141" i="2"/>
  <c r="N141" i="2"/>
  <c r="M141" i="2"/>
  <c r="Z140" i="2"/>
  <c r="U140" i="2"/>
  <c r="T140" i="2"/>
  <c r="S140" i="2"/>
  <c r="R140" i="2"/>
  <c r="O140" i="2"/>
  <c r="N140" i="2"/>
  <c r="M140" i="2"/>
  <c r="Z139" i="2"/>
  <c r="U139" i="2"/>
  <c r="T139" i="2"/>
  <c r="S139" i="2"/>
  <c r="R139" i="2"/>
  <c r="O139" i="2"/>
  <c r="N139" i="2"/>
  <c r="M139" i="2"/>
  <c r="Z138" i="2"/>
  <c r="U138" i="2"/>
  <c r="T138" i="2"/>
  <c r="S138" i="2"/>
  <c r="R138" i="2"/>
  <c r="O138" i="2"/>
  <c r="N138" i="2"/>
  <c r="M138" i="2"/>
  <c r="Z137" i="2"/>
  <c r="U137" i="2"/>
  <c r="T137" i="2"/>
  <c r="S137" i="2"/>
  <c r="R137" i="2"/>
  <c r="O137" i="2"/>
  <c r="N137" i="2"/>
  <c r="M137" i="2"/>
  <c r="Z136" i="2"/>
  <c r="U136" i="2"/>
  <c r="T136" i="2"/>
  <c r="S136" i="2"/>
  <c r="R136" i="2"/>
  <c r="O136" i="2"/>
  <c r="N136" i="2"/>
  <c r="M136" i="2"/>
  <c r="Z135" i="2"/>
  <c r="U135" i="2"/>
  <c r="T135" i="2"/>
  <c r="S135" i="2"/>
  <c r="R135" i="2"/>
  <c r="O135" i="2"/>
  <c r="N135" i="2"/>
  <c r="M135" i="2"/>
  <c r="Z134" i="2"/>
  <c r="U134" i="2"/>
  <c r="T134" i="2"/>
  <c r="S134" i="2"/>
  <c r="R134" i="2"/>
  <c r="O134" i="2"/>
  <c r="N134" i="2"/>
  <c r="M134" i="2"/>
  <c r="Z133" i="2"/>
  <c r="U133" i="2"/>
  <c r="T133" i="2"/>
  <c r="S133" i="2"/>
  <c r="R133" i="2"/>
  <c r="O133" i="2"/>
  <c r="N133" i="2"/>
  <c r="M133" i="2"/>
  <c r="Z132" i="2"/>
  <c r="U132" i="2"/>
  <c r="T132" i="2"/>
  <c r="S132" i="2"/>
  <c r="R132" i="2"/>
  <c r="O132" i="2"/>
  <c r="N132" i="2"/>
  <c r="M132" i="2"/>
  <c r="Z131" i="2"/>
  <c r="U131" i="2"/>
  <c r="T131" i="2"/>
  <c r="S131" i="2"/>
  <c r="R131" i="2"/>
  <c r="O131" i="2"/>
  <c r="N131" i="2"/>
  <c r="M131" i="2"/>
  <c r="Z130" i="2"/>
  <c r="U130" i="2"/>
  <c r="T130" i="2"/>
  <c r="S130" i="2"/>
  <c r="R130" i="2"/>
  <c r="O130" i="2"/>
  <c r="N130" i="2"/>
  <c r="M130" i="2"/>
  <c r="Z129" i="2"/>
  <c r="U129" i="2"/>
  <c r="T129" i="2"/>
  <c r="S129" i="2"/>
  <c r="R129" i="2"/>
  <c r="O129" i="2"/>
  <c r="N129" i="2"/>
  <c r="M129" i="2"/>
  <c r="Z128" i="2"/>
  <c r="U128" i="2"/>
  <c r="T128" i="2"/>
  <c r="S128" i="2"/>
  <c r="R128" i="2"/>
  <c r="O128" i="2"/>
  <c r="N128" i="2"/>
  <c r="M128" i="2"/>
  <c r="Z127" i="2"/>
  <c r="U127" i="2"/>
  <c r="T127" i="2"/>
  <c r="S127" i="2"/>
  <c r="R127" i="2"/>
  <c r="O127" i="2"/>
  <c r="N127" i="2"/>
  <c r="M127" i="2"/>
  <c r="Z126" i="2"/>
  <c r="U126" i="2"/>
  <c r="T126" i="2"/>
  <c r="S126" i="2"/>
  <c r="R126" i="2"/>
  <c r="O126" i="2"/>
  <c r="N126" i="2"/>
  <c r="M126" i="2"/>
  <c r="Z125" i="2"/>
  <c r="U125" i="2"/>
  <c r="T125" i="2"/>
  <c r="S125" i="2"/>
  <c r="R125" i="2"/>
  <c r="O125" i="2"/>
  <c r="N125" i="2"/>
  <c r="M125" i="2"/>
  <c r="Z124" i="2"/>
  <c r="U124" i="2"/>
  <c r="T124" i="2"/>
  <c r="S124" i="2"/>
  <c r="R124" i="2"/>
  <c r="O124" i="2"/>
  <c r="N124" i="2"/>
  <c r="M124" i="2"/>
  <c r="Z123" i="2"/>
  <c r="U123" i="2"/>
  <c r="T123" i="2"/>
  <c r="S123" i="2"/>
  <c r="R123" i="2"/>
  <c r="O123" i="2"/>
  <c r="N123" i="2"/>
  <c r="M123" i="2"/>
  <c r="Z122" i="2"/>
  <c r="U122" i="2"/>
  <c r="T122" i="2"/>
  <c r="S122" i="2"/>
  <c r="R122" i="2"/>
  <c r="O122" i="2"/>
  <c r="N122" i="2"/>
  <c r="M122" i="2"/>
  <c r="Z121" i="2"/>
  <c r="U121" i="2"/>
  <c r="T121" i="2"/>
  <c r="S121" i="2"/>
  <c r="R121" i="2"/>
  <c r="O121" i="2"/>
  <c r="N121" i="2"/>
  <c r="M121" i="2"/>
  <c r="Z120" i="2"/>
  <c r="U120" i="2"/>
  <c r="T120" i="2"/>
  <c r="S120" i="2"/>
  <c r="R120" i="2"/>
  <c r="O120" i="2"/>
  <c r="N120" i="2"/>
  <c r="M120" i="2"/>
  <c r="Z119" i="2"/>
  <c r="U119" i="2"/>
  <c r="T119" i="2"/>
  <c r="S119" i="2"/>
  <c r="R119" i="2"/>
  <c r="O119" i="2"/>
  <c r="N119" i="2"/>
  <c r="M119" i="2"/>
  <c r="Z118" i="2"/>
  <c r="U118" i="2"/>
  <c r="T118" i="2"/>
  <c r="S118" i="2"/>
  <c r="R118" i="2"/>
  <c r="O118" i="2"/>
  <c r="N118" i="2"/>
  <c r="M118" i="2"/>
  <c r="Z117" i="2"/>
  <c r="U117" i="2"/>
  <c r="T117" i="2"/>
  <c r="S117" i="2"/>
  <c r="R117" i="2"/>
  <c r="O117" i="2"/>
  <c r="N117" i="2"/>
  <c r="M117" i="2"/>
  <c r="Z116" i="2"/>
  <c r="U116" i="2"/>
  <c r="T116" i="2"/>
  <c r="S116" i="2"/>
  <c r="R116" i="2"/>
  <c r="O116" i="2"/>
  <c r="N116" i="2"/>
  <c r="M116" i="2"/>
  <c r="Z115" i="2"/>
  <c r="U115" i="2"/>
  <c r="T115" i="2"/>
  <c r="S115" i="2"/>
  <c r="R115" i="2"/>
  <c r="O115" i="2"/>
  <c r="N115" i="2"/>
  <c r="M115" i="2"/>
  <c r="Z114" i="2"/>
  <c r="U114" i="2"/>
  <c r="T114" i="2"/>
  <c r="S114" i="2"/>
  <c r="R114" i="2"/>
  <c r="O114" i="2"/>
  <c r="N114" i="2"/>
  <c r="M114" i="2"/>
  <c r="Z113" i="2"/>
  <c r="U113" i="2"/>
  <c r="T113" i="2"/>
  <c r="S113" i="2"/>
  <c r="R113" i="2"/>
  <c r="O113" i="2"/>
  <c r="N113" i="2"/>
  <c r="M113" i="2"/>
  <c r="Z112" i="2"/>
  <c r="U112" i="2"/>
  <c r="T112" i="2"/>
  <c r="S112" i="2"/>
  <c r="R112" i="2"/>
  <c r="O112" i="2"/>
  <c r="N112" i="2"/>
  <c r="M112" i="2"/>
  <c r="Z111" i="2"/>
  <c r="U111" i="2"/>
  <c r="T111" i="2"/>
  <c r="S111" i="2"/>
  <c r="R111" i="2"/>
  <c r="O111" i="2"/>
  <c r="N111" i="2"/>
  <c r="M111" i="2"/>
  <c r="Z110" i="2"/>
  <c r="U110" i="2"/>
  <c r="T110" i="2"/>
  <c r="S110" i="2"/>
  <c r="R110" i="2"/>
  <c r="O110" i="2"/>
  <c r="N110" i="2"/>
  <c r="M110" i="2"/>
  <c r="Z109" i="2"/>
  <c r="U109" i="2"/>
  <c r="T109" i="2"/>
  <c r="S109" i="2"/>
  <c r="R109" i="2"/>
  <c r="O109" i="2"/>
  <c r="N109" i="2"/>
  <c r="M109" i="2"/>
  <c r="Z108" i="2"/>
  <c r="U108" i="2"/>
  <c r="T108" i="2"/>
  <c r="S108" i="2"/>
  <c r="R108" i="2"/>
  <c r="O108" i="2"/>
  <c r="N108" i="2"/>
  <c r="M108" i="2"/>
  <c r="Z107" i="2"/>
  <c r="U107" i="2"/>
  <c r="T107" i="2"/>
  <c r="S107" i="2"/>
  <c r="R107" i="2"/>
  <c r="O107" i="2"/>
  <c r="N107" i="2"/>
  <c r="M107" i="2"/>
  <c r="Z106" i="2"/>
  <c r="U106" i="2"/>
  <c r="T106" i="2"/>
  <c r="S106" i="2"/>
  <c r="R106" i="2"/>
  <c r="O106" i="2"/>
  <c r="N106" i="2"/>
  <c r="M106" i="2"/>
  <c r="Z105" i="2"/>
  <c r="U105" i="2"/>
  <c r="T105" i="2"/>
  <c r="S105" i="2"/>
  <c r="R105" i="2"/>
  <c r="O105" i="2"/>
  <c r="N105" i="2"/>
  <c r="M105" i="2"/>
  <c r="Z104" i="2"/>
  <c r="U104" i="2"/>
  <c r="T104" i="2"/>
  <c r="S104" i="2"/>
  <c r="R104" i="2"/>
  <c r="O104" i="2"/>
  <c r="N104" i="2"/>
  <c r="M104" i="2"/>
  <c r="Z103" i="2"/>
  <c r="U103" i="2"/>
  <c r="T103" i="2"/>
  <c r="S103" i="2"/>
  <c r="R103" i="2"/>
  <c r="O103" i="2"/>
  <c r="N103" i="2"/>
  <c r="M103" i="2"/>
  <c r="Z102" i="2"/>
  <c r="U102" i="2"/>
  <c r="T102" i="2"/>
  <c r="S102" i="2"/>
  <c r="R102" i="2"/>
  <c r="O102" i="2"/>
  <c r="N102" i="2"/>
  <c r="M102" i="2"/>
  <c r="Z101" i="2"/>
  <c r="U101" i="2"/>
  <c r="T101" i="2"/>
  <c r="S101" i="2"/>
  <c r="R101" i="2"/>
  <c r="O101" i="2"/>
  <c r="N101" i="2"/>
  <c r="M101" i="2"/>
  <c r="Z100" i="2"/>
  <c r="U100" i="2"/>
  <c r="T100" i="2"/>
  <c r="S100" i="2"/>
  <c r="R100" i="2"/>
  <c r="O100" i="2"/>
  <c r="N100" i="2"/>
  <c r="M100" i="2"/>
  <c r="Z99" i="2"/>
  <c r="U99" i="2"/>
  <c r="T99" i="2"/>
  <c r="S99" i="2"/>
  <c r="R99" i="2"/>
  <c r="O99" i="2"/>
  <c r="N99" i="2"/>
  <c r="M99" i="2"/>
  <c r="Z98" i="2"/>
  <c r="U98" i="2"/>
  <c r="T98" i="2"/>
  <c r="S98" i="2"/>
  <c r="R98" i="2"/>
  <c r="O98" i="2"/>
  <c r="N98" i="2"/>
  <c r="M98" i="2"/>
  <c r="Z97" i="2"/>
  <c r="U97" i="2"/>
  <c r="T97" i="2"/>
  <c r="S97" i="2"/>
  <c r="R97" i="2"/>
  <c r="O97" i="2"/>
  <c r="N97" i="2"/>
  <c r="M97" i="2"/>
  <c r="Z96" i="2"/>
  <c r="U96" i="2"/>
  <c r="T96" i="2"/>
  <c r="S96" i="2"/>
  <c r="R96" i="2"/>
  <c r="O96" i="2"/>
  <c r="N96" i="2"/>
  <c r="M96" i="2"/>
  <c r="Z95" i="2"/>
  <c r="U95" i="2"/>
  <c r="T95" i="2"/>
  <c r="S95" i="2"/>
  <c r="R95" i="2"/>
  <c r="O95" i="2"/>
  <c r="N95" i="2"/>
  <c r="M95" i="2"/>
  <c r="Z94" i="2"/>
  <c r="U94" i="2"/>
  <c r="T94" i="2"/>
  <c r="S94" i="2"/>
  <c r="R94" i="2"/>
  <c r="O94" i="2"/>
  <c r="N94" i="2"/>
  <c r="M94" i="2"/>
  <c r="Z93" i="2"/>
  <c r="U93" i="2"/>
  <c r="T93" i="2"/>
  <c r="S93" i="2"/>
  <c r="R93" i="2"/>
  <c r="O93" i="2"/>
  <c r="N93" i="2"/>
  <c r="M93" i="2"/>
  <c r="Z92" i="2"/>
  <c r="U92" i="2"/>
  <c r="T92" i="2"/>
  <c r="S92" i="2"/>
  <c r="R92" i="2"/>
  <c r="O92" i="2"/>
  <c r="N92" i="2"/>
  <c r="M92" i="2"/>
  <c r="Z91" i="2"/>
  <c r="U91" i="2"/>
  <c r="T91" i="2"/>
  <c r="S91" i="2"/>
  <c r="R91" i="2"/>
  <c r="O91" i="2"/>
  <c r="N91" i="2"/>
  <c r="M91" i="2"/>
  <c r="Z90" i="2"/>
  <c r="U90" i="2"/>
  <c r="T90" i="2"/>
  <c r="S90" i="2"/>
  <c r="R90" i="2"/>
  <c r="O90" i="2"/>
  <c r="N90" i="2"/>
  <c r="M90" i="2"/>
  <c r="Z89" i="2"/>
  <c r="U89" i="2"/>
  <c r="T89" i="2"/>
  <c r="S89" i="2"/>
  <c r="R89" i="2"/>
  <c r="O89" i="2"/>
  <c r="N89" i="2"/>
  <c r="M89" i="2"/>
  <c r="Z88" i="2"/>
  <c r="U88" i="2"/>
  <c r="T88" i="2"/>
  <c r="S88" i="2"/>
  <c r="R88" i="2"/>
  <c r="O88" i="2"/>
  <c r="N88" i="2"/>
  <c r="M88" i="2"/>
  <c r="Z87" i="2"/>
  <c r="U87" i="2"/>
  <c r="T87" i="2"/>
  <c r="S87" i="2"/>
  <c r="R87" i="2"/>
  <c r="O87" i="2"/>
  <c r="N87" i="2"/>
  <c r="M87" i="2"/>
  <c r="Z86" i="2"/>
  <c r="U86" i="2"/>
  <c r="T86" i="2"/>
  <c r="S86" i="2"/>
  <c r="R86" i="2"/>
  <c r="O86" i="2"/>
  <c r="N86" i="2"/>
  <c r="M86" i="2"/>
  <c r="Z85" i="2"/>
  <c r="U85" i="2"/>
  <c r="T85" i="2"/>
  <c r="S85" i="2"/>
  <c r="R85" i="2"/>
  <c r="O85" i="2"/>
  <c r="N85" i="2"/>
  <c r="M85" i="2"/>
  <c r="Z84" i="2"/>
  <c r="U84" i="2"/>
  <c r="T84" i="2"/>
  <c r="S84" i="2"/>
  <c r="R84" i="2"/>
  <c r="O84" i="2"/>
  <c r="N84" i="2"/>
  <c r="M84" i="2"/>
  <c r="Z83" i="2"/>
  <c r="U83" i="2"/>
  <c r="T83" i="2"/>
  <c r="S83" i="2"/>
  <c r="R83" i="2"/>
  <c r="O83" i="2"/>
  <c r="N83" i="2"/>
  <c r="M83" i="2"/>
  <c r="Z82" i="2"/>
  <c r="U82" i="2"/>
  <c r="T82" i="2"/>
  <c r="S82" i="2"/>
  <c r="R82" i="2"/>
  <c r="O82" i="2"/>
  <c r="N82" i="2"/>
  <c r="M82" i="2"/>
  <c r="Z81" i="2"/>
  <c r="U81" i="2"/>
  <c r="T81" i="2"/>
  <c r="S81" i="2"/>
  <c r="R81" i="2"/>
  <c r="O81" i="2"/>
  <c r="N81" i="2"/>
  <c r="M81" i="2"/>
  <c r="Z80" i="2"/>
  <c r="U80" i="2"/>
  <c r="T80" i="2"/>
  <c r="S80" i="2"/>
  <c r="R80" i="2"/>
  <c r="O80" i="2"/>
  <c r="N80" i="2"/>
  <c r="M80" i="2"/>
  <c r="Z79" i="2"/>
  <c r="U79" i="2"/>
  <c r="T79" i="2"/>
  <c r="S79" i="2"/>
  <c r="R79" i="2"/>
  <c r="O79" i="2"/>
  <c r="N79" i="2"/>
  <c r="M79" i="2"/>
  <c r="Z78" i="2"/>
  <c r="U78" i="2"/>
  <c r="T78" i="2"/>
  <c r="S78" i="2"/>
  <c r="R78" i="2"/>
  <c r="O78" i="2"/>
  <c r="N78" i="2"/>
  <c r="M78" i="2"/>
  <c r="Z76" i="2"/>
  <c r="U76" i="2"/>
  <c r="T76" i="2"/>
  <c r="S76" i="2"/>
  <c r="R76" i="2"/>
  <c r="O76" i="2"/>
  <c r="N76" i="2"/>
  <c r="M76" i="2"/>
  <c r="Z75" i="2"/>
  <c r="U75" i="2"/>
  <c r="T75" i="2"/>
  <c r="S75" i="2"/>
  <c r="R75" i="2"/>
  <c r="O75" i="2"/>
  <c r="N75" i="2"/>
  <c r="M75" i="2"/>
  <c r="Z74" i="2"/>
  <c r="U74" i="2"/>
  <c r="T74" i="2"/>
  <c r="S74" i="2"/>
  <c r="R74" i="2"/>
  <c r="O74" i="2"/>
  <c r="N74" i="2"/>
  <c r="M74" i="2"/>
  <c r="Z73" i="2"/>
  <c r="U73" i="2"/>
  <c r="T73" i="2"/>
  <c r="S73" i="2"/>
  <c r="R73" i="2"/>
  <c r="O73" i="2"/>
  <c r="N73" i="2"/>
  <c r="M73" i="2"/>
  <c r="Z72" i="2"/>
  <c r="U72" i="2"/>
  <c r="T72" i="2"/>
  <c r="S72" i="2"/>
  <c r="R72" i="2"/>
  <c r="O72" i="2"/>
  <c r="N72" i="2"/>
  <c r="M72" i="2"/>
  <c r="Z71" i="2"/>
  <c r="U71" i="2"/>
  <c r="T71" i="2"/>
  <c r="S71" i="2"/>
  <c r="R71" i="2"/>
  <c r="O71" i="2"/>
  <c r="N71" i="2"/>
  <c r="M71" i="2"/>
  <c r="Z70" i="2"/>
  <c r="U70" i="2"/>
  <c r="T70" i="2"/>
  <c r="S70" i="2"/>
  <c r="R70" i="2"/>
  <c r="O70" i="2"/>
  <c r="N70" i="2"/>
  <c r="M70" i="2"/>
  <c r="Z69" i="2"/>
  <c r="U69" i="2"/>
  <c r="T69" i="2"/>
  <c r="S69" i="2"/>
  <c r="R69" i="2"/>
  <c r="O69" i="2"/>
  <c r="N69" i="2"/>
  <c r="M69" i="2"/>
  <c r="Z68" i="2"/>
  <c r="U68" i="2"/>
  <c r="T68" i="2"/>
  <c r="S68" i="2"/>
  <c r="R68" i="2"/>
  <c r="O68" i="2"/>
  <c r="N68" i="2"/>
  <c r="M68" i="2"/>
  <c r="Z67" i="2"/>
  <c r="U67" i="2"/>
  <c r="T67" i="2"/>
  <c r="S67" i="2"/>
  <c r="R67" i="2"/>
  <c r="O67" i="2"/>
  <c r="N67" i="2"/>
  <c r="M67" i="2"/>
  <c r="Z66" i="2"/>
  <c r="U66" i="2"/>
  <c r="T66" i="2"/>
  <c r="S66" i="2"/>
  <c r="R66" i="2"/>
  <c r="O66" i="2"/>
  <c r="N66" i="2"/>
  <c r="M66" i="2"/>
  <c r="Z65" i="2"/>
  <c r="U65" i="2"/>
  <c r="T65" i="2"/>
  <c r="S65" i="2"/>
  <c r="R65" i="2"/>
  <c r="O65" i="2"/>
  <c r="N65" i="2"/>
  <c r="M65" i="2"/>
  <c r="Z64" i="2"/>
  <c r="U64" i="2"/>
  <c r="T64" i="2"/>
  <c r="S64" i="2"/>
  <c r="R64" i="2"/>
  <c r="O64" i="2"/>
  <c r="N64" i="2"/>
  <c r="M64" i="2"/>
  <c r="Z63" i="2"/>
  <c r="U63" i="2"/>
  <c r="T63" i="2"/>
  <c r="S63" i="2"/>
  <c r="R63" i="2"/>
  <c r="O63" i="2"/>
  <c r="N63" i="2"/>
  <c r="M63" i="2"/>
  <c r="Z62" i="2"/>
  <c r="U62" i="2"/>
  <c r="T62" i="2"/>
  <c r="S62" i="2"/>
  <c r="R62" i="2"/>
  <c r="O62" i="2"/>
  <c r="N62" i="2"/>
  <c r="M62" i="2"/>
  <c r="Z61" i="2"/>
  <c r="U61" i="2"/>
  <c r="T61" i="2"/>
  <c r="S61" i="2"/>
  <c r="R61" i="2"/>
  <c r="O61" i="2"/>
  <c r="N61" i="2"/>
  <c r="M61" i="2"/>
  <c r="Z60" i="2"/>
  <c r="U60" i="2"/>
  <c r="T60" i="2"/>
  <c r="S60" i="2"/>
  <c r="R60" i="2"/>
  <c r="O60" i="2"/>
  <c r="N60" i="2"/>
  <c r="M60" i="2"/>
  <c r="Z59" i="2"/>
  <c r="U59" i="2"/>
  <c r="T59" i="2"/>
  <c r="S59" i="2"/>
  <c r="R59" i="2"/>
  <c r="O59" i="2"/>
  <c r="N59" i="2"/>
  <c r="M59" i="2"/>
  <c r="Z58" i="2"/>
  <c r="U58" i="2"/>
  <c r="T58" i="2"/>
  <c r="S58" i="2"/>
  <c r="R58" i="2"/>
  <c r="O58" i="2"/>
  <c r="N58" i="2"/>
  <c r="M58" i="2"/>
  <c r="Z57" i="2"/>
  <c r="U57" i="2"/>
  <c r="T57" i="2"/>
  <c r="S57" i="2"/>
  <c r="R57" i="2"/>
  <c r="O57" i="2"/>
  <c r="N57" i="2"/>
  <c r="M57" i="2"/>
  <c r="Z56" i="2"/>
  <c r="U56" i="2"/>
  <c r="T56" i="2"/>
  <c r="S56" i="2"/>
  <c r="R56" i="2"/>
  <c r="O56" i="2"/>
  <c r="N56" i="2"/>
  <c r="M56" i="2"/>
  <c r="Z54" i="2"/>
  <c r="U54" i="2"/>
  <c r="T54" i="2"/>
  <c r="S54" i="2"/>
  <c r="R54" i="2"/>
  <c r="O54" i="2"/>
  <c r="N54" i="2"/>
  <c r="M54" i="2"/>
  <c r="Z53" i="2"/>
  <c r="U53" i="2"/>
  <c r="T53" i="2"/>
  <c r="S53" i="2"/>
  <c r="R53" i="2"/>
  <c r="O53" i="2"/>
  <c r="N53" i="2"/>
  <c r="M53" i="2"/>
  <c r="Z52" i="2"/>
  <c r="U52" i="2"/>
  <c r="T52" i="2"/>
  <c r="S52" i="2"/>
  <c r="R52" i="2"/>
  <c r="O52" i="2"/>
  <c r="N52" i="2"/>
  <c r="M52" i="2"/>
  <c r="Z51" i="2"/>
  <c r="U51" i="2"/>
  <c r="T51" i="2"/>
  <c r="S51" i="2"/>
  <c r="R51" i="2"/>
  <c r="O51" i="2"/>
  <c r="N51" i="2"/>
  <c r="M51" i="2"/>
  <c r="Z50" i="2"/>
  <c r="U50" i="2"/>
  <c r="T50" i="2"/>
  <c r="S50" i="2"/>
  <c r="R50" i="2"/>
  <c r="O50" i="2"/>
  <c r="N50" i="2"/>
  <c r="M50" i="2"/>
  <c r="Z49" i="2"/>
  <c r="U49" i="2"/>
  <c r="T49" i="2"/>
  <c r="S49" i="2"/>
  <c r="R49" i="2"/>
  <c r="O49" i="2"/>
  <c r="N49" i="2"/>
  <c r="M49" i="2"/>
  <c r="Z48" i="2"/>
  <c r="U48" i="2"/>
  <c r="T48" i="2"/>
  <c r="S48" i="2"/>
  <c r="R48" i="2"/>
  <c r="O48" i="2"/>
  <c r="N48" i="2"/>
  <c r="M48" i="2"/>
  <c r="Z47" i="2"/>
  <c r="U47" i="2"/>
  <c r="T47" i="2"/>
  <c r="S47" i="2"/>
  <c r="R47" i="2"/>
  <c r="O47" i="2"/>
  <c r="N47" i="2"/>
  <c r="M47" i="2"/>
  <c r="Z46" i="2"/>
  <c r="U46" i="2"/>
  <c r="T46" i="2"/>
  <c r="S46" i="2"/>
  <c r="R46" i="2"/>
  <c r="O46" i="2"/>
  <c r="N46" i="2"/>
  <c r="M46" i="2"/>
  <c r="Z45" i="2"/>
  <c r="U45" i="2"/>
  <c r="T45" i="2"/>
  <c r="S45" i="2"/>
  <c r="R45" i="2"/>
  <c r="O45" i="2"/>
  <c r="N45" i="2"/>
  <c r="M45" i="2"/>
  <c r="Z44" i="2"/>
  <c r="U44" i="2"/>
  <c r="T44" i="2"/>
  <c r="S44" i="2"/>
  <c r="R44" i="2"/>
  <c r="O44" i="2"/>
  <c r="N44" i="2"/>
  <c r="M44" i="2"/>
  <c r="Z43" i="2"/>
  <c r="U43" i="2"/>
  <c r="T43" i="2"/>
  <c r="S43" i="2"/>
  <c r="R43" i="2"/>
  <c r="O43" i="2"/>
  <c r="N43" i="2"/>
  <c r="M43" i="2"/>
  <c r="Z42" i="2"/>
  <c r="U42" i="2"/>
  <c r="T42" i="2"/>
  <c r="S42" i="2"/>
  <c r="R42" i="2"/>
  <c r="O42" i="2"/>
  <c r="N42" i="2"/>
  <c r="M42" i="2"/>
  <c r="Z41" i="2"/>
  <c r="U41" i="2"/>
  <c r="T41" i="2"/>
  <c r="S41" i="2"/>
  <c r="R41" i="2"/>
  <c r="Z40" i="2"/>
  <c r="U40" i="2"/>
  <c r="T40" i="2"/>
  <c r="S40" i="2"/>
  <c r="R40" i="2"/>
  <c r="Z39" i="2"/>
  <c r="U39" i="2"/>
  <c r="T39" i="2"/>
  <c r="S39" i="2"/>
  <c r="R39" i="2"/>
  <c r="Z38" i="2"/>
  <c r="U38" i="2"/>
  <c r="T38" i="2"/>
  <c r="S38" i="2"/>
  <c r="R38" i="2"/>
  <c r="Z36" i="2"/>
  <c r="U36" i="2"/>
  <c r="T36" i="2"/>
  <c r="S36" i="2"/>
  <c r="R36" i="2"/>
  <c r="Z35" i="2"/>
  <c r="U35" i="2"/>
  <c r="T35" i="2"/>
  <c r="S35" i="2"/>
  <c r="R35" i="2"/>
  <c r="Z34" i="2"/>
  <c r="U34" i="2"/>
  <c r="T34" i="2"/>
  <c r="S34" i="2"/>
  <c r="R34" i="2"/>
  <c r="Z33" i="2"/>
  <c r="U33" i="2"/>
  <c r="T33" i="2"/>
  <c r="S33" i="2"/>
  <c r="R33" i="2"/>
  <c r="Z32" i="2"/>
  <c r="U32" i="2"/>
  <c r="T32" i="2"/>
  <c r="S32" i="2"/>
  <c r="R32" i="2"/>
  <c r="O32" i="2"/>
  <c r="N32" i="2"/>
  <c r="M32" i="2"/>
  <c r="Z30" i="2"/>
  <c r="U30" i="2"/>
  <c r="T30" i="2"/>
  <c r="S30" i="2"/>
  <c r="R30" i="2"/>
  <c r="O30" i="2"/>
  <c r="N30" i="2"/>
  <c r="M30" i="2"/>
  <c r="Z29" i="2"/>
  <c r="U29" i="2"/>
  <c r="T29" i="2"/>
  <c r="S29" i="2"/>
  <c r="R29" i="2"/>
  <c r="Z28" i="2"/>
  <c r="U28" i="2"/>
  <c r="T28" i="2"/>
  <c r="S28" i="2"/>
  <c r="R28" i="2"/>
  <c r="Z27" i="2"/>
  <c r="U27" i="2"/>
  <c r="T27" i="2"/>
  <c r="S27" i="2"/>
  <c r="R27" i="2"/>
  <c r="O27" i="2"/>
  <c r="N27" i="2"/>
  <c r="M27" i="2"/>
  <c r="Z26" i="2"/>
  <c r="U26" i="2"/>
  <c r="T26" i="2"/>
  <c r="S26" i="2"/>
  <c r="R26" i="2"/>
  <c r="O26" i="2"/>
  <c r="N26" i="2"/>
  <c r="M26" i="2"/>
  <c r="Z25" i="2"/>
  <c r="U25" i="2"/>
  <c r="T25" i="2"/>
  <c r="S25" i="2"/>
  <c r="R25" i="2"/>
  <c r="O25" i="2"/>
  <c r="N25" i="2"/>
  <c r="M25" i="2"/>
  <c r="Z24" i="2"/>
  <c r="U24" i="2"/>
  <c r="T24" i="2"/>
  <c r="S24" i="2"/>
  <c r="R24" i="2"/>
  <c r="O24" i="2"/>
  <c r="N24" i="2"/>
  <c r="M24" i="2"/>
  <c r="Z23" i="2"/>
  <c r="U23" i="2"/>
  <c r="T23" i="2"/>
  <c r="S23" i="2"/>
  <c r="R23" i="2"/>
  <c r="O23" i="2"/>
  <c r="N23" i="2"/>
  <c r="M23" i="2"/>
  <c r="Z22" i="2"/>
  <c r="U22" i="2"/>
  <c r="T22" i="2"/>
  <c r="S22" i="2"/>
  <c r="R22" i="2"/>
  <c r="O22" i="2"/>
  <c r="N22" i="2"/>
  <c r="M22" i="2"/>
  <c r="Z21" i="2"/>
  <c r="U21" i="2"/>
  <c r="T21" i="2"/>
  <c r="S21" i="2"/>
  <c r="R21" i="2"/>
  <c r="O21" i="2"/>
  <c r="N21" i="2"/>
  <c r="M21" i="2"/>
  <c r="Z19" i="2"/>
  <c r="U19" i="2"/>
  <c r="T19" i="2"/>
  <c r="S19" i="2"/>
  <c r="R19" i="2"/>
  <c r="O19" i="2"/>
  <c r="N19" i="2"/>
  <c r="M19" i="2"/>
  <c r="Z18" i="2"/>
  <c r="U18" i="2"/>
  <c r="T18" i="2"/>
  <c r="S18" i="2"/>
  <c r="R18" i="2"/>
  <c r="O18" i="2"/>
  <c r="N18" i="2"/>
  <c r="M18" i="2"/>
  <c r="Z17" i="2"/>
  <c r="U17" i="2"/>
  <c r="T17" i="2"/>
  <c r="S17" i="2"/>
  <c r="R17" i="2"/>
  <c r="O17" i="2"/>
  <c r="N17" i="2"/>
  <c r="M17" i="2"/>
  <c r="Z16" i="2"/>
  <c r="U16" i="2"/>
  <c r="T16" i="2"/>
  <c r="S16" i="2"/>
  <c r="R16" i="2"/>
  <c r="O16" i="2"/>
  <c r="N16" i="2"/>
  <c r="M16" i="2"/>
  <c r="Z15" i="2"/>
  <c r="U15" i="2"/>
  <c r="T15" i="2"/>
  <c r="S15" i="2"/>
  <c r="R15" i="2"/>
  <c r="O15" i="2"/>
  <c r="N15" i="2"/>
  <c r="M15" i="2"/>
  <c r="G1423" i="2"/>
  <c r="Z13" i="2"/>
  <c r="U13" i="2"/>
  <c r="T13" i="2"/>
  <c r="S13" i="2"/>
  <c r="R13" i="2"/>
  <c r="O13" i="2"/>
  <c r="N13" i="2"/>
  <c r="M13" i="2"/>
  <c r="Z12" i="2"/>
  <c r="U12" i="2"/>
  <c r="T12" i="2"/>
  <c r="S12" i="2"/>
  <c r="R12" i="2"/>
  <c r="O12" i="2"/>
  <c r="N12" i="2"/>
  <c r="M12" i="2"/>
  <c r="Z11" i="2"/>
  <c r="U11" i="2"/>
  <c r="T11" i="2"/>
  <c r="S11" i="2"/>
  <c r="R11" i="2"/>
  <c r="O11" i="2"/>
  <c r="N11" i="2"/>
  <c r="M11" i="2"/>
  <c r="I1441" i="2"/>
  <c r="I1436" i="2"/>
  <c r="F1436" i="2"/>
  <c r="AW1290" i="2"/>
  <c r="AV1290" i="2"/>
  <c r="AO1290" i="2"/>
  <c r="AN1290" i="2"/>
  <c r="AJ1290" i="2"/>
  <c r="AK1290" i="2" s="1"/>
  <c r="AI1290" i="2"/>
  <c r="Z1290" i="2"/>
  <c r="U1290" i="2"/>
  <c r="T1290" i="2"/>
  <c r="S1290" i="2"/>
  <c r="R1290" i="2"/>
  <c r="O1290" i="2"/>
  <c r="N1290" i="2"/>
  <c r="M1290" i="2"/>
  <c r="AW1289" i="2"/>
  <c r="AV1289" i="2"/>
  <c r="AO1289" i="2"/>
  <c r="AN1289" i="2"/>
  <c r="AJ1289" i="2"/>
  <c r="AK1289" i="2" s="1"/>
  <c r="AI1289" i="2"/>
  <c r="Z1289" i="2"/>
  <c r="U1289" i="2"/>
  <c r="T1289" i="2"/>
  <c r="S1289" i="2"/>
  <c r="R1289" i="2"/>
  <c r="O1289" i="2"/>
  <c r="N1289" i="2"/>
  <c r="M1289" i="2"/>
  <c r="AW1288" i="2"/>
  <c r="AV1288" i="2"/>
  <c r="AO1288" i="2"/>
  <c r="AN1288" i="2"/>
  <c r="AJ1288" i="2"/>
  <c r="AK1288" i="2" s="1"/>
  <c r="AI1288" i="2"/>
  <c r="Z1288" i="2"/>
  <c r="U1288" i="2"/>
  <c r="T1288" i="2"/>
  <c r="S1288" i="2"/>
  <c r="R1288" i="2"/>
  <c r="O1288" i="2"/>
  <c r="N1288" i="2"/>
  <c r="M1288" i="2"/>
  <c r="AW1287" i="2"/>
  <c r="AV1287" i="2"/>
  <c r="AO1287" i="2"/>
  <c r="AN1287" i="2"/>
  <c r="AJ1287" i="2"/>
  <c r="AK1287" i="2" s="1"/>
  <c r="AI1287" i="2"/>
  <c r="Z1287" i="2"/>
  <c r="U1287" i="2"/>
  <c r="T1287" i="2"/>
  <c r="S1287" i="2"/>
  <c r="R1287" i="2"/>
  <c r="O1287" i="2"/>
  <c r="N1287" i="2"/>
  <c r="M1287" i="2"/>
  <c r="H1439" i="2" l="1"/>
  <c r="G1439" i="2"/>
  <c r="V236" i="2"/>
  <c r="H1344" i="2"/>
  <c r="G1344" i="2"/>
  <c r="H1448" i="2"/>
  <c r="G1317" i="2"/>
  <c r="H1317" i="2"/>
  <c r="G1361" i="2"/>
  <c r="H1361" i="2"/>
  <c r="V537" i="2"/>
  <c r="V608" i="2"/>
  <c r="V881" i="2"/>
  <c r="V887" i="2"/>
  <c r="V893" i="2"/>
  <c r="Q949" i="2"/>
  <c r="Q735" i="2"/>
  <c r="V736" i="2"/>
  <c r="Q747" i="2"/>
  <c r="V1054" i="2"/>
  <c r="Q1059" i="2"/>
  <c r="Q1062" i="2"/>
  <c r="V1201" i="2"/>
  <c r="Q1203" i="2"/>
  <c r="Q1206" i="2"/>
  <c r="Q1209" i="2"/>
  <c r="Q1212" i="2"/>
  <c r="Q1215" i="2"/>
  <c r="Q1218" i="2"/>
  <c r="Q1221" i="2"/>
  <c r="Q1224" i="2"/>
  <c r="Q1227" i="2"/>
  <c r="Q1230" i="2"/>
  <c r="Q1233" i="2"/>
  <c r="Q1236" i="2"/>
  <c r="Q1239" i="2"/>
  <c r="V871" i="2"/>
  <c r="Q15" i="2"/>
  <c r="Q23" i="2"/>
  <c r="Q261" i="2"/>
  <c r="V262" i="2"/>
  <c r="Q273" i="2"/>
  <c r="Q323" i="2"/>
  <c r="Q371" i="2"/>
  <c r="V402" i="2"/>
  <c r="V834" i="2"/>
  <c r="Q189" i="2"/>
  <c r="Q1013" i="2"/>
  <c r="V1017" i="2"/>
  <c r="V1044" i="2"/>
  <c r="V249" i="2"/>
  <c r="V279" i="2"/>
  <c r="V285" i="2"/>
  <c r="V836" i="2"/>
  <c r="V848" i="2"/>
  <c r="V857" i="2"/>
  <c r="Q221" i="2"/>
  <c r="Q337" i="2"/>
  <c r="Q340" i="2"/>
  <c r="Q778" i="2"/>
  <c r="V865" i="2"/>
  <c r="V916" i="2"/>
  <c r="V922" i="2"/>
  <c r="V925" i="2"/>
  <c r="V934" i="2"/>
  <c r="Q225" i="2"/>
  <c r="V762" i="2"/>
  <c r="Q948" i="2"/>
  <c r="V289" i="2"/>
  <c r="V669" i="2"/>
  <c r="Q848" i="2"/>
  <c r="V918" i="2"/>
  <c r="V930" i="2"/>
  <c r="Q960" i="2"/>
  <c r="Q155" i="2"/>
  <c r="Q161" i="2"/>
  <c r="Q179" i="2"/>
  <c r="V377" i="2"/>
  <c r="Q803" i="2"/>
  <c r="Q1064" i="2"/>
  <c r="V1065" i="2"/>
  <c r="Q1067" i="2"/>
  <c r="Q1145" i="2"/>
  <c r="Q1148" i="2"/>
  <c r="Q1151" i="2"/>
  <c r="Q1157" i="2"/>
  <c r="Q1160" i="2"/>
  <c r="Q1163" i="2"/>
  <c r="Q1175" i="2"/>
  <c r="Q730" i="2"/>
  <c r="V170" i="2"/>
  <c r="V176" i="2"/>
  <c r="Q667" i="2"/>
  <c r="Q841" i="2"/>
  <c r="Q865" i="2"/>
  <c r="V993" i="2"/>
  <c r="V134" i="2"/>
  <c r="V140" i="2"/>
  <c r="V146" i="2"/>
  <c r="Q121" i="2"/>
  <c r="Q154" i="2"/>
  <c r="Q178" i="2"/>
  <c r="V278" i="2"/>
  <c r="V340" i="2"/>
  <c r="Q372" i="2"/>
  <c r="Q378" i="2"/>
  <c r="Q384" i="2"/>
  <c r="V769" i="2"/>
  <c r="V772" i="2"/>
  <c r="V775" i="2"/>
  <c r="V785" i="2"/>
  <c r="V826" i="2"/>
  <c r="Q1132" i="2"/>
  <c r="Q126" i="2"/>
  <c r="Q130" i="2"/>
  <c r="V131" i="2"/>
  <c r="Q141" i="2"/>
  <c r="Q171" i="2"/>
  <c r="Q183" i="2"/>
  <c r="V286" i="2"/>
  <c r="Q657" i="2"/>
  <c r="V661" i="2"/>
  <c r="Q810" i="2"/>
  <c r="Q819" i="2"/>
  <c r="V200" i="2"/>
  <c r="V121" i="2"/>
  <c r="Q1242" i="2"/>
  <c r="Q1245" i="2"/>
  <c r="Q1248" i="2"/>
  <c r="Q1251" i="2"/>
  <c r="Q1254" i="2"/>
  <c r="Q1257" i="2"/>
  <c r="Q1260" i="2"/>
  <c r="Q1263" i="2"/>
  <c r="Q1266" i="2"/>
  <c r="Q1269" i="2"/>
  <c r="Q1272" i="2"/>
  <c r="Q1275" i="2"/>
  <c r="Q1278" i="2"/>
  <c r="Q1281" i="2"/>
  <c r="Q1284" i="2"/>
  <c r="Q122" i="2"/>
  <c r="Q143" i="2"/>
  <c r="V195" i="2"/>
  <c r="V208" i="2"/>
  <c r="V211" i="2"/>
  <c r="V214" i="2"/>
  <c r="V318" i="2"/>
  <c r="Q366" i="2"/>
  <c r="Q369" i="2"/>
  <c r="Q390" i="2"/>
  <c r="Q399" i="2"/>
  <c r="V538" i="2"/>
  <c r="V668" i="2"/>
  <c r="Q670" i="2"/>
  <c r="Q673" i="2"/>
  <c r="Q733" i="2"/>
  <c r="Q748" i="2"/>
  <c r="V804" i="2"/>
  <c r="V828" i="2"/>
  <c r="V870" i="2"/>
  <c r="Q1077" i="2"/>
  <c r="Q1086" i="2"/>
  <c r="Q1089" i="2"/>
  <c r="V1192" i="2"/>
  <c r="V846" i="2"/>
  <c r="Q905" i="2"/>
  <c r="V987" i="2"/>
  <c r="V1026" i="2"/>
  <c r="V1032" i="2"/>
  <c r="Q1128" i="2"/>
  <c r="V119" i="2"/>
  <c r="V231" i="2"/>
  <c r="V330" i="2"/>
  <c r="V336" i="2"/>
  <c r="V343" i="2"/>
  <c r="V346" i="2"/>
  <c r="V355" i="2"/>
  <c r="V358" i="2"/>
  <c r="Q360" i="2"/>
  <c r="V698" i="2"/>
  <c r="V722" i="2"/>
  <c r="Q18" i="2"/>
  <c r="Q115" i="2"/>
  <c r="V225" i="2"/>
  <c r="V255" i="2"/>
  <c r="Q294" i="2"/>
  <c r="Q297" i="2"/>
  <c r="Q306" i="2"/>
  <c r="Q320" i="2"/>
  <c r="V390" i="2"/>
  <c r="V396" i="2"/>
  <c r="V403" i="2"/>
  <c r="V412" i="2"/>
  <c r="Q615" i="2"/>
  <c r="Q624" i="2"/>
  <c r="Q630" i="2"/>
  <c r="V760" i="2"/>
  <c r="Q790" i="2"/>
  <c r="Q805" i="2"/>
  <c r="Q896" i="2"/>
  <c r="Q899" i="2"/>
  <c r="Q953" i="2"/>
  <c r="V954" i="2"/>
  <c r="Q974" i="2"/>
  <c r="Q980" i="2"/>
  <c r="Q992" i="2"/>
  <c r="Q1019" i="2"/>
  <c r="V1137" i="2"/>
  <c r="V1161" i="2"/>
  <c r="V1164" i="2"/>
  <c r="V1185" i="2"/>
  <c r="V1197" i="2"/>
  <c r="V939" i="2"/>
  <c r="V948" i="2"/>
  <c r="Q145" i="2"/>
  <c r="V194" i="2"/>
  <c r="V261" i="2"/>
  <c r="Q263" i="2"/>
  <c r="Q269" i="2"/>
  <c r="V360" i="2"/>
  <c r="Q362" i="2"/>
  <c r="V384" i="2"/>
  <c r="Q392" i="2"/>
  <c r="Q398" i="2"/>
  <c r="Q401" i="2"/>
  <c r="V558" i="2"/>
  <c r="V600" i="2"/>
  <c r="V603" i="2"/>
  <c r="V606" i="2"/>
  <c r="V609" i="2"/>
  <c r="V621" i="2"/>
  <c r="V624" i="2"/>
  <c r="V627" i="2"/>
  <c r="V630" i="2"/>
  <c r="V633" i="2"/>
  <c r="V639" i="2"/>
  <c r="V648" i="2"/>
  <c r="V654" i="2"/>
  <c r="V660" i="2"/>
  <c r="V666" i="2"/>
  <c r="V667" i="2"/>
  <c r="Q669" i="2"/>
  <c r="V700" i="2"/>
  <c r="V878" i="2"/>
  <c r="V999" i="2"/>
  <c r="Q1055" i="2"/>
  <c r="V1056" i="2"/>
  <c r="V1125" i="2"/>
  <c r="V221" i="2"/>
  <c r="V245" i="2"/>
  <c r="V317" i="2"/>
  <c r="V329" i="2"/>
  <c r="V351" i="2"/>
  <c r="Q795" i="2"/>
  <c r="Q835" i="2"/>
  <c r="V944" i="2"/>
  <c r="V950" i="2"/>
  <c r="V962" i="2"/>
  <c r="V989" i="2"/>
  <c r="V992" i="2"/>
  <c r="V1037" i="2"/>
  <c r="V12" i="2"/>
  <c r="V18" i="2"/>
  <c r="Q120" i="2"/>
  <c r="V142" i="2"/>
  <c r="Q148" i="2"/>
  <c r="V149" i="2"/>
  <c r="Q172" i="2"/>
  <c r="V173" i="2"/>
  <c r="Q193" i="2"/>
  <c r="V227" i="2"/>
  <c r="Q302" i="2"/>
  <c r="V395" i="2"/>
  <c r="Q539" i="2"/>
  <c r="Q569" i="2"/>
  <c r="Q599" i="2"/>
  <c r="Q611" i="2"/>
  <c r="Q620" i="2"/>
  <c r="Q623" i="2"/>
  <c r="Q629" i="2"/>
  <c r="Q638" i="2"/>
  <c r="Q644" i="2"/>
  <c r="Q647" i="2"/>
  <c r="V678" i="2"/>
  <c r="V684" i="2"/>
  <c r="V693" i="2"/>
  <c r="V696" i="2"/>
  <c r="V702" i="2"/>
  <c r="Q910" i="2"/>
  <c r="V956" i="2"/>
  <c r="V1070" i="2"/>
  <c r="V1082" i="2"/>
  <c r="V1085" i="2"/>
  <c r="V1094" i="2"/>
  <c r="V1112" i="2"/>
  <c r="V1286" i="2"/>
  <c r="V923" i="2"/>
  <c r="Q1057" i="2"/>
  <c r="Q1066" i="2"/>
  <c r="Q1153" i="2"/>
  <c r="Q1156" i="2"/>
  <c r="Q1165" i="2"/>
  <c r="V1166" i="2"/>
  <c r="Q1168" i="2"/>
  <c r="Q1255" i="2"/>
  <c r="Q1258" i="2"/>
  <c r="Q1261" i="2"/>
  <c r="Q1264" i="2"/>
  <c r="Q1267" i="2"/>
  <c r="Q1270" i="2"/>
  <c r="Q1273" i="2"/>
  <c r="Q1276" i="2"/>
  <c r="Q1279" i="2"/>
  <c r="Q1282" i="2"/>
  <c r="Q1285" i="2"/>
  <c r="V16" i="2"/>
  <c r="V166" i="2"/>
  <c r="V190" i="2"/>
  <c r="V218" i="2"/>
  <c r="V257" i="2"/>
  <c r="V290" i="2"/>
  <c r="Q361" i="2"/>
  <c r="Q364" i="2"/>
  <c r="V545" i="2"/>
  <c r="V548" i="2"/>
  <c r="V551" i="2"/>
  <c r="Q680" i="2"/>
  <c r="Q683" i="2"/>
  <c r="Q695" i="2"/>
  <c r="Q731" i="2"/>
  <c r="Q737" i="2"/>
  <c r="Q743" i="2"/>
  <c r="V744" i="2"/>
  <c r="Q749" i="2"/>
  <c r="V862" i="2"/>
  <c r="Q17" i="2"/>
  <c r="V124" i="2"/>
  <c r="Q153" i="2"/>
  <c r="Q156" i="2"/>
  <c r="Q165" i="2"/>
  <c r="V247" i="2"/>
  <c r="Q274" i="2"/>
  <c r="Q298" i="2"/>
  <c r="V302" i="2"/>
  <c r="Q304" i="2"/>
  <c r="V328" i="2"/>
  <c r="Q403" i="2"/>
  <c r="Q406" i="2"/>
  <c r="Q409" i="2"/>
  <c r="Q475" i="2"/>
  <c r="Q478" i="2"/>
  <c r="Q481" i="2"/>
  <c r="Q484" i="2"/>
  <c r="Q487" i="2"/>
  <c r="Q490" i="2"/>
  <c r="Q493" i="2"/>
  <c r="Q496" i="2"/>
  <c r="Q499" i="2"/>
  <c r="Q502" i="2"/>
  <c r="Q505" i="2"/>
  <c r="Q508" i="2"/>
  <c r="Q511" i="2"/>
  <c r="Q514" i="2"/>
  <c r="Q517" i="2"/>
  <c r="Q520" i="2"/>
  <c r="Q523" i="2"/>
  <c r="Q526" i="2"/>
  <c r="Q529" i="2"/>
  <c r="Q532" i="2"/>
  <c r="Q535" i="2"/>
  <c r="V656" i="2"/>
  <c r="Q658" i="2"/>
  <c r="V726" i="2"/>
  <c r="V729" i="2"/>
  <c r="V820" i="2"/>
  <c r="Q831" i="2"/>
  <c r="V880" i="2"/>
  <c r="V898" i="2"/>
  <c r="Q909" i="2"/>
  <c r="V946" i="2"/>
  <c r="V1021" i="2"/>
  <c r="V1039" i="2"/>
  <c r="V1042" i="2"/>
  <c r="V120" i="2"/>
  <c r="V130" i="2"/>
  <c r="V135" i="2"/>
  <c r="Q318" i="2"/>
  <c r="Q321" i="2"/>
  <c r="Q324" i="2"/>
  <c r="V376" i="2"/>
  <c r="V388" i="2"/>
  <c r="Q562" i="2"/>
  <c r="Q565" i="2"/>
  <c r="Q637" i="2"/>
  <c r="Q655" i="2"/>
  <c r="V740" i="2"/>
  <c r="V752" i="2"/>
  <c r="Q779" i="2"/>
  <c r="Q785" i="2"/>
  <c r="Q788" i="2"/>
  <c r="Q800" i="2"/>
  <c r="Q828" i="2"/>
  <c r="V844" i="2"/>
  <c r="Q852" i="2"/>
  <c r="Q882" i="2"/>
  <c r="Q885" i="2"/>
  <c r="Q939" i="2"/>
  <c r="V940" i="2"/>
  <c r="Q1020" i="2"/>
  <c r="Q1026" i="2"/>
  <c r="Q1032" i="2"/>
  <c r="Q12" i="2"/>
  <c r="V19" i="2"/>
  <c r="Q25" i="2"/>
  <c r="Q26" i="2"/>
  <c r="V27" i="2"/>
  <c r="V29" i="2"/>
  <c r="V32" i="2"/>
  <c r="V35" i="2"/>
  <c r="V38" i="2"/>
  <c r="V41" i="2"/>
  <c r="V43" i="2"/>
  <c r="V46" i="2"/>
  <c r="V52" i="2"/>
  <c r="V60" i="2"/>
  <c r="V63" i="2"/>
  <c r="V64" i="2"/>
  <c r="V67" i="2"/>
  <c r="V152" i="2"/>
  <c r="V24" i="2"/>
  <c r="V11" i="2"/>
  <c r="V23" i="2"/>
  <c r="V28" i="2"/>
  <c r="V34" i="2"/>
  <c r="V40" i="2"/>
  <c r="V42" i="2"/>
  <c r="V45" i="2"/>
  <c r="V48" i="2"/>
  <c r="V50" i="2"/>
  <c r="V51" i="2"/>
  <c r="V54" i="2"/>
  <c r="V56" i="2"/>
  <c r="V13" i="2"/>
  <c r="Q19" i="2"/>
  <c r="V640" i="2"/>
  <c r="V649" i="2"/>
  <c r="Q702" i="2"/>
  <c r="V177" i="2"/>
  <c r="V207" i="2"/>
  <c r="V263" i="2"/>
  <c r="Q280" i="2"/>
  <c r="Q316" i="2"/>
  <c r="V323" i="2"/>
  <c r="Q335" i="2"/>
  <c r="V342" i="2"/>
  <c r="V348" i="2"/>
  <c r="V354" i="2"/>
  <c r="V380" i="2"/>
  <c r="Q385" i="2"/>
  <c r="Q388" i="2"/>
  <c r="V389" i="2"/>
  <c r="Q397" i="2"/>
  <c r="Q22" i="2"/>
  <c r="Q24" i="2"/>
  <c r="Q119" i="2"/>
  <c r="V126" i="2"/>
  <c r="V136" i="2"/>
  <c r="V139" i="2"/>
  <c r="Q147" i="2"/>
  <c r="Q169" i="2"/>
  <c r="V182" i="2"/>
  <c r="Q191" i="2"/>
  <c r="V238" i="2"/>
  <c r="V259" i="2"/>
  <c r="V268" i="2"/>
  <c r="V275" i="2"/>
  <c r="Q359" i="2"/>
  <c r="V546" i="2"/>
  <c r="V567" i="2"/>
  <c r="V615" i="2"/>
  <c r="V618" i="2"/>
  <c r="V636" i="2"/>
  <c r="V642" i="2"/>
  <c r="Q653" i="2"/>
  <c r="Q678" i="2"/>
  <c r="V709" i="2"/>
  <c r="Q711" i="2"/>
  <c r="V373" i="2"/>
  <c r="V552" i="2"/>
  <c r="V612" i="2"/>
  <c r="V645" i="2"/>
  <c r="V742" i="2"/>
  <c r="Q744" i="2"/>
  <c r="V821" i="2"/>
  <c r="V17" i="2"/>
  <c r="V201" i="2"/>
  <c r="V237" i="2"/>
  <c r="V243" i="2"/>
  <c r="V265" i="2"/>
  <c r="V274" i="2"/>
  <c r="Q368" i="2"/>
  <c r="V413" i="2"/>
  <c r="V416" i="2"/>
  <c r="V419" i="2"/>
  <c r="V422" i="2"/>
  <c r="V425" i="2"/>
  <c r="V428" i="2"/>
  <c r="V431" i="2"/>
  <c r="V434" i="2"/>
  <c r="V437" i="2"/>
  <c r="V440" i="2"/>
  <c r="V443" i="2"/>
  <c r="V446" i="2"/>
  <c r="V449" i="2"/>
  <c r="V452" i="2"/>
  <c r="V455" i="2"/>
  <c r="V458" i="2"/>
  <c r="V461" i="2"/>
  <c r="V464" i="2"/>
  <c r="V467" i="2"/>
  <c r="V470" i="2"/>
  <c r="V473" i="2"/>
  <c r="V663" i="2"/>
  <c r="V70" i="2"/>
  <c r="V71" i="2"/>
  <c r="V74" i="2"/>
  <c r="V76" i="2"/>
  <c r="V79" i="2"/>
  <c r="V82" i="2"/>
  <c r="V85" i="2"/>
  <c r="V87" i="2"/>
  <c r="V88" i="2"/>
  <c r="V90" i="2"/>
  <c r="V93" i="2"/>
  <c r="V96" i="2"/>
  <c r="V105" i="2"/>
  <c r="V107" i="2"/>
  <c r="V110" i="2"/>
  <c r="V113" i="2"/>
  <c r="Q132" i="2"/>
  <c r="Q137" i="2"/>
  <c r="V147" i="2"/>
  <c r="V159" i="2"/>
  <c r="V163" i="2"/>
  <c r="V215" i="2"/>
  <c r="Q285" i="2"/>
  <c r="V293" i="2"/>
  <c r="V296" i="2"/>
  <c r="V305" i="2"/>
  <c r="V308" i="2"/>
  <c r="V347" i="2"/>
  <c r="V359" i="2"/>
  <c r="V372" i="2"/>
  <c r="Q396" i="2"/>
  <c r="Q402" i="2"/>
  <c r="V539" i="2"/>
  <c r="V557" i="2"/>
  <c r="V563" i="2"/>
  <c r="V681" i="2"/>
  <c r="V796" i="2"/>
  <c r="Q825" i="2"/>
  <c r="V829" i="2"/>
  <c r="V832" i="2"/>
  <c r="V842" i="2"/>
  <c r="V116" i="2"/>
  <c r="V125" i="2"/>
  <c r="V158" i="2"/>
  <c r="V206" i="2"/>
  <c r="V212" i="2"/>
  <c r="V267" i="2"/>
  <c r="V292" i="2"/>
  <c r="V298" i="2"/>
  <c r="V304" i="2"/>
  <c r="V341" i="2"/>
  <c r="V353" i="2"/>
  <c r="V365" i="2"/>
  <c r="V378" i="2"/>
  <c r="V629" i="2"/>
  <c r="V774" i="2"/>
  <c r="Q807" i="2"/>
  <c r="V129" i="2"/>
  <c r="V169" i="2"/>
  <c r="V178" i="2"/>
  <c r="V239" i="2"/>
  <c r="V273" i="2"/>
  <c r="V332" i="2"/>
  <c r="Q349" i="2"/>
  <c r="Q352" i="2"/>
  <c r="V371" i="2"/>
  <c r="Q383" i="2"/>
  <c r="V391" i="2"/>
  <c r="Q405" i="2"/>
  <c r="Q408" i="2"/>
  <c r="Q414" i="2"/>
  <c r="Q417" i="2"/>
  <c r="Q420" i="2"/>
  <c r="Q423" i="2"/>
  <c r="Q426" i="2"/>
  <c r="Q429" i="2"/>
  <c r="Q432" i="2"/>
  <c r="Q435" i="2"/>
  <c r="Q438" i="2"/>
  <c r="Q441" i="2"/>
  <c r="Q444" i="2"/>
  <c r="Q447" i="2"/>
  <c r="Q450" i="2"/>
  <c r="Q453" i="2"/>
  <c r="Q456" i="2"/>
  <c r="Q459" i="2"/>
  <c r="Q462" i="2"/>
  <c r="Q465" i="2"/>
  <c r="Q468" i="2"/>
  <c r="Q471" i="2"/>
  <c r="V544" i="2"/>
  <c r="Q764" i="2"/>
  <c r="Q767" i="2"/>
  <c r="Q770" i="2"/>
  <c r="V783" i="2"/>
  <c r="Q794" i="2"/>
  <c r="Q682" i="2"/>
  <c r="Q691" i="2"/>
  <c r="Q694" i="2"/>
  <c r="V59" i="2"/>
  <c r="V73" i="2"/>
  <c r="V75" i="2"/>
  <c r="V81" i="2"/>
  <c r="V84" i="2"/>
  <c r="V86" i="2"/>
  <c r="V92" i="2"/>
  <c r="V95" i="2"/>
  <c r="V98" i="2"/>
  <c r="V102" i="2"/>
  <c r="V104" i="2"/>
  <c r="Q114" i="2"/>
  <c r="Q117" i="2"/>
  <c r="Q131" i="2"/>
  <c r="V153" i="2"/>
  <c r="V171" i="2"/>
  <c r="V184" i="2"/>
  <c r="V187" i="2"/>
  <c r="Q195" i="2"/>
  <c r="V217" i="2"/>
  <c r="V224" i="2"/>
  <c r="Q226" i="2"/>
  <c r="V233" i="2"/>
  <c r="V301" i="2"/>
  <c r="V310" i="2"/>
  <c r="Q314" i="2"/>
  <c r="V325" i="2"/>
  <c r="Q336" i="2"/>
  <c r="V562" i="2"/>
  <c r="V565" i="2"/>
  <c r="V664" i="2"/>
  <c r="Q703" i="2"/>
  <c r="V704" i="2"/>
  <c r="Q724" i="2"/>
  <c r="Q739" i="2"/>
  <c r="Q742" i="2"/>
  <c r="Q751" i="2"/>
  <c r="Q754" i="2"/>
  <c r="V764" i="2"/>
  <c r="V770" i="2"/>
  <c r="V773" i="2"/>
  <c r="V127" i="2"/>
  <c r="V157" i="2"/>
  <c r="V183" i="2"/>
  <c r="V202" i="2"/>
  <c r="V223" i="2"/>
  <c r="V242" i="2"/>
  <c r="V251" i="2"/>
  <c r="V260" i="2"/>
  <c r="V297" i="2"/>
  <c r="V309" i="2"/>
  <c r="V383" i="2"/>
  <c r="V387" i="2"/>
  <c r="V393" i="2"/>
  <c r="Q410" i="2"/>
  <c r="Q763" i="2"/>
  <c r="V164" i="2"/>
  <c r="V193" i="2"/>
  <c r="Q201" i="2"/>
  <c r="Q219" i="2"/>
  <c r="V229" i="2"/>
  <c r="V235" i="2"/>
  <c r="V241" i="2"/>
  <c r="V248" i="2"/>
  <c r="Q262" i="2"/>
  <c r="Q268" i="2"/>
  <c r="Q342" i="2"/>
  <c r="V364" i="2"/>
  <c r="V706" i="2"/>
  <c r="V724" i="2"/>
  <c r="V731" i="2"/>
  <c r="V749" i="2"/>
  <c r="Q787" i="2"/>
  <c r="Q1042" i="2"/>
  <c r="V1101" i="2"/>
  <c r="Q1109" i="2"/>
  <c r="V852" i="2"/>
  <c r="Q897" i="2"/>
  <c r="V913" i="2"/>
  <c r="Q940" i="2"/>
  <c r="V1018" i="2"/>
  <c r="Q1054" i="2"/>
  <c r="V1158" i="2"/>
  <c r="Q1176" i="2"/>
  <c r="Q1188" i="2"/>
  <c r="Q844" i="2"/>
  <c r="V895" i="2"/>
  <c r="Q900" i="2"/>
  <c r="V910" i="2"/>
  <c r="Q915" i="2"/>
  <c r="V1058" i="2"/>
  <c r="V1079" i="2"/>
  <c r="V1106" i="2"/>
  <c r="Q1139" i="2"/>
  <c r="V1170" i="2"/>
  <c r="V1173" i="2"/>
  <c r="V854" i="2"/>
  <c r="V860" i="2"/>
  <c r="V864" i="2"/>
  <c r="V894" i="2"/>
  <c r="Q927" i="2"/>
  <c r="Q933" i="2"/>
  <c r="V937" i="2"/>
  <c r="Q956" i="2"/>
  <c r="Q1023" i="2"/>
  <c r="Q1029" i="2"/>
  <c r="V1045" i="2"/>
  <c r="V1051" i="2"/>
  <c r="Q1075" i="2"/>
  <c r="Q1102" i="2"/>
  <c r="Q1120" i="2"/>
  <c r="Q1126" i="2"/>
  <c r="V1182" i="2"/>
  <c r="Q1184" i="2"/>
  <c r="Q1193" i="2"/>
  <c r="V1194" i="2"/>
  <c r="Q1196" i="2"/>
  <c r="Q474" i="2"/>
  <c r="Q477" i="2"/>
  <c r="Q480" i="2"/>
  <c r="Q483" i="2"/>
  <c r="Q486" i="2"/>
  <c r="Q489" i="2"/>
  <c r="Q492" i="2"/>
  <c r="Q495" i="2"/>
  <c r="Q498" i="2"/>
  <c r="Q501" i="2"/>
  <c r="Q504" i="2"/>
  <c r="Q507" i="2"/>
  <c r="Q510" i="2"/>
  <c r="Q513" i="2"/>
  <c r="Q516" i="2"/>
  <c r="Q519" i="2"/>
  <c r="Q522" i="2"/>
  <c r="Q525" i="2"/>
  <c r="Q528" i="2"/>
  <c r="Q531" i="2"/>
  <c r="Q534" i="2"/>
  <c r="Q537" i="2"/>
  <c r="Q547" i="2"/>
  <c r="V554" i="2"/>
  <c r="V569" i="2"/>
  <c r="V602" i="2"/>
  <c r="V620" i="2"/>
  <c r="V651" i="2"/>
  <c r="V657" i="2"/>
  <c r="Q659" i="2"/>
  <c r="Q665" i="2"/>
  <c r="V672" i="2"/>
  <c r="V679" i="2"/>
  <c r="Q681" i="2"/>
  <c r="V685" i="2"/>
  <c r="V691" i="2"/>
  <c r="Q693" i="2"/>
  <c r="V697" i="2"/>
  <c r="Q705" i="2"/>
  <c r="V748" i="2"/>
  <c r="V755" i="2"/>
  <c r="V758" i="2"/>
  <c r="Q775" i="2"/>
  <c r="V779" i="2"/>
  <c r="V782" i="2"/>
  <c r="V798" i="2"/>
  <c r="Q812" i="2"/>
  <c r="Q815" i="2"/>
  <c r="Q853" i="2"/>
  <c r="V879" i="2"/>
  <c r="Q881" i="2"/>
  <c r="Q893" i="2"/>
  <c r="V906" i="2"/>
  <c r="Q924" i="2"/>
  <c r="V1023" i="2"/>
  <c r="Q1044" i="2"/>
  <c r="Q1099" i="2"/>
  <c r="V1118" i="2"/>
  <c r="Q1123" i="2"/>
  <c r="Q1144" i="2"/>
  <c r="Q1187" i="2"/>
  <c r="V850" i="2"/>
  <c r="V25" i="2"/>
  <c r="V145" i="2"/>
  <c r="V154" i="2"/>
  <c r="Q158" i="2"/>
  <c r="V188" i="2"/>
  <c r="V213" i="2"/>
  <c r="V219" i="2"/>
  <c r="V253" i="2"/>
  <c r="V282" i="2"/>
  <c r="V291" i="2"/>
  <c r="V303" i="2"/>
  <c r="V324" i="2"/>
  <c r="Q348" i="2"/>
  <c r="V352" i="2"/>
  <c r="Q354" i="2"/>
  <c r="Q543" i="2"/>
  <c r="V560" i="2"/>
  <c r="Q571" i="2"/>
  <c r="Q583" i="2"/>
  <c r="Q595" i="2"/>
  <c r="Q625" i="2"/>
  <c r="Q646" i="2"/>
  <c r="Q671" i="2"/>
  <c r="V690" i="2"/>
  <c r="V699" i="2"/>
  <c r="V708" i="2"/>
  <c r="V714" i="2"/>
  <c r="V717" i="2"/>
  <c r="V720" i="2"/>
  <c r="V723" i="2"/>
  <c r="Q759" i="2"/>
  <c r="V776" i="2"/>
  <c r="Q784" i="2"/>
  <c r="Q799" i="2"/>
  <c r="Q824" i="2"/>
  <c r="V825" i="2"/>
  <c r="Q827" i="2"/>
  <c r="V866" i="2"/>
  <c r="V884" i="2"/>
  <c r="Q911" i="2"/>
  <c r="Q920" i="2"/>
  <c r="Q929" i="2"/>
  <c r="Q936" i="2"/>
  <c r="Q985" i="2"/>
  <c r="Q1016" i="2"/>
  <c r="V1038" i="2"/>
  <c r="Q1074" i="2"/>
  <c r="Q1080" i="2"/>
  <c r="V1081" i="2"/>
  <c r="V1126" i="2"/>
  <c r="V1132" i="2"/>
  <c r="Q1174" i="2"/>
  <c r="V1181" i="2"/>
  <c r="V1193" i="2"/>
  <c r="Q1199" i="2"/>
  <c r="V872" i="2"/>
  <c r="V890" i="2"/>
  <c r="V909" i="2"/>
  <c r="Q958" i="2"/>
  <c r="Q961" i="2"/>
  <c r="V980" i="2"/>
  <c r="V1016" i="2"/>
  <c r="V1020" i="2"/>
  <c r="V1035" i="2"/>
  <c r="V1047" i="2"/>
  <c r="Q1098" i="2"/>
  <c r="V1108" i="2"/>
  <c r="Q1110" i="2"/>
  <c r="Q1113" i="2"/>
  <c r="Q1122" i="2"/>
  <c r="Q1134" i="2"/>
  <c r="V1138" i="2"/>
  <c r="V1144" i="2"/>
  <c r="Q1171" i="2"/>
  <c r="Q1192" i="2"/>
  <c r="Q404" i="2"/>
  <c r="Q413" i="2"/>
  <c r="V632" i="2"/>
  <c r="V644" i="2"/>
  <c r="V687" i="2"/>
  <c r="Q704" i="2"/>
  <c r="Q713" i="2"/>
  <c r="Q716" i="2"/>
  <c r="V732" i="2"/>
  <c r="V735" i="2"/>
  <c r="V747" i="2"/>
  <c r="V750" i="2"/>
  <c r="Q771" i="2"/>
  <c r="V778" i="2"/>
  <c r="V781" i="2"/>
  <c r="V791" i="2"/>
  <c r="Q793" i="2"/>
  <c r="V794" i="2"/>
  <c r="Q802" i="2"/>
  <c r="Q808" i="2"/>
  <c r="Q817" i="2"/>
  <c r="V824" i="2"/>
  <c r="Q830" i="2"/>
  <c r="V875" i="2"/>
  <c r="Q889" i="2"/>
  <c r="V896" i="2"/>
  <c r="V902" i="2"/>
  <c r="Q944" i="2"/>
  <c r="V952" i="2"/>
  <c r="V959" i="2"/>
  <c r="V974" i="2"/>
  <c r="V1004" i="2"/>
  <c r="V1010" i="2"/>
  <c r="V1025" i="2"/>
  <c r="Q1040" i="2"/>
  <c r="Q1101" i="2"/>
  <c r="V1141" i="2"/>
  <c r="Q1146" i="2"/>
  <c r="Q1180" i="2"/>
  <c r="V1190" i="2"/>
  <c r="V543" i="2"/>
  <c r="V550" i="2"/>
  <c r="V665" i="2"/>
  <c r="V711" i="2"/>
  <c r="Q728" i="2"/>
  <c r="V759" i="2"/>
  <c r="Q765" i="2"/>
  <c r="V784" i="2"/>
  <c r="V787" i="2"/>
  <c r="V806" i="2"/>
  <c r="Q823" i="2"/>
  <c r="Q829" i="2"/>
  <c r="Q836" i="2"/>
  <c r="Q839" i="2"/>
  <c r="V840" i="2"/>
  <c r="V868" i="2"/>
  <c r="V874" i="2"/>
  <c r="Q895" i="2"/>
  <c r="V908" i="2"/>
  <c r="Q913" i="2"/>
  <c r="V914" i="2"/>
  <c r="V920" i="2"/>
  <c r="Q935" i="2"/>
  <c r="V942" i="2"/>
  <c r="V958" i="2"/>
  <c r="V982" i="2"/>
  <c r="V988" i="2"/>
  <c r="Q1049" i="2"/>
  <c r="V1120" i="2"/>
  <c r="V1156" i="2"/>
  <c r="Q1158" i="2"/>
  <c r="V1168" i="2"/>
  <c r="Q972" i="2"/>
  <c r="Q984" i="2"/>
  <c r="Q987" i="2"/>
  <c r="V1000" i="2"/>
  <c r="V1006" i="2"/>
  <c r="V1012" i="2"/>
  <c r="Q1027" i="2"/>
  <c r="Q1079" i="2"/>
  <c r="Q1082" i="2"/>
  <c r="V1089" i="2"/>
  <c r="Q1091" i="2"/>
  <c r="V1104" i="2"/>
  <c r="V1113" i="2"/>
  <c r="V1119" i="2"/>
  <c r="V1131" i="2"/>
  <c r="V1180" i="2"/>
  <c r="Q177" i="2"/>
  <c r="Q180" i="2"/>
  <c r="Q196" i="2"/>
  <c r="V197" i="2"/>
  <c r="Q202" i="2"/>
  <c r="Q217" i="2"/>
  <c r="V271" i="2"/>
  <c r="V280" i="2"/>
  <c r="Q292" i="2"/>
  <c r="V316" i="2"/>
  <c r="V335" i="2"/>
  <c r="V339" i="2"/>
  <c r="Q344" i="2"/>
  <c r="Q347" i="2"/>
  <c r="Q356" i="2"/>
  <c r="V366" i="2"/>
  <c r="V561" i="2"/>
  <c r="V601" i="2"/>
  <c r="V610" i="2"/>
  <c r="V616" i="2"/>
  <c r="Q651" i="2"/>
  <c r="Q679" i="2"/>
  <c r="Q712" i="2"/>
  <c r="Q715" i="2"/>
  <c r="V728" i="2"/>
  <c r="V741" i="2"/>
  <c r="V765" i="2"/>
  <c r="V768" i="2"/>
  <c r="V771" i="2"/>
  <c r="Q780" i="2"/>
  <c r="Q783" i="2"/>
  <c r="V830" i="2"/>
  <c r="Q842" i="2"/>
  <c r="Q857" i="2"/>
  <c r="Q867" i="2"/>
  <c r="Q870" i="2"/>
  <c r="V886" i="2"/>
  <c r="V904" i="2"/>
  <c r="Q922" i="2"/>
  <c r="Q1005" i="2"/>
  <c r="Q1008" i="2"/>
  <c r="Q1011" i="2"/>
  <c r="V1049" i="2"/>
  <c r="Q1061" i="2"/>
  <c r="Q1103" i="2"/>
  <c r="Q1112" i="2"/>
  <c r="Q1115" i="2"/>
  <c r="Q1127" i="2"/>
  <c r="V1134" i="2"/>
  <c r="Q1136" i="2"/>
  <c r="V1149" i="2"/>
  <c r="Q1173" i="2"/>
  <c r="Q1182" i="2"/>
  <c r="Q1194" i="2"/>
  <c r="V1198" i="2"/>
  <c r="Q11" i="2"/>
  <c r="Q13" i="2"/>
  <c r="Q16" i="2"/>
  <c r="V30" i="2"/>
  <c r="V33" i="2"/>
  <c r="V36" i="2"/>
  <c r="V39" i="2"/>
  <c r="V44" i="2"/>
  <c r="V47" i="2"/>
  <c r="V49" i="2"/>
  <c r="V53" i="2"/>
  <c r="V21" i="2"/>
  <c r="V22" i="2"/>
  <c r="V26" i="2"/>
  <c r="V15" i="2"/>
  <c r="V117" i="2"/>
  <c r="Q123" i="2"/>
  <c r="Q128" i="2"/>
  <c r="Q138" i="2"/>
  <c r="V143" i="2"/>
  <c r="Q162" i="2"/>
  <c r="V167" i="2"/>
  <c r="V191" i="2"/>
  <c r="Q227" i="2"/>
  <c r="V232" i="2"/>
  <c r="V256" i="2"/>
  <c r="V264" i="2"/>
  <c r="Q266" i="2"/>
  <c r="Q270" i="2"/>
  <c r="V287" i="2"/>
  <c r="V294" i="2"/>
  <c r="Q300" i="2"/>
  <c r="Q307" i="2"/>
  <c r="V337" i="2"/>
  <c r="V344" i="2"/>
  <c r="Q350" i="2"/>
  <c r="Q357" i="2"/>
  <c r="V385" i="2"/>
  <c r="V392" i="2"/>
  <c r="Q394" i="2"/>
  <c r="Q415" i="2"/>
  <c r="Q418" i="2"/>
  <c r="Q421" i="2"/>
  <c r="Q424" i="2"/>
  <c r="Q427" i="2"/>
  <c r="Q430" i="2"/>
  <c r="Q433" i="2"/>
  <c r="Q436" i="2"/>
  <c r="Q439" i="2"/>
  <c r="Q442" i="2"/>
  <c r="Q445" i="2"/>
  <c r="Q448" i="2"/>
  <c r="Q451" i="2"/>
  <c r="Q454" i="2"/>
  <c r="Q457" i="2"/>
  <c r="Q460" i="2"/>
  <c r="Q463" i="2"/>
  <c r="Q466" i="2"/>
  <c r="Q469" i="2"/>
  <c r="Q472" i="2"/>
  <c r="Q98" i="2"/>
  <c r="Q104" i="2"/>
  <c r="Q109" i="2"/>
  <c r="Q112" i="2"/>
  <c r="Q151" i="2"/>
  <c r="V156" i="2"/>
  <c r="Q157" i="2"/>
  <c r="Q175" i="2"/>
  <c r="V180" i="2"/>
  <c r="Q182" i="2"/>
  <c r="V204" i="2"/>
  <c r="Q223" i="2"/>
  <c r="V228" i="2"/>
  <c r="Q230" i="2"/>
  <c r="V252" i="2"/>
  <c r="Q281" i="2"/>
  <c r="Q303" i="2"/>
  <c r="V314" i="2"/>
  <c r="V321" i="2"/>
  <c r="Q327" i="2"/>
  <c r="Q331" i="2"/>
  <c r="Q334" i="2"/>
  <c r="Q353" i="2"/>
  <c r="V362" i="2"/>
  <c r="V369" i="2"/>
  <c r="Q375" i="2"/>
  <c r="Q379" i="2"/>
  <c r="Q382" i="2"/>
  <c r="V399" i="2"/>
  <c r="V406" i="2"/>
  <c r="V409" i="2"/>
  <c r="Q118" i="2"/>
  <c r="Q144" i="2"/>
  <c r="Q168" i="2"/>
  <c r="Q192" i="2"/>
  <c r="Q265" i="2"/>
  <c r="Q288" i="2"/>
  <c r="Q295" i="2"/>
  <c r="Q338" i="2"/>
  <c r="Q345" i="2"/>
  <c r="Q386" i="2"/>
  <c r="Q411" i="2"/>
  <c r="V123" i="2"/>
  <c r="Q125" i="2"/>
  <c r="V128" i="2"/>
  <c r="Q133" i="2"/>
  <c r="V138" i="2"/>
  <c r="Q140" i="2"/>
  <c r="V162" i="2"/>
  <c r="Q164" i="2"/>
  <c r="Q181" i="2"/>
  <c r="V186" i="2"/>
  <c r="Q188" i="2"/>
  <c r="V210" i="2"/>
  <c r="Q229" i="2"/>
  <c r="V234" i="2"/>
  <c r="V258" i="2"/>
  <c r="V266" i="2"/>
  <c r="V270" i="2"/>
  <c r="Q291" i="2"/>
  <c r="V300" i="2"/>
  <c r="V307" i="2"/>
  <c r="Q315" i="2"/>
  <c r="Q319" i="2"/>
  <c r="Q322" i="2"/>
  <c r="Q341" i="2"/>
  <c r="V350" i="2"/>
  <c r="V357" i="2"/>
  <c r="Q363" i="2"/>
  <c r="Q367" i="2"/>
  <c r="Q370" i="2"/>
  <c r="Q389" i="2"/>
  <c r="V394" i="2"/>
  <c r="Q400" i="2"/>
  <c r="V415" i="2"/>
  <c r="V418" i="2"/>
  <c r="V421" i="2"/>
  <c r="V424" i="2"/>
  <c r="V427" i="2"/>
  <c r="V430" i="2"/>
  <c r="V433" i="2"/>
  <c r="V436" i="2"/>
  <c r="V439" i="2"/>
  <c r="V442" i="2"/>
  <c r="V445" i="2"/>
  <c r="V448" i="2"/>
  <c r="V451" i="2"/>
  <c r="V454" i="2"/>
  <c r="V457" i="2"/>
  <c r="V460" i="2"/>
  <c r="V463" i="2"/>
  <c r="V466" i="2"/>
  <c r="V469" i="2"/>
  <c r="V472" i="2"/>
  <c r="Q101" i="2"/>
  <c r="Q103" i="2"/>
  <c r="Q108" i="2"/>
  <c r="Q111" i="2"/>
  <c r="V132" i="2"/>
  <c r="Q150" i="2"/>
  <c r="V155" i="2"/>
  <c r="Q174" i="2"/>
  <c r="V179" i="2"/>
  <c r="Q198" i="2"/>
  <c r="V203" i="2"/>
  <c r="V220" i="2"/>
  <c r="Q222" i="2"/>
  <c r="V244" i="2"/>
  <c r="Q260" i="2"/>
  <c r="Q283" i="2"/>
  <c r="V313" i="2"/>
  <c r="V320" i="2"/>
  <c r="Q326" i="2"/>
  <c r="Q333" i="2"/>
  <c r="V361" i="2"/>
  <c r="V368" i="2"/>
  <c r="Q374" i="2"/>
  <c r="Q381" i="2"/>
  <c r="V398" i="2"/>
  <c r="V401" i="2"/>
  <c r="V405" i="2"/>
  <c r="Q407" i="2"/>
  <c r="V408" i="2"/>
  <c r="V109" i="2"/>
  <c r="V112" i="2"/>
  <c r="V141" i="2"/>
  <c r="V148" i="2"/>
  <c r="V151" i="2"/>
  <c r="V165" i="2"/>
  <c r="V172" i="2"/>
  <c r="V175" i="2"/>
  <c r="V189" i="2"/>
  <c r="V196" i="2"/>
  <c r="V199" i="2"/>
  <c r="V230" i="2"/>
  <c r="V254" i="2"/>
  <c r="V277" i="2"/>
  <c r="V281" i="2"/>
  <c r="V284" i="2"/>
  <c r="V327" i="2"/>
  <c r="V331" i="2"/>
  <c r="V334" i="2"/>
  <c r="V375" i="2"/>
  <c r="V379" i="2"/>
  <c r="V382" i="2"/>
  <c r="V115" i="2"/>
  <c r="V118" i="2"/>
  <c r="Q124" i="2"/>
  <c r="Q127" i="2"/>
  <c r="Q139" i="2"/>
  <c r="V144" i="2"/>
  <c r="Q146" i="2"/>
  <c r="Q163" i="2"/>
  <c r="V168" i="2"/>
  <c r="Q170" i="2"/>
  <c r="Q187" i="2"/>
  <c r="V192" i="2"/>
  <c r="Q194" i="2"/>
  <c r="V216" i="2"/>
  <c r="Q218" i="2"/>
  <c r="V240" i="2"/>
  <c r="Q271" i="2"/>
  <c r="Q279" i="2"/>
  <c r="V288" i="2"/>
  <c r="V295" i="2"/>
  <c r="Q301" i="2"/>
  <c r="Q329" i="2"/>
  <c r="V338" i="2"/>
  <c r="V345" i="2"/>
  <c r="Q351" i="2"/>
  <c r="Q355" i="2"/>
  <c r="Q358" i="2"/>
  <c r="Q377" i="2"/>
  <c r="V386" i="2"/>
  <c r="V411" i="2"/>
  <c r="Q416" i="2"/>
  <c r="Q419" i="2"/>
  <c r="Q422" i="2"/>
  <c r="Q425" i="2"/>
  <c r="Q428" i="2"/>
  <c r="Q431" i="2"/>
  <c r="Q434" i="2"/>
  <c r="Q437" i="2"/>
  <c r="Q440" i="2"/>
  <c r="Q443" i="2"/>
  <c r="Q446" i="2"/>
  <c r="Q449" i="2"/>
  <c r="Q452" i="2"/>
  <c r="Q455" i="2"/>
  <c r="V122" i="2"/>
  <c r="Q136" i="2"/>
  <c r="V137" i="2"/>
  <c r="Q159" i="2"/>
  <c r="V161" i="2"/>
  <c r="V185" i="2"/>
  <c r="V209" i="2"/>
  <c r="V226" i="2"/>
  <c r="V250" i="2"/>
  <c r="Q267" i="2"/>
  <c r="V269" i="2"/>
  <c r="V272" i="2"/>
  <c r="V299" i="2"/>
  <c r="V306" i="2"/>
  <c r="V349" i="2"/>
  <c r="V356" i="2"/>
  <c r="V404" i="2"/>
  <c r="V414" i="2"/>
  <c r="V417" i="2"/>
  <c r="V420" i="2"/>
  <c r="V423" i="2"/>
  <c r="V426" i="2"/>
  <c r="V429" i="2"/>
  <c r="V432" i="2"/>
  <c r="V435" i="2"/>
  <c r="V438" i="2"/>
  <c r="V441" i="2"/>
  <c r="V444" i="2"/>
  <c r="V447" i="2"/>
  <c r="V450" i="2"/>
  <c r="V453" i="2"/>
  <c r="V456" i="2"/>
  <c r="V459" i="2"/>
  <c r="V462" i="2"/>
  <c r="V465" i="2"/>
  <c r="Q70" i="2"/>
  <c r="Q82" i="2"/>
  <c r="Q85" i="2"/>
  <c r="Q88" i="2"/>
  <c r="Q90" i="2"/>
  <c r="Q96" i="2"/>
  <c r="Q105" i="2"/>
  <c r="Q110" i="2"/>
  <c r="Q113" i="2"/>
  <c r="V133" i="2"/>
  <c r="Q142" i="2"/>
  <c r="Q149" i="2"/>
  <c r="Q173" i="2"/>
  <c r="V181" i="2"/>
  <c r="Q190" i="2"/>
  <c r="Q197" i="2"/>
  <c r="V205" i="2"/>
  <c r="Q231" i="2"/>
  <c r="Q282" i="2"/>
  <c r="V315" i="2"/>
  <c r="V319" i="2"/>
  <c r="V322" i="2"/>
  <c r="Q325" i="2"/>
  <c r="Q328" i="2"/>
  <c r="Q332" i="2"/>
  <c r="V363" i="2"/>
  <c r="V367" i="2"/>
  <c r="V370" i="2"/>
  <c r="Q373" i="2"/>
  <c r="Q376" i="2"/>
  <c r="Q380" i="2"/>
  <c r="V397" i="2"/>
  <c r="V400" i="2"/>
  <c r="V407" i="2"/>
  <c r="V57" i="2"/>
  <c r="V58" i="2"/>
  <c r="V61" i="2"/>
  <c r="V62" i="2"/>
  <c r="V65" i="2"/>
  <c r="V66" i="2"/>
  <c r="V68" i="2"/>
  <c r="V69" i="2"/>
  <c r="V72" i="2"/>
  <c r="V78" i="2"/>
  <c r="V80" i="2"/>
  <c r="V83" i="2"/>
  <c r="V89" i="2"/>
  <c r="V91" i="2"/>
  <c r="V94" i="2"/>
  <c r="V97" i="2"/>
  <c r="V99" i="2"/>
  <c r="V100" i="2"/>
  <c r="V101" i="2"/>
  <c r="V103" i="2"/>
  <c r="V106" i="2"/>
  <c r="V108" i="2"/>
  <c r="V111" i="2"/>
  <c r="V114" i="2"/>
  <c r="Q116" i="2"/>
  <c r="V150" i="2"/>
  <c r="Q152" i="2"/>
  <c r="V174" i="2"/>
  <c r="Q176" i="2"/>
  <c r="V198" i="2"/>
  <c r="Q200" i="2"/>
  <c r="V222" i="2"/>
  <c r="V246" i="2"/>
  <c r="V276" i="2"/>
  <c r="V283" i="2"/>
  <c r="Q289" i="2"/>
  <c r="Q293" i="2"/>
  <c r="Q296" i="2"/>
  <c r="Q317" i="2"/>
  <c r="V326" i="2"/>
  <c r="V333" i="2"/>
  <c r="Q339" i="2"/>
  <c r="Q343" i="2"/>
  <c r="Q346" i="2"/>
  <c r="Q365" i="2"/>
  <c r="V374" i="2"/>
  <c r="V381" i="2"/>
  <c r="Q387" i="2"/>
  <c r="Q391" i="2"/>
  <c r="V410" i="2"/>
  <c r="Q412" i="2"/>
  <c r="V549" i="2"/>
  <c r="Q554" i="2"/>
  <c r="V559" i="2"/>
  <c r="V566" i="2"/>
  <c r="Q568" i="2"/>
  <c r="V607" i="2"/>
  <c r="Q612" i="2"/>
  <c r="V617" i="2"/>
  <c r="Q619" i="2"/>
  <c r="Q626" i="2"/>
  <c r="V631" i="2"/>
  <c r="V641" i="2"/>
  <c r="Q643" i="2"/>
  <c r="V655" i="2"/>
  <c r="V662" i="2"/>
  <c r="V686" i="2"/>
  <c r="V689" i="2"/>
  <c r="Q701" i="2"/>
  <c r="V710" i="2"/>
  <c r="V786" i="2"/>
  <c r="Q789" i="2"/>
  <c r="V797" i="2"/>
  <c r="Q806" i="2"/>
  <c r="Q809" i="2"/>
  <c r="V823" i="2"/>
  <c r="V841" i="2"/>
  <c r="Q843" i="2"/>
  <c r="Q846" i="2"/>
  <c r="V855" i="2"/>
  <c r="V858" i="2"/>
  <c r="V876" i="2"/>
  <c r="V882" i="2"/>
  <c r="V889" i="2"/>
  <c r="V897" i="2"/>
  <c r="Q916" i="2"/>
  <c r="V931" i="2"/>
  <c r="Q946" i="2"/>
  <c r="V951" i="2"/>
  <c r="V966" i="2"/>
  <c r="V969" i="2"/>
  <c r="V991" i="2"/>
  <c r="V688" i="2"/>
  <c r="V703" i="2"/>
  <c r="V763" i="2"/>
  <c r="V800" i="2"/>
  <c r="V807" i="2"/>
  <c r="V810" i="2"/>
  <c r="V851" i="2"/>
  <c r="V869" i="2"/>
  <c r="Q458" i="2"/>
  <c r="Q461" i="2"/>
  <c r="Q464" i="2"/>
  <c r="Q467" i="2"/>
  <c r="Q470" i="2"/>
  <c r="Q473" i="2"/>
  <c r="Q476" i="2"/>
  <c r="Q479" i="2"/>
  <c r="Q482" i="2"/>
  <c r="Q485" i="2"/>
  <c r="Q488" i="2"/>
  <c r="Q491" i="2"/>
  <c r="Q494" i="2"/>
  <c r="Q497" i="2"/>
  <c r="Q500" i="2"/>
  <c r="Q503" i="2"/>
  <c r="Q506" i="2"/>
  <c r="Q509" i="2"/>
  <c r="Q512" i="2"/>
  <c r="Q515" i="2"/>
  <c r="Q518" i="2"/>
  <c r="Q521" i="2"/>
  <c r="Q524" i="2"/>
  <c r="Q527" i="2"/>
  <c r="Q530" i="2"/>
  <c r="Q533" i="2"/>
  <c r="Q536" i="2"/>
  <c r="V541" i="2"/>
  <c r="V555" i="2"/>
  <c r="V572" i="2"/>
  <c r="V575" i="2"/>
  <c r="V578" i="2"/>
  <c r="V581" i="2"/>
  <c r="V584" i="2"/>
  <c r="V587" i="2"/>
  <c r="V590" i="2"/>
  <c r="V593" i="2"/>
  <c r="V596" i="2"/>
  <c r="Q598" i="2"/>
  <c r="V613" i="2"/>
  <c r="Q622" i="2"/>
  <c r="V634" i="2"/>
  <c r="Q677" i="2"/>
  <c r="V692" i="2"/>
  <c r="V712" i="2"/>
  <c r="Q718" i="2"/>
  <c r="Q726" i="2"/>
  <c r="V734" i="2"/>
  <c r="Q761" i="2"/>
  <c r="Q772" i="2"/>
  <c r="V777" i="2"/>
  <c r="V790" i="2"/>
  <c r="V793" i="2"/>
  <c r="V819" i="2"/>
  <c r="V822" i="2"/>
  <c r="V837" i="2"/>
  <c r="V847" i="2"/>
  <c r="Q849" i="2"/>
  <c r="Q864" i="2"/>
  <c r="Q877" i="2"/>
  <c r="V892" i="2"/>
  <c r="V900" i="2"/>
  <c r="V924" i="2"/>
  <c r="Q932" i="2"/>
  <c r="Q942" i="2"/>
  <c r="V468" i="2"/>
  <c r="V471" i="2"/>
  <c r="V474" i="2"/>
  <c r="V477" i="2"/>
  <c r="V480" i="2"/>
  <c r="V483" i="2"/>
  <c r="V486" i="2"/>
  <c r="V489" i="2"/>
  <c r="V492" i="2"/>
  <c r="V495" i="2"/>
  <c r="V498" i="2"/>
  <c r="V501" i="2"/>
  <c r="V504" i="2"/>
  <c r="V507" i="2"/>
  <c r="V510" i="2"/>
  <c r="V513" i="2"/>
  <c r="V516" i="2"/>
  <c r="V519" i="2"/>
  <c r="V522" i="2"/>
  <c r="V525" i="2"/>
  <c r="V528" i="2"/>
  <c r="V531" i="2"/>
  <c r="V534" i="2"/>
  <c r="Q550" i="2"/>
  <c r="Q560" i="2"/>
  <c r="V599" i="2"/>
  <c r="Q601" i="2"/>
  <c r="V623" i="2"/>
  <c r="Q632" i="2"/>
  <c r="V637" i="2"/>
  <c r="Q642" i="2"/>
  <c r="V647" i="2"/>
  <c r="Q649" i="2"/>
  <c r="Q656" i="2"/>
  <c r="V658" i="2"/>
  <c r="Q660" i="2"/>
  <c r="Q663" i="2"/>
  <c r="V675" i="2"/>
  <c r="V682" i="2"/>
  <c r="Q684" i="2"/>
  <c r="Q687" i="2"/>
  <c r="Q708" i="2"/>
  <c r="V716" i="2"/>
  <c r="Q757" i="2"/>
  <c r="V766" i="2"/>
  <c r="Q768" i="2"/>
  <c r="Q776" i="2"/>
  <c r="Q798" i="2"/>
  <c r="Q811" i="2"/>
  <c r="Q845" i="2"/>
  <c r="Q860" i="2"/>
  <c r="Q863" i="2"/>
  <c r="V903" i="2"/>
  <c r="Q912" i="2"/>
  <c r="Q926" i="2"/>
  <c r="Q945" i="2"/>
  <c r="V963" i="2"/>
  <c r="V833" i="2"/>
  <c r="V861" i="2"/>
  <c r="Q901" i="2"/>
  <c r="Q925" i="2"/>
  <c r="V933" i="2"/>
  <c r="V953" i="2"/>
  <c r="Q542" i="2"/>
  <c r="Q556" i="2"/>
  <c r="V568" i="2"/>
  <c r="Q579" i="2"/>
  <c r="Q591" i="2"/>
  <c r="Q614" i="2"/>
  <c r="V619" i="2"/>
  <c r="Q621" i="2"/>
  <c r="V626" i="2"/>
  <c r="Q628" i="2"/>
  <c r="Q635" i="2"/>
  <c r="V643" i="2"/>
  <c r="Q645" i="2"/>
  <c r="V650" i="2"/>
  <c r="Q700" i="2"/>
  <c r="V719" i="2"/>
  <c r="Q721" i="2"/>
  <c r="Q725" i="2"/>
  <c r="V730" i="2"/>
  <c r="Q732" i="2"/>
  <c r="Q746" i="2"/>
  <c r="Q750" i="2"/>
  <c r="Q760" i="2"/>
  <c r="V780" i="2"/>
  <c r="V789" i="2"/>
  <c r="Q791" i="2"/>
  <c r="V799" i="2"/>
  <c r="Q801" i="2"/>
  <c r="V802" i="2"/>
  <c r="Q804" i="2"/>
  <c r="V809" i="2"/>
  <c r="Q838" i="2"/>
  <c r="V843" i="2"/>
  <c r="Q859" i="2"/>
  <c r="Q873" i="2"/>
  <c r="V899" i="2"/>
  <c r="Q918" i="2"/>
  <c r="V926" i="2"/>
  <c r="V932" i="2"/>
  <c r="V936" i="2"/>
  <c r="Q941" i="2"/>
  <c r="V540" i="2"/>
  <c r="V547" i="2"/>
  <c r="V571" i="2"/>
  <c r="V574" i="2"/>
  <c r="V577" i="2"/>
  <c r="V580" i="2"/>
  <c r="V583" i="2"/>
  <c r="V586" i="2"/>
  <c r="V589" i="2"/>
  <c r="V592" i="2"/>
  <c r="V595" i="2"/>
  <c r="Q597" i="2"/>
  <c r="V605" i="2"/>
  <c r="V653" i="2"/>
  <c r="Q666" i="2"/>
  <c r="V671" i="2"/>
  <c r="V733" i="2"/>
  <c r="V737" i="2"/>
  <c r="V751" i="2"/>
  <c r="V792" i="2"/>
  <c r="V476" i="2"/>
  <c r="V479" i="2"/>
  <c r="V482" i="2"/>
  <c r="V485" i="2"/>
  <c r="V488" i="2"/>
  <c r="V491" i="2"/>
  <c r="V494" i="2"/>
  <c r="V497" i="2"/>
  <c r="V500" i="2"/>
  <c r="V503" i="2"/>
  <c r="V506" i="2"/>
  <c r="V509" i="2"/>
  <c r="V512" i="2"/>
  <c r="V515" i="2"/>
  <c r="V518" i="2"/>
  <c r="V521" i="2"/>
  <c r="V524" i="2"/>
  <c r="V527" i="2"/>
  <c r="V530" i="2"/>
  <c r="V533" i="2"/>
  <c r="V536" i="2"/>
  <c r="Q545" i="2"/>
  <c r="Q549" i="2"/>
  <c r="Q559" i="2"/>
  <c r="V564" i="2"/>
  <c r="V598" i="2"/>
  <c r="Q607" i="2"/>
  <c r="Q617" i="2"/>
  <c r="V622" i="2"/>
  <c r="Q631" i="2"/>
  <c r="Q641" i="2"/>
  <c r="V646" i="2"/>
  <c r="Q648" i="2"/>
  <c r="V674" i="2"/>
  <c r="V677" i="2"/>
  <c r="V680" i="2"/>
  <c r="Q689" i="2"/>
  <c r="V715" i="2"/>
  <c r="V761" i="2"/>
  <c r="V795" i="2"/>
  <c r="Q797" i="2"/>
  <c r="V805" i="2"/>
  <c r="V838" i="2"/>
  <c r="V853" i="2"/>
  <c r="Q862" i="2"/>
  <c r="Q869" i="2"/>
  <c r="Q890" i="2"/>
  <c r="V912" i="2"/>
  <c r="V919" i="2"/>
  <c r="Q921" i="2"/>
  <c r="V929" i="2"/>
  <c r="Q937" i="2"/>
  <c r="V938" i="2"/>
  <c r="V718" i="2"/>
  <c r="V754" i="2"/>
  <c r="Q756" i="2"/>
  <c r="V856" i="2"/>
  <c r="Q866" i="2"/>
  <c r="Q872" i="2"/>
  <c r="Q876" i="2"/>
  <c r="Q886" i="2"/>
  <c r="V891" i="2"/>
  <c r="V905" i="2"/>
  <c r="Q914" i="2"/>
  <c r="Q917" i="2"/>
  <c r="V928" i="2"/>
  <c r="Q957" i="2"/>
  <c r="V964" i="2"/>
  <c r="V976" i="2"/>
  <c r="Q548" i="2"/>
  <c r="V553" i="2"/>
  <c r="Q575" i="2"/>
  <c r="Q587" i="2"/>
  <c r="Q596" i="2"/>
  <c r="Q603" i="2"/>
  <c r="Q606" i="2"/>
  <c r="V611" i="2"/>
  <c r="Q613" i="2"/>
  <c r="V625" i="2"/>
  <c r="Q634" i="2"/>
  <c r="V652" i="2"/>
  <c r="Q692" i="2"/>
  <c r="Q720" i="2"/>
  <c r="Q727" i="2"/>
  <c r="V743" i="2"/>
  <c r="Q745" i="2"/>
  <c r="V756" i="2"/>
  <c r="Q766" i="2"/>
  <c r="Q774" i="2"/>
  <c r="V788" i="2"/>
  <c r="V801" i="2"/>
  <c r="V808" i="2"/>
  <c r="V811" i="2"/>
  <c r="V814" i="2"/>
  <c r="V817" i="2"/>
  <c r="Q822" i="2"/>
  <c r="V835" i="2"/>
  <c r="Q837" i="2"/>
  <c r="Q858" i="2"/>
  <c r="V935" i="2"/>
  <c r="V955" i="2"/>
  <c r="V961" i="2"/>
  <c r="V542" i="2"/>
  <c r="V556" i="2"/>
  <c r="V570" i="2"/>
  <c r="V573" i="2"/>
  <c r="V576" i="2"/>
  <c r="V579" i="2"/>
  <c r="V582" i="2"/>
  <c r="V585" i="2"/>
  <c r="V588" i="2"/>
  <c r="V591" i="2"/>
  <c r="V594" i="2"/>
  <c r="V604" i="2"/>
  <c r="V614" i="2"/>
  <c r="V628" i="2"/>
  <c r="V635" i="2"/>
  <c r="Q654" i="2"/>
  <c r="V670" i="2"/>
  <c r="Q672" i="2"/>
  <c r="Q706" i="2"/>
  <c r="V721" i="2"/>
  <c r="Q723" i="2"/>
  <c r="V725" i="2"/>
  <c r="Q738" i="2"/>
  <c r="V475" i="2"/>
  <c r="V478" i="2"/>
  <c r="V481" i="2"/>
  <c r="V484" i="2"/>
  <c r="V487" i="2"/>
  <c r="V490" i="2"/>
  <c r="V493" i="2"/>
  <c r="V496" i="2"/>
  <c r="V499" i="2"/>
  <c r="V502" i="2"/>
  <c r="V505" i="2"/>
  <c r="V508" i="2"/>
  <c r="V511" i="2"/>
  <c r="V514" i="2"/>
  <c r="V517" i="2"/>
  <c r="V520" i="2"/>
  <c r="V523" i="2"/>
  <c r="V526" i="2"/>
  <c r="V529" i="2"/>
  <c r="V532" i="2"/>
  <c r="V535" i="2"/>
  <c r="V597" i="2"/>
  <c r="Q602" i="2"/>
  <c r="Q609" i="2"/>
  <c r="Q616" i="2"/>
  <c r="Q633" i="2"/>
  <c r="V638" i="2"/>
  <c r="Q640" i="2"/>
  <c r="V659" i="2"/>
  <c r="Q661" i="2"/>
  <c r="Q664" i="2"/>
  <c r="Q668" i="2"/>
  <c r="V673" i="2"/>
  <c r="V676" i="2"/>
  <c r="V683" i="2"/>
  <c r="Q685" i="2"/>
  <c r="Q688" i="2"/>
  <c r="V707" i="2"/>
  <c r="Q709" i="2"/>
  <c r="V738" i="2"/>
  <c r="V739" i="2"/>
  <c r="V753" i="2"/>
  <c r="Q755" i="2"/>
  <c r="Q758" i="2"/>
  <c r="Q762" i="2"/>
  <c r="Q773" i="2"/>
  <c r="Q781" i="2"/>
  <c r="Q786" i="2"/>
  <c r="Q796" i="2"/>
  <c r="V827" i="2"/>
  <c r="V831" i="2"/>
  <c r="Q854" i="2"/>
  <c r="Q861" i="2"/>
  <c r="V873" i="2"/>
  <c r="Q875" i="2"/>
  <c r="Q892" i="2"/>
  <c r="V911" i="2"/>
  <c r="Q950" i="2"/>
  <c r="Q997" i="2"/>
  <c r="V1001" i="2"/>
  <c r="V1007" i="2"/>
  <c r="V1011" i="2"/>
  <c r="V1028" i="2"/>
  <c r="Q1030" i="2"/>
  <c r="V1041" i="2"/>
  <c r="V1068" i="2"/>
  <c r="Q1096" i="2"/>
  <c r="V1100" i="2"/>
  <c r="V1178" i="2"/>
  <c r="V885" i="2"/>
  <c r="Q887" i="2"/>
  <c r="Q891" i="2"/>
  <c r="Q906" i="2"/>
  <c r="V915" i="2"/>
  <c r="V949" i="2"/>
  <c r="Q951" i="2"/>
  <c r="V960" i="2"/>
  <c r="V998" i="2"/>
  <c r="Q1003" i="2"/>
  <c r="Q1009" i="2"/>
  <c r="V1027" i="2"/>
  <c r="V1031" i="2"/>
  <c r="V1055" i="2"/>
  <c r="V1064" i="2"/>
  <c r="Q1076" i="2"/>
  <c r="V1077" i="2"/>
  <c r="V1090" i="2"/>
  <c r="Q1133" i="2"/>
  <c r="V1154" i="2"/>
  <c r="V1157" i="2"/>
  <c r="V1160" i="2"/>
  <c r="V1167" i="2"/>
  <c r="Q1170" i="2"/>
  <c r="V1174" i="2"/>
  <c r="V1040" i="2"/>
  <c r="Q1140" i="2"/>
  <c r="V1150" i="2"/>
  <c r="Q1200" i="2"/>
  <c r="Q826" i="2"/>
  <c r="V839" i="2"/>
  <c r="Q856" i="2"/>
  <c r="V877" i="2"/>
  <c r="Q879" i="2"/>
  <c r="V888" i="2"/>
  <c r="Q894" i="2"/>
  <c r="Q898" i="2"/>
  <c r="Q902" i="2"/>
  <c r="V907" i="2"/>
  <c r="V941" i="2"/>
  <c r="Q943" i="2"/>
  <c r="V945" i="2"/>
  <c r="Q947" i="2"/>
  <c r="Q954" i="2"/>
  <c r="Q962" i="2"/>
  <c r="Q968" i="2"/>
  <c r="V979" i="2"/>
  <c r="V994" i="2"/>
  <c r="V1013" i="2"/>
  <c r="V1034" i="2"/>
  <c r="Q1046" i="2"/>
  <c r="Q1050" i="2"/>
  <c r="Q1053" i="2"/>
  <c r="Q1056" i="2"/>
  <c r="Q1060" i="2"/>
  <c r="Q1063" i="2"/>
  <c r="V1067" i="2"/>
  <c r="V1073" i="2"/>
  <c r="Q1092" i="2"/>
  <c r="V1093" i="2"/>
  <c r="V1103" i="2"/>
  <c r="Q1116" i="2"/>
  <c r="Q1129" i="2"/>
  <c r="Q1149" i="2"/>
  <c r="Q1159" i="2"/>
  <c r="Q1162" i="2"/>
  <c r="Q1183" i="2"/>
  <c r="Q1186" i="2"/>
  <c r="V1187" i="2"/>
  <c r="V1200" i="2"/>
  <c r="V1281" i="2"/>
  <c r="V1284" i="2"/>
  <c r="Q996" i="2"/>
  <c r="V1033" i="2"/>
  <c r="V1043" i="2"/>
  <c r="V1050" i="2"/>
  <c r="V1060" i="2"/>
  <c r="Q1072" i="2"/>
  <c r="V1076" i="2"/>
  <c r="Q1088" i="2"/>
  <c r="Q1095" i="2"/>
  <c r="V1096" i="2"/>
  <c r="Q1108" i="2"/>
  <c r="V1116" i="2"/>
  <c r="V1130" i="2"/>
  <c r="V1133" i="2"/>
  <c r="V1153" i="2"/>
  <c r="Q1169" i="2"/>
  <c r="Q1189" i="2"/>
  <c r="Q1025" i="2"/>
  <c r="V1066" i="2"/>
  <c r="V1102" i="2"/>
  <c r="V1109" i="2"/>
  <c r="V965" i="2"/>
  <c r="V1053" i="2"/>
  <c r="Q1125" i="2"/>
  <c r="V1146" i="2"/>
  <c r="Q1152" i="2"/>
  <c r="V1162" i="2"/>
  <c r="V1176" i="2"/>
  <c r="V1186" i="2"/>
  <c r="Q676" i="2"/>
  <c r="Q690" i="2"/>
  <c r="V695" i="2"/>
  <c r="Q697" i="2"/>
  <c r="V713" i="2"/>
  <c r="Q719" i="2"/>
  <c r="V746" i="2"/>
  <c r="Q752" i="2"/>
  <c r="V757" i="2"/>
  <c r="V803" i="2"/>
  <c r="V813" i="2"/>
  <c r="V816" i="2"/>
  <c r="Q818" i="2"/>
  <c r="Q821" i="2"/>
  <c r="Q833" i="2"/>
  <c r="Q840" i="2"/>
  <c r="V845" i="2"/>
  <c r="V849" i="2"/>
  <c r="Q851" i="2"/>
  <c r="Q855" i="2"/>
  <c r="Q878" i="2"/>
  <c r="V883" i="2"/>
  <c r="Q904" i="2"/>
  <c r="Q908" i="2"/>
  <c r="V917" i="2"/>
  <c r="V921" i="2"/>
  <c r="Q923" i="2"/>
  <c r="Q967" i="2"/>
  <c r="V971" i="2"/>
  <c r="V975" i="2"/>
  <c r="V981" i="2"/>
  <c r="Q1028" i="2"/>
  <c r="Q1041" i="2"/>
  <c r="Q1045" i="2"/>
  <c r="Q1065" i="2"/>
  <c r="Q1068" i="2"/>
  <c r="V1069" i="2"/>
  <c r="V1072" i="2"/>
  <c r="Q1084" i="2"/>
  <c r="V1088" i="2"/>
  <c r="Q1094" i="2"/>
  <c r="Q1104" i="2"/>
  <c r="V1105" i="2"/>
  <c r="Q1111" i="2"/>
  <c r="Q1135" i="2"/>
  <c r="Q1138" i="2"/>
  <c r="V1139" i="2"/>
  <c r="V1152" i="2"/>
  <c r="Q1161" i="2"/>
  <c r="V1169" i="2"/>
  <c r="Q1178" i="2"/>
  <c r="Q1185" i="2"/>
  <c r="Q1195" i="2"/>
  <c r="V1280" i="2"/>
  <c r="V1283" i="2"/>
  <c r="Q930" i="2"/>
  <c r="Q934" i="2"/>
  <c r="Q938" i="2"/>
  <c r="V943" i="2"/>
  <c r="V947" i="2"/>
  <c r="V968" i="2"/>
  <c r="Q973" i="2"/>
  <c r="V977" i="2"/>
  <c r="V1002" i="2"/>
  <c r="V1008" i="2"/>
  <c r="Q1014" i="2"/>
  <c r="V1019" i="2"/>
  <c r="Q1024" i="2"/>
  <c r="Q1048" i="2"/>
  <c r="V1052" i="2"/>
  <c r="Q1058" i="2"/>
  <c r="V1078" i="2"/>
  <c r="Q1107" i="2"/>
  <c r="Q1114" i="2"/>
  <c r="Q1121" i="2"/>
  <c r="Q1141" i="2"/>
  <c r="V1189" i="2"/>
  <c r="Q1201" i="2"/>
  <c r="Q1234" i="2"/>
  <c r="Q1237" i="2"/>
  <c r="Q1240" i="2"/>
  <c r="Q1243" i="2"/>
  <c r="Q1246" i="2"/>
  <c r="Q1249" i="2"/>
  <c r="Q1252" i="2"/>
  <c r="Q979" i="2"/>
  <c r="V983" i="2"/>
  <c r="Q1004" i="2"/>
  <c r="Q1010" i="2"/>
  <c r="Q1017" i="2"/>
  <c r="V1022" i="2"/>
  <c r="V1029" i="2"/>
  <c r="Q1038" i="2"/>
  <c r="V1046" i="2"/>
  <c r="V1062" i="2"/>
  <c r="Q1087" i="2"/>
  <c r="Q1100" i="2"/>
  <c r="Q1117" i="2"/>
  <c r="V1122" i="2"/>
  <c r="V1142" i="2"/>
  <c r="V1145" i="2"/>
  <c r="V1165" i="2"/>
  <c r="Q1181" i="2"/>
  <c r="Q675" i="2"/>
  <c r="V694" i="2"/>
  <c r="Q696" i="2"/>
  <c r="Q699" i="2"/>
  <c r="V701" i="2"/>
  <c r="V705" i="2"/>
  <c r="Q707" i="2"/>
  <c r="Q714" i="2"/>
  <c r="V727" i="2"/>
  <c r="Q729" i="2"/>
  <c r="Q736" i="2"/>
  <c r="Q740" i="2"/>
  <c r="V745" i="2"/>
  <c r="V767" i="2"/>
  <c r="Q769" i="2"/>
  <c r="Q782" i="2"/>
  <c r="V812" i="2"/>
  <c r="Q814" i="2"/>
  <c r="V815" i="2"/>
  <c r="V818" i="2"/>
  <c r="Q820" i="2"/>
  <c r="V859" i="2"/>
  <c r="V863" i="2"/>
  <c r="V867" i="2"/>
  <c r="Q884" i="2"/>
  <c r="Q888" i="2"/>
  <c r="V901" i="2"/>
  <c r="Q903" i="2"/>
  <c r="V927" i="2"/>
  <c r="V957" i="2"/>
  <c r="Q959" i="2"/>
  <c r="Q963" i="2"/>
  <c r="Q969" i="2"/>
  <c r="V970" i="2"/>
  <c r="V986" i="2"/>
  <c r="Q991" i="2"/>
  <c r="V995" i="2"/>
  <c r="V1005" i="2"/>
  <c r="V1014" i="2"/>
  <c r="V1024" i="2"/>
  <c r="Q1037" i="2"/>
  <c r="V1048" i="2"/>
  <c r="Q1070" i="2"/>
  <c r="V1071" i="2"/>
  <c r="V1084" i="2"/>
  <c r="V1087" i="2"/>
  <c r="V1091" i="2"/>
  <c r="V1097" i="2"/>
  <c r="Q1106" i="2"/>
  <c r="V1114" i="2"/>
  <c r="V1121" i="2"/>
  <c r="Q1137" i="2"/>
  <c r="Q1147" i="2"/>
  <c r="Q1164" i="2"/>
  <c r="Q1177" i="2"/>
  <c r="Q1197" i="2"/>
  <c r="V1279" i="2"/>
  <c r="V1282" i="2"/>
  <c r="V1285" i="2"/>
  <c r="Q62" i="2"/>
  <c r="Q89" i="2"/>
  <c r="Q91" i="2"/>
  <c r="Q97" i="2"/>
  <c r="Q99" i="2"/>
  <c r="Q54" i="2"/>
  <c r="Q69" i="2"/>
  <c r="Q76" i="2"/>
  <c r="Q53" i="2"/>
  <c r="Q57" i="2"/>
  <c r="Q75" i="2"/>
  <c r="Q84" i="2"/>
  <c r="Q86" i="2"/>
  <c r="Q92" i="2"/>
  <c r="Q239" i="2"/>
  <c r="Q243" i="2"/>
  <c r="Q247" i="2"/>
  <c r="Q251" i="2"/>
  <c r="Q255" i="2"/>
  <c r="Q259" i="2"/>
  <c r="Q238" i="2"/>
  <c r="Q242" i="2"/>
  <c r="Q246" i="2"/>
  <c r="Q250" i="2"/>
  <c r="Q254" i="2"/>
  <c r="Q272" i="2"/>
  <c r="Q241" i="2"/>
  <c r="Q249" i="2"/>
  <c r="Q253" i="2"/>
  <c r="Q257" i="2"/>
  <c r="Q284" i="2"/>
  <c r="Q220" i="2"/>
  <c r="Q224" i="2"/>
  <c r="Q228" i="2"/>
  <c r="Q240" i="2"/>
  <c r="Q248" i="2"/>
  <c r="Q252" i="2"/>
  <c r="Q256" i="2"/>
  <c r="Q393" i="2"/>
  <c r="Q395" i="2"/>
  <c r="Q563" i="2"/>
  <c r="Q551" i="2"/>
  <c r="Q538" i="2"/>
  <c r="Q544" i="2"/>
  <c r="Q555" i="2"/>
  <c r="Q546" i="2"/>
  <c r="Q558" i="2"/>
  <c r="Q567" i="2"/>
  <c r="Q572" i="2"/>
  <c r="Q576" i="2"/>
  <c r="Q580" i="2"/>
  <c r="Q584" i="2"/>
  <c r="Q588" i="2"/>
  <c r="Q592" i="2"/>
  <c r="Q600" i="2"/>
  <c r="Q557" i="2"/>
  <c r="Q566" i="2"/>
  <c r="Q605" i="2"/>
  <c r="Q618" i="2"/>
  <c r="Q627" i="2"/>
  <c r="Q636" i="2"/>
  <c r="Q652" i="2"/>
  <c r="Q541" i="2"/>
  <c r="Q553" i="2"/>
  <c r="Q540" i="2"/>
  <c r="Q552" i="2"/>
  <c r="Q564" i="2"/>
  <c r="Q570" i="2"/>
  <c r="Q574" i="2"/>
  <c r="Q578" i="2"/>
  <c r="Q582" i="2"/>
  <c r="Q586" i="2"/>
  <c r="Q590" i="2"/>
  <c r="Q594" i="2"/>
  <c r="Q608" i="2"/>
  <c r="Q639" i="2"/>
  <c r="Q561" i="2"/>
  <c r="Q573" i="2"/>
  <c r="Q577" i="2"/>
  <c r="Q581" i="2"/>
  <c r="Q585" i="2"/>
  <c r="Q589" i="2"/>
  <c r="Q593" i="2"/>
  <c r="Q604" i="2"/>
  <c r="Q610" i="2"/>
  <c r="Q734" i="2"/>
  <c r="Q662" i="2"/>
  <c r="Q686" i="2"/>
  <c r="Q722" i="2"/>
  <c r="Q753" i="2"/>
  <c r="Q777" i="2"/>
  <c r="Q717" i="2"/>
  <c r="Q741" i="2"/>
  <c r="Q650" i="2"/>
  <c r="Q674" i="2"/>
  <c r="Q698" i="2"/>
  <c r="Q710" i="2"/>
  <c r="Q813" i="2"/>
  <c r="Q792" i="2"/>
  <c r="Q816" i="2"/>
  <c r="Q832" i="2"/>
  <c r="Q868" i="2"/>
  <c r="Q907" i="2"/>
  <c r="V967" i="2"/>
  <c r="Q928" i="2"/>
  <c r="Q919" i="2"/>
  <c r="Q847" i="2"/>
  <c r="Q871" i="2"/>
  <c r="Q880" i="2"/>
  <c r="Q931" i="2"/>
  <c r="V1003" i="2"/>
  <c r="Q952" i="2"/>
  <c r="Q834" i="2"/>
  <c r="Q850" i="2"/>
  <c r="Q874" i="2"/>
  <c r="Q883" i="2"/>
  <c r="Q955" i="2"/>
  <c r="V985" i="2"/>
  <c r="V997" i="2"/>
  <c r="Q1039" i="2"/>
  <c r="Q999" i="2"/>
  <c r="V1009" i="2"/>
  <c r="Q1012" i="2"/>
  <c r="V996" i="2"/>
  <c r="V978" i="2"/>
  <c r="Q981" i="2"/>
  <c r="Q1015" i="2"/>
  <c r="Q1034" i="2"/>
  <c r="V973" i="2"/>
  <c r="V972" i="2"/>
  <c r="Q975" i="2"/>
  <c r="V990" i="2"/>
  <c r="Q993" i="2"/>
  <c r="Q1018" i="2"/>
  <c r="Q1022" i="2"/>
  <c r="V1030" i="2"/>
  <c r="Q1051" i="2"/>
  <c r="Q1036" i="2"/>
  <c r="V984" i="2"/>
  <c r="Q964" i="2"/>
  <c r="Q976" i="2"/>
  <c r="Q988" i="2"/>
  <c r="Q1000" i="2"/>
  <c r="Q1047" i="2"/>
  <c r="Q1052" i="2"/>
  <c r="V1075" i="2"/>
  <c r="V1124" i="2"/>
  <c r="V1092" i="2"/>
  <c r="V1099" i="2"/>
  <c r="V1110" i="2"/>
  <c r="V1117" i="2"/>
  <c r="Q986" i="2"/>
  <c r="Q998" i="2"/>
  <c r="Q1031" i="2"/>
  <c r="V1057" i="2"/>
  <c r="V1063" i="2"/>
  <c r="V1074" i="2"/>
  <c r="Q995" i="2"/>
  <c r="Q1007" i="2"/>
  <c r="Q1035" i="2"/>
  <c r="Q1073" i="2"/>
  <c r="Q1083" i="2"/>
  <c r="Q1090" i="2"/>
  <c r="V1098" i="2"/>
  <c r="Q971" i="2"/>
  <c r="Q983" i="2"/>
  <c r="Q970" i="2"/>
  <c r="Q982" i="2"/>
  <c r="Q994" i="2"/>
  <c r="Q1006" i="2"/>
  <c r="V1036" i="2"/>
  <c r="V1080" i="2"/>
  <c r="Q1097" i="2"/>
  <c r="Q966" i="2"/>
  <c r="Q978" i="2"/>
  <c r="Q990" i="2"/>
  <c r="Q1002" i="2"/>
  <c r="Q1021" i="2"/>
  <c r="Q1033" i="2"/>
  <c r="Q1043" i="2"/>
  <c r="Q1078" i="2"/>
  <c r="V1086" i="2"/>
  <c r="V1128" i="2"/>
  <c r="Q965" i="2"/>
  <c r="Q977" i="2"/>
  <c r="Q989" i="2"/>
  <c r="Q1001" i="2"/>
  <c r="V1015" i="2"/>
  <c r="V1061" i="2"/>
  <c r="Q1071" i="2"/>
  <c r="Q1085" i="2"/>
  <c r="Q1118" i="2"/>
  <c r="V1123" i="2"/>
  <c r="V1127" i="2"/>
  <c r="Q1155" i="2"/>
  <c r="Q1166" i="2"/>
  <c r="V1171" i="2"/>
  <c r="V1175" i="2"/>
  <c r="V1059" i="2"/>
  <c r="V1083" i="2"/>
  <c r="V1095" i="2"/>
  <c r="V1107" i="2"/>
  <c r="V1148" i="2"/>
  <c r="V1196" i="2"/>
  <c r="Q1069" i="2"/>
  <c r="Q1081" i="2"/>
  <c r="Q1093" i="2"/>
  <c r="Q1105" i="2"/>
  <c r="V1111" i="2"/>
  <c r="V1115" i="2"/>
  <c r="Q1143" i="2"/>
  <c r="Q1154" i="2"/>
  <c r="V1155" i="2"/>
  <c r="V1159" i="2"/>
  <c r="V1163" i="2"/>
  <c r="Q1191" i="2"/>
  <c r="Q1124" i="2"/>
  <c r="V1129" i="2"/>
  <c r="V1136" i="2"/>
  <c r="V1140" i="2"/>
  <c r="Q1150" i="2"/>
  <c r="Q1172" i="2"/>
  <c r="V1177" i="2"/>
  <c r="V1184" i="2"/>
  <c r="V1188" i="2"/>
  <c r="Q1198" i="2"/>
  <c r="Q1131" i="2"/>
  <c r="Q1142" i="2"/>
  <c r="V1143" i="2"/>
  <c r="V1147" i="2"/>
  <c r="V1151" i="2"/>
  <c r="Q1179" i="2"/>
  <c r="Q1190" i="2"/>
  <c r="V1191" i="2"/>
  <c r="V1199" i="2"/>
  <c r="V1195" i="2"/>
  <c r="V1172" i="2"/>
  <c r="Q1119" i="2"/>
  <c r="Q1130" i="2"/>
  <c r="V1135" i="2"/>
  <c r="Q1167" i="2"/>
  <c r="V1183" i="2"/>
  <c r="V1179" i="2"/>
  <c r="Q1202" i="2"/>
  <c r="Q1205" i="2"/>
  <c r="Q1208" i="2"/>
  <c r="Q1211" i="2"/>
  <c r="Q1214" i="2"/>
  <c r="Q1217" i="2"/>
  <c r="Q1220" i="2"/>
  <c r="Q1223" i="2"/>
  <c r="Q1226" i="2"/>
  <c r="Q1229" i="2"/>
  <c r="Q1232" i="2"/>
  <c r="Q1235" i="2"/>
  <c r="Q1238" i="2"/>
  <c r="Q1241" i="2"/>
  <c r="V1202" i="2"/>
  <c r="V1205" i="2"/>
  <c r="V1208" i="2"/>
  <c r="V1211" i="2"/>
  <c r="V1214" i="2"/>
  <c r="V1217" i="2"/>
  <c r="V1220" i="2"/>
  <c r="V1223" i="2"/>
  <c r="V1226" i="2"/>
  <c r="V1229" i="2"/>
  <c r="V1232" i="2"/>
  <c r="Q1204" i="2"/>
  <c r="Q1207" i="2"/>
  <c r="Q1210" i="2"/>
  <c r="Q1213" i="2"/>
  <c r="Q1216" i="2"/>
  <c r="Q1219" i="2"/>
  <c r="Q1222" i="2"/>
  <c r="Q1225" i="2"/>
  <c r="Q1228" i="2"/>
  <c r="Q1231" i="2"/>
  <c r="V1203" i="2"/>
  <c r="V1206" i="2"/>
  <c r="V1209" i="2"/>
  <c r="V1212" i="2"/>
  <c r="V1215" i="2"/>
  <c r="V1218" i="2"/>
  <c r="V1221" i="2"/>
  <c r="V1224" i="2"/>
  <c r="V1227" i="2"/>
  <c r="V1230" i="2"/>
  <c r="V1233" i="2"/>
  <c r="V1236" i="2"/>
  <c r="V1239" i="2"/>
  <c r="V1242" i="2"/>
  <c r="V1245" i="2"/>
  <c r="V1248" i="2"/>
  <c r="V1251" i="2"/>
  <c r="V1254" i="2"/>
  <c r="V1257" i="2"/>
  <c r="V1260" i="2"/>
  <c r="V1263" i="2"/>
  <c r="V1266" i="2"/>
  <c r="V1269" i="2"/>
  <c r="V1272" i="2"/>
  <c r="V1275" i="2"/>
  <c r="V1278" i="2"/>
  <c r="Q1244" i="2"/>
  <c r="Q1247" i="2"/>
  <c r="Q1250" i="2"/>
  <c r="Q1253" i="2"/>
  <c r="Q1256" i="2"/>
  <c r="Q1259" i="2"/>
  <c r="Q1262" i="2"/>
  <c r="Q1265" i="2"/>
  <c r="Q1268" i="2"/>
  <c r="Q1271" i="2"/>
  <c r="Q1274" i="2"/>
  <c r="Q1277" i="2"/>
  <c r="Q1280" i="2"/>
  <c r="Q1283" i="2"/>
  <c r="Q1286" i="2"/>
  <c r="V1235" i="2"/>
  <c r="V1238" i="2"/>
  <c r="V1241" i="2"/>
  <c r="V1244" i="2"/>
  <c r="V1247" i="2"/>
  <c r="V1250" i="2"/>
  <c r="V1253" i="2"/>
  <c r="V1256" i="2"/>
  <c r="V1259" i="2"/>
  <c r="V1262" i="2"/>
  <c r="V1265" i="2"/>
  <c r="V1268" i="2"/>
  <c r="V1271" i="2"/>
  <c r="V1274" i="2"/>
  <c r="V1277" i="2"/>
  <c r="V1204" i="2"/>
  <c r="V1207" i="2"/>
  <c r="V1210" i="2"/>
  <c r="V1213" i="2"/>
  <c r="V1216" i="2"/>
  <c r="V1219" i="2"/>
  <c r="V1222" i="2"/>
  <c r="V1225" i="2"/>
  <c r="V1228" i="2"/>
  <c r="V1231" i="2"/>
  <c r="V1234" i="2"/>
  <c r="V1237" i="2"/>
  <c r="V1240" i="2"/>
  <c r="V1243" i="2"/>
  <c r="V1246" i="2"/>
  <c r="V1249" i="2"/>
  <c r="V1252" i="2"/>
  <c r="V1255" i="2"/>
  <c r="V1258" i="2"/>
  <c r="V1261" i="2"/>
  <c r="V1264" i="2"/>
  <c r="V1267" i="2"/>
  <c r="V1270" i="2"/>
  <c r="V1273" i="2"/>
  <c r="V1276" i="2"/>
  <c r="Q1290" i="2"/>
  <c r="Q1289" i="2"/>
  <c r="V1287" i="2"/>
  <c r="Q1288" i="2"/>
  <c r="V1289" i="2"/>
  <c r="V1290" i="2"/>
  <c r="Q1287" i="2"/>
  <c r="V1288" i="2"/>
  <c r="I1407" i="2"/>
  <c r="F1407" i="2"/>
  <c r="Y76" i="2" l="1"/>
  <c r="AB76" i="2" s="1"/>
  <c r="Y159" i="2"/>
  <c r="AB159" i="2" s="1"/>
  <c r="Y913" i="2"/>
  <c r="AB913" i="2" s="1"/>
  <c r="Y747" i="2"/>
  <c r="AB747" i="2" s="1"/>
  <c r="Y663" i="2"/>
  <c r="AB663" i="2" s="1"/>
  <c r="Y453" i="2"/>
  <c r="AB453" i="2" s="1"/>
  <c r="Y417" i="2"/>
  <c r="AB417" i="2" s="1"/>
  <c r="Y1236" i="2"/>
  <c r="AB1236" i="2" s="1"/>
  <c r="Y1057" i="2"/>
  <c r="AB1057" i="2" s="1"/>
  <c r="Y245" i="2"/>
  <c r="AB245" i="2" s="1"/>
  <c r="Y1067" i="2"/>
  <c r="AB1067" i="2" s="1"/>
  <c r="Y804" i="2"/>
  <c r="AB804" i="2" s="1"/>
  <c r="Y800" i="2"/>
  <c r="AB800" i="2" s="1"/>
  <c r="Y1197" i="2"/>
  <c r="AB1197" i="2" s="1"/>
  <c r="Y923" i="2"/>
  <c r="AB923" i="2" s="1"/>
  <c r="Y1239" i="2"/>
  <c r="AB1239" i="2" s="1"/>
  <c r="Y1203" i="2"/>
  <c r="AB1203" i="2" s="1"/>
  <c r="Y608" i="2"/>
  <c r="AB608" i="2" s="1"/>
  <c r="Y305" i="2"/>
  <c r="AB305" i="2" s="1"/>
  <c r="Y898" i="2"/>
  <c r="AB898" i="2" s="1"/>
  <c r="Y603" i="2"/>
  <c r="AB603" i="2" s="1"/>
  <c r="Y369" i="2"/>
  <c r="AB369" i="2" s="1"/>
  <c r="Y134" i="2"/>
  <c r="AB134" i="2" s="1"/>
  <c r="Y956" i="2"/>
  <c r="AB956" i="2" s="1"/>
  <c r="Y987" i="2"/>
  <c r="AB987" i="2" s="1"/>
  <c r="Y35" i="2"/>
  <c r="AB35" i="2" s="1"/>
  <c r="Y1245" i="2"/>
  <c r="AB1245" i="2" s="1"/>
  <c r="Y930" i="2"/>
  <c r="AB930" i="2" s="1"/>
  <c r="Y1230" i="2"/>
  <c r="AB1230" i="2" s="1"/>
  <c r="Y733" i="2"/>
  <c r="AB733" i="2" s="1"/>
  <c r="Y1059" i="2"/>
  <c r="AB1059" i="2" s="1"/>
  <c r="Y32" i="2"/>
  <c r="AB32" i="2" s="1"/>
  <c r="Y1284" i="2"/>
  <c r="AB1284" i="2" s="1"/>
  <c r="Y1233" i="2"/>
  <c r="AB1233" i="2" s="1"/>
  <c r="Y729" i="2"/>
  <c r="AB729" i="2" s="1"/>
  <c r="Y664" i="2"/>
  <c r="AB664" i="2" s="1"/>
  <c r="Y166" i="2"/>
  <c r="AB166" i="2" s="1"/>
  <c r="Y695" i="2"/>
  <c r="AB695" i="2" s="1"/>
  <c r="Y960" i="2"/>
  <c r="AB960" i="2" s="1"/>
  <c r="Y1270" i="2"/>
  <c r="AB1270" i="2" s="1"/>
  <c r="Y826" i="2"/>
  <c r="AB826" i="2" s="1"/>
  <c r="Y1248" i="2"/>
  <c r="AB1248" i="2" s="1"/>
  <c r="Y1062" i="2"/>
  <c r="AB1062" i="2" s="1"/>
  <c r="Y511" i="2"/>
  <c r="AB511" i="2" s="1"/>
  <c r="Y475" i="2"/>
  <c r="AB475" i="2" s="1"/>
  <c r="Y1064" i="2"/>
  <c r="AB1064" i="2" s="1"/>
  <c r="Y1278" i="2"/>
  <c r="AB1278" i="2" s="1"/>
  <c r="Y1242" i="2"/>
  <c r="AB1242" i="2" s="1"/>
  <c r="Y218" i="2"/>
  <c r="AB218" i="2" s="1"/>
  <c r="Y203" i="2"/>
  <c r="AB203" i="2" s="1"/>
  <c r="Y918" i="2"/>
  <c r="AB918" i="2" s="1"/>
  <c r="Y1227" i="2"/>
  <c r="AB1227" i="2" s="1"/>
  <c r="Y75" i="2"/>
  <c r="AB75" i="2" s="1"/>
  <c r="Y661" i="2"/>
  <c r="AB661" i="2" s="1"/>
  <c r="Y401" i="2"/>
  <c r="AB401" i="2" s="1"/>
  <c r="Y803" i="2"/>
  <c r="AB803" i="2" s="1"/>
  <c r="Y299" i="2"/>
  <c r="AB299" i="2" s="1"/>
  <c r="Y1051" i="2"/>
  <c r="AB1051" i="2" s="1"/>
  <c r="Y687" i="2"/>
  <c r="AB687" i="2" s="1"/>
  <c r="Y516" i="2"/>
  <c r="AB516" i="2" s="1"/>
  <c r="Y480" i="2"/>
  <c r="AB480" i="2" s="1"/>
  <c r="Y985" i="2"/>
  <c r="AB985" i="2" s="1"/>
  <c r="Y705" i="2"/>
  <c r="AB705" i="2" s="1"/>
  <c r="Y793" i="2"/>
  <c r="AB793" i="2" s="1"/>
  <c r="Y1110" i="2"/>
  <c r="AB1110" i="2" s="1"/>
  <c r="Y1176" i="2"/>
  <c r="AB1176" i="2" s="1"/>
  <c r="Y60" i="2"/>
  <c r="AB60" i="2" s="1"/>
  <c r="Y673" i="2"/>
  <c r="AB673" i="2" s="1"/>
  <c r="Y124" i="2"/>
  <c r="AB124" i="2" s="1"/>
  <c r="Y680" i="2"/>
  <c r="AB680" i="2" s="1"/>
  <c r="Y1264" i="2"/>
  <c r="AB1264" i="2" s="1"/>
  <c r="Y1286" i="2"/>
  <c r="AB1286" i="2" s="1"/>
  <c r="Y406" i="2"/>
  <c r="AB406" i="2" s="1"/>
  <c r="Y658" i="2"/>
  <c r="AB658" i="2" s="1"/>
  <c r="Y26" i="2"/>
  <c r="AB26" i="2" s="1"/>
  <c r="Y395" i="2"/>
  <c r="AB395" i="2" s="1"/>
  <c r="Y40" i="2"/>
  <c r="AB40" i="2" s="1"/>
  <c r="Y683" i="2"/>
  <c r="AB683" i="2" s="1"/>
  <c r="Y238" i="2"/>
  <c r="AB238" i="2" s="1"/>
  <c r="Y762" i="2"/>
  <c r="AB762" i="2" s="1"/>
  <c r="Y537" i="2"/>
  <c r="AB537" i="2" s="1"/>
  <c r="Y249" i="2"/>
  <c r="AB249" i="2" s="1"/>
  <c r="Y1281" i="2"/>
  <c r="AB1281" i="2" s="1"/>
  <c r="Y684" i="2"/>
  <c r="AB684" i="2" s="1"/>
  <c r="Y209" i="2"/>
  <c r="AB209" i="2" s="1"/>
  <c r="Y321" i="2"/>
  <c r="AB321" i="2" s="1"/>
  <c r="Y1056" i="2"/>
  <c r="AB1056" i="2" s="1"/>
  <c r="Y208" i="2"/>
  <c r="AB208" i="2" s="1"/>
  <c r="Y633" i="2"/>
  <c r="AB633" i="2" s="1"/>
  <c r="Y1065" i="2"/>
  <c r="AB1065" i="2" s="1"/>
  <c r="Y788" i="2"/>
  <c r="AB788" i="2" s="1"/>
  <c r="Y730" i="2"/>
  <c r="AB730" i="2" s="1"/>
  <c r="Y296" i="2"/>
  <c r="AB296" i="2" s="1"/>
  <c r="Y755" i="2"/>
  <c r="AB755" i="2" s="1"/>
  <c r="Y187" i="2"/>
  <c r="AB187" i="2" s="1"/>
  <c r="Y239" i="2"/>
  <c r="AB239" i="2" s="1"/>
  <c r="Y54" i="2"/>
  <c r="AB54" i="2" s="1"/>
  <c r="Y796" i="2"/>
  <c r="AB796" i="2" s="1"/>
  <c r="Y653" i="2"/>
  <c r="AB653" i="2" s="1"/>
  <c r="Y98" i="2"/>
  <c r="AB98" i="2" s="1"/>
  <c r="Y161" i="2"/>
  <c r="AB161" i="2" s="1"/>
  <c r="Y620" i="2"/>
  <c r="AB620" i="2" s="1"/>
  <c r="Y887" i="2"/>
  <c r="AB887" i="2" s="1"/>
  <c r="Y795" i="2"/>
  <c r="AB795" i="2" s="1"/>
  <c r="Y1165" i="2"/>
  <c r="AB1165" i="2" s="1"/>
  <c r="Y1260" i="2"/>
  <c r="AB1260" i="2" s="1"/>
  <c r="Y1282" i="2"/>
  <c r="AB1282" i="2" s="1"/>
  <c r="Y1157" i="2"/>
  <c r="AB1157" i="2" s="1"/>
  <c r="Y523" i="2"/>
  <c r="AB523" i="2" s="1"/>
  <c r="Y487" i="2"/>
  <c r="AB487" i="2" s="1"/>
  <c r="Y819" i="2"/>
  <c r="AB819" i="2" s="1"/>
  <c r="Y170" i="2"/>
  <c r="AB170" i="2" s="1"/>
  <c r="Y1209" i="2"/>
  <c r="AB1209" i="2" s="1"/>
  <c r="Y1077" i="2"/>
  <c r="AB1077" i="2" s="1"/>
  <c r="Y666" i="2"/>
  <c r="AB666" i="2" s="1"/>
  <c r="Y846" i="2"/>
  <c r="AB846" i="2" s="1"/>
  <c r="Y785" i="2"/>
  <c r="AB785" i="2" s="1"/>
  <c r="Y28" i="2"/>
  <c r="AB28" i="2" s="1"/>
  <c r="Y678" i="2"/>
  <c r="AB678" i="2" s="1"/>
  <c r="Y23" i="2"/>
  <c r="AB23" i="2" s="1"/>
  <c r="Y775" i="2"/>
  <c r="AB775" i="2" s="1"/>
  <c r="Y976" i="2"/>
  <c r="AB976" i="2" s="1"/>
  <c r="Y105" i="2"/>
  <c r="AB105" i="2" s="1"/>
  <c r="Y88" i="2"/>
  <c r="AB88" i="2" s="1"/>
  <c r="Y306" i="2"/>
  <c r="AB306" i="2" s="1"/>
  <c r="Y1054" i="2"/>
  <c r="AB1054" i="2" s="1"/>
  <c r="Y191" i="2"/>
  <c r="AB191" i="2" s="1"/>
  <c r="Y896" i="2"/>
  <c r="AB896" i="2" s="1"/>
  <c r="Y265" i="2"/>
  <c r="AB265" i="2" s="1"/>
  <c r="Y16" i="2"/>
  <c r="AB16" i="2" s="1"/>
  <c r="Y397" i="2"/>
  <c r="AB397" i="2" s="1"/>
  <c r="Y1044" i="2"/>
  <c r="AB1044" i="2" s="1"/>
  <c r="Y393" i="2"/>
  <c r="AB393" i="2" s="1"/>
  <c r="Y1055" i="2"/>
  <c r="AB1055" i="2" s="1"/>
  <c r="Y279" i="2"/>
  <c r="AB279" i="2" s="1"/>
  <c r="Y505" i="2"/>
  <c r="AB505" i="2" s="1"/>
  <c r="Y440" i="2"/>
  <c r="AB440" i="2" s="1"/>
  <c r="Y398" i="2"/>
  <c r="AB398" i="2" s="1"/>
  <c r="Y156" i="2"/>
  <c r="AB156" i="2" s="1"/>
  <c r="Y559" i="2"/>
  <c r="AB559" i="2" s="1"/>
  <c r="Y1022" i="2"/>
  <c r="AB1022" i="2" s="1"/>
  <c r="Y539" i="2"/>
  <c r="AB539" i="2" s="1"/>
  <c r="Y262" i="2"/>
  <c r="AB262" i="2" s="1"/>
  <c r="Y534" i="2"/>
  <c r="AB534" i="2" s="1"/>
  <c r="Y498" i="2"/>
  <c r="AB498" i="2" s="1"/>
  <c r="Y392" i="2"/>
  <c r="AB392" i="2" s="1"/>
  <c r="Y330" i="2"/>
  <c r="AB330" i="2" s="1"/>
  <c r="Y402" i="2"/>
  <c r="AB402" i="2" s="1"/>
  <c r="Y183" i="2"/>
  <c r="AB183" i="2" s="1"/>
  <c r="Y507" i="2"/>
  <c r="AB507" i="2" s="1"/>
  <c r="Y1212" i="2"/>
  <c r="AB1212" i="2" s="1"/>
  <c r="Y1018" i="2"/>
  <c r="AB1018" i="2" s="1"/>
  <c r="Y1196" i="2"/>
  <c r="AB1196" i="2" s="1"/>
  <c r="Y173" i="2"/>
  <c r="AB173" i="2" s="1"/>
  <c r="Y428" i="2"/>
  <c r="AB428" i="2" s="1"/>
  <c r="Y1009" i="2"/>
  <c r="AB1009" i="2" s="1"/>
  <c r="Y939" i="2"/>
  <c r="AB939" i="2" s="1"/>
  <c r="Y949" i="2"/>
  <c r="AB949" i="2" s="1"/>
  <c r="Y391" i="2"/>
  <c r="AB391" i="2" s="1"/>
  <c r="Y115" i="2"/>
  <c r="AB115" i="2" s="1"/>
  <c r="Y179" i="2"/>
  <c r="AB179" i="2" s="1"/>
  <c r="Y206" i="2"/>
  <c r="AB206" i="2" s="1"/>
  <c r="Y380" i="2"/>
  <c r="AB380" i="2" s="1"/>
  <c r="Y629" i="2"/>
  <c r="AB629" i="2" s="1"/>
  <c r="Y50" i="2"/>
  <c r="AB50" i="2" s="1"/>
  <c r="Y1266" i="2"/>
  <c r="AB1266" i="2" s="1"/>
  <c r="Y698" i="2"/>
  <c r="AB698" i="2" s="1"/>
  <c r="Y934" i="2"/>
  <c r="AB934" i="2" s="1"/>
  <c r="Y609" i="2"/>
  <c r="AB609" i="2" s="1"/>
  <c r="Y464" i="2"/>
  <c r="AB464" i="2" s="1"/>
  <c r="Y1089" i="2"/>
  <c r="AB1089" i="2" s="1"/>
  <c r="Y1163" i="2"/>
  <c r="AB1163" i="2" s="1"/>
  <c r="Y163" i="2"/>
  <c r="AB163" i="2" s="1"/>
  <c r="Y399" i="2"/>
  <c r="AB399" i="2" s="1"/>
  <c r="Y1082" i="2"/>
  <c r="AB1082" i="2" s="1"/>
  <c r="Y1019" i="2"/>
  <c r="AB1019" i="2" s="1"/>
  <c r="Y200" i="2"/>
  <c r="AB200" i="2" s="1"/>
  <c r="Y146" i="2"/>
  <c r="AB146" i="2" s="1"/>
  <c r="Y139" i="2"/>
  <c r="AB139" i="2" s="1"/>
  <c r="Y1215" i="2"/>
  <c r="AB1215" i="2" s="1"/>
  <c r="Y177" i="2"/>
  <c r="AB177" i="2" s="1"/>
  <c r="Y836" i="2"/>
  <c r="AB836" i="2" s="1"/>
  <c r="Y263" i="2"/>
  <c r="AB263" i="2" s="1"/>
  <c r="Y1111" i="2"/>
  <c r="AB1111" i="2" s="1"/>
  <c r="Y704" i="2"/>
  <c r="AB704" i="2" s="1"/>
  <c r="Y872" i="2"/>
  <c r="AB872" i="2" s="1"/>
  <c r="Y1150" i="2"/>
  <c r="AB1150" i="2" s="1"/>
  <c r="Y776" i="2"/>
  <c r="AB776" i="2" s="1"/>
  <c r="Y975" i="2"/>
  <c r="AB975" i="2" s="1"/>
  <c r="Y458" i="2"/>
  <c r="AB458" i="2" s="1"/>
  <c r="Y886" i="2"/>
  <c r="AB886" i="2" s="1"/>
  <c r="Y952" i="2"/>
  <c r="AB952" i="2" s="1"/>
  <c r="Y1007" i="2"/>
  <c r="AB1007" i="2" s="1"/>
  <c r="Y334" i="2"/>
  <c r="AB334" i="2" s="1"/>
  <c r="Y1006" i="2"/>
  <c r="AB1006" i="2" s="1"/>
  <c r="Y650" i="2"/>
  <c r="AB650" i="2" s="1"/>
  <c r="Y595" i="2"/>
  <c r="AB595" i="2" s="1"/>
  <c r="Y572" i="2"/>
  <c r="AB572" i="2" s="1"/>
  <c r="Y62" i="2"/>
  <c r="AB62" i="2" s="1"/>
  <c r="Y815" i="2"/>
  <c r="AB815" i="2" s="1"/>
  <c r="Y574" i="2"/>
  <c r="AB574" i="2" s="1"/>
  <c r="Y882" i="2"/>
  <c r="AB882" i="2" s="1"/>
  <c r="Y149" i="2"/>
  <c r="AB149" i="2" s="1"/>
  <c r="Y82" i="2"/>
  <c r="AB82" i="2" s="1"/>
  <c r="Y456" i="2"/>
  <c r="AB456" i="2" s="1"/>
  <c r="Y125" i="2"/>
  <c r="AB125" i="2" s="1"/>
  <c r="Y570" i="2"/>
  <c r="AB570" i="2" s="1"/>
  <c r="Y1106" i="2"/>
  <c r="AB1106" i="2" s="1"/>
  <c r="Y922" i="2"/>
  <c r="AB922" i="2" s="1"/>
  <c r="Y254" i="2"/>
  <c r="AB254" i="2" s="1"/>
  <c r="Y625" i="2"/>
  <c r="AB625" i="2" s="1"/>
  <c r="Y290" i="2"/>
  <c r="Y893" i="2"/>
  <c r="AB893" i="2" s="1"/>
  <c r="Y264" i="2"/>
  <c r="AB264" i="2" s="1"/>
  <c r="Y652" i="2"/>
  <c r="AB652" i="2" s="1"/>
  <c r="Y250" i="2"/>
  <c r="AB250" i="2" s="1"/>
  <c r="Y1004" i="2"/>
  <c r="AB1004" i="2" s="1"/>
  <c r="Y435" i="2"/>
  <c r="AB435" i="2" s="1"/>
  <c r="Y127" i="2"/>
  <c r="AB127" i="2" s="1"/>
  <c r="Y1275" i="2"/>
  <c r="AB1275" i="2" s="1"/>
  <c r="Y551" i="2"/>
  <c r="AB551" i="2" s="1"/>
  <c r="Y933" i="2"/>
  <c r="AB933" i="2" s="1"/>
  <c r="Y141" i="2"/>
  <c r="AB141" i="2" s="1"/>
  <c r="Y229" i="2"/>
  <c r="AB229" i="2" s="1"/>
  <c r="Y993" i="2"/>
  <c r="AB993" i="2" s="1"/>
  <c r="Y999" i="2"/>
  <c r="AB999" i="2" s="1"/>
  <c r="Y553" i="2"/>
  <c r="AB553" i="2" s="1"/>
  <c r="Y34" i="2"/>
  <c r="AB34" i="2" s="1"/>
  <c r="Y897" i="2"/>
  <c r="AB897" i="2" s="1"/>
  <c r="Y294" i="2"/>
  <c r="AB294" i="2" s="1"/>
  <c r="Y1136" i="2"/>
  <c r="AB1136" i="2" s="1"/>
  <c r="Y908" i="2"/>
  <c r="AB908" i="2" s="1"/>
  <c r="Y915" i="2"/>
  <c r="AB915" i="2" s="1"/>
  <c r="Y1112" i="2"/>
  <c r="AB1112" i="2" s="1"/>
  <c r="Y997" i="2"/>
  <c r="AB997" i="2" s="1"/>
  <c r="Y89" i="2"/>
  <c r="AB89" i="2" s="1"/>
  <c r="Y782" i="2"/>
  <c r="AB782" i="2" s="1"/>
  <c r="Y550" i="2"/>
  <c r="AB550" i="2" s="1"/>
  <c r="Y763" i="2"/>
  <c r="AB763" i="2" s="1"/>
  <c r="Y1224" i="2"/>
  <c r="AB1224" i="2" s="1"/>
  <c r="Y790" i="2"/>
  <c r="AB790" i="2" s="1"/>
  <c r="Y119" i="2"/>
  <c r="AB119" i="2" s="1"/>
  <c r="Y51" i="2"/>
  <c r="AB51" i="2" s="1"/>
  <c r="Y1184" i="2"/>
  <c r="AB1184" i="2" s="1"/>
  <c r="Y772" i="2"/>
  <c r="AB772" i="2" s="1"/>
  <c r="Y184" i="2"/>
  <c r="AB184" i="2" s="1"/>
  <c r="Y1188" i="2"/>
  <c r="AB1188" i="2" s="1"/>
  <c r="Y627" i="2"/>
  <c r="AB627" i="2" s="1"/>
  <c r="Y1017" i="2"/>
  <c r="AB1017" i="2" s="1"/>
  <c r="Y271" i="2"/>
  <c r="AB271" i="2" s="1"/>
  <c r="Y1099" i="2"/>
  <c r="AB1099" i="2" s="1"/>
  <c r="Y437" i="2"/>
  <c r="AB437" i="2" s="1"/>
  <c r="Y1012" i="2"/>
  <c r="AB1012" i="2" s="1"/>
  <c r="Y670" i="2"/>
  <c r="AB670" i="2" s="1"/>
  <c r="Y744" i="2"/>
  <c r="AB744" i="2" s="1"/>
  <c r="Y130" i="2"/>
  <c r="AB130" i="2" s="1"/>
  <c r="Y1034" i="2"/>
  <c r="AB1034" i="2" s="1"/>
  <c r="Y503" i="2"/>
  <c r="AB503" i="2" s="1"/>
  <c r="Y338" i="2"/>
  <c r="AB338" i="2" s="1"/>
  <c r="Y350" i="2"/>
  <c r="AB350" i="2" s="1"/>
  <c r="Y787" i="2"/>
  <c r="AB787" i="2" s="1"/>
  <c r="Y1016" i="2"/>
  <c r="AB1016" i="2" s="1"/>
  <c r="Y546" i="2"/>
  <c r="AB546" i="2" s="1"/>
  <c r="Y471" i="2"/>
  <c r="AB471" i="2" s="1"/>
  <c r="Y293" i="2"/>
  <c r="AB293" i="2" s="1"/>
  <c r="Y194" i="2"/>
  <c r="AB194" i="2" s="1"/>
  <c r="Y566" i="2"/>
  <c r="AB566" i="2" s="1"/>
  <c r="Y904" i="2"/>
  <c r="AB904" i="2" s="1"/>
  <c r="Y114" i="2"/>
  <c r="AB114" i="2" s="1"/>
  <c r="Y422" i="2"/>
  <c r="AB422" i="2" s="1"/>
  <c r="Y1129" i="2"/>
  <c r="AB1129" i="2" s="1"/>
  <c r="Y686" i="2"/>
  <c r="AB686" i="2" s="1"/>
  <c r="Y564" i="2"/>
  <c r="AB564" i="2" s="1"/>
  <c r="Y612" i="2"/>
  <c r="AB612" i="2" s="1"/>
  <c r="Y301" i="2"/>
  <c r="AB301" i="2" s="1"/>
  <c r="Y681" i="2"/>
  <c r="AB681" i="2" s="1"/>
  <c r="Y561" i="2"/>
  <c r="AB561" i="2" s="1"/>
  <c r="Y1043" i="2"/>
  <c r="AB1043" i="2" s="1"/>
  <c r="Y982" i="2"/>
  <c r="AB982" i="2" s="1"/>
  <c r="Y64" i="2"/>
  <c r="AB64" i="2" s="1"/>
  <c r="Y71" i="2"/>
  <c r="AB71" i="2" s="1"/>
  <c r="Y102" i="2"/>
  <c r="AB102" i="2" s="1"/>
  <c r="Y980" i="2"/>
  <c r="AB980" i="2" s="1"/>
  <c r="Y642" i="2"/>
  <c r="AB642" i="2" s="1"/>
  <c r="Y358" i="2"/>
  <c r="AB358" i="2" s="1"/>
  <c r="Y565" i="2"/>
  <c r="AB565" i="2" s="1"/>
  <c r="Y969" i="2"/>
  <c r="AB969" i="2" s="1"/>
  <c r="Y986" i="2"/>
  <c r="AB986" i="2" s="1"/>
  <c r="Y907" i="2"/>
  <c r="AB907" i="2" s="1"/>
  <c r="Y741" i="2"/>
  <c r="AB741" i="2" s="1"/>
  <c r="Y959" i="2"/>
  <c r="AB959" i="2" s="1"/>
  <c r="Y839" i="2"/>
  <c r="AB839" i="2" s="1"/>
  <c r="Y890" i="2"/>
  <c r="AB890" i="2" s="1"/>
  <c r="Y412" i="2"/>
  <c r="AB412" i="2" s="1"/>
  <c r="Y152" i="2"/>
  <c r="AB152" i="2" s="1"/>
  <c r="Y15" i="2"/>
  <c r="AB15" i="2" s="1"/>
  <c r="Y970" i="2"/>
  <c r="AB970" i="2" s="1"/>
  <c r="Y580" i="2"/>
  <c r="AB580" i="2" s="1"/>
  <c r="Y740" i="2"/>
  <c r="AB740" i="2" s="1"/>
  <c r="Y950" i="2"/>
  <c r="AB950" i="2" s="1"/>
  <c r="Y215" i="2"/>
  <c r="AB215" i="2" s="1"/>
  <c r="Y630" i="2"/>
  <c r="AB630" i="2" s="1"/>
  <c r="Y225" i="2"/>
  <c r="AB225" i="2" s="1"/>
  <c r="Y289" i="2"/>
  <c r="AB289" i="2" s="1"/>
  <c r="Y848" i="2"/>
  <c r="AB848" i="2" s="1"/>
  <c r="Y1127" i="2"/>
  <c r="AB1127" i="2" s="1"/>
  <c r="Y722" i="2"/>
  <c r="AB722" i="2" s="1"/>
  <c r="Y557" i="2"/>
  <c r="AB557" i="2" s="1"/>
  <c r="Y131" i="2"/>
  <c r="AB131" i="2" s="1"/>
  <c r="Y1269" i="2"/>
  <c r="AB1269" i="2" s="1"/>
  <c r="Y538" i="2"/>
  <c r="AB538" i="2" s="1"/>
  <c r="Y879" i="2"/>
  <c r="AB879" i="2" s="1"/>
  <c r="Y532" i="2"/>
  <c r="AB532" i="2" s="1"/>
  <c r="Y496" i="2"/>
  <c r="AB496" i="2" s="1"/>
  <c r="Y715" i="2"/>
  <c r="AB715" i="2" s="1"/>
  <c r="Y700" i="2"/>
  <c r="AB700" i="2" s="1"/>
  <c r="Y185" i="2"/>
  <c r="AB185" i="2" s="1"/>
  <c r="Y940" i="2"/>
  <c r="AB940" i="2" s="1"/>
  <c r="Y193" i="2"/>
  <c r="AB193" i="2" s="1"/>
  <c r="Y1085" i="2"/>
  <c r="AB1085" i="2" s="1"/>
  <c r="Y237" i="2"/>
  <c r="AB237" i="2" s="1"/>
  <c r="Y189" i="2"/>
  <c r="AB189" i="2" s="1"/>
  <c r="Y385" i="2"/>
  <c r="AB385" i="2" s="1"/>
  <c r="Y1192" i="2"/>
  <c r="AB1192" i="2" s="1"/>
  <c r="Y1021" i="2"/>
  <c r="AB1021" i="2" s="1"/>
  <c r="Y876" i="2"/>
  <c r="AB876" i="2" s="1"/>
  <c r="Y841" i="2"/>
  <c r="AB841" i="2" s="1"/>
  <c r="Y1234" i="2"/>
  <c r="AB1234" i="2" s="1"/>
  <c r="Y735" i="2"/>
  <c r="AB735" i="2" s="1"/>
  <c r="Y1218" i="2"/>
  <c r="AB1218" i="2" s="1"/>
  <c r="Y955" i="2"/>
  <c r="AB955" i="2" s="1"/>
  <c r="Y545" i="2"/>
  <c r="AB545" i="2" s="1"/>
  <c r="Y1199" i="2"/>
  <c r="AB1199" i="2" s="1"/>
  <c r="Y1137" i="2"/>
  <c r="AB1137" i="2" s="1"/>
  <c r="Y638" i="2"/>
  <c r="AB638" i="2" s="1"/>
  <c r="Y500" i="2"/>
  <c r="AB500" i="2" s="1"/>
  <c r="Y431" i="2"/>
  <c r="AB431" i="2" s="1"/>
  <c r="Y1283" i="2"/>
  <c r="AB1283" i="2" s="1"/>
  <c r="Y1175" i="2"/>
  <c r="AB1175" i="2" s="1"/>
  <c r="Y269" i="2"/>
  <c r="AB269" i="2" s="1"/>
  <c r="Y1190" i="2"/>
  <c r="AB1190" i="2" s="1"/>
  <c r="Y618" i="2"/>
  <c r="AB618" i="2" s="1"/>
  <c r="Y621" i="2"/>
  <c r="AB621" i="2" s="1"/>
  <c r="Y1255" i="2"/>
  <c r="AB1255" i="2" s="1"/>
  <c r="Y1105" i="2"/>
  <c r="AB1105" i="2" s="1"/>
  <c r="Y777" i="2"/>
  <c r="AB777" i="2" s="1"/>
  <c r="Y467" i="2"/>
  <c r="AB467" i="2" s="1"/>
  <c r="Y282" i="2"/>
  <c r="AB282" i="2" s="1"/>
  <c r="Y212" i="2"/>
  <c r="AB212" i="2" s="1"/>
  <c r="Y323" i="2"/>
  <c r="AB323" i="2" s="1"/>
  <c r="Y109" i="2"/>
  <c r="AB109" i="2" s="1"/>
  <c r="Y424" i="2"/>
  <c r="AB424" i="2" s="1"/>
  <c r="Y164" i="2"/>
  <c r="AB164" i="2" s="1"/>
  <c r="Y1058" i="2"/>
  <c r="AB1058" i="2" s="1"/>
  <c r="Y1156" i="2"/>
  <c r="AB1156" i="2" s="1"/>
  <c r="Y1118" i="2"/>
  <c r="AB1118" i="2" s="1"/>
  <c r="Y750" i="2"/>
  <c r="AB750" i="2" s="1"/>
  <c r="Y542" i="2"/>
  <c r="AB542" i="2" s="1"/>
  <c r="Y468" i="2"/>
  <c r="AB468" i="2" s="1"/>
  <c r="Y432" i="2"/>
  <c r="AB432" i="2" s="1"/>
  <c r="Y798" i="2"/>
  <c r="AB798" i="2" s="1"/>
  <c r="Y501" i="2"/>
  <c r="AB501" i="2" s="1"/>
  <c r="Y1061" i="2"/>
  <c r="AB1061" i="2" s="1"/>
  <c r="Y584" i="2"/>
  <c r="AB584" i="2" s="1"/>
  <c r="Y1104" i="2"/>
  <c r="AB1104" i="2" s="1"/>
  <c r="Y233" i="2"/>
  <c r="AB233" i="2" s="1"/>
  <c r="Y57" i="2"/>
  <c r="AB57" i="2" s="1"/>
  <c r="Y937" i="2"/>
  <c r="AB937" i="2" s="1"/>
  <c r="Y1279" i="2"/>
  <c r="AB1279" i="2" s="1"/>
  <c r="Y104" i="2"/>
  <c r="AB104" i="2" s="1"/>
  <c r="Y188" i="2"/>
  <c r="AB188" i="2" s="1"/>
  <c r="Y66" i="2"/>
  <c r="AB66" i="2" s="1"/>
  <c r="Y72" i="2"/>
  <c r="AB72" i="2" s="1"/>
  <c r="Y133" i="2"/>
  <c r="AB133" i="2" s="1"/>
  <c r="Y123" i="2"/>
  <c r="AB123" i="2" s="1"/>
  <c r="Y302" i="2"/>
  <c r="AB302" i="2" s="1"/>
  <c r="Y667" i="2"/>
  <c r="AB667" i="2" s="1"/>
  <c r="Y261" i="2"/>
  <c r="AB261" i="2" s="1"/>
  <c r="Y210" i="2"/>
  <c r="AB210" i="2" s="1"/>
  <c r="Y615" i="2"/>
  <c r="AB615" i="2" s="1"/>
  <c r="Y530" i="2"/>
  <c r="AB530" i="2" s="1"/>
  <c r="Y454" i="2"/>
  <c r="AB454" i="2" s="1"/>
  <c r="Y418" i="2"/>
  <c r="AB418" i="2" s="1"/>
  <c r="Y201" i="2"/>
  <c r="AB201" i="2" s="1"/>
  <c r="Y172" i="2"/>
  <c r="AB172" i="2" s="1"/>
  <c r="Y992" i="2"/>
  <c r="AB992" i="2" s="1"/>
  <c r="Y126" i="2"/>
  <c r="AB126" i="2" s="1"/>
  <c r="Y889" i="2"/>
  <c r="AB889" i="2" s="1"/>
  <c r="Y957" i="2"/>
  <c r="AB957" i="2" s="1"/>
  <c r="Y1024" i="2"/>
  <c r="AB1024" i="2" s="1"/>
  <c r="Y643" i="2"/>
  <c r="AB643" i="2" s="1"/>
  <c r="Y1144" i="2"/>
  <c r="AB1144" i="2" s="1"/>
  <c r="Y948" i="2"/>
  <c r="AB948" i="2" s="1"/>
  <c r="Y714" i="2"/>
  <c r="AB714" i="2" s="1"/>
  <c r="Y1160" i="2"/>
  <c r="AB1160" i="2" s="1"/>
  <c r="Y875" i="2"/>
  <c r="AB875" i="2" s="1"/>
  <c r="Y774" i="2"/>
  <c r="AB774" i="2" s="1"/>
  <c r="Y547" i="2"/>
  <c r="AB547" i="2" s="1"/>
  <c r="Y11" i="2"/>
  <c r="AB11" i="2" s="1"/>
  <c r="Y59" i="2"/>
  <c r="AB59" i="2" s="1"/>
  <c r="Y1070" i="2"/>
  <c r="AB1070" i="2" s="1"/>
  <c r="Y606" i="2"/>
  <c r="AB606" i="2" s="1"/>
  <c r="Y425" i="2"/>
  <c r="AB425" i="2" s="1"/>
  <c r="Y361" i="2"/>
  <c r="AB361" i="2" s="1"/>
  <c r="Y544" i="2"/>
  <c r="AB544" i="2" s="1"/>
  <c r="Y526" i="2"/>
  <c r="AB526" i="2" s="1"/>
  <c r="Y490" i="2"/>
  <c r="AB490" i="2" s="1"/>
  <c r="Y905" i="2"/>
  <c r="AB905" i="2" s="1"/>
  <c r="Y461" i="2"/>
  <c r="AB461" i="2" s="1"/>
  <c r="Y85" i="2"/>
  <c r="AB85" i="2" s="1"/>
  <c r="Y344" i="2"/>
  <c r="AB344" i="2" s="1"/>
  <c r="Y13" i="2"/>
  <c r="AB13" i="2" s="1"/>
  <c r="Y223" i="2"/>
  <c r="AB223" i="2" s="1"/>
  <c r="Y734" i="2"/>
  <c r="AB734" i="2" s="1"/>
  <c r="Y244" i="2"/>
  <c r="AB244" i="2" s="1"/>
  <c r="Y512" i="2"/>
  <c r="AB512" i="2" s="1"/>
  <c r="Y637" i="2"/>
  <c r="AB637" i="2" s="1"/>
  <c r="Y313" i="2"/>
  <c r="AB313" i="2" s="1"/>
  <c r="Y167" i="2"/>
  <c r="AB167" i="2" s="1"/>
  <c r="Y372" i="2"/>
  <c r="AB372" i="2" s="1"/>
  <c r="Y645" i="2"/>
  <c r="AB645" i="2" s="1"/>
  <c r="Y307" i="2"/>
  <c r="AB307" i="2" s="1"/>
  <c r="Y186" i="2"/>
  <c r="AB186" i="2" s="1"/>
  <c r="Y1166" i="2"/>
  <c r="AB1166" i="2" s="1"/>
  <c r="Y981" i="2"/>
  <c r="AB981" i="2" s="1"/>
  <c r="Y884" i="2"/>
  <c r="AB884" i="2" s="1"/>
  <c r="Y616" i="2"/>
  <c r="AB616" i="2" s="1"/>
  <c r="Y623" i="2"/>
  <c r="AB623" i="2" s="1"/>
  <c r="Y771" i="2"/>
  <c r="AB771" i="2" s="1"/>
  <c r="Y390" i="2"/>
  <c r="AB390" i="2" s="1"/>
  <c r="Y1093" i="2"/>
  <c r="AB1093" i="2" s="1"/>
  <c r="Y1035" i="2"/>
  <c r="AB1035" i="2" s="1"/>
  <c r="Y1030" i="2"/>
  <c r="AB1030" i="2" s="1"/>
  <c r="Y576" i="2"/>
  <c r="AB576" i="2" s="1"/>
  <c r="Y30" i="2"/>
  <c r="AB30" i="2" s="1"/>
  <c r="Y176" i="2"/>
  <c r="AB176" i="2" s="1"/>
  <c r="Y90" i="2"/>
  <c r="AB90" i="2" s="1"/>
  <c r="Y835" i="2"/>
  <c r="AB835" i="2" s="1"/>
  <c r="Y1285" i="2"/>
  <c r="AB1285" i="2" s="1"/>
  <c r="Y1174" i="2"/>
  <c r="AB1174" i="2" s="1"/>
  <c r="Y885" i="2"/>
  <c r="AB885" i="2" s="1"/>
  <c r="Y925" i="2"/>
  <c r="AB925" i="2" s="1"/>
  <c r="Y438" i="2"/>
  <c r="AB438" i="2" s="1"/>
  <c r="Y909" i="2"/>
  <c r="AB909" i="2" s="1"/>
  <c r="Y1263" i="2"/>
  <c r="AB1263" i="2" s="1"/>
  <c r="Y1086" i="2"/>
  <c r="AB1086" i="2" s="1"/>
  <c r="Y911" i="2"/>
  <c r="AB911" i="2" s="1"/>
  <c r="Y834" i="2"/>
  <c r="AB834" i="2" s="1"/>
  <c r="Y1078" i="2"/>
  <c r="AB1078" i="2" s="1"/>
  <c r="Y994" i="2"/>
  <c r="AB994" i="2" s="1"/>
  <c r="Y49" i="2"/>
  <c r="AB49" i="2" s="1"/>
  <c r="Y1141" i="2"/>
  <c r="AB1141" i="2" s="1"/>
  <c r="Y136" i="2"/>
  <c r="AB136" i="2" s="1"/>
  <c r="Y140" i="2"/>
  <c r="AB140" i="2" s="1"/>
  <c r="Y117" i="2"/>
  <c r="AB117" i="2" s="1"/>
  <c r="Y543" i="2"/>
  <c r="AB543" i="2" s="1"/>
  <c r="Y813" i="2"/>
  <c r="AB813" i="2" s="1"/>
  <c r="Y597" i="2"/>
  <c r="AB597" i="2" s="1"/>
  <c r="Y192" i="2"/>
  <c r="AB192" i="2" s="1"/>
  <c r="Y556" i="2"/>
  <c r="AB556" i="2" s="1"/>
  <c r="Y495" i="2"/>
  <c r="AB495" i="2" s="1"/>
  <c r="Y349" i="2"/>
  <c r="AB349" i="2" s="1"/>
  <c r="Y844" i="2"/>
  <c r="AB844" i="2" s="1"/>
  <c r="Y1153" i="2"/>
  <c r="AB1153" i="2" s="1"/>
  <c r="Y396" i="2"/>
  <c r="AB396" i="2" s="1"/>
  <c r="Y340" i="2"/>
  <c r="AB340" i="2" s="1"/>
  <c r="Y728" i="2"/>
  <c r="AB728" i="2" s="1"/>
  <c r="Y1138" i="2"/>
  <c r="AB1138" i="2" s="1"/>
  <c r="Y1109" i="2"/>
  <c r="AB1109" i="2" s="1"/>
  <c r="Y462" i="2"/>
  <c r="AB462" i="2" s="1"/>
  <c r="Y426" i="2"/>
  <c r="AB426" i="2" s="1"/>
  <c r="Y332" i="2"/>
  <c r="AB332" i="2" s="1"/>
  <c r="Y138" i="2"/>
  <c r="AB138" i="2" s="1"/>
  <c r="Y448" i="2"/>
  <c r="AB448" i="2" s="1"/>
  <c r="Y486" i="2"/>
  <c r="AB486" i="2" s="1"/>
  <c r="Y420" i="2"/>
  <c r="AB420" i="2" s="1"/>
  <c r="Y1102" i="2"/>
  <c r="AB1102" i="2" s="1"/>
  <c r="Y954" i="2"/>
  <c r="AB954" i="2" s="1"/>
  <c r="Y524" i="2"/>
  <c r="AB524" i="2" s="1"/>
  <c r="Y1173" i="2"/>
  <c r="AB1173" i="2" s="1"/>
  <c r="Y110" i="2"/>
  <c r="AB110" i="2" s="1"/>
  <c r="Y492" i="2"/>
  <c r="AB492" i="2" s="1"/>
  <c r="Y1276" i="2"/>
  <c r="AB1276" i="2" s="1"/>
  <c r="Y248" i="2"/>
  <c r="AB248" i="2" s="1"/>
  <c r="Y58" i="2"/>
  <c r="AB58" i="2" s="1"/>
  <c r="Y654" i="2"/>
  <c r="AB654" i="2" s="1"/>
  <c r="Y329" i="2"/>
  <c r="AB329" i="2" s="1"/>
  <c r="Y1060" i="2"/>
  <c r="AB1060" i="2" s="1"/>
  <c r="Y831" i="2"/>
  <c r="AB831" i="2" s="1"/>
  <c r="Y528" i="2"/>
  <c r="AB528" i="2" s="1"/>
  <c r="Y481" i="2"/>
  <c r="AB481" i="2" s="1"/>
  <c r="Y1254" i="2"/>
  <c r="AB1254" i="2" s="1"/>
  <c r="Y710" i="2"/>
  <c r="AB710" i="2" s="1"/>
  <c r="Y36" i="2"/>
  <c r="AB36" i="2" s="1"/>
  <c r="Y99" i="2"/>
  <c r="AB99" i="2" s="1"/>
  <c r="Y83" i="2"/>
  <c r="AB83" i="2" s="1"/>
  <c r="Y694" i="2"/>
  <c r="AB694" i="2" s="1"/>
  <c r="Y817" i="2"/>
  <c r="AB817" i="2" s="1"/>
  <c r="Y373" i="2"/>
  <c r="AB373" i="2" s="1"/>
  <c r="Y142" i="2"/>
  <c r="AB142" i="2" s="1"/>
  <c r="Y353" i="2"/>
  <c r="AB353" i="2" s="1"/>
  <c r="Y112" i="2"/>
  <c r="AB112" i="2" s="1"/>
  <c r="Y466" i="2"/>
  <c r="AB466" i="2" s="1"/>
  <c r="Y430" i="2"/>
  <c r="AB430" i="2" s="1"/>
  <c r="Y541" i="2"/>
  <c r="AB541" i="2" s="1"/>
  <c r="Y1148" i="2"/>
  <c r="AB1148" i="2" s="1"/>
  <c r="Y1080" i="2"/>
  <c r="AB1080" i="2" s="1"/>
  <c r="Y919" i="2"/>
  <c r="AB919" i="2" s="1"/>
  <c r="Y589" i="2"/>
  <c r="AB589" i="2" s="1"/>
  <c r="Y235" i="2"/>
  <c r="AB235" i="2" s="1"/>
  <c r="Y477" i="2"/>
  <c r="AB477" i="2" s="1"/>
  <c r="Y518" i="2"/>
  <c r="AB518" i="2" s="1"/>
  <c r="Y689" i="2"/>
  <c r="AB689" i="2" s="1"/>
  <c r="Y346" i="2"/>
  <c r="AB346" i="2" s="1"/>
  <c r="Y70" i="2"/>
  <c r="AB70" i="2" s="1"/>
  <c r="Y21" i="2"/>
  <c r="AB21" i="2" s="1"/>
  <c r="Y219" i="2"/>
  <c r="AB219" i="2" s="1"/>
  <c r="Y900" i="2"/>
  <c r="AB900" i="2" s="1"/>
  <c r="Y874" i="2"/>
  <c r="AB874" i="2" s="1"/>
  <c r="Y928" i="2"/>
  <c r="AB928" i="2" s="1"/>
  <c r="Y228" i="2"/>
  <c r="AB228" i="2" s="1"/>
  <c r="Y737" i="2"/>
  <c r="AB737" i="2" s="1"/>
  <c r="Y690" i="2"/>
  <c r="AB690" i="2" s="1"/>
  <c r="Y517" i="2"/>
  <c r="AB517" i="2" s="1"/>
  <c r="Y558" i="2"/>
  <c r="AB558" i="2" s="1"/>
  <c r="Y224" i="2"/>
  <c r="AB224" i="2" s="1"/>
  <c r="Y234" i="2"/>
  <c r="AB234" i="2" s="1"/>
  <c r="Y73" i="2"/>
  <c r="AB73" i="2" s="1"/>
  <c r="Y53" i="2"/>
  <c r="AB53" i="2" s="1"/>
  <c r="Y48" i="2"/>
  <c r="AB48" i="2" s="1"/>
  <c r="Y894" i="2"/>
  <c r="AB894" i="2" s="1"/>
  <c r="Y773" i="2"/>
  <c r="AB773" i="2" s="1"/>
  <c r="Y602" i="2"/>
  <c r="AB602" i="2" s="1"/>
  <c r="Y961" i="2"/>
  <c r="AB961" i="2" s="1"/>
  <c r="Y628" i="2"/>
  <c r="AB628" i="2" s="1"/>
  <c r="Y599" i="2"/>
  <c r="AB599" i="2" s="1"/>
  <c r="Y280" i="2"/>
  <c r="AB280" i="2" s="1"/>
  <c r="Y247" i="2"/>
  <c r="AB247" i="2" s="1"/>
  <c r="Y69" i="2"/>
  <c r="AB69" i="2" s="1"/>
  <c r="Y44" i="2"/>
  <c r="AB44" i="2" s="1"/>
  <c r="Y94" i="2"/>
  <c r="AB94" i="2" s="1"/>
  <c r="Y78" i="2"/>
  <c r="AB78" i="2" s="1"/>
  <c r="Y1010" i="2"/>
  <c r="AB1010" i="2" s="1"/>
  <c r="Y1008" i="2"/>
  <c r="AB1008" i="2" s="1"/>
  <c r="Y1170" i="2"/>
  <c r="AB1170" i="2" s="1"/>
  <c r="Y175" i="2"/>
  <c r="AB175" i="2" s="1"/>
  <c r="Y389" i="2"/>
  <c r="AB389" i="2" s="1"/>
  <c r="Y291" i="2"/>
  <c r="AB291" i="2" s="1"/>
  <c r="Y182" i="2"/>
  <c r="AB182" i="2" s="1"/>
  <c r="Y287" i="2"/>
  <c r="AB287" i="2" s="1"/>
  <c r="Y732" i="2"/>
  <c r="AB732" i="2" s="1"/>
  <c r="Y1011" i="2"/>
  <c r="AB1011" i="2" s="1"/>
  <c r="Y1182" i="2"/>
  <c r="AB1182" i="2" s="1"/>
  <c r="Y226" i="2"/>
  <c r="AB226" i="2" s="1"/>
  <c r="Y520" i="2"/>
  <c r="AB520" i="2" s="1"/>
  <c r="Y484" i="2"/>
  <c r="AB484" i="2" s="1"/>
  <c r="Y910" i="2"/>
  <c r="AB910" i="2" s="1"/>
  <c r="Y611" i="2"/>
  <c r="AB611" i="2" s="1"/>
  <c r="Y12" i="2"/>
  <c r="AB12" i="2" s="1"/>
  <c r="Y145" i="2"/>
  <c r="AB145" i="2" s="1"/>
  <c r="Y403" i="2"/>
  <c r="AB403" i="2" s="1"/>
  <c r="Y18" i="2"/>
  <c r="AB18" i="2" s="1"/>
  <c r="Y870" i="2"/>
  <c r="AB870" i="2" s="1"/>
  <c r="Y278" i="2"/>
  <c r="AB278" i="2" s="1"/>
  <c r="Y371" i="2"/>
  <c r="AB371" i="2" s="1"/>
  <c r="Y692" i="2"/>
  <c r="AB692" i="2" s="1"/>
  <c r="Y780" i="2"/>
  <c r="AB780" i="2" s="1"/>
  <c r="Y108" i="2"/>
  <c r="AB108" i="2" s="1"/>
  <c r="Y455" i="2"/>
  <c r="AB455" i="2" s="1"/>
  <c r="Y419" i="2"/>
  <c r="AB419" i="2" s="1"/>
  <c r="Y1257" i="2"/>
  <c r="AB1257" i="2" s="1"/>
  <c r="Y971" i="2"/>
  <c r="AB971" i="2" s="1"/>
  <c r="Y988" i="2"/>
  <c r="AB988" i="2" s="1"/>
  <c r="Y365" i="2"/>
  <c r="AB365" i="2" s="1"/>
  <c r="Y155" i="2"/>
  <c r="AB155" i="2" s="1"/>
  <c r="Y205" i="2"/>
  <c r="AB205" i="2" s="1"/>
  <c r="Y158" i="2"/>
  <c r="AB158" i="2" s="1"/>
  <c r="Y1081" i="2"/>
  <c r="AB1081" i="2" s="1"/>
  <c r="Y65" i="2"/>
  <c r="AB65" i="2" s="1"/>
  <c r="Y713" i="2"/>
  <c r="AB713" i="2" s="1"/>
  <c r="Y1027" i="2"/>
  <c r="AB1027" i="2" s="1"/>
  <c r="Y646" i="2"/>
  <c r="AB646" i="2" s="1"/>
  <c r="Y860" i="2"/>
  <c r="AB860" i="2" s="1"/>
  <c r="Y682" i="2"/>
  <c r="AB682" i="2" s="1"/>
  <c r="Y601" i="2"/>
  <c r="AB601" i="2" s="1"/>
  <c r="Y810" i="2"/>
  <c r="AB810" i="2" s="1"/>
  <c r="Y446" i="2"/>
  <c r="AB446" i="2" s="1"/>
  <c r="Y196" i="2"/>
  <c r="AB196" i="2" s="1"/>
  <c r="Y1117" i="2"/>
  <c r="AB1117" i="2" s="1"/>
  <c r="Y257" i="2"/>
  <c r="AB257" i="2" s="1"/>
  <c r="Y707" i="2"/>
  <c r="AB707" i="2" s="1"/>
  <c r="Y1122" i="2"/>
  <c r="AB1122" i="2" s="1"/>
  <c r="Y840" i="2"/>
  <c r="AB840" i="2" s="1"/>
  <c r="Y356" i="2"/>
  <c r="AB356" i="2" s="1"/>
  <c r="Y331" i="2"/>
  <c r="AB331" i="2" s="1"/>
  <c r="Y460" i="2"/>
  <c r="AB460" i="2" s="1"/>
  <c r="Y300" i="2"/>
  <c r="AB300" i="2" s="1"/>
  <c r="Y366" i="2"/>
  <c r="AB366" i="2" s="1"/>
  <c r="Y197" i="2"/>
  <c r="AB197" i="2" s="1"/>
  <c r="Y1049" i="2"/>
  <c r="AB1049" i="2" s="1"/>
  <c r="Y958" i="2"/>
  <c r="AB958" i="2" s="1"/>
  <c r="Y824" i="2"/>
  <c r="AB824" i="2" s="1"/>
  <c r="Y924" i="2"/>
  <c r="AB924" i="2" s="1"/>
  <c r="Y659" i="2"/>
  <c r="AB659" i="2" s="1"/>
  <c r="Y1120" i="2"/>
  <c r="AB1120" i="2" s="1"/>
  <c r="Y895" i="2"/>
  <c r="AB895" i="2" s="1"/>
  <c r="Y1101" i="2"/>
  <c r="AB1101" i="2" s="1"/>
  <c r="Y217" i="2"/>
  <c r="AB217" i="2" s="1"/>
  <c r="Y22" i="2"/>
  <c r="AB22" i="2" s="1"/>
  <c r="Y25" i="2"/>
  <c r="AB25" i="2" s="1"/>
  <c r="Y828" i="2"/>
  <c r="AB828" i="2" s="1"/>
  <c r="Y17" i="2"/>
  <c r="AB17" i="2" s="1"/>
  <c r="Y731" i="2"/>
  <c r="AB731" i="2" s="1"/>
  <c r="Y953" i="2"/>
  <c r="AB953" i="2" s="1"/>
  <c r="Y214" i="2"/>
  <c r="AB214" i="2" s="1"/>
  <c r="Y657" i="2"/>
  <c r="AB657" i="2" s="1"/>
  <c r="Y1132" i="2"/>
  <c r="AB1132" i="2" s="1"/>
  <c r="Y154" i="2"/>
  <c r="AB154" i="2" s="1"/>
  <c r="Y974" i="2"/>
  <c r="AB974" i="2" s="1"/>
  <c r="Y1206" i="2"/>
  <c r="AB1206" i="2" s="1"/>
  <c r="Y236" i="2"/>
  <c r="AB236" i="2" s="1"/>
  <c r="Y927" i="2"/>
  <c r="AB927" i="2" s="1"/>
  <c r="Y672" i="2"/>
  <c r="AB672" i="2" s="1"/>
  <c r="Y660" i="2"/>
  <c r="AB660" i="2" s="1"/>
  <c r="Y355" i="2"/>
  <c r="AB355" i="2" s="1"/>
  <c r="Y562" i="2"/>
  <c r="AB562" i="2" s="1"/>
  <c r="Y880" i="2"/>
  <c r="AB880" i="2" s="1"/>
  <c r="Y699" i="2"/>
  <c r="AB699" i="2" s="1"/>
  <c r="Y1087" i="2"/>
  <c r="AB1087" i="2" s="1"/>
  <c r="Y917" i="2"/>
  <c r="AB917" i="2" s="1"/>
  <c r="Y676" i="2"/>
  <c r="AB676" i="2" s="1"/>
  <c r="Y1025" i="2"/>
  <c r="AB1025" i="2" s="1"/>
  <c r="Y802" i="2"/>
  <c r="AB802" i="2" s="1"/>
  <c r="Y641" i="2"/>
  <c r="AB641" i="2" s="1"/>
  <c r="Y137" i="2"/>
  <c r="AB137" i="2" s="1"/>
  <c r="Y351" i="2"/>
  <c r="AB351" i="2" s="1"/>
  <c r="Y222" i="2"/>
  <c r="AB222" i="2" s="1"/>
  <c r="Y103" i="2"/>
  <c r="AB103" i="2" s="1"/>
  <c r="Y881" i="2"/>
  <c r="AB881" i="2" s="1"/>
  <c r="Y1071" i="2"/>
  <c r="AB1071" i="2" s="1"/>
  <c r="Y531" i="2"/>
  <c r="AB531" i="2" s="1"/>
  <c r="Y916" i="2"/>
  <c r="AB916" i="2" s="1"/>
  <c r="Y410" i="2"/>
  <c r="AB410" i="2" s="1"/>
  <c r="Y150" i="2"/>
  <c r="AB150" i="2" s="1"/>
  <c r="Y871" i="2"/>
  <c r="AB871" i="2" s="1"/>
  <c r="Y1149" i="2"/>
  <c r="AB1149" i="2" s="1"/>
  <c r="Y743" i="2"/>
  <c r="AB743" i="2" s="1"/>
  <c r="Y799" i="2"/>
  <c r="AB799" i="2" s="1"/>
  <c r="Y703" i="2"/>
  <c r="AB703" i="2" s="1"/>
  <c r="Y116" i="2"/>
  <c r="AB116" i="2" s="1"/>
  <c r="Y465" i="2"/>
  <c r="AB465" i="2" s="1"/>
  <c r="Y429" i="2"/>
  <c r="AB429" i="2" s="1"/>
  <c r="Y148" i="2"/>
  <c r="AB148" i="2" s="1"/>
  <c r="Y368" i="2"/>
  <c r="AB368" i="2" s="1"/>
  <c r="Y157" i="2"/>
  <c r="AB157" i="2" s="1"/>
  <c r="Y42" i="2"/>
  <c r="AB42" i="2" s="1"/>
  <c r="Y335" i="2"/>
  <c r="AB335" i="2" s="1"/>
  <c r="Y552" i="2"/>
  <c r="AB552" i="2" s="1"/>
  <c r="Y41" i="2"/>
  <c r="AB41" i="2" s="1"/>
  <c r="Y1038" i="2"/>
  <c r="AB1038" i="2" s="1"/>
  <c r="Y827" i="2"/>
  <c r="AB827" i="2" s="1"/>
  <c r="Y295" i="2"/>
  <c r="AB295" i="2" s="1"/>
  <c r="Y277" i="2"/>
  <c r="AB277" i="2" s="1"/>
  <c r="Y778" i="2"/>
  <c r="AB778" i="2" s="1"/>
  <c r="Y1023" i="2"/>
  <c r="AB1023" i="2" s="1"/>
  <c r="Y314" i="2"/>
  <c r="AB314" i="2" s="1"/>
  <c r="Y1151" i="2"/>
  <c r="AB1151" i="2" s="1"/>
  <c r="Y600" i="2"/>
  <c r="AB600" i="2" s="1"/>
  <c r="Y991" i="2"/>
  <c r="AB991" i="2" s="1"/>
  <c r="Y906" i="2"/>
  <c r="AB906" i="2" s="1"/>
  <c r="Y522" i="2"/>
  <c r="AB522" i="2" s="1"/>
  <c r="Y1154" i="2"/>
  <c r="AB1154" i="2" s="1"/>
  <c r="Y241" i="2"/>
  <c r="AB241" i="2" s="1"/>
  <c r="Y449" i="2"/>
  <c r="AB449" i="2" s="1"/>
  <c r="Y273" i="2"/>
  <c r="AB273" i="2" s="1"/>
  <c r="Y578" i="2"/>
  <c r="AB578" i="2" s="1"/>
  <c r="Y95" i="2"/>
  <c r="AB95" i="2" s="1"/>
  <c r="Y607" i="2"/>
  <c r="AB607" i="2" s="1"/>
  <c r="Y343" i="2"/>
  <c r="AB343" i="2" s="1"/>
  <c r="Y113" i="2"/>
  <c r="AB113" i="2" s="1"/>
  <c r="Y96" i="2"/>
  <c r="AB96" i="2" s="1"/>
  <c r="Y347" i="2"/>
  <c r="AB347" i="2" s="1"/>
  <c r="Y1201" i="2"/>
  <c r="AB1201" i="2" s="1"/>
  <c r="Y640" i="2"/>
  <c r="AB640" i="2" s="1"/>
  <c r="Y515" i="2"/>
  <c r="AB515" i="2" s="1"/>
  <c r="Y1273" i="2"/>
  <c r="AB1273" i="2" s="1"/>
  <c r="Y256" i="2"/>
  <c r="AB256" i="2" s="1"/>
  <c r="Y246" i="2"/>
  <c r="AB246" i="2" s="1"/>
  <c r="Y47" i="2"/>
  <c r="AB47" i="2" s="1"/>
  <c r="Y820" i="2"/>
  <c r="AB820" i="2" s="1"/>
  <c r="Y1145" i="2"/>
  <c r="AB1145" i="2" s="1"/>
  <c r="Y554" i="2"/>
  <c r="AB554" i="2" s="1"/>
  <c r="Y63" i="2"/>
  <c r="AB63" i="2" s="1"/>
  <c r="Y337" i="2"/>
  <c r="AB337" i="2" s="1"/>
  <c r="Y1074" i="2"/>
  <c r="AB1074" i="2" s="1"/>
  <c r="Y931" i="2"/>
  <c r="AB931" i="2" s="1"/>
  <c r="Y242" i="2"/>
  <c r="AB242" i="2" s="1"/>
  <c r="Y514" i="2"/>
  <c r="AB514" i="2" s="1"/>
  <c r="Y478" i="2"/>
  <c r="AB478" i="2" s="1"/>
  <c r="Y768" i="2"/>
  <c r="AB768" i="2" s="1"/>
  <c r="Y1180" i="2"/>
  <c r="AB1180" i="2" s="1"/>
  <c r="Y285" i="2"/>
  <c r="AB285" i="2" s="1"/>
  <c r="Y434" i="2"/>
  <c r="AB434" i="2" s="1"/>
  <c r="Y857" i="2"/>
  <c r="AB857" i="2" s="1"/>
  <c r="Y317" i="2"/>
  <c r="AB317" i="2" s="1"/>
  <c r="Y190" i="2"/>
  <c r="AB190" i="2" s="1"/>
  <c r="Y165" i="2"/>
  <c r="AB165" i="2" s="1"/>
  <c r="Y1251" i="2"/>
  <c r="AB1251" i="2" s="1"/>
  <c r="Y868" i="2"/>
  <c r="AB868" i="2" s="1"/>
  <c r="Y753" i="2"/>
  <c r="AB753" i="2" s="1"/>
  <c r="Y540" i="2"/>
  <c r="AB540" i="2" s="1"/>
  <c r="Y79" i="2"/>
  <c r="AB79" i="2" s="1"/>
  <c r="Y45" i="2"/>
  <c r="AB45" i="2" s="1"/>
  <c r="Y873" i="2"/>
  <c r="AB873" i="2" s="1"/>
  <c r="Y757" i="2"/>
  <c r="AB757" i="2" s="1"/>
  <c r="Y525" i="2"/>
  <c r="AB525" i="2" s="1"/>
  <c r="Y489" i="2"/>
  <c r="AB489" i="2" s="1"/>
  <c r="Y52" i="2"/>
  <c r="AB52" i="2" s="1"/>
  <c r="Y345" i="2"/>
  <c r="AB345" i="2" s="1"/>
  <c r="Y327" i="2"/>
  <c r="AB327" i="2" s="1"/>
  <c r="Y162" i="2"/>
  <c r="AB162" i="2" s="1"/>
  <c r="Y614" i="2"/>
  <c r="AB614" i="2" s="1"/>
  <c r="Y883" i="2"/>
  <c r="AB883" i="2" s="1"/>
  <c r="Y832" i="2"/>
  <c r="AB832" i="2" s="1"/>
  <c r="Y86" i="2"/>
  <c r="AB86" i="2" s="1"/>
  <c r="Y808" i="2"/>
  <c r="AB808" i="2" s="1"/>
  <c r="Y648" i="2"/>
  <c r="AB648" i="2" s="1"/>
  <c r="Y716" i="2"/>
  <c r="AB716" i="2" s="1"/>
  <c r="Y998" i="2"/>
  <c r="AB998" i="2" s="1"/>
  <c r="Y1066" i="2"/>
  <c r="AB1066" i="2" s="1"/>
  <c r="Y671" i="2"/>
  <c r="AB671" i="2" s="1"/>
  <c r="Y864" i="2"/>
  <c r="AB864" i="2" s="1"/>
  <c r="Y387" i="2"/>
  <c r="AB387" i="2" s="1"/>
  <c r="Y696" i="2"/>
  <c r="AB696" i="2" s="1"/>
  <c r="Y758" i="2"/>
  <c r="AB758" i="2" s="1"/>
  <c r="Y459" i="2"/>
  <c r="AB459" i="2" s="1"/>
  <c r="Y423" i="2"/>
  <c r="AB423" i="2" s="1"/>
  <c r="Y341" i="2"/>
  <c r="AB341" i="2" s="1"/>
  <c r="Y303" i="2"/>
  <c r="AB303" i="2" s="1"/>
  <c r="Y1159" i="2"/>
  <c r="AB1159" i="2" s="1"/>
  <c r="Y68" i="2"/>
  <c r="AB68" i="2" s="1"/>
  <c r="Y1005" i="2"/>
  <c r="AB1005" i="2" s="1"/>
  <c r="Y706" i="2"/>
  <c r="AB706" i="2" s="1"/>
  <c r="Y376" i="2"/>
  <c r="AB376" i="2" s="1"/>
  <c r="Y1115" i="2"/>
  <c r="AB1115" i="2" s="1"/>
  <c r="Y723" i="2"/>
  <c r="AB723" i="2" s="1"/>
  <c r="Y636" i="2"/>
  <c r="AB636" i="2" s="1"/>
  <c r="Y494" i="2"/>
  <c r="AB494" i="2" s="1"/>
  <c r="Y272" i="2"/>
  <c r="AB272" i="2" s="1"/>
  <c r="Y935" i="2"/>
  <c r="AB935" i="2" s="1"/>
  <c r="Y571" i="2"/>
  <c r="AB571" i="2" s="1"/>
  <c r="Y632" i="2"/>
  <c r="AB632" i="2" s="1"/>
  <c r="Y253" i="2"/>
  <c r="AB253" i="2" s="1"/>
  <c r="Y712" i="2"/>
  <c r="AB712" i="2" s="1"/>
  <c r="Y1131" i="2"/>
  <c r="AB1131" i="2" s="1"/>
  <c r="Y1098" i="2"/>
  <c r="AB1098" i="2" s="1"/>
  <c r="Y867" i="2"/>
  <c r="AB867" i="2" s="1"/>
  <c r="Y216" i="2"/>
  <c r="AB216" i="2" s="1"/>
  <c r="Y929" i="2"/>
  <c r="AB929" i="2" s="1"/>
  <c r="Y902" i="2"/>
  <c r="AB902" i="2" s="1"/>
  <c r="Y635" i="2"/>
  <c r="AB635" i="2" s="1"/>
  <c r="Y470" i="2"/>
  <c r="AB470" i="2" s="1"/>
  <c r="Y1107" i="2"/>
  <c r="AB1107" i="2" s="1"/>
  <c r="Y1095" i="2"/>
  <c r="AB1095" i="2" s="1"/>
  <c r="Y823" i="2"/>
  <c r="AB823" i="2" s="1"/>
  <c r="Y593" i="2"/>
  <c r="AB593" i="2" s="1"/>
  <c r="Y594" i="2"/>
  <c r="AB594" i="2" s="1"/>
  <c r="Y781" i="2"/>
  <c r="AB781" i="2" s="1"/>
  <c r="Y474" i="2"/>
  <c r="AB474" i="2" s="1"/>
  <c r="Y1139" i="2"/>
  <c r="AB1139" i="2" s="1"/>
  <c r="Y444" i="2"/>
  <c r="AB444" i="2" s="1"/>
  <c r="Y405" i="2"/>
  <c r="AB405" i="2" s="1"/>
  <c r="Y821" i="2"/>
  <c r="AB821" i="2" s="1"/>
  <c r="Y624" i="2"/>
  <c r="AB624" i="2" s="1"/>
  <c r="Y1032" i="2"/>
  <c r="AB1032" i="2" s="1"/>
  <c r="Y668" i="2"/>
  <c r="AB668" i="2" s="1"/>
  <c r="Y122" i="2"/>
  <c r="AB122" i="2" s="1"/>
  <c r="Y865" i="2"/>
  <c r="AB865" i="2" s="1"/>
  <c r="Y1013" i="2"/>
  <c r="AB1013" i="2" s="1"/>
  <c r="Y288" i="2"/>
  <c r="AB288" i="2" s="1"/>
  <c r="Y357" i="2"/>
  <c r="AB357" i="2" s="1"/>
  <c r="Y506" i="2"/>
  <c r="AB506" i="2" s="1"/>
  <c r="Y1177" i="2"/>
  <c r="AB1177" i="2" s="1"/>
  <c r="Y243" i="2"/>
  <c r="AB243" i="2" s="1"/>
  <c r="Y814" i="2"/>
  <c r="AB814" i="2" s="1"/>
  <c r="Y377" i="2"/>
  <c r="AB377" i="2" s="1"/>
  <c r="Y1161" i="2"/>
  <c r="AB1161" i="2" s="1"/>
  <c r="Y1187" i="2"/>
  <c r="AB1187" i="2" s="1"/>
  <c r="Y669" i="2"/>
  <c r="AB669" i="2" s="1"/>
  <c r="Y984" i="2"/>
  <c r="AB984" i="2" s="1"/>
  <c r="Y252" i="2"/>
  <c r="AB252" i="2" s="1"/>
  <c r="Y328" i="2"/>
  <c r="AB328" i="2" s="1"/>
  <c r="Y1221" i="2"/>
  <c r="AB1221" i="2" s="1"/>
  <c r="Y67" i="2"/>
  <c r="AB67" i="2" s="1"/>
  <c r="Y769" i="2"/>
  <c r="AB769" i="2" s="1"/>
  <c r="Y499" i="2"/>
  <c r="AB499" i="2" s="1"/>
  <c r="Y760" i="2"/>
  <c r="AB760" i="2" s="1"/>
  <c r="Y806" i="2"/>
  <c r="AB806" i="2" s="1"/>
  <c r="Y1092" i="2"/>
  <c r="AB1092" i="2" s="1"/>
  <c r="Y767" i="2"/>
  <c r="AB767" i="2" s="1"/>
  <c r="Y87" i="2"/>
  <c r="AB87" i="2" s="1"/>
  <c r="Y555" i="2"/>
  <c r="AB555" i="2" s="1"/>
  <c r="Y129" i="2"/>
  <c r="AB129" i="2" s="1"/>
  <c r="Y662" i="2"/>
  <c r="AB662" i="2" s="1"/>
  <c r="Y29" i="2"/>
  <c r="AB29" i="2" s="1"/>
  <c r="Y1029" i="2"/>
  <c r="AB1029" i="2" s="1"/>
  <c r="Y878" i="2"/>
  <c r="AB878" i="2" s="1"/>
  <c r="Y1258" i="2"/>
  <c r="AB1258" i="2" s="1"/>
  <c r="Y983" i="2"/>
  <c r="AB983" i="2" s="1"/>
  <c r="Y592" i="2"/>
  <c r="AB592" i="2" s="1"/>
  <c r="Y232" i="2"/>
  <c r="AB232" i="2" s="1"/>
  <c r="Y736" i="2"/>
  <c r="AB736" i="2" s="1"/>
  <c r="Y1181" i="2"/>
  <c r="AB1181" i="2" s="1"/>
  <c r="Y977" i="2"/>
  <c r="AB977" i="2" s="1"/>
  <c r="Y966" i="2"/>
  <c r="AB966" i="2" s="1"/>
  <c r="Y965" i="2"/>
  <c r="AB965" i="2" s="1"/>
  <c r="Y1047" i="2"/>
  <c r="AB1047" i="2" s="1"/>
  <c r="Y967" i="2"/>
  <c r="AB967" i="2" s="1"/>
  <c r="Y255" i="2"/>
  <c r="AB255" i="2" s="1"/>
  <c r="Y644" i="2"/>
  <c r="AB644" i="2" s="1"/>
  <c r="Y1272" i="2"/>
  <c r="AB1272" i="2" s="1"/>
  <c r="Y563" i="2"/>
  <c r="AB563" i="2" s="1"/>
  <c r="Y251" i="2"/>
  <c r="AB251" i="2" s="1"/>
  <c r="Y74" i="2"/>
  <c r="AB74" i="2" s="1"/>
  <c r="Y912" i="2"/>
  <c r="AB912" i="2" s="1"/>
  <c r="Y213" i="2"/>
  <c r="AB213" i="2" s="1"/>
  <c r="Y383" i="2"/>
  <c r="AB383" i="2" s="1"/>
  <c r="Y855" i="2"/>
  <c r="AB855" i="2" s="1"/>
  <c r="Y693" i="2"/>
  <c r="AB693" i="2" s="1"/>
  <c r="Y569" i="2"/>
  <c r="AB569" i="2" s="1"/>
  <c r="Y1249" i="2"/>
  <c r="AB1249" i="2" s="1"/>
  <c r="Y1069" i="2"/>
  <c r="AB1069" i="2" s="1"/>
  <c r="Y1052" i="2"/>
  <c r="AB1052" i="2" s="1"/>
  <c r="Y674" i="2"/>
  <c r="AB674" i="2" s="1"/>
  <c r="Y605" i="2"/>
  <c r="AB605" i="2" s="1"/>
  <c r="Y378" i="2"/>
  <c r="AB378" i="2" s="1"/>
  <c r="Y1140" i="2"/>
  <c r="AB1140" i="2" s="1"/>
  <c r="Y1033" i="2"/>
  <c r="AB1033" i="2" s="1"/>
  <c r="Y829" i="2"/>
  <c r="AB829" i="2" s="1"/>
  <c r="Y944" i="2"/>
  <c r="AB944" i="2" s="1"/>
  <c r="Y178" i="2"/>
  <c r="AB178" i="2" s="1"/>
  <c r="Y286" i="2"/>
  <c r="AB286" i="2" s="1"/>
  <c r="Y384" i="2"/>
  <c r="AB384" i="2" s="1"/>
  <c r="Y316" i="2"/>
  <c r="AB316" i="2" s="1"/>
  <c r="Y207" i="2"/>
  <c r="AB207" i="2" s="1"/>
  <c r="Y121" i="2"/>
  <c r="AB121" i="2" s="1"/>
  <c r="Y549" i="2"/>
  <c r="AB549" i="2" s="1"/>
  <c r="Y324" i="2"/>
  <c r="AB324" i="2" s="1"/>
  <c r="Y852" i="2"/>
  <c r="AB852" i="2" s="1"/>
  <c r="Y318" i="2"/>
  <c r="AB318" i="2" s="1"/>
  <c r="Y979" i="2"/>
  <c r="AB979" i="2" s="1"/>
  <c r="Y202" i="2"/>
  <c r="AB202" i="2" s="1"/>
  <c r="Y120" i="2"/>
  <c r="AB120" i="2" s="1"/>
  <c r="Y784" i="2"/>
  <c r="AB784" i="2" s="1"/>
  <c r="Y310" i="2"/>
  <c r="AB310" i="2" s="1"/>
  <c r="Y702" i="2"/>
  <c r="AB702" i="2" s="1"/>
  <c r="Y651" i="2"/>
  <c r="AB651" i="2" s="1"/>
  <c r="Y292" i="2"/>
  <c r="AB292" i="2" s="1"/>
  <c r="Y742" i="2"/>
  <c r="AB742" i="2" s="1"/>
  <c r="Y1076" i="2"/>
  <c r="AB1076" i="2" s="1"/>
  <c r="Y1041" i="2"/>
  <c r="AB1041" i="2" s="1"/>
  <c r="Y221" i="2"/>
  <c r="AB221" i="2" s="1"/>
  <c r="Y766" i="2"/>
  <c r="AB766" i="2" s="1"/>
  <c r="Y786" i="2"/>
  <c r="AB786" i="2" s="1"/>
  <c r="Y833" i="2"/>
  <c r="AB833" i="2" s="1"/>
  <c r="Y180" i="2"/>
  <c r="AB180" i="2" s="1"/>
  <c r="Y783" i="2"/>
  <c r="AB783" i="2" s="1"/>
  <c r="Y352" i="2"/>
  <c r="AB352" i="2" s="1"/>
  <c r="Y171" i="2"/>
  <c r="AB171" i="2" s="1"/>
  <c r="Y727" i="2"/>
  <c r="AB727" i="2" s="1"/>
  <c r="Y856" i="2"/>
  <c r="AB856" i="2" s="1"/>
  <c r="Y304" i="2"/>
  <c r="AB304" i="2" s="1"/>
  <c r="Y348" i="2"/>
  <c r="AB348" i="2" s="1"/>
  <c r="Y761" i="2"/>
  <c r="AB761" i="2" s="1"/>
  <c r="Y274" i="2"/>
  <c r="AB274" i="2" s="1"/>
  <c r="Y386" i="2"/>
  <c r="AB386" i="2" s="1"/>
  <c r="Y472" i="2"/>
  <c r="AB472" i="2" s="1"/>
  <c r="Y436" i="2"/>
  <c r="AB436" i="2" s="1"/>
  <c r="Y978" i="2"/>
  <c r="AB978" i="2" s="1"/>
  <c r="Y963" i="2"/>
  <c r="AB963" i="2" s="1"/>
  <c r="Y688" i="2"/>
  <c r="AB688" i="2" s="1"/>
  <c r="Y587" i="2"/>
  <c r="AB587" i="2" s="1"/>
  <c r="Y276" i="2"/>
  <c r="AB276" i="2" s="1"/>
  <c r="Y111" i="2"/>
  <c r="AB111" i="2" s="1"/>
  <c r="Y379" i="2"/>
  <c r="AB379" i="2" s="1"/>
  <c r="Y622" i="2"/>
  <c r="AB622" i="2" s="1"/>
  <c r="Y488" i="2"/>
  <c r="AB488" i="2" s="1"/>
  <c r="Y309" i="2"/>
  <c r="AB309" i="2" s="1"/>
  <c r="Y891" i="2"/>
  <c r="AB891" i="2" s="1"/>
  <c r="Y298" i="2"/>
  <c r="AB298" i="2" s="1"/>
  <c r="Y598" i="2"/>
  <c r="AB598" i="2" s="1"/>
  <c r="Y169" i="2"/>
  <c r="AB169" i="2" s="1"/>
  <c r="Y1046" i="2"/>
  <c r="AB1046" i="2" s="1"/>
  <c r="Y719" i="2"/>
  <c r="AB719" i="2" s="1"/>
  <c r="Y596" i="2"/>
  <c r="AB596" i="2" s="1"/>
  <c r="Y626" i="2"/>
  <c r="AB626" i="2" s="1"/>
  <c r="Y27" i="2"/>
  <c r="AB27" i="2" s="1"/>
  <c r="Y1026" i="2"/>
  <c r="AB1026" i="2" s="1"/>
  <c r="Y135" i="2"/>
  <c r="AB135" i="2" s="1"/>
  <c r="Y634" i="2"/>
  <c r="AB634" i="2" s="1"/>
  <c r="Y568" i="2"/>
  <c r="AB568" i="2" s="1"/>
  <c r="Y39" i="2"/>
  <c r="AB39" i="2" s="1"/>
  <c r="Y388" i="2"/>
  <c r="AB388" i="2" s="1"/>
  <c r="Y1200" i="2"/>
  <c r="AB1200" i="2" s="1"/>
  <c r="Y144" i="2"/>
  <c r="AB144" i="2" s="1"/>
  <c r="Y199" i="2"/>
  <c r="AB199" i="2" s="1"/>
  <c r="Y19" i="2"/>
  <c r="AB19" i="2" s="1"/>
  <c r="Y858" i="2"/>
  <c r="AB858" i="2" s="1"/>
  <c r="Y877" i="2"/>
  <c r="AB877" i="2" s="1"/>
  <c r="Y1193" i="2"/>
  <c r="AB1193" i="2" s="1"/>
  <c r="Y749" i="2"/>
  <c r="AB749" i="2" s="1"/>
  <c r="Y24" i="2"/>
  <c r="AB24" i="2" s="1"/>
  <c r="Y617" i="2"/>
  <c r="AB617" i="2" s="1"/>
  <c r="Y1158" i="2"/>
  <c r="AB1158" i="2" s="1"/>
  <c r="Y830" i="2"/>
  <c r="AB830" i="2" s="1"/>
  <c r="Y1126" i="2"/>
  <c r="AB1126" i="2" s="1"/>
  <c r="Y1114" i="2"/>
  <c r="AB1114" i="2" s="1"/>
  <c r="Y888" i="2"/>
  <c r="AB888" i="2" s="1"/>
  <c r="Y1068" i="2"/>
  <c r="AB1068" i="2" s="1"/>
  <c r="Y921" i="2"/>
  <c r="AB921" i="2" s="1"/>
  <c r="Y809" i="2"/>
  <c r="AB809" i="2" s="1"/>
  <c r="Y619" i="2"/>
  <c r="AB619" i="2" s="1"/>
  <c r="Y482" i="2"/>
  <c r="AB482" i="2" s="1"/>
  <c r="Y394" i="2"/>
  <c r="AB394" i="2" s="1"/>
  <c r="Y266" i="2"/>
  <c r="AB266" i="2" s="1"/>
  <c r="Y128" i="2"/>
  <c r="AB128" i="2" s="1"/>
  <c r="Y1146" i="2"/>
  <c r="AB1146" i="2" s="1"/>
  <c r="Y560" i="2"/>
  <c r="AB560" i="2" s="1"/>
  <c r="Y513" i="2"/>
  <c r="AB513" i="2" s="1"/>
  <c r="Y1045" i="2"/>
  <c r="AB1045" i="2" s="1"/>
  <c r="Y754" i="2"/>
  <c r="AB754" i="2" s="1"/>
  <c r="Y450" i="2"/>
  <c r="AB450" i="2" s="1"/>
  <c r="Y308" i="2"/>
  <c r="AB308" i="2" s="1"/>
  <c r="Y93" i="2"/>
  <c r="AB93" i="2" s="1"/>
  <c r="Y711" i="2"/>
  <c r="AB711" i="2" s="1"/>
  <c r="Y655" i="2"/>
  <c r="AB655" i="2" s="1"/>
  <c r="Y364" i="2"/>
  <c r="AB364" i="2" s="1"/>
  <c r="Y1168" i="2"/>
  <c r="AB1168" i="2" s="1"/>
  <c r="Y818" i="2"/>
  <c r="AB818" i="2" s="1"/>
  <c r="Y1063" i="2"/>
  <c r="AB1063" i="2" s="1"/>
  <c r="Y1178" i="2"/>
  <c r="AB1178" i="2" s="1"/>
  <c r="Y701" i="2"/>
  <c r="AB701" i="2" s="1"/>
  <c r="Y375" i="2"/>
  <c r="AB375" i="2" s="1"/>
  <c r="Y151" i="2"/>
  <c r="AB151" i="2" s="1"/>
  <c r="Y1103" i="2"/>
  <c r="AB1103" i="2" s="1"/>
  <c r="Y853" i="2"/>
  <c r="AB853" i="2" s="1"/>
  <c r="Y510" i="2"/>
  <c r="AB510" i="2" s="1"/>
  <c r="Y204" i="2"/>
  <c r="AB204" i="2" s="1"/>
  <c r="Y325" i="2"/>
  <c r="AB325" i="2" s="1"/>
  <c r="Y770" i="2"/>
  <c r="AB770" i="2" s="1"/>
  <c r="Y107" i="2"/>
  <c r="AB107" i="2" s="1"/>
  <c r="Y941" i="2"/>
  <c r="AB941" i="2" s="1"/>
  <c r="Y845" i="2"/>
  <c r="AB845" i="2" s="1"/>
  <c r="Y675" i="2"/>
  <c r="AB675" i="2" s="1"/>
  <c r="Y476" i="2"/>
  <c r="AB476" i="2" s="1"/>
  <c r="Y106" i="2"/>
  <c r="AB106" i="2" s="1"/>
  <c r="Y230" i="2"/>
  <c r="AB230" i="2" s="1"/>
  <c r="Y442" i="2"/>
  <c r="AB442" i="2" s="1"/>
  <c r="Y1003" i="2"/>
  <c r="AB1003" i="2" s="1"/>
  <c r="Y1091" i="2"/>
  <c r="AB1091" i="2" s="1"/>
  <c r="Y765" i="2"/>
  <c r="AB765" i="2" s="1"/>
  <c r="Y1194" i="2"/>
  <c r="AB1194" i="2" s="1"/>
  <c r="Y739" i="2"/>
  <c r="AB739" i="2" s="1"/>
  <c r="Y1189" i="2"/>
  <c r="AB1189" i="2" s="1"/>
  <c r="Y1053" i="2"/>
  <c r="AB1053" i="2" s="1"/>
  <c r="Y168" i="2"/>
  <c r="AB168" i="2" s="1"/>
  <c r="Y613" i="2"/>
  <c r="AB613" i="2" s="1"/>
  <c r="Y536" i="2"/>
  <c r="AB536" i="2" s="1"/>
  <c r="Y1028" i="2"/>
  <c r="AB1028" i="2" s="1"/>
  <c r="Y333" i="2"/>
  <c r="AB333" i="2" s="1"/>
  <c r="Y508" i="2"/>
  <c r="AB508" i="2" s="1"/>
  <c r="Y409" i="2"/>
  <c r="AB409" i="2" s="1"/>
  <c r="Y153" i="2"/>
  <c r="AB153" i="2" s="1"/>
  <c r="Y748" i="2"/>
  <c r="AB748" i="2" s="1"/>
  <c r="Y631" i="2"/>
  <c r="AB631" i="2" s="1"/>
  <c r="Y527" i="2"/>
  <c r="AB527" i="2" s="1"/>
  <c r="Y491" i="2"/>
  <c r="AB491" i="2" s="1"/>
  <c r="Y779" i="2"/>
  <c r="AB779" i="2" s="1"/>
  <c r="Y1042" i="2"/>
  <c r="AB1042" i="2" s="1"/>
  <c r="Y656" i="2"/>
  <c r="AB656" i="2" s="1"/>
  <c r="Y647" i="2"/>
  <c r="AB647" i="2" s="1"/>
  <c r="Y297" i="2"/>
  <c r="AB297" i="2" s="1"/>
  <c r="Y759" i="2"/>
  <c r="AB759" i="2" s="1"/>
  <c r="Y519" i="2"/>
  <c r="AB519" i="2" s="1"/>
  <c r="Y1075" i="2"/>
  <c r="AB1075" i="2" s="1"/>
  <c r="Y452" i="2"/>
  <c r="AB452" i="2" s="1"/>
  <c r="Y416" i="2"/>
  <c r="AB416" i="2" s="1"/>
  <c r="Y1020" i="2"/>
  <c r="AB1020" i="2" s="1"/>
  <c r="Y535" i="2"/>
  <c r="AB535" i="2" s="1"/>
  <c r="Y362" i="2"/>
  <c r="AB362" i="2" s="1"/>
  <c r="Y1128" i="2"/>
  <c r="AB1128" i="2" s="1"/>
  <c r="Y143" i="2"/>
  <c r="AB143" i="2" s="1"/>
  <c r="Y838" i="2"/>
  <c r="AB838" i="2" s="1"/>
  <c r="Y849" i="2"/>
  <c r="AB849" i="2" s="1"/>
  <c r="Y283" i="2"/>
  <c r="AB283" i="2" s="1"/>
  <c r="Y382" i="2"/>
  <c r="AB382" i="2" s="1"/>
  <c r="Y1261" i="2"/>
  <c r="AB1261" i="2" s="1"/>
  <c r="Y1119" i="2"/>
  <c r="AB1119" i="2" s="1"/>
  <c r="Y989" i="2"/>
  <c r="AB989" i="2" s="1"/>
  <c r="Y1000" i="2"/>
  <c r="AB1000" i="2" s="1"/>
  <c r="Y582" i="2"/>
  <c r="AB582" i="2" s="1"/>
  <c r="Y284" i="2"/>
  <c r="AB284" i="2" s="1"/>
  <c r="Y258" i="2"/>
  <c r="AB258" i="2" s="1"/>
  <c r="Y259" i="2"/>
  <c r="AB259" i="2" s="1"/>
  <c r="Y92" i="2"/>
  <c r="AB92" i="2" s="1"/>
  <c r="Y962" i="2"/>
  <c r="AB962" i="2" s="1"/>
  <c r="Y685" i="2"/>
  <c r="AB685" i="2" s="1"/>
  <c r="Y708" i="2"/>
  <c r="AB708" i="2" s="1"/>
  <c r="Y483" i="2"/>
  <c r="AB483" i="2" s="1"/>
  <c r="Y726" i="2"/>
  <c r="AB726" i="2" s="1"/>
  <c r="Y443" i="2"/>
  <c r="AB443" i="2" s="1"/>
  <c r="Y381" i="2"/>
  <c r="AB381" i="2" s="1"/>
  <c r="Y336" i="2"/>
  <c r="AB336" i="2" s="1"/>
  <c r="Y359" i="2"/>
  <c r="AB359" i="2" s="1"/>
  <c r="Y1252" i="2"/>
  <c r="AB1252" i="2" s="1"/>
  <c r="Y1123" i="2"/>
  <c r="AB1123" i="2" s="1"/>
  <c r="Y964" i="2"/>
  <c r="AB964" i="2" s="1"/>
  <c r="Y972" i="2"/>
  <c r="AB972" i="2" s="1"/>
  <c r="Y1039" i="2"/>
  <c r="AB1039" i="2" s="1"/>
  <c r="Y717" i="2"/>
  <c r="AB717" i="2" s="1"/>
  <c r="Y567" i="2"/>
  <c r="AB567" i="2" s="1"/>
  <c r="Y938" i="2"/>
  <c r="AB938" i="2" s="1"/>
  <c r="Y1162" i="2"/>
  <c r="AB1162" i="2" s="1"/>
  <c r="Y502" i="2"/>
  <c r="AB502" i="2" s="1"/>
  <c r="Y914" i="2"/>
  <c r="AB914" i="2" s="1"/>
  <c r="Y46" i="2"/>
  <c r="AB46" i="2" s="1"/>
  <c r="Y354" i="2"/>
  <c r="AB354" i="2" s="1"/>
  <c r="Y1195" i="2"/>
  <c r="AB1195" i="2" s="1"/>
  <c r="Y1147" i="2"/>
  <c r="AB1147" i="2" s="1"/>
  <c r="Y816" i="2"/>
  <c r="AB816" i="2" s="1"/>
  <c r="Y639" i="2"/>
  <c r="AB639" i="2" s="1"/>
  <c r="Y240" i="2"/>
  <c r="AB240" i="2" s="1"/>
  <c r="Y33" i="2"/>
  <c r="AB33" i="2" s="1"/>
  <c r="Y837" i="2"/>
  <c r="AB837" i="2" s="1"/>
  <c r="Y936" i="2"/>
  <c r="AB936" i="2" s="1"/>
  <c r="Y504" i="2"/>
  <c r="AB504" i="2" s="1"/>
  <c r="Y473" i="2"/>
  <c r="AB473" i="2" s="1"/>
  <c r="Y807" i="2"/>
  <c r="AB807" i="2" s="1"/>
  <c r="Y267" i="2"/>
  <c r="AB267" i="2" s="1"/>
  <c r="Y211" i="2"/>
  <c r="AB211" i="2" s="1"/>
  <c r="Y118" i="2"/>
  <c r="AB118" i="2" s="1"/>
  <c r="Y342" i="2"/>
  <c r="AB342" i="2" s="1"/>
  <c r="Y724" i="2"/>
  <c r="AB724" i="2" s="1"/>
  <c r="Y1243" i="2"/>
  <c r="AB1243" i="2" s="1"/>
  <c r="Y850" i="2"/>
  <c r="AB850" i="2" s="1"/>
  <c r="Y752" i="2"/>
  <c r="AB752" i="2" s="1"/>
  <c r="Y861" i="2"/>
  <c r="AB861" i="2" s="1"/>
  <c r="Y529" i="2"/>
  <c r="AB529" i="2" s="1"/>
  <c r="Y493" i="2"/>
  <c r="AB493" i="2" s="1"/>
  <c r="Y869" i="2"/>
  <c r="AB869" i="2" s="1"/>
  <c r="Y942" i="2"/>
  <c r="AB942" i="2" s="1"/>
  <c r="Y275" i="2"/>
  <c r="AB275" i="2" s="1"/>
  <c r="Y320" i="2"/>
  <c r="AB320" i="2" s="1"/>
  <c r="Y227" i="2"/>
  <c r="AB227" i="2" s="1"/>
  <c r="Y268" i="2"/>
  <c r="AB268" i="2" s="1"/>
  <c r="Y360" i="2"/>
  <c r="AB360" i="2" s="1"/>
  <c r="Y1183" i="2"/>
  <c r="AB1183" i="2" s="1"/>
  <c r="Y1142" i="2"/>
  <c r="AB1142" i="2" s="1"/>
  <c r="Y973" i="2"/>
  <c r="AB973" i="2" s="1"/>
  <c r="Y610" i="2"/>
  <c r="AB610" i="2" s="1"/>
  <c r="Y84" i="2"/>
  <c r="AB84" i="2" s="1"/>
  <c r="Y43" i="2"/>
  <c r="AB43" i="2" s="1"/>
  <c r="Y1164" i="2"/>
  <c r="AB1164" i="2" s="1"/>
  <c r="Y851" i="2"/>
  <c r="AB851" i="2" s="1"/>
  <c r="Y1125" i="2"/>
  <c r="AB1125" i="2" s="1"/>
  <c r="Y1116" i="2"/>
  <c r="AB1116" i="2" s="1"/>
  <c r="Y951" i="2"/>
  <c r="AB951" i="2" s="1"/>
  <c r="Y854" i="2"/>
  <c r="AB854" i="2" s="1"/>
  <c r="Y822" i="2"/>
  <c r="AB822" i="2" s="1"/>
  <c r="Y575" i="2"/>
  <c r="AB575" i="2" s="1"/>
  <c r="Y862" i="2"/>
  <c r="AB862" i="2" s="1"/>
  <c r="Y751" i="2"/>
  <c r="AB751" i="2" s="1"/>
  <c r="Y791" i="2"/>
  <c r="AB791" i="2" s="1"/>
  <c r="Y414" i="2"/>
  <c r="AB414" i="2" s="1"/>
  <c r="Y408" i="2"/>
  <c r="AB408" i="2" s="1"/>
  <c r="Y581" i="2"/>
  <c r="AB581" i="2" s="1"/>
  <c r="Y1037" i="2"/>
  <c r="AB1037" i="2" s="1"/>
  <c r="Y812" i="2"/>
  <c r="AB812" i="2" s="1"/>
  <c r="Y1094" i="2"/>
  <c r="AB1094" i="2" s="1"/>
  <c r="Y720" i="2"/>
  <c r="AB720" i="2" s="1"/>
  <c r="Y339" i="2"/>
  <c r="AB339" i="2" s="1"/>
  <c r="Y231" i="2"/>
  <c r="AB231" i="2" s="1"/>
  <c r="Y447" i="2"/>
  <c r="AB447" i="2" s="1"/>
  <c r="Y132" i="2"/>
  <c r="AB132" i="2" s="1"/>
  <c r="Y56" i="2"/>
  <c r="AB56" i="2" s="1"/>
  <c r="Y1237" i="2"/>
  <c r="AB1237" i="2" s="1"/>
  <c r="Y847" i="2"/>
  <c r="AB847" i="2" s="1"/>
  <c r="Y1167" i="2"/>
  <c r="AB1167" i="2" s="1"/>
  <c r="Y1073" i="2"/>
  <c r="AB1073" i="2" s="1"/>
  <c r="Y996" i="2"/>
  <c r="AB996" i="2" s="1"/>
  <c r="Y577" i="2"/>
  <c r="AB577" i="2" s="1"/>
  <c r="Y81" i="2"/>
  <c r="AB81" i="2" s="1"/>
  <c r="Y97" i="2"/>
  <c r="AB97" i="2" s="1"/>
  <c r="Y80" i="2"/>
  <c r="AB80" i="2" s="1"/>
  <c r="Y1185" i="2"/>
  <c r="AB1185" i="2" s="1"/>
  <c r="Y709" i="2"/>
  <c r="AB709" i="2" s="1"/>
  <c r="Y548" i="2"/>
  <c r="AB548" i="2" s="1"/>
  <c r="Y866" i="2"/>
  <c r="AB866" i="2" s="1"/>
  <c r="Y583" i="2"/>
  <c r="AB583" i="2" s="1"/>
  <c r="Y899" i="2"/>
  <c r="AB899" i="2" s="1"/>
  <c r="Y649" i="2"/>
  <c r="AB649" i="2" s="1"/>
  <c r="Y946" i="2"/>
  <c r="AB946" i="2" s="1"/>
  <c r="Y1113" i="2"/>
  <c r="AB1113" i="2" s="1"/>
  <c r="Y1267" i="2"/>
  <c r="AB1267" i="2" s="1"/>
  <c r="Y1135" i="2"/>
  <c r="AB1135" i="2" s="1"/>
  <c r="Y1198" i="2"/>
  <c r="AB1198" i="2" s="1"/>
  <c r="Y1171" i="2"/>
  <c r="AB1171" i="2" s="1"/>
  <c r="Y573" i="2"/>
  <c r="AB573" i="2" s="1"/>
  <c r="Y590" i="2"/>
  <c r="AB590" i="2" s="1"/>
  <c r="Y588" i="2"/>
  <c r="AB588" i="2" s="1"/>
  <c r="Y220" i="2"/>
  <c r="AB220" i="2" s="1"/>
  <c r="Y38" i="2"/>
  <c r="AB38" i="2" s="1"/>
  <c r="Y901" i="2"/>
  <c r="AB901" i="2" s="1"/>
  <c r="Y697" i="2"/>
  <c r="AB697" i="2" s="1"/>
  <c r="Y1108" i="2"/>
  <c r="AB1108" i="2" s="1"/>
  <c r="Y1040" i="2"/>
  <c r="AB1040" i="2" s="1"/>
  <c r="Y805" i="2"/>
  <c r="AB805" i="2" s="1"/>
  <c r="Y441" i="2"/>
  <c r="AB441" i="2" s="1"/>
  <c r="Y404" i="2"/>
  <c r="AB404" i="2" s="1"/>
  <c r="Y260" i="2"/>
  <c r="AB260" i="2" s="1"/>
  <c r="Y195" i="2"/>
  <c r="AB195" i="2" s="1"/>
  <c r="Y1205" i="2"/>
  <c r="AB1205" i="2" s="1"/>
  <c r="Y990" i="2"/>
  <c r="AB990" i="2" s="1"/>
  <c r="Y1100" i="2"/>
  <c r="AB1100" i="2" s="1"/>
  <c r="Y367" i="2"/>
  <c r="AB367" i="2" s="1"/>
  <c r="Y1079" i="2"/>
  <c r="AB1079" i="2" s="1"/>
  <c r="Y1134" i="2"/>
  <c r="AB1134" i="2" s="1"/>
  <c r="Y764" i="2"/>
  <c r="AB764" i="2" s="1"/>
  <c r="Y825" i="2"/>
  <c r="AB825" i="2" s="1"/>
  <c r="Y579" i="2"/>
  <c r="AB579" i="2" s="1"/>
  <c r="Y665" i="2"/>
  <c r="AB665" i="2" s="1"/>
  <c r="Y1246" i="2"/>
  <c r="AB1246" i="2" s="1"/>
  <c r="Y1186" i="2"/>
  <c r="AB1186" i="2" s="1"/>
  <c r="Y174" i="2"/>
  <c r="AB174" i="2" s="1"/>
  <c r="Y691" i="2"/>
  <c r="AB691" i="2" s="1"/>
  <c r="Y1223" i="2"/>
  <c r="AB1223" i="2" s="1"/>
  <c r="Y1036" i="2"/>
  <c r="AB1036" i="2" s="1"/>
  <c r="Y892" i="2"/>
  <c r="AB892" i="2" s="1"/>
  <c r="Y319" i="2"/>
  <c r="AB319" i="2" s="1"/>
  <c r="Y679" i="2"/>
  <c r="AB679" i="2" s="1"/>
  <c r="Y413" i="2"/>
  <c r="AB413" i="2" s="1"/>
  <c r="Y920" i="2"/>
  <c r="AB920" i="2" s="1"/>
  <c r="Y1152" i="2"/>
  <c r="AB1152" i="2" s="1"/>
  <c r="Y411" i="2"/>
  <c r="AB411" i="2" s="1"/>
  <c r="Y794" i="2"/>
  <c r="AB794" i="2" s="1"/>
  <c r="Y181" i="2"/>
  <c r="AB181" i="2" s="1"/>
  <c r="Y842" i="2"/>
  <c r="AB842" i="2" s="1"/>
  <c r="Y147" i="2"/>
  <c r="AB147" i="2" s="1"/>
  <c r="Y718" i="2"/>
  <c r="AB718" i="2" s="1"/>
  <c r="Y725" i="2"/>
  <c r="AB725" i="2" s="1"/>
  <c r="Y863" i="2"/>
  <c r="AB863" i="2" s="1"/>
  <c r="Y1217" i="2"/>
  <c r="AB1217" i="2" s="1"/>
  <c r="Y1213" i="2"/>
  <c r="AB1213" i="2" s="1"/>
  <c r="Y1214" i="2"/>
  <c r="AB1214" i="2" s="1"/>
  <c r="Y1240" i="2"/>
  <c r="AB1240" i="2" s="1"/>
  <c r="Y1280" i="2"/>
  <c r="AB1280" i="2" s="1"/>
  <c r="Y1244" i="2"/>
  <c r="AB1244" i="2" s="1"/>
  <c r="Y1179" i="2"/>
  <c r="AB1179" i="2" s="1"/>
  <c r="Y1172" i="2"/>
  <c r="AB1172" i="2" s="1"/>
  <c r="Y995" i="2"/>
  <c r="AB995" i="2" s="1"/>
  <c r="Y1031" i="2"/>
  <c r="AB1031" i="2" s="1"/>
  <c r="Y792" i="2"/>
  <c r="AB792" i="2" s="1"/>
  <c r="Y586" i="2"/>
  <c r="AB586" i="2" s="1"/>
  <c r="Y1084" i="2"/>
  <c r="AB1084" i="2" s="1"/>
  <c r="Y797" i="2"/>
  <c r="AB797" i="2" s="1"/>
  <c r="Y677" i="2"/>
  <c r="AB677" i="2" s="1"/>
  <c r="Y198" i="2"/>
  <c r="AB198" i="2" s="1"/>
  <c r="Y101" i="2"/>
  <c r="AB101" i="2" s="1"/>
  <c r="Y968" i="2"/>
  <c r="AB968" i="2" s="1"/>
  <c r="Y811" i="2"/>
  <c r="AB811" i="2" s="1"/>
  <c r="Y509" i="2"/>
  <c r="AB509" i="2" s="1"/>
  <c r="Y100" i="2"/>
  <c r="AB100" i="2" s="1"/>
  <c r="Y281" i="2"/>
  <c r="AB281" i="2" s="1"/>
  <c r="Y469" i="2"/>
  <c r="AB469" i="2" s="1"/>
  <c r="Y433" i="2"/>
  <c r="AB433" i="2" s="1"/>
  <c r="Y843" i="2"/>
  <c r="AB843" i="2" s="1"/>
  <c r="Y326" i="2"/>
  <c r="AB326" i="2" s="1"/>
  <c r="Y1238" i="2"/>
  <c r="AB1238" i="2" s="1"/>
  <c r="Y1202" i="2"/>
  <c r="AB1202" i="2" s="1"/>
  <c r="Y1088" i="2"/>
  <c r="AB1088" i="2" s="1"/>
  <c r="Y756" i="2"/>
  <c r="AB756" i="2" s="1"/>
  <c r="Y721" i="2"/>
  <c r="AB721" i="2" s="1"/>
  <c r="Y591" i="2"/>
  <c r="AB591" i="2" s="1"/>
  <c r="Y932" i="2"/>
  <c r="AB932" i="2" s="1"/>
  <c r="Y322" i="2"/>
  <c r="AB322" i="2" s="1"/>
  <c r="Y463" i="2"/>
  <c r="AB463" i="2" s="1"/>
  <c r="Y427" i="2"/>
  <c r="AB427" i="2" s="1"/>
  <c r="Y1235" i="2"/>
  <c r="AB1235" i="2" s="1"/>
  <c r="Y947" i="2"/>
  <c r="AB947" i="2" s="1"/>
  <c r="Y738" i="2"/>
  <c r="AB738" i="2" s="1"/>
  <c r="Y745" i="2"/>
  <c r="AB745" i="2" s="1"/>
  <c r="Y801" i="2"/>
  <c r="AB801" i="2" s="1"/>
  <c r="Y1231" i="2"/>
  <c r="AB1231" i="2" s="1"/>
  <c r="Y1124" i="2"/>
  <c r="AB1124" i="2" s="1"/>
  <c r="Y1072" i="2"/>
  <c r="AB1072" i="2" s="1"/>
  <c r="Y945" i="2"/>
  <c r="AB945" i="2" s="1"/>
  <c r="Y533" i="2"/>
  <c r="AB533" i="2" s="1"/>
  <c r="Y497" i="2"/>
  <c r="AB497" i="2" s="1"/>
  <c r="Y407" i="2"/>
  <c r="AB407" i="2" s="1"/>
  <c r="Y315" i="2"/>
  <c r="AB315" i="2" s="1"/>
  <c r="Y457" i="2"/>
  <c r="AB457" i="2" s="1"/>
  <c r="Y421" i="2"/>
  <c r="AB421" i="2" s="1"/>
  <c r="Y1268" i="2"/>
  <c r="AB1268" i="2" s="1"/>
  <c r="Y1265" i="2"/>
  <c r="AB1265" i="2" s="1"/>
  <c r="Y1232" i="2"/>
  <c r="AB1232" i="2" s="1"/>
  <c r="Y1130" i="2"/>
  <c r="AB1130" i="2" s="1"/>
  <c r="Y1001" i="2"/>
  <c r="AB1001" i="2" s="1"/>
  <c r="Y1002" i="2"/>
  <c r="AB1002" i="2" s="1"/>
  <c r="Y1097" i="2"/>
  <c r="AB1097" i="2" s="1"/>
  <c r="Y1090" i="2"/>
  <c r="AB1090" i="2" s="1"/>
  <c r="Y604" i="2"/>
  <c r="AB604" i="2" s="1"/>
  <c r="Y585" i="2"/>
  <c r="AB585" i="2" s="1"/>
  <c r="Y91" i="2"/>
  <c r="AB91" i="2" s="1"/>
  <c r="Y1048" i="2"/>
  <c r="AB1048" i="2" s="1"/>
  <c r="Y943" i="2"/>
  <c r="AB943" i="2" s="1"/>
  <c r="Y926" i="2"/>
  <c r="AB926" i="2" s="1"/>
  <c r="Y61" i="2"/>
  <c r="AB61" i="2" s="1"/>
  <c r="Y400" i="2"/>
  <c r="AB400" i="2" s="1"/>
  <c r="Y1169" i="2"/>
  <c r="AB1169" i="2" s="1"/>
  <c r="Y1050" i="2"/>
  <c r="AB1050" i="2" s="1"/>
  <c r="Y451" i="2"/>
  <c r="AB451" i="2" s="1"/>
  <c r="Y415" i="2"/>
  <c r="AB415" i="2" s="1"/>
  <c r="Y270" i="2"/>
  <c r="AB270" i="2" s="1"/>
  <c r="Y903" i="2"/>
  <c r="AB903" i="2" s="1"/>
  <c r="Y1014" i="2"/>
  <c r="AB1014" i="2" s="1"/>
  <c r="Y1133" i="2"/>
  <c r="AB1133" i="2" s="1"/>
  <c r="Y1096" i="2"/>
  <c r="AB1096" i="2" s="1"/>
  <c r="Y521" i="2"/>
  <c r="AB521" i="2" s="1"/>
  <c r="Y485" i="2"/>
  <c r="AB485" i="2" s="1"/>
  <c r="Y370" i="2"/>
  <c r="AB370" i="2" s="1"/>
  <c r="Y445" i="2"/>
  <c r="AB445" i="2" s="1"/>
  <c r="Y1216" i="2"/>
  <c r="AB1216" i="2" s="1"/>
  <c r="Y859" i="2"/>
  <c r="AB859" i="2" s="1"/>
  <c r="Y789" i="2"/>
  <c r="AB789" i="2" s="1"/>
  <c r="Y374" i="2"/>
  <c r="AB374" i="2" s="1"/>
  <c r="Y1121" i="2"/>
  <c r="AB1121" i="2" s="1"/>
  <c r="Y746" i="2"/>
  <c r="AB746" i="2" s="1"/>
  <c r="Y479" i="2"/>
  <c r="AB479" i="2" s="1"/>
  <c r="Y363" i="2"/>
  <c r="AB363" i="2" s="1"/>
  <c r="Y439" i="2"/>
  <c r="AB439" i="2" s="1"/>
  <c r="Y1271" i="2"/>
  <c r="AB1271" i="2" s="1"/>
  <c r="Y1204" i="2"/>
  <c r="AB1204" i="2" s="1"/>
  <c r="Y1241" i="2"/>
  <c r="AB1241" i="2" s="1"/>
  <c r="Y1262" i="2"/>
  <c r="AB1262" i="2" s="1"/>
  <c r="Y1259" i="2"/>
  <c r="AB1259" i="2" s="1"/>
  <c r="Y1228" i="2"/>
  <c r="AB1228" i="2" s="1"/>
  <c r="Y1229" i="2"/>
  <c r="AB1229" i="2" s="1"/>
  <c r="Y1191" i="2"/>
  <c r="AB1191" i="2" s="1"/>
  <c r="Y1015" i="2"/>
  <c r="AB1015" i="2" s="1"/>
  <c r="Y1256" i="2"/>
  <c r="AB1256" i="2" s="1"/>
  <c r="Y1225" i="2"/>
  <c r="AB1225" i="2" s="1"/>
  <c r="Y1226" i="2"/>
  <c r="AB1226" i="2" s="1"/>
  <c r="Y1083" i="2"/>
  <c r="AB1083" i="2" s="1"/>
  <c r="Y1253" i="2"/>
  <c r="AB1253" i="2" s="1"/>
  <c r="Y1222" i="2"/>
  <c r="AB1222" i="2" s="1"/>
  <c r="Y1143" i="2"/>
  <c r="AB1143" i="2" s="1"/>
  <c r="Y1250" i="2"/>
  <c r="AB1250" i="2" s="1"/>
  <c r="Y1219" i="2"/>
  <c r="AB1219" i="2" s="1"/>
  <c r="Y1220" i="2"/>
  <c r="AB1220" i="2" s="1"/>
  <c r="Y1247" i="2"/>
  <c r="AB1247" i="2" s="1"/>
  <c r="Y1277" i="2"/>
  <c r="AB1277" i="2" s="1"/>
  <c r="Y1210" i="2"/>
  <c r="AB1210" i="2" s="1"/>
  <c r="Y1211" i="2"/>
  <c r="AB1211" i="2" s="1"/>
  <c r="Y1274" i="2"/>
  <c r="AB1274" i="2" s="1"/>
  <c r="Y1207" i="2"/>
  <c r="AB1207" i="2" s="1"/>
  <c r="Y1208" i="2"/>
  <c r="AB1208" i="2" s="1"/>
  <c r="Y1155" i="2"/>
  <c r="AB1155" i="2" s="1"/>
  <c r="Y1290" i="2"/>
  <c r="AB1290" i="2" s="1"/>
  <c r="Y1287" i="2"/>
  <c r="AB1287" i="2" s="1"/>
  <c r="Y1289" i="2"/>
  <c r="AB1289" i="2" s="1"/>
  <c r="Y1288" i="2"/>
  <c r="AB1288" i="2" s="1"/>
  <c r="H1421" i="2" l="1"/>
  <c r="AW10" i="2"/>
  <c r="AV10" i="2"/>
  <c r="AO10" i="2"/>
  <c r="AN10" i="2"/>
  <c r="AJ10" i="2"/>
  <c r="AI10" i="2"/>
  <c r="Z10" i="2"/>
  <c r="U10" i="2"/>
  <c r="T10" i="2"/>
  <c r="S10" i="2"/>
  <c r="R10" i="2"/>
  <c r="O10" i="2"/>
  <c r="N10" i="2"/>
  <c r="M10" i="2"/>
  <c r="G1436" i="2" l="1"/>
  <c r="G1421" i="2"/>
  <c r="G1441" i="2"/>
  <c r="H1441" i="2"/>
  <c r="AK10" i="2"/>
  <c r="Q10" i="2"/>
  <c r="V10" i="2"/>
  <c r="Y10" i="2" l="1"/>
  <c r="AB10" i="2" s="1"/>
  <c r="AW1291" i="2" l="1"/>
  <c r="AV1291" i="2"/>
  <c r="AW9" i="2"/>
  <c r="AV9" i="2"/>
  <c r="F1292" i="2" l="1"/>
  <c r="AN1291" i="2" l="1"/>
  <c r="AN9" i="2"/>
  <c r="AN8" i="2"/>
  <c r="AN7" i="2"/>
  <c r="AN6" i="2"/>
  <c r="AO9" i="2"/>
  <c r="AJ9" i="2"/>
  <c r="AI9" i="2"/>
  <c r="AO8" i="2"/>
  <c r="AJ8" i="2"/>
  <c r="AI8" i="2"/>
  <c r="AO7" i="2"/>
  <c r="AJ7" i="2"/>
  <c r="AI7" i="2"/>
  <c r="AO6" i="2"/>
  <c r="AJ6" i="2"/>
  <c r="AI6" i="2"/>
  <c r="AK9" i="2" l="1"/>
  <c r="G55" i="19"/>
  <c r="AK6" i="2"/>
  <c r="AK7" i="2"/>
  <c r="AK8" i="2"/>
  <c r="Z9" i="2"/>
  <c r="U9" i="2"/>
  <c r="T9" i="2"/>
  <c r="S9" i="2"/>
  <c r="R9" i="2"/>
  <c r="O9" i="2"/>
  <c r="N9" i="2"/>
  <c r="M9" i="2"/>
  <c r="H1407" i="2" l="1"/>
  <c r="G1407" i="2"/>
  <c r="Q9" i="2"/>
  <c r="V9" i="2"/>
  <c r="AV8" i="2"/>
  <c r="AW8" i="2"/>
  <c r="AV7" i="2"/>
  <c r="AW7" i="2"/>
  <c r="Y9" i="2" l="1"/>
  <c r="AB9" i="2" s="1"/>
  <c r="AV6" i="2"/>
  <c r="AW6" i="2"/>
  <c r="Z8" i="2"/>
  <c r="U8" i="2"/>
  <c r="T8" i="2"/>
  <c r="S8" i="2"/>
  <c r="R8" i="2"/>
  <c r="O8" i="2"/>
  <c r="N8" i="2"/>
  <c r="M8" i="2"/>
  <c r="Z7" i="2"/>
  <c r="U7" i="2"/>
  <c r="T7" i="2"/>
  <c r="S7" i="2"/>
  <c r="R7" i="2"/>
  <c r="O7" i="2"/>
  <c r="N7" i="2"/>
  <c r="M7" i="2"/>
  <c r="Z6" i="2"/>
  <c r="U6" i="2"/>
  <c r="T6" i="2"/>
  <c r="S6" i="2"/>
  <c r="R6" i="2"/>
  <c r="O6" i="2"/>
  <c r="N6" i="2"/>
  <c r="M6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4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V8" i="2"/>
  <c r="V7" i="2"/>
  <c r="Y7" i="2" s="1"/>
  <c r="AB7" i="2" s="1"/>
  <c r="V6" i="2"/>
  <c r="Y6" i="2" l="1"/>
  <c r="AB6" i="2" s="1"/>
  <c r="Y8" i="2"/>
  <c r="AB8" i="2" s="1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I1408" i="2" l="1"/>
  <c r="F1408" i="2"/>
  <c r="F1448" i="2" l="1"/>
  <c r="F1380" i="2"/>
  <c r="F1309" i="2"/>
  <c r="B63" i="19"/>
  <c r="AO1291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G1408" i="2"/>
  <c r="H1408" i="2"/>
  <c r="C72" i="18"/>
  <c r="K58" i="19"/>
  <c r="G1380" i="2"/>
  <c r="H1380" i="2"/>
  <c r="G1448" i="2"/>
  <c r="I1353" i="2" l="1"/>
  <c r="H1353" i="2"/>
  <c r="F1353" i="2"/>
  <c r="AJ1291" i="2" l="1"/>
  <c r="AK1291" i="2" s="1"/>
  <c r="AI1291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H1436" i="2"/>
  <c r="G1353" i="2"/>
  <c r="I1387" i="2" l="1"/>
  <c r="F1387" i="2"/>
  <c r="I1366" i="2" l="1"/>
  <c r="H1366" i="2"/>
  <c r="F1366" i="2"/>
  <c r="F1365" i="2"/>
  <c r="I1305" i="2" l="1"/>
  <c r="H1305" i="2"/>
  <c r="G1305" i="2"/>
  <c r="F1305" i="2"/>
  <c r="G1309" i="2"/>
  <c r="I1309" i="2"/>
  <c r="F1310" i="2"/>
  <c r="F1311" i="2"/>
  <c r="F1312" i="2"/>
  <c r="G1307" i="2"/>
  <c r="F1307" i="2"/>
  <c r="I1384" i="2"/>
  <c r="F1384" i="2"/>
  <c r="G1383" i="2"/>
  <c r="F1383" i="2"/>
  <c r="I1413" i="2"/>
  <c r="F1413" i="2"/>
  <c r="I1315" i="2"/>
  <c r="F1315" i="2"/>
  <c r="F1314" i="2"/>
  <c r="G1387" i="2" l="1"/>
  <c r="H1387" i="2"/>
  <c r="G1366" i="2"/>
  <c r="H1309" i="2"/>
  <c r="I1415" i="2"/>
  <c r="B1291" i="2" l="1"/>
  <c r="Z1291" i="2"/>
  <c r="Z1292" i="2" s="1"/>
  <c r="U1291" i="2"/>
  <c r="T1291" i="2"/>
  <c r="S1291" i="2"/>
  <c r="R1291" i="2"/>
  <c r="O1291" i="2"/>
  <c r="N1291" i="2"/>
  <c r="M1291" i="2"/>
  <c r="G1315" i="2" l="1"/>
  <c r="H1315" i="2"/>
  <c r="G1384" i="2"/>
  <c r="H1384" i="2"/>
  <c r="H1413" i="2"/>
  <c r="G1413" i="2"/>
  <c r="G1314" i="2"/>
  <c r="V1291" i="2"/>
  <c r="Q1291" i="2"/>
  <c r="Y1291" i="2" l="1"/>
  <c r="AB1291" i="2" s="1"/>
  <c r="G1326" i="2" l="1"/>
  <c r="C63" i="19"/>
  <c r="D63" i="19" s="1"/>
  <c r="F1298" i="2"/>
  <c r="G1298" i="2"/>
  <c r="H1298" i="2"/>
  <c r="D1299" i="2"/>
  <c r="D1300" i="2" s="1"/>
  <c r="D1301" i="2" s="1"/>
  <c r="D1302" i="2" s="1"/>
  <c r="D1303" i="2" s="1"/>
  <c r="D1304" i="2" s="1"/>
  <c r="D1305" i="2" s="1"/>
  <c r="D1306" i="2" s="1"/>
  <c r="D1307" i="2" s="1"/>
  <c r="F1299" i="2"/>
  <c r="G1299" i="2"/>
  <c r="H1299" i="2"/>
  <c r="F1300" i="2"/>
  <c r="G1300" i="2"/>
  <c r="H1300" i="2"/>
  <c r="AC1300" i="2"/>
  <c r="F1301" i="2"/>
  <c r="G1301" i="2"/>
  <c r="H1301" i="2"/>
  <c r="F1302" i="2"/>
  <c r="F1303" i="2"/>
  <c r="G1303" i="2"/>
  <c r="H1303" i="2"/>
  <c r="I1303" i="2"/>
  <c r="F1304" i="2"/>
  <c r="G1304" i="2"/>
  <c r="H1304" i="2"/>
  <c r="F1306" i="2"/>
  <c r="G1306" i="2"/>
  <c r="H1306" i="2"/>
  <c r="H1307" i="2"/>
  <c r="I1307" i="2"/>
  <c r="F1308" i="2"/>
  <c r="G1308" i="2"/>
  <c r="H1308" i="2"/>
  <c r="G1310" i="2"/>
  <c r="H1310" i="2"/>
  <c r="G1311" i="2"/>
  <c r="H1311" i="2"/>
  <c r="F1313" i="2"/>
  <c r="G1313" i="2"/>
  <c r="H1313" i="2"/>
  <c r="I1314" i="2"/>
  <c r="F1316" i="2"/>
  <c r="G1316" i="2"/>
  <c r="H1316" i="2"/>
  <c r="F1318" i="2"/>
  <c r="G1318" i="2"/>
  <c r="H1318" i="2"/>
  <c r="F1319" i="2"/>
  <c r="G1319" i="2"/>
  <c r="H1319" i="2"/>
  <c r="F1320" i="2"/>
  <c r="F1321" i="2"/>
  <c r="G1321" i="2"/>
  <c r="H1321" i="2"/>
  <c r="I1321" i="2"/>
  <c r="F1322" i="2"/>
  <c r="G1322" i="2"/>
  <c r="H1322" i="2"/>
  <c r="F1323" i="2"/>
  <c r="G1323" i="2"/>
  <c r="H1323" i="2"/>
  <c r="F1324" i="2"/>
  <c r="G1324" i="2"/>
  <c r="H1324" i="2"/>
  <c r="F1325" i="2"/>
  <c r="I1325" i="2"/>
  <c r="F1326" i="2"/>
  <c r="F1327" i="2"/>
  <c r="G1327" i="2"/>
  <c r="H1327" i="2"/>
  <c r="I1327" i="2"/>
  <c r="F1328" i="2"/>
  <c r="I1328" i="2"/>
  <c r="F1329" i="2"/>
  <c r="F1330" i="2"/>
  <c r="G1330" i="2"/>
  <c r="H1330" i="2"/>
  <c r="F1331" i="2"/>
  <c r="G1331" i="2"/>
  <c r="H1331" i="2"/>
  <c r="F1332" i="2"/>
  <c r="I1332" i="2"/>
  <c r="F1333" i="2"/>
  <c r="G1333" i="2"/>
  <c r="H1333" i="2"/>
  <c r="F1334" i="2"/>
  <c r="G1334" i="2"/>
  <c r="H1334" i="2"/>
  <c r="F1335" i="2"/>
  <c r="G1335" i="2"/>
  <c r="H1335" i="2"/>
  <c r="I1335" i="2"/>
  <c r="F1336" i="2"/>
  <c r="G1336" i="2"/>
  <c r="H1336" i="2"/>
  <c r="I1336" i="2"/>
  <c r="F1337" i="2"/>
  <c r="I1337" i="2"/>
  <c r="F1338" i="2"/>
  <c r="G1338" i="2"/>
  <c r="H1338" i="2"/>
  <c r="I1338" i="2"/>
  <c r="F1339" i="2"/>
  <c r="I1339" i="2"/>
  <c r="F1340" i="2"/>
  <c r="G1340" i="2"/>
  <c r="H1340" i="2"/>
  <c r="F1341" i="2"/>
  <c r="G1341" i="2"/>
  <c r="H1341" i="2"/>
  <c r="I1341" i="2"/>
  <c r="F1342" i="2"/>
  <c r="I1342" i="2"/>
  <c r="F1343" i="2"/>
  <c r="I1343" i="2"/>
  <c r="F1345" i="2"/>
  <c r="I1345" i="2"/>
  <c r="F1346" i="2"/>
  <c r="I1346" i="2"/>
  <c r="F1347" i="2"/>
  <c r="G1347" i="2"/>
  <c r="H1347" i="2"/>
  <c r="I1347" i="2"/>
  <c r="F1348" i="2"/>
  <c r="G1348" i="2"/>
  <c r="H1348" i="2"/>
  <c r="I1348" i="2"/>
  <c r="F1349" i="2"/>
  <c r="G1349" i="2"/>
  <c r="H1349" i="2"/>
  <c r="F1350" i="2"/>
  <c r="I1350" i="2"/>
  <c r="F1351" i="2"/>
  <c r="G1351" i="2"/>
  <c r="H1351" i="2"/>
  <c r="I1351" i="2"/>
  <c r="F1352" i="2"/>
  <c r="G1352" i="2"/>
  <c r="H1352" i="2"/>
  <c r="F1354" i="2"/>
  <c r="G1354" i="2"/>
  <c r="H1354" i="2"/>
  <c r="F1355" i="2"/>
  <c r="G1355" i="2"/>
  <c r="H1355" i="2"/>
  <c r="I1355" i="2"/>
  <c r="F1356" i="2"/>
  <c r="G1356" i="2"/>
  <c r="H1356" i="2"/>
  <c r="F1357" i="2"/>
  <c r="I1357" i="2"/>
  <c r="F1358" i="2"/>
  <c r="I1358" i="2"/>
  <c r="F1359" i="2"/>
  <c r="G1359" i="2"/>
  <c r="H1359" i="2"/>
  <c r="I1359" i="2"/>
  <c r="F1360" i="2"/>
  <c r="I1360" i="2"/>
  <c r="F1362" i="2"/>
  <c r="I1362" i="2"/>
  <c r="F1363" i="2"/>
  <c r="G1363" i="2"/>
  <c r="H1363" i="2"/>
  <c r="F1364" i="2"/>
  <c r="G1364" i="2"/>
  <c r="H1364" i="2"/>
  <c r="G1365" i="2"/>
  <c r="H1365" i="2"/>
  <c r="F1367" i="2"/>
  <c r="G1367" i="2"/>
  <c r="H1367" i="2"/>
  <c r="I1367" i="2"/>
  <c r="F1368" i="2"/>
  <c r="I1368" i="2"/>
  <c r="F1369" i="2"/>
  <c r="G1369" i="2"/>
  <c r="H1369" i="2"/>
  <c r="F1370" i="2"/>
  <c r="I1370" i="2"/>
  <c r="F1371" i="2"/>
  <c r="G1371" i="2"/>
  <c r="H1371" i="2"/>
  <c r="F1372" i="2"/>
  <c r="G1372" i="2"/>
  <c r="H1372" i="2"/>
  <c r="F1373" i="2"/>
  <c r="G1373" i="2"/>
  <c r="H1373" i="2"/>
  <c r="I1373" i="2"/>
  <c r="F1374" i="2"/>
  <c r="G1374" i="2"/>
  <c r="H1374" i="2"/>
  <c r="I1374" i="2"/>
  <c r="F1375" i="2"/>
  <c r="I1375" i="2"/>
  <c r="F1376" i="2"/>
  <c r="G1376" i="2"/>
  <c r="H1376" i="2"/>
  <c r="F1377" i="2"/>
  <c r="G1377" i="2"/>
  <c r="H1377" i="2"/>
  <c r="F1378" i="2"/>
  <c r="I1378" i="2"/>
  <c r="F1379" i="2"/>
  <c r="G1379" i="2"/>
  <c r="H1379" i="2"/>
  <c r="F1381" i="2"/>
  <c r="F1382" i="2"/>
  <c r="G1382" i="2"/>
  <c r="H1382" i="2"/>
  <c r="H1383" i="2"/>
  <c r="F1385" i="2"/>
  <c r="I1385" i="2"/>
  <c r="F1386" i="2"/>
  <c r="G1386" i="2"/>
  <c r="H1386" i="2"/>
  <c r="I1386" i="2"/>
  <c r="F1388" i="2"/>
  <c r="I1388" i="2"/>
  <c r="F1389" i="2"/>
  <c r="I1389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D1308" i="2" l="1"/>
  <c r="D1309" i="2" s="1"/>
  <c r="D1310" i="2" s="1"/>
  <c r="D1311" i="2" s="1"/>
  <c r="D1312" i="2" s="1"/>
  <c r="D1313" i="2" s="1"/>
  <c r="D1314" i="2" s="1"/>
  <c r="D1315" i="2" s="1"/>
  <c r="D1316" i="2" s="1"/>
  <c r="D1318" i="2" s="1"/>
  <c r="D1319" i="2" s="1"/>
  <c r="D1320" i="2" s="1"/>
  <c r="D1321" i="2" s="1"/>
  <c r="D1322" i="2" s="1"/>
  <c r="D1323" i="2" s="1"/>
  <c r="D1324" i="2" s="1"/>
  <c r="D1325" i="2" s="1"/>
  <c r="D1326" i="2" s="1"/>
  <c r="D1327" i="2" s="1"/>
  <c r="D1328" i="2" s="1"/>
  <c r="D1329" i="2" s="1"/>
  <c r="D1330" i="2" s="1"/>
  <c r="D1331" i="2" s="1"/>
  <c r="D1332" i="2" s="1"/>
  <c r="D1333" i="2" s="1"/>
  <c r="D1334" i="2" s="1"/>
  <c r="D1335" i="2" s="1"/>
  <c r="D1336" i="2" s="1"/>
  <c r="D1337" i="2" s="1"/>
  <c r="D1338" i="2" s="1"/>
  <c r="D1339" i="2" s="1"/>
  <c r="D1340" i="2" s="1"/>
  <c r="D1341" i="2" s="1"/>
  <c r="D1342" i="2" s="1"/>
  <c r="D1343" i="2" s="1"/>
  <c r="D1345" i="2" s="1"/>
  <c r="D1346" i="2" s="1"/>
  <c r="D1347" i="2" s="1"/>
  <c r="D1348" i="2" s="1"/>
  <c r="D1349" i="2" s="1"/>
  <c r="D1350" i="2" s="1"/>
  <c r="D1351" i="2" s="1"/>
  <c r="D1352" i="2" s="1"/>
  <c r="D1354" i="2" s="1"/>
  <c r="D1355" i="2" s="1"/>
  <c r="D1356" i="2" s="1"/>
  <c r="D1357" i="2" s="1"/>
  <c r="D1358" i="2" s="1"/>
  <c r="D1359" i="2" s="1"/>
  <c r="D1360" i="2" s="1"/>
  <c r="D1362" i="2" s="1"/>
  <c r="D1363" i="2" s="1"/>
  <c r="D1364" i="2" s="1"/>
  <c r="D1365" i="2" s="1"/>
  <c r="D1366" i="2" s="1"/>
  <c r="D1367" i="2" s="1"/>
  <c r="D1368" i="2" s="1"/>
  <c r="D1369" i="2" s="1"/>
  <c r="D1370" i="2" s="1"/>
  <c r="D1371" i="2" s="1"/>
  <c r="D1372" i="2" s="1"/>
  <c r="D1373" i="2" s="1"/>
  <c r="D1374" i="2" s="1"/>
  <c r="D1375" i="2" s="1"/>
  <c r="D1376" i="2" s="1"/>
  <c r="D1377" i="2" s="1"/>
  <c r="D1378" i="2" s="1"/>
  <c r="D1379" i="2" s="1"/>
  <c r="D1381" i="2" s="1"/>
  <c r="D1382" i="2" s="1"/>
  <c r="D1383" i="2" s="1"/>
  <c r="D1384" i="2" s="1"/>
  <c r="D1385" i="2" s="1"/>
  <c r="D1386" i="2" s="1"/>
  <c r="D1387" i="2" s="1"/>
  <c r="D1388" i="2" s="1"/>
  <c r="D1389" i="2" s="1"/>
  <c r="D1390" i="2" s="1"/>
  <c r="D1391" i="2" s="1"/>
  <c r="D1392" i="2" s="1"/>
  <c r="D1393" i="2" s="1"/>
  <c r="D1394" i="2" s="1"/>
  <c r="D1395" i="2" s="1"/>
  <c r="D1396" i="2" s="1"/>
  <c r="D1397" i="2" s="1"/>
  <c r="D1398" i="2" s="1"/>
  <c r="D1399" i="2" s="1"/>
  <c r="D1400" i="2" s="1"/>
  <c r="D1401" i="2" s="1"/>
  <c r="D1402" i="2" s="1"/>
  <c r="D1403" i="2" s="1"/>
  <c r="D1404" i="2" s="1"/>
  <c r="D1405" i="2" s="1"/>
  <c r="D1406" i="2" s="1"/>
  <c r="D1409" i="2" s="1"/>
  <c r="D1410" i="2" s="1"/>
  <c r="D1411" i="2" s="1"/>
  <c r="D1412" i="2" s="1"/>
  <c r="D1413" i="2" s="1"/>
  <c r="D1414" i="2" s="1"/>
  <c r="D1415" i="2" s="1"/>
  <c r="D1416" i="2" s="1"/>
  <c r="D1417" i="2" s="1"/>
  <c r="D1418" i="2" s="1"/>
  <c r="D1419" i="2" s="1"/>
  <c r="D1420" i="2" s="1"/>
  <c r="D1422" i="2" s="1"/>
  <c r="D1424" i="2" s="1"/>
  <c r="D1425" i="2" s="1"/>
  <c r="D1426" i="2" s="1"/>
  <c r="D1427" i="2" s="1"/>
  <c r="D1428" i="2" s="1"/>
  <c r="D1429" i="2" s="1"/>
  <c r="D1430" i="2" s="1"/>
  <c r="D1431" i="2" s="1"/>
  <c r="D1432" i="2" s="1"/>
  <c r="D1433" i="2" s="1"/>
  <c r="D1434" i="2" s="1"/>
  <c r="D1435" i="2" s="1"/>
  <c r="D1436" i="2" s="1"/>
  <c r="D1437" i="2" s="1"/>
  <c r="D1438" i="2" s="1"/>
  <c r="D1439" i="2" s="1"/>
  <c r="D1440" i="2" s="1"/>
  <c r="D1441" i="2" s="1"/>
  <c r="D1442" i="2" s="1"/>
  <c r="D1443" i="2" s="1"/>
  <c r="D1444" i="2" s="1"/>
  <c r="D1445" i="2" s="1"/>
  <c r="D1446" i="2" s="1"/>
  <c r="D1447" i="2" s="1"/>
  <c r="D1448" i="2" s="1"/>
  <c r="D1449" i="2" s="1"/>
  <c r="D1450" i="2" s="1"/>
  <c r="D1451" i="2" s="1"/>
  <c r="D1452" i="2" s="1"/>
  <c r="D1453" i="2" s="1"/>
  <c r="D1454" i="2" s="1"/>
  <c r="D1455" i="2" s="1"/>
  <c r="D1456" i="2" s="1"/>
  <c r="H1415" i="2"/>
  <c r="H1326" i="2"/>
  <c r="H1312" i="2"/>
  <c r="G1312" i="2"/>
  <c r="AC1301" i="2"/>
  <c r="I1440" i="2"/>
  <c r="F1440" i="2"/>
  <c r="I1453" i="2"/>
  <c r="I1390" i="2"/>
  <c r="F1390" i="2"/>
  <c r="G1350" i="2" l="1"/>
  <c r="H1350" i="2"/>
  <c r="G1328" i="2"/>
  <c r="H1328" i="2"/>
  <c r="H1440" i="2"/>
  <c r="H1378" i="2"/>
  <c r="G1378" i="2"/>
  <c r="G1440" i="2"/>
  <c r="I1400" i="2" l="1"/>
  <c r="F1400" i="2"/>
  <c r="G1399" i="2"/>
  <c r="F1399" i="2"/>
  <c r="G1390" i="2" l="1"/>
  <c r="G1406" i="2"/>
  <c r="G1418" i="2"/>
  <c r="G1430" i="2"/>
  <c r="G1453" i="2"/>
  <c r="G1358" i="2"/>
  <c r="I1419" i="2"/>
  <c r="F1419" i="2"/>
  <c r="F1418" i="2"/>
  <c r="G1476" i="2"/>
  <c r="G1419" i="2"/>
  <c r="G1456" i="2"/>
  <c r="H1375" i="2"/>
  <c r="V1474" i="2"/>
  <c r="H1403" i="2"/>
  <c r="G1404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H5" i="2"/>
  <c r="G1428" i="2"/>
  <c r="G1451" i="2"/>
  <c r="C7" i="17"/>
  <c r="B9" i="17"/>
  <c r="B24" i="17"/>
  <c r="C29" i="17"/>
  <c r="H1320" i="2"/>
  <c r="C26" i="17"/>
  <c r="G1414" i="2"/>
  <c r="F1391" i="2"/>
  <c r="G1391" i="2"/>
  <c r="H1391" i="2"/>
  <c r="I1391" i="2"/>
  <c r="F1392" i="2"/>
  <c r="F1393" i="2"/>
  <c r="I1393" i="2"/>
  <c r="F1394" i="2"/>
  <c r="I1394" i="2"/>
  <c r="F1395" i="2"/>
  <c r="I1395" i="2"/>
  <c r="F1396" i="2"/>
  <c r="F1397" i="2"/>
  <c r="G1397" i="2"/>
  <c r="H1397" i="2"/>
  <c r="F1398" i="2"/>
  <c r="G1398" i="2"/>
  <c r="H1398" i="2"/>
  <c r="H1399" i="2"/>
  <c r="I1399" i="2"/>
  <c r="F1401" i="2"/>
  <c r="G1401" i="2"/>
  <c r="H1401" i="2"/>
  <c r="F1402" i="2"/>
  <c r="I1402" i="2"/>
  <c r="F1403" i="2"/>
  <c r="I1403" i="2"/>
  <c r="F1404" i="2"/>
  <c r="I1404" i="2"/>
  <c r="F1405" i="2"/>
  <c r="G1405" i="2"/>
  <c r="H1405" i="2"/>
  <c r="F1406" i="2"/>
  <c r="I1406" i="2"/>
  <c r="F1409" i="2"/>
  <c r="G1409" i="2"/>
  <c r="H1409" i="2"/>
  <c r="F1410" i="2"/>
  <c r="G1410" i="2"/>
  <c r="H1410" i="2"/>
  <c r="F1411" i="2"/>
  <c r="I1411" i="2"/>
  <c r="F1412" i="2"/>
  <c r="G1412" i="2"/>
  <c r="H1412" i="2"/>
  <c r="I1412" i="2"/>
  <c r="F1414" i="2"/>
  <c r="F1415" i="2"/>
  <c r="F1416" i="2"/>
  <c r="I1416" i="2"/>
  <c r="F1417" i="2"/>
  <c r="G1417" i="2"/>
  <c r="H1417" i="2"/>
  <c r="I1418" i="2"/>
  <c r="F1420" i="2"/>
  <c r="G1420" i="2"/>
  <c r="H1420" i="2"/>
  <c r="F1422" i="2"/>
  <c r="G1422" i="2"/>
  <c r="H1422" i="2"/>
  <c r="F1424" i="2"/>
  <c r="I1424" i="2"/>
  <c r="F1425" i="2"/>
  <c r="G1425" i="2"/>
  <c r="H1425" i="2"/>
  <c r="F1426" i="2"/>
  <c r="G1426" i="2"/>
  <c r="H1426" i="2"/>
  <c r="F1427" i="2"/>
  <c r="G1427" i="2"/>
  <c r="H1427" i="2"/>
  <c r="F1428" i="2"/>
  <c r="F1429" i="2"/>
  <c r="I1429" i="2"/>
  <c r="F1430" i="2"/>
  <c r="I1430" i="2"/>
  <c r="F1431" i="2"/>
  <c r="F1432" i="2"/>
  <c r="I1432" i="2"/>
  <c r="F1433" i="2"/>
  <c r="G1433" i="2"/>
  <c r="H1433" i="2"/>
  <c r="F1434" i="2"/>
  <c r="G1434" i="2"/>
  <c r="H1434" i="2"/>
  <c r="F1435" i="2"/>
  <c r="I1435" i="2"/>
  <c r="F1437" i="2"/>
  <c r="G1437" i="2"/>
  <c r="H1437" i="2"/>
  <c r="F1438" i="2"/>
  <c r="I1438" i="2"/>
  <c r="F1442" i="2"/>
  <c r="H1442" i="2"/>
  <c r="F1443" i="2"/>
  <c r="G1443" i="2"/>
  <c r="H1443" i="2"/>
  <c r="F1444" i="2"/>
  <c r="I1444" i="2"/>
  <c r="F1445" i="2"/>
  <c r="I1445" i="2"/>
  <c r="F1446" i="2"/>
  <c r="G1446" i="2"/>
  <c r="H1446" i="2"/>
  <c r="F1447" i="2"/>
  <c r="G1447" i="2"/>
  <c r="H1447" i="2"/>
  <c r="I1447" i="2"/>
  <c r="F1449" i="2"/>
  <c r="G1449" i="2"/>
  <c r="H1449" i="2"/>
  <c r="I1449" i="2"/>
  <c r="F1450" i="2"/>
  <c r="G1450" i="2"/>
  <c r="H1450" i="2"/>
  <c r="I1450" i="2"/>
  <c r="F1451" i="2"/>
  <c r="I1451" i="2"/>
  <c r="F1452" i="2"/>
  <c r="G1452" i="2"/>
  <c r="H1452" i="2"/>
  <c r="F1453" i="2"/>
  <c r="H1453" i="2"/>
  <c r="F1454" i="2"/>
  <c r="G1454" i="2"/>
  <c r="H1454" i="2"/>
  <c r="I1454" i="2"/>
  <c r="F1455" i="2"/>
  <c r="I1455" i="2"/>
  <c r="F1456" i="2"/>
  <c r="I1456" i="2"/>
  <c r="F1461" i="2"/>
  <c r="F1463" i="2"/>
  <c r="F1469" i="2"/>
  <c r="H1469" i="2" s="1"/>
  <c r="I1469" i="2"/>
  <c r="K1469" i="2" s="1"/>
  <c r="J1469" i="2"/>
  <c r="L1469" i="2"/>
  <c r="W1469" i="2" s="1"/>
  <c r="V1469" i="2"/>
  <c r="X1469" i="2"/>
  <c r="Z1469" i="2" s="1"/>
  <c r="Y1469" i="2"/>
  <c r="F1470" i="2"/>
  <c r="H1470" i="2" s="1"/>
  <c r="I1470" i="2"/>
  <c r="K1470" i="2" s="1"/>
  <c r="J1470" i="2"/>
  <c r="L1470" i="2"/>
  <c r="W1470" i="2" s="1"/>
  <c r="V1470" i="2"/>
  <c r="X1470" i="2"/>
  <c r="Z1470" i="2" s="1"/>
  <c r="Y1470" i="2"/>
  <c r="F1471" i="2"/>
  <c r="H1471" i="2" s="1"/>
  <c r="I1471" i="2"/>
  <c r="K1471" i="2" s="1"/>
  <c r="J1471" i="2"/>
  <c r="L1471" i="2"/>
  <c r="W1471" i="2" s="1"/>
  <c r="V1471" i="2"/>
  <c r="X1471" i="2"/>
  <c r="Z1471" i="2" s="1"/>
  <c r="Y1471" i="2"/>
  <c r="F1472" i="2"/>
  <c r="H1472" i="2" s="1"/>
  <c r="G1472" i="2"/>
  <c r="I1472" i="2"/>
  <c r="K1472" i="2" s="1"/>
  <c r="J1472" i="2"/>
  <c r="L1472" i="2"/>
  <c r="W1472" i="2" s="1"/>
  <c r="V1472" i="2"/>
  <c r="X1472" i="2"/>
  <c r="Z1472" i="2" s="1"/>
  <c r="Y1472" i="2"/>
  <c r="F1473" i="2"/>
  <c r="H1473" i="2" s="1"/>
  <c r="I1473" i="2"/>
  <c r="K1473" i="2" s="1"/>
  <c r="J1473" i="2"/>
  <c r="L1473" i="2"/>
  <c r="W1473" i="2" s="1"/>
  <c r="V1473" i="2"/>
  <c r="X1473" i="2"/>
  <c r="Z1473" i="2" s="1"/>
  <c r="Y1473" i="2"/>
  <c r="F1474" i="2"/>
  <c r="H1474" i="2" s="1"/>
  <c r="I1474" i="2"/>
  <c r="K1474" i="2" s="1"/>
  <c r="L1474" i="2"/>
  <c r="W1474" i="2" s="1"/>
  <c r="X1474" i="2"/>
  <c r="Z1474" i="2" s="1"/>
  <c r="Y1474" i="2"/>
  <c r="F1475" i="2"/>
  <c r="H1475" i="2" s="1"/>
  <c r="I1475" i="2"/>
  <c r="K1475" i="2" s="1"/>
  <c r="L1475" i="2"/>
  <c r="W1475" i="2" s="1"/>
  <c r="X1475" i="2"/>
  <c r="Z1475" i="2" s="1"/>
  <c r="Y1475" i="2"/>
  <c r="F1476" i="2"/>
  <c r="H1476" i="2" s="1"/>
  <c r="I1476" i="2"/>
  <c r="K1476" i="2" s="1"/>
  <c r="J1476" i="2"/>
  <c r="L1476" i="2"/>
  <c r="W1476" i="2" s="1"/>
  <c r="V1476" i="2"/>
  <c r="X1476" i="2"/>
  <c r="Z1476" i="2" s="1"/>
  <c r="Y1476" i="2"/>
  <c r="F1477" i="2"/>
  <c r="H1477" i="2" s="1"/>
  <c r="G1477" i="2"/>
  <c r="I1477" i="2"/>
  <c r="K1477" i="2" s="1"/>
  <c r="J1477" i="2"/>
  <c r="L1477" i="2"/>
  <c r="W1477" i="2" s="1"/>
  <c r="V1477" i="2"/>
  <c r="X1477" i="2"/>
  <c r="Z1477" i="2" s="1"/>
  <c r="Y1477" i="2"/>
  <c r="F1478" i="2"/>
  <c r="H1478" i="2" s="1"/>
  <c r="G1478" i="2"/>
  <c r="I1478" i="2"/>
  <c r="K1478" i="2" s="1"/>
  <c r="J1478" i="2"/>
  <c r="L1478" i="2"/>
  <c r="W1478" i="2" s="1"/>
  <c r="V1478" i="2"/>
  <c r="X1478" i="2"/>
  <c r="Z1478" i="2" s="1"/>
  <c r="Y1478" i="2"/>
  <c r="F1479" i="2"/>
  <c r="H1479" i="2" s="1"/>
  <c r="G1479" i="2"/>
  <c r="I1479" i="2"/>
  <c r="K1479" i="2" s="1"/>
  <c r="J1479" i="2"/>
  <c r="L1479" i="2"/>
  <c r="W1479" i="2" s="1"/>
  <c r="V1479" i="2"/>
  <c r="X1479" i="2"/>
  <c r="Z1479" i="2" s="1"/>
  <c r="Y1479" i="2"/>
  <c r="F1480" i="2"/>
  <c r="H1480" i="2" s="1"/>
  <c r="G1480" i="2"/>
  <c r="I1480" i="2"/>
  <c r="K1480" i="2" s="1"/>
  <c r="J1480" i="2"/>
  <c r="L1480" i="2"/>
  <c r="W1480" i="2" s="1"/>
  <c r="X1480" i="2"/>
  <c r="Z1480" i="2" s="1"/>
  <c r="Y1480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G1424" i="2"/>
  <c r="H1424" i="2"/>
  <c r="H1451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H1414" i="2"/>
  <c r="G1469" i="2"/>
  <c r="G1442" i="2"/>
  <c r="H1395" i="2"/>
  <c r="G1395" i="2"/>
  <c r="H1428" i="2"/>
  <c r="G1396" i="2"/>
  <c r="H1396" i="2"/>
  <c r="G1403" i="2"/>
  <c r="H1393" i="2"/>
  <c r="H1406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H1368" i="2"/>
  <c r="H1337" i="2"/>
  <c r="C39" i="4"/>
  <c r="C40" i="4" s="1"/>
  <c r="H1332" i="2"/>
  <c r="H1370" i="2"/>
  <c r="G1302" i="2"/>
  <c r="H1302" i="2"/>
  <c r="G1360" i="2"/>
  <c r="H1360" i="2"/>
  <c r="G1381" i="2"/>
  <c r="H1381" i="2"/>
  <c r="G1329" i="2"/>
  <c r="H1329" i="2"/>
  <c r="G1368" i="2"/>
  <c r="G1337" i="2"/>
  <c r="H1430" i="2"/>
  <c r="G1400" i="2"/>
  <c r="H1400" i="2"/>
  <c r="H1358" i="2"/>
  <c r="G1385" i="2"/>
  <c r="H1385" i="2"/>
  <c r="H1362" i="2"/>
  <c r="G1375" i="2"/>
  <c r="G1370" i="2"/>
  <c r="G1320" i="2"/>
  <c r="G1357" i="2"/>
  <c r="H1357" i="2"/>
  <c r="G1343" i="2"/>
  <c r="H1343" i="2"/>
  <c r="G1362" i="2"/>
  <c r="G1389" i="2"/>
  <c r="H1389" i="2"/>
  <c r="G1345" i="2"/>
  <c r="H1345" i="2"/>
  <c r="H1346" i="2"/>
  <c r="G1346" i="2"/>
  <c r="H1314" i="2"/>
  <c r="G1325" i="2"/>
  <c r="H1325" i="2"/>
  <c r="H1388" i="2"/>
  <c r="G1388" i="2"/>
  <c r="G1339" i="2"/>
  <c r="H1339" i="2"/>
  <c r="G1342" i="2"/>
  <c r="H1342" i="2"/>
  <c r="G1332" i="2"/>
  <c r="H1390" i="2"/>
  <c r="AG5" i="2"/>
  <c r="AP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H1429" i="2"/>
  <c r="C34" i="11"/>
  <c r="C36" i="11" s="1"/>
  <c r="G1475" i="2"/>
  <c r="C26" i="11"/>
  <c r="C27" i="11"/>
  <c r="C28" i="11" s="1"/>
  <c r="R56" i="3"/>
  <c r="Q62" i="3" s="1"/>
  <c r="Q63" i="3" s="1"/>
  <c r="Q64" i="3" s="1"/>
  <c r="G1431" i="2"/>
  <c r="H1456" i="2"/>
  <c r="F1464" i="2"/>
  <c r="H1394" i="2"/>
  <c r="H1432" i="2"/>
  <c r="H1455" i="2"/>
  <c r="H1418" i="2"/>
  <c r="H1445" i="2"/>
  <c r="H1431" i="2"/>
  <c r="H1392" i="2"/>
  <c r="H1404" i="2"/>
  <c r="H1411" i="2"/>
  <c r="C42" i="4"/>
  <c r="H1438" i="2"/>
  <c r="H1444" i="2"/>
  <c r="U52" i="12"/>
  <c r="D49" i="4"/>
  <c r="G1411" i="2"/>
  <c r="H1419" i="2"/>
  <c r="G1438" i="2"/>
  <c r="G1444" i="2"/>
  <c r="H1416" i="2"/>
  <c r="H1402" i="2"/>
  <c r="J1474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H1435" i="2"/>
  <c r="Q69" i="3"/>
  <c r="Q71" i="3" s="1"/>
  <c r="G1394" i="2"/>
  <c r="G1432" i="2"/>
  <c r="G1455" i="2"/>
  <c r="R7" i="3"/>
  <c r="D7" i="11" s="1"/>
  <c r="D34" i="11" s="1"/>
  <c r="D36" i="11" s="1"/>
  <c r="Q61" i="3"/>
  <c r="G1392" i="2"/>
  <c r="G1415" i="2"/>
  <c r="V1475" i="2"/>
  <c r="G1470" i="2"/>
  <c r="G1474" i="2"/>
  <c r="G1429" i="2"/>
  <c r="P69" i="3"/>
  <c r="P71" i="3" s="1"/>
  <c r="C13" i="18"/>
  <c r="B12" i="18"/>
  <c r="V1480" i="2"/>
  <c r="C11" i="18"/>
  <c r="G1416" i="2"/>
  <c r="B11" i="18"/>
  <c r="G1402" i="2"/>
  <c r="G1471" i="2"/>
  <c r="C37" i="17"/>
  <c r="G1393" i="2"/>
  <c r="G1445" i="2"/>
  <c r="G1435" i="2"/>
  <c r="C86" i="18"/>
  <c r="J1475" i="2"/>
  <c r="C8" i="18"/>
  <c r="B6" i="18"/>
  <c r="G1473" i="2"/>
  <c r="C7" i="18"/>
  <c r="B9" i="18"/>
  <c r="B14" i="18"/>
  <c r="C10" i="18"/>
  <c r="B7" i="18"/>
  <c r="B13" i="18"/>
  <c r="C15" i="18"/>
  <c r="C16" i="18"/>
  <c r="I1458" i="2"/>
  <c r="F1458" i="2"/>
  <c r="F1462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Y1481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Z1481" i="2"/>
  <c r="M9" i="12"/>
  <c r="H1481" i="2"/>
  <c r="W1481" i="2"/>
  <c r="I1481" i="2"/>
  <c r="L1481" i="2"/>
  <c r="X1481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K1481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F1481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F1459" i="2" l="1"/>
  <c r="F5" i="2"/>
  <c r="B54" i="18"/>
  <c r="C54" i="18"/>
  <c r="G58" i="19"/>
  <c r="C29" i="11"/>
  <c r="R70" i="3"/>
  <c r="C36" i="18"/>
  <c r="C58" i="19"/>
  <c r="A3" i="19" s="1"/>
  <c r="B36" i="18"/>
  <c r="R69" i="3"/>
  <c r="D81" i="15"/>
  <c r="F1484" i="2"/>
  <c r="F1485" i="2" s="1"/>
  <c r="J1481" i="2"/>
  <c r="H1458" i="2"/>
  <c r="V1481" i="2"/>
  <c r="G1458" i="2"/>
  <c r="Z5" i="2" s="1"/>
  <c r="G1481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F1468" i="2"/>
  <c r="F1491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B83" i="18" l="1"/>
  <c r="C83" i="18"/>
  <c r="R71" i="3"/>
  <c r="G1468" i="2"/>
  <c r="X52" i="12"/>
  <c r="X52" i="13"/>
  <c r="X45" i="15"/>
  <c r="X52" i="16"/>
  <c r="X52" i="14"/>
  <c r="B88" i="18" l="1"/>
  <c r="B82" i="18" s="1"/>
  <c r="C88" i="18"/>
  <c r="C82" i="18" s="1"/>
</calcChain>
</file>

<file path=xl/sharedStrings.xml><?xml version="1.0" encoding="utf-8"?>
<sst xmlns="http://schemas.openxmlformats.org/spreadsheetml/2006/main" count="2801" uniqueCount="659">
  <si>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</si>
  <si>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</si>
  <si>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</si>
  <si>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</si>
  <si>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</si>
  <si>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</si>
  <si>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</si>
  <si>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</si>
  <si>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</si>
  <si>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</si>
  <si>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</si>
  <si>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</si>
  <si>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</si>
  <si>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</si>
  <si>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</si>
  <si>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</si>
  <si>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</si>
  <si>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</si>
  <si>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</si>
  <si>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</si>
  <si>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</si>
  <si>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</si>
  <si>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</si>
  <si>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</si>
  <si>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</si>
  <si>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</si>
  <si>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</si>
  <si>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</si>
  <si>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</si>
  <si>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</si>
  <si>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</si>
  <si>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</si>
  <si>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</si>
  <si>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</si>
  <si>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</si>
  <si>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</si>
  <si>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</si>
  <si>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</si>
  <si>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</si>
  <si>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</si>
  <si>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</si>
  <si>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</si>
  <si>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</si>
  <si>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</si>
  <si>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</si>
  <si>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</si>
  <si>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</si>
  <si>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</si>
  <si>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</si>
  <si>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</si>
  <si>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</si>
  <si>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</si>
  <si>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</si>
  <si>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</si>
  <si>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</si>
  <si>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</si>
  <si>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</si>
  <si>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</si>
  <si>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</si>
  <si>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</si>
  <si>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</si>
  <si>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</si>
  <si>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</si>
  <si>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</si>
  <si>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</si>
  <si>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</si>
  <si>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</si>
  <si>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</si>
  <si>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</si>
  <si>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</si>
  <si>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</si>
  <si>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</si>
  <si>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</si>
  <si>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</si>
  <si>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</si>
  <si>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</si>
  <si>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</si>
  <si>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</si>
  <si>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</si>
  <si>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</si>
  <si>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</si>
  <si>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</si>
  <si>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</si>
  <si>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</si>
  <si>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</si>
  <si>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</si>
  <si>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</si>
  <si>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</si>
  <si>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</si>
  <si>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</si>
  <si>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</si>
  <si>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</si>
  <si>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</si>
  <si>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</si>
  <si>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</si>
  <si>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</si>
  <si>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</si>
  <si>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</si>
  <si>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</si>
  <si>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</si>
  <si>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</si>
  <si>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</si>
  <si>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</si>
  <si>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</si>
  <si>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</si>
  <si>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</si>
  <si>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</si>
  <si>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</si>
  <si>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</si>
  <si>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</si>
  <si>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</si>
  <si>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</si>
  <si>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</si>
  <si>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</si>
  <si>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</si>
  <si>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</si>
  <si>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</si>
  <si>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</si>
  <si>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</si>
  <si>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</si>
  <si>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</si>
  <si>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</si>
  <si>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</si>
  <si>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</si>
  <si>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</si>
  <si>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</si>
  <si>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</si>
  <si>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</si>
  <si>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</si>
  <si>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</si>
  <si>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</si>
  <si>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</si>
  <si>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</si>
  <si>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</si>
  <si>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</si>
  <si>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</si>
  <si>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</si>
  <si>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</si>
  <si>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</si>
  <si>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</si>
  <si>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</si>
  <si>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</si>
  <si>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</si>
  <si>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</si>
  <si>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</si>
  <si>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</si>
  <si>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</si>
  <si>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</si>
  <si>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</si>
  <si>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</si>
  <si>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</si>
  <si>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</si>
  <si>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</si>
  <si>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</si>
  <si>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</si>
  <si>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</si>
  <si>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</si>
  <si>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</si>
  <si>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</si>
  <si>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</si>
  <si>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</si>
  <si>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</si>
  <si>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</si>
  <si>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</si>
  <si>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</si>
  <si>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</si>
  <si>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</si>
  <si>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</si>
  <si>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</si>
  <si>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</si>
  <si>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</si>
  <si>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</si>
  <si>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</si>
  <si>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</si>
  <si>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</si>
  <si>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</si>
  <si>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</si>
  <si>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</si>
  <si>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</si>
  <si>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</si>
  <si>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</si>
  <si>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</si>
  <si>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</si>
  <si>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</si>
  <si>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</si>
  <si>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</si>
  <si>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</si>
  <si>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</si>
  <si>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</si>
  <si>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</si>
  <si>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</si>
  <si>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</si>
  <si>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</si>
  <si>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</si>
  <si>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</si>
  <si>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</si>
  <si>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</si>
  <si>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</si>
  <si>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</si>
  <si>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</si>
  <si>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</si>
  <si>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</si>
  <si>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</si>
  <si>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</si>
  <si>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</si>
  <si>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</si>
  <si>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</si>
  <si>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</si>
  <si>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</si>
  <si>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</si>
  <si>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</si>
  <si>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</si>
  <si>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</si>
  <si>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</si>
  <si>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</si>
  <si>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</si>
  <si>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</si>
  <si>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</si>
  <si>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</si>
  <si>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</si>
  <si>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</si>
  <si>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</si>
  <si>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</si>
  <si>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</si>
  <si>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</si>
  <si>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</si>
  <si>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</si>
  <si>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</si>
  <si>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</si>
  <si>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</si>
  <si>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</si>
  <si>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</si>
  <si>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</si>
  <si>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</si>
  <si>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</si>
  <si>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</si>
  <si>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</si>
  <si>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</si>
  <si>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</si>
  <si>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</si>
  <si>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</si>
  <si>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</si>
  <si>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</si>
  <si>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</si>
  <si>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</si>
  <si>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</si>
  <si>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</si>
  <si>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</si>
  <si>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</si>
  <si>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</si>
  <si>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</si>
  <si>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</si>
  <si>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</si>
  <si>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</si>
  <si>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</si>
  <si>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</si>
  <si>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</si>
  <si>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</si>
  <si>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</si>
  <si>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</si>
  <si>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</si>
  <si>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</si>
  <si>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</si>
  <si>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</si>
  <si>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</si>
  <si>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</si>
  <si>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</si>
  <si>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</si>
  <si>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</si>
  <si>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</si>
  <si>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</si>
  <si>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</si>
  <si>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</si>
  <si>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</si>
  <si>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</si>
  <si>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</si>
  <si>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</si>
  <si>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</si>
  <si>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</si>
  <si>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</si>
  <si>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</si>
  <si>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</si>
  <si>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</si>
  <si>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</si>
  <si>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</si>
  <si>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</si>
  <si>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</si>
  <si>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</si>
  <si>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</si>
  <si>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</si>
  <si>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</si>
  <si>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</si>
  <si>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</si>
  <si>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</si>
  <si>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</si>
  <si>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</si>
  <si>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</si>
  <si>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</si>
  <si>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</si>
  <si>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</si>
  <si>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</si>
  <si>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</si>
  <si>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</si>
  <si>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</si>
  <si>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</si>
  <si>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</si>
  <si>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</si>
  <si>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</si>
  <si>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</si>
  <si>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</si>
  <si>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</si>
  <si>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</si>
  <si>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</si>
  <si>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</si>
  <si>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</si>
  <si>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</si>
  <si>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</si>
  <si>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</si>
  <si>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</si>
  <si>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</si>
  <si>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</si>
  <si>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</si>
  <si>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</si>
  <si>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</si>
  <si>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</si>
  <si>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</si>
  <si>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</si>
  <si>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</si>
  <si>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</si>
  <si>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</si>
  <si>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</si>
  <si>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</si>
  <si>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</si>
  <si>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</si>
  <si>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</si>
  <si>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</si>
  <si>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</si>
  <si>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</si>
  <si>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</si>
  <si>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</si>
  <si>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</si>
  <si>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</si>
  <si>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</si>
  <si>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</si>
  <si>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</si>
  <si>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</si>
  <si>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</si>
  <si>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</si>
  <si>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</si>
  <si>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</si>
  <si>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</si>
  <si>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</si>
  <si>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</si>
  <si>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</si>
  <si>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</si>
  <si>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</si>
  <si>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</si>
  <si>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</si>
  <si>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</si>
  <si>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</si>
  <si>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</si>
  <si>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</si>
  <si>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</si>
  <si>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</si>
  <si>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</si>
  <si>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</si>
  <si>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</si>
  <si>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</si>
  <si>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</si>
  <si>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</si>
  <si>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</si>
  <si>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BCV Tecnology</t>
  </si>
  <si>
    <t>Rasera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</si>
  <si>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</si>
  <si>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</si>
  <si>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</si>
  <si>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</si>
  <si>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</si>
  <si>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</si>
  <si>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</si>
  <si>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</si>
  <si>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</si>
  <si>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</si>
  <si>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</si>
  <si>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</si>
  <si>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</si>
  <si>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</si>
  <si>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</si>
  <si>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</si>
  <si>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</si>
  <si>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</si>
  <si>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</si>
  <si>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</si>
  <si>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</si>
  <si>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</si>
  <si>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</si>
  <si>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</si>
  <si>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</si>
  <si>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</si>
  <si>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Elpicast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</si>
  <si>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</si>
  <si>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</si>
  <si>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</si>
  <si>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</si>
  <si>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</si>
  <si>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</si>
  <si>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</si>
  <si>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</si>
  <si>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</si>
  <si>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</si>
  <si>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</si>
  <si>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</si>
  <si>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</si>
  <si>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</si>
  <si>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</si>
  <si>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</si>
  <si>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</si>
  <si>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</si>
  <si>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</si>
  <si>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</si>
  <si>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</si>
  <si>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</si>
  <si>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COMMISSIONI COBRAL 2025 PER CALKOS</t>
  </si>
  <si>
    <t>Gen Set</t>
  </si>
  <si>
    <t>O0251675</t>
  </si>
  <si>
    <t>Rausch</t>
  </si>
  <si>
    <t>Rotech</t>
  </si>
  <si>
    <t>Botter</t>
  </si>
  <si>
    <t>O0251646</t>
  </si>
  <si>
    <t>O0251676</t>
  </si>
  <si>
    <t>FIS250210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</si>
  <si>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</si>
  <si>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</si>
  <si>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</si>
  <si>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</si>
  <si>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</si>
  <si>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</si>
  <si>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</si>
  <si>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</si>
  <si>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</si>
  <si>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</si>
  <si>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</si>
  <si>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</si>
  <si>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O0252335</t>
  </si>
  <si>
    <t>O0252365</t>
  </si>
  <si>
    <t>FIS250214</t>
  </si>
  <si>
    <t>cons Kg 90</t>
  </si>
  <si>
    <t>cons Kg 80</t>
  </si>
  <si>
    <t>O0252477</t>
  </si>
  <si>
    <t>O0252544</t>
  </si>
  <si>
    <t>O0252547</t>
  </si>
  <si>
    <t>O0252355/B03642</t>
  </si>
  <si>
    <t>O0252357/B03642</t>
  </si>
  <si>
    <t>O0252463/B03642</t>
  </si>
  <si>
    <t>O0252114/B03666</t>
  </si>
  <si>
    <t>O0252357/B03685</t>
  </si>
  <si>
    <t>O0252356/B03702</t>
  </si>
  <si>
    <t>FIS250219</t>
  </si>
  <si>
    <t>O0252354/B03771</t>
  </si>
  <si>
    <t>O0252280/B03745</t>
  </si>
  <si>
    <t>O0252353/B03745</t>
  </si>
  <si>
    <t>O0252646</t>
  </si>
  <si>
    <t>Eservice</t>
  </si>
  <si>
    <t>O0252632</t>
  </si>
  <si>
    <t>O0252687</t>
  </si>
  <si>
    <t>O0252690</t>
  </si>
  <si>
    <t>O0252609</t>
  </si>
  <si>
    <t>O0252355/B03842</t>
  </si>
  <si>
    <t>O0252356/B03832</t>
  </si>
  <si>
    <t>mancano Kg 500</t>
  </si>
  <si>
    <t>O0252663</t>
  </si>
  <si>
    <t>O0252718</t>
  </si>
  <si>
    <t>O0252731</t>
  </si>
  <si>
    <t>O0252357/B03941</t>
  </si>
  <si>
    <t>O0252354/B03963</t>
  </si>
  <si>
    <t>O0252355/B03963</t>
  </si>
  <si>
    <t>O0252357/B03963</t>
  </si>
  <si>
    <t>O0252773</t>
  </si>
  <si>
    <t>O0252610/B04003</t>
  </si>
  <si>
    <t>O0252464/B04004</t>
  </si>
  <si>
    <t>O0252776</t>
  </si>
  <si>
    <t>O0252774</t>
  </si>
  <si>
    <t>O0252775</t>
  </si>
  <si>
    <t>O0252780</t>
  </si>
  <si>
    <t>O0251935/B04031</t>
  </si>
  <si>
    <t>O0252356/B04032</t>
  </si>
  <si>
    <t>O0252357/B04032</t>
  </si>
  <si>
    <t>O0252465/B04032</t>
  </si>
  <si>
    <t>Sgm</t>
  </si>
  <si>
    <t>O0252833</t>
  </si>
  <si>
    <t>FIS250224</t>
  </si>
  <si>
    <t>O0252848</t>
  </si>
  <si>
    <t>O0252356/B04109</t>
  </si>
  <si>
    <t>O0252872</t>
  </si>
  <si>
    <t>O0252875</t>
  </si>
  <si>
    <t>O0252610/B04126</t>
  </si>
  <si>
    <t>O0252853</t>
  </si>
  <si>
    <t>FIS250225</t>
  </si>
  <si>
    <t>O0252354/B04147</t>
  </si>
  <si>
    <t>O0252668/B04146</t>
  </si>
  <si>
    <t>O0252675/B04146</t>
  </si>
  <si>
    <t>O0252787/B04169</t>
  </si>
  <si>
    <t>O0252788/B04169</t>
  </si>
  <si>
    <t>O0252791/B04169</t>
  </si>
  <si>
    <t>O0252434/B04184</t>
  </si>
  <si>
    <t>O0252703/B04184</t>
  </si>
  <si>
    <t>O0252811/B04155</t>
  </si>
  <si>
    <t>O0252477/B04163</t>
  </si>
  <si>
    <t>O0252529/B04163</t>
  </si>
  <si>
    <t>O0252664/B04163</t>
  </si>
  <si>
    <t>O0252648/B04172</t>
  </si>
  <si>
    <t>O0252763/B04172</t>
  </si>
  <si>
    <t>O0252833/B04172</t>
  </si>
  <si>
    <t>O0252268/B04178</t>
  </si>
  <si>
    <t>O0250882/B4166</t>
  </si>
  <si>
    <t>O0252632/B04166</t>
  </si>
  <si>
    <t>O0252477/B04195</t>
  </si>
  <si>
    <t>O0252529/B04195</t>
  </si>
  <si>
    <t>O0252808/B04195</t>
  </si>
  <si>
    <t>O0252664/B04201</t>
  </si>
  <si>
    <t>O0252705/B04195</t>
  </si>
  <si>
    <t>Bcv</t>
  </si>
  <si>
    <t>O0252920</t>
  </si>
  <si>
    <t>O0252265/B04150</t>
  </si>
  <si>
    <t>O0252720/B04207</t>
  </si>
  <si>
    <t>O0252591/B04150</t>
  </si>
  <si>
    <t>O0243400/B04175</t>
  </si>
  <si>
    <t>O0243401/B04175</t>
  </si>
  <si>
    <t>O0252720/B04175</t>
  </si>
  <si>
    <t>O0252616/B04183</t>
  </si>
  <si>
    <t>O0252646/B04183</t>
  </si>
  <si>
    <t>O0252869/B04194</t>
  </si>
  <si>
    <t>O0252925</t>
  </si>
  <si>
    <t>O0252890/B04223</t>
  </si>
  <si>
    <t>O0252824/B04237</t>
  </si>
  <si>
    <t>O0252792/B04236</t>
  </si>
  <si>
    <t>O0252789/B04236</t>
  </si>
  <si>
    <t>O0252711/B04231</t>
  </si>
  <si>
    <t>O0252808/B04251</t>
  </si>
  <si>
    <t>O0252858/B04248</t>
  </si>
  <si>
    <t>O0252667/B04249</t>
  </si>
  <si>
    <t>O0252959</t>
  </si>
  <si>
    <t>O0252965</t>
  </si>
  <si>
    <t>O0252937</t>
  </si>
  <si>
    <t>O0252939</t>
  </si>
  <si>
    <t>O0252841/B04265</t>
  </si>
  <si>
    <t>mancano Kg 700</t>
  </si>
  <si>
    <t>O0252870/B04274</t>
  </si>
  <si>
    <t>O0252899/B04275</t>
  </si>
  <si>
    <t>O0252919/B04277</t>
  </si>
  <si>
    <t>O0252869/B04266</t>
  </si>
  <si>
    <t>O0252919/B04266</t>
  </si>
  <si>
    <t>O0252952</t>
  </si>
  <si>
    <t>O0252422/B04296</t>
  </si>
  <si>
    <t>O0252423/B04296</t>
  </si>
  <si>
    <t>O0252763/B04297</t>
  </si>
  <si>
    <t>O0252779/B04292</t>
  </si>
  <si>
    <t>O0252478/B04291</t>
  </si>
  <si>
    <t>O0252829/B04296</t>
  </si>
  <si>
    <t>O0252973</t>
  </si>
  <si>
    <t>O0252883/B04327</t>
  </si>
  <si>
    <t>O0252731/B04321</t>
  </si>
  <si>
    <t>O0252590/B04321</t>
  </si>
  <si>
    <t>O0252366/B04321</t>
  </si>
  <si>
    <t>O0252617/B04303</t>
  </si>
  <si>
    <t>O0252846/B04309</t>
  </si>
  <si>
    <t>O0243400/B04323</t>
  </si>
  <si>
    <t>O0252859/B04323</t>
  </si>
  <si>
    <t>O0252705/B04322</t>
  </si>
  <si>
    <t>O0252830/B04289</t>
  </si>
  <si>
    <t>O0252877/B04289</t>
  </si>
  <si>
    <t>O0252763/B04326</t>
  </si>
  <si>
    <t>O025919/B04330</t>
  </si>
  <si>
    <t>mancano Kg 8000</t>
  </si>
  <si>
    <t>O0252264/B04328</t>
  </si>
  <si>
    <t>O0252360/B04328</t>
  </si>
  <si>
    <t>O0252625/B04328</t>
  </si>
  <si>
    <t>O0252976</t>
  </si>
  <si>
    <t>O0252975</t>
  </si>
  <si>
    <t>O0252981</t>
  </si>
  <si>
    <t>O0252705/B04350</t>
  </si>
  <si>
    <t>O0252891/B04344</t>
  </si>
  <si>
    <t>O0252244/B04268</t>
  </si>
  <si>
    <t>O0252246/B04268</t>
  </si>
  <si>
    <t>O0252685/B04267</t>
  </si>
  <si>
    <t>O0252684/B04267</t>
  </si>
  <si>
    <t>Barre</t>
  </si>
  <si>
    <t>O0252763/B04359</t>
  </si>
  <si>
    <t>O0252748/B04360</t>
  </si>
  <si>
    <t>O0252808/B04357</t>
  </si>
  <si>
    <t>O0252892/B04354</t>
  </si>
  <si>
    <t>O0252466/B04355</t>
  </si>
  <si>
    <t>Tranceria Vicenza</t>
  </si>
  <si>
    <t>O0253011</t>
  </si>
  <si>
    <t>O0253010</t>
  </si>
  <si>
    <t>O0252900/B04381</t>
  </si>
  <si>
    <t>O0252974</t>
  </si>
  <si>
    <t>O0253033</t>
  </si>
  <si>
    <t>O0253029</t>
  </si>
  <si>
    <t>O0253039</t>
  </si>
  <si>
    <t>O0253032</t>
  </si>
  <si>
    <t>O0253035</t>
  </si>
  <si>
    <t>O0253027</t>
  </si>
  <si>
    <t>O0252859/B04373</t>
  </si>
  <si>
    <t>O0252919/B04386</t>
  </si>
  <si>
    <t>O0252922/B04386</t>
  </si>
  <si>
    <t>O0253031</t>
  </si>
  <si>
    <t xml:space="preserve"> </t>
  </si>
  <si>
    <t>O0253048</t>
  </si>
  <si>
    <t>O0252940/B04401</t>
  </si>
  <si>
    <t>O0252763/B04368</t>
  </si>
  <si>
    <t>O0253047</t>
  </si>
  <si>
    <t>O0253056</t>
  </si>
  <si>
    <t>O0253050</t>
  </si>
  <si>
    <t>O0253049</t>
  </si>
  <si>
    <t>FIS250234</t>
  </si>
  <si>
    <t>O0252407/B04408</t>
  </si>
  <si>
    <t>O0252513/B04408</t>
  </si>
  <si>
    <t>O0252753/B04408</t>
  </si>
  <si>
    <t>O0252735/B04408</t>
  </si>
  <si>
    <t>O0252617/B04411</t>
  </si>
  <si>
    <t>mancano Kg 1500</t>
  </si>
  <si>
    <t>mancano Kg 2400</t>
  </si>
  <si>
    <t>O0252432/B04409</t>
  </si>
  <si>
    <t>O0252590/B04409</t>
  </si>
  <si>
    <t>O0252646/B04409</t>
  </si>
  <si>
    <t>O0252875/B04409</t>
  </si>
  <si>
    <t>O0252918/B04422</t>
  </si>
  <si>
    <t>O0252920/B04422</t>
  </si>
  <si>
    <t>O0252731/B04410</t>
  </si>
  <si>
    <t>O0253043</t>
  </si>
  <si>
    <t>O0253088</t>
  </si>
  <si>
    <t>O0253096</t>
  </si>
  <si>
    <t>O0253075</t>
  </si>
  <si>
    <t>O0253095</t>
  </si>
  <si>
    <t>O0253022</t>
  </si>
  <si>
    <t>O0253046</t>
  </si>
  <si>
    <t>O0253099</t>
  </si>
  <si>
    <t>O0253098</t>
  </si>
  <si>
    <t>O0253097</t>
  </si>
  <si>
    <t>O0253071</t>
  </si>
  <si>
    <t>O0253070</t>
  </si>
  <si>
    <t>O0253108</t>
  </si>
  <si>
    <t>O0253107</t>
  </si>
  <si>
    <t>O0253093</t>
  </si>
  <si>
    <t>O0253086</t>
  </si>
  <si>
    <t>O0253080</t>
  </si>
  <si>
    <t>O0253114</t>
  </si>
  <si>
    <t>O0252630/B04413</t>
  </si>
  <si>
    <t>O0252627/B04430</t>
  </si>
  <si>
    <t>O0252962/B04436</t>
  </si>
  <si>
    <t>O0252808/B04441</t>
  </si>
  <si>
    <t>O0252591/B04428</t>
  </si>
  <si>
    <t>O0252852/B04222</t>
  </si>
  <si>
    <t>O0253012</t>
  </si>
  <si>
    <t>O0252423/B04463</t>
  </si>
  <si>
    <t>MANCANO KG 1505</t>
  </si>
  <si>
    <t>DDT</t>
  </si>
  <si>
    <t>FATTURARE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</si>
</sst>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21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7" fillId="0" borderId="1" xfId="0" applyNumberFormat="1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4" fontId="17" fillId="0" borderId="49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2" fillId="0" borderId="28" xfId="0" applyFont="1" applyBorder="1"/>
    <xf numFmtId="0" fontId="17" fillId="0" borderId="75" xfId="0" applyFont="1" applyBorder="1"/>
    <xf numFmtId="0" fontId="27" fillId="0" borderId="7" xfId="0" applyFont="1" applyBorder="1" applyAlignment="1">
      <alignment horizontal="center" vertical="center" wrapText="1"/>
    </xf>
    <xf numFmtId="165" fontId="28" fillId="0" borderId="1" xfId="1" applyFont="1" applyBorder="1" applyAlignment="1">
      <alignment horizontal="center" vertical="center"/>
    </xf>
    <xf numFmtId="165" fontId="28" fillId="0" borderId="21" xfId="1" applyFont="1" applyBorder="1" applyAlignment="1">
      <alignment horizontal="center" vertical="center"/>
    </xf>
    <xf numFmtId="165" fontId="28" fillId="0" borderId="64" xfId="1" applyFont="1" applyBorder="1" applyAlignment="1">
      <alignment horizontal="center" vertical="center"/>
    </xf>
    <xf numFmtId="165" fontId="28" fillId="0" borderId="30" xfId="1" applyFont="1" applyBorder="1" applyAlignment="1">
      <alignment horizontal="center" vertical="center"/>
    </xf>
    <xf numFmtId="4" fontId="27" fillId="0" borderId="29" xfId="0" applyNumberFormat="1" applyFont="1" applyBorder="1" applyAlignment="1">
      <alignment horizontal="center" vertical="center"/>
    </xf>
    <xf numFmtId="4" fontId="27" fillId="0" borderId="70" xfId="0" applyNumberFormat="1" applyFont="1" applyBorder="1" applyAlignment="1">
      <alignment horizontal="center" vertical="center"/>
    </xf>
    <xf numFmtId="166" fontId="26" fillId="0" borderId="47" xfId="0" applyNumberFormat="1" applyFont="1" applyBorder="1"/>
    <xf numFmtId="165" fontId="26" fillId="0" borderId="76" xfId="0" applyNumberFormat="1" applyFont="1" applyBorder="1"/>
    <xf numFmtId="165" fontId="26" fillId="0" borderId="48" xfId="0" applyNumberFormat="1" applyFont="1" applyBorder="1"/>
    <xf numFmtId="0" fontId="17" fillId="0" borderId="29" xfId="0" applyFont="1" applyBorder="1"/>
    <xf numFmtId="0" fontId="17" fillId="0" borderId="70" xfId="0" applyFont="1" applyBorder="1"/>
    <xf numFmtId="0" fontId="20" fillId="0" borderId="7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1" fillId="0" borderId="70" xfId="0" applyFont="1" applyBorder="1"/>
    <xf numFmtId="0" fontId="21" fillId="0" borderId="73" xfId="0" applyFont="1" applyBorder="1"/>
    <xf numFmtId="0" fontId="21" fillId="0" borderId="77" xfId="0" applyFont="1" applyBorder="1"/>
    <xf numFmtId="14" fontId="21" fillId="0" borderId="78" xfId="0" applyNumberFormat="1" applyFont="1" applyBorder="1"/>
    <xf numFmtId="165" fontId="21" fillId="0" borderId="73" xfId="1" applyFont="1" applyBorder="1"/>
    <xf numFmtId="165" fontId="21" fillId="0" borderId="79" xfId="1" applyFont="1" applyBorder="1"/>
    <xf numFmtId="165" fontId="21" fillId="0" borderId="32" xfId="1" applyFont="1" applyBorder="1"/>
    <xf numFmtId="165" fontId="21" fillId="0" borderId="49" xfId="1" applyFont="1" applyBorder="1"/>
    <xf numFmtId="0" fontId="5" fillId="0" borderId="0" xfId="0" applyFont="1"/>
    <xf numFmtId="0" fontId="21" fillId="0" borderId="0" xfId="0" applyFont="1"/>
    <xf numFmtId="4" fontId="21" fillId="0" borderId="0" xfId="0" applyNumberFormat="1" applyFont="1"/>
    <xf numFmtId="165" fontId="21" fillId="0" borderId="0" xfId="0" applyNumberFormat="1" applyFont="1"/>
    <xf numFmtId="14" fontId="21" fillId="0" borderId="0" xfId="0" applyNumberFormat="1" applyFont="1"/>
    <xf numFmtId="165" fontId="21" fillId="0" borderId="0" xfId="1" applyFont="1" applyBorder="1"/>
    <xf numFmtId="0" fontId="22" fillId="0" borderId="29" xfId="0" applyFont="1" applyBorder="1"/>
    <xf numFmtId="0" fontId="22" fillId="0" borderId="36" xfId="0" applyFont="1" applyBorder="1"/>
    <xf numFmtId="0" fontId="18" fillId="0" borderId="14" xfId="0" applyFont="1" applyBorder="1"/>
    <xf numFmtId="4" fontId="18" fillId="0" borderId="15" xfId="0" applyNumberFormat="1" applyFont="1" applyBorder="1"/>
    <xf numFmtId="0" fontId="21" fillId="0" borderId="29" xfId="0" applyFont="1" applyBorder="1"/>
    <xf numFmtId="4" fontId="21" fillId="0" borderId="1" xfId="0" applyNumberFormat="1" applyFont="1" applyBorder="1"/>
    <xf numFmtId="43" fontId="21" fillId="0" borderId="79" xfId="0" applyNumberFormat="1" applyFont="1" applyBorder="1"/>
    <xf numFmtId="165" fontId="26" fillId="0" borderId="0" xfId="1" applyFont="1" applyAlignment="1">
      <alignment horizontal="center" vertical="center"/>
    </xf>
    <xf numFmtId="165" fontId="21" fillId="7" borderId="0" xfId="1" applyFont="1" applyFill="1" applyBorder="1"/>
    <xf numFmtId="0" fontId="20" fillId="0" borderId="12" xfId="0" applyFont="1" applyBorder="1" applyAlignment="1">
      <alignment horizontal="center" vertical="center" wrapText="1"/>
    </xf>
    <xf numFmtId="4" fontId="27" fillId="0" borderId="36" xfId="0" applyNumberFormat="1" applyFont="1" applyBorder="1" applyAlignment="1">
      <alignment horizontal="center" vertical="center"/>
    </xf>
    <xf numFmtId="165" fontId="28" fillId="0" borderId="34" xfId="1" applyFont="1" applyBorder="1" applyAlignment="1">
      <alignment horizontal="center" vertical="center"/>
    </xf>
    <xf numFmtId="165" fontId="28" fillId="0" borderId="51" xfId="1" applyFont="1" applyBorder="1" applyAlignment="1">
      <alignment horizontal="center" vertical="center"/>
    </xf>
    <xf numFmtId="0" fontId="27" fillId="0" borderId="80" xfId="0" applyFont="1" applyBorder="1" applyAlignment="1">
      <alignment horizontal="center" vertical="center" wrapText="1"/>
    </xf>
    <xf numFmtId="0" fontId="27" fillId="0" borderId="81" xfId="0" applyFont="1" applyBorder="1" applyAlignment="1">
      <alignment horizontal="center" vertical="center" wrapText="1"/>
    </xf>
    <xf numFmtId="165" fontId="28" fillId="0" borderId="73" xfId="1" applyFont="1" applyBorder="1" applyAlignment="1">
      <alignment horizontal="center" vertical="center"/>
    </xf>
    <xf numFmtId="165" fontId="28" fillId="0" borderId="33" xfId="1" applyFont="1" applyBorder="1" applyAlignment="1">
      <alignment horizontal="center" vertical="center"/>
    </xf>
    <xf numFmtId="4" fontId="28" fillId="0" borderId="34" xfId="0" applyNumberFormat="1" applyFont="1" applyBorder="1" applyAlignment="1">
      <alignment horizontal="center" vertical="center"/>
    </xf>
    <xf numFmtId="4" fontId="28" fillId="0" borderId="73" xfId="0" applyNumberFormat="1" applyFont="1" applyBorder="1" applyAlignment="1">
      <alignment horizontal="center" vertical="center"/>
    </xf>
    <xf numFmtId="4" fontId="28" fillId="0" borderId="64" xfId="0" applyNumberFormat="1" applyFont="1" applyBorder="1" applyAlignment="1">
      <alignment horizontal="center" vertical="center"/>
    </xf>
    <xf numFmtId="165" fontId="25" fillId="0" borderId="0" xfId="1" applyFont="1"/>
    <xf numFmtId="4" fontId="28" fillId="0" borderId="16" xfId="0" applyNumberFormat="1" applyFont="1" applyBorder="1" applyAlignment="1">
      <alignment horizontal="left"/>
    </xf>
    <xf numFmtId="4" fontId="28" fillId="0" borderId="17" xfId="0" applyNumberFormat="1" applyFont="1" applyBorder="1" applyAlignment="1">
      <alignment horizontal="left"/>
    </xf>
    <xf numFmtId="0" fontId="27" fillId="0" borderId="14" xfId="0" applyFont="1" applyBorder="1"/>
    <xf numFmtId="0" fontId="27" fillId="0" borderId="5" xfId="0" applyFont="1" applyBorder="1"/>
    <xf numFmtId="14" fontId="0" fillId="0" borderId="82" xfId="0" applyNumberFormat="1" applyBorder="1"/>
    <xf numFmtId="0" fontId="29" fillId="8" borderId="36" xfId="0" applyFont="1" applyFill="1" applyBorder="1"/>
    <xf numFmtId="0" fontId="2" fillId="8" borderId="29" xfId="0" applyFont="1" applyFill="1" applyBorder="1"/>
    <xf numFmtId="0" fontId="17" fillId="8" borderId="29" xfId="0" applyFont="1" applyFill="1" applyBorder="1"/>
    <xf numFmtId="0" fontId="27" fillId="0" borderId="70" xfId="0" applyFont="1" applyBorder="1"/>
    <xf numFmtId="4" fontId="28" fillId="0" borderId="33" xfId="0" applyNumberFormat="1" applyFont="1" applyBorder="1" applyAlignment="1">
      <alignment horizontal="left"/>
    </xf>
    <xf numFmtId="0" fontId="0" fillId="0" borderId="0" xfId="0" applyAlignment="1">
      <alignment horizontal="right"/>
    </xf>
    <xf numFmtId="4" fontId="5" fillId="0" borderId="0" xfId="0" applyNumberFormat="1" applyFont="1"/>
    <xf numFmtId="165" fontId="26" fillId="0" borderId="83" xfId="0" applyNumberFormat="1" applyFont="1" applyBorder="1"/>
    <xf numFmtId="0" fontId="27" fillId="0" borderId="84" xfId="0" applyFont="1" applyBorder="1" applyAlignment="1">
      <alignment horizontal="center" vertical="center" wrapText="1"/>
    </xf>
    <xf numFmtId="4" fontId="28" fillId="0" borderId="49" xfId="0" applyNumberFormat="1" applyFont="1" applyBorder="1" applyAlignment="1">
      <alignment horizontal="center" vertical="center"/>
    </xf>
    <xf numFmtId="4" fontId="28" fillId="0" borderId="71" xfId="0" applyNumberFormat="1" applyFont="1" applyBorder="1" applyAlignment="1">
      <alignment horizontal="center" vertical="center"/>
    </xf>
    <xf numFmtId="4" fontId="28" fillId="0" borderId="1" xfId="0" applyNumberFormat="1" applyFont="1" applyBorder="1" applyAlignment="1">
      <alignment horizontal="center" vertical="center"/>
    </xf>
    <xf numFmtId="165" fontId="28" fillId="0" borderId="34" xfId="1" applyFont="1" applyFill="1" applyBorder="1" applyAlignment="1">
      <alignment horizontal="center" vertical="center"/>
    </xf>
    <xf numFmtId="165" fontId="28" fillId="0" borderId="51" xfId="1" applyFont="1" applyFill="1" applyBorder="1" applyAlignment="1">
      <alignment horizontal="center" vertical="center"/>
    </xf>
    <xf numFmtId="4" fontId="28" fillId="0" borderId="37" xfId="0" applyNumberFormat="1" applyFont="1" applyBorder="1" applyAlignment="1">
      <alignment horizontal="center" vertical="center"/>
    </xf>
    <xf numFmtId="165" fontId="28" fillId="0" borderId="1" xfId="1" applyFont="1" applyFill="1" applyBorder="1" applyAlignment="1">
      <alignment horizontal="center" vertical="center"/>
    </xf>
    <xf numFmtId="165" fontId="28" fillId="0" borderId="21" xfId="1" applyFont="1" applyFill="1" applyBorder="1" applyAlignment="1">
      <alignment horizontal="center" vertical="center"/>
    </xf>
    <xf numFmtId="4" fontId="28" fillId="0" borderId="20" xfId="0" applyNumberFormat="1" applyFont="1" applyBorder="1" applyAlignment="1">
      <alignment horizontal="center" vertical="center"/>
    </xf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0" fontId="20" fillId="0" borderId="13" xfId="0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166" fontId="25" fillId="0" borderId="0" xfId="1" applyNumberFormat="1" applyFont="1"/>
    <xf numFmtId="165" fontId="21" fillId="7" borderId="73" xfId="1" applyFont="1" applyFill="1" applyBorder="1"/>
    <xf numFmtId="0" fontId="18" fillId="0" borderId="87" xfId="0" applyFont="1" applyBorder="1"/>
    <xf numFmtId="0" fontId="21" fillId="0" borderId="18" xfId="0" applyFont="1" applyBorder="1"/>
    <xf numFmtId="165" fontId="17" fillId="0" borderId="18" xfId="0" applyNumberFormat="1" applyFont="1" applyBorder="1"/>
    <xf numFmtId="165" fontId="17" fillId="0" borderId="88" xfId="0" applyNumberFormat="1" applyFont="1" applyBorder="1"/>
    <xf numFmtId="165" fontId="18" fillId="0" borderId="16" xfId="0" applyNumberFormat="1" applyFont="1" applyBorder="1"/>
    <xf numFmtId="0" fontId="30" fillId="0" borderId="33" xfId="0" applyFont="1" applyBorder="1"/>
    <xf numFmtId="4" fontId="3" fillId="0" borderId="76" xfId="0" applyNumberFormat="1" applyFont="1" applyBorder="1"/>
    <xf numFmtId="165" fontId="3" fillId="0" borderId="83" xfId="0" applyNumberFormat="1" applyFont="1" applyBorder="1"/>
    <xf numFmtId="0" fontId="26" fillId="0" borderId="0" xfId="0" applyFont="1"/>
    <xf numFmtId="4" fontId="21" fillId="0" borderId="73" xfId="0" applyNumberFormat="1" applyFont="1" applyBorder="1"/>
    <xf numFmtId="0" fontId="20" fillId="7" borderId="8" xfId="0" applyFont="1" applyFill="1" applyBorder="1" applyAlignment="1">
      <alignment horizontal="center" vertical="center" wrapText="1"/>
    </xf>
    <xf numFmtId="0" fontId="0" fillId="0" borderId="89" xfId="0" applyBorder="1"/>
    <xf numFmtId="4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165" fontId="31" fillId="0" borderId="83" xfId="0" applyNumberFormat="1" applyFont="1" applyBorder="1"/>
    <xf numFmtId="4" fontId="27" fillId="0" borderId="48" xfId="0" applyNumberFormat="1" applyFont="1" applyBorder="1"/>
    <xf numFmtId="14" fontId="21" fillId="0" borderId="90" xfId="0" applyNumberFormat="1" applyFont="1" applyBorder="1"/>
    <xf numFmtId="4" fontId="2" fillId="0" borderId="91" xfId="0" applyNumberFormat="1" applyFont="1" applyBorder="1"/>
    <xf numFmtId="4" fontId="30" fillId="0" borderId="91" xfId="0" applyNumberFormat="1" applyFont="1" applyBorder="1"/>
    <xf numFmtId="4" fontId="30" fillId="0" borderId="92" xfId="0" applyNumberFormat="1" applyFont="1" applyBorder="1"/>
    <xf numFmtId="2" fontId="0" fillId="0" borderId="93" xfId="0" applyNumberFormat="1" applyBorder="1" applyAlignment="1">
      <alignment horizontal="center"/>
    </xf>
    <xf numFmtId="4" fontId="30" fillId="7" borderId="91" xfId="0" applyNumberFormat="1" applyFont="1" applyFill="1" applyBorder="1"/>
    <xf numFmtId="0" fontId="20" fillId="7" borderId="12" xfId="0" applyFont="1" applyFill="1" applyBorder="1" applyAlignment="1">
      <alignment horizontal="center" vertical="center" wrapText="1"/>
    </xf>
    <xf numFmtId="165" fontId="2" fillId="0" borderId="18" xfId="1" applyFont="1" applyBorder="1"/>
    <xf numFmtId="165" fontId="17" fillId="0" borderId="18" xfId="1" applyFont="1" applyBorder="1"/>
    <xf numFmtId="165" fontId="17" fillId="0" borderId="88" xfId="1" applyFont="1" applyBorder="1"/>
    <xf numFmtId="165" fontId="17" fillId="0" borderId="88" xfId="1" applyFont="1" applyFill="1" applyBorder="1"/>
    <xf numFmtId="0" fontId="2" fillId="7" borderId="29" xfId="0" applyFont="1" applyFill="1" applyBorder="1"/>
    <xf numFmtId="0" fontId="24" fillId="9" borderId="29" xfId="0" applyFont="1" applyFill="1" applyBorder="1"/>
    <xf numFmtId="0" fontId="2" fillId="9" borderId="29" xfId="0" applyFont="1" applyFill="1" applyBorder="1"/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0" fontId="29" fillId="0" borderId="36" xfId="0" applyFont="1" applyBorder="1"/>
    <xf numFmtId="0" fontId="26" fillId="0" borderId="4" xfId="0" applyFont="1" applyBorder="1" applyAlignment="1">
      <alignment horizontal="center"/>
    </xf>
    <xf numFmtId="4" fontId="28" fillId="0" borderId="36" xfId="0" applyNumberFormat="1" applyFont="1" applyBorder="1" applyAlignment="1">
      <alignment horizontal="center" vertical="center"/>
    </xf>
    <xf numFmtId="0" fontId="28" fillId="0" borderId="52" xfId="0" applyFont="1" applyBorder="1" applyAlignment="1">
      <alignment horizontal="center" vertical="center" wrapText="1"/>
    </xf>
    <xf numFmtId="4" fontId="28" fillId="0" borderId="53" xfId="0" applyNumberFormat="1" applyFont="1" applyBorder="1" applyAlignment="1">
      <alignment horizontal="center" vertical="center" wrapText="1"/>
    </xf>
    <xf numFmtId="165" fontId="28" fillId="0" borderId="53" xfId="1" applyFont="1" applyBorder="1" applyAlignment="1">
      <alignment horizontal="center" vertical="center" wrapText="1"/>
    </xf>
    <xf numFmtId="165" fontId="28" fillId="0" borderId="58" xfId="1" applyFont="1" applyBorder="1" applyAlignment="1">
      <alignment horizontal="center" vertical="center" wrapText="1"/>
    </xf>
    <xf numFmtId="4" fontId="28" fillId="0" borderId="59" xfId="0" applyNumberFormat="1" applyFont="1" applyBorder="1" applyAlignment="1">
      <alignment horizontal="center" vertical="center" wrapText="1"/>
    </xf>
    <xf numFmtId="4" fontId="5" fillId="0" borderId="46" xfId="0" applyNumberFormat="1" applyFont="1" applyBorder="1"/>
    <xf numFmtId="43" fontId="21" fillId="0" borderId="0" xfId="0" applyNumberFormat="1" applyFont="1"/>
    <xf numFmtId="165" fontId="5" fillId="0" borderId="46" xfId="1" applyFont="1" applyBorder="1"/>
    <xf numFmtId="0" fontId="0" fillId="0" borderId="89" xfId="0" applyBorder="1" applyAlignment="1">
      <alignment horizontal="right"/>
    </xf>
    <xf numFmtId="0" fontId="21" fillId="0" borderId="1" xfId="0" applyFont="1" applyBorder="1"/>
    <xf numFmtId="0" fontId="21" fillId="0" borderId="44" xfId="0" applyFont="1" applyBorder="1"/>
    <xf numFmtId="43" fontId="21" fillId="0" borderId="61" xfId="0" applyNumberFormat="1" applyFont="1" applyBorder="1"/>
    <xf numFmtId="14" fontId="21" fillId="0" borderId="62" xfId="0" applyNumberFormat="1" applyFont="1" applyBorder="1"/>
    <xf numFmtId="165" fontId="21" fillId="0" borderId="1" xfId="1" applyFont="1" applyBorder="1"/>
    <xf numFmtId="165" fontId="21" fillId="0" borderId="61" xfId="1" applyFont="1" applyBorder="1"/>
    <xf numFmtId="165" fontId="21" fillId="0" borderId="19" xfId="1" applyFont="1" applyBorder="1"/>
    <xf numFmtId="165" fontId="21" fillId="0" borderId="20" xfId="1" applyFont="1" applyBorder="1"/>
    <xf numFmtId="14" fontId="0" fillId="0" borderId="95" xfId="0" applyNumberForma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0" fontId="23" fillId="7" borderId="8" xfId="0" applyFont="1" applyFill="1" applyBorder="1" applyAlignment="1">
      <alignment horizontal="center" vertical="center" wrapText="1"/>
    </xf>
    <xf numFmtId="165" fontId="21" fillId="0" borderId="0" xfId="1" applyFont="1" applyFill="1" applyBorder="1"/>
    <xf numFmtId="0" fontId="0" fillId="7" borderId="0" xfId="0" applyFill="1"/>
    <xf numFmtId="4" fontId="17" fillId="7" borderId="1" xfId="0" applyNumberFormat="1" applyFont="1" applyFill="1" applyBorder="1"/>
    <xf numFmtId="165" fontId="17" fillId="7" borderId="18" xfId="1" applyFont="1" applyFill="1" applyBorder="1"/>
    <xf numFmtId="165" fontId="2" fillId="7" borderId="21" xfId="0" applyNumberFormat="1" applyFont="1" applyFill="1" applyBorder="1"/>
    <xf numFmtId="0" fontId="17" fillId="7" borderId="29" xfId="0" applyFont="1" applyFill="1" applyBorder="1"/>
    <xf numFmtId="14" fontId="0" fillId="0" borderId="0" xfId="0" applyNumberFormat="1"/>
    <xf numFmtId="14" fontId="26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center" vertical="center"/>
    </xf>
    <xf numFmtId="1" fontId="0" fillId="0" borderId="0" xfId="0" applyNumberFormat="1"/>
    <xf numFmtId="0" fontId="17" fillId="7" borderId="70" xfId="0" applyFont="1" applyFill="1" applyBorder="1"/>
    <xf numFmtId="0" fontId="2" fillId="9" borderId="70" xfId="0" applyFont="1" applyFill="1" applyBorder="1"/>
    <xf numFmtId="4" fontId="17" fillId="7" borderId="49" xfId="0" applyNumberFormat="1" applyFont="1" applyFill="1" applyBorder="1"/>
    <xf numFmtId="0" fontId="2" fillId="8" borderId="70" xfId="0" applyFont="1" applyFill="1" applyBorder="1"/>
    <xf numFmtId="0" fontId="21" fillId="10" borderId="73" xfId="0" applyFont="1" applyFill="1" applyBorder="1"/>
    <xf numFmtId="4" fontId="21" fillId="10" borderId="73" xfId="0" applyNumberFormat="1" applyFont="1" applyFill="1" applyBorder="1"/>
    <xf numFmtId="165" fontId="21" fillId="10" borderId="73" xfId="1" applyFont="1" applyFill="1" applyBorder="1"/>
    <xf numFmtId="0" fontId="21" fillId="11" borderId="73" xfId="0" applyFont="1" applyFill="1" applyBorder="1"/>
    <xf numFmtId="4" fontId="21" fillId="11" borderId="73" xfId="0" applyNumberFormat="1" applyFont="1" applyFill="1" applyBorder="1"/>
    <xf numFmtId="165" fontId="21" fillId="11" borderId="73" xfId="1" applyFont="1" applyFill="1" applyBorder="1"/>
    <xf numFmtId="43" fontId="34" fillId="0" borderId="79" xfId="0" applyNumberFormat="1" applyFont="1" applyBorder="1"/>
    <xf numFmtId="165" fontId="34" fillId="0" borderId="73" xfId="1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165" fontId="0" fillId="0" borderId="0" xfId="1" applyFont="1"/>
    <xf numFmtId="14" fontId="20" fillId="0" borderId="78" xfId="0" applyNumberFormat="1" applyFont="1" applyBorder="1"/>
    <xf numFmtId="0" fontId="20" fillId="0" borderId="73" xfId="0" applyFont="1" applyBorder="1"/>
    <xf numFmtId="0" fontId="21" fillId="8" borderId="73" xfId="0" applyFont="1" applyFill="1" applyBorder="1"/>
    <xf numFmtId="4" fontId="21" fillId="8" borderId="73" xfId="0" applyNumberFormat="1" applyFont="1" applyFill="1" applyBorder="1"/>
    <xf numFmtId="165" fontId="21" fillId="8" borderId="73" xfId="1" applyFont="1" applyFill="1" applyBorder="1"/>
    <xf numFmtId="43" fontId="35" fillId="0" borderId="79" xfId="0" applyNumberFormat="1" applyFont="1" applyBorder="1"/>
    <xf numFmtId="165" fontId="35" fillId="0" borderId="73" xfId="1" applyFont="1" applyBorder="1"/>
    <xf numFmtId="0" fontId="21" fillId="12" borderId="73" xfId="0" applyFont="1" applyFill="1" applyBorder="1"/>
    <xf numFmtId="4" fontId="21" fillId="12" borderId="73" xfId="0" applyNumberFormat="1" applyFont="1" applyFill="1" applyBorder="1"/>
    <xf numFmtId="165" fontId="21" fillId="12" borderId="73" xfId="1" applyFont="1" applyFill="1" applyBorder="1"/>
    <xf numFmtId="0" fontId="3" fillId="0" borderId="0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</cellXfs>
  <cellStyles count="2">
    <cellStyle name="Normale" xfId="0" builtinId="0"/>
    <cellStyle name="Valuta" xfId="1" builtinId="4"/>
  </cellStyles>
  <dxfs count="8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5" t="s">
        <v>124</v>
      </c>
      <c r="D2" s="53"/>
      <c r="E2" s="53"/>
      <c r="F2" s="53"/>
      <c r="G2" s="53"/>
      <c r="H2" s="53"/>
      <c r="I2" s="53"/>
    </row>
    <row r="3" spans="1:26" ht="15.75" thickBot="1" x14ac:dyDescent="0.3"/>
    <row r="4" spans="1:26" ht="15.75" thickBot="1" x14ac:dyDescent="0.3">
      <c r="A4" s="104"/>
      <c r="B4" s="104"/>
      <c r="C4" s="104"/>
      <c r="D4" s="105"/>
      <c r="E4" s="24" t="s">
        <v>53</v>
      </c>
      <c r="F4" s="106"/>
      <c r="G4" s="104"/>
      <c r="H4" s="104"/>
      <c r="I4" s="104"/>
      <c r="J4" s="105"/>
      <c r="K4" s="107"/>
      <c r="L4" s="107"/>
      <c r="M4" s="107"/>
      <c r="N4" s="107"/>
      <c r="O4" s="107"/>
      <c r="P4" s="107"/>
      <c r="Q4" s="24" t="s">
        <v>49</v>
      </c>
      <c r="R4" s="107"/>
      <c r="S4" s="107"/>
      <c r="T4" s="106"/>
      <c r="U4" s="104"/>
      <c r="V4" s="104"/>
      <c r="W4" s="104"/>
      <c r="X4" s="104"/>
      <c r="Y4" s="104"/>
    </row>
    <row r="5" spans="1:26" ht="24.75" thickBot="1" x14ac:dyDescent="0.3">
      <c r="A5" s="17" t="s">
        <v>127</v>
      </c>
      <c r="B5" s="18" t="s">
        <v>37</v>
      </c>
      <c r="C5" s="18" t="s">
        <v>38</v>
      </c>
      <c r="D5" s="19" t="s">
        <v>39</v>
      </c>
      <c r="E5" s="20" t="s">
        <v>51</v>
      </c>
      <c r="F5" s="21" t="s">
        <v>52</v>
      </c>
      <c r="G5" s="18" t="s">
        <v>40</v>
      </c>
      <c r="H5" s="18" t="s">
        <v>41</v>
      </c>
      <c r="I5" s="18" t="s">
        <v>42</v>
      </c>
      <c r="J5" s="86" t="s">
        <v>4</v>
      </c>
      <c r="K5" s="83" t="s">
        <v>5</v>
      </c>
      <c r="L5" s="83" t="s">
        <v>6</v>
      </c>
      <c r="M5" s="19" t="s">
        <v>43</v>
      </c>
      <c r="N5" s="83" t="s">
        <v>4</v>
      </c>
      <c r="O5" s="83" t="s">
        <v>5</v>
      </c>
      <c r="P5" s="83" t="s">
        <v>6</v>
      </c>
      <c r="Q5" s="20" t="s">
        <v>44</v>
      </c>
      <c r="R5" s="20" t="s">
        <v>88</v>
      </c>
      <c r="S5" s="87" t="s">
        <v>89</v>
      </c>
      <c r="T5" s="21" t="s">
        <v>45</v>
      </c>
      <c r="U5" s="18" t="s">
        <v>48</v>
      </c>
      <c r="V5" s="23" t="s">
        <v>46</v>
      </c>
      <c r="W5" s="99" t="s">
        <v>50</v>
      </c>
      <c r="X5" s="22"/>
      <c r="Y5" s="22" t="s">
        <v>47</v>
      </c>
      <c r="Z5" s="23" t="s">
        <v>120</v>
      </c>
    </row>
    <row r="6" spans="1:26" ht="15.75" thickBot="1" x14ac:dyDescent="0.3">
      <c r="A6" s="108" t="s">
        <v>158</v>
      </c>
      <c r="B6" s="109" t="s">
        <v>136</v>
      </c>
      <c r="C6" s="110">
        <v>600</v>
      </c>
      <c r="D6" s="111" t="s">
        <v>4</v>
      </c>
      <c r="E6" s="112">
        <v>1.3</v>
      </c>
      <c r="F6" s="113">
        <v>41627</v>
      </c>
      <c r="G6" s="88" t="s">
        <v>25</v>
      </c>
      <c r="H6" s="109"/>
      <c r="I6" s="114">
        <v>0.1</v>
      </c>
      <c r="J6" s="115">
        <f ca="1">IF(ISERROR(OFFSET(Tabella!$A$1,MATCH(G6,Tabella!$A:$A,0)-1,MATCH(I6,Tabella!$A$1:$AC$1,0)-1)=TRUE),0,+OFFSET(Tabella!$A$1,MATCH(G6,Tabella!$A:$A,0)-1,MATCH(I6,Tabella!$A$1:$AC$1,0)-1))</f>
        <v>1.4</v>
      </c>
      <c r="K6" s="85">
        <f ca="1">IF(ISERROR(OFFSET(Ottone!$A$1,MATCH(G6,Ottone!$A:$A,0)-1,MATCH(I6,Ottone!$A$1:$Z$1,0)-1)=TRUE),0,OFFSET(Ottone!$A$1,MATCH(G6,Ottone!$A:$A,0)-1,MATCH(I6,Ottone!$A$1:$Z$1,0)-1))*IF(D6="Ottone",1,0)</f>
        <v>0</v>
      </c>
      <c r="L6" s="85">
        <f ca="1">IF(ISERROR(OFFSET(Rame!$A$1,MATCH(G6,Rame!$A:$A,0)-1,MATCH(I6,Rame!$A$1:$AA$1,0)-1)=TRUE),0,OFFSET(Rame!$A$1,MATCH(G6,Rame!$A:$A,0)-1,MATCH(I6,Rame!$A$1:$AA$1,0)-1))*IF(D6="Rame",1,0)</f>
        <v>0</v>
      </c>
      <c r="M6" s="115">
        <f t="shared" ref="M6:M51" ca="1" si="0">SUM(J6:L6)</f>
        <v>1.4</v>
      </c>
      <c r="N6" s="115">
        <f ca="1">+IF(ISERROR(OFFSET(Tabella!$G$1,MATCH(G6,Tabella!$G:$G,0)-1,MATCH(H6,Tabella!$G$1:$FG$1,0)-1)=TRUE),0,OFFSET(Tabella!$G$1,MATCH(G6,Tabella!$G:$G,0)-1,MATCH(H6,Tabella!$G$1:$AB$1,0)-1))</f>
        <v>0</v>
      </c>
      <c r="O6" s="115">
        <f ca="1">IF(ISERROR(OFFSET(Ottone!$F$1,MATCH(G6,Ottone!$A:$A,0)-1,MATCH(H6,Ottone!$F$1:$FF$1,0)-1)=TRUE),0,OFFSET(Ottone!$F$1,MATCH(G6,Ottone!$A:$A,0)-1,MATCH(H6,Ottone!$F$1:$FF$1,0)-1))*IF(D6="Ottone",1,0)</f>
        <v>0</v>
      </c>
      <c r="P6" s="115">
        <f ca="1">IF(ISERROR(OFFSET(Rame!$F$1,MATCH(G6,Rame!$F:$F,0)-1,MATCH(H6,Rame!$F$1:$FF$1,0)-1)=TRUE),0,OFFSET(Rame!$F$1,MATCH(G6,Rame!$F:$F,0)-1,MATCH(H6,Rame!$F$1:$FF$1,0)-1))*IF(D6="Rame",1,0)</f>
        <v>0</v>
      </c>
      <c r="Q6" s="115">
        <f t="shared" ref="Q6:Q51" ca="1" si="1">SUM(N6:P6)</f>
        <v>0</v>
      </c>
      <c r="R6" s="115">
        <f t="shared" ref="R6:R15" si="2">(IF(C6&gt;500,0,0.1)*IF(D6="Alluminio",0,1))*IF(C6=0,0,1)</f>
        <v>0</v>
      </c>
      <c r="S6" s="116"/>
      <c r="T6" s="117">
        <f t="shared" ref="T6:T51" ca="1" si="3">+M6+Q6+R6+S6</f>
        <v>1.4</v>
      </c>
      <c r="U6" s="114">
        <f t="shared" ref="U6:U51" si="4">+I6*C6</f>
        <v>60</v>
      </c>
      <c r="V6" s="118"/>
      <c r="W6" s="119">
        <f t="shared" ref="W6:W51" ca="1" si="5">+V6-T6-E6</f>
        <v>-2.7</v>
      </c>
      <c r="X6" s="114">
        <f t="shared" ref="X6:X51" ca="1" si="6">IF(W6&gt;0,W6,0)</f>
        <v>0</v>
      </c>
      <c r="Y6" s="120"/>
      <c r="Z6" s="102"/>
    </row>
    <row r="7" spans="1:26" ht="15.75" thickBot="1" x14ac:dyDescent="0.3">
      <c r="A7" s="103" t="s">
        <v>137</v>
      </c>
      <c r="B7" s="88" t="s">
        <v>138</v>
      </c>
      <c r="C7" s="121">
        <v>806</v>
      </c>
      <c r="D7" s="89" t="s">
        <v>4</v>
      </c>
      <c r="E7" s="122">
        <v>1.33</v>
      </c>
      <c r="F7" s="123">
        <v>41659</v>
      </c>
      <c r="G7" s="88" t="s">
        <v>9</v>
      </c>
      <c r="H7" s="124"/>
      <c r="I7" s="125">
        <v>0.1</v>
      </c>
      <c r="J7" s="115">
        <f ca="1">IF(ISERROR(OFFSET(Tabella!$A$1,MATCH(G7,Tabella!$A:$A,0)-1,MATCH(I7,Tabella!$A$1:$AC$1,0)-1)=TRUE),0,+OFFSET(Tabella!$A$1,MATCH(G7,Tabella!$A:$A,0)-1,MATCH(I7,Tabella!$A$1:$AC$1,0)-1))</f>
        <v>1.75</v>
      </c>
      <c r="K7" s="85">
        <f ca="1">IF(ISERROR(OFFSET(Ottone!$A$1,MATCH(G7,Ottone!$A:$A,0)-1,MATCH(I7,Ottone!$A$1:$Z$1,0)-1)=TRUE),0,OFFSET(Ottone!$A$1,MATCH(G7,Ottone!$A:$A,0)-1,MATCH(I7,Ottone!$A$1:$Z$1,0)-1))*IF(D7="Ottone",1,0)</f>
        <v>0</v>
      </c>
      <c r="L7" s="85">
        <f ca="1">IF(ISERROR(OFFSET(Rame!$A$1,MATCH(G7,Rame!$A:$A,0)-1,MATCH(I7,Rame!$A$1:$AA$1,0)-1)=TRUE),0,OFFSET(Rame!$A$1,MATCH(G7,Rame!$A:$A,0)-1,MATCH(I7,Rame!$A$1:$AA$1,0)-1))*IF(D7="Rame",1,0)</f>
        <v>0</v>
      </c>
      <c r="M7" s="126">
        <f t="shared" ca="1" si="0"/>
        <v>1.75</v>
      </c>
      <c r="N7" s="126">
        <f ca="1">+IF(ISERROR(OFFSET(Tabella!$G$1,MATCH(G7,Tabella!$G:$G,0)-1,MATCH(H7,Tabella!$G$1:$FG$1,0)-1)=TRUE),0,OFFSET(Tabella!$G$1,MATCH(G7,Tabella!$G:$G,0)-1,MATCH(H7,Tabella!$G$1:$AB$1,0)-1))</f>
        <v>0</v>
      </c>
      <c r="O7" s="126">
        <f ca="1">IF(ISERROR(OFFSET(Ottone!$F$1,MATCH(G7,Ottone!$A:$A,0)-1,MATCH(H7,Ottone!$F$1:$FF$1,0)-1)=TRUE),0,OFFSET(Ottone!$F$1,MATCH(G7,Ottone!$A:$A,0)-1,MATCH(H7,Ottone!$F$1:$FF$1,0)-1))*IF(D7="Ottone",1,0)</f>
        <v>0</v>
      </c>
      <c r="P7" s="126">
        <f ca="1">IF(ISERROR(OFFSET(Rame!$F$1,MATCH(G7,Rame!$F:$F,0)-1,MATCH(H7,Rame!$F$1:$FF$1,0)-1)=TRUE),0,OFFSET(Rame!$F$1,MATCH(G7,Rame!$F:$F,0)-1,MATCH(H7,Rame!$F$1:$FF$1,0)-1))*IF(D7="Rame",1,0)</f>
        <v>0</v>
      </c>
      <c r="Q7" s="126">
        <f t="shared" ca="1" si="1"/>
        <v>0</v>
      </c>
      <c r="R7" s="126">
        <f t="shared" si="2"/>
        <v>0</v>
      </c>
      <c r="S7" s="127"/>
      <c r="T7" s="128">
        <f t="shared" ca="1" si="3"/>
        <v>1.75</v>
      </c>
      <c r="U7" s="125">
        <f t="shared" si="4"/>
        <v>80.600000000000009</v>
      </c>
      <c r="V7" s="129"/>
      <c r="W7" s="130">
        <f t="shared" ca="1" si="5"/>
        <v>-3.08</v>
      </c>
      <c r="X7" s="125">
        <f t="shared" ca="1" si="6"/>
        <v>0</v>
      </c>
      <c r="Y7" s="131"/>
      <c r="Z7" s="100"/>
    </row>
    <row r="8" spans="1:26" ht="15.75" thickBot="1" x14ac:dyDescent="0.3">
      <c r="A8" s="103" t="s">
        <v>137</v>
      </c>
      <c r="B8" s="88" t="s">
        <v>138</v>
      </c>
      <c r="C8" s="121">
        <v>718</v>
      </c>
      <c r="D8" s="89" t="s">
        <v>4</v>
      </c>
      <c r="E8" s="122">
        <v>1.3</v>
      </c>
      <c r="F8" s="123">
        <v>41662</v>
      </c>
      <c r="G8" s="88" t="s">
        <v>9</v>
      </c>
      <c r="H8" s="88"/>
      <c r="I8" s="125">
        <v>0.1</v>
      </c>
      <c r="J8" s="115">
        <f ca="1">IF(ISERROR(OFFSET(Tabella!$A$1,MATCH(G8,Tabella!$A:$A,0)-1,MATCH(I8,Tabella!$A$1:$AC$1,0)-1)=TRUE),0,+OFFSET(Tabella!$A$1,MATCH(G8,Tabella!$A:$A,0)-1,MATCH(I8,Tabella!$A$1:$AC$1,0)-1))</f>
        <v>1.75</v>
      </c>
      <c r="K8" s="85">
        <f ca="1">IF(ISERROR(OFFSET(Ottone!$A$1,MATCH(G8,Ottone!$A:$A,0)-1,MATCH(I8,Ottone!$A$1:$Z$1,0)-1)=TRUE),0,OFFSET(Ottone!$A$1,MATCH(G8,Ottone!$A:$A,0)-1,MATCH(I8,Ottone!$A$1:$Z$1,0)-1))*IF(D8="Ottone",1,0)</f>
        <v>0</v>
      </c>
      <c r="L8" s="85">
        <f ca="1">IF(ISERROR(OFFSET(Rame!$A$1,MATCH(G8,Rame!$A:$A,0)-1,MATCH(I8,Rame!$A$1:$AA$1,0)-1)=TRUE),0,OFFSET(Rame!$A$1,MATCH(G8,Rame!$A:$A,0)-1,MATCH(I8,Rame!$A$1:$AA$1,0)-1))*IF(D8="Rame",1,0)</f>
        <v>0</v>
      </c>
      <c r="M8" s="126">
        <f t="shared" ca="1" si="0"/>
        <v>1.75</v>
      </c>
      <c r="N8" s="126">
        <f ca="1">+IF(ISERROR(OFFSET(Tabella!$G$1,MATCH(G8,Tabella!$G:$G,0)-1,MATCH(H8,Tabella!$G$1:$FG$1,0)-1)=TRUE),0,OFFSET(Tabella!$G$1,MATCH(G8,Tabella!$G:$G,0)-1,MATCH(H8,Tabella!$G$1:$AB$1,0)-1))</f>
        <v>0</v>
      </c>
      <c r="O8" s="126">
        <f ca="1">IF(ISERROR(OFFSET(Ottone!$F$1,MATCH(G8,Ottone!$A:$A,0)-1,MATCH(H8,Ottone!$F$1:$FF$1,0)-1)=TRUE),0,OFFSET(Ottone!$F$1,MATCH(G8,Ottone!$A:$A,0)-1,MATCH(H8,Ottone!$F$1:$FF$1,0)-1))*IF(D8="Ottone",1,0)</f>
        <v>0</v>
      </c>
      <c r="P8" s="126">
        <f ca="1">IF(ISERROR(OFFSET(Rame!$F$1,MATCH(G8,Rame!$F:$F,0)-1,MATCH(H8,Rame!$F$1:$FF$1,0)-1)=TRUE),0,OFFSET(Rame!$F$1,MATCH(G8,Rame!$F:$F,0)-1,MATCH(H8,Rame!$F$1:$FF$1,0)-1))*IF(D8="Rame",1,0)</f>
        <v>0</v>
      </c>
      <c r="Q8" s="126">
        <f t="shared" ca="1" si="1"/>
        <v>0</v>
      </c>
      <c r="R8" s="126">
        <f t="shared" si="2"/>
        <v>0</v>
      </c>
      <c r="S8" s="127"/>
      <c r="T8" s="128">
        <f t="shared" ca="1" si="3"/>
        <v>1.75</v>
      </c>
      <c r="U8" s="125">
        <f t="shared" si="4"/>
        <v>71.8</v>
      </c>
      <c r="V8" s="129"/>
      <c r="W8" s="130">
        <f t="shared" ca="1" si="5"/>
        <v>-3.05</v>
      </c>
      <c r="X8" s="125">
        <f t="shared" ca="1" si="6"/>
        <v>0</v>
      </c>
      <c r="Y8" s="131"/>
      <c r="Z8" s="100"/>
    </row>
    <row r="9" spans="1:26" ht="15.75" thickBot="1" x14ac:dyDescent="0.3">
      <c r="A9" s="103"/>
      <c r="B9" s="88"/>
      <c r="C9" s="121"/>
      <c r="D9" s="89"/>
      <c r="E9" s="122"/>
      <c r="F9" s="123"/>
      <c r="G9" s="88"/>
      <c r="H9" s="88"/>
      <c r="I9" s="125"/>
      <c r="J9" s="115">
        <f ca="1">IF(ISERROR(OFFSET(Tabella!$A$1,MATCH(G9,Tabella!$A:$A,0)-1,MATCH(I9,Tabella!$A$1:$AC$1,0)-1)=TRUE),0,+OFFSET(Tabella!$A$1,MATCH(G9,Tabella!$A:$A,0)-1,MATCH(I9,Tabella!$A$1:$AC$1,0)-1))</f>
        <v>0</v>
      </c>
      <c r="K9" s="85">
        <f ca="1">IF(ISERROR(OFFSET(Ottone!$A$1,MATCH(G9,Ottone!$A:$A,0)-1,MATCH(I9,Ottone!$A$1:$Z$1,0)-1)=TRUE),0,OFFSET(Ottone!$A$1,MATCH(G9,Ottone!$A:$A,0)-1,MATCH(I9,Ottone!$A$1:$Z$1,0)-1))*IF(D9="Ottone",1,0)</f>
        <v>0</v>
      </c>
      <c r="L9" s="85">
        <f ca="1">IF(ISERROR(OFFSET(Rame!$A$1,MATCH(G9,Rame!$A:$A,0)-1,MATCH(I9,Rame!$A$1:$AA$1,0)-1)=TRUE),0,OFFSET(Rame!$A$1,MATCH(G9,Rame!$A:$A,0)-1,MATCH(I9,Rame!$A$1:$AA$1,0)-1))*IF(D9="Rame",1,0)</f>
        <v>0</v>
      </c>
      <c r="M9" s="126">
        <f t="shared" ca="1" si="0"/>
        <v>0</v>
      </c>
      <c r="N9" s="126">
        <f ca="1">+IF(ISERROR(OFFSET(Tabella!$G$1,MATCH(G9,Tabella!$G:$G,0)-1,MATCH(H9,Tabella!$G$1:$FG$1,0)-1)=TRUE),0,OFFSET(Tabella!$G$1,MATCH(G9,Tabella!$G:$G,0)-1,MATCH(H9,Tabella!$G$1:$AB$1,0)-1))</f>
        <v>0</v>
      </c>
      <c r="O9" s="126">
        <f ca="1">IF(ISERROR(OFFSET(Ottone!$F$1,MATCH(G9,Ottone!$A:$A,0)-1,MATCH(H9,Ottone!$F$1:$FF$1,0)-1)=TRUE),0,OFFSET(Ottone!$F$1,MATCH(G9,Ottone!$A:$A,0)-1,MATCH(H9,Ottone!$F$1:$FF$1,0)-1))*IF(D9="Ottone",1,0)</f>
        <v>0</v>
      </c>
      <c r="P9" s="126">
        <f ca="1">IF(ISERROR(OFFSET(Rame!$F$1,MATCH(G9,Rame!$F:$F,0)-1,MATCH(H9,Rame!$F$1:$FF$1,0)-1)=TRUE),0,OFFSET(Rame!$F$1,MATCH(G9,Rame!$F:$F,0)-1,MATCH(H9,Rame!$F$1:$FF$1,0)-1))*IF(D9="Rame",1,0)</f>
        <v>0</v>
      </c>
      <c r="Q9" s="126">
        <f t="shared" ca="1" si="1"/>
        <v>0</v>
      </c>
      <c r="R9" s="126">
        <f t="shared" si="2"/>
        <v>0</v>
      </c>
      <c r="S9" s="127"/>
      <c r="T9" s="128">
        <f t="shared" ca="1" si="3"/>
        <v>0</v>
      </c>
      <c r="U9" s="125">
        <f t="shared" si="4"/>
        <v>0</v>
      </c>
      <c r="V9" s="129"/>
      <c r="W9" s="130">
        <f t="shared" ca="1" si="5"/>
        <v>0</v>
      </c>
      <c r="X9" s="125">
        <f t="shared" ca="1" si="6"/>
        <v>0</v>
      </c>
      <c r="Y9" s="131"/>
      <c r="Z9" s="100"/>
    </row>
    <row r="10" spans="1:26" ht="15.75" thickBot="1" x14ac:dyDescent="0.3">
      <c r="A10" s="103"/>
      <c r="B10" s="88"/>
      <c r="C10" s="121"/>
      <c r="D10" s="89"/>
      <c r="E10" s="122"/>
      <c r="F10" s="123"/>
      <c r="G10" s="88"/>
      <c r="H10" s="88"/>
      <c r="I10" s="125"/>
      <c r="J10" s="115">
        <f ca="1">IF(ISERROR(OFFSET(Tabella!$A$1,MATCH(G10,Tabella!$A:$A,0)-1,MATCH(I10,Tabella!$A$1:$AC$1,0)-1)=TRUE),0,+OFFSET(Tabella!$A$1,MATCH(G10,Tabella!$A:$A,0)-1,MATCH(I10,Tabella!$A$1:$AC$1,0)-1))</f>
        <v>0</v>
      </c>
      <c r="K10" s="85">
        <f ca="1">IF(ISERROR(OFFSET(Ottone!$A$1,MATCH(G10,Ottone!$A:$A,0)-1,MATCH(I10,Ottone!$A$1:$Z$1,0)-1)=TRUE),0,OFFSET(Ottone!$A$1,MATCH(G10,Ottone!$A:$A,0)-1,MATCH(I10,Ottone!$A$1:$Z$1,0)-1))*IF(D10="Ottone",1,0)</f>
        <v>0</v>
      </c>
      <c r="L10" s="85">
        <f ca="1">IF(ISERROR(OFFSET(Rame!$A$1,MATCH(G10,Rame!$A:$A,0)-1,MATCH(I10,Rame!$A$1:$AA$1,0)-1)=TRUE),0,OFFSET(Rame!$A$1,MATCH(G10,Rame!$A:$A,0)-1,MATCH(I10,Rame!$A$1:$AA$1,0)-1))*IF(D10="Rame",1,0)</f>
        <v>0</v>
      </c>
      <c r="M10" s="126">
        <f t="shared" ca="1" si="0"/>
        <v>0</v>
      </c>
      <c r="N10" s="126">
        <f ca="1">+IF(ISERROR(OFFSET(Tabella!$G$1,MATCH(G10,Tabella!$G:$G,0)-1,MATCH(H10,Tabella!$G$1:$FG$1,0)-1)=TRUE),0,OFFSET(Tabella!$G$1,MATCH(G10,Tabella!$G:$G,0)-1,MATCH(H10,Tabella!$G$1:$AB$1,0)-1))</f>
        <v>0</v>
      </c>
      <c r="O10" s="126">
        <f ca="1">IF(ISERROR(OFFSET(Ottone!$F$1,MATCH(G10,Ottone!$A:$A,0)-1,MATCH(H10,Ottone!$F$1:$FF$1,0)-1)=TRUE),0,OFFSET(Ottone!$F$1,MATCH(G10,Ottone!$A:$A,0)-1,MATCH(H10,Ottone!$F$1:$FF$1,0)-1))*IF(D10="Ottone",1,0)</f>
        <v>0</v>
      </c>
      <c r="P10" s="126">
        <f ca="1">IF(ISERROR(OFFSET(Rame!$F$1,MATCH(G10,Rame!$F:$F,0)-1,MATCH(H10,Rame!$F$1:$FF$1,0)-1)=TRUE),0,OFFSET(Rame!$F$1,MATCH(G10,Rame!$F:$F,0)-1,MATCH(H10,Rame!$F$1:$FF$1,0)-1))*IF(D10="Rame",1,0)</f>
        <v>0</v>
      </c>
      <c r="Q10" s="126">
        <f t="shared" ca="1" si="1"/>
        <v>0</v>
      </c>
      <c r="R10" s="126">
        <f t="shared" si="2"/>
        <v>0</v>
      </c>
      <c r="S10" s="127"/>
      <c r="T10" s="128">
        <f t="shared" ca="1" si="3"/>
        <v>0</v>
      </c>
      <c r="U10" s="125">
        <f t="shared" si="4"/>
        <v>0</v>
      </c>
      <c r="V10" s="129"/>
      <c r="W10" s="130">
        <f t="shared" ca="1" si="5"/>
        <v>0</v>
      </c>
      <c r="X10" s="125">
        <f t="shared" ca="1" si="6"/>
        <v>0</v>
      </c>
      <c r="Y10" s="131"/>
      <c r="Z10" s="100"/>
    </row>
    <row r="11" spans="1:26" ht="15.75" thickBot="1" x14ac:dyDescent="0.3">
      <c r="A11" s="104"/>
      <c r="B11" s="103"/>
      <c r="C11" s="121"/>
      <c r="D11" s="89"/>
      <c r="E11" s="122"/>
      <c r="F11" s="123"/>
      <c r="G11" s="88"/>
      <c r="H11" s="88"/>
      <c r="I11" s="125"/>
      <c r="J11" s="115">
        <f ca="1">IF(ISERROR(OFFSET(Tabella!$A$1,MATCH(G11,Tabella!$A:$A,0)-1,MATCH(I11,Tabella!$A$1:$AC$1,0)-1)=TRUE),0,+OFFSET(Tabella!$A$1,MATCH(G11,Tabella!$A:$A,0)-1,MATCH(I11,Tabella!$A$1:$AC$1,0)-1))</f>
        <v>0</v>
      </c>
      <c r="K11" s="85">
        <f ca="1">IF(ISERROR(OFFSET(Ottone!$A$1,MATCH(G11,Ottone!$A:$A,0)-1,MATCH(I11,Ottone!$A$1:$Z$1,0)-1)=TRUE),0,OFFSET(Ottone!$A$1,MATCH(G11,Ottone!$A:$A,0)-1,MATCH(I11,Ottone!$A$1:$Z$1,0)-1))*IF(D11="Ottone",1,0)</f>
        <v>0</v>
      </c>
      <c r="L11" s="85">
        <f ca="1">IF(ISERROR(OFFSET(Rame!$A$1,MATCH(G11,Rame!$A:$A,0)-1,MATCH(I11,Rame!$A$1:$AA$1,0)-1)=TRUE),0,OFFSET(Rame!$A$1,MATCH(G11,Rame!$A:$A,0)-1,MATCH(I11,Rame!$A$1:$AA$1,0)-1))*IF(D11="Rame",1,0)</f>
        <v>0</v>
      </c>
      <c r="M11" s="126">
        <f t="shared" ca="1" si="0"/>
        <v>0</v>
      </c>
      <c r="N11" s="126">
        <f ca="1">+IF(ISERROR(OFFSET(Tabella!$G$1,MATCH(G11,Tabella!$G:$G,0)-1,MATCH(H11,Tabella!$G$1:$FG$1,0)-1)=TRUE),0,OFFSET(Tabella!$G$1,MATCH(G11,Tabella!$G:$G,0)-1,MATCH(H11,Tabella!$G$1:$AB$1,0)-1))</f>
        <v>0</v>
      </c>
      <c r="O11" s="126">
        <f ca="1">IF(ISERROR(OFFSET(Ottone!$F$1,MATCH(G11,Ottone!$A:$A,0)-1,MATCH(H11,Ottone!$F$1:$FF$1,0)-1)=TRUE),0,OFFSET(Ottone!$F$1,MATCH(G11,Ottone!$A:$A,0)-1,MATCH(H11,Ottone!$F$1:$FF$1,0)-1))*IF(D11="Ottone",1,0)</f>
        <v>0</v>
      </c>
      <c r="P11" s="126">
        <f ca="1">IF(ISERROR(OFFSET(Rame!$F$1,MATCH(G11,Rame!$F:$F,0)-1,MATCH(H11,Rame!$F$1:$FF$1,0)-1)=TRUE),0,OFFSET(Rame!$F$1,MATCH(G11,Rame!$F:$F,0)-1,MATCH(H11,Rame!$F$1:$FF$1,0)-1))*IF(D11="Rame",1,0)</f>
        <v>0</v>
      </c>
      <c r="Q11" s="126">
        <f t="shared" ca="1" si="1"/>
        <v>0</v>
      </c>
      <c r="R11" s="126">
        <f t="shared" si="2"/>
        <v>0</v>
      </c>
      <c r="S11" s="127"/>
      <c r="T11" s="128">
        <f t="shared" ca="1" si="3"/>
        <v>0</v>
      </c>
      <c r="U11" s="125">
        <f t="shared" si="4"/>
        <v>0</v>
      </c>
      <c r="V11" s="129"/>
      <c r="W11" s="130">
        <f t="shared" ca="1" si="5"/>
        <v>0</v>
      </c>
      <c r="X11" s="125">
        <f t="shared" ca="1" si="6"/>
        <v>0</v>
      </c>
      <c r="Y11" s="131"/>
      <c r="Z11" s="100"/>
    </row>
    <row r="12" spans="1:26" ht="15.75" thickBot="1" x14ac:dyDescent="0.3">
      <c r="A12" s="103"/>
      <c r="B12" s="88"/>
      <c r="C12" s="121"/>
      <c r="D12" s="89"/>
      <c r="E12" s="122"/>
      <c r="F12" s="123"/>
      <c r="G12" s="88"/>
      <c r="H12" s="88"/>
      <c r="I12" s="132"/>
      <c r="J12" s="115">
        <f ca="1">IF(ISERROR(OFFSET(Tabella!$A$1,MATCH(G12,Tabella!$A:$A,0)-1,MATCH(I12,Tabella!$A$1:$AC$1,0)-1)=TRUE),0,+OFFSET(Tabella!$A$1,MATCH(G12,Tabella!$A:$A,0)-1,MATCH(I12,Tabella!$A$1:$AC$1,0)-1))</f>
        <v>0</v>
      </c>
      <c r="K12" s="85">
        <f ca="1">IF(ISERROR(OFFSET(Ottone!$A$1,MATCH(G12,Ottone!$A:$A,0)-1,MATCH(I12,Ottone!$A$1:$Z$1,0)-1)=TRUE),0,OFFSET(Ottone!$A$1,MATCH(G12,Ottone!$A:$A,0)-1,MATCH(I12,Ottone!$A$1:$Z$1,0)-1))*IF(D12="Ottone",1,0)</f>
        <v>0</v>
      </c>
      <c r="L12" s="85">
        <f ca="1">IF(ISERROR(OFFSET(Rame!$A$1,MATCH(G12,Rame!$A:$A,0)-1,MATCH(I12,Rame!$A$1:$AA$1,0)-1)=TRUE),0,OFFSET(Rame!$A$1,MATCH(G12,Rame!$A:$A,0)-1,MATCH(I12,Rame!$A$1:$AA$1,0)-1))*IF(D12="Rame",1,0)</f>
        <v>0</v>
      </c>
      <c r="M12" s="126">
        <f t="shared" ca="1" si="0"/>
        <v>0</v>
      </c>
      <c r="N12" s="126">
        <f ca="1">+IF(ISERROR(OFFSET(Tabella!$G$1,MATCH(G12,Tabella!$G:$G,0)-1,MATCH(H12,Tabella!$G$1:$FG$1,0)-1)=TRUE),0,OFFSET(Tabella!$G$1,MATCH(G12,Tabella!$G:$G,0)-1,MATCH(H12,Tabella!$G$1:$AB$1,0)-1))</f>
        <v>0</v>
      </c>
      <c r="O12" s="126">
        <f ca="1">IF(ISERROR(OFFSET(Ottone!$F$1,MATCH(G12,Ottone!$A:$A,0)-1,MATCH(H12,Ottone!$F$1:$FF$1,0)-1)=TRUE),0,OFFSET(Ottone!$F$1,MATCH(G12,Ottone!$A:$A,0)-1,MATCH(H12,Ottone!$F$1:$FF$1,0)-1))*IF(D12="Ottone",1,0)</f>
        <v>0</v>
      </c>
      <c r="P12" s="126">
        <f ca="1">IF(ISERROR(OFFSET(Rame!$F$1,MATCH(G12,Rame!$F:$F,0)-1,MATCH(H12,Rame!$F$1:$FF$1,0)-1)=TRUE),0,OFFSET(Rame!$F$1,MATCH(G12,Rame!$F:$F,0)-1,MATCH(H12,Rame!$F$1:$FF$1,0)-1))*IF(D12="Rame",1,0)</f>
        <v>0</v>
      </c>
      <c r="Q12" s="126">
        <f t="shared" ca="1" si="1"/>
        <v>0</v>
      </c>
      <c r="R12" s="126">
        <f t="shared" si="2"/>
        <v>0</v>
      </c>
      <c r="S12" s="127"/>
      <c r="T12" s="128">
        <f t="shared" ca="1" si="3"/>
        <v>0</v>
      </c>
      <c r="U12" s="125">
        <f t="shared" si="4"/>
        <v>0</v>
      </c>
      <c r="V12" s="129"/>
      <c r="W12" s="130">
        <f t="shared" ca="1" si="5"/>
        <v>0</v>
      </c>
      <c r="X12" s="125">
        <f t="shared" ca="1" si="6"/>
        <v>0</v>
      </c>
      <c r="Y12" s="131"/>
      <c r="Z12" s="100"/>
    </row>
    <row r="13" spans="1:26" ht="15.75" thickBot="1" x14ac:dyDescent="0.3">
      <c r="A13" s="103"/>
      <c r="B13" s="88"/>
      <c r="C13" s="121"/>
      <c r="D13" s="89"/>
      <c r="E13" s="122"/>
      <c r="F13" s="123"/>
      <c r="G13" s="88"/>
      <c r="H13" s="88"/>
      <c r="I13" s="125"/>
      <c r="J13" s="115">
        <f ca="1">IF(ISERROR(OFFSET(Tabella!$A$1,MATCH(G13,Tabella!$A:$A,0)-1,MATCH(I13,Tabella!$A$1:$AC$1,0)-1)=TRUE),0,+OFFSET(Tabella!$A$1,MATCH(G13,Tabella!$A:$A,0)-1,MATCH(I13,Tabella!$A$1:$AC$1,0)-1))</f>
        <v>0</v>
      </c>
      <c r="K13" s="85">
        <f ca="1">IF(ISERROR(OFFSET(Ottone!$A$1,MATCH(G13,Ottone!$A:$A,0)-1,MATCH(I13,Ottone!$A$1:$Z$1,0)-1)=TRUE),0,OFFSET(Ottone!$A$1,MATCH(G13,Ottone!$A:$A,0)-1,MATCH(I13,Ottone!$A$1:$Z$1,0)-1))*IF(D13="Ottone",1,0)</f>
        <v>0</v>
      </c>
      <c r="L13" s="85">
        <f ca="1">IF(ISERROR(OFFSET(Rame!$A$1,MATCH(G13,Rame!$A:$A,0)-1,MATCH(I13,Rame!$A$1:$AA$1,0)-1)=TRUE),0,OFFSET(Rame!$A$1,MATCH(G13,Rame!$A:$A,0)-1,MATCH(I13,Rame!$A$1:$AA$1,0)-1))*IF(D13="Rame",1,0)</f>
        <v>0</v>
      </c>
      <c r="M13" s="126">
        <f t="shared" ca="1" si="0"/>
        <v>0</v>
      </c>
      <c r="N13" s="126">
        <f ca="1">+IF(ISERROR(OFFSET(Tabella!$G$1,MATCH(G13,Tabella!$G:$G,0)-1,MATCH(H13,Tabella!$G$1:$FG$1,0)-1)=TRUE),0,OFFSET(Tabella!$G$1,MATCH(G13,Tabella!$G:$G,0)-1,MATCH(H13,Tabella!$G$1:$AB$1,0)-1))</f>
        <v>0</v>
      </c>
      <c r="O13" s="126">
        <f ca="1">IF(ISERROR(OFFSET(Ottone!$F$1,MATCH(G13,Ottone!$A:$A,0)-1,MATCH(H13,Ottone!$F$1:$FF$1,0)-1)=TRUE),0,OFFSET(Ottone!$F$1,MATCH(G13,Ottone!$A:$A,0)-1,MATCH(H13,Ottone!$F$1:$FF$1,0)-1))*IF(D13="Ottone",1,0)</f>
        <v>0</v>
      </c>
      <c r="P13" s="126">
        <f ca="1">IF(ISERROR(OFFSET(Rame!$F$1,MATCH(G13,Rame!$F:$F,0)-1,MATCH(H13,Rame!$F$1:$FF$1,0)-1)=TRUE),0,OFFSET(Rame!$F$1,MATCH(G13,Rame!$F:$F,0)-1,MATCH(H13,Rame!$F$1:$FF$1,0)-1))*IF(D13="Rame",1,0)</f>
        <v>0</v>
      </c>
      <c r="Q13" s="126">
        <f t="shared" ca="1" si="1"/>
        <v>0</v>
      </c>
      <c r="R13" s="126">
        <f t="shared" si="2"/>
        <v>0</v>
      </c>
      <c r="S13" s="127"/>
      <c r="T13" s="128">
        <f t="shared" ca="1" si="3"/>
        <v>0</v>
      </c>
      <c r="U13" s="125">
        <f t="shared" si="4"/>
        <v>0</v>
      </c>
      <c r="V13" s="129"/>
      <c r="W13" s="130">
        <f t="shared" ca="1" si="5"/>
        <v>0</v>
      </c>
      <c r="X13" s="125">
        <f t="shared" ca="1" si="6"/>
        <v>0</v>
      </c>
      <c r="Y13" s="131"/>
      <c r="Z13" s="100"/>
    </row>
    <row r="14" spans="1:26" ht="15.75" thickBot="1" x14ac:dyDescent="0.3">
      <c r="A14" s="103"/>
      <c r="B14" s="88"/>
      <c r="C14" s="121"/>
      <c r="D14" s="89"/>
      <c r="E14" s="122"/>
      <c r="F14" s="123"/>
      <c r="G14" s="88"/>
      <c r="H14" s="88"/>
      <c r="I14" s="125"/>
      <c r="J14" s="115">
        <f ca="1">IF(ISERROR(OFFSET(Tabella!$A$1,MATCH(G14,Tabella!$A:$A,0)-1,MATCH(I14,Tabella!$A$1:$AC$1,0)-1)=TRUE),0,+OFFSET(Tabella!$A$1,MATCH(G14,Tabella!$A:$A,0)-1,MATCH(I14,Tabella!$A$1:$AC$1,0)-1))</f>
        <v>0</v>
      </c>
      <c r="K14" s="85">
        <f ca="1">IF(ISERROR(OFFSET(Ottone!$A$1,MATCH(G14,Ottone!$A:$A,0)-1,MATCH(I14,Ottone!$A$1:$Z$1,0)-1)=TRUE),0,OFFSET(Ottone!$A$1,MATCH(G14,Ottone!$A:$A,0)-1,MATCH(I14,Ottone!$A$1:$Z$1,0)-1))*IF(D14="Ottone",1,0)</f>
        <v>0</v>
      </c>
      <c r="L14" s="85">
        <f ca="1">IF(ISERROR(OFFSET(Rame!$A$1,MATCH(G14,Rame!$A:$A,0)-1,MATCH(I14,Rame!$A$1:$AA$1,0)-1)=TRUE),0,OFFSET(Rame!$A$1,MATCH(G14,Rame!$A:$A,0)-1,MATCH(I14,Rame!$A$1:$AA$1,0)-1))*IF(D14="Rame",1,0)</f>
        <v>0</v>
      </c>
      <c r="M14" s="126">
        <f t="shared" ca="1" si="0"/>
        <v>0</v>
      </c>
      <c r="N14" s="126">
        <f ca="1">+IF(ISERROR(OFFSET(Tabella!$G$1,MATCH(G14,Tabella!$G:$G,0)-1,MATCH(H14,Tabella!$G$1:$FG$1,0)-1)=TRUE),0,OFFSET(Tabella!$G$1,MATCH(G14,Tabella!$G:$G,0)-1,MATCH(H14,Tabella!$G$1:$AB$1,0)-1))</f>
        <v>0</v>
      </c>
      <c r="O14" s="126">
        <f ca="1">IF(ISERROR(OFFSET(Ottone!$F$1,MATCH(G14,Ottone!$A:$A,0)-1,MATCH(H14,Ottone!$F$1:$FF$1,0)-1)=TRUE),0,OFFSET(Ottone!$F$1,MATCH(G14,Ottone!$A:$A,0)-1,MATCH(H14,Ottone!$F$1:$FF$1,0)-1))*IF(D14="Ottone",1,0)</f>
        <v>0</v>
      </c>
      <c r="P14" s="126">
        <f ca="1">IF(ISERROR(OFFSET(Rame!$F$1,MATCH(G14,Rame!$F:$F,0)-1,MATCH(H14,Rame!$F$1:$FF$1,0)-1)=TRUE),0,OFFSET(Rame!$F$1,MATCH(G14,Rame!$F:$F,0)-1,MATCH(H14,Rame!$F$1:$FF$1,0)-1))*IF(D14="Rame",1,0)</f>
        <v>0</v>
      </c>
      <c r="Q14" s="126">
        <f t="shared" ca="1" si="1"/>
        <v>0</v>
      </c>
      <c r="R14" s="126">
        <f t="shared" si="2"/>
        <v>0</v>
      </c>
      <c r="S14" s="127"/>
      <c r="T14" s="128">
        <f t="shared" ca="1" si="3"/>
        <v>0</v>
      </c>
      <c r="U14" s="125">
        <f t="shared" si="4"/>
        <v>0</v>
      </c>
      <c r="V14" s="129"/>
      <c r="W14" s="130">
        <f t="shared" ca="1" si="5"/>
        <v>0</v>
      </c>
      <c r="X14" s="125">
        <f t="shared" ca="1" si="6"/>
        <v>0</v>
      </c>
      <c r="Y14" s="131"/>
      <c r="Z14" s="100"/>
    </row>
    <row r="15" spans="1:26" ht="15.75" thickBot="1" x14ac:dyDescent="0.3">
      <c r="A15" s="103"/>
      <c r="B15" s="88"/>
      <c r="C15" s="121"/>
      <c r="D15" s="89"/>
      <c r="E15" s="122"/>
      <c r="F15" s="123"/>
      <c r="G15" s="88"/>
      <c r="H15" s="88"/>
      <c r="I15" s="125"/>
      <c r="J15" s="115">
        <f ca="1">IF(ISERROR(OFFSET(Tabella!$A$1,MATCH(G15,Tabella!$A:$A,0)-1,MATCH(I15,Tabella!$A$1:$AC$1,0)-1)=TRUE),0,+OFFSET(Tabella!$A$1,MATCH(G15,Tabella!$A:$A,0)-1,MATCH(I15,Tabella!$A$1:$AC$1,0)-1))</f>
        <v>0</v>
      </c>
      <c r="K15" s="85">
        <f ca="1">IF(ISERROR(OFFSET(Ottone!$A$1,MATCH(G15,Ottone!$A:$A,0)-1,MATCH(I15,Ottone!$A$1:$Z$1,0)-1)=TRUE),0,OFFSET(Ottone!$A$1,MATCH(G15,Ottone!$A:$A,0)-1,MATCH(I15,Ottone!$A$1:$Z$1,0)-1))*IF(D15="Ottone",1,0)</f>
        <v>0</v>
      </c>
      <c r="L15" s="85">
        <f ca="1">IF(ISERROR(OFFSET(Rame!$A$1,MATCH(G15,Rame!$A:$A,0)-1,MATCH(I15,Rame!$A$1:$AA$1,0)-1)=TRUE),0,OFFSET(Rame!$A$1,MATCH(G15,Rame!$A:$A,0)-1,MATCH(I15,Rame!$A$1:$AA$1,0)-1))*IF(D15="Rame",1,0)</f>
        <v>0</v>
      </c>
      <c r="M15" s="126">
        <f t="shared" ca="1" si="0"/>
        <v>0</v>
      </c>
      <c r="N15" s="126">
        <f ca="1">+IF(ISERROR(OFFSET(Tabella!$G$1,MATCH(G15,Tabella!$G:$G,0)-1,MATCH(H15,Tabella!$G$1:$FG$1,0)-1)=TRUE),0,OFFSET(Tabella!$G$1,MATCH(G15,Tabella!$G:$G,0)-1,MATCH(H15,Tabella!$G$1:$AB$1,0)-1))</f>
        <v>0</v>
      </c>
      <c r="O15" s="126">
        <f ca="1">IF(ISERROR(OFFSET(Ottone!$F$1,MATCH(G15,Ottone!$A:$A,0)-1,MATCH(H15,Ottone!$F$1:$FF$1,0)-1)=TRUE),0,OFFSET(Ottone!$F$1,MATCH(G15,Ottone!$A:$A,0)-1,MATCH(H15,Ottone!$F$1:$FF$1,0)-1))*IF(D15="Ottone",1,0)</f>
        <v>0</v>
      </c>
      <c r="P15" s="126">
        <f ca="1">IF(ISERROR(OFFSET(Rame!$F$1,MATCH(G15,Rame!$F:$F,0)-1,MATCH(H15,Rame!$F$1:$FF$1,0)-1)=TRUE),0,OFFSET(Rame!$F$1,MATCH(G15,Rame!$F:$F,0)-1,MATCH(H15,Rame!$F$1:$FF$1,0)-1))*IF(D15="Rame",1,0)</f>
        <v>0</v>
      </c>
      <c r="Q15" s="126">
        <f t="shared" ca="1" si="1"/>
        <v>0</v>
      </c>
      <c r="R15" s="126">
        <f t="shared" si="2"/>
        <v>0</v>
      </c>
      <c r="S15" s="127"/>
      <c r="T15" s="128">
        <f t="shared" ca="1" si="3"/>
        <v>0</v>
      </c>
      <c r="U15" s="125">
        <f t="shared" si="4"/>
        <v>0</v>
      </c>
      <c r="V15" s="129"/>
      <c r="W15" s="130">
        <f t="shared" ca="1" si="5"/>
        <v>0</v>
      </c>
      <c r="X15" s="125">
        <f t="shared" ca="1" si="6"/>
        <v>0</v>
      </c>
      <c r="Y15" s="131"/>
      <c r="Z15" s="100"/>
    </row>
    <row r="16" spans="1:26" ht="15.75" thickBot="1" x14ac:dyDescent="0.3">
      <c r="A16" s="103"/>
      <c r="B16" s="88"/>
      <c r="C16" s="121"/>
      <c r="D16" s="89"/>
      <c r="E16" s="122"/>
      <c r="F16" s="123"/>
      <c r="G16" s="88"/>
      <c r="H16" s="88"/>
      <c r="I16" s="125"/>
      <c r="J16" s="115">
        <f ca="1">IF(ISERROR(OFFSET(Tabella!$A$1,MATCH(G16,Tabella!$A:$A,0)-1,MATCH(I16,Tabella!$A$1:$AC$1,0)-1)=TRUE),0,+OFFSET(Tabella!$A$1,MATCH(G16,Tabella!$A:$A,0)-1,MATCH(I16,Tabella!$A$1:$AC$1,0)-1))</f>
        <v>0</v>
      </c>
      <c r="K16" s="85">
        <f ca="1">IF(ISERROR(OFFSET(Ottone!$A$1,MATCH(G16,Ottone!$A:$A,0)-1,MATCH(I16,Ottone!$A$1:$Z$1,0)-1)=TRUE),0,OFFSET(Ottone!$A$1,MATCH(G16,Ottone!$A:$A,0)-1,MATCH(I16,Ottone!$A$1:$Z$1,0)-1))*IF(D16="Ottone",1,0)</f>
        <v>0</v>
      </c>
      <c r="L16" s="85">
        <f ca="1">IF(ISERROR(OFFSET(Rame!$A$1,MATCH(G16,Rame!$A:$A,0)-1,MATCH(I16,Rame!$A$1:$AA$1,0)-1)=TRUE),0,OFFSET(Rame!$A$1,MATCH(G16,Rame!$A:$A,0)-1,MATCH(I16,Rame!$A$1:$AA$1,0)-1))*IF(D16="Rame",1,0)</f>
        <v>0</v>
      </c>
      <c r="M16" s="126">
        <f t="shared" ca="1" si="0"/>
        <v>0</v>
      </c>
      <c r="N16" s="126">
        <f ca="1">+IF(ISERROR(OFFSET(Tabella!$G$1,MATCH(G16,Tabella!$G:$G,0)-1,MATCH(H16,Tabella!$G$1:$FG$1,0)-1)=TRUE),0,OFFSET(Tabella!$G$1,MATCH(G16,Tabella!$G:$G,0)-1,MATCH(H16,Tabella!$G$1:$AB$1,0)-1))</f>
        <v>0</v>
      </c>
      <c r="O16" s="126">
        <f ca="1">IF(ISERROR(OFFSET(Ottone!$F$1,MATCH(G16,Ottone!$A:$A,0)-1,MATCH(H16,Ottone!$F$1:$FF$1,0)-1)=TRUE),0,OFFSET(Ottone!$F$1,MATCH(G16,Ottone!$A:$A,0)-1,MATCH(H16,Ottone!$F$1:$FF$1,0)-1))*IF(D16="Ottone",1,0)</f>
        <v>0</v>
      </c>
      <c r="P16" s="126">
        <f ca="1">IF(ISERROR(OFFSET(Rame!$F$1,MATCH(G16,Rame!$F:$F,0)-1,MATCH(H16,Rame!$F$1:$FF$1,0)-1)=TRUE),0,OFFSET(Rame!$F$1,MATCH(G16,Rame!$F:$F,0)-1,MATCH(H16,Rame!$F$1:$FF$1,0)-1))*IF(D16="Rame",1,0)</f>
        <v>0</v>
      </c>
      <c r="Q16" s="126">
        <f t="shared" ca="1" si="1"/>
        <v>0</v>
      </c>
      <c r="R16" s="126"/>
      <c r="S16" s="127"/>
      <c r="T16" s="128">
        <f t="shared" ca="1" si="3"/>
        <v>0</v>
      </c>
      <c r="U16" s="125">
        <f t="shared" si="4"/>
        <v>0</v>
      </c>
      <c r="V16" s="129"/>
      <c r="W16" s="130">
        <f t="shared" ca="1" si="5"/>
        <v>0</v>
      </c>
      <c r="X16" s="125">
        <f t="shared" ca="1" si="6"/>
        <v>0</v>
      </c>
      <c r="Y16" s="131"/>
      <c r="Z16" s="100"/>
    </row>
    <row r="17" spans="1:26" ht="15.75" thickBot="1" x14ac:dyDescent="0.3">
      <c r="A17" s="103"/>
      <c r="B17" s="88"/>
      <c r="C17" s="121"/>
      <c r="D17" s="89"/>
      <c r="E17" s="122"/>
      <c r="F17" s="123"/>
      <c r="G17" s="88"/>
      <c r="H17" s="88"/>
      <c r="I17" s="125"/>
      <c r="J17" s="115">
        <f ca="1">IF(ISERROR(OFFSET(Tabella!$A$1,MATCH(G17,Tabella!$A:$A,0)-1,MATCH(I17,Tabella!$A$1:$AC$1,0)-1)=TRUE),0,+OFFSET(Tabella!$A$1,MATCH(G17,Tabella!$A:$A,0)-1,MATCH(I17,Tabella!$A$1:$AC$1,0)-1))</f>
        <v>0</v>
      </c>
      <c r="K17" s="85">
        <f ca="1">IF(ISERROR(OFFSET(Ottone!$A$1,MATCH(G17,Ottone!$A:$A,0)-1,MATCH(I17,Ottone!$A$1:$Z$1,0)-1)=TRUE),0,OFFSET(Ottone!$A$1,MATCH(G17,Ottone!$A:$A,0)-1,MATCH(I17,Ottone!$A$1:$Z$1,0)-1))*IF(D17="Ottone",1,0)</f>
        <v>0</v>
      </c>
      <c r="L17" s="85">
        <f ca="1">IF(ISERROR(OFFSET(Rame!$A$1,MATCH(G17,Rame!$A:$A,0)-1,MATCH(I17,Rame!$A$1:$AA$1,0)-1)=TRUE),0,OFFSET(Rame!$A$1,MATCH(G17,Rame!$A:$A,0)-1,MATCH(I17,Rame!$A$1:$AA$1,0)-1))*IF(D17="Rame",1,0)</f>
        <v>0</v>
      </c>
      <c r="M17" s="126">
        <f t="shared" ca="1" si="0"/>
        <v>0</v>
      </c>
      <c r="N17" s="126">
        <f ca="1">+IF(ISERROR(OFFSET(Tabella!$G$1,MATCH(G17,Tabella!$G:$G,0)-1,MATCH(H17,Tabella!$G$1:$FG$1,0)-1)=TRUE),0,OFFSET(Tabella!$G$1,MATCH(G17,Tabella!$G:$G,0)-1,MATCH(H17,Tabella!$G$1:$AB$1,0)-1))</f>
        <v>0</v>
      </c>
      <c r="O17" s="126">
        <f ca="1">IF(ISERROR(OFFSET(Ottone!$F$1,MATCH(G17,Ottone!$A:$A,0)-1,MATCH(H17,Ottone!$F$1:$FF$1,0)-1)=TRUE),0,OFFSET(Ottone!$F$1,MATCH(G17,Ottone!$A:$A,0)-1,MATCH(H17,Ottone!$F$1:$FF$1,0)-1))*IF(D17="Ottone",1,0)</f>
        <v>0</v>
      </c>
      <c r="P17" s="126">
        <f ca="1">IF(ISERROR(OFFSET(Rame!$F$1,MATCH(G17,Rame!$F:$F,0)-1,MATCH(H17,Rame!$F$1:$FF$1,0)-1)=TRUE),0,OFFSET(Rame!$F$1,MATCH(G17,Rame!$F:$F,0)-1,MATCH(H17,Rame!$F$1:$FF$1,0)-1))*IF(D17="Rame",1,0)</f>
        <v>0</v>
      </c>
      <c r="Q17" s="126">
        <f t="shared" ca="1" si="1"/>
        <v>0</v>
      </c>
      <c r="R17" s="126">
        <f t="shared" ref="R17:R51" si="7">(IF(C17&gt;500,0,0.1)*IF(D17="Alluminio",0,1))*IF(C17=0,0,1)</f>
        <v>0</v>
      </c>
      <c r="S17" s="127"/>
      <c r="T17" s="128">
        <f t="shared" ca="1" si="3"/>
        <v>0</v>
      </c>
      <c r="U17" s="125">
        <f t="shared" si="4"/>
        <v>0</v>
      </c>
      <c r="V17" s="129"/>
      <c r="W17" s="130">
        <f t="shared" ca="1" si="5"/>
        <v>0</v>
      </c>
      <c r="X17" s="125">
        <f t="shared" ca="1" si="6"/>
        <v>0</v>
      </c>
      <c r="Y17" s="131"/>
      <c r="Z17" s="100"/>
    </row>
    <row r="18" spans="1:26" ht="15.75" thickBot="1" x14ac:dyDescent="0.3">
      <c r="A18" s="103"/>
      <c r="B18" s="88"/>
      <c r="C18" s="121"/>
      <c r="D18" s="89"/>
      <c r="E18" s="122"/>
      <c r="F18" s="123"/>
      <c r="G18" s="88"/>
      <c r="H18" s="88"/>
      <c r="I18" s="125"/>
      <c r="J18" s="115">
        <f ca="1">IF(ISERROR(OFFSET(Tabella!$A$1,MATCH(G18,Tabella!$A:$A,0)-1,MATCH(I18,Tabella!$A$1:$AC$1,0)-1)=TRUE),0,+OFFSET(Tabella!$A$1,MATCH(G18,Tabella!$A:$A,0)-1,MATCH(I18,Tabella!$A$1:$AC$1,0)-1))</f>
        <v>0</v>
      </c>
      <c r="K18" s="85">
        <f ca="1">IF(ISERROR(OFFSET(Ottone!$A$1,MATCH(G18,Ottone!$A:$A,0)-1,MATCH(I18,Ottone!$A$1:$Z$1,0)-1)=TRUE),0,OFFSET(Ottone!$A$1,MATCH(G18,Ottone!$A:$A,0)-1,MATCH(I18,Ottone!$A$1:$Z$1,0)-1))*IF(D18="Ottone",1,0)</f>
        <v>0</v>
      </c>
      <c r="L18" s="85">
        <f ca="1">IF(ISERROR(OFFSET(Rame!$A$1,MATCH(G18,Rame!$A:$A,0)-1,MATCH(I18,Rame!$A$1:$AA$1,0)-1)=TRUE),0,OFFSET(Rame!$A$1,MATCH(G18,Rame!$A:$A,0)-1,MATCH(I18,Rame!$A$1:$AA$1,0)-1))*IF(D18="Rame",1,0)</f>
        <v>0</v>
      </c>
      <c r="M18" s="126">
        <f t="shared" ca="1" si="0"/>
        <v>0</v>
      </c>
      <c r="N18" s="126">
        <f ca="1">+IF(ISERROR(OFFSET(Tabella!$G$1,MATCH(G18,Tabella!$G:$G,0)-1,MATCH(H18,Tabella!$G$1:$FG$1,0)-1)=TRUE),0,OFFSET(Tabella!$G$1,MATCH(G18,Tabella!$G:$G,0)-1,MATCH(H18,Tabella!$G$1:$AB$1,0)-1))</f>
        <v>0</v>
      </c>
      <c r="O18" s="126">
        <f ca="1">IF(ISERROR(OFFSET(Ottone!$F$1,MATCH(G18,Ottone!$A:$A,0)-1,MATCH(H18,Ottone!$F$1:$FF$1,0)-1)=TRUE),0,OFFSET(Ottone!$F$1,MATCH(G18,Ottone!$A:$A,0)-1,MATCH(H18,Ottone!$F$1:$FF$1,0)-1))*IF(D18="Ottone",1,0)</f>
        <v>0</v>
      </c>
      <c r="P18" s="126">
        <f ca="1">IF(ISERROR(OFFSET(Rame!$F$1,MATCH(G18,Rame!$F:$F,0)-1,MATCH(H18,Rame!$F$1:$FF$1,0)-1)=TRUE),0,OFFSET(Rame!$F$1,MATCH(G18,Rame!$F:$F,0)-1,MATCH(H18,Rame!$F$1:$FF$1,0)-1))*IF(D18="Rame",1,0)</f>
        <v>0</v>
      </c>
      <c r="Q18" s="126">
        <f t="shared" ca="1" si="1"/>
        <v>0</v>
      </c>
      <c r="R18" s="126">
        <f t="shared" si="7"/>
        <v>0</v>
      </c>
      <c r="S18" s="127"/>
      <c r="T18" s="128">
        <f t="shared" ca="1" si="3"/>
        <v>0</v>
      </c>
      <c r="U18" s="125">
        <f t="shared" si="4"/>
        <v>0</v>
      </c>
      <c r="V18" s="129"/>
      <c r="W18" s="130">
        <f t="shared" ca="1" si="5"/>
        <v>0</v>
      </c>
      <c r="X18" s="125">
        <f t="shared" ca="1" si="6"/>
        <v>0</v>
      </c>
      <c r="Y18" s="131"/>
      <c r="Z18" s="100"/>
    </row>
    <row r="19" spans="1:26" ht="15.75" thickBot="1" x14ac:dyDescent="0.3">
      <c r="A19" s="103"/>
      <c r="B19" s="88"/>
      <c r="C19" s="121"/>
      <c r="D19" s="89"/>
      <c r="E19" s="122"/>
      <c r="F19" s="123"/>
      <c r="G19" s="88"/>
      <c r="H19" s="88"/>
      <c r="I19" s="125"/>
      <c r="J19" s="115">
        <f ca="1">IF(ISERROR(OFFSET(Tabella!$A$1,MATCH(G19,Tabella!$A:$A,0)-1,MATCH(I19,Tabella!$A$1:$AC$1,0)-1)=TRUE),0,+OFFSET(Tabella!$A$1,MATCH(G19,Tabella!$A:$A,0)-1,MATCH(I19,Tabella!$A$1:$AC$1,0)-1))</f>
        <v>0</v>
      </c>
      <c r="K19" s="85">
        <f ca="1">IF(ISERROR(OFFSET(Ottone!$A$1,MATCH(G19,Ottone!$A:$A,0)-1,MATCH(I19,Ottone!$A$1:$Z$1,0)-1)=TRUE),0,OFFSET(Ottone!$A$1,MATCH(G19,Ottone!$A:$A,0)-1,MATCH(I19,Ottone!$A$1:$Z$1,0)-1))*IF(D19="Ottone",1,0)</f>
        <v>0</v>
      </c>
      <c r="L19" s="85">
        <f ca="1">IF(ISERROR(OFFSET(Rame!$A$1,MATCH(G19,Rame!$A:$A,0)-1,MATCH(I19,Rame!$A$1:$AA$1,0)-1)=TRUE),0,OFFSET(Rame!$A$1,MATCH(G19,Rame!$A:$A,0)-1,MATCH(I19,Rame!$A$1:$AA$1,0)-1))*IF(D19="Rame",1,0)</f>
        <v>0</v>
      </c>
      <c r="M19" s="126">
        <f t="shared" ca="1" si="0"/>
        <v>0</v>
      </c>
      <c r="N19" s="126">
        <f ca="1">+IF(ISERROR(OFFSET(Tabella!$G$1,MATCH(G19,Tabella!$G:$G,0)-1,MATCH(H19,Tabella!$G$1:$FG$1,0)-1)=TRUE),0,OFFSET(Tabella!$G$1,MATCH(G19,Tabella!$G:$G,0)-1,MATCH(H19,Tabella!$G$1:$AB$1,0)-1))</f>
        <v>0</v>
      </c>
      <c r="O19" s="126">
        <f ca="1">IF(ISERROR(OFFSET(Ottone!$F$1,MATCH(G19,Ottone!$A:$A,0)-1,MATCH(H19,Ottone!$F$1:$FF$1,0)-1)=TRUE),0,OFFSET(Ottone!$F$1,MATCH(G19,Ottone!$A:$A,0)-1,MATCH(H19,Ottone!$F$1:$FF$1,0)-1))*IF(D19="Ottone",1,0)</f>
        <v>0</v>
      </c>
      <c r="P19" s="126">
        <f ca="1">IF(ISERROR(OFFSET(Rame!$F$1,MATCH(G19,Rame!$F:$F,0)-1,MATCH(H19,Rame!$F$1:$FF$1,0)-1)=TRUE),0,OFFSET(Rame!$F$1,MATCH(G19,Rame!$F:$F,0)-1,MATCH(H19,Rame!$F$1:$FF$1,0)-1))*IF(D19="Rame",1,0)</f>
        <v>0</v>
      </c>
      <c r="Q19" s="126">
        <f t="shared" ca="1" si="1"/>
        <v>0</v>
      </c>
      <c r="R19" s="126">
        <f t="shared" si="7"/>
        <v>0</v>
      </c>
      <c r="S19" s="127"/>
      <c r="T19" s="128">
        <f t="shared" ca="1" si="3"/>
        <v>0</v>
      </c>
      <c r="U19" s="125">
        <f t="shared" si="4"/>
        <v>0</v>
      </c>
      <c r="V19" s="129"/>
      <c r="W19" s="130">
        <f t="shared" ca="1" si="5"/>
        <v>0</v>
      </c>
      <c r="X19" s="125">
        <f t="shared" ca="1" si="6"/>
        <v>0</v>
      </c>
      <c r="Y19" s="131"/>
      <c r="Z19" s="100"/>
    </row>
    <row r="20" spans="1:26" ht="15.75" thickBot="1" x14ac:dyDescent="0.3">
      <c r="A20" s="103"/>
      <c r="B20" s="88"/>
      <c r="C20" s="121"/>
      <c r="D20" s="89"/>
      <c r="E20" s="122"/>
      <c r="F20" s="123"/>
      <c r="G20" s="88"/>
      <c r="H20" s="88"/>
      <c r="I20" s="125"/>
      <c r="J20" s="115">
        <f ca="1">IF(ISERROR(OFFSET(Tabella!$A$1,MATCH(G20,Tabella!$A:$A,0)-1,MATCH(I20,Tabella!$A$1:$AC$1,0)-1)=TRUE),0,+OFFSET(Tabella!$A$1,MATCH(G20,Tabella!$A:$A,0)-1,MATCH(I20,Tabella!$A$1:$AC$1,0)-1))</f>
        <v>0</v>
      </c>
      <c r="K20" s="85">
        <f ca="1">IF(ISERROR(OFFSET(Ottone!$A$1,MATCH(G20,Ottone!$A:$A,0)-1,MATCH(I20,Ottone!$A$1:$Z$1,0)-1)=TRUE),0,OFFSET(Ottone!$A$1,MATCH(G20,Ottone!$A:$A,0)-1,MATCH(I20,Ottone!$A$1:$Z$1,0)-1))*IF(D20="Ottone",1,0)</f>
        <v>0</v>
      </c>
      <c r="L20" s="85">
        <f ca="1">IF(ISERROR(OFFSET(Rame!$A$1,MATCH(G20,Rame!$A:$A,0)-1,MATCH(I20,Rame!$A$1:$AA$1,0)-1)=TRUE),0,OFFSET(Rame!$A$1,MATCH(G20,Rame!$A:$A,0)-1,MATCH(I20,Rame!$A$1:$AA$1,0)-1))*IF(D20="Rame",1,0)</f>
        <v>0</v>
      </c>
      <c r="M20" s="126">
        <f t="shared" ca="1" si="0"/>
        <v>0</v>
      </c>
      <c r="N20" s="126">
        <f ca="1">+IF(ISERROR(OFFSET(Tabella!$G$1,MATCH(G20,Tabella!$G:$G,0)-1,MATCH(H20,Tabella!$G$1:$FG$1,0)-1)=TRUE),0,OFFSET(Tabella!$G$1,MATCH(G20,Tabella!$G:$G,0)-1,MATCH(H20,Tabella!$G$1:$AB$1,0)-1))</f>
        <v>0</v>
      </c>
      <c r="O20" s="126">
        <f ca="1">IF(ISERROR(OFFSET(Ottone!$F$1,MATCH(G20,Ottone!$A:$A,0)-1,MATCH(H20,Ottone!$F$1:$FF$1,0)-1)=TRUE),0,OFFSET(Ottone!$F$1,MATCH(G20,Ottone!$A:$A,0)-1,MATCH(H20,Ottone!$F$1:$FF$1,0)-1))*IF(D20="Ottone",1,0)</f>
        <v>0</v>
      </c>
      <c r="P20" s="126">
        <f ca="1">IF(ISERROR(OFFSET(Rame!$F$1,MATCH(G20,Rame!$F:$F,0)-1,MATCH(H20,Rame!$F$1:$FF$1,0)-1)=TRUE),0,OFFSET(Rame!$F$1,MATCH(G20,Rame!$F:$F,0)-1,MATCH(H20,Rame!$F$1:$FF$1,0)-1))*IF(D20="Rame",1,0)</f>
        <v>0</v>
      </c>
      <c r="Q20" s="126">
        <f t="shared" ca="1" si="1"/>
        <v>0</v>
      </c>
      <c r="R20" s="126">
        <f t="shared" si="7"/>
        <v>0</v>
      </c>
      <c r="S20" s="127"/>
      <c r="T20" s="128">
        <f t="shared" ca="1" si="3"/>
        <v>0</v>
      </c>
      <c r="U20" s="125">
        <f t="shared" si="4"/>
        <v>0</v>
      </c>
      <c r="V20" s="129"/>
      <c r="W20" s="130">
        <f t="shared" ca="1" si="5"/>
        <v>0</v>
      </c>
      <c r="X20" s="125">
        <f t="shared" ca="1" si="6"/>
        <v>0</v>
      </c>
      <c r="Y20" s="131"/>
      <c r="Z20" s="100"/>
    </row>
    <row r="21" spans="1:26" ht="15.75" thickBot="1" x14ac:dyDescent="0.3">
      <c r="A21" s="103"/>
      <c r="B21" s="88"/>
      <c r="C21" s="121"/>
      <c r="D21" s="89"/>
      <c r="E21" s="122"/>
      <c r="F21" s="123"/>
      <c r="G21" s="88"/>
      <c r="H21" s="88"/>
      <c r="I21" s="125"/>
      <c r="J21" s="115">
        <f ca="1">IF(ISERROR(OFFSET(Tabella!$A$1,MATCH(G21,Tabella!$A:$A,0)-1,MATCH(I21,Tabella!$A$1:$AC$1,0)-1)=TRUE),0,+OFFSET(Tabella!$A$1,MATCH(G21,Tabella!$A:$A,0)-1,MATCH(I21,Tabella!$A$1:$AC$1,0)-1))</f>
        <v>0</v>
      </c>
      <c r="K21" s="85">
        <f ca="1">IF(ISERROR(OFFSET(Ottone!$A$1,MATCH(G21,Ottone!$A:$A,0)-1,MATCH(I21,Ottone!$A$1:$Z$1,0)-1)=TRUE),0,OFFSET(Ottone!$A$1,MATCH(G21,Ottone!$A:$A,0)-1,MATCH(I21,Ottone!$A$1:$Z$1,0)-1))*IF(D21="Ottone",1,0)</f>
        <v>0</v>
      </c>
      <c r="L21" s="85">
        <f ca="1">IF(ISERROR(OFFSET(Rame!$A$1,MATCH(G21,Rame!$A:$A,0)-1,MATCH(I21,Rame!$A$1:$AA$1,0)-1)=TRUE),0,OFFSET(Rame!$A$1,MATCH(G21,Rame!$A:$A,0)-1,MATCH(I21,Rame!$A$1:$AA$1,0)-1))*IF(D21="Rame",1,0)</f>
        <v>0</v>
      </c>
      <c r="M21" s="126">
        <f t="shared" ca="1" si="0"/>
        <v>0</v>
      </c>
      <c r="N21" s="126">
        <f ca="1">+IF(ISERROR(OFFSET(Tabella!$G$1,MATCH(G21,Tabella!$G:$G,0)-1,MATCH(H21,Tabella!$G$1:$FG$1,0)-1)=TRUE),0,OFFSET(Tabella!$G$1,MATCH(G21,Tabella!$G:$G,0)-1,MATCH(H21,Tabella!$G$1:$AB$1,0)-1))</f>
        <v>0</v>
      </c>
      <c r="O21" s="126">
        <f ca="1">IF(ISERROR(OFFSET(Ottone!$F$1,MATCH(G21,Ottone!$A:$A,0)-1,MATCH(H21,Ottone!$F$1:$FF$1,0)-1)=TRUE),0,OFFSET(Ottone!$F$1,MATCH(G21,Ottone!$A:$A,0)-1,MATCH(H21,Ottone!$F$1:$FF$1,0)-1))*IF(D21="Ottone",1,0)</f>
        <v>0</v>
      </c>
      <c r="P21" s="126">
        <f ca="1">IF(ISERROR(OFFSET(Rame!$F$1,MATCH(G21,Rame!$F:$F,0)-1,MATCH(H21,Rame!$F$1:$FF$1,0)-1)=TRUE),0,OFFSET(Rame!$F$1,MATCH(G21,Rame!$F:$F,0)-1,MATCH(H21,Rame!$F$1:$FF$1,0)-1))*IF(D21="Rame",1,0)</f>
        <v>0</v>
      </c>
      <c r="Q21" s="126">
        <f t="shared" ca="1" si="1"/>
        <v>0</v>
      </c>
      <c r="R21" s="126">
        <f t="shared" si="7"/>
        <v>0</v>
      </c>
      <c r="S21" s="127"/>
      <c r="T21" s="128">
        <f t="shared" ca="1" si="3"/>
        <v>0</v>
      </c>
      <c r="U21" s="125">
        <f t="shared" si="4"/>
        <v>0</v>
      </c>
      <c r="V21" s="129"/>
      <c r="W21" s="130">
        <f t="shared" ca="1" si="5"/>
        <v>0</v>
      </c>
      <c r="X21" s="125">
        <f t="shared" ca="1" si="6"/>
        <v>0</v>
      </c>
      <c r="Y21" s="131"/>
      <c r="Z21" s="100"/>
    </row>
    <row r="22" spans="1:26" ht="15.75" thickBot="1" x14ac:dyDescent="0.3">
      <c r="A22" s="103"/>
      <c r="B22" s="88"/>
      <c r="C22" s="121"/>
      <c r="D22" s="89"/>
      <c r="E22" s="122"/>
      <c r="F22" s="123"/>
      <c r="G22" s="88"/>
      <c r="H22" s="88"/>
      <c r="I22" s="125"/>
      <c r="J22" s="115">
        <f ca="1">IF(ISERROR(OFFSET(Tabella!$A$1,MATCH(G22,Tabella!$A:$A,0)-1,MATCH(I22,Tabella!$A$1:$AC$1,0)-1)=TRUE),0,+OFFSET(Tabella!$A$1,MATCH(G22,Tabella!$A:$A,0)-1,MATCH(I22,Tabella!$A$1:$AC$1,0)-1))</f>
        <v>0</v>
      </c>
      <c r="K22" s="85">
        <f ca="1">IF(ISERROR(OFFSET(Ottone!$A$1,MATCH(G22,Ottone!$A:$A,0)-1,MATCH(I22,Ottone!$A$1:$Z$1,0)-1)=TRUE),0,OFFSET(Ottone!$A$1,MATCH(G22,Ottone!$A:$A,0)-1,MATCH(I22,Ottone!$A$1:$Z$1,0)-1))*IF(D22="Ottone",1,0)</f>
        <v>0</v>
      </c>
      <c r="L22" s="85">
        <f ca="1">IF(ISERROR(OFFSET(Rame!$A$1,MATCH(G22,Rame!$A:$A,0)-1,MATCH(I22,Rame!$A$1:$AA$1,0)-1)=TRUE),0,OFFSET(Rame!$A$1,MATCH(G22,Rame!$A:$A,0)-1,MATCH(I22,Rame!$A$1:$AA$1,0)-1))*IF(D22="Rame",1,0)</f>
        <v>0</v>
      </c>
      <c r="M22" s="126">
        <f t="shared" ca="1" si="0"/>
        <v>0</v>
      </c>
      <c r="N22" s="126">
        <f ca="1">+IF(ISERROR(OFFSET(Tabella!$G$1,MATCH(G22,Tabella!$G:$G,0)-1,MATCH(H22,Tabella!$G$1:$FG$1,0)-1)=TRUE),0,OFFSET(Tabella!$G$1,MATCH(G22,Tabella!$G:$G,0)-1,MATCH(H22,Tabella!$G$1:$AB$1,0)-1))</f>
        <v>0</v>
      </c>
      <c r="O22" s="126">
        <f ca="1">IF(ISERROR(OFFSET(Ottone!$F$1,MATCH(G22,Ottone!$A:$A,0)-1,MATCH(H22,Ottone!$F$1:$FF$1,0)-1)=TRUE),0,OFFSET(Ottone!$F$1,MATCH(G22,Ottone!$A:$A,0)-1,MATCH(H22,Ottone!$F$1:$FF$1,0)-1))*IF(D22="Ottone",1,0)</f>
        <v>0</v>
      </c>
      <c r="P22" s="126">
        <f ca="1">IF(ISERROR(OFFSET(Rame!$F$1,MATCH(G22,Rame!$F:$F,0)-1,MATCH(H22,Rame!$F$1:$FF$1,0)-1)=TRUE),0,OFFSET(Rame!$F$1,MATCH(G22,Rame!$F:$F,0)-1,MATCH(H22,Rame!$F$1:$FF$1,0)-1))*IF(D22="Rame",1,0)</f>
        <v>0</v>
      </c>
      <c r="Q22" s="126">
        <f t="shared" ca="1" si="1"/>
        <v>0</v>
      </c>
      <c r="R22" s="126">
        <f t="shared" si="7"/>
        <v>0</v>
      </c>
      <c r="S22" s="127"/>
      <c r="T22" s="128">
        <f t="shared" ca="1" si="3"/>
        <v>0</v>
      </c>
      <c r="U22" s="125">
        <f t="shared" si="4"/>
        <v>0</v>
      </c>
      <c r="V22" s="129"/>
      <c r="W22" s="130">
        <f t="shared" ca="1" si="5"/>
        <v>0</v>
      </c>
      <c r="X22" s="125">
        <f t="shared" ca="1" si="6"/>
        <v>0</v>
      </c>
      <c r="Y22" s="131"/>
      <c r="Z22" s="100"/>
    </row>
    <row r="23" spans="1:26" ht="15.75" thickBot="1" x14ac:dyDescent="0.3">
      <c r="A23" s="103"/>
      <c r="B23" s="88"/>
      <c r="C23" s="121"/>
      <c r="D23" s="89"/>
      <c r="E23" s="122"/>
      <c r="F23" s="123"/>
      <c r="G23" s="88"/>
      <c r="H23" s="88"/>
      <c r="I23" s="125"/>
      <c r="J23" s="115">
        <f ca="1">IF(ISERROR(OFFSET(Tabella!$A$1,MATCH(G23,Tabella!$A:$A,0)-1,MATCH(I23,Tabella!$A$1:$AC$1,0)-1)=TRUE),0,+OFFSET(Tabella!$A$1,MATCH(G23,Tabella!$A:$A,0)-1,MATCH(I23,Tabella!$A$1:$AC$1,0)-1))</f>
        <v>0</v>
      </c>
      <c r="K23" s="85">
        <f ca="1">IF(ISERROR(OFFSET(Ottone!$A$1,MATCH(G23,Ottone!$A:$A,0)-1,MATCH(I23,Ottone!$A$1:$Z$1,0)-1)=TRUE),0,OFFSET(Ottone!$A$1,MATCH(G23,Ottone!$A:$A,0)-1,MATCH(I23,Ottone!$A$1:$Z$1,0)-1))*IF(D23="Ottone",1,0)</f>
        <v>0</v>
      </c>
      <c r="L23" s="85">
        <f ca="1">IF(ISERROR(OFFSET(Rame!$A$1,MATCH(G23,Rame!$A:$A,0)-1,MATCH(I23,Rame!$A$1:$AA$1,0)-1)=TRUE),0,OFFSET(Rame!$A$1,MATCH(G23,Rame!$A:$A,0)-1,MATCH(I23,Rame!$A$1:$AA$1,0)-1))*IF(D23="Rame",1,0)</f>
        <v>0</v>
      </c>
      <c r="M23" s="126">
        <f t="shared" ca="1" si="0"/>
        <v>0</v>
      </c>
      <c r="N23" s="126">
        <f ca="1">+IF(ISERROR(OFFSET(Tabella!$G$1,MATCH(G23,Tabella!$G:$G,0)-1,MATCH(H23,Tabella!$G$1:$FG$1,0)-1)=TRUE),0,OFFSET(Tabella!$G$1,MATCH(G23,Tabella!$G:$G,0)-1,MATCH(H23,Tabella!$G$1:$AB$1,0)-1))</f>
        <v>0</v>
      </c>
      <c r="O23" s="126">
        <f ca="1">IF(ISERROR(OFFSET(Ottone!$F$1,MATCH(G23,Ottone!$A:$A,0)-1,MATCH(H23,Ottone!$F$1:$FF$1,0)-1)=TRUE),0,OFFSET(Ottone!$F$1,MATCH(G23,Ottone!$A:$A,0)-1,MATCH(H23,Ottone!$F$1:$FF$1,0)-1))*IF(D23="Ottone",1,0)</f>
        <v>0</v>
      </c>
      <c r="P23" s="126">
        <f ca="1">IF(ISERROR(OFFSET(Rame!$F$1,MATCH(G23,Rame!$F:$F,0)-1,MATCH(H23,Rame!$F$1:$FF$1,0)-1)=TRUE),0,OFFSET(Rame!$F$1,MATCH(G23,Rame!$F:$F,0)-1,MATCH(H23,Rame!$F$1:$FF$1,0)-1))*IF(D23="Rame",1,0)</f>
        <v>0</v>
      </c>
      <c r="Q23" s="126">
        <f t="shared" ca="1" si="1"/>
        <v>0</v>
      </c>
      <c r="R23" s="126">
        <f t="shared" si="7"/>
        <v>0</v>
      </c>
      <c r="S23" s="127"/>
      <c r="T23" s="128">
        <f t="shared" ca="1" si="3"/>
        <v>0</v>
      </c>
      <c r="U23" s="125">
        <f t="shared" si="4"/>
        <v>0</v>
      </c>
      <c r="V23" s="129"/>
      <c r="W23" s="130">
        <f t="shared" ca="1" si="5"/>
        <v>0</v>
      </c>
      <c r="X23" s="125">
        <f t="shared" ca="1" si="6"/>
        <v>0</v>
      </c>
      <c r="Y23" s="131"/>
      <c r="Z23" s="100"/>
    </row>
    <row r="24" spans="1:26" ht="15.75" thickBot="1" x14ac:dyDescent="0.3">
      <c r="A24" s="103"/>
      <c r="B24" s="88"/>
      <c r="C24" s="121"/>
      <c r="D24" s="89"/>
      <c r="E24" s="122"/>
      <c r="F24" s="123"/>
      <c r="G24" s="88"/>
      <c r="H24" s="88"/>
      <c r="I24" s="125"/>
      <c r="J24" s="115">
        <f ca="1">IF(ISERROR(OFFSET(Tabella!$A$1,MATCH(G24,Tabella!$A:$A,0)-1,MATCH(I24,Tabella!$A$1:$AC$1,0)-1)=TRUE),0,+OFFSET(Tabella!$A$1,MATCH(G24,Tabella!$A:$A,0)-1,MATCH(I24,Tabella!$A$1:$AC$1,0)-1))</f>
        <v>0</v>
      </c>
      <c r="K24" s="85">
        <f ca="1">IF(ISERROR(OFFSET(Ottone!$A$1,MATCH(G24,Ottone!$A:$A,0)-1,MATCH(I24,Ottone!$A$1:$Z$1,0)-1)=TRUE),0,OFFSET(Ottone!$A$1,MATCH(G24,Ottone!$A:$A,0)-1,MATCH(I24,Ottone!$A$1:$Z$1,0)-1))*IF(D24="Ottone",1,0)</f>
        <v>0</v>
      </c>
      <c r="L24" s="85">
        <f ca="1">IF(ISERROR(OFFSET(Rame!$A$1,MATCH(G24,Rame!$A:$A,0)-1,MATCH(I24,Rame!$A$1:$AA$1,0)-1)=TRUE),0,OFFSET(Rame!$A$1,MATCH(G24,Rame!$A:$A,0)-1,MATCH(I24,Rame!$A$1:$AA$1,0)-1))*IF(D24="Rame",1,0)</f>
        <v>0</v>
      </c>
      <c r="M24" s="126">
        <f t="shared" ca="1" si="0"/>
        <v>0</v>
      </c>
      <c r="N24" s="126">
        <f ca="1">+IF(ISERROR(OFFSET(Tabella!$G$1,MATCH(G24,Tabella!$G:$G,0)-1,MATCH(H24,Tabella!$G$1:$FG$1,0)-1)=TRUE),0,OFFSET(Tabella!$G$1,MATCH(G24,Tabella!$G:$G,0)-1,MATCH(H24,Tabella!$G$1:$AB$1,0)-1))</f>
        <v>0</v>
      </c>
      <c r="O24" s="126">
        <f ca="1">IF(ISERROR(OFFSET(Ottone!$F$1,MATCH(G24,Ottone!$A:$A,0)-1,MATCH(H24,Ottone!$F$1:$FF$1,0)-1)=TRUE),0,OFFSET(Ottone!$F$1,MATCH(G24,Ottone!$A:$A,0)-1,MATCH(H24,Ottone!$F$1:$FF$1,0)-1))*IF(D24="Ottone",1,0)</f>
        <v>0</v>
      </c>
      <c r="P24" s="126">
        <f ca="1">IF(ISERROR(OFFSET(Rame!$F$1,MATCH(G24,Rame!$F:$F,0)-1,MATCH(H24,Rame!$F$1:$FF$1,0)-1)=TRUE),0,OFFSET(Rame!$F$1,MATCH(G24,Rame!$F:$F,0)-1,MATCH(H24,Rame!$F$1:$FF$1,0)-1))*IF(D24="Rame",1,0)</f>
        <v>0</v>
      </c>
      <c r="Q24" s="126">
        <f t="shared" ca="1" si="1"/>
        <v>0</v>
      </c>
      <c r="R24" s="126">
        <f t="shared" si="7"/>
        <v>0</v>
      </c>
      <c r="S24" s="127"/>
      <c r="T24" s="128">
        <f t="shared" ca="1" si="3"/>
        <v>0</v>
      </c>
      <c r="U24" s="125">
        <f t="shared" si="4"/>
        <v>0</v>
      </c>
      <c r="V24" s="129"/>
      <c r="W24" s="130">
        <f t="shared" ca="1" si="5"/>
        <v>0</v>
      </c>
      <c r="X24" s="125">
        <f t="shared" ca="1" si="6"/>
        <v>0</v>
      </c>
      <c r="Y24" s="131"/>
      <c r="Z24" s="100"/>
    </row>
    <row r="25" spans="1:26" ht="15.75" thickBot="1" x14ac:dyDescent="0.3">
      <c r="A25" s="103"/>
      <c r="B25" s="88"/>
      <c r="C25" s="121"/>
      <c r="D25" s="89"/>
      <c r="E25" s="122"/>
      <c r="F25" s="123"/>
      <c r="G25" s="88"/>
      <c r="H25" s="88"/>
      <c r="I25" s="125"/>
      <c r="J25" s="115">
        <f ca="1">IF(ISERROR(OFFSET(Tabella!$A$1,MATCH(G25,Tabella!$A:$A,0)-1,MATCH(I25,Tabella!$A$1:$AC$1,0)-1)=TRUE),0,+OFFSET(Tabella!$A$1,MATCH(G25,Tabella!$A:$A,0)-1,MATCH(I25,Tabella!$A$1:$AC$1,0)-1))</f>
        <v>0</v>
      </c>
      <c r="K25" s="85">
        <f ca="1">IF(ISERROR(OFFSET(Ottone!$A$1,MATCH(G25,Ottone!$A:$A,0)-1,MATCH(I25,Ottone!$A$1:$Z$1,0)-1)=TRUE),0,OFFSET(Ottone!$A$1,MATCH(G25,Ottone!$A:$A,0)-1,MATCH(I25,Ottone!$A$1:$Z$1,0)-1))*IF(D25="Ottone",1,0)</f>
        <v>0</v>
      </c>
      <c r="L25" s="85">
        <f ca="1">IF(ISERROR(OFFSET(Rame!$A$1,MATCH(G25,Rame!$A:$A,0)-1,MATCH(I25,Rame!$A$1:$AA$1,0)-1)=TRUE),0,OFFSET(Rame!$A$1,MATCH(G25,Rame!$A:$A,0)-1,MATCH(I25,Rame!$A$1:$AA$1,0)-1))*IF(D25="Rame",1,0)</f>
        <v>0</v>
      </c>
      <c r="M25" s="126">
        <f t="shared" ca="1" si="0"/>
        <v>0</v>
      </c>
      <c r="N25" s="126">
        <f ca="1">+IF(ISERROR(OFFSET(Tabella!$G$1,MATCH(G25,Tabella!$G:$G,0)-1,MATCH(H25,Tabella!$G$1:$FG$1,0)-1)=TRUE),0,OFFSET(Tabella!$G$1,MATCH(G25,Tabella!$G:$G,0)-1,MATCH(H25,Tabella!$G$1:$AB$1,0)-1))</f>
        <v>0</v>
      </c>
      <c r="O25" s="126">
        <f ca="1">IF(ISERROR(OFFSET(Ottone!$F$1,MATCH(G25,Ottone!$A:$A,0)-1,MATCH(H25,Ottone!$F$1:$FF$1,0)-1)=TRUE),0,OFFSET(Ottone!$F$1,MATCH(G25,Ottone!$A:$A,0)-1,MATCH(H25,Ottone!$F$1:$FF$1,0)-1))*IF(D25="Ottone",1,0)</f>
        <v>0</v>
      </c>
      <c r="P25" s="126">
        <f ca="1">IF(ISERROR(OFFSET(Rame!$F$1,MATCH(G25,Rame!$F:$F,0)-1,MATCH(H25,Rame!$F$1:$FF$1,0)-1)=TRUE),0,OFFSET(Rame!$F$1,MATCH(G25,Rame!$F:$F,0)-1,MATCH(H25,Rame!$F$1:$FF$1,0)-1))*IF(D25="Rame",1,0)</f>
        <v>0</v>
      </c>
      <c r="Q25" s="126">
        <f t="shared" ca="1" si="1"/>
        <v>0</v>
      </c>
      <c r="R25" s="126">
        <f t="shared" si="7"/>
        <v>0</v>
      </c>
      <c r="S25" s="127"/>
      <c r="T25" s="128">
        <f t="shared" ca="1" si="3"/>
        <v>0</v>
      </c>
      <c r="U25" s="125">
        <f t="shared" si="4"/>
        <v>0</v>
      </c>
      <c r="V25" s="129"/>
      <c r="W25" s="130">
        <f t="shared" ca="1" si="5"/>
        <v>0</v>
      </c>
      <c r="X25" s="125">
        <f t="shared" ca="1" si="6"/>
        <v>0</v>
      </c>
      <c r="Y25" s="131"/>
      <c r="Z25" s="100"/>
    </row>
    <row r="26" spans="1:26" ht="15.75" thickBot="1" x14ac:dyDescent="0.3">
      <c r="A26" s="103"/>
      <c r="B26" s="88"/>
      <c r="C26" s="121"/>
      <c r="D26" s="89"/>
      <c r="E26" s="122"/>
      <c r="F26" s="123"/>
      <c r="G26" s="88"/>
      <c r="H26" s="88"/>
      <c r="I26" s="125"/>
      <c r="J26" s="115">
        <f ca="1">IF(ISERROR(OFFSET(Tabella!$A$1,MATCH(G26,Tabella!$A:$A,0)-1,MATCH(I26,Tabella!$A$1:$AC$1,0)-1)=TRUE),0,+OFFSET(Tabella!$A$1,MATCH(G26,Tabella!$A:$A,0)-1,MATCH(I26,Tabella!$A$1:$AC$1,0)-1))</f>
        <v>0</v>
      </c>
      <c r="K26" s="85">
        <f ca="1">IF(ISERROR(OFFSET(Ottone!$A$1,MATCH(G26,Ottone!$A:$A,0)-1,MATCH(I26,Ottone!$A$1:$Z$1,0)-1)=TRUE),0,OFFSET(Ottone!$A$1,MATCH(G26,Ottone!$A:$A,0)-1,MATCH(I26,Ottone!$A$1:$Z$1,0)-1))*IF(D26="Ottone",1,0)</f>
        <v>0</v>
      </c>
      <c r="L26" s="85">
        <f ca="1">IF(ISERROR(OFFSET(Rame!$A$1,MATCH(G26,Rame!$A:$A,0)-1,MATCH(I26,Rame!$A$1:$AA$1,0)-1)=TRUE),0,OFFSET(Rame!$A$1,MATCH(G26,Rame!$A:$A,0)-1,MATCH(I26,Rame!$A$1:$AA$1,0)-1))*IF(D26="Rame",1,0)</f>
        <v>0</v>
      </c>
      <c r="M26" s="126">
        <f t="shared" ca="1" si="0"/>
        <v>0</v>
      </c>
      <c r="N26" s="126">
        <f ca="1">+IF(ISERROR(OFFSET(Tabella!$G$1,MATCH(G26,Tabella!$G:$G,0)-1,MATCH(H26,Tabella!$G$1:$FG$1,0)-1)=TRUE),0,OFFSET(Tabella!$G$1,MATCH(G26,Tabella!$G:$G,0)-1,MATCH(H26,Tabella!$G$1:$AB$1,0)-1))</f>
        <v>0</v>
      </c>
      <c r="O26" s="126">
        <f ca="1">IF(ISERROR(OFFSET(Ottone!$F$1,MATCH(G26,Ottone!$A:$A,0)-1,MATCH(H26,Ottone!$F$1:$FF$1,0)-1)=TRUE),0,OFFSET(Ottone!$F$1,MATCH(G26,Ottone!$A:$A,0)-1,MATCH(H26,Ottone!$F$1:$FF$1,0)-1))*IF(D26="Ottone",1,0)</f>
        <v>0</v>
      </c>
      <c r="P26" s="126">
        <f ca="1">IF(ISERROR(OFFSET(Rame!$F$1,MATCH(G26,Rame!$F:$F,0)-1,MATCH(H26,Rame!$F$1:$FF$1,0)-1)=TRUE),0,OFFSET(Rame!$F$1,MATCH(G26,Rame!$F:$F,0)-1,MATCH(H26,Rame!$F$1:$FF$1,0)-1))*IF(D26="Rame",1,0)</f>
        <v>0</v>
      </c>
      <c r="Q26" s="126">
        <f t="shared" ca="1" si="1"/>
        <v>0</v>
      </c>
      <c r="R26" s="126">
        <f t="shared" si="7"/>
        <v>0</v>
      </c>
      <c r="S26" s="127"/>
      <c r="T26" s="128">
        <f t="shared" ca="1" si="3"/>
        <v>0</v>
      </c>
      <c r="U26" s="125">
        <f t="shared" si="4"/>
        <v>0</v>
      </c>
      <c r="V26" s="129"/>
      <c r="W26" s="130">
        <f t="shared" ca="1" si="5"/>
        <v>0</v>
      </c>
      <c r="X26" s="125">
        <f t="shared" ca="1" si="6"/>
        <v>0</v>
      </c>
      <c r="Y26" s="131"/>
      <c r="Z26" s="100"/>
    </row>
    <row r="27" spans="1:26" ht="15.75" thickBot="1" x14ac:dyDescent="0.3">
      <c r="A27" s="103"/>
      <c r="B27" s="88"/>
      <c r="C27" s="121"/>
      <c r="D27" s="89"/>
      <c r="E27" s="122"/>
      <c r="F27" s="123"/>
      <c r="G27" s="88"/>
      <c r="H27" s="88"/>
      <c r="I27" s="125"/>
      <c r="J27" s="115">
        <f ca="1">IF(ISERROR(OFFSET(Tabella!$A$1,MATCH(G27,Tabella!$A:$A,0)-1,MATCH(I27,Tabella!$A$1:$AC$1,0)-1)=TRUE),0,+OFFSET(Tabella!$A$1,MATCH(G27,Tabella!$A:$A,0)-1,MATCH(I27,Tabella!$A$1:$AC$1,0)-1))</f>
        <v>0</v>
      </c>
      <c r="K27" s="85">
        <f ca="1">IF(ISERROR(OFFSET(Ottone!$A$1,MATCH(G27,Ottone!$A:$A,0)-1,MATCH(I27,Ottone!$A$1:$Z$1,0)-1)=TRUE),0,OFFSET(Ottone!$A$1,MATCH(G27,Ottone!$A:$A,0)-1,MATCH(I27,Ottone!$A$1:$Z$1,0)-1))*IF(D27="Ottone",1,0)</f>
        <v>0</v>
      </c>
      <c r="L27" s="85">
        <f ca="1">IF(ISERROR(OFFSET(Rame!$A$1,MATCH(G27,Rame!$A:$A,0)-1,MATCH(I27,Rame!$A$1:$AA$1,0)-1)=TRUE),0,OFFSET(Rame!$A$1,MATCH(G27,Rame!$A:$A,0)-1,MATCH(I27,Rame!$A$1:$AA$1,0)-1))*IF(D27="Rame",1,0)</f>
        <v>0</v>
      </c>
      <c r="M27" s="126">
        <f t="shared" ca="1" si="0"/>
        <v>0</v>
      </c>
      <c r="N27" s="126">
        <f ca="1">+IF(ISERROR(OFFSET(Tabella!$G$1,MATCH(G27,Tabella!$G:$G,0)-1,MATCH(H27,Tabella!$G$1:$FG$1,0)-1)=TRUE),0,OFFSET(Tabella!$G$1,MATCH(G27,Tabella!$G:$G,0)-1,MATCH(H27,Tabella!$G$1:$AB$1,0)-1))</f>
        <v>0</v>
      </c>
      <c r="O27" s="126">
        <f ca="1">IF(ISERROR(OFFSET(Ottone!$F$1,MATCH(G27,Ottone!$A:$A,0)-1,MATCH(H27,Ottone!$F$1:$FF$1,0)-1)=TRUE),0,OFFSET(Ottone!$F$1,MATCH(G27,Ottone!$A:$A,0)-1,MATCH(H27,Ottone!$F$1:$FF$1,0)-1))*IF(D27="Ottone",1,0)</f>
        <v>0</v>
      </c>
      <c r="P27" s="126">
        <f ca="1">IF(ISERROR(OFFSET(Rame!$F$1,MATCH(G27,Rame!$F:$F,0)-1,MATCH(H27,Rame!$F$1:$FF$1,0)-1)=TRUE),0,OFFSET(Rame!$F$1,MATCH(G27,Rame!$F:$F,0)-1,MATCH(H27,Rame!$F$1:$FF$1,0)-1))*IF(D27="Rame",1,0)</f>
        <v>0</v>
      </c>
      <c r="Q27" s="126">
        <f t="shared" ca="1" si="1"/>
        <v>0</v>
      </c>
      <c r="R27" s="126">
        <f t="shared" si="7"/>
        <v>0</v>
      </c>
      <c r="S27" s="127"/>
      <c r="T27" s="128">
        <f t="shared" ca="1" si="3"/>
        <v>0</v>
      </c>
      <c r="U27" s="125">
        <f t="shared" si="4"/>
        <v>0</v>
      </c>
      <c r="V27" s="129"/>
      <c r="W27" s="130">
        <f t="shared" ca="1" si="5"/>
        <v>0</v>
      </c>
      <c r="X27" s="125">
        <f t="shared" ca="1" si="6"/>
        <v>0</v>
      </c>
      <c r="Y27" s="131"/>
      <c r="Z27" s="100"/>
    </row>
    <row r="28" spans="1:26" ht="15.75" thickBot="1" x14ac:dyDescent="0.3">
      <c r="A28" s="103"/>
      <c r="B28" s="88"/>
      <c r="C28" s="121"/>
      <c r="D28" s="89"/>
      <c r="E28" s="122"/>
      <c r="F28" s="123"/>
      <c r="G28" s="88"/>
      <c r="H28" s="88"/>
      <c r="I28" s="125"/>
      <c r="J28" s="115">
        <f ca="1">IF(ISERROR(OFFSET(Tabella!$A$1,MATCH(G28,Tabella!$A:$A,0)-1,MATCH(I28,Tabella!$A$1:$AC$1,0)-1)=TRUE),0,+OFFSET(Tabella!$A$1,MATCH(G28,Tabella!$A:$A,0)-1,MATCH(I28,Tabella!$A$1:$AC$1,0)-1))</f>
        <v>0</v>
      </c>
      <c r="K28" s="85">
        <f ca="1">IF(ISERROR(OFFSET(Ottone!$A$1,MATCH(G28,Ottone!$A:$A,0)-1,MATCH(I28,Ottone!$A$1:$Z$1,0)-1)=TRUE),0,OFFSET(Ottone!$A$1,MATCH(G28,Ottone!$A:$A,0)-1,MATCH(I28,Ottone!$A$1:$Z$1,0)-1))*IF(D28="Ottone",1,0)</f>
        <v>0</v>
      </c>
      <c r="L28" s="85">
        <f ca="1">IF(ISERROR(OFFSET(Rame!$A$1,MATCH(G28,Rame!$A:$A,0)-1,MATCH(I28,Rame!$A$1:$AA$1,0)-1)=TRUE),0,OFFSET(Rame!$A$1,MATCH(G28,Rame!$A:$A,0)-1,MATCH(I28,Rame!$A$1:$AA$1,0)-1))*IF(D28="Rame",1,0)</f>
        <v>0</v>
      </c>
      <c r="M28" s="126">
        <f t="shared" ca="1" si="0"/>
        <v>0</v>
      </c>
      <c r="N28" s="126">
        <f ca="1">+IF(ISERROR(OFFSET(Tabella!$G$1,MATCH(G28,Tabella!$G:$G,0)-1,MATCH(H28,Tabella!$G$1:$FG$1,0)-1)=TRUE),0,OFFSET(Tabella!$G$1,MATCH(G28,Tabella!$G:$G,0)-1,MATCH(H28,Tabella!$G$1:$AB$1,0)-1))</f>
        <v>0</v>
      </c>
      <c r="O28" s="126">
        <f ca="1">IF(ISERROR(OFFSET(Ottone!$F$1,MATCH(G28,Ottone!$A:$A,0)-1,MATCH(H28,Ottone!$F$1:$FF$1,0)-1)=TRUE),0,OFFSET(Ottone!$F$1,MATCH(G28,Ottone!$A:$A,0)-1,MATCH(H28,Ottone!$F$1:$FF$1,0)-1))*IF(D28="Ottone",1,0)</f>
        <v>0</v>
      </c>
      <c r="P28" s="126">
        <f ca="1">IF(ISERROR(OFFSET(Rame!$F$1,MATCH(G28,Rame!$F:$F,0)-1,MATCH(H28,Rame!$F$1:$FF$1,0)-1)=TRUE),0,OFFSET(Rame!$F$1,MATCH(G28,Rame!$F:$F,0)-1,MATCH(H28,Rame!$F$1:$FF$1,0)-1))*IF(D28="Rame",1,0)</f>
        <v>0</v>
      </c>
      <c r="Q28" s="126">
        <f t="shared" ca="1" si="1"/>
        <v>0</v>
      </c>
      <c r="R28" s="126">
        <f t="shared" si="7"/>
        <v>0</v>
      </c>
      <c r="S28" s="127"/>
      <c r="T28" s="128">
        <f t="shared" ca="1" si="3"/>
        <v>0</v>
      </c>
      <c r="U28" s="125">
        <f t="shared" si="4"/>
        <v>0</v>
      </c>
      <c r="V28" s="129"/>
      <c r="W28" s="130">
        <f t="shared" ca="1" si="5"/>
        <v>0</v>
      </c>
      <c r="X28" s="125">
        <f t="shared" ca="1" si="6"/>
        <v>0</v>
      </c>
      <c r="Y28" s="131"/>
      <c r="Z28" s="100"/>
    </row>
    <row r="29" spans="1:26" ht="15.75" thickBot="1" x14ac:dyDescent="0.3">
      <c r="A29" s="103"/>
      <c r="B29" s="88"/>
      <c r="C29" s="121"/>
      <c r="D29" s="89"/>
      <c r="E29" s="122"/>
      <c r="F29" s="123"/>
      <c r="G29" s="88"/>
      <c r="H29" s="88"/>
      <c r="I29" s="125"/>
      <c r="J29" s="115">
        <f ca="1">IF(ISERROR(OFFSET(Tabella!$A$1,MATCH(G29,Tabella!$A:$A,0)-1,MATCH(I29,Tabella!$A$1:$AC$1,0)-1)=TRUE),0,+OFFSET(Tabella!$A$1,MATCH(G29,Tabella!$A:$A,0)-1,MATCH(I29,Tabella!$A$1:$AC$1,0)-1))</f>
        <v>0</v>
      </c>
      <c r="K29" s="85">
        <f ca="1">IF(ISERROR(OFFSET(Ottone!$A$1,MATCH(G29,Ottone!$A:$A,0)-1,MATCH(I29,Ottone!$A$1:$Z$1,0)-1)=TRUE),0,OFFSET(Ottone!$A$1,MATCH(G29,Ottone!$A:$A,0)-1,MATCH(I29,Ottone!$A$1:$Z$1,0)-1))*IF(D29="Ottone",1,0)</f>
        <v>0</v>
      </c>
      <c r="L29" s="85">
        <f ca="1">IF(ISERROR(OFFSET(Rame!$A$1,MATCH(G29,Rame!$A:$A,0)-1,MATCH(I29,Rame!$A$1:$AA$1,0)-1)=TRUE),0,OFFSET(Rame!$A$1,MATCH(G29,Rame!$A:$A,0)-1,MATCH(I29,Rame!$A$1:$AA$1,0)-1))*IF(D29="Rame",1,0)</f>
        <v>0</v>
      </c>
      <c r="M29" s="126">
        <f t="shared" ca="1" si="0"/>
        <v>0</v>
      </c>
      <c r="N29" s="126">
        <f ca="1">+IF(ISERROR(OFFSET(Tabella!$G$1,MATCH(G29,Tabella!$G:$G,0)-1,MATCH(H29,Tabella!$G$1:$FG$1,0)-1)=TRUE),0,OFFSET(Tabella!$G$1,MATCH(G29,Tabella!$G:$G,0)-1,MATCH(H29,Tabella!$G$1:$AB$1,0)-1))</f>
        <v>0</v>
      </c>
      <c r="O29" s="126">
        <f ca="1">IF(ISERROR(OFFSET(Ottone!$F$1,MATCH(G29,Ottone!$A:$A,0)-1,MATCH(H29,Ottone!$F$1:$FF$1,0)-1)=TRUE),0,OFFSET(Ottone!$F$1,MATCH(G29,Ottone!$A:$A,0)-1,MATCH(H29,Ottone!$F$1:$FF$1,0)-1))*IF(D29="Ottone",1,0)</f>
        <v>0</v>
      </c>
      <c r="P29" s="126">
        <f ca="1">IF(ISERROR(OFFSET(Rame!$F$1,MATCH(G29,Rame!$F:$F,0)-1,MATCH(H29,Rame!$F$1:$FF$1,0)-1)=TRUE),0,OFFSET(Rame!$F$1,MATCH(G29,Rame!$F:$F,0)-1,MATCH(H29,Rame!$F$1:$FF$1,0)-1))*IF(D29="Rame",1,0)</f>
        <v>0</v>
      </c>
      <c r="Q29" s="126">
        <f t="shared" ca="1" si="1"/>
        <v>0</v>
      </c>
      <c r="R29" s="126">
        <f t="shared" si="7"/>
        <v>0</v>
      </c>
      <c r="S29" s="127"/>
      <c r="T29" s="128">
        <f t="shared" ca="1" si="3"/>
        <v>0</v>
      </c>
      <c r="U29" s="125">
        <f t="shared" si="4"/>
        <v>0</v>
      </c>
      <c r="V29" s="129"/>
      <c r="W29" s="130">
        <f t="shared" ca="1" si="5"/>
        <v>0</v>
      </c>
      <c r="X29" s="125">
        <f t="shared" ca="1" si="6"/>
        <v>0</v>
      </c>
      <c r="Y29" s="131"/>
      <c r="Z29" s="100"/>
    </row>
    <row r="30" spans="1:26" ht="15.75" thickBot="1" x14ac:dyDescent="0.3">
      <c r="A30" s="103"/>
      <c r="B30" s="88"/>
      <c r="C30" s="121"/>
      <c r="D30" s="89"/>
      <c r="E30" s="122"/>
      <c r="F30" s="123"/>
      <c r="G30" s="88"/>
      <c r="H30" s="88"/>
      <c r="I30" s="125"/>
      <c r="J30" s="115">
        <f ca="1">IF(ISERROR(OFFSET(Tabella!$A$1,MATCH(G30,Tabella!$A:$A,0)-1,MATCH(I30,Tabella!$A$1:$AC$1,0)-1)=TRUE),0,+OFFSET(Tabella!$A$1,MATCH(G30,Tabella!$A:$A,0)-1,MATCH(I30,Tabella!$A$1:$AC$1,0)-1))</f>
        <v>0</v>
      </c>
      <c r="K30" s="85">
        <f ca="1">IF(ISERROR(OFFSET(Ottone!$A$1,MATCH(G30,Ottone!$A:$A,0)-1,MATCH(I30,Ottone!$A$1:$Z$1,0)-1)=TRUE),0,OFFSET(Ottone!$A$1,MATCH(G30,Ottone!$A:$A,0)-1,MATCH(I30,Ottone!$A$1:$Z$1,0)-1))*IF(D30="Ottone",1,0)</f>
        <v>0</v>
      </c>
      <c r="L30" s="85">
        <f ca="1">IF(ISERROR(OFFSET(Rame!$A$1,MATCH(G30,Rame!$A:$A,0)-1,MATCH(I30,Rame!$A$1:$AA$1,0)-1)=TRUE),0,OFFSET(Rame!$A$1,MATCH(G30,Rame!$A:$A,0)-1,MATCH(I30,Rame!$A$1:$AA$1,0)-1))*IF(D30="Rame",1,0)</f>
        <v>0</v>
      </c>
      <c r="M30" s="126">
        <f t="shared" ca="1" si="0"/>
        <v>0</v>
      </c>
      <c r="N30" s="126">
        <f ca="1">+IF(ISERROR(OFFSET(Tabella!$G$1,MATCH(G30,Tabella!$G:$G,0)-1,MATCH(H30,Tabella!$G$1:$FG$1,0)-1)=TRUE),0,OFFSET(Tabella!$G$1,MATCH(G30,Tabella!$G:$G,0)-1,MATCH(H30,Tabella!$G$1:$AB$1,0)-1))</f>
        <v>0</v>
      </c>
      <c r="O30" s="126">
        <f ca="1">IF(ISERROR(OFFSET(Ottone!$F$1,MATCH(G30,Ottone!$A:$A,0)-1,MATCH(H30,Ottone!$F$1:$FF$1,0)-1)=TRUE),0,OFFSET(Ottone!$F$1,MATCH(G30,Ottone!$A:$A,0)-1,MATCH(H30,Ottone!$F$1:$FF$1,0)-1))*IF(D30="Ottone",1,0)</f>
        <v>0</v>
      </c>
      <c r="P30" s="126">
        <f ca="1">IF(ISERROR(OFFSET(Rame!$F$1,MATCH(G30,Rame!$F:$F,0)-1,MATCH(H30,Rame!$F$1:$FF$1,0)-1)=TRUE),0,OFFSET(Rame!$F$1,MATCH(G30,Rame!$F:$F,0)-1,MATCH(H30,Rame!$F$1:$FF$1,0)-1))*IF(D30="Rame",1,0)</f>
        <v>0</v>
      </c>
      <c r="Q30" s="126">
        <f t="shared" ca="1" si="1"/>
        <v>0</v>
      </c>
      <c r="R30" s="126">
        <f t="shared" si="7"/>
        <v>0</v>
      </c>
      <c r="S30" s="127"/>
      <c r="T30" s="128">
        <f t="shared" ca="1" si="3"/>
        <v>0</v>
      </c>
      <c r="U30" s="125">
        <f t="shared" si="4"/>
        <v>0</v>
      </c>
      <c r="V30" s="129"/>
      <c r="W30" s="130">
        <f t="shared" ca="1" si="5"/>
        <v>0</v>
      </c>
      <c r="X30" s="125">
        <f t="shared" ca="1" si="6"/>
        <v>0</v>
      </c>
      <c r="Y30" s="131"/>
      <c r="Z30" s="100"/>
    </row>
    <row r="31" spans="1:26" ht="15.75" thickBot="1" x14ac:dyDescent="0.3">
      <c r="A31" s="103"/>
      <c r="B31" s="88"/>
      <c r="C31" s="121"/>
      <c r="D31" s="89"/>
      <c r="E31" s="122"/>
      <c r="F31" s="123"/>
      <c r="G31" s="88"/>
      <c r="H31" s="88"/>
      <c r="I31" s="125"/>
      <c r="J31" s="115">
        <f ca="1">IF(ISERROR(OFFSET(Tabella!$A$1,MATCH(G31,Tabella!$A:$A,0)-1,MATCH(I31,Tabella!$A$1:$AC$1,0)-1)=TRUE),0,+OFFSET(Tabella!$A$1,MATCH(G31,Tabella!$A:$A,0)-1,MATCH(I31,Tabella!$A$1:$AC$1,0)-1))</f>
        <v>0</v>
      </c>
      <c r="K31" s="85">
        <f ca="1">IF(ISERROR(OFFSET(Ottone!$A$1,MATCH(G31,Ottone!$A:$A,0)-1,MATCH(I31,Ottone!$A$1:$Z$1,0)-1)=TRUE),0,OFFSET(Ottone!$A$1,MATCH(G31,Ottone!$A:$A,0)-1,MATCH(I31,Ottone!$A$1:$Z$1,0)-1))*IF(D31="Ottone",1,0)</f>
        <v>0</v>
      </c>
      <c r="L31" s="85">
        <f ca="1">IF(ISERROR(OFFSET(Rame!$A$1,MATCH(G31,Rame!$A:$A,0)-1,MATCH(I31,Rame!$A$1:$AA$1,0)-1)=TRUE),0,OFFSET(Rame!$A$1,MATCH(G31,Rame!$A:$A,0)-1,MATCH(I31,Rame!$A$1:$AA$1,0)-1))*IF(D31="Rame",1,0)</f>
        <v>0</v>
      </c>
      <c r="M31" s="126">
        <f t="shared" ca="1" si="0"/>
        <v>0</v>
      </c>
      <c r="N31" s="126">
        <f ca="1">+IF(ISERROR(OFFSET(Tabella!$G$1,MATCH(G31,Tabella!$G:$G,0)-1,MATCH(H31,Tabella!$G$1:$FG$1,0)-1)=TRUE),0,OFFSET(Tabella!$G$1,MATCH(G31,Tabella!$G:$G,0)-1,MATCH(H31,Tabella!$G$1:$AB$1,0)-1))</f>
        <v>0</v>
      </c>
      <c r="O31" s="126">
        <f ca="1">IF(ISERROR(OFFSET(Ottone!$F$1,MATCH(G31,Ottone!$A:$A,0)-1,MATCH(H31,Ottone!$F$1:$FF$1,0)-1)=TRUE),0,OFFSET(Ottone!$F$1,MATCH(G31,Ottone!$A:$A,0)-1,MATCH(H31,Ottone!$F$1:$FF$1,0)-1))*IF(D31="Ottone",1,0)</f>
        <v>0</v>
      </c>
      <c r="P31" s="126">
        <f ca="1">IF(ISERROR(OFFSET(Rame!$F$1,MATCH(G31,Rame!$F:$F,0)-1,MATCH(H31,Rame!$F$1:$FF$1,0)-1)=TRUE),0,OFFSET(Rame!$F$1,MATCH(G31,Rame!$F:$F,0)-1,MATCH(H31,Rame!$F$1:$FF$1,0)-1))*IF(D31="Rame",1,0)</f>
        <v>0</v>
      </c>
      <c r="Q31" s="126">
        <f t="shared" ca="1" si="1"/>
        <v>0</v>
      </c>
      <c r="R31" s="126">
        <f t="shared" si="7"/>
        <v>0</v>
      </c>
      <c r="S31" s="127"/>
      <c r="T31" s="128">
        <f t="shared" ca="1" si="3"/>
        <v>0</v>
      </c>
      <c r="U31" s="125">
        <f t="shared" si="4"/>
        <v>0</v>
      </c>
      <c r="V31" s="129"/>
      <c r="W31" s="130">
        <f t="shared" ca="1" si="5"/>
        <v>0</v>
      </c>
      <c r="X31" s="125">
        <f t="shared" ca="1" si="6"/>
        <v>0</v>
      </c>
      <c r="Y31" s="131"/>
      <c r="Z31" s="100"/>
    </row>
    <row r="32" spans="1:26" ht="15.75" thickBot="1" x14ac:dyDescent="0.3">
      <c r="A32" s="103"/>
      <c r="B32" s="88"/>
      <c r="C32" s="121"/>
      <c r="D32" s="89"/>
      <c r="E32" s="122"/>
      <c r="F32" s="123"/>
      <c r="G32" s="88"/>
      <c r="H32" s="88"/>
      <c r="I32" s="125"/>
      <c r="J32" s="115">
        <f ca="1">IF(ISERROR(OFFSET(Tabella!$A$1,MATCH(G32,Tabella!$A:$A,0)-1,MATCH(I32,Tabella!$A$1:$AC$1,0)-1)=TRUE),0,+OFFSET(Tabella!$A$1,MATCH(G32,Tabella!$A:$A,0)-1,MATCH(I32,Tabella!$A$1:$AC$1,0)-1))</f>
        <v>0</v>
      </c>
      <c r="K32" s="85">
        <f ca="1">IF(ISERROR(OFFSET(Ottone!$A$1,MATCH(G32,Ottone!$A:$A,0)-1,MATCH(I32,Ottone!$A$1:$Z$1,0)-1)=TRUE),0,OFFSET(Ottone!$A$1,MATCH(G32,Ottone!$A:$A,0)-1,MATCH(I32,Ottone!$A$1:$Z$1,0)-1))*IF(D32="Ottone",1,0)</f>
        <v>0</v>
      </c>
      <c r="L32" s="85">
        <f ca="1">IF(ISERROR(OFFSET(Rame!$A$1,MATCH(G32,Rame!$A:$A,0)-1,MATCH(I32,Rame!$A$1:$AA$1,0)-1)=TRUE),0,OFFSET(Rame!$A$1,MATCH(G32,Rame!$A:$A,0)-1,MATCH(I32,Rame!$A$1:$AA$1,0)-1))*IF(D32="Rame",1,0)</f>
        <v>0</v>
      </c>
      <c r="M32" s="126">
        <f t="shared" ca="1" si="0"/>
        <v>0</v>
      </c>
      <c r="N32" s="126">
        <f ca="1">+IF(ISERROR(OFFSET(Tabella!$G$1,MATCH(G32,Tabella!$G:$G,0)-1,MATCH(H32,Tabella!$G$1:$FG$1,0)-1)=TRUE),0,OFFSET(Tabella!$G$1,MATCH(G32,Tabella!$G:$G,0)-1,MATCH(H32,Tabella!$G$1:$AB$1,0)-1))</f>
        <v>0</v>
      </c>
      <c r="O32" s="126">
        <f ca="1">IF(ISERROR(OFFSET(Ottone!$F$1,MATCH(G32,Ottone!$A:$A,0)-1,MATCH(H32,Ottone!$F$1:$FF$1,0)-1)=TRUE),0,OFFSET(Ottone!$F$1,MATCH(G32,Ottone!$A:$A,0)-1,MATCH(H32,Ottone!$F$1:$FF$1,0)-1))*IF(D32="Ottone",1,0)</f>
        <v>0</v>
      </c>
      <c r="P32" s="126">
        <f ca="1">IF(ISERROR(OFFSET(Rame!$F$1,MATCH(G32,Rame!$F:$F,0)-1,MATCH(H32,Rame!$F$1:$FF$1,0)-1)=TRUE),0,OFFSET(Rame!$F$1,MATCH(G32,Rame!$F:$F,0)-1,MATCH(H32,Rame!$F$1:$FF$1,0)-1))*IF(D32="Rame",1,0)</f>
        <v>0</v>
      </c>
      <c r="Q32" s="126">
        <f t="shared" ca="1" si="1"/>
        <v>0</v>
      </c>
      <c r="R32" s="126">
        <f t="shared" si="7"/>
        <v>0</v>
      </c>
      <c r="S32" s="127"/>
      <c r="T32" s="128">
        <f t="shared" ca="1" si="3"/>
        <v>0</v>
      </c>
      <c r="U32" s="125">
        <f t="shared" si="4"/>
        <v>0</v>
      </c>
      <c r="V32" s="129"/>
      <c r="W32" s="130">
        <f t="shared" ca="1" si="5"/>
        <v>0</v>
      </c>
      <c r="X32" s="125">
        <f t="shared" ca="1" si="6"/>
        <v>0</v>
      </c>
      <c r="Y32" s="131"/>
      <c r="Z32" s="100"/>
    </row>
    <row r="33" spans="1:26" ht="15.75" thickBot="1" x14ac:dyDescent="0.3">
      <c r="A33" s="103"/>
      <c r="B33" s="88"/>
      <c r="C33" s="121"/>
      <c r="D33" s="89"/>
      <c r="E33" s="122"/>
      <c r="F33" s="123"/>
      <c r="G33" s="88"/>
      <c r="H33" s="88"/>
      <c r="I33" s="125"/>
      <c r="J33" s="115">
        <f ca="1">IF(ISERROR(OFFSET(Tabella!$A$1,MATCH(G33,Tabella!$A:$A,0)-1,MATCH(I33,Tabella!$A$1:$AC$1,0)-1)=TRUE),0,+OFFSET(Tabella!$A$1,MATCH(G33,Tabella!$A:$A,0)-1,MATCH(I33,Tabella!$A$1:$AC$1,0)-1))</f>
        <v>0</v>
      </c>
      <c r="K33" s="85">
        <f ca="1">IF(ISERROR(OFFSET(Ottone!$A$1,MATCH(G33,Ottone!$A:$A,0)-1,MATCH(I33,Ottone!$A$1:$Z$1,0)-1)=TRUE),0,OFFSET(Ottone!$A$1,MATCH(G33,Ottone!$A:$A,0)-1,MATCH(I33,Ottone!$A$1:$Z$1,0)-1))*IF(D33="Ottone",1,0)</f>
        <v>0</v>
      </c>
      <c r="L33" s="85">
        <f ca="1">IF(ISERROR(OFFSET(Rame!$A$1,MATCH(G33,Rame!$A:$A,0)-1,MATCH(I33,Rame!$A$1:$AA$1,0)-1)=TRUE),0,OFFSET(Rame!$A$1,MATCH(G33,Rame!$A:$A,0)-1,MATCH(I33,Rame!$A$1:$AA$1,0)-1))*IF(D33="Rame",1,0)</f>
        <v>0</v>
      </c>
      <c r="M33" s="126">
        <f t="shared" ca="1" si="0"/>
        <v>0</v>
      </c>
      <c r="N33" s="126">
        <f ca="1">+IF(ISERROR(OFFSET(Tabella!$G$1,MATCH(G33,Tabella!$G:$G,0)-1,MATCH(H33,Tabella!$G$1:$FG$1,0)-1)=TRUE),0,OFFSET(Tabella!$G$1,MATCH(G33,Tabella!$G:$G,0)-1,MATCH(H33,Tabella!$G$1:$AB$1,0)-1))</f>
        <v>0</v>
      </c>
      <c r="O33" s="126">
        <f ca="1">IF(ISERROR(OFFSET(Ottone!$F$1,MATCH(G33,Ottone!$A:$A,0)-1,MATCH(H33,Ottone!$F$1:$FF$1,0)-1)=TRUE),0,OFFSET(Ottone!$F$1,MATCH(G33,Ottone!$A:$A,0)-1,MATCH(H33,Ottone!$F$1:$FF$1,0)-1))*IF(D33="Ottone",1,0)</f>
        <v>0</v>
      </c>
      <c r="P33" s="126">
        <f ca="1">IF(ISERROR(OFFSET(Rame!$F$1,MATCH(G33,Rame!$F:$F,0)-1,MATCH(H33,Rame!$F$1:$FF$1,0)-1)=TRUE),0,OFFSET(Rame!$F$1,MATCH(G33,Rame!$F:$F,0)-1,MATCH(H33,Rame!$F$1:$FF$1,0)-1))*IF(D33="Rame",1,0)</f>
        <v>0</v>
      </c>
      <c r="Q33" s="126">
        <f t="shared" ca="1" si="1"/>
        <v>0</v>
      </c>
      <c r="R33" s="126">
        <f t="shared" si="7"/>
        <v>0</v>
      </c>
      <c r="S33" s="127"/>
      <c r="T33" s="128">
        <f t="shared" ca="1" si="3"/>
        <v>0</v>
      </c>
      <c r="U33" s="125">
        <f t="shared" si="4"/>
        <v>0</v>
      </c>
      <c r="V33" s="129"/>
      <c r="W33" s="130">
        <f t="shared" ca="1" si="5"/>
        <v>0</v>
      </c>
      <c r="X33" s="125">
        <f t="shared" ca="1" si="6"/>
        <v>0</v>
      </c>
      <c r="Y33" s="131"/>
      <c r="Z33" s="100"/>
    </row>
    <row r="34" spans="1:26" ht="15.75" thickBot="1" x14ac:dyDescent="0.3">
      <c r="A34" s="103"/>
      <c r="B34" s="88"/>
      <c r="C34" s="121"/>
      <c r="D34" s="89"/>
      <c r="E34" s="122"/>
      <c r="F34" s="123"/>
      <c r="G34" s="88"/>
      <c r="H34" s="88"/>
      <c r="I34" s="125"/>
      <c r="J34" s="115">
        <f ca="1">IF(ISERROR(OFFSET(Tabella!$A$1,MATCH(G34,Tabella!$A:$A,0)-1,MATCH(I34,Tabella!$A$1:$AC$1,0)-1)=TRUE),0,+OFFSET(Tabella!$A$1,MATCH(G34,Tabella!$A:$A,0)-1,MATCH(I34,Tabella!$A$1:$AC$1,0)-1))</f>
        <v>0</v>
      </c>
      <c r="K34" s="85">
        <f ca="1">IF(ISERROR(OFFSET(Ottone!$A$1,MATCH(G34,Ottone!$A:$A,0)-1,MATCH(I34,Ottone!$A$1:$Z$1,0)-1)=TRUE),0,OFFSET(Ottone!$A$1,MATCH(G34,Ottone!$A:$A,0)-1,MATCH(I34,Ottone!$A$1:$Z$1,0)-1))*IF(D34="Ottone",1,0)</f>
        <v>0</v>
      </c>
      <c r="L34" s="85">
        <f ca="1">IF(ISERROR(OFFSET(Rame!$A$1,MATCH(G34,Rame!$A:$A,0)-1,MATCH(I34,Rame!$A$1:$AA$1,0)-1)=TRUE),0,OFFSET(Rame!$A$1,MATCH(G34,Rame!$A:$A,0)-1,MATCH(I34,Rame!$A$1:$AA$1,0)-1))*IF(D34="Rame",1,0)</f>
        <v>0</v>
      </c>
      <c r="M34" s="126">
        <f t="shared" ca="1" si="0"/>
        <v>0</v>
      </c>
      <c r="N34" s="126">
        <f ca="1">+IF(ISERROR(OFFSET(Tabella!$G$1,MATCH(G34,Tabella!$G:$G,0)-1,MATCH(H34,Tabella!$G$1:$FG$1,0)-1)=TRUE),0,OFFSET(Tabella!$G$1,MATCH(G34,Tabella!$G:$G,0)-1,MATCH(H34,Tabella!$G$1:$AB$1,0)-1))</f>
        <v>0</v>
      </c>
      <c r="O34" s="126">
        <f ca="1">IF(ISERROR(OFFSET(Ottone!$F$1,MATCH(G34,Ottone!$A:$A,0)-1,MATCH(H34,Ottone!$F$1:$FF$1,0)-1)=TRUE),0,OFFSET(Ottone!$F$1,MATCH(G34,Ottone!$A:$A,0)-1,MATCH(H34,Ottone!$F$1:$FF$1,0)-1))*IF(D34="Ottone",1,0)</f>
        <v>0</v>
      </c>
      <c r="P34" s="126">
        <f ca="1">IF(ISERROR(OFFSET(Rame!$F$1,MATCH(G34,Rame!$F:$F,0)-1,MATCH(H34,Rame!$F$1:$FF$1,0)-1)=TRUE),0,OFFSET(Rame!$F$1,MATCH(G34,Rame!$F:$F,0)-1,MATCH(H34,Rame!$F$1:$FF$1,0)-1))*IF(D34="Rame",1,0)</f>
        <v>0</v>
      </c>
      <c r="Q34" s="126">
        <f t="shared" ca="1" si="1"/>
        <v>0</v>
      </c>
      <c r="R34" s="126">
        <f t="shared" si="7"/>
        <v>0</v>
      </c>
      <c r="S34" s="127"/>
      <c r="T34" s="128">
        <f t="shared" ca="1" si="3"/>
        <v>0</v>
      </c>
      <c r="U34" s="125">
        <f t="shared" si="4"/>
        <v>0</v>
      </c>
      <c r="V34" s="129"/>
      <c r="W34" s="130">
        <f t="shared" ca="1" si="5"/>
        <v>0</v>
      </c>
      <c r="X34" s="125">
        <f t="shared" ca="1" si="6"/>
        <v>0</v>
      </c>
      <c r="Y34" s="131"/>
      <c r="Z34" s="100"/>
    </row>
    <row r="35" spans="1:26" ht="15.75" thickBot="1" x14ac:dyDescent="0.3">
      <c r="A35" s="103"/>
      <c r="B35" s="88"/>
      <c r="C35" s="121"/>
      <c r="D35" s="89"/>
      <c r="E35" s="122"/>
      <c r="F35" s="123"/>
      <c r="G35" s="88"/>
      <c r="H35" s="88"/>
      <c r="I35" s="125"/>
      <c r="J35" s="115">
        <f ca="1">IF(ISERROR(OFFSET(Tabella!$A$1,MATCH(G35,Tabella!$A:$A,0)-1,MATCH(I35,Tabella!$A$1:$AC$1,0)-1)=TRUE),0,+OFFSET(Tabella!$A$1,MATCH(G35,Tabella!$A:$A,0)-1,MATCH(I35,Tabella!$A$1:$AC$1,0)-1))</f>
        <v>0</v>
      </c>
      <c r="K35" s="85">
        <f ca="1">IF(ISERROR(OFFSET(Ottone!$A$1,MATCH(G35,Ottone!$A:$A,0)-1,MATCH(I35,Ottone!$A$1:$Z$1,0)-1)=TRUE),0,OFFSET(Ottone!$A$1,MATCH(G35,Ottone!$A:$A,0)-1,MATCH(I35,Ottone!$A$1:$Z$1,0)-1))*IF(D35="Ottone",1,0)</f>
        <v>0</v>
      </c>
      <c r="L35" s="85">
        <f ca="1">IF(ISERROR(OFFSET(Rame!$A$1,MATCH(G35,Rame!$A:$A,0)-1,MATCH(I35,Rame!$A$1:$AA$1,0)-1)=TRUE),0,OFFSET(Rame!$A$1,MATCH(G35,Rame!$A:$A,0)-1,MATCH(I35,Rame!$A$1:$AA$1,0)-1))*IF(D35="Rame",1,0)</f>
        <v>0</v>
      </c>
      <c r="M35" s="126">
        <f t="shared" ca="1" si="0"/>
        <v>0</v>
      </c>
      <c r="N35" s="126">
        <f ca="1">+IF(ISERROR(OFFSET(Tabella!$G$1,MATCH(G35,Tabella!$G:$G,0)-1,MATCH(H35,Tabella!$G$1:$FG$1,0)-1)=TRUE),0,OFFSET(Tabella!$G$1,MATCH(G35,Tabella!$G:$G,0)-1,MATCH(H35,Tabella!$G$1:$AB$1,0)-1))</f>
        <v>0</v>
      </c>
      <c r="O35" s="126">
        <f ca="1">IF(ISERROR(OFFSET(Ottone!$F$1,MATCH(G35,Ottone!$A:$A,0)-1,MATCH(H35,Ottone!$F$1:$FF$1,0)-1)=TRUE),0,OFFSET(Ottone!$F$1,MATCH(G35,Ottone!$A:$A,0)-1,MATCH(H35,Ottone!$F$1:$FF$1,0)-1))*IF(D35="Ottone",1,0)</f>
        <v>0</v>
      </c>
      <c r="P35" s="126">
        <f ca="1">IF(ISERROR(OFFSET(Rame!$F$1,MATCH(G35,Rame!$F:$F,0)-1,MATCH(H35,Rame!$F$1:$FF$1,0)-1)=TRUE),0,OFFSET(Rame!$F$1,MATCH(G35,Rame!$F:$F,0)-1,MATCH(H35,Rame!$F$1:$FF$1,0)-1))*IF(D35="Rame",1,0)</f>
        <v>0</v>
      </c>
      <c r="Q35" s="126">
        <f t="shared" ca="1" si="1"/>
        <v>0</v>
      </c>
      <c r="R35" s="126">
        <f t="shared" si="7"/>
        <v>0</v>
      </c>
      <c r="S35" s="127"/>
      <c r="T35" s="128">
        <f t="shared" ca="1" si="3"/>
        <v>0</v>
      </c>
      <c r="U35" s="125">
        <f t="shared" si="4"/>
        <v>0</v>
      </c>
      <c r="V35" s="129"/>
      <c r="W35" s="130">
        <f t="shared" ca="1" si="5"/>
        <v>0</v>
      </c>
      <c r="X35" s="125">
        <f t="shared" ca="1" si="6"/>
        <v>0</v>
      </c>
      <c r="Y35" s="131"/>
      <c r="Z35" s="100"/>
    </row>
    <row r="36" spans="1:26" ht="15.75" thickBot="1" x14ac:dyDescent="0.3">
      <c r="A36" s="103"/>
      <c r="B36" s="88"/>
      <c r="C36" s="121"/>
      <c r="D36" s="89"/>
      <c r="E36" s="122"/>
      <c r="F36" s="123"/>
      <c r="G36" s="88"/>
      <c r="H36" s="88"/>
      <c r="I36" s="125"/>
      <c r="J36" s="115">
        <f ca="1">IF(ISERROR(OFFSET(Tabella!$A$1,MATCH(G36,Tabella!$A:$A,0)-1,MATCH(I36,Tabella!$A$1:$AC$1,0)-1)=TRUE),0,+OFFSET(Tabella!$A$1,MATCH(G36,Tabella!$A:$A,0)-1,MATCH(I36,Tabella!$A$1:$AC$1,0)-1))</f>
        <v>0</v>
      </c>
      <c r="K36" s="85">
        <f ca="1">IF(ISERROR(OFFSET(Ottone!$A$1,MATCH(G36,Ottone!$A:$A,0)-1,MATCH(I36,Ottone!$A$1:$Z$1,0)-1)=TRUE),0,OFFSET(Ottone!$A$1,MATCH(G36,Ottone!$A:$A,0)-1,MATCH(I36,Ottone!$A$1:$Z$1,0)-1))*IF(D36="Ottone",1,0)</f>
        <v>0</v>
      </c>
      <c r="L36" s="85">
        <f ca="1">IF(ISERROR(OFFSET(Rame!$A$1,MATCH(G36,Rame!$A:$A,0)-1,MATCH(I36,Rame!$A$1:$AA$1,0)-1)=TRUE),0,OFFSET(Rame!$A$1,MATCH(G36,Rame!$A:$A,0)-1,MATCH(I36,Rame!$A$1:$AA$1,0)-1))*IF(D36="Rame",1,0)</f>
        <v>0</v>
      </c>
      <c r="M36" s="126">
        <f t="shared" ca="1" si="0"/>
        <v>0</v>
      </c>
      <c r="N36" s="126">
        <f ca="1">+IF(ISERROR(OFFSET(Tabella!$G$1,MATCH(G36,Tabella!$G:$G,0)-1,MATCH(H36,Tabella!$G$1:$FG$1,0)-1)=TRUE),0,OFFSET(Tabella!$G$1,MATCH(G36,Tabella!$G:$G,0)-1,MATCH(H36,Tabella!$G$1:$AB$1,0)-1))</f>
        <v>0</v>
      </c>
      <c r="O36" s="126">
        <f ca="1">IF(ISERROR(OFFSET(Ottone!$F$1,MATCH(G36,Ottone!$A:$A,0)-1,MATCH(H36,Ottone!$F$1:$FF$1,0)-1)=TRUE),0,OFFSET(Ottone!$F$1,MATCH(G36,Ottone!$A:$A,0)-1,MATCH(H36,Ottone!$F$1:$FF$1,0)-1))*IF(D36="Ottone",1,0)</f>
        <v>0</v>
      </c>
      <c r="P36" s="126">
        <f ca="1">IF(ISERROR(OFFSET(Rame!$F$1,MATCH(G36,Rame!$F:$F,0)-1,MATCH(H36,Rame!$F$1:$FF$1,0)-1)=TRUE),0,OFFSET(Rame!$F$1,MATCH(G36,Rame!$F:$F,0)-1,MATCH(H36,Rame!$F$1:$FF$1,0)-1))*IF(D36="Rame",1,0)</f>
        <v>0</v>
      </c>
      <c r="Q36" s="126">
        <f t="shared" ca="1" si="1"/>
        <v>0</v>
      </c>
      <c r="R36" s="126">
        <f t="shared" si="7"/>
        <v>0</v>
      </c>
      <c r="S36" s="127"/>
      <c r="T36" s="128">
        <f t="shared" ca="1" si="3"/>
        <v>0</v>
      </c>
      <c r="U36" s="125">
        <f t="shared" si="4"/>
        <v>0</v>
      </c>
      <c r="V36" s="129"/>
      <c r="W36" s="130">
        <f t="shared" ca="1" si="5"/>
        <v>0</v>
      </c>
      <c r="X36" s="125">
        <f t="shared" ca="1" si="6"/>
        <v>0</v>
      </c>
      <c r="Y36" s="131"/>
      <c r="Z36" s="100"/>
    </row>
    <row r="37" spans="1:26" ht="15.75" thickBot="1" x14ac:dyDescent="0.3">
      <c r="A37" s="103"/>
      <c r="B37" s="88"/>
      <c r="C37" s="121"/>
      <c r="D37" s="89"/>
      <c r="E37" s="122"/>
      <c r="F37" s="123"/>
      <c r="G37" s="88"/>
      <c r="H37" s="88"/>
      <c r="I37" s="125"/>
      <c r="J37" s="115">
        <f ca="1">IF(ISERROR(OFFSET(Tabella!$A$1,MATCH(G37,Tabella!$A:$A,0)-1,MATCH(I37,Tabella!$A$1:$AC$1,0)-1)=TRUE),0,+OFFSET(Tabella!$A$1,MATCH(G37,Tabella!$A:$A,0)-1,MATCH(I37,Tabella!$A$1:$AC$1,0)-1))</f>
        <v>0</v>
      </c>
      <c r="K37" s="85">
        <f ca="1">IF(ISERROR(OFFSET(Ottone!$A$1,MATCH(G37,Ottone!$A:$A,0)-1,MATCH(I37,Ottone!$A$1:$Z$1,0)-1)=TRUE),0,OFFSET(Ottone!$A$1,MATCH(G37,Ottone!$A:$A,0)-1,MATCH(I37,Ottone!$A$1:$Z$1,0)-1))*IF(D37="Ottone",1,0)</f>
        <v>0</v>
      </c>
      <c r="L37" s="85">
        <f ca="1">IF(ISERROR(OFFSET(Rame!$A$1,MATCH(G37,Rame!$A:$A,0)-1,MATCH(I37,Rame!$A$1:$AA$1,0)-1)=TRUE),0,OFFSET(Rame!$A$1,MATCH(G37,Rame!$A:$A,0)-1,MATCH(I37,Rame!$A$1:$AA$1,0)-1))*IF(D37="Rame",1,0)</f>
        <v>0</v>
      </c>
      <c r="M37" s="126">
        <f t="shared" ca="1" si="0"/>
        <v>0</v>
      </c>
      <c r="N37" s="126">
        <f ca="1">+IF(ISERROR(OFFSET(Tabella!$G$1,MATCH(G37,Tabella!$G:$G,0)-1,MATCH(H37,Tabella!$G$1:$FG$1,0)-1)=TRUE),0,OFFSET(Tabella!$G$1,MATCH(G37,Tabella!$G:$G,0)-1,MATCH(H37,Tabella!$G$1:$AB$1,0)-1))</f>
        <v>0</v>
      </c>
      <c r="O37" s="126">
        <f ca="1">IF(ISERROR(OFFSET(Ottone!$F$1,MATCH(G37,Ottone!$A:$A,0)-1,MATCH(H37,Ottone!$F$1:$FF$1,0)-1)=TRUE),0,OFFSET(Ottone!$F$1,MATCH(G37,Ottone!$A:$A,0)-1,MATCH(H37,Ottone!$F$1:$FF$1,0)-1))*IF(D37="Ottone",1,0)</f>
        <v>0</v>
      </c>
      <c r="P37" s="126">
        <f ca="1">IF(ISERROR(OFFSET(Rame!$F$1,MATCH(G37,Rame!$F:$F,0)-1,MATCH(H37,Rame!$F$1:$FF$1,0)-1)=TRUE),0,OFFSET(Rame!$F$1,MATCH(G37,Rame!$F:$F,0)-1,MATCH(H37,Rame!$F$1:$FF$1,0)-1))*IF(D37="Rame",1,0)</f>
        <v>0</v>
      </c>
      <c r="Q37" s="126">
        <f t="shared" ca="1" si="1"/>
        <v>0</v>
      </c>
      <c r="R37" s="126">
        <f t="shared" si="7"/>
        <v>0</v>
      </c>
      <c r="S37" s="127"/>
      <c r="T37" s="128">
        <f t="shared" ca="1" si="3"/>
        <v>0</v>
      </c>
      <c r="U37" s="125">
        <f t="shared" si="4"/>
        <v>0</v>
      </c>
      <c r="V37" s="129"/>
      <c r="W37" s="130">
        <f t="shared" ca="1" si="5"/>
        <v>0</v>
      </c>
      <c r="X37" s="125">
        <f t="shared" ca="1" si="6"/>
        <v>0</v>
      </c>
      <c r="Y37" s="131"/>
      <c r="Z37" s="100"/>
    </row>
    <row r="38" spans="1:26" ht="15.75" thickBot="1" x14ac:dyDescent="0.3">
      <c r="A38" s="103"/>
      <c r="B38" s="88"/>
      <c r="C38" s="121"/>
      <c r="D38" s="89"/>
      <c r="E38" s="122"/>
      <c r="F38" s="123"/>
      <c r="G38" s="88"/>
      <c r="H38" s="88"/>
      <c r="I38" s="125"/>
      <c r="J38" s="115">
        <f ca="1">IF(ISERROR(OFFSET(Tabella!$A$1,MATCH(G38,Tabella!$A:$A,0)-1,MATCH(I38,Tabella!$A$1:$AC$1,0)-1)=TRUE),0,+OFFSET(Tabella!$A$1,MATCH(G38,Tabella!$A:$A,0)-1,MATCH(I38,Tabella!$A$1:$AC$1,0)-1))</f>
        <v>0</v>
      </c>
      <c r="K38" s="85">
        <f ca="1">IF(ISERROR(OFFSET(Ottone!$A$1,MATCH(G38,Ottone!$A:$A,0)-1,MATCH(I38,Ottone!$A$1:$Z$1,0)-1)=TRUE),0,OFFSET(Ottone!$A$1,MATCH(G38,Ottone!$A:$A,0)-1,MATCH(I38,Ottone!$A$1:$Z$1,0)-1))*IF(D38="Ottone",1,0)</f>
        <v>0</v>
      </c>
      <c r="L38" s="85">
        <f ca="1">IF(ISERROR(OFFSET(Rame!$A$1,MATCH(G38,Rame!$A:$A,0)-1,MATCH(I38,Rame!$A$1:$AA$1,0)-1)=TRUE),0,OFFSET(Rame!$A$1,MATCH(G38,Rame!$A:$A,0)-1,MATCH(I38,Rame!$A$1:$AA$1,0)-1))*IF(D38="Rame",1,0)</f>
        <v>0</v>
      </c>
      <c r="M38" s="126">
        <f t="shared" ca="1" si="0"/>
        <v>0</v>
      </c>
      <c r="N38" s="126">
        <f ca="1">+IF(ISERROR(OFFSET(Tabella!$G$1,MATCH(G38,Tabella!$G:$G,0)-1,MATCH(H38,Tabella!$G$1:$FG$1,0)-1)=TRUE),0,OFFSET(Tabella!$G$1,MATCH(G38,Tabella!$G:$G,0)-1,MATCH(H38,Tabella!$G$1:$AB$1,0)-1))</f>
        <v>0</v>
      </c>
      <c r="O38" s="126">
        <f ca="1">IF(ISERROR(OFFSET(Ottone!$F$1,MATCH(G38,Ottone!$A:$A,0)-1,MATCH(H38,Ottone!$F$1:$FF$1,0)-1)=TRUE),0,OFFSET(Ottone!$F$1,MATCH(G38,Ottone!$A:$A,0)-1,MATCH(H38,Ottone!$F$1:$FF$1,0)-1))*IF(D38="Ottone",1,0)</f>
        <v>0</v>
      </c>
      <c r="P38" s="126">
        <f ca="1">IF(ISERROR(OFFSET(Rame!$F$1,MATCH(G38,Rame!$F:$F,0)-1,MATCH(H38,Rame!$F$1:$FF$1,0)-1)=TRUE),0,OFFSET(Rame!$F$1,MATCH(G38,Rame!$F:$F,0)-1,MATCH(H38,Rame!$F$1:$FF$1,0)-1))*IF(D38="Rame",1,0)</f>
        <v>0</v>
      </c>
      <c r="Q38" s="126">
        <f t="shared" ca="1" si="1"/>
        <v>0</v>
      </c>
      <c r="R38" s="126">
        <f t="shared" si="7"/>
        <v>0</v>
      </c>
      <c r="S38" s="127"/>
      <c r="T38" s="128">
        <f t="shared" ca="1" si="3"/>
        <v>0</v>
      </c>
      <c r="U38" s="125">
        <f t="shared" si="4"/>
        <v>0</v>
      </c>
      <c r="V38" s="129"/>
      <c r="W38" s="130">
        <f t="shared" ca="1" si="5"/>
        <v>0</v>
      </c>
      <c r="X38" s="125">
        <f t="shared" ca="1" si="6"/>
        <v>0</v>
      </c>
      <c r="Y38" s="131"/>
      <c r="Z38" s="100"/>
    </row>
    <row r="39" spans="1:26" ht="15.75" thickBot="1" x14ac:dyDescent="0.3">
      <c r="A39" s="103"/>
      <c r="B39" s="88"/>
      <c r="C39" s="121"/>
      <c r="D39" s="89"/>
      <c r="E39" s="122"/>
      <c r="F39" s="123"/>
      <c r="G39" s="88"/>
      <c r="H39" s="88"/>
      <c r="I39" s="125"/>
      <c r="J39" s="115">
        <f ca="1">IF(ISERROR(OFFSET(Tabella!$A$1,MATCH(G39,Tabella!$A:$A,0)-1,MATCH(I39,Tabella!$A$1:$AC$1,0)-1)=TRUE),0,+OFFSET(Tabella!$A$1,MATCH(G39,Tabella!$A:$A,0)-1,MATCH(I39,Tabella!$A$1:$AC$1,0)-1))</f>
        <v>0</v>
      </c>
      <c r="K39" s="85">
        <f ca="1">IF(ISERROR(OFFSET(Ottone!$A$1,MATCH(G39,Ottone!$A:$A,0)-1,MATCH(I39,Ottone!$A$1:$Z$1,0)-1)=TRUE),0,OFFSET(Ottone!$A$1,MATCH(G39,Ottone!$A:$A,0)-1,MATCH(I39,Ottone!$A$1:$Z$1,0)-1))*IF(D39="Ottone",1,0)</f>
        <v>0</v>
      </c>
      <c r="L39" s="85">
        <f ca="1">IF(ISERROR(OFFSET(Rame!$A$1,MATCH(G39,Rame!$A:$A,0)-1,MATCH(I39,Rame!$A$1:$AA$1,0)-1)=TRUE),0,OFFSET(Rame!$A$1,MATCH(G39,Rame!$A:$A,0)-1,MATCH(I39,Rame!$A$1:$AA$1,0)-1))*IF(D39="Rame",1,0)</f>
        <v>0</v>
      </c>
      <c r="M39" s="126">
        <f t="shared" ca="1" si="0"/>
        <v>0</v>
      </c>
      <c r="N39" s="126">
        <f ca="1">+IF(ISERROR(OFFSET(Tabella!$G$1,MATCH(G39,Tabella!$G:$G,0)-1,MATCH(H39,Tabella!$G$1:$FG$1,0)-1)=TRUE),0,OFFSET(Tabella!$G$1,MATCH(G39,Tabella!$G:$G,0)-1,MATCH(H39,Tabella!$G$1:$AB$1,0)-1))</f>
        <v>0</v>
      </c>
      <c r="O39" s="126">
        <f ca="1">IF(ISERROR(OFFSET(Ottone!$F$1,MATCH(G39,Ottone!$A:$A,0)-1,MATCH(H39,Ottone!$F$1:$FF$1,0)-1)=TRUE),0,OFFSET(Ottone!$F$1,MATCH(G39,Ottone!$A:$A,0)-1,MATCH(H39,Ottone!$F$1:$FF$1,0)-1))*IF(D39="Ottone",1,0)</f>
        <v>0</v>
      </c>
      <c r="P39" s="126">
        <f ca="1">IF(ISERROR(OFFSET(Rame!$F$1,MATCH(G39,Rame!$F:$F,0)-1,MATCH(H39,Rame!$F$1:$FF$1,0)-1)=TRUE),0,OFFSET(Rame!$F$1,MATCH(G39,Rame!$F:$F,0)-1,MATCH(H39,Rame!$F$1:$FF$1,0)-1))*IF(D39="Rame",1,0)</f>
        <v>0</v>
      </c>
      <c r="Q39" s="126">
        <f t="shared" ca="1" si="1"/>
        <v>0</v>
      </c>
      <c r="R39" s="126">
        <f t="shared" si="7"/>
        <v>0</v>
      </c>
      <c r="S39" s="127"/>
      <c r="T39" s="128">
        <f t="shared" ca="1" si="3"/>
        <v>0</v>
      </c>
      <c r="U39" s="125">
        <f t="shared" si="4"/>
        <v>0</v>
      </c>
      <c r="V39" s="129"/>
      <c r="W39" s="130">
        <f t="shared" ca="1" si="5"/>
        <v>0</v>
      </c>
      <c r="X39" s="125">
        <f t="shared" ca="1" si="6"/>
        <v>0</v>
      </c>
      <c r="Y39" s="131"/>
      <c r="Z39" s="100"/>
    </row>
    <row r="40" spans="1:26" ht="15.75" thickBot="1" x14ac:dyDescent="0.3">
      <c r="A40" s="103"/>
      <c r="B40" s="88"/>
      <c r="C40" s="121"/>
      <c r="D40" s="89"/>
      <c r="E40" s="122"/>
      <c r="F40" s="123"/>
      <c r="G40" s="88"/>
      <c r="H40" s="88"/>
      <c r="I40" s="125"/>
      <c r="J40" s="115">
        <f ca="1">IF(ISERROR(OFFSET(Tabella!$A$1,MATCH(G40,Tabella!$A:$A,0)-1,MATCH(I40,Tabella!$A$1:$AC$1,0)-1)=TRUE),0,+OFFSET(Tabella!$A$1,MATCH(G40,Tabella!$A:$A,0)-1,MATCH(I40,Tabella!$A$1:$AC$1,0)-1))</f>
        <v>0</v>
      </c>
      <c r="K40" s="85">
        <f ca="1">IF(ISERROR(OFFSET(Ottone!$A$1,MATCH(G40,Ottone!$A:$A,0)-1,MATCH(I40,Ottone!$A$1:$Z$1,0)-1)=TRUE),0,OFFSET(Ottone!$A$1,MATCH(G40,Ottone!$A:$A,0)-1,MATCH(I40,Ottone!$A$1:$Z$1,0)-1))*IF(D40="Ottone",1,0)</f>
        <v>0</v>
      </c>
      <c r="L40" s="85">
        <f ca="1">IF(ISERROR(OFFSET(Rame!$A$1,MATCH(G40,Rame!$A:$A,0)-1,MATCH(I40,Rame!$A$1:$AA$1,0)-1)=TRUE),0,OFFSET(Rame!$A$1,MATCH(G40,Rame!$A:$A,0)-1,MATCH(I40,Rame!$A$1:$AA$1,0)-1))*IF(D40="Rame",1,0)</f>
        <v>0</v>
      </c>
      <c r="M40" s="126">
        <f t="shared" ca="1" si="0"/>
        <v>0</v>
      </c>
      <c r="N40" s="126">
        <f ca="1">+IF(ISERROR(OFFSET(Tabella!$G$1,MATCH(G40,Tabella!$G:$G,0)-1,MATCH(H40,Tabella!$G$1:$FG$1,0)-1)=TRUE),0,OFFSET(Tabella!$G$1,MATCH(G40,Tabella!$G:$G,0)-1,MATCH(H40,Tabella!$G$1:$AB$1,0)-1))</f>
        <v>0</v>
      </c>
      <c r="O40" s="126">
        <f ca="1">IF(ISERROR(OFFSET(Ottone!$F$1,MATCH(G40,Ottone!$A:$A,0)-1,MATCH(H40,Ottone!$F$1:$FF$1,0)-1)=TRUE),0,OFFSET(Ottone!$F$1,MATCH(G40,Ottone!$A:$A,0)-1,MATCH(H40,Ottone!$F$1:$FF$1,0)-1))*IF(D40="Ottone",1,0)</f>
        <v>0</v>
      </c>
      <c r="P40" s="126">
        <f ca="1">IF(ISERROR(OFFSET(Rame!$F$1,MATCH(G40,Rame!$F:$F,0)-1,MATCH(H40,Rame!$F$1:$FF$1,0)-1)=TRUE),0,OFFSET(Rame!$F$1,MATCH(G40,Rame!$F:$F,0)-1,MATCH(H40,Rame!$F$1:$FF$1,0)-1))*IF(D40="Rame",1,0)</f>
        <v>0</v>
      </c>
      <c r="Q40" s="126">
        <f t="shared" ca="1" si="1"/>
        <v>0</v>
      </c>
      <c r="R40" s="126">
        <f t="shared" si="7"/>
        <v>0</v>
      </c>
      <c r="S40" s="127"/>
      <c r="T40" s="128">
        <f t="shared" ca="1" si="3"/>
        <v>0</v>
      </c>
      <c r="U40" s="125">
        <f t="shared" si="4"/>
        <v>0</v>
      </c>
      <c r="V40" s="129"/>
      <c r="W40" s="130">
        <f t="shared" ca="1" si="5"/>
        <v>0</v>
      </c>
      <c r="X40" s="125">
        <f t="shared" ca="1" si="6"/>
        <v>0</v>
      </c>
      <c r="Y40" s="131"/>
      <c r="Z40" s="100"/>
    </row>
    <row r="41" spans="1:26" ht="15.75" thickBot="1" x14ac:dyDescent="0.3">
      <c r="A41" s="103"/>
      <c r="B41" s="88"/>
      <c r="C41" s="121"/>
      <c r="D41" s="89"/>
      <c r="E41" s="122"/>
      <c r="F41" s="123"/>
      <c r="G41" s="88"/>
      <c r="H41" s="88"/>
      <c r="I41" s="125"/>
      <c r="J41" s="115">
        <f ca="1">IF(ISERROR(OFFSET(Tabella!$A$1,MATCH(G41,Tabella!$A:$A,0)-1,MATCH(I41,Tabella!$A$1:$AC$1,0)-1)=TRUE),0,+OFFSET(Tabella!$A$1,MATCH(G41,Tabella!$A:$A,0)-1,MATCH(I41,Tabella!$A$1:$AC$1,0)-1))</f>
        <v>0</v>
      </c>
      <c r="K41" s="85">
        <f ca="1">IF(ISERROR(OFFSET(Ottone!$A$1,MATCH(G41,Ottone!$A:$A,0)-1,MATCH(I41,Ottone!$A$1:$Z$1,0)-1)=TRUE),0,OFFSET(Ottone!$A$1,MATCH(G41,Ottone!$A:$A,0)-1,MATCH(I41,Ottone!$A$1:$Z$1,0)-1))*IF(D41="Ottone",1,0)</f>
        <v>0</v>
      </c>
      <c r="L41" s="85">
        <f ca="1">IF(ISERROR(OFFSET(Rame!$A$1,MATCH(G41,Rame!$A:$A,0)-1,MATCH(I41,Rame!$A$1:$AA$1,0)-1)=TRUE),0,OFFSET(Rame!$A$1,MATCH(G41,Rame!$A:$A,0)-1,MATCH(I41,Rame!$A$1:$AA$1,0)-1))*IF(D41="Rame",1,0)</f>
        <v>0</v>
      </c>
      <c r="M41" s="126">
        <f t="shared" ca="1" si="0"/>
        <v>0</v>
      </c>
      <c r="N41" s="126">
        <f ca="1">+IF(ISERROR(OFFSET(Tabella!$G$1,MATCH(G41,Tabella!$G:$G,0)-1,MATCH(H41,Tabella!$G$1:$FG$1,0)-1)=TRUE),0,OFFSET(Tabella!$G$1,MATCH(G41,Tabella!$G:$G,0)-1,MATCH(H41,Tabella!$G$1:$AB$1,0)-1))</f>
        <v>0</v>
      </c>
      <c r="O41" s="126">
        <f ca="1">IF(ISERROR(OFFSET(Ottone!$F$1,MATCH(G41,Ottone!$A:$A,0)-1,MATCH(H41,Ottone!$F$1:$FF$1,0)-1)=TRUE),0,OFFSET(Ottone!$F$1,MATCH(G41,Ottone!$A:$A,0)-1,MATCH(H41,Ottone!$F$1:$FF$1,0)-1))*IF(D41="Ottone",1,0)</f>
        <v>0</v>
      </c>
      <c r="P41" s="126">
        <f ca="1">IF(ISERROR(OFFSET(Rame!$F$1,MATCH(G41,Rame!$F:$F,0)-1,MATCH(H41,Rame!$F$1:$FF$1,0)-1)=TRUE),0,OFFSET(Rame!$F$1,MATCH(G41,Rame!$F:$F,0)-1,MATCH(H41,Rame!$F$1:$FF$1,0)-1))*IF(D41="Rame",1,0)</f>
        <v>0</v>
      </c>
      <c r="Q41" s="126">
        <f t="shared" ca="1" si="1"/>
        <v>0</v>
      </c>
      <c r="R41" s="126">
        <f t="shared" si="7"/>
        <v>0</v>
      </c>
      <c r="S41" s="127"/>
      <c r="T41" s="128">
        <f t="shared" ca="1" si="3"/>
        <v>0</v>
      </c>
      <c r="U41" s="125">
        <f t="shared" si="4"/>
        <v>0</v>
      </c>
      <c r="V41" s="129"/>
      <c r="W41" s="130">
        <f t="shared" ca="1" si="5"/>
        <v>0</v>
      </c>
      <c r="X41" s="125">
        <f t="shared" ca="1" si="6"/>
        <v>0</v>
      </c>
      <c r="Y41" s="131"/>
      <c r="Z41" s="100"/>
    </row>
    <row r="42" spans="1:26" ht="15.75" thickBot="1" x14ac:dyDescent="0.3">
      <c r="A42" s="103"/>
      <c r="B42" s="88"/>
      <c r="C42" s="121"/>
      <c r="D42" s="89"/>
      <c r="E42" s="122"/>
      <c r="F42" s="123"/>
      <c r="G42" s="88"/>
      <c r="H42" s="88"/>
      <c r="I42" s="125"/>
      <c r="J42" s="115">
        <f ca="1">IF(ISERROR(OFFSET(Tabella!$A$1,MATCH(G42,Tabella!$A:$A,0)-1,MATCH(I42,Tabella!$A$1:$AC$1,0)-1)=TRUE),0,+OFFSET(Tabella!$A$1,MATCH(G42,Tabella!$A:$A,0)-1,MATCH(I42,Tabella!$A$1:$AC$1,0)-1))</f>
        <v>0</v>
      </c>
      <c r="K42" s="85">
        <f ca="1">IF(ISERROR(OFFSET(Ottone!$A$1,MATCH(G42,Ottone!$A:$A,0)-1,MATCH(I42,Ottone!$A$1:$Z$1,0)-1)=TRUE),0,OFFSET(Ottone!$A$1,MATCH(G42,Ottone!$A:$A,0)-1,MATCH(I42,Ottone!$A$1:$Z$1,0)-1))*IF(D42="Ottone",1,0)</f>
        <v>0</v>
      </c>
      <c r="L42" s="85">
        <f ca="1">IF(ISERROR(OFFSET(Rame!$A$1,MATCH(G42,Rame!$A:$A,0)-1,MATCH(I42,Rame!$A$1:$AA$1,0)-1)=TRUE),0,OFFSET(Rame!$A$1,MATCH(G42,Rame!$A:$A,0)-1,MATCH(I42,Rame!$A$1:$AA$1,0)-1))*IF(D42="Rame",1,0)</f>
        <v>0</v>
      </c>
      <c r="M42" s="126">
        <f t="shared" ca="1" si="0"/>
        <v>0</v>
      </c>
      <c r="N42" s="126">
        <f ca="1">+IF(ISERROR(OFFSET(Tabella!$G$1,MATCH(G42,Tabella!$G:$G,0)-1,MATCH(H42,Tabella!$G$1:$FG$1,0)-1)=TRUE),0,OFFSET(Tabella!$G$1,MATCH(G42,Tabella!$G:$G,0)-1,MATCH(H42,Tabella!$G$1:$AB$1,0)-1))</f>
        <v>0</v>
      </c>
      <c r="O42" s="126">
        <f ca="1">IF(ISERROR(OFFSET(Ottone!$F$1,MATCH(G42,Ottone!$A:$A,0)-1,MATCH(H42,Ottone!$F$1:$FF$1,0)-1)=TRUE),0,OFFSET(Ottone!$F$1,MATCH(G42,Ottone!$A:$A,0)-1,MATCH(H42,Ottone!$F$1:$FF$1,0)-1))*IF(D42="Ottone",1,0)</f>
        <v>0</v>
      </c>
      <c r="P42" s="126">
        <f ca="1">IF(ISERROR(OFFSET(Rame!$F$1,MATCH(G42,Rame!$F:$F,0)-1,MATCH(H42,Rame!$F$1:$FF$1,0)-1)=TRUE),0,OFFSET(Rame!$F$1,MATCH(G42,Rame!$F:$F,0)-1,MATCH(H42,Rame!$F$1:$FF$1,0)-1))*IF(D42="Rame",1,0)</f>
        <v>0</v>
      </c>
      <c r="Q42" s="126">
        <f t="shared" ca="1" si="1"/>
        <v>0</v>
      </c>
      <c r="R42" s="126">
        <f t="shared" si="7"/>
        <v>0</v>
      </c>
      <c r="S42" s="127"/>
      <c r="T42" s="128">
        <f t="shared" ca="1" si="3"/>
        <v>0</v>
      </c>
      <c r="U42" s="125">
        <f t="shared" si="4"/>
        <v>0</v>
      </c>
      <c r="V42" s="129"/>
      <c r="W42" s="130">
        <f t="shared" ca="1" si="5"/>
        <v>0</v>
      </c>
      <c r="X42" s="125">
        <f t="shared" ca="1" si="6"/>
        <v>0</v>
      </c>
      <c r="Y42" s="131"/>
      <c r="Z42" s="100"/>
    </row>
    <row r="43" spans="1:26" ht="15.75" thickBot="1" x14ac:dyDescent="0.3">
      <c r="A43" s="103"/>
      <c r="B43" s="88"/>
      <c r="C43" s="121"/>
      <c r="D43" s="89"/>
      <c r="E43" s="122"/>
      <c r="F43" s="123"/>
      <c r="G43" s="88"/>
      <c r="H43" s="88"/>
      <c r="I43" s="125"/>
      <c r="J43" s="115">
        <f ca="1">IF(ISERROR(OFFSET(Tabella!$A$1,MATCH(G43,Tabella!$A:$A,0)-1,MATCH(I43,Tabella!$A$1:$AC$1,0)-1)=TRUE),0,+OFFSET(Tabella!$A$1,MATCH(G43,Tabella!$A:$A,0)-1,MATCH(I43,Tabella!$A$1:$AC$1,0)-1))</f>
        <v>0</v>
      </c>
      <c r="K43" s="85">
        <f ca="1">IF(ISERROR(OFFSET(Ottone!$A$1,MATCH(G43,Ottone!$A:$A,0)-1,MATCH(I43,Ottone!$A$1:$Z$1,0)-1)=TRUE),0,OFFSET(Ottone!$A$1,MATCH(G43,Ottone!$A:$A,0)-1,MATCH(I43,Ottone!$A$1:$Z$1,0)-1))*IF(D43="Ottone",1,0)</f>
        <v>0</v>
      </c>
      <c r="L43" s="85">
        <f ca="1">IF(ISERROR(OFFSET(Rame!$A$1,MATCH(G43,Rame!$A:$A,0)-1,MATCH(I43,Rame!$A$1:$AA$1,0)-1)=TRUE),0,OFFSET(Rame!$A$1,MATCH(G43,Rame!$A:$A,0)-1,MATCH(I43,Rame!$A$1:$AA$1,0)-1))*IF(D43="Rame",1,0)</f>
        <v>0</v>
      </c>
      <c r="M43" s="126">
        <f t="shared" ca="1" si="0"/>
        <v>0</v>
      </c>
      <c r="N43" s="126">
        <f ca="1">+IF(ISERROR(OFFSET(Tabella!$G$1,MATCH(G43,Tabella!$G:$G,0)-1,MATCH(H43,Tabella!$G$1:$FG$1,0)-1)=TRUE),0,OFFSET(Tabella!$G$1,MATCH(G43,Tabella!$G:$G,0)-1,MATCH(H43,Tabella!$G$1:$AB$1,0)-1))</f>
        <v>0</v>
      </c>
      <c r="O43" s="126">
        <f ca="1">IF(ISERROR(OFFSET(Ottone!$F$1,MATCH(G43,Ottone!$A:$A,0)-1,MATCH(H43,Ottone!$F$1:$FF$1,0)-1)=TRUE),0,OFFSET(Ottone!$F$1,MATCH(G43,Ottone!$A:$A,0)-1,MATCH(H43,Ottone!$F$1:$FF$1,0)-1))*IF(D43="Ottone",1,0)</f>
        <v>0</v>
      </c>
      <c r="P43" s="126">
        <f ca="1">IF(ISERROR(OFFSET(Rame!$F$1,MATCH(G43,Rame!$F:$F,0)-1,MATCH(H43,Rame!$F$1:$FF$1,0)-1)=TRUE),0,OFFSET(Rame!$F$1,MATCH(G43,Rame!$F:$F,0)-1,MATCH(H43,Rame!$F$1:$FF$1,0)-1))*IF(D43="Rame",1,0)</f>
        <v>0</v>
      </c>
      <c r="Q43" s="126">
        <f t="shared" ca="1" si="1"/>
        <v>0</v>
      </c>
      <c r="R43" s="126">
        <f t="shared" si="7"/>
        <v>0</v>
      </c>
      <c r="S43" s="127"/>
      <c r="T43" s="128">
        <f t="shared" ca="1" si="3"/>
        <v>0</v>
      </c>
      <c r="U43" s="125">
        <f t="shared" si="4"/>
        <v>0</v>
      </c>
      <c r="V43" s="129"/>
      <c r="W43" s="130">
        <f t="shared" ca="1" si="5"/>
        <v>0</v>
      </c>
      <c r="X43" s="125">
        <f t="shared" ca="1" si="6"/>
        <v>0</v>
      </c>
      <c r="Y43" s="131"/>
      <c r="Z43" s="100"/>
    </row>
    <row r="44" spans="1:26" ht="15.75" thickBot="1" x14ac:dyDescent="0.3">
      <c r="A44" s="103"/>
      <c r="B44" s="88"/>
      <c r="C44" s="121"/>
      <c r="D44" s="89"/>
      <c r="E44" s="122"/>
      <c r="F44" s="123"/>
      <c r="G44" s="88"/>
      <c r="H44" s="88"/>
      <c r="I44" s="125"/>
      <c r="J44" s="115">
        <f ca="1">IF(ISERROR(OFFSET(Tabella!$A$1,MATCH(G44,Tabella!$A:$A,0)-1,MATCH(I44,Tabella!$A$1:$AC$1,0)-1)=TRUE),0,+OFFSET(Tabella!$A$1,MATCH(G44,Tabella!$A:$A,0)-1,MATCH(I44,Tabella!$A$1:$AC$1,0)-1))</f>
        <v>0</v>
      </c>
      <c r="K44" s="85">
        <f ca="1">IF(ISERROR(OFFSET(Ottone!$A$1,MATCH(G44,Ottone!$A:$A,0)-1,MATCH(I44,Ottone!$A$1:$Z$1,0)-1)=TRUE),0,OFFSET(Ottone!$A$1,MATCH(G44,Ottone!$A:$A,0)-1,MATCH(I44,Ottone!$A$1:$Z$1,0)-1))*IF(D44="Ottone",1,0)</f>
        <v>0</v>
      </c>
      <c r="L44" s="85">
        <f ca="1">IF(ISERROR(OFFSET(Rame!$A$1,MATCH(G44,Rame!$A:$A,0)-1,MATCH(I44,Rame!$A$1:$AA$1,0)-1)=TRUE),0,OFFSET(Rame!$A$1,MATCH(G44,Rame!$A:$A,0)-1,MATCH(I44,Rame!$A$1:$AA$1,0)-1))*IF(D44="Rame",1,0)</f>
        <v>0</v>
      </c>
      <c r="M44" s="126">
        <f t="shared" ca="1" si="0"/>
        <v>0</v>
      </c>
      <c r="N44" s="126">
        <f ca="1">+IF(ISERROR(OFFSET(Tabella!$G$1,MATCH(G44,Tabella!$G:$G,0)-1,MATCH(H44,Tabella!$G$1:$FG$1,0)-1)=TRUE),0,OFFSET(Tabella!$G$1,MATCH(G44,Tabella!$G:$G,0)-1,MATCH(H44,Tabella!$G$1:$AB$1,0)-1))</f>
        <v>0</v>
      </c>
      <c r="O44" s="126">
        <f ca="1">IF(ISERROR(OFFSET(Ottone!$F$1,MATCH(G44,Ottone!$A:$A,0)-1,MATCH(H44,Ottone!$F$1:$FF$1,0)-1)=TRUE),0,OFFSET(Ottone!$F$1,MATCH(G44,Ottone!$A:$A,0)-1,MATCH(H44,Ottone!$F$1:$FF$1,0)-1))*IF(D44="Ottone",1,0)</f>
        <v>0</v>
      </c>
      <c r="P44" s="126">
        <f ca="1">IF(ISERROR(OFFSET(Rame!$F$1,MATCH(G44,Rame!$F:$F,0)-1,MATCH(H44,Rame!$F$1:$FF$1,0)-1)=TRUE),0,OFFSET(Rame!$F$1,MATCH(G44,Rame!$F:$F,0)-1,MATCH(H44,Rame!$F$1:$FF$1,0)-1))*IF(D44="Rame",1,0)</f>
        <v>0</v>
      </c>
      <c r="Q44" s="126">
        <f t="shared" ca="1" si="1"/>
        <v>0</v>
      </c>
      <c r="R44" s="126">
        <f t="shared" si="7"/>
        <v>0</v>
      </c>
      <c r="S44" s="127"/>
      <c r="T44" s="128">
        <f t="shared" ca="1" si="3"/>
        <v>0</v>
      </c>
      <c r="U44" s="125">
        <f t="shared" si="4"/>
        <v>0</v>
      </c>
      <c r="V44" s="129"/>
      <c r="W44" s="130">
        <f t="shared" ca="1" si="5"/>
        <v>0</v>
      </c>
      <c r="X44" s="125">
        <f t="shared" ca="1" si="6"/>
        <v>0</v>
      </c>
      <c r="Y44" s="131"/>
      <c r="Z44" s="100"/>
    </row>
    <row r="45" spans="1:26" ht="15.75" thickBot="1" x14ac:dyDescent="0.3">
      <c r="A45" s="103"/>
      <c r="B45" s="88"/>
      <c r="C45" s="121"/>
      <c r="D45" s="89"/>
      <c r="E45" s="122"/>
      <c r="F45" s="123"/>
      <c r="G45" s="88"/>
      <c r="H45" s="88"/>
      <c r="I45" s="125"/>
      <c r="J45" s="115">
        <f ca="1">IF(ISERROR(OFFSET(Tabella!$A$1,MATCH(G45,Tabella!$A:$A,0)-1,MATCH(I45,Tabella!$A$1:$AC$1,0)-1)=TRUE),0,+OFFSET(Tabella!$A$1,MATCH(G45,Tabella!$A:$A,0)-1,MATCH(I45,Tabella!$A$1:$AC$1,0)-1))</f>
        <v>0</v>
      </c>
      <c r="K45" s="85">
        <f ca="1">IF(ISERROR(OFFSET(Ottone!$A$1,MATCH(G45,Ottone!$A:$A,0)-1,MATCH(I45,Ottone!$A$1:$Z$1,0)-1)=TRUE),0,OFFSET(Ottone!$A$1,MATCH(G45,Ottone!$A:$A,0)-1,MATCH(I45,Ottone!$A$1:$Z$1,0)-1))*IF(D45="Ottone",1,0)</f>
        <v>0</v>
      </c>
      <c r="L45" s="85">
        <f ca="1">IF(ISERROR(OFFSET(Rame!$A$1,MATCH(G45,Rame!$A:$A,0)-1,MATCH(I45,Rame!$A$1:$AA$1,0)-1)=TRUE),0,OFFSET(Rame!$A$1,MATCH(G45,Rame!$A:$A,0)-1,MATCH(I45,Rame!$A$1:$AA$1,0)-1))*IF(D45="Rame",1,0)</f>
        <v>0</v>
      </c>
      <c r="M45" s="126">
        <f t="shared" ca="1" si="0"/>
        <v>0</v>
      </c>
      <c r="N45" s="126">
        <f ca="1">+IF(ISERROR(OFFSET(Tabella!$G$1,MATCH(G45,Tabella!$G:$G,0)-1,MATCH(H45,Tabella!$G$1:$FG$1,0)-1)=TRUE),0,OFFSET(Tabella!$G$1,MATCH(G45,Tabella!$G:$G,0)-1,MATCH(H45,Tabella!$G$1:$AB$1,0)-1))</f>
        <v>0</v>
      </c>
      <c r="O45" s="126">
        <f ca="1">IF(ISERROR(OFFSET(Ottone!$F$1,MATCH(G45,Ottone!$A:$A,0)-1,MATCH(H45,Ottone!$F$1:$FF$1,0)-1)=TRUE),0,OFFSET(Ottone!$F$1,MATCH(G45,Ottone!$A:$A,0)-1,MATCH(H45,Ottone!$F$1:$FF$1,0)-1))*IF(D45="Ottone",1,0)</f>
        <v>0</v>
      </c>
      <c r="P45" s="126">
        <f ca="1">IF(ISERROR(OFFSET(Rame!$F$1,MATCH(G45,Rame!$F:$F,0)-1,MATCH(H45,Rame!$F$1:$FF$1,0)-1)=TRUE),0,OFFSET(Rame!$F$1,MATCH(G45,Rame!$F:$F,0)-1,MATCH(H45,Rame!$F$1:$FF$1,0)-1))*IF(D45="Rame",1,0)</f>
        <v>0</v>
      </c>
      <c r="Q45" s="126">
        <f t="shared" ca="1" si="1"/>
        <v>0</v>
      </c>
      <c r="R45" s="126">
        <f t="shared" si="7"/>
        <v>0</v>
      </c>
      <c r="S45" s="127"/>
      <c r="T45" s="128">
        <f t="shared" ca="1" si="3"/>
        <v>0</v>
      </c>
      <c r="U45" s="125">
        <f t="shared" si="4"/>
        <v>0</v>
      </c>
      <c r="V45" s="129"/>
      <c r="W45" s="130">
        <f t="shared" ca="1" si="5"/>
        <v>0</v>
      </c>
      <c r="X45" s="125">
        <f t="shared" ca="1" si="6"/>
        <v>0</v>
      </c>
      <c r="Y45" s="131"/>
      <c r="Z45" s="100"/>
    </row>
    <row r="46" spans="1:26" ht="15.75" thickBot="1" x14ac:dyDescent="0.3">
      <c r="A46" s="103"/>
      <c r="B46" s="88"/>
      <c r="C46" s="121"/>
      <c r="D46" s="89"/>
      <c r="E46" s="122"/>
      <c r="F46" s="123"/>
      <c r="G46" s="88"/>
      <c r="H46" s="88"/>
      <c r="I46" s="125"/>
      <c r="J46" s="115">
        <f ca="1">IF(ISERROR(OFFSET(Tabella!$A$1,MATCH(G46,Tabella!$A:$A,0)-1,MATCH(I46,Tabella!$A$1:$AC$1,0)-1)=TRUE),0,+OFFSET(Tabella!$A$1,MATCH(G46,Tabella!$A:$A,0)-1,MATCH(I46,Tabella!$A$1:$AC$1,0)-1))</f>
        <v>0</v>
      </c>
      <c r="K46" s="85">
        <f ca="1">IF(ISERROR(OFFSET(Ottone!$A$1,MATCH(G46,Ottone!$A:$A,0)-1,MATCH(I46,Ottone!$A$1:$Z$1,0)-1)=TRUE),0,OFFSET(Ottone!$A$1,MATCH(G46,Ottone!$A:$A,0)-1,MATCH(I46,Ottone!$A$1:$Z$1,0)-1))*IF(D46="Ottone",1,0)</f>
        <v>0</v>
      </c>
      <c r="L46" s="85">
        <f ca="1">IF(ISERROR(OFFSET(Rame!$A$1,MATCH(G46,Rame!$A:$A,0)-1,MATCH(I46,Rame!$A$1:$AA$1,0)-1)=TRUE),0,OFFSET(Rame!$A$1,MATCH(G46,Rame!$A:$A,0)-1,MATCH(I46,Rame!$A$1:$AA$1,0)-1))*IF(D46="Rame",1,0)</f>
        <v>0</v>
      </c>
      <c r="M46" s="126">
        <f t="shared" ca="1" si="0"/>
        <v>0</v>
      </c>
      <c r="N46" s="126">
        <f ca="1">+IF(ISERROR(OFFSET(Tabella!$G$1,MATCH(G46,Tabella!$G:$G,0)-1,MATCH(H46,Tabella!$G$1:$FG$1,0)-1)=TRUE),0,OFFSET(Tabella!$G$1,MATCH(G46,Tabella!$G:$G,0)-1,MATCH(H46,Tabella!$G$1:$AB$1,0)-1))</f>
        <v>0</v>
      </c>
      <c r="O46" s="126">
        <f ca="1">IF(ISERROR(OFFSET(Ottone!$F$1,MATCH(G46,Ottone!$A:$A,0)-1,MATCH(H46,Ottone!$F$1:$FF$1,0)-1)=TRUE),0,OFFSET(Ottone!$F$1,MATCH(G46,Ottone!$A:$A,0)-1,MATCH(H46,Ottone!$F$1:$FF$1,0)-1))*IF(D46="Ottone",1,0)</f>
        <v>0</v>
      </c>
      <c r="P46" s="126">
        <f ca="1">IF(ISERROR(OFFSET(Rame!$F$1,MATCH(G46,Rame!$F:$F,0)-1,MATCH(H46,Rame!$F$1:$FF$1,0)-1)=TRUE),0,OFFSET(Rame!$F$1,MATCH(G46,Rame!$F:$F,0)-1,MATCH(H46,Rame!$F$1:$FF$1,0)-1))*IF(D46="Rame",1,0)</f>
        <v>0</v>
      </c>
      <c r="Q46" s="126">
        <f t="shared" ca="1" si="1"/>
        <v>0</v>
      </c>
      <c r="R46" s="126">
        <f t="shared" si="7"/>
        <v>0</v>
      </c>
      <c r="S46" s="127"/>
      <c r="T46" s="128">
        <f t="shared" ca="1" si="3"/>
        <v>0</v>
      </c>
      <c r="U46" s="125">
        <f t="shared" si="4"/>
        <v>0</v>
      </c>
      <c r="V46" s="129"/>
      <c r="W46" s="130">
        <f t="shared" ca="1" si="5"/>
        <v>0</v>
      </c>
      <c r="X46" s="125">
        <f t="shared" ca="1" si="6"/>
        <v>0</v>
      </c>
      <c r="Y46" s="131"/>
      <c r="Z46" s="100"/>
    </row>
    <row r="47" spans="1:26" ht="15.75" thickBot="1" x14ac:dyDescent="0.3">
      <c r="A47" s="103"/>
      <c r="B47" s="88"/>
      <c r="C47" s="121"/>
      <c r="D47" s="89"/>
      <c r="E47" s="122"/>
      <c r="F47" s="123"/>
      <c r="G47" s="88"/>
      <c r="H47" s="88"/>
      <c r="I47" s="125"/>
      <c r="J47" s="115">
        <f ca="1">IF(ISERROR(OFFSET(Tabella!$A$1,MATCH(G47,Tabella!$A:$A,0)-1,MATCH(I47,Tabella!$A$1:$AC$1,0)-1)=TRUE),0,+OFFSET(Tabella!$A$1,MATCH(G47,Tabella!$A:$A,0)-1,MATCH(I47,Tabella!$A$1:$AC$1,0)-1))</f>
        <v>0</v>
      </c>
      <c r="K47" s="85">
        <f ca="1">IF(ISERROR(OFFSET(Ottone!$A$1,MATCH(G47,Ottone!$A:$A,0)-1,MATCH(I47,Ottone!$A$1:$Z$1,0)-1)=TRUE),0,OFFSET(Ottone!$A$1,MATCH(G47,Ottone!$A:$A,0)-1,MATCH(I47,Ottone!$A$1:$Z$1,0)-1))*IF(D47="Ottone",1,0)</f>
        <v>0</v>
      </c>
      <c r="L47" s="85">
        <f ca="1">IF(ISERROR(OFFSET(Rame!$A$1,MATCH(G47,Rame!$A:$A,0)-1,MATCH(I47,Rame!$A$1:$AA$1,0)-1)=TRUE),0,OFFSET(Rame!$A$1,MATCH(G47,Rame!$A:$A,0)-1,MATCH(I47,Rame!$A$1:$AA$1,0)-1))*IF(D47="Rame",1,0)</f>
        <v>0</v>
      </c>
      <c r="M47" s="126">
        <f t="shared" ca="1" si="0"/>
        <v>0</v>
      </c>
      <c r="N47" s="126">
        <f ca="1">+IF(ISERROR(OFFSET(Tabella!$G$1,MATCH(G47,Tabella!$G:$G,0)-1,MATCH(H47,Tabella!$G$1:$FG$1,0)-1)=TRUE),0,OFFSET(Tabella!$G$1,MATCH(G47,Tabella!$G:$G,0)-1,MATCH(H47,Tabella!$G$1:$AB$1,0)-1))</f>
        <v>0</v>
      </c>
      <c r="O47" s="126">
        <f ca="1">IF(ISERROR(OFFSET(Ottone!$F$1,MATCH(G47,Ottone!$A:$A,0)-1,MATCH(H47,Ottone!$F$1:$FF$1,0)-1)=TRUE),0,OFFSET(Ottone!$F$1,MATCH(G47,Ottone!$A:$A,0)-1,MATCH(H47,Ottone!$F$1:$FF$1,0)-1))*IF(D47="Ottone",1,0)</f>
        <v>0</v>
      </c>
      <c r="P47" s="126">
        <f ca="1">IF(ISERROR(OFFSET(Rame!$F$1,MATCH(G47,Rame!$F:$F,0)-1,MATCH(H47,Rame!$F$1:$FF$1,0)-1)=TRUE),0,OFFSET(Rame!$F$1,MATCH(G47,Rame!$F:$F,0)-1,MATCH(H47,Rame!$F$1:$FF$1,0)-1))*IF(D47="Rame",1,0)</f>
        <v>0</v>
      </c>
      <c r="Q47" s="126">
        <f t="shared" ca="1" si="1"/>
        <v>0</v>
      </c>
      <c r="R47" s="126">
        <f t="shared" si="7"/>
        <v>0</v>
      </c>
      <c r="S47" s="127"/>
      <c r="T47" s="128">
        <f t="shared" ca="1" si="3"/>
        <v>0</v>
      </c>
      <c r="U47" s="125">
        <f t="shared" si="4"/>
        <v>0</v>
      </c>
      <c r="V47" s="129"/>
      <c r="W47" s="130">
        <f t="shared" ca="1" si="5"/>
        <v>0</v>
      </c>
      <c r="X47" s="125">
        <f t="shared" ca="1" si="6"/>
        <v>0</v>
      </c>
      <c r="Y47" s="131"/>
      <c r="Z47" s="100"/>
    </row>
    <row r="48" spans="1:26" ht="15.75" thickBot="1" x14ac:dyDescent="0.3">
      <c r="A48" s="103"/>
      <c r="B48" s="88"/>
      <c r="C48" s="121"/>
      <c r="D48" s="89"/>
      <c r="E48" s="122"/>
      <c r="F48" s="123"/>
      <c r="G48" s="88"/>
      <c r="H48" s="88"/>
      <c r="I48" s="125"/>
      <c r="J48" s="115">
        <f ca="1">IF(ISERROR(OFFSET(Tabella!$A$1,MATCH(G48,Tabella!$A:$A,0)-1,MATCH(I48,Tabella!$A$1:$AC$1,0)-1)=TRUE),0,+OFFSET(Tabella!$A$1,MATCH(G48,Tabella!$A:$A,0)-1,MATCH(I48,Tabella!$A$1:$AC$1,0)-1))</f>
        <v>0</v>
      </c>
      <c r="K48" s="85">
        <f ca="1">IF(ISERROR(OFFSET(Ottone!$A$1,MATCH(G48,Ottone!$A:$A,0)-1,MATCH(I48,Ottone!$A$1:$Z$1,0)-1)=TRUE),0,OFFSET(Ottone!$A$1,MATCH(G48,Ottone!$A:$A,0)-1,MATCH(I48,Ottone!$A$1:$Z$1,0)-1))*IF(D48="Ottone",1,0)</f>
        <v>0</v>
      </c>
      <c r="L48" s="85">
        <f ca="1">IF(ISERROR(OFFSET(Rame!$A$1,MATCH(G48,Rame!$A:$A,0)-1,MATCH(I48,Rame!$A$1:$AA$1,0)-1)=TRUE),0,OFFSET(Rame!$A$1,MATCH(G48,Rame!$A:$A,0)-1,MATCH(I48,Rame!$A$1:$AA$1,0)-1))*IF(D48="Rame",1,0)</f>
        <v>0</v>
      </c>
      <c r="M48" s="126">
        <f t="shared" ca="1" si="0"/>
        <v>0</v>
      </c>
      <c r="N48" s="126">
        <f ca="1">+IF(ISERROR(OFFSET(Tabella!$G$1,MATCH(G48,Tabella!$G:$G,0)-1,MATCH(H48,Tabella!$G$1:$FG$1,0)-1)=TRUE),0,OFFSET(Tabella!$G$1,MATCH(G48,Tabella!$G:$G,0)-1,MATCH(H48,Tabella!$G$1:$AB$1,0)-1))</f>
        <v>0</v>
      </c>
      <c r="O48" s="126">
        <f ca="1">IF(ISERROR(OFFSET(Ottone!$F$1,MATCH(G48,Ottone!$A:$A,0)-1,MATCH(H48,Ottone!$F$1:$FF$1,0)-1)=TRUE),0,OFFSET(Ottone!$F$1,MATCH(G48,Ottone!$A:$A,0)-1,MATCH(H48,Ottone!$F$1:$FF$1,0)-1))*IF(D48="Ottone",1,0)</f>
        <v>0</v>
      </c>
      <c r="P48" s="126">
        <f ca="1">IF(ISERROR(OFFSET(Rame!$F$1,MATCH(G48,Rame!$F:$F,0)-1,MATCH(H48,Rame!$F$1:$FF$1,0)-1)=TRUE),0,OFFSET(Rame!$F$1,MATCH(G48,Rame!$F:$F,0)-1,MATCH(H48,Rame!$F$1:$FF$1,0)-1))*IF(D48="Rame",1,0)</f>
        <v>0</v>
      </c>
      <c r="Q48" s="126">
        <f t="shared" ca="1" si="1"/>
        <v>0</v>
      </c>
      <c r="R48" s="126">
        <f t="shared" si="7"/>
        <v>0</v>
      </c>
      <c r="S48" s="127"/>
      <c r="T48" s="128">
        <f t="shared" ca="1" si="3"/>
        <v>0</v>
      </c>
      <c r="U48" s="125">
        <f t="shared" si="4"/>
        <v>0</v>
      </c>
      <c r="V48" s="129"/>
      <c r="W48" s="130">
        <f t="shared" ca="1" si="5"/>
        <v>0</v>
      </c>
      <c r="X48" s="125">
        <f t="shared" ca="1" si="6"/>
        <v>0</v>
      </c>
      <c r="Y48" s="131"/>
      <c r="Z48" s="100"/>
    </row>
    <row r="49" spans="1:26" ht="15.75" thickBot="1" x14ac:dyDescent="0.3">
      <c r="A49" s="103"/>
      <c r="B49" s="88"/>
      <c r="C49" s="121"/>
      <c r="D49" s="89"/>
      <c r="E49" s="122"/>
      <c r="F49" s="123"/>
      <c r="G49" s="88"/>
      <c r="H49" s="88"/>
      <c r="I49" s="125"/>
      <c r="J49" s="115">
        <f ca="1">IF(ISERROR(OFFSET(Tabella!$A$1,MATCH(G49,Tabella!$A:$A,0)-1,MATCH(I49,Tabella!$A$1:$AC$1,0)-1)=TRUE),0,+OFFSET(Tabella!$A$1,MATCH(G49,Tabella!$A:$A,0)-1,MATCH(I49,Tabella!$A$1:$AC$1,0)-1))</f>
        <v>0</v>
      </c>
      <c r="K49" s="85">
        <f ca="1">IF(ISERROR(OFFSET(Ottone!$A$1,MATCH(G49,Ottone!$A:$A,0)-1,MATCH(I49,Ottone!$A$1:$Z$1,0)-1)=TRUE),0,OFFSET(Ottone!$A$1,MATCH(G49,Ottone!$A:$A,0)-1,MATCH(I49,Ottone!$A$1:$Z$1,0)-1))*IF(D49="Ottone",1,0)</f>
        <v>0</v>
      </c>
      <c r="L49" s="85">
        <f ca="1">IF(ISERROR(OFFSET(Rame!$A$1,MATCH(G49,Rame!$A:$A,0)-1,MATCH(I49,Rame!$A$1:$AA$1,0)-1)=TRUE),0,OFFSET(Rame!$A$1,MATCH(G49,Rame!$A:$A,0)-1,MATCH(I49,Rame!$A$1:$AA$1,0)-1))*IF(D49="Rame",1,0)</f>
        <v>0</v>
      </c>
      <c r="M49" s="126">
        <f t="shared" ca="1" si="0"/>
        <v>0</v>
      </c>
      <c r="N49" s="126">
        <f ca="1">+IF(ISERROR(OFFSET(Tabella!$G$1,MATCH(G49,Tabella!$G:$G,0)-1,MATCH(H49,Tabella!$G$1:$FG$1,0)-1)=TRUE),0,OFFSET(Tabella!$G$1,MATCH(G49,Tabella!$G:$G,0)-1,MATCH(H49,Tabella!$G$1:$AB$1,0)-1))</f>
        <v>0</v>
      </c>
      <c r="O49" s="126">
        <f ca="1">IF(ISERROR(OFFSET(Ottone!$F$1,MATCH(G49,Ottone!$A:$A,0)-1,MATCH(H49,Ottone!$F$1:$FF$1,0)-1)=TRUE),0,OFFSET(Ottone!$F$1,MATCH(G49,Ottone!$A:$A,0)-1,MATCH(H49,Ottone!$F$1:$FF$1,0)-1))*IF(D49="Ottone",1,0)</f>
        <v>0</v>
      </c>
      <c r="P49" s="126">
        <f ca="1">IF(ISERROR(OFFSET(Rame!$F$1,MATCH(G49,Rame!$F:$F,0)-1,MATCH(H49,Rame!$F$1:$FF$1,0)-1)=TRUE),0,OFFSET(Rame!$F$1,MATCH(G49,Rame!$F:$F,0)-1,MATCH(H49,Rame!$F$1:$FF$1,0)-1))*IF(D49="Rame",1,0)</f>
        <v>0</v>
      </c>
      <c r="Q49" s="126">
        <f t="shared" ca="1" si="1"/>
        <v>0</v>
      </c>
      <c r="R49" s="126">
        <f t="shared" si="7"/>
        <v>0</v>
      </c>
      <c r="S49" s="127"/>
      <c r="T49" s="128">
        <f t="shared" ca="1" si="3"/>
        <v>0</v>
      </c>
      <c r="U49" s="125">
        <f t="shared" si="4"/>
        <v>0</v>
      </c>
      <c r="V49" s="129"/>
      <c r="W49" s="130">
        <f t="shared" ca="1" si="5"/>
        <v>0</v>
      </c>
      <c r="X49" s="125">
        <f t="shared" ca="1" si="6"/>
        <v>0</v>
      </c>
      <c r="Y49" s="131"/>
      <c r="Z49" s="100"/>
    </row>
    <row r="50" spans="1:26" ht="15.75" thickBot="1" x14ac:dyDescent="0.3">
      <c r="A50" s="103"/>
      <c r="B50" s="88"/>
      <c r="C50" s="121"/>
      <c r="D50" s="89"/>
      <c r="E50" s="122"/>
      <c r="F50" s="123"/>
      <c r="G50" s="88"/>
      <c r="H50" s="124"/>
      <c r="I50" s="125"/>
      <c r="J50" s="115">
        <f ca="1">IF(ISERROR(OFFSET(Tabella!$A$1,MATCH(G50,Tabella!$A:$A,0)-1,MATCH(I50,Tabella!$A$1:$AC$1,0)-1)=TRUE),0,+OFFSET(Tabella!$A$1,MATCH(G50,Tabella!$A:$A,0)-1,MATCH(I50,Tabella!$A$1:$AC$1,0)-1))</f>
        <v>0</v>
      </c>
      <c r="K50" s="85">
        <f ca="1">IF(ISERROR(OFFSET(Ottone!$A$1,MATCH(G50,Ottone!$A:$A,0)-1,MATCH(I50,Ottone!$A$1:$Z$1,0)-1)=TRUE),0,OFFSET(Ottone!$A$1,MATCH(G50,Ottone!$A:$A,0)-1,MATCH(I50,Ottone!$A$1:$Z$1,0)-1))*IF(D50="Ottone",1,0)</f>
        <v>0</v>
      </c>
      <c r="L50" s="85">
        <f ca="1">IF(ISERROR(OFFSET(Rame!$A$1,MATCH(G50,Rame!$A:$A,0)-1,MATCH(I50,Rame!$A$1:$AA$1,0)-1)=TRUE),0,OFFSET(Rame!$A$1,MATCH(G50,Rame!$A:$A,0)-1,MATCH(I50,Rame!$A$1:$AA$1,0)-1))*IF(D50="Rame",1,0)</f>
        <v>0</v>
      </c>
      <c r="M50" s="126">
        <f t="shared" ca="1" si="0"/>
        <v>0</v>
      </c>
      <c r="N50" s="126">
        <f ca="1">+IF(ISERROR(OFFSET(Tabella!$G$1,MATCH(G50,Tabella!$G:$G,0)-1,MATCH(H50,Tabella!$G$1:$FG$1,0)-1)=TRUE),0,OFFSET(Tabella!$G$1,MATCH(G50,Tabella!$G:$G,0)-1,MATCH(H50,Tabella!$G$1:$AB$1,0)-1))</f>
        <v>0</v>
      </c>
      <c r="O50" s="126">
        <f ca="1">IF(ISERROR(OFFSET(Ottone!$F$1,MATCH(G50,Ottone!$A:$A,0)-1,MATCH(H50,Ottone!$F$1:$FF$1,0)-1)=TRUE),0,OFFSET(Ottone!$F$1,MATCH(G50,Ottone!$A:$A,0)-1,MATCH(H50,Ottone!$F$1:$FF$1,0)-1))*IF(D50="Ottone",1,0)</f>
        <v>0</v>
      </c>
      <c r="P50" s="126">
        <f ca="1">IF(ISERROR(OFFSET(Rame!$F$1,MATCH(G50,Rame!$F:$F,0)-1,MATCH(H50,Rame!$F$1:$FF$1,0)-1)=TRUE),0,OFFSET(Rame!$F$1,MATCH(G50,Rame!$F:$F,0)-1,MATCH(H50,Rame!$F$1:$FF$1,0)-1))*IF(D50="Rame",1,0)</f>
        <v>0</v>
      </c>
      <c r="Q50" s="126">
        <f t="shared" ca="1" si="1"/>
        <v>0</v>
      </c>
      <c r="R50" s="126">
        <f t="shared" si="7"/>
        <v>0</v>
      </c>
      <c r="S50" s="127"/>
      <c r="T50" s="128">
        <f t="shared" ca="1" si="3"/>
        <v>0</v>
      </c>
      <c r="U50" s="125">
        <f t="shared" si="4"/>
        <v>0</v>
      </c>
      <c r="V50" s="129"/>
      <c r="W50" s="130">
        <f t="shared" ca="1" si="5"/>
        <v>0</v>
      </c>
      <c r="X50" s="125">
        <f t="shared" ca="1" si="6"/>
        <v>0</v>
      </c>
      <c r="Y50" s="131"/>
      <c r="Z50" s="100"/>
    </row>
    <row r="51" spans="1:26" ht="15.75" thickBot="1" x14ac:dyDescent="0.3">
      <c r="A51" s="133"/>
      <c r="B51" s="134"/>
      <c r="C51" s="135"/>
      <c r="D51" s="136"/>
      <c r="E51" s="137"/>
      <c r="F51" s="138"/>
      <c r="G51" s="134"/>
      <c r="H51" s="134"/>
      <c r="I51" s="139"/>
      <c r="J51" s="115">
        <f ca="1">IF(ISERROR(OFFSET(Tabella!$A$1,MATCH(G51,Tabella!$A:$A,0)-1,MATCH(I51,Tabella!$A$1:$AC$1,0)-1)=TRUE),0,+OFFSET(Tabella!$A$1,MATCH(G51,Tabella!$A:$A,0)-1,MATCH(I51,Tabella!$A$1:$AC$1,0)-1))</f>
        <v>0</v>
      </c>
      <c r="K51" s="85">
        <f ca="1">IF(ISERROR(OFFSET(Ottone!$A$1,MATCH(G51,Ottone!$A:$A,0)-1,MATCH(I51,Ottone!$A$1:$Z$1,0)-1)=TRUE),0,OFFSET(Ottone!$A$1,MATCH(G51,Ottone!$A:$A,0)-1,MATCH(I51,Ottone!$A$1:$Z$1,0)-1))*IF(D51="Ottone",1,0)</f>
        <v>0</v>
      </c>
      <c r="L51" s="85">
        <f ca="1">IF(ISERROR(OFFSET(Rame!$A$1,MATCH(G51,Rame!$A:$A,0)-1,MATCH(I51,Rame!$A$1:$AA$1,0)-1)=TRUE),0,OFFSET(Rame!$A$1,MATCH(G51,Rame!$A:$A,0)-1,MATCH(I51,Rame!$A$1:$AA$1,0)-1))*IF(D51="Rame",1,0)</f>
        <v>0</v>
      </c>
      <c r="M51" s="140">
        <f t="shared" ca="1" si="0"/>
        <v>0</v>
      </c>
      <c r="N51" s="140">
        <f ca="1">+IF(ISERROR(OFFSET(Tabella!$G$1,MATCH(G51,Tabella!$G:$G,0)-1,MATCH(H51,Tabella!$G$1:$FG$1,0)-1)=TRUE),0,OFFSET(Tabella!$G$1,MATCH(G51,Tabella!$G:$G,0)-1,MATCH(H51,Tabella!$G$1:$AB$1,0)-1))</f>
        <v>0</v>
      </c>
      <c r="O51" s="140">
        <f ca="1">IF(ISERROR(OFFSET(Ottone!$F$1,MATCH(G51,Ottone!$A:$A,0)-1,MATCH(H51,Ottone!$F$1:$FF$1,0)-1)=TRUE),0,OFFSET(Ottone!$F$1,MATCH(G51,Ottone!$A:$A,0)-1,MATCH(H51,Ottone!$F$1:$FF$1,0)-1))*IF(D51="Ottone",1,0)</f>
        <v>0</v>
      </c>
      <c r="P51" s="140">
        <f ca="1">IF(ISERROR(OFFSET(Rame!$F$1,MATCH(G51,Rame!$F:$F,0)-1,MATCH(H51,Rame!$F$1:$FF$1,0)-1)=TRUE),0,OFFSET(Rame!$F$1,MATCH(G51,Rame!$F:$F,0)-1,MATCH(H51,Rame!$F$1:$FF$1,0)-1))*IF(D51="Rame",1,0)</f>
        <v>0</v>
      </c>
      <c r="Q51" s="140">
        <f t="shared" ca="1" si="1"/>
        <v>0</v>
      </c>
      <c r="R51" s="140">
        <f t="shared" si="7"/>
        <v>0</v>
      </c>
      <c r="S51" s="141"/>
      <c r="T51" s="142">
        <f t="shared" ca="1" si="3"/>
        <v>0</v>
      </c>
      <c r="U51" s="143">
        <f t="shared" si="4"/>
        <v>0</v>
      </c>
      <c r="V51" s="144"/>
      <c r="W51" s="145">
        <f t="shared" ca="1" si="5"/>
        <v>0</v>
      </c>
      <c r="X51" s="139">
        <f t="shared" ca="1" si="6"/>
        <v>0</v>
      </c>
      <c r="Y51" s="146"/>
      <c r="Z51" s="101"/>
    </row>
    <row r="52" spans="1:26" ht="15.75" thickBot="1" x14ac:dyDescent="0.3">
      <c r="C52" s="90">
        <f>SUM(C6:C51)</f>
        <v>2124</v>
      </c>
      <c r="R52" s="147"/>
      <c r="S52" s="148"/>
      <c r="U52" s="91">
        <f>SUM(U6:U51)</f>
        <v>212.40000000000003</v>
      </c>
      <c r="X52" s="82">
        <f ca="1">SUM(X6:X51)</f>
        <v>0</v>
      </c>
    </row>
    <row r="56" spans="1:26" ht="15.75" thickBot="1" x14ac:dyDescent="0.3"/>
    <row r="57" spans="1:26" ht="15.75" thickBot="1" x14ac:dyDescent="0.3">
      <c r="B57" s="92" t="s">
        <v>37</v>
      </c>
      <c r="C57" s="93" t="s">
        <v>38</v>
      </c>
      <c r="D57" s="94" t="s">
        <v>94</v>
      </c>
    </row>
    <row r="58" spans="1:26" x14ac:dyDescent="0.25">
      <c r="B58" s="149" t="s">
        <v>105</v>
      </c>
      <c r="C58" s="150">
        <f>SUMIF(B6:B51,"Alge",C6:C51)</f>
        <v>0</v>
      </c>
      <c r="D58" s="151">
        <f>SUMIF(B6:B51,"Alge",U6:U51)</f>
        <v>0</v>
      </c>
    </row>
    <row r="59" spans="1:26" x14ac:dyDescent="0.25">
      <c r="B59" s="103" t="s">
        <v>113</v>
      </c>
      <c r="C59" s="121">
        <f>SUMIF(B6:B51,"Amer",C6:C51)</f>
        <v>0</v>
      </c>
      <c r="D59" s="152">
        <f>SUMIF(B6:B51,"Amer",U6:U51)</f>
        <v>0</v>
      </c>
    </row>
    <row r="60" spans="1:26" x14ac:dyDescent="0.25">
      <c r="B60" s="103" t="s">
        <v>95</v>
      </c>
      <c r="C60" s="121">
        <f>SUMIF(B6:B51,"Braga",C6:C51)</f>
        <v>600</v>
      </c>
      <c r="D60" s="152">
        <f>SUMIF(B6:B51,"Braga",U6:U51)</f>
        <v>60</v>
      </c>
    </row>
    <row r="61" spans="1:26" x14ac:dyDescent="0.25">
      <c r="B61" s="103" t="s">
        <v>114</v>
      </c>
      <c r="C61" s="121">
        <f>SUMIF(B6:B51,"Colombo",C6:C51)</f>
        <v>0</v>
      </c>
      <c r="D61" s="152">
        <f ca="1">SUMIF(B5:B51,"Colombo",U6:U51)</f>
        <v>0</v>
      </c>
    </row>
    <row r="62" spans="1:26" x14ac:dyDescent="0.25">
      <c r="B62" s="103" t="s">
        <v>111</v>
      </c>
      <c r="C62" s="121">
        <f>SUMIF(B6:B51,"Elca",C6:C51)</f>
        <v>0</v>
      </c>
      <c r="D62" s="152">
        <f>SUMIF(B6:B51,"Elca",U6:U51)</f>
        <v>0</v>
      </c>
    </row>
    <row r="63" spans="1:26" x14ac:dyDescent="0.25">
      <c r="B63" s="103" t="s">
        <v>106</v>
      </c>
      <c r="C63" s="121">
        <f>SUMIF(B6:B51,"Eletrafo",C6:C51)</f>
        <v>0</v>
      </c>
      <c r="D63" s="152">
        <f>SUMIF(B6:B51,"Eletrafo",U6:U51)</f>
        <v>0</v>
      </c>
    </row>
    <row r="64" spans="1:26" x14ac:dyDescent="0.25">
      <c r="B64" s="103" t="s">
        <v>91</v>
      </c>
      <c r="C64" s="121">
        <f>SUMIF(B6:B51,"Elettroplastica",C6:C51)</f>
        <v>0</v>
      </c>
      <c r="D64" s="152">
        <f>SUMIF(B6:B51,"Elettroplastica",U6:U51)</f>
        <v>0</v>
      </c>
    </row>
    <row r="65" spans="2:4" x14ac:dyDescent="0.25">
      <c r="B65" s="103" t="s">
        <v>104</v>
      </c>
      <c r="C65" s="121">
        <f>SUMIF(B6:B51,"Elpi Castresin",C6:C51)</f>
        <v>0</v>
      </c>
      <c r="D65" s="152">
        <f>SUMIF(B6:B51,"Alge",U6:U51)</f>
        <v>0</v>
      </c>
    </row>
    <row r="66" spans="2:4" x14ac:dyDescent="0.25">
      <c r="B66" s="103" t="s">
        <v>97</v>
      </c>
      <c r="C66" s="121">
        <f>SUMIF(B6:B51,"Emg",C6:C51)</f>
        <v>0</v>
      </c>
      <c r="D66" s="152">
        <f>SUMIF(B6:B51,"Emg",U6:U51)</f>
        <v>0</v>
      </c>
    </row>
    <row r="67" spans="2:4" x14ac:dyDescent="0.25">
      <c r="B67" s="103" t="s">
        <v>100</v>
      </c>
      <c r="C67" s="121">
        <f>SUMIF(B6:B51,"FdueG",C1:C51)</f>
        <v>0</v>
      </c>
      <c r="D67" s="152">
        <f>SUMIF(B6:B51,"FdueG",U6:U51)</f>
        <v>0</v>
      </c>
    </row>
    <row r="68" spans="2:4" x14ac:dyDescent="0.25">
      <c r="B68" s="103" t="s">
        <v>118</v>
      </c>
      <c r="C68" s="121">
        <f>SUMIF(B6:B51,"Giussani",C6:C51)</f>
        <v>0</v>
      </c>
      <c r="D68" s="152">
        <f>SUMIF(B6:B51,"Giussani",U6:U51)</f>
        <v>0</v>
      </c>
    </row>
    <row r="69" spans="2:4" x14ac:dyDescent="0.25">
      <c r="B69" s="103" t="s">
        <v>93</v>
      </c>
      <c r="C69" s="121">
        <f>SUMIF(B6:B51,"ICAR",C6:C51)</f>
        <v>0</v>
      </c>
      <c r="D69" s="152">
        <f>SUMIF(B6:B51,"Icar",U6:U51)</f>
        <v>0</v>
      </c>
    </row>
    <row r="70" spans="2:4" x14ac:dyDescent="0.25">
      <c r="B70" s="103" t="s">
        <v>116</v>
      </c>
      <c r="C70" s="121">
        <f>SUMIF(B6:B51,"Mace",C6:C51)</f>
        <v>0</v>
      </c>
      <c r="D70" s="152">
        <f>SUMIF(B6:B51,"Mace",U6:U51)</f>
        <v>0</v>
      </c>
    </row>
    <row r="71" spans="2:4" x14ac:dyDescent="0.25">
      <c r="B71" s="103" t="s">
        <v>112</v>
      </c>
      <c r="C71" s="121">
        <f>SUMIF(B6:B51,"Marnate",C6:C51)</f>
        <v>0</v>
      </c>
      <c r="D71" s="152">
        <f>SUMIF(B6:B51,"Marnate",U6:U51)</f>
        <v>0</v>
      </c>
    </row>
    <row r="72" spans="2:4" x14ac:dyDescent="0.25">
      <c r="B72" s="103" t="s">
        <v>92</v>
      </c>
      <c r="C72" s="121">
        <f>SUMIF(B6:B51,"Meca",C6:C51)</f>
        <v>0</v>
      </c>
      <c r="D72" s="152">
        <f>SUMIF(B6:B51,"Meca",U6:U51)</f>
        <v>0</v>
      </c>
    </row>
    <row r="73" spans="2:4" x14ac:dyDescent="0.25">
      <c r="B73" s="103" t="s">
        <v>108</v>
      </c>
      <c r="C73" s="121">
        <f>SUMIF(B6:B51,"MF",C6:C51)</f>
        <v>0</v>
      </c>
      <c r="D73" s="152">
        <f>SUMIF(B6:B51,"MF",U6:U51)</f>
        <v>0</v>
      </c>
    </row>
    <row r="74" spans="2:4" x14ac:dyDescent="0.25">
      <c r="B74" s="103" t="s">
        <v>101</v>
      </c>
      <c r="C74" s="121">
        <f>SUMIF(B6:B51,"MP",C6:C51)</f>
        <v>0</v>
      </c>
      <c r="D74" s="152">
        <f>SUMIF(B6:B51,"MP",U6:U51)</f>
        <v>0</v>
      </c>
    </row>
    <row r="75" spans="2:4" x14ac:dyDescent="0.25">
      <c r="B75" s="103" t="s">
        <v>110</v>
      </c>
      <c r="C75" s="121">
        <f>SUMIF(B6:B51,"Neotrade",C6:C51)</f>
        <v>0</v>
      </c>
      <c r="D75" s="152">
        <f>SUMIF(B6:B51,"Neotrae",U6:U51)</f>
        <v>0</v>
      </c>
    </row>
    <row r="76" spans="2:4" x14ac:dyDescent="0.25">
      <c r="B76" s="103" t="s">
        <v>102</v>
      </c>
      <c r="C76" s="121">
        <f>SUMIF(B6:B51,"Newton",C6:C51)</f>
        <v>1524</v>
      </c>
      <c r="D76" s="152">
        <f>SUMIF(B6:B51,"Newton",U6:U51)</f>
        <v>152.4</v>
      </c>
    </row>
    <row r="77" spans="2:4" x14ac:dyDescent="0.25">
      <c r="B77" s="103" t="s">
        <v>98</v>
      </c>
      <c r="C77" s="121">
        <f>SUMIF(B6:B51,"Piola",C6:C51)</f>
        <v>0</v>
      </c>
      <c r="D77" s="152">
        <f>SUMIF(B6:B51,"Piola",U6:U51)</f>
        <v>0</v>
      </c>
    </row>
    <row r="78" spans="2:4" x14ac:dyDescent="0.25">
      <c r="B78" s="103" t="s">
        <v>103</v>
      </c>
      <c r="C78" s="121">
        <f>SUMIF(B6:B51,"Piossasco",C6:C51)</f>
        <v>0</v>
      </c>
      <c r="D78" s="152">
        <f>SUMIF(B6:B51,"Piossasco",U6:U51)</f>
        <v>0</v>
      </c>
    </row>
    <row r="79" spans="2:4" x14ac:dyDescent="0.25">
      <c r="B79" s="103" t="s">
        <v>115</v>
      </c>
      <c r="C79" s="121">
        <f>SUMIF(B6:B51,"project",C6:C51)</f>
        <v>0</v>
      </c>
      <c r="D79" s="152">
        <f>SUMIF(B6:B51,"Project",U6:U51)</f>
        <v>0</v>
      </c>
    </row>
    <row r="80" spans="2:4" x14ac:dyDescent="0.25">
      <c r="B80" s="103" t="s">
        <v>109</v>
      </c>
      <c r="C80" s="121">
        <f>SUMIF(B6:B51,"Sirmet",C6:C51)</f>
        <v>0</v>
      </c>
      <c r="D80" s="152">
        <f>SUMIF(B6:B51,"Alge",U6:U51)</f>
        <v>0</v>
      </c>
    </row>
    <row r="81" spans="2:4" x14ac:dyDescent="0.25">
      <c r="B81" s="103" t="s">
        <v>107</v>
      </c>
      <c r="C81" s="121">
        <f>SUMIF(B6:B51,"Tecnomintra",C6:C51)</f>
        <v>0</v>
      </c>
      <c r="D81" s="152">
        <f>SUMIF(B6:B51,"Tecnomintra",U6:U51)</f>
        <v>0</v>
      </c>
    </row>
    <row r="82" spans="2:4" x14ac:dyDescent="0.25">
      <c r="B82" s="103" t="s">
        <v>90</v>
      </c>
      <c r="C82" s="121">
        <f>SUMIF(B6:B51,"Trafomec",C6:C51)</f>
        <v>0</v>
      </c>
      <c r="D82" s="152">
        <f>SUMIF(B6:B51,"Trafomec",U6:U51)</f>
        <v>0</v>
      </c>
    </row>
    <row r="83" spans="2:4" x14ac:dyDescent="0.25">
      <c r="B83" s="103" t="s">
        <v>119</v>
      </c>
      <c r="C83" s="121">
        <f>SUMIF(B6:B51,"Trafomec SA",C6:C51)</f>
        <v>0</v>
      </c>
      <c r="D83" s="152">
        <f>SUMIF(B6:B51,"Trafomec SA",U6:U51)</f>
        <v>0</v>
      </c>
    </row>
    <row r="84" spans="2:4" x14ac:dyDescent="0.25">
      <c r="B84" s="103" t="s">
        <v>96</v>
      </c>
      <c r="C84" s="121">
        <f>SUMIF(B6:B51,"Wattsud",C6:C51)</f>
        <v>0</v>
      </c>
      <c r="D84" s="152">
        <f>SUMIF(B6:B51,"Wattsud",U6:U51)</f>
        <v>0</v>
      </c>
    </row>
    <row r="85" spans="2:4" x14ac:dyDescent="0.25">
      <c r="B85" s="103" t="s">
        <v>117</v>
      </c>
      <c r="C85" s="121">
        <f>SUMIF(B6:B51,"Wetter",C6:C51)</f>
        <v>0</v>
      </c>
      <c r="D85" s="152">
        <f>SUMIF(B6:B51,"Wetter",U6:U51)</f>
        <v>0</v>
      </c>
    </row>
    <row r="86" spans="2:4" x14ac:dyDescent="0.25">
      <c r="B86" s="153" t="s">
        <v>99</v>
      </c>
      <c r="C86" s="154">
        <f>SUMIF(B6:B51,"Zucchiatti",C6:C51)</f>
        <v>0</v>
      </c>
      <c r="D86" s="155">
        <f>SUMIF(B6:B51,"Zucchiatti",U6:U51)</f>
        <v>0</v>
      </c>
    </row>
    <row r="87" spans="2:4" ht="15.75" thickBot="1" x14ac:dyDescent="0.3">
      <c r="B87" s="133"/>
      <c r="C87" s="156">
        <v>0</v>
      </c>
      <c r="D87" s="157"/>
    </row>
    <row r="88" spans="2:4" ht="15.75" thickBot="1" x14ac:dyDescent="0.3">
      <c r="C88" s="96">
        <f>SUM(C58:C87)</f>
        <v>2124</v>
      </c>
      <c r="D88" s="97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5" t="s">
        <v>124</v>
      </c>
      <c r="D2" s="53"/>
      <c r="E2" s="53"/>
      <c r="F2" s="53"/>
      <c r="G2" s="53"/>
      <c r="H2" s="53"/>
      <c r="I2" s="53"/>
    </row>
    <row r="3" spans="1:26" ht="15.75" thickBot="1" x14ac:dyDescent="0.3"/>
    <row r="4" spans="1:26" ht="15.75" thickBot="1" x14ac:dyDescent="0.3">
      <c r="A4" s="104"/>
      <c r="B4" s="104"/>
      <c r="C4" s="104"/>
      <c r="D4" s="105"/>
      <c r="E4" s="24" t="s">
        <v>53</v>
      </c>
      <c r="F4" s="106"/>
      <c r="G4" s="104"/>
      <c r="H4" s="104"/>
      <c r="I4" s="104"/>
      <c r="J4" s="105"/>
      <c r="K4" s="107"/>
      <c r="L4" s="107"/>
      <c r="M4" s="107"/>
      <c r="N4" s="107"/>
      <c r="O4" s="107"/>
      <c r="P4" s="107"/>
      <c r="Q4" s="24" t="s">
        <v>49</v>
      </c>
      <c r="R4" s="107"/>
      <c r="S4" s="107"/>
      <c r="T4" s="106"/>
      <c r="U4" s="104"/>
      <c r="V4" s="104"/>
      <c r="W4" s="104"/>
      <c r="X4" s="104"/>
      <c r="Y4" s="104"/>
    </row>
    <row r="5" spans="1:26" ht="24.75" thickBot="1" x14ac:dyDescent="0.3">
      <c r="A5" s="17" t="s">
        <v>127</v>
      </c>
      <c r="B5" s="18" t="s">
        <v>37</v>
      </c>
      <c r="C5" s="18" t="s">
        <v>38</v>
      </c>
      <c r="D5" s="19" t="s">
        <v>39</v>
      </c>
      <c r="E5" s="20" t="s">
        <v>51</v>
      </c>
      <c r="F5" s="21" t="s">
        <v>52</v>
      </c>
      <c r="G5" s="18" t="s">
        <v>40</v>
      </c>
      <c r="H5" s="18" t="s">
        <v>41</v>
      </c>
      <c r="I5" s="18" t="s">
        <v>42</v>
      </c>
      <c r="J5" s="86" t="s">
        <v>4</v>
      </c>
      <c r="K5" s="83" t="s">
        <v>5</v>
      </c>
      <c r="L5" s="83" t="s">
        <v>6</v>
      </c>
      <c r="M5" s="19" t="s">
        <v>43</v>
      </c>
      <c r="N5" s="83" t="s">
        <v>4</v>
      </c>
      <c r="O5" s="83" t="s">
        <v>5</v>
      </c>
      <c r="P5" s="83" t="s">
        <v>6</v>
      </c>
      <c r="Q5" s="20" t="s">
        <v>44</v>
      </c>
      <c r="R5" s="20" t="s">
        <v>88</v>
      </c>
      <c r="S5" s="87" t="s">
        <v>89</v>
      </c>
      <c r="T5" s="21" t="s">
        <v>45</v>
      </c>
      <c r="U5" s="18" t="s">
        <v>48</v>
      </c>
      <c r="V5" s="23" t="s">
        <v>46</v>
      </c>
      <c r="W5" s="99" t="s">
        <v>50</v>
      </c>
      <c r="X5" s="22"/>
      <c r="Y5" s="22" t="s">
        <v>47</v>
      </c>
      <c r="Z5" s="23" t="s">
        <v>120</v>
      </c>
    </row>
    <row r="6" spans="1:26" ht="15.75" thickBot="1" x14ac:dyDescent="0.3">
      <c r="A6" s="108" t="s">
        <v>139</v>
      </c>
      <c r="B6" s="109" t="s">
        <v>140</v>
      </c>
      <c r="C6" s="110">
        <v>560</v>
      </c>
      <c r="D6" s="111" t="s">
        <v>6</v>
      </c>
      <c r="E6" s="112">
        <v>6.16</v>
      </c>
      <c r="F6" s="113">
        <v>41619</v>
      </c>
      <c r="G6" s="88" t="s">
        <v>16</v>
      </c>
      <c r="I6" s="114">
        <v>0.1</v>
      </c>
      <c r="J6" s="115">
        <f ca="1">IF(ISERROR(OFFSET(Tabella!$A$1,MATCH(G6,Tabella!$A:$A,0)-1,MATCH(I6,Tabella!$A$1:$AC$1,0)-1)=TRUE),0,+OFFSET(Tabella!$A$1,MATCH(G6,Tabella!$A:$A,0)-1,MATCH(I6,Tabella!$A$1:$AC$1,0)-1))</f>
        <v>0</v>
      </c>
      <c r="K6" s="85">
        <f ca="1">IF(ISERROR(OFFSET(Ottone!$A$1,MATCH(G6,Ottone!$A:$A,0)-1,MATCH(I6,Ottone!$A$1:$Z$1,0)-1)=TRUE),0,OFFSET(Ottone!$A$1,MATCH(G6,Ottone!$A:$A,0)-1,MATCH(I6,Ottone!$A$1:$Z$1,0)-1))*IF(D6="Ottone",1,0)</f>
        <v>0</v>
      </c>
      <c r="L6" s="85">
        <f ca="1">IF(ISERROR(OFFSET(Rame!$A$1,MATCH(G6,Rame!$A:$A,0)-1,MATCH(I6,Rame!$A$1:$AA$1,0)-1)=TRUE),0,OFFSET(Rame!$A$1,MATCH(G6,Rame!$A:$A,0)-1,MATCH(I6,Rame!$A$1:$AA$1,0)-1))*IF(D6="Rame",1,0)</f>
        <v>0.82</v>
      </c>
      <c r="M6" s="115">
        <f t="shared" ref="M6:M44" ca="1" si="0">SUM(J6:L6)</f>
        <v>0.82</v>
      </c>
      <c r="N6" s="115">
        <f ca="1">+IF(ISERROR(OFFSET(Tabella!$G$1,MATCH(G6,Tabella!$G:$G,0)-1,MATCH(H7,Tabella!$G$1:$FG$1,0)-1)=TRUE),0,OFFSET(Tabella!$G$1,MATCH(G6,Tabella!$G:$G,0)-1,MATCH(H7,Tabella!$G$1:$AB$1,0)-1))</f>
        <v>0</v>
      </c>
      <c r="O6" s="115">
        <f ca="1">IF(ISERROR(OFFSET(Ottone!$F$1,MATCH(G6,Ottone!$A:$A,0)-1,MATCH(H7,Ottone!$F$1:$FF$1,0)-1)=TRUE),0,OFFSET(Ottone!$F$1,MATCH(G6,Ottone!$A:$A,0)-1,MATCH(H7,Ottone!$F$1:$FF$1,0)-1))*IF(D6="Ottone",1,0)</f>
        <v>0</v>
      </c>
      <c r="P6" s="115">
        <f ca="1">IF(ISERROR(OFFSET(Rame!$F$1,MATCH(G6,Rame!$F:$F,0)-1,MATCH(H7,Rame!$F$1:$FF$1,0)-1)=TRUE),0,OFFSET(Rame!$F$1,MATCH(G6,Rame!$F:$F,0)-1,MATCH(H7,Rame!$F$1:$FF$1,0)-1))*IF(D6="Rame",1,0)</f>
        <v>0</v>
      </c>
      <c r="Q6" s="115">
        <f t="shared" ref="Q6:Q44" ca="1" si="1">SUM(N6:P6)</f>
        <v>0</v>
      </c>
      <c r="R6" s="115">
        <f t="shared" ref="R6:R15" si="2">(IF(C6&gt;500,0,0.1)*IF(D6="Alluminio",0,1))*IF(C6=0,0,1)</f>
        <v>0</v>
      </c>
      <c r="S6" s="116"/>
      <c r="T6" s="117">
        <f t="shared" ref="T6:T44" ca="1" si="3">+M6+Q6+R6+S6</f>
        <v>0.82</v>
      </c>
      <c r="U6" s="114">
        <f t="shared" ref="U6:U44" si="4">+I6*C6</f>
        <v>56</v>
      </c>
      <c r="V6" s="118"/>
      <c r="W6" s="119">
        <f t="shared" ref="W6:W44" ca="1" si="5">+V6-T6-E6</f>
        <v>-6.98</v>
      </c>
      <c r="X6" s="114">
        <f t="shared" ref="X6:X44" ca="1" si="6">IF(W6&gt;0,W6,0)</f>
        <v>0</v>
      </c>
      <c r="Y6" s="120"/>
      <c r="Z6" s="102"/>
    </row>
    <row r="7" spans="1:26" ht="15.75" thickBot="1" x14ac:dyDescent="0.3">
      <c r="A7" s="103" t="s">
        <v>139</v>
      </c>
      <c r="B7" s="88" t="s">
        <v>140</v>
      </c>
      <c r="C7" s="121">
        <v>140</v>
      </c>
      <c r="D7" s="89" t="s">
        <v>6</v>
      </c>
      <c r="E7" s="122">
        <v>6.16</v>
      </c>
      <c r="F7" s="123">
        <v>41619</v>
      </c>
      <c r="G7" s="88" t="s">
        <v>16</v>
      </c>
      <c r="H7" s="109"/>
      <c r="I7" s="125">
        <v>0.1</v>
      </c>
      <c r="J7" s="115">
        <f ca="1">IF(ISERROR(OFFSET(Tabella!$A$1,MATCH(G7,Tabella!$A:$A,0)-1,MATCH(I7,Tabella!$A$1:$AC$1,0)-1)=TRUE),0,+OFFSET(Tabella!$A$1,MATCH(G7,Tabella!$A:$A,0)-1,MATCH(I7,Tabella!$A$1:$AC$1,0)-1))</f>
        <v>0</v>
      </c>
      <c r="K7" s="85">
        <f ca="1">IF(ISERROR(OFFSET(Ottone!$A$1,MATCH(G7,Ottone!$A:$A,0)-1,MATCH(I7,Ottone!$A$1:$Z$1,0)-1)=TRUE),0,OFFSET(Ottone!$A$1,MATCH(G7,Ottone!$A:$A,0)-1,MATCH(I7,Ottone!$A$1:$Z$1,0)-1))*IF(D7="Ottone",1,0)</f>
        <v>0</v>
      </c>
      <c r="L7" s="85">
        <f ca="1">IF(ISERROR(OFFSET(Rame!$A$1,MATCH(G7,Rame!$A:$A,0)-1,MATCH(I7,Rame!$A$1:$AA$1,0)-1)=TRUE),0,OFFSET(Rame!$A$1,MATCH(G7,Rame!$A:$A,0)-1,MATCH(I7,Rame!$A$1:$AA$1,0)-1))*IF(D7="Rame",1,0)</f>
        <v>0.82</v>
      </c>
      <c r="M7" s="126">
        <f t="shared" ca="1" si="0"/>
        <v>0.82</v>
      </c>
      <c r="N7" s="126">
        <f ca="1">+IF(ISERROR(OFFSET(Tabella!$G$1,MATCH(G7,Tabella!$G:$G,0)-1,MATCH(#REF!,Tabella!$G$1:$FG$1,0)-1)=TRUE),0,OFFSET(Tabella!$G$1,MATCH(G7,Tabella!$G:$G,0)-1,MATCH(#REF!,Tabella!$G$1:$AB$1,0)-1))</f>
        <v>0</v>
      </c>
      <c r="O7" s="126">
        <f ca="1">IF(ISERROR(OFFSET(Ottone!$F$1,MATCH(G7,Ottone!$A:$A,0)-1,MATCH(#REF!,Ottone!$F$1:$FF$1,0)-1)=TRUE),0,OFFSET(Ottone!$F$1,MATCH(G7,Ottone!$A:$A,0)-1,MATCH(#REF!,Ottone!$F$1:$FF$1,0)-1))*IF(D7="Ottone",1,0)</f>
        <v>0</v>
      </c>
      <c r="P7" s="126">
        <f ca="1">IF(ISERROR(OFFSET(Rame!$F$1,MATCH(G7,Rame!$F:$F,0)-1,MATCH(#REF!,Rame!$F$1:$FF$1,0)-1)=TRUE),0,OFFSET(Rame!$F$1,MATCH(G7,Rame!$F:$F,0)-1,MATCH(#REF!,Rame!$F$1:$FF$1,0)-1))*IF(D7="Rame",1,0)</f>
        <v>0</v>
      </c>
      <c r="Q7" s="126">
        <f t="shared" ca="1" si="1"/>
        <v>0</v>
      </c>
      <c r="R7" s="126">
        <f t="shared" si="2"/>
        <v>0.1</v>
      </c>
      <c r="S7" s="127"/>
      <c r="T7" s="128">
        <f t="shared" ca="1" si="3"/>
        <v>0.91999999999999993</v>
      </c>
      <c r="U7" s="125">
        <f t="shared" si="4"/>
        <v>14</v>
      </c>
      <c r="V7" s="129"/>
      <c r="W7" s="130">
        <f t="shared" ca="1" si="5"/>
        <v>-7.08</v>
      </c>
      <c r="X7" s="125">
        <f t="shared" ca="1" si="6"/>
        <v>0</v>
      </c>
      <c r="Y7" s="131"/>
      <c r="Z7" s="100"/>
    </row>
    <row r="8" spans="1:26" ht="15.75" thickBot="1" x14ac:dyDescent="0.3">
      <c r="A8" s="103" t="s">
        <v>141</v>
      </c>
      <c r="B8" s="88" t="s">
        <v>140</v>
      </c>
      <c r="C8" s="121">
        <v>140</v>
      </c>
      <c r="D8" s="89" t="s">
        <v>6</v>
      </c>
      <c r="E8" s="122">
        <v>6.16</v>
      </c>
      <c r="F8" s="123">
        <v>41619</v>
      </c>
      <c r="G8" s="88" t="s">
        <v>14</v>
      </c>
      <c r="H8" s="88"/>
      <c r="I8" s="125">
        <v>0.1</v>
      </c>
      <c r="J8" s="115">
        <f ca="1">IF(ISERROR(OFFSET(Tabella!$A$1,MATCH(G8,Tabella!$A:$A,0)-1,MATCH(I8,Tabella!$A$1:$AC$1,0)-1)=TRUE),0,+OFFSET(Tabella!$A$1,MATCH(G8,Tabella!$A:$A,0)-1,MATCH(I8,Tabella!$A$1:$AC$1,0)-1))</f>
        <v>0</v>
      </c>
      <c r="K8" s="85">
        <f ca="1">IF(ISERROR(OFFSET(Ottone!$A$1,MATCH(G8,Ottone!$A:$A,0)-1,MATCH(I8,Ottone!$A$1:$Z$1,0)-1)=TRUE),0,OFFSET(Ottone!$A$1,MATCH(G8,Ottone!$A:$A,0)-1,MATCH(I8,Ottone!$A$1:$Z$1,0)-1))*IF(D8="Ottone",1,0)</f>
        <v>0</v>
      </c>
      <c r="L8" s="85">
        <f ca="1">IF(ISERROR(OFFSET(Rame!$A$1,MATCH(G8,Rame!$A:$A,0)-1,MATCH(I8,Rame!$A$1:$AA$1,0)-1)=TRUE),0,OFFSET(Rame!$A$1,MATCH(G8,Rame!$A:$A,0)-1,MATCH(I8,Rame!$A$1:$AA$1,0)-1))*IF(D8="Rame",1,0)</f>
        <v>0.95</v>
      </c>
      <c r="M8" s="126">
        <f t="shared" ca="1" si="0"/>
        <v>0.95</v>
      </c>
      <c r="N8" s="126">
        <v>0.2</v>
      </c>
      <c r="O8" s="126">
        <f ca="1">IF(ISERROR(OFFSET(Ottone!$F$1,MATCH(G8,Ottone!$A:$A,0)-1,MATCH(H8,Ottone!$F$1:$FF$1,0)-1)=TRUE),0,OFFSET(Ottone!$F$1,MATCH(G8,Ottone!$A:$A,0)-1,MATCH(H8,Ottone!$F$1:$FF$1,0)-1))*IF(D8="Ottone",1,0)</f>
        <v>0</v>
      </c>
      <c r="P8" s="126">
        <f ca="1">IF(ISERROR(OFFSET(Rame!$F$1,MATCH(G8,Rame!$F:$F,0)-1,MATCH(H8,Rame!$F$1:$FF$1,0)-1)=TRUE),0,OFFSET(Rame!$F$1,MATCH(G8,Rame!$F:$F,0)-1,MATCH(H8,Rame!$F$1:$FF$1,0)-1))*IF(D8="Rame",1,0)</f>
        <v>0</v>
      </c>
      <c r="Q8" s="126">
        <f t="shared" ca="1" si="1"/>
        <v>0.2</v>
      </c>
      <c r="R8" s="126">
        <f t="shared" si="2"/>
        <v>0.1</v>
      </c>
      <c r="S8" s="127"/>
      <c r="T8" s="128">
        <f t="shared" ca="1" si="3"/>
        <v>1.25</v>
      </c>
      <c r="U8" s="125">
        <f t="shared" si="4"/>
        <v>14</v>
      </c>
      <c r="V8" s="129"/>
      <c r="W8" s="130">
        <f t="shared" ca="1" si="5"/>
        <v>-7.41</v>
      </c>
      <c r="X8" s="125">
        <f t="shared" ca="1" si="6"/>
        <v>0</v>
      </c>
      <c r="Y8" s="131"/>
      <c r="Z8" s="100"/>
    </row>
    <row r="9" spans="1:26" ht="15.75" thickBot="1" x14ac:dyDescent="0.3">
      <c r="A9" s="103" t="s">
        <v>142</v>
      </c>
      <c r="B9" s="88" t="s">
        <v>143</v>
      </c>
      <c r="C9" s="121">
        <v>520</v>
      </c>
      <c r="D9" s="89" t="s">
        <v>5</v>
      </c>
      <c r="E9" s="122">
        <v>4.99</v>
      </c>
      <c r="F9" s="123">
        <v>41659</v>
      </c>
      <c r="G9" s="88" t="s">
        <v>14</v>
      </c>
      <c r="H9" s="88"/>
      <c r="I9" s="125">
        <v>0.1</v>
      </c>
      <c r="J9" s="115">
        <f ca="1">IF(ISERROR(OFFSET(Tabella!$A$1,MATCH(G9,Tabella!$A:$A,0)-1,MATCH(I9,Tabella!$A$1:$AC$1,0)-1)=TRUE),0,+OFFSET(Tabella!$A$1,MATCH(G9,Tabella!$A:$A,0)-1,MATCH(I9,Tabella!$A$1:$AC$1,0)-1))</f>
        <v>0</v>
      </c>
      <c r="K9" s="85">
        <f ca="1">IF(ISERROR(OFFSET(Ottone!$A$1,MATCH(G9,Ottone!$A:$A,0)-1,MATCH(I9,Ottone!$A$1:$Z$1,0)-1)=TRUE),0,OFFSET(Ottone!$A$1,MATCH(G9,Ottone!$A:$A,0)-1,MATCH(I9,Ottone!$A$1:$Z$1,0)-1))*IF(D9="Ottone",1,0)</f>
        <v>0.65</v>
      </c>
      <c r="L9" s="85">
        <f ca="1">IF(ISERROR(OFFSET(Rame!$A$1,MATCH(G9,Rame!$A:$A,0)-1,MATCH(I9,Rame!$A$1:$AA$1,0)-1)=TRUE),0,OFFSET(Rame!$A$1,MATCH(G9,Rame!$A:$A,0)-1,MATCH(I9,Rame!$A$1:$AA$1,0)-1))*IF(D9="Rame",1,0)</f>
        <v>0</v>
      </c>
      <c r="M9" s="126">
        <f t="shared" ca="1" si="0"/>
        <v>0.65</v>
      </c>
      <c r="N9" s="126">
        <f ca="1">+IF(ISERROR(OFFSET(Tabella!$G$1,MATCH(G9,Tabella!$G:$G,0)-1,MATCH(H9,Tabella!$G$1:$FG$1,0)-1)=TRUE),0,OFFSET(Tabella!$G$1,MATCH(G9,Tabella!$G:$G,0)-1,MATCH(H9,Tabella!$G$1:$AB$1,0)-1))</f>
        <v>0</v>
      </c>
      <c r="O9" s="126">
        <f ca="1">IF(ISERROR(OFFSET(Ottone!$F$1,MATCH(G9,Ottone!$A:$A,0)-1,MATCH(H9,Ottone!$F$1:$FF$1,0)-1)=TRUE),0,OFFSET(Ottone!$F$1,MATCH(G9,Ottone!$A:$A,0)-1,MATCH(H9,Ottone!$F$1:$FF$1,0)-1))*IF(D9="Ottone",1,0)</f>
        <v>0</v>
      </c>
      <c r="P9" s="126">
        <f ca="1">IF(ISERROR(OFFSET(Rame!$F$1,MATCH(G9,Rame!$F:$F,0)-1,MATCH(H9,Rame!$F$1:$FF$1,0)-1)=TRUE),0,OFFSET(Rame!$F$1,MATCH(G9,Rame!$F:$F,0)-1,MATCH(H9,Rame!$F$1:$FF$1,0)-1))*IF(D9="Rame",1,0)</f>
        <v>0</v>
      </c>
      <c r="Q9" s="126">
        <f t="shared" ca="1" si="1"/>
        <v>0</v>
      </c>
      <c r="R9" s="126">
        <f t="shared" si="2"/>
        <v>0</v>
      </c>
      <c r="S9" s="127"/>
      <c r="T9" s="128">
        <f t="shared" ca="1" si="3"/>
        <v>0.65</v>
      </c>
      <c r="U9" s="125">
        <f t="shared" si="4"/>
        <v>52</v>
      </c>
      <c r="V9" s="129"/>
      <c r="W9" s="130">
        <f t="shared" ca="1" si="5"/>
        <v>-5.6400000000000006</v>
      </c>
      <c r="X9" s="125">
        <f t="shared" ca="1" si="6"/>
        <v>0</v>
      </c>
      <c r="Y9" s="131"/>
      <c r="Z9" s="100"/>
    </row>
    <row r="10" spans="1:26" ht="15.75" thickBot="1" x14ac:dyDescent="0.3">
      <c r="A10" s="103" t="s">
        <v>144</v>
      </c>
      <c r="B10" s="88" t="s">
        <v>145</v>
      </c>
      <c r="C10" s="121">
        <v>300</v>
      </c>
      <c r="D10" s="89" t="s">
        <v>4</v>
      </c>
      <c r="E10" s="122">
        <v>1.29</v>
      </c>
      <c r="F10" s="123">
        <v>41647</v>
      </c>
      <c r="G10" s="88" t="s">
        <v>11</v>
      </c>
      <c r="H10" s="88"/>
      <c r="I10" s="125">
        <v>0.1</v>
      </c>
      <c r="J10" s="115">
        <f ca="1">IF(ISERROR(OFFSET(Tabella!$A$1,MATCH(G10,Tabella!$A:$A,0)-1,MATCH(I10,Tabella!$A$1:$AC$1,0)-1)=TRUE),0,+OFFSET(Tabella!$A$1,MATCH(G10,Tabella!$A:$A,0)-1,MATCH(I10,Tabella!$A$1:$AC$1,0)-1))</f>
        <v>1.65</v>
      </c>
      <c r="K10" s="85">
        <f ca="1">IF(ISERROR(OFFSET(Ottone!$A$1,MATCH(G10,Ottone!$A:$A,0)-1,MATCH(I10,Ottone!$A$1:$Z$1,0)-1)=TRUE),0,OFFSET(Ottone!$A$1,MATCH(G10,Ottone!$A:$A,0)-1,MATCH(I10,Ottone!$A$1:$Z$1,0)-1))*IF(D10="Ottone",1,0)</f>
        <v>0</v>
      </c>
      <c r="L10" s="85">
        <f ca="1">IF(ISERROR(OFFSET(Rame!$A$1,MATCH(G10,Rame!$A:$A,0)-1,MATCH(I10,Rame!$A$1:$AA$1,0)-1)=TRUE),0,OFFSET(Rame!$A$1,MATCH(G10,Rame!$A:$A,0)-1,MATCH(I10,Rame!$A$1:$AA$1,0)-1))*IF(D10="Rame",1,0)</f>
        <v>0</v>
      </c>
      <c r="M10" s="126">
        <f t="shared" ca="1" si="0"/>
        <v>1.65</v>
      </c>
      <c r="N10" s="126">
        <f ca="1">+IF(ISERROR(OFFSET(Tabella!$G$1,MATCH(G10,Tabella!$G:$G,0)-1,MATCH(H10,Tabella!$G$1:$FG$1,0)-1)=TRUE),0,OFFSET(Tabella!$G$1,MATCH(G10,Tabella!$G:$G,0)-1,MATCH(H10,Tabella!$G$1:$AB$1,0)-1))</f>
        <v>0</v>
      </c>
      <c r="O10" s="126">
        <f ca="1">IF(ISERROR(OFFSET(Ottone!$F$1,MATCH(G10,Ottone!$A:$A,0)-1,MATCH(H10,Ottone!$F$1:$FF$1,0)-1)=TRUE),0,OFFSET(Ottone!$F$1,MATCH(G10,Ottone!$A:$A,0)-1,MATCH(H10,Ottone!$F$1:$FF$1,0)-1))*IF(D10="Ottone",1,0)</f>
        <v>0</v>
      </c>
      <c r="P10" s="126">
        <f ca="1">IF(ISERROR(OFFSET(Rame!$F$1,MATCH(G10,Rame!$F:$F,0)-1,MATCH(H10,Rame!$F$1:$FF$1,0)-1)=TRUE),0,OFFSET(Rame!$F$1,MATCH(G10,Rame!$F:$F,0)-1,MATCH(H10,Rame!$F$1:$FF$1,0)-1))*IF(D10="Rame",1,0)</f>
        <v>0</v>
      </c>
      <c r="Q10" s="126">
        <f t="shared" ca="1" si="1"/>
        <v>0</v>
      </c>
      <c r="R10" s="126">
        <f t="shared" si="2"/>
        <v>0</v>
      </c>
      <c r="S10" s="127"/>
      <c r="T10" s="128">
        <f t="shared" ca="1" si="3"/>
        <v>1.65</v>
      </c>
      <c r="U10" s="125">
        <f t="shared" si="4"/>
        <v>30</v>
      </c>
      <c r="V10" s="129"/>
      <c r="W10" s="130">
        <f t="shared" ca="1" si="5"/>
        <v>-2.94</v>
      </c>
      <c r="X10" s="125">
        <f t="shared" ca="1" si="6"/>
        <v>0</v>
      </c>
      <c r="Y10" s="131"/>
      <c r="Z10" s="100"/>
    </row>
    <row r="11" spans="1:26" ht="15.75" thickBot="1" x14ac:dyDescent="0.3">
      <c r="A11" s="104" t="s">
        <v>144</v>
      </c>
      <c r="B11" s="103" t="s">
        <v>145</v>
      </c>
      <c r="C11" s="121">
        <v>276</v>
      </c>
      <c r="D11" s="89" t="s">
        <v>4</v>
      </c>
      <c r="E11" s="122">
        <v>1.29</v>
      </c>
      <c r="F11" s="123">
        <v>41647</v>
      </c>
      <c r="G11" s="88" t="s">
        <v>22</v>
      </c>
      <c r="H11" s="88"/>
      <c r="I11" s="125">
        <v>0.1</v>
      </c>
      <c r="J11" s="115">
        <f ca="1">IF(ISERROR(OFFSET(Tabella!$A$1,MATCH(G11,Tabella!$A:$A,0)-1,MATCH(I11,Tabella!$A$1:$AC$1,0)-1)=TRUE),0,+OFFSET(Tabella!$A$1,MATCH(G11,Tabella!$A:$A,0)-1,MATCH(I11,Tabella!$A$1:$AC$1,0)-1))</f>
        <v>1.4</v>
      </c>
      <c r="K11" s="85">
        <f ca="1">IF(ISERROR(OFFSET(Ottone!$A$1,MATCH(G11,Ottone!$A:$A,0)-1,MATCH(I11,Ottone!$A$1:$Z$1,0)-1)=TRUE),0,OFFSET(Ottone!$A$1,MATCH(G11,Ottone!$A:$A,0)-1,MATCH(I11,Ottone!$A$1:$Z$1,0)-1))*IF(D11="Ottone",1,0)</f>
        <v>0</v>
      </c>
      <c r="L11" s="85">
        <f ca="1">IF(ISERROR(OFFSET(Rame!$A$1,MATCH(G11,Rame!$A:$A,0)-1,MATCH(I11,Rame!$A$1:$AA$1,0)-1)=TRUE),0,OFFSET(Rame!$A$1,MATCH(G11,Rame!$A:$A,0)-1,MATCH(I11,Rame!$A$1:$AA$1,0)-1))*IF(D11="Rame",1,0)</f>
        <v>0</v>
      </c>
      <c r="M11" s="126">
        <f t="shared" ca="1" si="0"/>
        <v>1.4</v>
      </c>
      <c r="N11" s="126">
        <f ca="1">+IF(ISERROR(OFFSET(Tabella!$G$1,MATCH(G11,Tabella!$G:$G,0)-1,MATCH(H11,Tabella!$G$1:$FG$1,0)-1)=TRUE),0,OFFSET(Tabella!$G$1,MATCH(G11,Tabella!$G:$G,0)-1,MATCH(H11,Tabella!$G$1:$AB$1,0)-1))</f>
        <v>0</v>
      </c>
      <c r="O11" s="126">
        <f ca="1">IF(ISERROR(OFFSET(Ottone!$F$1,MATCH(G11,Ottone!$A:$A,0)-1,MATCH(H11,Ottone!$F$1:$FF$1,0)-1)=TRUE),0,OFFSET(Ottone!$F$1,MATCH(G11,Ottone!$A:$A,0)-1,MATCH(H11,Ottone!$F$1:$FF$1,0)-1))*IF(D11="Ottone",1,0)</f>
        <v>0</v>
      </c>
      <c r="P11" s="126">
        <f ca="1">IF(ISERROR(OFFSET(Rame!$F$1,MATCH(G11,Rame!$F:$F,0)-1,MATCH(H11,Rame!$F$1:$FF$1,0)-1)=TRUE),0,OFFSET(Rame!$F$1,MATCH(G11,Rame!$F:$F,0)-1,MATCH(H11,Rame!$F$1:$FF$1,0)-1))*IF(D11="Rame",1,0)</f>
        <v>0</v>
      </c>
      <c r="Q11" s="126">
        <f t="shared" ca="1" si="1"/>
        <v>0</v>
      </c>
      <c r="R11" s="126">
        <f t="shared" si="2"/>
        <v>0</v>
      </c>
      <c r="S11" s="127"/>
      <c r="T11" s="128">
        <f t="shared" ca="1" si="3"/>
        <v>1.4</v>
      </c>
      <c r="U11" s="125">
        <f t="shared" si="4"/>
        <v>27.6</v>
      </c>
      <c r="V11" s="129"/>
      <c r="W11" s="130">
        <f t="shared" ca="1" si="5"/>
        <v>-2.69</v>
      </c>
      <c r="X11" s="125">
        <f t="shared" ca="1" si="6"/>
        <v>0</v>
      </c>
      <c r="Y11" s="131"/>
      <c r="Z11" s="100"/>
    </row>
    <row r="12" spans="1:26" ht="15.75" thickBot="1" x14ac:dyDescent="0.3">
      <c r="A12" s="103" t="s">
        <v>144</v>
      </c>
      <c r="B12" s="88" t="s">
        <v>145</v>
      </c>
      <c r="C12" s="121">
        <v>314</v>
      </c>
      <c r="D12" s="89" t="s">
        <v>4</v>
      </c>
      <c r="E12" s="122">
        <v>1.29</v>
      </c>
      <c r="F12" s="123">
        <v>41647</v>
      </c>
      <c r="G12" s="88" t="s">
        <v>15</v>
      </c>
      <c r="H12" s="88"/>
      <c r="I12" s="132">
        <v>0.1</v>
      </c>
      <c r="J12" s="115">
        <f ca="1">IF(ISERROR(OFFSET(Tabella!$A$1,MATCH(G12,Tabella!$A:$A,0)-1,MATCH(I12,Tabella!$A$1:$AC$1,0)-1)=TRUE),0,+OFFSET(Tabella!$A$1,MATCH(G12,Tabella!$A:$A,0)-1,MATCH(I12,Tabella!$A$1:$AC$1,0)-1))</f>
        <v>1.6</v>
      </c>
      <c r="K12" s="85">
        <f ca="1">IF(ISERROR(OFFSET(Ottone!$A$1,MATCH(G12,Ottone!$A:$A,0)-1,MATCH(I12,Ottone!$A$1:$Z$1,0)-1)=TRUE),0,OFFSET(Ottone!$A$1,MATCH(G12,Ottone!$A:$A,0)-1,MATCH(I12,Ottone!$A$1:$Z$1,0)-1))*IF(D12="Ottone",1,0)</f>
        <v>0</v>
      </c>
      <c r="L12" s="85">
        <f ca="1">IF(ISERROR(OFFSET(Rame!$A$1,MATCH(G12,Rame!$A:$A,0)-1,MATCH(I12,Rame!$A$1:$AA$1,0)-1)=TRUE),0,OFFSET(Rame!$A$1,MATCH(G12,Rame!$A:$A,0)-1,MATCH(I12,Rame!$A$1:$AA$1,0)-1))*IF(D12="Rame",1,0)</f>
        <v>0</v>
      </c>
      <c r="M12" s="126">
        <f t="shared" ca="1" si="0"/>
        <v>1.6</v>
      </c>
      <c r="N12" s="126">
        <f ca="1">+IF(ISERROR(OFFSET(Tabella!$G$1,MATCH(G12,Tabella!$G:$G,0)-1,MATCH(H12,Tabella!$G$1:$FG$1,0)-1)=TRUE),0,OFFSET(Tabella!$G$1,MATCH(G12,Tabella!$G:$G,0)-1,MATCH(H12,Tabella!$G$1:$AB$1,0)-1))</f>
        <v>0</v>
      </c>
      <c r="O12" s="126">
        <f ca="1">IF(ISERROR(OFFSET(Ottone!$F$1,MATCH(G12,Ottone!$A:$A,0)-1,MATCH(H12,Ottone!$F$1:$FF$1,0)-1)=TRUE),0,OFFSET(Ottone!$F$1,MATCH(G12,Ottone!$A:$A,0)-1,MATCH(H12,Ottone!$F$1:$FF$1,0)-1))*IF(D12="Ottone",1,0)</f>
        <v>0</v>
      </c>
      <c r="P12" s="126">
        <f ca="1">IF(ISERROR(OFFSET(Rame!$F$1,MATCH(G12,Rame!$F:$F,0)-1,MATCH(H12,Rame!$F$1:$FF$1,0)-1)=TRUE),0,OFFSET(Rame!$F$1,MATCH(G12,Rame!$F:$F,0)-1,MATCH(H12,Rame!$F$1:$FF$1,0)-1))*IF(D12="Rame",1,0)</f>
        <v>0</v>
      </c>
      <c r="Q12" s="126">
        <f t="shared" ca="1" si="1"/>
        <v>0</v>
      </c>
      <c r="R12" s="126">
        <f t="shared" si="2"/>
        <v>0</v>
      </c>
      <c r="S12" s="127"/>
      <c r="T12" s="128">
        <f t="shared" ca="1" si="3"/>
        <v>1.6</v>
      </c>
      <c r="U12" s="125">
        <f t="shared" si="4"/>
        <v>31.400000000000002</v>
      </c>
      <c r="V12" s="129"/>
      <c r="W12" s="130">
        <f t="shared" ca="1" si="5"/>
        <v>-2.89</v>
      </c>
      <c r="X12" s="125">
        <f t="shared" ca="1" si="6"/>
        <v>0</v>
      </c>
      <c r="Y12" s="131"/>
      <c r="Z12" s="100"/>
    </row>
    <row r="13" spans="1:26" ht="15.75" thickBot="1" x14ac:dyDescent="0.3">
      <c r="A13" s="103" t="s">
        <v>146</v>
      </c>
      <c r="B13" s="88" t="s">
        <v>147</v>
      </c>
      <c r="C13" s="121">
        <v>1564</v>
      </c>
      <c r="D13" s="89" t="s">
        <v>4</v>
      </c>
      <c r="E13" s="122">
        <v>1.29</v>
      </c>
      <c r="F13" s="123">
        <v>41653</v>
      </c>
      <c r="G13" s="88" t="s">
        <v>25</v>
      </c>
      <c r="H13" s="88"/>
      <c r="I13" s="125">
        <v>0.1</v>
      </c>
      <c r="J13" s="115">
        <f ca="1">IF(ISERROR(OFFSET(Tabella!$A$1,MATCH(G13,Tabella!$A:$A,0)-1,MATCH(I13,Tabella!$A$1:$AC$1,0)-1)=TRUE),0,+OFFSET(Tabella!$A$1,MATCH(G13,Tabella!$A:$A,0)-1,MATCH(I13,Tabella!$A$1:$AC$1,0)-1))</f>
        <v>1.4</v>
      </c>
      <c r="K13" s="85">
        <f ca="1">IF(ISERROR(OFFSET(Ottone!$A$1,MATCH(G13,Ottone!$A:$A,0)-1,MATCH(I13,Ottone!$A$1:$Z$1,0)-1)=TRUE),0,OFFSET(Ottone!$A$1,MATCH(G13,Ottone!$A:$A,0)-1,MATCH(I13,Ottone!$A$1:$Z$1,0)-1))*IF(D13="Ottone",1,0)</f>
        <v>0</v>
      </c>
      <c r="L13" s="85">
        <f ca="1">IF(ISERROR(OFFSET(Rame!$A$1,MATCH(G13,Rame!$A:$A,0)-1,MATCH(I13,Rame!$A$1:$AA$1,0)-1)=TRUE),0,OFFSET(Rame!$A$1,MATCH(G13,Rame!$A:$A,0)-1,MATCH(I13,Rame!$A$1:$AA$1,0)-1))*IF(D13="Rame",1,0)</f>
        <v>0</v>
      </c>
      <c r="M13" s="126">
        <f t="shared" ca="1" si="0"/>
        <v>1.4</v>
      </c>
      <c r="N13" s="126">
        <f ca="1">+IF(ISERROR(OFFSET(Tabella!$G$1,MATCH(G13,Tabella!$G:$G,0)-1,MATCH(H13,Tabella!$G$1:$FG$1,0)-1)=TRUE),0,OFFSET(Tabella!$G$1,MATCH(G13,Tabella!$G:$G,0)-1,MATCH(H13,Tabella!$G$1:$AB$1,0)-1))</f>
        <v>0</v>
      </c>
      <c r="O13" s="126">
        <f ca="1">IF(ISERROR(OFFSET(Ottone!$F$1,MATCH(G13,Ottone!$A:$A,0)-1,MATCH(H13,Ottone!$F$1:$FF$1,0)-1)=TRUE),0,OFFSET(Ottone!$F$1,MATCH(G13,Ottone!$A:$A,0)-1,MATCH(H13,Ottone!$F$1:$FF$1,0)-1))*IF(D13="Ottone",1,0)</f>
        <v>0</v>
      </c>
      <c r="P13" s="126">
        <f ca="1">IF(ISERROR(OFFSET(Rame!$F$1,MATCH(G13,Rame!$F:$F,0)-1,MATCH(H13,Rame!$F$1:$FF$1,0)-1)=TRUE),0,OFFSET(Rame!$F$1,MATCH(G13,Rame!$F:$F,0)-1,MATCH(H13,Rame!$F$1:$FF$1,0)-1))*IF(D13="Rame",1,0)</f>
        <v>0</v>
      </c>
      <c r="Q13" s="126">
        <f t="shared" ca="1" si="1"/>
        <v>0</v>
      </c>
      <c r="R13" s="126">
        <f t="shared" si="2"/>
        <v>0</v>
      </c>
      <c r="S13" s="127"/>
      <c r="T13" s="128">
        <f t="shared" ca="1" si="3"/>
        <v>1.4</v>
      </c>
      <c r="U13" s="125">
        <f t="shared" si="4"/>
        <v>156.4</v>
      </c>
      <c r="V13" s="129"/>
      <c r="W13" s="130">
        <f t="shared" ca="1" si="5"/>
        <v>-2.69</v>
      </c>
      <c r="X13" s="125">
        <f t="shared" ca="1" si="6"/>
        <v>0</v>
      </c>
      <c r="Y13" s="131" t="s">
        <v>61</v>
      </c>
      <c r="Z13" s="100"/>
    </row>
    <row r="14" spans="1:26" ht="15.75" thickBot="1" x14ac:dyDescent="0.3">
      <c r="A14" s="103" t="s">
        <v>157</v>
      </c>
      <c r="B14" s="88" t="s">
        <v>148</v>
      </c>
      <c r="C14" s="121">
        <v>734</v>
      </c>
      <c r="D14" s="89" t="s">
        <v>4</v>
      </c>
      <c r="E14" s="122">
        <v>1.29</v>
      </c>
      <c r="F14" s="123">
        <v>41649</v>
      </c>
      <c r="G14" s="88" t="s">
        <v>24</v>
      </c>
      <c r="H14" s="88"/>
      <c r="I14" s="125">
        <v>0.1</v>
      </c>
      <c r="J14" s="115">
        <f ca="1">IF(ISERROR(OFFSET(Tabella!$A$1,MATCH(G14,Tabella!$A:$A,0)-1,MATCH(I14,Tabella!$A$1:$AC$1,0)-1)=TRUE),0,+OFFSET(Tabella!$A$1,MATCH(G14,Tabella!$A:$A,0)-1,MATCH(I14,Tabella!$A$1:$AC$1,0)-1))</f>
        <v>1.4</v>
      </c>
      <c r="K14" s="85">
        <f ca="1">IF(ISERROR(OFFSET(Ottone!$A$1,MATCH(G14,Ottone!$A:$A,0)-1,MATCH(I14,Ottone!$A$1:$Z$1,0)-1)=TRUE),0,OFFSET(Ottone!$A$1,MATCH(G14,Ottone!$A:$A,0)-1,MATCH(I14,Ottone!$A$1:$Z$1,0)-1))*IF(D14="Ottone",1,0)</f>
        <v>0</v>
      </c>
      <c r="L14" s="85">
        <f ca="1">IF(ISERROR(OFFSET(Rame!$A$1,MATCH(G14,Rame!$A:$A,0)-1,MATCH(I14,Rame!$A$1:$AA$1,0)-1)=TRUE),0,OFFSET(Rame!$A$1,MATCH(G14,Rame!$A:$A,0)-1,MATCH(I14,Rame!$A$1:$AA$1,0)-1))*IF(D14="Rame",1,0)</f>
        <v>0</v>
      </c>
      <c r="M14" s="126">
        <f t="shared" ca="1" si="0"/>
        <v>1.4</v>
      </c>
      <c r="N14" s="126">
        <f ca="1">+IF(ISERROR(OFFSET(Tabella!$G$1,MATCH(G14,Tabella!$G:$G,0)-1,MATCH(H14,Tabella!$G$1:$FG$1,0)-1)=TRUE),0,OFFSET(Tabella!$G$1,MATCH(G14,Tabella!$G:$G,0)-1,MATCH(H14,Tabella!$G$1:$AB$1,0)-1))</f>
        <v>0</v>
      </c>
      <c r="O14" s="126">
        <f ca="1">IF(ISERROR(OFFSET(Ottone!$F$1,MATCH(G14,Ottone!$A:$A,0)-1,MATCH(H14,Ottone!$F$1:$FF$1,0)-1)=TRUE),0,OFFSET(Ottone!$F$1,MATCH(G14,Ottone!$A:$A,0)-1,MATCH(H14,Ottone!$F$1:$FF$1,0)-1))*IF(D14="Ottone",1,0)</f>
        <v>0</v>
      </c>
      <c r="P14" s="126">
        <f ca="1">IF(ISERROR(OFFSET(Rame!$F$1,MATCH(G14,Rame!$F:$F,0)-1,MATCH(H14,Rame!$F$1:$FF$1,0)-1)=TRUE),0,OFFSET(Rame!$F$1,MATCH(G14,Rame!$F:$F,0)-1,MATCH(H14,Rame!$F$1:$FF$1,0)-1))*IF(D14="Rame",1,0)</f>
        <v>0</v>
      </c>
      <c r="Q14" s="126">
        <f t="shared" ca="1" si="1"/>
        <v>0</v>
      </c>
      <c r="R14" s="126">
        <f t="shared" si="2"/>
        <v>0</v>
      </c>
      <c r="S14" s="127"/>
      <c r="T14" s="128">
        <f t="shared" ca="1" si="3"/>
        <v>1.4</v>
      </c>
      <c r="U14" s="125">
        <f t="shared" si="4"/>
        <v>73.400000000000006</v>
      </c>
      <c r="V14" s="129"/>
      <c r="W14" s="130">
        <f t="shared" ca="1" si="5"/>
        <v>-2.69</v>
      </c>
      <c r="X14" s="125">
        <f t="shared" ca="1" si="6"/>
        <v>0</v>
      </c>
      <c r="Y14" s="131"/>
      <c r="Z14" s="100"/>
    </row>
    <row r="15" spans="1:26" ht="15.75" thickBot="1" x14ac:dyDescent="0.3">
      <c r="A15" s="103" t="s">
        <v>157</v>
      </c>
      <c r="B15" s="88" t="s">
        <v>148</v>
      </c>
      <c r="C15" s="121">
        <v>712</v>
      </c>
      <c r="D15" s="89" t="s">
        <v>4</v>
      </c>
      <c r="E15" s="122">
        <v>1.29</v>
      </c>
      <c r="F15" s="123">
        <v>41649</v>
      </c>
      <c r="G15" s="88" t="s">
        <v>24</v>
      </c>
      <c r="H15" s="88"/>
      <c r="I15" s="125">
        <v>0.1</v>
      </c>
      <c r="J15" s="115">
        <f ca="1">IF(ISERROR(OFFSET(Tabella!$A$1,MATCH(G15,Tabella!$A:$A,0)-1,MATCH(I15,Tabella!$A$1:$AC$1,0)-1)=TRUE),0,+OFFSET(Tabella!$A$1,MATCH(G15,Tabella!$A:$A,0)-1,MATCH(I15,Tabella!$A$1:$AC$1,0)-1))</f>
        <v>1.4</v>
      </c>
      <c r="K15" s="85">
        <f ca="1">IF(ISERROR(OFFSET(Ottone!$A$1,MATCH(G15,Ottone!$A:$A,0)-1,MATCH(I15,Ottone!$A$1:$Z$1,0)-1)=TRUE),0,OFFSET(Ottone!$A$1,MATCH(G15,Ottone!$A:$A,0)-1,MATCH(I15,Ottone!$A$1:$Z$1,0)-1))*IF(D15="Ottone",1,0)</f>
        <v>0</v>
      </c>
      <c r="L15" s="85">
        <f ca="1">IF(ISERROR(OFFSET(Rame!$A$1,MATCH(G15,Rame!$A:$A,0)-1,MATCH(I15,Rame!$A$1:$AA$1,0)-1)=TRUE),0,OFFSET(Rame!$A$1,MATCH(G15,Rame!$A:$A,0)-1,MATCH(I15,Rame!$A$1:$AA$1,0)-1))*IF(D15="Rame",1,0)</f>
        <v>0</v>
      </c>
      <c r="M15" s="126">
        <f t="shared" ca="1" si="0"/>
        <v>1.4</v>
      </c>
      <c r="N15" s="126">
        <f ca="1">+IF(ISERROR(OFFSET(Tabella!$G$1,MATCH(G15,Tabella!$G:$G,0)-1,MATCH(H15,Tabella!$G$1:$FG$1,0)-1)=TRUE),0,OFFSET(Tabella!$G$1,MATCH(G15,Tabella!$G:$G,0)-1,MATCH(H15,Tabella!$G$1:$AB$1,0)-1))</f>
        <v>0</v>
      </c>
      <c r="O15" s="126">
        <f ca="1">IF(ISERROR(OFFSET(Ottone!$F$1,MATCH(G15,Ottone!$A:$A,0)-1,MATCH(H15,Ottone!$F$1:$FF$1,0)-1)=TRUE),0,OFFSET(Ottone!$F$1,MATCH(G15,Ottone!$A:$A,0)-1,MATCH(H15,Ottone!$F$1:$FF$1,0)-1))*IF(D15="Ottone",1,0)</f>
        <v>0</v>
      </c>
      <c r="P15" s="126">
        <f ca="1">IF(ISERROR(OFFSET(Rame!$F$1,MATCH(G15,Rame!$F:$F,0)-1,MATCH(H15,Rame!$F$1:$FF$1,0)-1)=TRUE),0,OFFSET(Rame!$F$1,MATCH(G15,Rame!$F:$F,0)-1,MATCH(H15,Rame!$F$1:$FF$1,0)-1))*IF(D15="Rame",1,0)</f>
        <v>0</v>
      </c>
      <c r="Q15" s="126">
        <f t="shared" ca="1" si="1"/>
        <v>0</v>
      </c>
      <c r="R15" s="126">
        <f t="shared" si="2"/>
        <v>0</v>
      </c>
      <c r="S15" s="127"/>
      <c r="T15" s="128">
        <f t="shared" ca="1" si="3"/>
        <v>1.4</v>
      </c>
      <c r="U15" s="125">
        <f t="shared" si="4"/>
        <v>71.2</v>
      </c>
      <c r="V15" s="129"/>
      <c r="W15" s="130">
        <f t="shared" ca="1" si="5"/>
        <v>-2.69</v>
      </c>
      <c r="X15" s="125">
        <f t="shared" ca="1" si="6"/>
        <v>0</v>
      </c>
      <c r="Y15" s="131"/>
      <c r="Z15" s="100"/>
    </row>
    <row r="16" spans="1:26" ht="15.75" thickBot="1" x14ac:dyDescent="0.3">
      <c r="A16" s="103" t="s">
        <v>159</v>
      </c>
      <c r="B16" s="88" t="s">
        <v>149</v>
      </c>
      <c r="C16" s="121">
        <v>1716</v>
      </c>
      <c r="D16" s="89" t="s">
        <v>4</v>
      </c>
      <c r="E16" s="122">
        <v>1.3</v>
      </c>
      <c r="F16" s="123">
        <v>41627</v>
      </c>
      <c r="G16" s="88" t="s">
        <v>23</v>
      </c>
      <c r="H16" s="88"/>
      <c r="I16" s="125">
        <v>7.0000000000000007E-2</v>
      </c>
      <c r="J16" s="115">
        <f ca="1">IF(ISERROR(OFFSET(Tabella!$A$1,MATCH(G16,Tabella!$A:$A,0)-1,MATCH(I16,Tabella!$A$1:$AC$1,0)-1)=TRUE),0,+OFFSET(Tabella!$A$1,MATCH(G16,Tabella!$A:$A,0)-1,MATCH(I16,Tabella!$A$1:$AC$1,0)-1))</f>
        <v>1.25</v>
      </c>
      <c r="K16" s="85">
        <f ca="1">IF(ISERROR(OFFSET(Ottone!$A$1,MATCH(G16,Ottone!$A:$A,0)-1,MATCH(I16,Ottone!$A$1:$Z$1,0)-1)=TRUE),0,OFFSET(Ottone!$A$1,MATCH(G16,Ottone!$A:$A,0)-1,MATCH(I16,Ottone!$A$1:$Z$1,0)-1))*IF(D16="Ottone",1,0)</f>
        <v>0</v>
      </c>
      <c r="L16" s="85">
        <f ca="1">IF(ISERROR(OFFSET(Rame!$A$1,MATCH(G16,Rame!$A:$A,0)-1,MATCH(I16,Rame!$A$1:$AA$1,0)-1)=TRUE),0,OFFSET(Rame!$A$1,MATCH(G16,Rame!$A:$A,0)-1,MATCH(I16,Rame!$A$1:$AA$1,0)-1))*IF(D16="Rame",1,0)</f>
        <v>0</v>
      </c>
      <c r="M16" s="126">
        <f t="shared" ca="1" si="0"/>
        <v>1.25</v>
      </c>
      <c r="N16" s="126">
        <f ca="1">+IF(ISERROR(OFFSET(Tabella!$G$1,MATCH(G16,Tabella!$G:$G,0)-1,MATCH(H16,Tabella!$G$1:$FG$1,0)-1)=TRUE),0,OFFSET(Tabella!$G$1,MATCH(G16,Tabella!$G:$G,0)-1,MATCH(H16,Tabella!$G$1:$AB$1,0)-1))</f>
        <v>0</v>
      </c>
      <c r="O16" s="126">
        <f ca="1">IF(ISERROR(OFFSET(Ottone!$F$1,MATCH(G16,Ottone!$A:$A,0)-1,MATCH(H16,Ottone!$F$1:$FF$1,0)-1)=TRUE),0,OFFSET(Ottone!$F$1,MATCH(G16,Ottone!$A:$A,0)-1,MATCH(H16,Ottone!$F$1:$FF$1,0)-1))*IF(D16="Ottone",1,0)</f>
        <v>0</v>
      </c>
      <c r="P16" s="126">
        <f ca="1">IF(ISERROR(OFFSET(Rame!$F$1,MATCH(G16,Rame!$F:$F,0)-1,MATCH(H16,Rame!$F$1:$FF$1,0)-1)=TRUE),0,OFFSET(Rame!$F$1,MATCH(G16,Rame!$F:$F,0)-1,MATCH(H16,Rame!$F$1:$FF$1,0)-1))*IF(D16="Rame",1,0)</f>
        <v>0</v>
      </c>
      <c r="Q16" s="126">
        <f t="shared" ca="1" si="1"/>
        <v>0</v>
      </c>
      <c r="R16" s="126"/>
      <c r="S16" s="127"/>
      <c r="T16" s="128">
        <f t="shared" ca="1" si="3"/>
        <v>1.25</v>
      </c>
      <c r="U16" s="125">
        <f t="shared" si="4"/>
        <v>120.12</v>
      </c>
      <c r="V16" s="129"/>
      <c r="W16" s="130">
        <f t="shared" ca="1" si="5"/>
        <v>-2.5499999999999998</v>
      </c>
      <c r="X16" s="125">
        <f t="shared" ca="1" si="6"/>
        <v>0</v>
      </c>
      <c r="Y16" s="131"/>
      <c r="Z16" s="100"/>
    </row>
    <row r="17" spans="1:26" ht="15.75" thickBot="1" x14ac:dyDescent="0.3">
      <c r="A17" s="103" t="s">
        <v>160</v>
      </c>
      <c r="B17" s="88" t="s">
        <v>149</v>
      </c>
      <c r="C17" s="121">
        <v>308</v>
      </c>
      <c r="D17" s="89" t="s">
        <v>4</v>
      </c>
      <c r="E17" s="122">
        <v>1.3</v>
      </c>
      <c r="F17" s="123">
        <v>41627</v>
      </c>
      <c r="G17" s="88" t="s">
        <v>23</v>
      </c>
      <c r="H17" s="88"/>
      <c r="I17" s="125">
        <v>7.0000000000000007E-2</v>
      </c>
      <c r="J17" s="115">
        <f ca="1">IF(ISERROR(OFFSET(Tabella!$A$1,MATCH(G17,Tabella!$A:$A,0)-1,MATCH(I17,Tabella!$A$1:$AC$1,0)-1)=TRUE),0,+OFFSET(Tabella!$A$1,MATCH(G17,Tabella!$A:$A,0)-1,MATCH(I17,Tabella!$A$1:$AC$1,0)-1))</f>
        <v>1.25</v>
      </c>
      <c r="K17" s="85">
        <f ca="1">IF(ISERROR(OFFSET(Ottone!$A$1,MATCH(G17,Ottone!$A:$A,0)-1,MATCH(I17,Ottone!$A$1:$Z$1,0)-1)=TRUE),0,OFFSET(Ottone!$A$1,MATCH(G17,Ottone!$A:$A,0)-1,MATCH(I17,Ottone!$A$1:$Z$1,0)-1))*IF(D17="Ottone",1,0)</f>
        <v>0</v>
      </c>
      <c r="L17" s="85">
        <f ca="1">IF(ISERROR(OFFSET(Rame!$A$1,MATCH(G17,Rame!$A:$A,0)-1,MATCH(I17,Rame!$A$1:$AA$1,0)-1)=TRUE),0,OFFSET(Rame!$A$1,MATCH(G17,Rame!$A:$A,0)-1,MATCH(I17,Rame!$A$1:$AA$1,0)-1))*IF(D17="Rame",1,0)</f>
        <v>0</v>
      </c>
      <c r="M17" s="126">
        <f t="shared" ca="1" si="0"/>
        <v>1.25</v>
      </c>
      <c r="N17" s="126">
        <f ca="1">+IF(ISERROR(OFFSET(Tabella!$G$1,MATCH(G17,Tabella!$G:$G,0)-1,MATCH(H17,Tabella!$G$1:$FG$1,0)-1)=TRUE),0,OFFSET(Tabella!$G$1,MATCH(G17,Tabella!$G:$G,0)-1,MATCH(H17,Tabella!$G$1:$AB$1,0)-1))</f>
        <v>0</v>
      </c>
      <c r="O17" s="126">
        <f ca="1">IF(ISERROR(OFFSET(Ottone!$F$1,MATCH(G17,Ottone!$A:$A,0)-1,MATCH(H17,Ottone!$F$1:$FF$1,0)-1)=TRUE),0,OFFSET(Ottone!$F$1,MATCH(G17,Ottone!$A:$A,0)-1,MATCH(H17,Ottone!$F$1:$FF$1,0)-1))*IF(D17="Ottone",1,0)</f>
        <v>0</v>
      </c>
      <c r="P17" s="126">
        <f ca="1">IF(ISERROR(OFFSET(Rame!$F$1,MATCH(G17,Rame!$F:$F,0)-1,MATCH(H17,Rame!$F$1:$FF$1,0)-1)=TRUE),0,OFFSET(Rame!$F$1,MATCH(G17,Rame!$F:$F,0)-1,MATCH(H17,Rame!$F$1:$FF$1,0)-1))*IF(D17="Rame",1,0)</f>
        <v>0</v>
      </c>
      <c r="Q17" s="126">
        <f t="shared" ca="1" si="1"/>
        <v>0</v>
      </c>
      <c r="R17" s="126">
        <f t="shared" ref="R17:R44" si="7">(IF(C17&gt;500,0,0.1)*IF(D17="Alluminio",0,1))*IF(C17=0,0,1)</f>
        <v>0</v>
      </c>
      <c r="S17" s="127"/>
      <c r="T17" s="128">
        <f t="shared" ca="1" si="3"/>
        <v>1.25</v>
      </c>
      <c r="U17" s="125">
        <f t="shared" si="4"/>
        <v>21.560000000000002</v>
      </c>
      <c r="V17" s="129"/>
      <c r="W17" s="130">
        <f t="shared" ca="1" si="5"/>
        <v>-2.5499999999999998</v>
      </c>
      <c r="X17" s="125">
        <f t="shared" ca="1" si="6"/>
        <v>0</v>
      </c>
      <c r="Y17" s="131"/>
      <c r="Z17" s="100"/>
    </row>
    <row r="18" spans="1:26" ht="15.75" thickBot="1" x14ac:dyDescent="0.3">
      <c r="A18" s="103" t="s">
        <v>150</v>
      </c>
      <c r="B18" s="88" t="s">
        <v>138</v>
      </c>
      <c r="C18" s="121">
        <v>696</v>
      </c>
      <c r="D18" s="89" t="s">
        <v>4</v>
      </c>
      <c r="E18" s="122">
        <v>1.33</v>
      </c>
      <c r="F18" s="123">
        <v>41659</v>
      </c>
      <c r="G18" s="88" t="s">
        <v>21</v>
      </c>
      <c r="H18" s="88"/>
      <c r="I18" s="125">
        <v>0.1</v>
      </c>
      <c r="J18" s="115">
        <f ca="1">IF(ISERROR(OFFSET(Tabella!$A$1,MATCH(G18,Tabella!$A:$A,0)-1,MATCH(I18,Tabella!$A$1:$AC$1,0)-1)=TRUE),0,+OFFSET(Tabella!$A$1,MATCH(G18,Tabella!$A:$A,0)-1,MATCH(I18,Tabella!$A$1:$AC$1,0)-1))</f>
        <v>1.4</v>
      </c>
      <c r="K18" s="85">
        <f ca="1">IF(ISERROR(OFFSET(Ottone!$A$1,MATCH(G18,Ottone!$A:$A,0)-1,MATCH(I18,Ottone!$A$1:$Z$1,0)-1)=TRUE),0,OFFSET(Ottone!$A$1,MATCH(G18,Ottone!$A:$A,0)-1,MATCH(I18,Ottone!$A$1:$Z$1,0)-1))*IF(D18="Ottone",1,0)</f>
        <v>0</v>
      </c>
      <c r="L18" s="85">
        <f ca="1">IF(ISERROR(OFFSET(Rame!$A$1,MATCH(G18,Rame!$A:$A,0)-1,MATCH(I18,Rame!$A$1:$AA$1,0)-1)=TRUE),0,OFFSET(Rame!$A$1,MATCH(G18,Rame!$A:$A,0)-1,MATCH(I18,Rame!$A$1:$AA$1,0)-1))*IF(D18="Rame",1,0)</f>
        <v>0</v>
      </c>
      <c r="M18" s="126">
        <f t="shared" ca="1" si="0"/>
        <v>1.4</v>
      </c>
      <c r="N18" s="126">
        <f ca="1">+IF(ISERROR(OFFSET(Tabella!$G$1,MATCH(G18,Tabella!$G:$G,0)-1,MATCH(H18,Tabella!$G$1:$FG$1,0)-1)=TRUE),0,OFFSET(Tabella!$G$1,MATCH(G18,Tabella!$G:$G,0)-1,MATCH(H18,Tabella!$G$1:$AB$1,0)-1))</f>
        <v>0</v>
      </c>
      <c r="O18" s="126">
        <f ca="1">IF(ISERROR(OFFSET(Ottone!$F$1,MATCH(G18,Ottone!$A:$A,0)-1,MATCH(H18,Ottone!$F$1:$FF$1,0)-1)=TRUE),0,OFFSET(Ottone!$F$1,MATCH(G18,Ottone!$A:$A,0)-1,MATCH(H18,Ottone!$F$1:$FF$1,0)-1))*IF(D18="Ottone",1,0)</f>
        <v>0</v>
      </c>
      <c r="P18" s="126">
        <f ca="1">IF(ISERROR(OFFSET(Rame!$F$1,MATCH(G18,Rame!$F:$F,0)-1,MATCH(H18,Rame!$F$1:$FF$1,0)-1)=TRUE),0,OFFSET(Rame!$F$1,MATCH(G18,Rame!$F:$F,0)-1,MATCH(H18,Rame!$F$1:$FF$1,0)-1))*IF(D18="Rame",1,0)</f>
        <v>0</v>
      </c>
      <c r="Q18" s="126">
        <f t="shared" ca="1" si="1"/>
        <v>0</v>
      </c>
      <c r="R18" s="126">
        <f t="shared" si="7"/>
        <v>0</v>
      </c>
      <c r="S18" s="127"/>
      <c r="T18" s="128">
        <f t="shared" ca="1" si="3"/>
        <v>1.4</v>
      </c>
      <c r="U18" s="125">
        <f t="shared" si="4"/>
        <v>69.600000000000009</v>
      </c>
      <c r="V18" s="129"/>
      <c r="W18" s="130">
        <f t="shared" ca="1" si="5"/>
        <v>-2.73</v>
      </c>
      <c r="X18" s="125">
        <f t="shared" ca="1" si="6"/>
        <v>0</v>
      </c>
      <c r="Y18" s="131"/>
      <c r="Z18" s="100"/>
    </row>
    <row r="19" spans="1:26" ht="15.75" thickBot="1" x14ac:dyDescent="0.3">
      <c r="A19" s="103" t="s">
        <v>150</v>
      </c>
      <c r="B19" s="88" t="s">
        <v>138</v>
      </c>
      <c r="C19" s="121">
        <v>2226</v>
      </c>
      <c r="D19" s="89" t="s">
        <v>4</v>
      </c>
      <c r="E19" s="122">
        <v>1.3</v>
      </c>
      <c r="F19" s="123">
        <v>41646</v>
      </c>
      <c r="G19" s="88" t="s">
        <v>27</v>
      </c>
      <c r="H19" s="88"/>
      <c r="I19" s="125">
        <v>0.1</v>
      </c>
      <c r="J19" s="115">
        <f ca="1">IF(ISERROR(OFFSET(Tabella!$A$1,MATCH(G19,Tabella!$A:$A,0)-1,MATCH(I19,Tabella!$A$1:$AC$1,0)-1)=TRUE),0,+OFFSET(Tabella!$A$1,MATCH(G19,Tabella!$A:$A,0)-1,MATCH(I19,Tabella!$A$1:$AC$1,0)-1))</f>
        <v>1.4</v>
      </c>
      <c r="K19" s="85">
        <f ca="1">IF(ISERROR(OFFSET(Ottone!$A$1,MATCH(G19,Ottone!$A:$A,0)-1,MATCH(I19,Ottone!$A$1:$Z$1,0)-1)=TRUE),0,OFFSET(Ottone!$A$1,MATCH(G19,Ottone!$A:$A,0)-1,MATCH(I19,Ottone!$A$1:$Z$1,0)-1))*IF(D19="Ottone",1,0)</f>
        <v>0</v>
      </c>
      <c r="L19" s="85">
        <f ca="1">IF(ISERROR(OFFSET(Rame!$A$1,MATCH(G19,Rame!$A:$A,0)-1,MATCH(I19,Rame!$A$1:$AA$1,0)-1)=TRUE),0,OFFSET(Rame!$A$1,MATCH(G19,Rame!$A:$A,0)-1,MATCH(I19,Rame!$A$1:$AA$1,0)-1))*IF(D19="Rame",1,0)</f>
        <v>0</v>
      </c>
      <c r="M19" s="126">
        <f t="shared" ca="1" si="0"/>
        <v>1.4</v>
      </c>
      <c r="N19" s="126">
        <f ca="1">+IF(ISERROR(OFFSET(Tabella!$G$1,MATCH(G19,Tabella!$G:$G,0)-1,MATCH(H19,Tabella!$G$1:$FG$1,0)-1)=TRUE),0,OFFSET(Tabella!$G$1,MATCH(G19,Tabella!$G:$G,0)-1,MATCH(H19,Tabella!$G$1:$AB$1,0)-1))</f>
        <v>0</v>
      </c>
      <c r="O19" s="126">
        <f ca="1">IF(ISERROR(OFFSET(Ottone!$F$1,MATCH(G19,Ottone!$A:$A,0)-1,MATCH(H19,Ottone!$F$1:$FF$1,0)-1)=TRUE),0,OFFSET(Ottone!$F$1,MATCH(G19,Ottone!$A:$A,0)-1,MATCH(H19,Ottone!$F$1:$FF$1,0)-1))*IF(D19="Ottone",1,0)</f>
        <v>0</v>
      </c>
      <c r="P19" s="126">
        <f ca="1">IF(ISERROR(OFFSET(Rame!$F$1,MATCH(G19,Rame!$F:$F,0)-1,MATCH(H19,Rame!$F$1:$FF$1,0)-1)=TRUE),0,OFFSET(Rame!$F$1,MATCH(G19,Rame!$F:$F,0)-1,MATCH(H19,Rame!$F$1:$FF$1,0)-1))*IF(D19="Rame",1,0)</f>
        <v>0</v>
      </c>
      <c r="Q19" s="126">
        <f t="shared" ca="1" si="1"/>
        <v>0</v>
      </c>
      <c r="R19" s="126">
        <f t="shared" si="7"/>
        <v>0</v>
      </c>
      <c r="S19" s="127"/>
      <c r="T19" s="128">
        <f t="shared" ca="1" si="3"/>
        <v>1.4</v>
      </c>
      <c r="U19" s="125">
        <f t="shared" si="4"/>
        <v>222.60000000000002</v>
      </c>
      <c r="V19" s="129"/>
      <c r="W19" s="130">
        <f t="shared" ca="1" si="5"/>
        <v>-2.7</v>
      </c>
      <c r="X19" s="125">
        <f t="shared" ca="1" si="6"/>
        <v>0</v>
      </c>
      <c r="Y19" s="131"/>
      <c r="Z19" s="100"/>
    </row>
    <row r="20" spans="1:26" ht="15.75" thickBot="1" x14ac:dyDescent="0.3">
      <c r="A20" s="103" t="s">
        <v>151</v>
      </c>
      <c r="B20" s="88" t="s">
        <v>138</v>
      </c>
      <c r="C20" s="121">
        <v>584</v>
      </c>
      <c r="D20" s="89" t="s">
        <v>4</v>
      </c>
      <c r="E20" s="122">
        <v>1.33</v>
      </c>
      <c r="F20" s="123">
        <v>41659</v>
      </c>
      <c r="G20" s="88" t="s">
        <v>9</v>
      </c>
      <c r="H20" s="88"/>
      <c r="I20" s="125">
        <v>0.1</v>
      </c>
      <c r="J20" s="115">
        <f ca="1">IF(ISERROR(OFFSET(Tabella!$A$1,MATCH(G20,Tabella!$A:$A,0)-1,MATCH(I20,Tabella!$A$1:$AC$1,0)-1)=TRUE),0,+OFFSET(Tabella!$A$1,MATCH(G20,Tabella!$A:$A,0)-1,MATCH(I20,Tabella!$A$1:$AC$1,0)-1))</f>
        <v>1.75</v>
      </c>
      <c r="K20" s="85">
        <f ca="1">IF(ISERROR(OFFSET(Ottone!$A$1,MATCH(G20,Ottone!$A:$A,0)-1,MATCH(I20,Ottone!$A$1:$Z$1,0)-1)=TRUE),0,OFFSET(Ottone!$A$1,MATCH(G20,Ottone!$A:$A,0)-1,MATCH(I20,Ottone!$A$1:$Z$1,0)-1))*IF(D20="Ottone",1,0)</f>
        <v>0</v>
      </c>
      <c r="L20" s="85">
        <f ca="1">IF(ISERROR(OFFSET(Rame!$A$1,MATCH(G20,Rame!$A:$A,0)-1,MATCH(I20,Rame!$A$1:$AA$1,0)-1)=TRUE),0,OFFSET(Rame!$A$1,MATCH(G20,Rame!$A:$A,0)-1,MATCH(I20,Rame!$A$1:$AA$1,0)-1))*IF(D20="Rame",1,0)</f>
        <v>0</v>
      </c>
      <c r="M20" s="126">
        <f t="shared" ca="1" si="0"/>
        <v>1.75</v>
      </c>
      <c r="N20" s="126">
        <f ca="1">+IF(ISERROR(OFFSET(Tabella!$G$1,MATCH(G20,Tabella!$G:$G,0)-1,MATCH(H20,Tabella!$G$1:$FG$1,0)-1)=TRUE),0,OFFSET(Tabella!$G$1,MATCH(G20,Tabella!$G:$G,0)-1,MATCH(H20,Tabella!$G$1:$AB$1,0)-1))</f>
        <v>0</v>
      </c>
      <c r="O20" s="126">
        <f ca="1">IF(ISERROR(OFFSET(Ottone!$F$1,MATCH(G20,Ottone!$A:$A,0)-1,MATCH(H20,Ottone!$F$1:$FF$1,0)-1)=TRUE),0,OFFSET(Ottone!$F$1,MATCH(G20,Ottone!$A:$A,0)-1,MATCH(H20,Ottone!$F$1:$FF$1,0)-1))*IF(D20="Ottone",1,0)</f>
        <v>0</v>
      </c>
      <c r="P20" s="126">
        <f ca="1">IF(ISERROR(OFFSET(Rame!$F$1,MATCH(G20,Rame!$F:$F,0)-1,MATCH(H20,Rame!$F$1:$FF$1,0)-1)=TRUE),0,OFFSET(Rame!$F$1,MATCH(G20,Rame!$F:$F,0)-1,MATCH(H20,Rame!$F$1:$FF$1,0)-1))*IF(D20="Rame",1,0)</f>
        <v>0</v>
      </c>
      <c r="Q20" s="126">
        <f t="shared" ca="1" si="1"/>
        <v>0</v>
      </c>
      <c r="R20" s="126">
        <f t="shared" si="7"/>
        <v>0</v>
      </c>
      <c r="S20" s="127"/>
      <c r="T20" s="128">
        <f t="shared" ca="1" si="3"/>
        <v>1.75</v>
      </c>
      <c r="U20" s="125">
        <f t="shared" si="4"/>
        <v>58.400000000000006</v>
      </c>
      <c r="V20" s="129"/>
      <c r="W20" s="130">
        <f t="shared" ca="1" si="5"/>
        <v>-3.08</v>
      </c>
      <c r="X20" s="125">
        <f t="shared" ca="1" si="6"/>
        <v>0</v>
      </c>
      <c r="Y20" s="131"/>
      <c r="Z20" s="100"/>
    </row>
    <row r="21" spans="1:26" ht="15.75" thickBot="1" x14ac:dyDescent="0.3">
      <c r="A21" s="103" t="s">
        <v>151</v>
      </c>
      <c r="B21" s="88" t="s">
        <v>138</v>
      </c>
      <c r="C21" s="121">
        <v>2136</v>
      </c>
      <c r="D21" s="89" t="s">
        <v>4</v>
      </c>
      <c r="E21" s="122">
        <v>1.33</v>
      </c>
      <c r="F21" s="123">
        <v>41659</v>
      </c>
      <c r="G21" s="88" t="s">
        <v>27</v>
      </c>
      <c r="H21" s="88"/>
      <c r="I21" s="125">
        <v>0.1</v>
      </c>
      <c r="J21" s="115">
        <f ca="1">IF(ISERROR(OFFSET(Tabella!$A$1,MATCH(G21,Tabella!$A:$A,0)-1,MATCH(I21,Tabella!$A$1:$AC$1,0)-1)=TRUE),0,+OFFSET(Tabella!$A$1,MATCH(G21,Tabella!$A:$A,0)-1,MATCH(I21,Tabella!$A$1:$AC$1,0)-1))</f>
        <v>1.4</v>
      </c>
      <c r="K21" s="85">
        <f ca="1">IF(ISERROR(OFFSET(Ottone!$A$1,MATCH(G21,Ottone!$A:$A,0)-1,MATCH(I21,Ottone!$A$1:$Z$1,0)-1)=TRUE),0,OFFSET(Ottone!$A$1,MATCH(G21,Ottone!$A:$A,0)-1,MATCH(I21,Ottone!$A$1:$Z$1,0)-1))*IF(D21="Ottone",1,0)</f>
        <v>0</v>
      </c>
      <c r="L21" s="85">
        <f ca="1">IF(ISERROR(OFFSET(Rame!$A$1,MATCH(G21,Rame!$A:$A,0)-1,MATCH(I21,Rame!$A$1:$AA$1,0)-1)=TRUE),0,OFFSET(Rame!$A$1,MATCH(G21,Rame!$A:$A,0)-1,MATCH(I21,Rame!$A$1:$AA$1,0)-1))*IF(D21="Rame",1,0)</f>
        <v>0</v>
      </c>
      <c r="M21" s="126">
        <f t="shared" ca="1" si="0"/>
        <v>1.4</v>
      </c>
      <c r="N21" s="126">
        <f ca="1">+IF(ISERROR(OFFSET(Tabella!$G$1,MATCH(G21,Tabella!$G:$G,0)-1,MATCH(H21,Tabella!$G$1:$FG$1,0)-1)=TRUE),0,OFFSET(Tabella!$G$1,MATCH(G21,Tabella!$G:$G,0)-1,MATCH(H21,Tabella!$G$1:$AB$1,0)-1))</f>
        <v>0</v>
      </c>
      <c r="O21" s="126">
        <f ca="1">IF(ISERROR(OFFSET(Ottone!$F$1,MATCH(G21,Ottone!$A:$A,0)-1,MATCH(H21,Ottone!$F$1:$FF$1,0)-1)=TRUE),0,OFFSET(Ottone!$F$1,MATCH(G21,Ottone!$A:$A,0)-1,MATCH(H21,Ottone!$F$1:$FF$1,0)-1))*IF(D21="Ottone",1,0)</f>
        <v>0</v>
      </c>
      <c r="P21" s="126">
        <f ca="1">IF(ISERROR(OFFSET(Rame!$F$1,MATCH(G21,Rame!$F:$F,0)-1,MATCH(H21,Rame!$F$1:$FF$1,0)-1)=TRUE),0,OFFSET(Rame!$F$1,MATCH(G21,Rame!$F:$F,0)-1,MATCH(H21,Rame!$F$1:$FF$1,0)-1))*IF(D21="Rame",1,0)</f>
        <v>0</v>
      </c>
      <c r="Q21" s="126">
        <f t="shared" ca="1" si="1"/>
        <v>0</v>
      </c>
      <c r="R21" s="126">
        <f t="shared" si="7"/>
        <v>0</v>
      </c>
      <c r="S21" s="127"/>
      <c r="T21" s="128">
        <f t="shared" ca="1" si="3"/>
        <v>1.4</v>
      </c>
      <c r="U21" s="125">
        <f t="shared" si="4"/>
        <v>213.60000000000002</v>
      </c>
      <c r="V21" s="129"/>
      <c r="W21" s="130">
        <f t="shared" ca="1" si="5"/>
        <v>-2.73</v>
      </c>
      <c r="X21" s="125">
        <f t="shared" ca="1" si="6"/>
        <v>0</v>
      </c>
      <c r="Y21" s="131"/>
      <c r="Z21" s="100"/>
    </row>
    <row r="22" spans="1:26" ht="15.75" thickBot="1" x14ac:dyDescent="0.3">
      <c r="A22" s="103" t="s">
        <v>152</v>
      </c>
      <c r="B22" s="88" t="s">
        <v>153</v>
      </c>
      <c r="C22" s="121">
        <v>298</v>
      </c>
      <c r="D22" s="89" t="s">
        <v>4</v>
      </c>
      <c r="E22" s="122">
        <v>1.3</v>
      </c>
      <c r="F22" s="123" t="s">
        <v>154</v>
      </c>
      <c r="G22" s="88" t="s">
        <v>27</v>
      </c>
      <c r="H22" s="88"/>
      <c r="I22" s="125">
        <v>0.18</v>
      </c>
      <c r="J22" s="115">
        <f ca="1">IF(ISERROR(OFFSET(Tabella!$A$1,MATCH(G22,Tabella!$A:$A,0)-1,MATCH(I22,Tabella!$A$1:$AC$1,0)-1)=TRUE),0,+OFFSET(Tabella!$A$1,MATCH(G22,Tabella!$A:$A,0)-1,MATCH(I22,Tabella!$A$1:$AC$1,0)-1))</f>
        <v>0</v>
      </c>
      <c r="K22" s="85">
        <f ca="1">IF(ISERROR(OFFSET(Ottone!$A$1,MATCH(G22,Ottone!$A:$A,0)-1,MATCH(I22,Ottone!$A$1:$Z$1,0)-1)=TRUE),0,OFFSET(Ottone!$A$1,MATCH(G22,Ottone!$A:$A,0)-1,MATCH(I22,Ottone!$A$1:$Z$1,0)-1))*IF(D22="Ottone",1,0)</f>
        <v>0</v>
      </c>
      <c r="L22" s="85">
        <f ca="1">IF(ISERROR(OFFSET(Rame!$A$1,MATCH(G22,Rame!$A:$A,0)-1,MATCH(I22,Rame!$A$1:$AA$1,0)-1)=TRUE),0,OFFSET(Rame!$A$1,MATCH(G22,Rame!$A:$A,0)-1,MATCH(I22,Rame!$A$1:$AA$1,0)-1))*IF(D22="Rame",1,0)</f>
        <v>0</v>
      </c>
      <c r="M22" s="126">
        <f t="shared" ca="1" si="0"/>
        <v>0</v>
      </c>
      <c r="N22" s="126">
        <f ca="1">+IF(ISERROR(OFFSET(Tabella!$G$1,MATCH(G22,Tabella!$G:$G,0)-1,MATCH(H22,Tabella!$G$1:$FG$1,0)-1)=TRUE),0,OFFSET(Tabella!$G$1,MATCH(G22,Tabella!$G:$G,0)-1,MATCH(H22,Tabella!$G$1:$AB$1,0)-1))</f>
        <v>0</v>
      </c>
      <c r="O22" s="126">
        <f ca="1">IF(ISERROR(OFFSET(Ottone!$F$1,MATCH(G22,Ottone!$A:$A,0)-1,MATCH(H22,Ottone!$F$1:$FF$1,0)-1)=TRUE),0,OFFSET(Ottone!$F$1,MATCH(G22,Ottone!$A:$A,0)-1,MATCH(H22,Ottone!$F$1:$FF$1,0)-1))*IF(D22="Ottone",1,0)</f>
        <v>0</v>
      </c>
      <c r="P22" s="126">
        <f ca="1">IF(ISERROR(OFFSET(Rame!$F$1,MATCH(G22,Rame!$F:$F,0)-1,MATCH(H22,Rame!$F$1:$FF$1,0)-1)=TRUE),0,OFFSET(Rame!$F$1,MATCH(G22,Rame!$F:$F,0)-1,MATCH(H22,Rame!$F$1:$FF$1,0)-1))*IF(D22="Rame",1,0)</f>
        <v>0</v>
      </c>
      <c r="Q22" s="126">
        <f t="shared" ca="1" si="1"/>
        <v>0</v>
      </c>
      <c r="R22" s="126">
        <f t="shared" si="7"/>
        <v>0</v>
      </c>
      <c r="S22" s="127"/>
      <c r="T22" s="128">
        <f t="shared" ca="1" si="3"/>
        <v>0</v>
      </c>
      <c r="U22" s="125">
        <f t="shared" si="4"/>
        <v>53.64</v>
      </c>
      <c r="V22" s="129"/>
      <c r="W22" s="130">
        <f t="shared" ca="1" si="5"/>
        <v>-1.3</v>
      </c>
      <c r="X22" s="125">
        <f t="shared" ca="1" si="6"/>
        <v>0</v>
      </c>
      <c r="Y22" s="131"/>
      <c r="Z22" s="100"/>
    </row>
    <row r="23" spans="1:26" ht="15.75" thickBot="1" x14ac:dyDescent="0.3">
      <c r="A23" s="103" t="s">
        <v>152</v>
      </c>
      <c r="B23" s="88" t="s">
        <v>153</v>
      </c>
      <c r="C23" s="121">
        <v>350</v>
      </c>
      <c r="D23" s="89" t="s">
        <v>4</v>
      </c>
      <c r="E23" s="122">
        <v>1.29</v>
      </c>
      <c r="F23" s="123">
        <v>41613</v>
      </c>
      <c r="G23" s="88" t="s">
        <v>25</v>
      </c>
      <c r="H23" s="88"/>
      <c r="I23" s="125">
        <v>0.18</v>
      </c>
      <c r="J23" s="115">
        <f ca="1">IF(ISERROR(OFFSET(Tabella!$A$1,MATCH(G23,Tabella!$A:$A,0)-1,MATCH(I23,Tabella!$A$1:$AC$1,0)-1)=TRUE),0,+OFFSET(Tabella!$A$1,MATCH(G23,Tabella!$A:$A,0)-1,MATCH(I23,Tabella!$A$1:$AC$1,0)-1))</f>
        <v>0</v>
      </c>
      <c r="K23" s="85">
        <f ca="1">IF(ISERROR(OFFSET(Ottone!$A$1,MATCH(G23,Ottone!$A:$A,0)-1,MATCH(I23,Ottone!$A$1:$Z$1,0)-1)=TRUE),0,OFFSET(Ottone!$A$1,MATCH(G23,Ottone!$A:$A,0)-1,MATCH(I23,Ottone!$A$1:$Z$1,0)-1))*IF(D23="Ottone",1,0)</f>
        <v>0</v>
      </c>
      <c r="L23" s="85">
        <f ca="1">IF(ISERROR(OFFSET(Rame!$A$1,MATCH(G23,Rame!$A:$A,0)-1,MATCH(I23,Rame!$A$1:$AA$1,0)-1)=TRUE),0,OFFSET(Rame!$A$1,MATCH(G23,Rame!$A:$A,0)-1,MATCH(I23,Rame!$A$1:$AA$1,0)-1))*IF(D23="Rame",1,0)</f>
        <v>0</v>
      </c>
      <c r="M23" s="126">
        <f t="shared" ca="1" si="0"/>
        <v>0</v>
      </c>
      <c r="N23" s="126">
        <f ca="1">+IF(ISERROR(OFFSET(Tabella!$G$1,MATCH(G23,Tabella!$G:$G,0)-1,MATCH(H23,Tabella!$G$1:$FG$1,0)-1)=TRUE),0,OFFSET(Tabella!$G$1,MATCH(G23,Tabella!$G:$G,0)-1,MATCH(H23,Tabella!$G$1:$AB$1,0)-1))</f>
        <v>0</v>
      </c>
      <c r="O23" s="126">
        <f ca="1">IF(ISERROR(OFFSET(Ottone!$F$1,MATCH(G23,Ottone!$A:$A,0)-1,MATCH(H23,Ottone!$F$1:$FF$1,0)-1)=TRUE),0,OFFSET(Ottone!$F$1,MATCH(G23,Ottone!$A:$A,0)-1,MATCH(H23,Ottone!$F$1:$FF$1,0)-1))*IF(D23="Ottone",1,0)</f>
        <v>0</v>
      </c>
      <c r="P23" s="126">
        <f ca="1">IF(ISERROR(OFFSET(Rame!$F$1,MATCH(G23,Rame!$F:$F,0)-1,MATCH(H23,Rame!$F$1:$FF$1,0)-1)=TRUE),0,OFFSET(Rame!$F$1,MATCH(G23,Rame!$F:$F,0)-1,MATCH(H23,Rame!$F$1:$FF$1,0)-1))*IF(D23="Rame",1,0)</f>
        <v>0</v>
      </c>
      <c r="Q23" s="126">
        <f t="shared" ca="1" si="1"/>
        <v>0</v>
      </c>
      <c r="R23" s="126">
        <f t="shared" si="7"/>
        <v>0</v>
      </c>
      <c r="S23" s="127"/>
      <c r="T23" s="128">
        <f t="shared" ca="1" si="3"/>
        <v>0</v>
      </c>
      <c r="U23" s="125">
        <f t="shared" si="4"/>
        <v>63</v>
      </c>
      <c r="V23" s="129"/>
      <c r="W23" s="130">
        <f t="shared" ca="1" si="5"/>
        <v>-1.29</v>
      </c>
      <c r="X23" s="125">
        <f t="shared" ca="1" si="6"/>
        <v>0</v>
      </c>
      <c r="Y23" s="131"/>
      <c r="Z23" s="100"/>
    </row>
    <row r="24" spans="1:26" ht="15.75" thickBot="1" x14ac:dyDescent="0.3">
      <c r="A24" s="103" t="s">
        <v>152</v>
      </c>
      <c r="B24" s="88" t="s">
        <v>153</v>
      </c>
      <c r="C24" s="121">
        <v>540</v>
      </c>
      <c r="D24" s="89" t="s">
        <v>4</v>
      </c>
      <c r="E24" s="122">
        <v>1.29</v>
      </c>
      <c r="F24" s="123">
        <v>41613</v>
      </c>
      <c r="G24" s="88" t="s">
        <v>17</v>
      </c>
      <c r="H24" s="88"/>
      <c r="I24" s="125">
        <v>0.18</v>
      </c>
      <c r="J24" s="115">
        <f ca="1">IF(ISERROR(OFFSET(Tabella!$A$1,MATCH(G24,Tabella!$A:$A,0)-1,MATCH(I24,Tabella!$A$1:$AC$1,0)-1)=TRUE),0,+OFFSET(Tabella!$A$1,MATCH(G24,Tabella!$A:$A,0)-1,MATCH(I24,Tabella!$A$1:$AC$1,0)-1))</f>
        <v>0</v>
      </c>
      <c r="K24" s="85">
        <f ca="1">IF(ISERROR(OFFSET(Ottone!$A$1,MATCH(G24,Ottone!$A:$A,0)-1,MATCH(I24,Ottone!$A$1:$Z$1,0)-1)=TRUE),0,OFFSET(Ottone!$A$1,MATCH(G24,Ottone!$A:$A,0)-1,MATCH(I24,Ottone!$A$1:$Z$1,0)-1))*IF(D24="Ottone",1,0)</f>
        <v>0</v>
      </c>
      <c r="L24" s="85">
        <f ca="1">IF(ISERROR(OFFSET(Rame!$A$1,MATCH(G24,Rame!$A:$A,0)-1,MATCH(I24,Rame!$A$1:$AA$1,0)-1)=TRUE),0,OFFSET(Rame!$A$1,MATCH(G24,Rame!$A:$A,0)-1,MATCH(I24,Rame!$A$1:$AA$1,0)-1))*IF(D24="Rame",1,0)</f>
        <v>0</v>
      </c>
      <c r="M24" s="126">
        <f t="shared" ca="1" si="0"/>
        <v>0</v>
      </c>
      <c r="N24" s="126">
        <f ca="1">+IF(ISERROR(OFFSET(Tabella!$G$1,MATCH(G24,Tabella!$G:$G,0)-1,MATCH(H24,Tabella!$G$1:$FG$1,0)-1)=TRUE),0,OFFSET(Tabella!$G$1,MATCH(G24,Tabella!$G:$G,0)-1,MATCH(H24,Tabella!$G$1:$AB$1,0)-1))</f>
        <v>0</v>
      </c>
      <c r="O24" s="126">
        <f ca="1">IF(ISERROR(OFFSET(Ottone!$F$1,MATCH(G24,Ottone!$A:$A,0)-1,MATCH(H24,Ottone!$F$1:$FF$1,0)-1)=TRUE),0,OFFSET(Ottone!$F$1,MATCH(G24,Ottone!$A:$A,0)-1,MATCH(H24,Ottone!$F$1:$FF$1,0)-1))*IF(D24="Ottone",1,0)</f>
        <v>0</v>
      </c>
      <c r="P24" s="126">
        <f ca="1">IF(ISERROR(OFFSET(Rame!$F$1,MATCH(G24,Rame!$F:$F,0)-1,MATCH(H24,Rame!$F$1:$FF$1,0)-1)=TRUE),0,OFFSET(Rame!$F$1,MATCH(G24,Rame!$F:$F,0)-1,MATCH(H24,Rame!$F$1:$FF$1,0)-1))*IF(D24="Rame",1,0)</f>
        <v>0</v>
      </c>
      <c r="Q24" s="126">
        <f t="shared" ca="1" si="1"/>
        <v>0</v>
      </c>
      <c r="R24" s="126">
        <f t="shared" si="7"/>
        <v>0</v>
      </c>
      <c r="S24" s="127"/>
      <c r="T24" s="128">
        <f t="shared" ca="1" si="3"/>
        <v>0</v>
      </c>
      <c r="U24" s="125">
        <f t="shared" si="4"/>
        <v>97.2</v>
      </c>
      <c r="V24" s="129"/>
      <c r="W24" s="130">
        <f t="shared" ca="1" si="5"/>
        <v>-1.29</v>
      </c>
      <c r="X24" s="125">
        <f t="shared" ca="1" si="6"/>
        <v>0</v>
      </c>
      <c r="Y24" s="131"/>
      <c r="Z24" s="100"/>
    </row>
    <row r="25" spans="1:26" ht="15.75" thickBot="1" x14ac:dyDescent="0.3">
      <c r="A25" s="103" t="s">
        <v>152</v>
      </c>
      <c r="B25" s="88" t="s">
        <v>153</v>
      </c>
      <c r="C25" s="121">
        <v>244</v>
      </c>
      <c r="D25" s="89" t="s">
        <v>4</v>
      </c>
      <c r="E25" s="122">
        <v>1.29</v>
      </c>
      <c r="F25" s="123">
        <v>41613</v>
      </c>
      <c r="G25" s="88" t="s">
        <v>25</v>
      </c>
      <c r="H25" s="88"/>
      <c r="I25" s="125">
        <v>0.18</v>
      </c>
      <c r="J25" s="115">
        <f ca="1">IF(ISERROR(OFFSET(Tabella!$A$1,MATCH(G25,Tabella!$A:$A,0)-1,MATCH(I25,Tabella!$A$1:$AC$1,0)-1)=TRUE),0,+OFFSET(Tabella!$A$1,MATCH(G25,Tabella!$A:$A,0)-1,MATCH(I25,Tabella!$A$1:$AC$1,0)-1))</f>
        <v>0</v>
      </c>
      <c r="K25" s="85">
        <f ca="1">IF(ISERROR(OFFSET(Ottone!$A$1,MATCH(G25,Ottone!$A:$A,0)-1,MATCH(I25,Ottone!$A$1:$Z$1,0)-1)=TRUE),0,OFFSET(Ottone!$A$1,MATCH(G25,Ottone!$A:$A,0)-1,MATCH(I25,Ottone!$A$1:$Z$1,0)-1))*IF(D25="Ottone",1,0)</f>
        <v>0</v>
      </c>
      <c r="L25" s="85">
        <f ca="1">IF(ISERROR(OFFSET(Rame!$A$1,MATCH(G25,Rame!$A:$A,0)-1,MATCH(I25,Rame!$A$1:$AA$1,0)-1)=TRUE),0,OFFSET(Rame!$A$1,MATCH(G25,Rame!$A:$A,0)-1,MATCH(I25,Rame!$A$1:$AA$1,0)-1))*IF(D25="Rame",1,0)</f>
        <v>0</v>
      </c>
      <c r="M25" s="126">
        <f t="shared" ca="1" si="0"/>
        <v>0</v>
      </c>
      <c r="N25" s="126">
        <f ca="1">+IF(ISERROR(OFFSET(Tabella!$G$1,MATCH(G25,Tabella!$G:$G,0)-1,MATCH(H25,Tabella!$G$1:$FG$1,0)-1)=TRUE),0,OFFSET(Tabella!$G$1,MATCH(G25,Tabella!$G:$G,0)-1,MATCH(H25,Tabella!$G$1:$AB$1,0)-1))</f>
        <v>0</v>
      </c>
      <c r="O25" s="126">
        <f ca="1">IF(ISERROR(OFFSET(Ottone!$F$1,MATCH(G25,Ottone!$A:$A,0)-1,MATCH(H25,Ottone!$F$1:$FF$1,0)-1)=TRUE),0,OFFSET(Ottone!$F$1,MATCH(G25,Ottone!$A:$A,0)-1,MATCH(H25,Ottone!$F$1:$FF$1,0)-1))*IF(D25="Ottone",1,0)</f>
        <v>0</v>
      </c>
      <c r="P25" s="126">
        <f ca="1">IF(ISERROR(OFFSET(Rame!$F$1,MATCH(G25,Rame!$F:$F,0)-1,MATCH(H25,Rame!$F$1:$FF$1,0)-1)=TRUE),0,OFFSET(Rame!$F$1,MATCH(G25,Rame!$F:$F,0)-1,MATCH(H25,Rame!$F$1:$FF$1,0)-1))*IF(D25="Rame",1,0)</f>
        <v>0</v>
      </c>
      <c r="Q25" s="126">
        <f t="shared" ca="1" si="1"/>
        <v>0</v>
      </c>
      <c r="R25" s="126">
        <f t="shared" si="7"/>
        <v>0</v>
      </c>
      <c r="S25" s="127"/>
      <c r="T25" s="128">
        <f t="shared" ca="1" si="3"/>
        <v>0</v>
      </c>
      <c r="U25" s="125">
        <f t="shared" si="4"/>
        <v>43.92</v>
      </c>
      <c r="V25" s="129"/>
      <c r="W25" s="130">
        <f t="shared" ca="1" si="5"/>
        <v>-1.29</v>
      </c>
      <c r="X25" s="125">
        <f t="shared" ca="1" si="6"/>
        <v>0</v>
      </c>
      <c r="Y25" s="131"/>
      <c r="Z25" s="100"/>
    </row>
    <row r="26" spans="1:26" ht="15.75" thickBot="1" x14ac:dyDescent="0.3">
      <c r="A26" s="103" t="s">
        <v>152</v>
      </c>
      <c r="B26" s="88" t="s">
        <v>153</v>
      </c>
      <c r="C26" s="121">
        <v>244</v>
      </c>
      <c r="D26" s="89" t="s">
        <v>4</v>
      </c>
      <c r="E26" s="122">
        <v>1.32</v>
      </c>
      <c r="F26" s="123">
        <v>41619</v>
      </c>
      <c r="G26" s="88" t="s">
        <v>25</v>
      </c>
      <c r="H26" s="88"/>
      <c r="I26" s="125">
        <v>0.18</v>
      </c>
      <c r="J26" s="115">
        <f ca="1">IF(ISERROR(OFFSET(Tabella!$A$1,MATCH(G26,Tabella!$A:$A,0)-1,MATCH(I26,Tabella!$A$1:$AC$1,0)-1)=TRUE),0,+OFFSET(Tabella!$A$1,MATCH(G26,Tabella!$A:$A,0)-1,MATCH(I26,Tabella!$A$1:$AC$1,0)-1))</f>
        <v>0</v>
      </c>
      <c r="K26" s="85">
        <f ca="1">IF(ISERROR(OFFSET(Ottone!$A$1,MATCH(G26,Ottone!$A:$A,0)-1,MATCH(I26,Ottone!$A$1:$Z$1,0)-1)=TRUE),0,OFFSET(Ottone!$A$1,MATCH(G26,Ottone!$A:$A,0)-1,MATCH(I26,Ottone!$A$1:$Z$1,0)-1))*IF(D26="Ottone",1,0)</f>
        <v>0</v>
      </c>
      <c r="L26" s="85">
        <f ca="1">IF(ISERROR(OFFSET(Rame!$A$1,MATCH(G26,Rame!$A:$A,0)-1,MATCH(I26,Rame!$A$1:$AA$1,0)-1)=TRUE),0,OFFSET(Rame!$A$1,MATCH(G26,Rame!$A:$A,0)-1,MATCH(I26,Rame!$A$1:$AA$1,0)-1))*IF(D26="Rame",1,0)</f>
        <v>0</v>
      </c>
      <c r="M26" s="126">
        <f t="shared" ca="1" si="0"/>
        <v>0</v>
      </c>
      <c r="N26" s="126">
        <f ca="1">+IF(ISERROR(OFFSET(Tabella!$G$1,MATCH(G26,Tabella!$G:$G,0)-1,MATCH(H26,Tabella!$G$1:$FG$1,0)-1)=TRUE),0,OFFSET(Tabella!$G$1,MATCH(G26,Tabella!$G:$G,0)-1,MATCH(H26,Tabella!$G$1:$AB$1,0)-1))</f>
        <v>0</v>
      </c>
      <c r="O26" s="126">
        <f ca="1">IF(ISERROR(OFFSET(Ottone!$F$1,MATCH(G26,Ottone!$A:$A,0)-1,MATCH(H26,Ottone!$F$1:$FF$1,0)-1)=TRUE),0,OFFSET(Ottone!$F$1,MATCH(G26,Ottone!$A:$A,0)-1,MATCH(H26,Ottone!$F$1:$FF$1,0)-1))*IF(D26="Ottone",1,0)</f>
        <v>0</v>
      </c>
      <c r="P26" s="126">
        <f ca="1">IF(ISERROR(OFFSET(Rame!$F$1,MATCH(G26,Rame!$F:$F,0)-1,MATCH(H26,Rame!$F$1:$FF$1,0)-1)=TRUE),0,OFFSET(Rame!$F$1,MATCH(G26,Rame!$F:$F,0)-1,MATCH(H26,Rame!$F$1:$FF$1,0)-1))*IF(D26="Rame",1,0)</f>
        <v>0</v>
      </c>
      <c r="Q26" s="126">
        <f t="shared" ca="1" si="1"/>
        <v>0</v>
      </c>
      <c r="R26" s="126">
        <f t="shared" si="7"/>
        <v>0</v>
      </c>
      <c r="S26" s="127"/>
      <c r="T26" s="128">
        <f t="shared" ca="1" si="3"/>
        <v>0</v>
      </c>
      <c r="U26" s="125">
        <f t="shared" si="4"/>
        <v>43.92</v>
      </c>
      <c r="V26" s="129"/>
      <c r="W26" s="130">
        <f t="shared" ca="1" si="5"/>
        <v>-1.32</v>
      </c>
      <c r="X26" s="125">
        <f t="shared" ca="1" si="6"/>
        <v>0</v>
      </c>
      <c r="Y26" s="131"/>
      <c r="Z26" s="100"/>
    </row>
    <row r="27" spans="1:26" ht="15.75" thickBot="1" x14ac:dyDescent="0.3">
      <c r="A27" s="103" t="s">
        <v>152</v>
      </c>
      <c r="B27" s="88" t="s">
        <v>153</v>
      </c>
      <c r="C27" s="121">
        <v>94</v>
      </c>
      <c r="D27" s="89" t="s">
        <v>4</v>
      </c>
      <c r="E27" s="122">
        <v>1.32</v>
      </c>
      <c r="F27" s="123">
        <v>41619</v>
      </c>
      <c r="G27" s="88" t="s">
        <v>17</v>
      </c>
      <c r="H27" s="88"/>
      <c r="I27" s="125">
        <v>0.18</v>
      </c>
      <c r="J27" s="115">
        <f ca="1">IF(ISERROR(OFFSET(Tabella!$A$1,MATCH(G27,Tabella!$A:$A,0)-1,MATCH(I27,Tabella!$A$1:$AC$1,0)-1)=TRUE),0,+OFFSET(Tabella!$A$1,MATCH(G27,Tabella!$A:$A,0)-1,MATCH(I27,Tabella!$A$1:$AC$1,0)-1))</f>
        <v>0</v>
      </c>
      <c r="K27" s="85">
        <f ca="1">IF(ISERROR(OFFSET(Ottone!$A$1,MATCH(G27,Ottone!$A:$A,0)-1,MATCH(I27,Ottone!$A$1:$Z$1,0)-1)=TRUE),0,OFFSET(Ottone!$A$1,MATCH(G27,Ottone!$A:$A,0)-1,MATCH(I27,Ottone!$A$1:$Z$1,0)-1))*IF(D27="Ottone",1,0)</f>
        <v>0</v>
      </c>
      <c r="L27" s="85">
        <f ca="1">IF(ISERROR(OFFSET(Rame!$A$1,MATCH(G27,Rame!$A:$A,0)-1,MATCH(I27,Rame!$A$1:$AA$1,0)-1)=TRUE),0,OFFSET(Rame!$A$1,MATCH(G27,Rame!$A:$A,0)-1,MATCH(I27,Rame!$A$1:$AA$1,0)-1))*IF(D27="Rame",1,0)</f>
        <v>0</v>
      </c>
      <c r="M27" s="126">
        <f t="shared" ca="1" si="0"/>
        <v>0</v>
      </c>
      <c r="N27" s="126">
        <f ca="1">+IF(ISERROR(OFFSET(Tabella!$G$1,MATCH(G27,Tabella!$G:$G,0)-1,MATCH(H27,Tabella!$G$1:$FG$1,0)-1)=TRUE),0,OFFSET(Tabella!$G$1,MATCH(G27,Tabella!$G:$G,0)-1,MATCH(H27,Tabella!$G$1:$AB$1,0)-1))</f>
        <v>0</v>
      </c>
      <c r="O27" s="126">
        <f ca="1">IF(ISERROR(OFFSET(Ottone!$F$1,MATCH(G27,Ottone!$A:$A,0)-1,MATCH(H27,Ottone!$F$1:$FF$1,0)-1)=TRUE),0,OFFSET(Ottone!$F$1,MATCH(G27,Ottone!$A:$A,0)-1,MATCH(H27,Ottone!$F$1:$FF$1,0)-1))*IF(D27="Ottone",1,0)</f>
        <v>0</v>
      </c>
      <c r="P27" s="126">
        <f ca="1">IF(ISERROR(OFFSET(Rame!$F$1,MATCH(G27,Rame!$F:$F,0)-1,MATCH(H27,Rame!$F$1:$FF$1,0)-1)=TRUE),0,OFFSET(Rame!$F$1,MATCH(G27,Rame!$F:$F,0)-1,MATCH(H27,Rame!$F$1:$FF$1,0)-1))*IF(D27="Rame",1,0)</f>
        <v>0</v>
      </c>
      <c r="Q27" s="126">
        <f t="shared" ca="1" si="1"/>
        <v>0</v>
      </c>
      <c r="R27" s="126">
        <f t="shared" si="7"/>
        <v>0</v>
      </c>
      <c r="S27" s="127"/>
      <c r="T27" s="128">
        <f t="shared" ca="1" si="3"/>
        <v>0</v>
      </c>
      <c r="U27" s="125">
        <f t="shared" si="4"/>
        <v>16.919999999999998</v>
      </c>
      <c r="V27" s="129"/>
      <c r="W27" s="130">
        <f t="shared" ca="1" si="5"/>
        <v>-1.32</v>
      </c>
      <c r="X27" s="125">
        <f t="shared" ca="1" si="6"/>
        <v>0</v>
      </c>
      <c r="Y27" s="131"/>
      <c r="Z27" s="100"/>
    </row>
    <row r="28" spans="1:26" ht="15.75" thickBot="1" x14ac:dyDescent="0.3">
      <c r="A28" s="103" t="s">
        <v>152</v>
      </c>
      <c r="B28" s="88" t="s">
        <v>153</v>
      </c>
      <c r="C28" s="121">
        <v>502</v>
      </c>
      <c r="D28" s="89" t="s">
        <v>4</v>
      </c>
      <c r="E28" s="122">
        <v>1.3</v>
      </c>
      <c r="F28" s="123">
        <v>41624</v>
      </c>
      <c r="G28" s="88" t="s">
        <v>13</v>
      </c>
      <c r="H28" s="88"/>
      <c r="I28" s="125">
        <v>0.18</v>
      </c>
      <c r="J28" s="115">
        <f ca="1">IF(ISERROR(OFFSET(Tabella!$A$1,MATCH(G28,Tabella!$A:$A,0)-1,MATCH(I28,Tabella!$A$1:$AC$1,0)-1)=TRUE),0,+OFFSET(Tabella!$A$1,MATCH(G28,Tabella!$A:$A,0)-1,MATCH(I28,Tabella!$A$1:$AC$1,0)-1))</f>
        <v>0</v>
      </c>
      <c r="K28" s="85">
        <f ca="1">IF(ISERROR(OFFSET(Ottone!$A$1,MATCH(G28,Ottone!$A:$A,0)-1,MATCH(I28,Ottone!$A$1:$Z$1,0)-1)=TRUE),0,OFFSET(Ottone!$A$1,MATCH(G28,Ottone!$A:$A,0)-1,MATCH(I28,Ottone!$A$1:$Z$1,0)-1))*IF(D28="Ottone",1,0)</f>
        <v>0</v>
      </c>
      <c r="L28" s="85">
        <f ca="1">IF(ISERROR(OFFSET(Rame!$A$1,MATCH(G28,Rame!$A:$A,0)-1,MATCH(I28,Rame!$A$1:$AA$1,0)-1)=TRUE),0,OFFSET(Rame!$A$1,MATCH(G28,Rame!$A:$A,0)-1,MATCH(I28,Rame!$A$1:$AA$1,0)-1))*IF(D28="Rame",1,0)</f>
        <v>0</v>
      </c>
      <c r="M28" s="126">
        <f t="shared" ca="1" si="0"/>
        <v>0</v>
      </c>
      <c r="N28" s="126">
        <f ca="1">+IF(ISERROR(OFFSET(Tabella!$G$1,MATCH(G28,Tabella!$G:$G,0)-1,MATCH(H28,Tabella!$G$1:$FG$1,0)-1)=TRUE),0,OFFSET(Tabella!$G$1,MATCH(G28,Tabella!$G:$G,0)-1,MATCH(H28,Tabella!$G$1:$AB$1,0)-1))</f>
        <v>0</v>
      </c>
      <c r="O28" s="126">
        <f ca="1">IF(ISERROR(OFFSET(Ottone!$F$1,MATCH(G28,Ottone!$A:$A,0)-1,MATCH(H28,Ottone!$F$1:$FF$1,0)-1)=TRUE),0,OFFSET(Ottone!$F$1,MATCH(G28,Ottone!$A:$A,0)-1,MATCH(H28,Ottone!$F$1:$FF$1,0)-1))*IF(D28="Ottone",1,0)</f>
        <v>0</v>
      </c>
      <c r="P28" s="126">
        <f ca="1">IF(ISERROR(OFFSET(Rame!$F$1,MATCH(G28,Rame!$F:$F,0)-1,MATCH(H28,Rame!$F$1:$FF$1,0)-1)=TRUE),0,OFFSET(Rame!$F$1,MATCH(G28,Rame!$F:$F,0)-1,MATCH(H28,Rame!$F$1:$FF$1,0)-1))*IF(D28="Rame",1,0)</f>
        <v>0</v>
      </c>
      <c r="Q28" s="126">
        <f t="shared" ca="1" si="1"/>
        <v>0</v>
      </c>
      <c r="R28" s="126">
        <f t="shared" si="7"/>
        <v>0</v>
      </c>
      <c r="S28" s="127"/>
      <c r="T28" s="128">
        <f t="shared" ca="1" si="3"/>
        <v>0</v>
      </c>
      <c r="U28" s="125">
        <f t="shared" si="4"/>
        <v>90.36</v>
      </c>
      <c r="V28" s="129"/>
      <c r="W28" s="130">
        <f t="shared" ca="1" si="5"/>
        <v>-1.3</v>
      </c>
      <c r="X28" s="125">
        <f t="shared" ca="1" si="6"/>
        <v>0</v>
      </c>
      <c r="Y28" s="131"/>
      <c r="Z28" s="100"/>
    </row>
    <row r="29" spans="1:26" ht="15.75" thickBot="1" x14ac:dyDescent="0.3">
      <c r="A29" s="103" t="s">
        <v>152</v>
      </c>
      <c r="B29" s="88" t="s">
        <v>153</v>
      </c>
      <c r="C29" s="121">
        <v>726</v>
      </c>
      <c r="D29" s="89" t="s">
        <v>6</v>
      </c>
      <c r="E29" s="122">
        <v>6.43</v>
      </c>
      <c r="F29" s="123">
        <v>41648</v>
      </c>
      <c r="G29" s="88" t="s">
        <v>14</v>
      </c>
      <c r="H29" s="88"/>
      <c r="I29" s="125">
        <v>0.18</v>
      </c>
      <c r="J29" s="115">
        <f ca="1">IF(ISERROR(OFFSET(Tabella!$A$1,MATCH(G29,Tabella!$A:$A,0)-1,MATCH(I29,Tabella!$A$1:$AC$1,0)-1)=TRUE),0,+OFFSET(Tabella!$A$1,MATCH(G29,Tabella!$A:$A,0)-1,MATCH(I29,Tabella!$A$1:$AC$1,0)-1))</f>
        <v>0</v>
      </c>
      <c r="K29" s="85">
        <f ca="1">IF(ISERROR(OFFSET(Ottone!$A$1,MATCH(G29,Ottone!$A:$A,0)-1,MATCH(I29,Ottone!$A$1:$Z$1,0)-1)=TRUE),0,OFFSET(Ottone!$A$1,MATCH(G29,Ottone!$A:$A,0)-1,MATCH(I29,Ottone!$A$1:$Z$1,0)-1))*IF(D29="Ottone",1,0)</f>
        <v>0</v>
      </c>
      <c r="L29" s="85">
        <f ca="1">IF(ISERROR(OFFSET(Rame!$A$1,MATCH(G29,Rame!$A:$A,0)-1,MATCH(I29,Rame!$A$1:$AA$1,0)-1)=TRUE),0,OFFSET(Rame!$A$1,MATCH(G29,Rame!$A:$A,0)-1,MATCH(I29,Rame!$A$1:$AA$1,0)-1))*IF(D29="Rame",1,0)</f>
        <v>0</v>
      </c>
      <c r="M29" s="126">
        <f t="shared" ca="1" si="0"/>
        <v>0</v>
      </c>
      <c r="N29" s="126">
        <f ca="1">+IF(ISERROR(OFFSET(Tabella!$G$1,MATCH(G29,Tabella!$G:$G,0)-1,MATCH(H29,Tabella!$G$1:$FG$1,0)-1)=TRUE),0,OFFSET(Tabella!$G$1,MATCH(G29,Tabella!$G:$G,0)-1,MATCH(H29,Tabella!$G$1:$AB$1,0)-1))</f>
        <v>0</v>
      </c>
      <c r="O29" s="126">
        <f ca="1">IF(ISERROR(OFFSET(Ottone!$F$1,MATCH(G29,Ottone!$A:$A,0)-1,MATCH(H29,Ottone!$F$1:$FF$1,0)-1)=TRUE),0,OFFSET(Ottone!$F$1,MATCH(G29,Ottone!$A:$A,0)-1,MATCH(H29,Ottone!$F$1:$FF$1,0)-1))*IF(D29="Ottone",1,0)</f>
        <v>0</v>
      </c>
      <c r="P29" s="126">
        <f ca="1">IF(ISERROR(OFFSET(Rame!$F$1,MATCH(G29,Rame!$F:$F,0)-1,MATCH(H29,Rame!$F$1:$FF$1,0)-1)=TRUE),0,OFFSET(Rame!$F$1,MATCH(G29,Rame!$F:$F,0)-1,MATCH(H29,Rame!$F$1:$FF$1,0)-1))*IF(D29="Rame",1,0)</f>
        <v>0</v>
      </c>
      <c r="Q29" s="126">
        <f t="shared" ca="1" si="1"/>
        <v>0</v>
      </c>
      <c r="R29" s="126">
        <f t="shared" si="7"/>
        <v>0</v>
      </c>
      <c r="S29" s="127"/>
      <c r="T29" s="128">
        <f t="shared" ca="1" si="3"/>
        <v>0</v>
      </c>
      <c r="U29" s="125">
        <f t="shared" si="4"/>
        <v>130.68</v>
      </c>
      <c r="V29" s="129"/>
      <c r="W29" s="130">
        <f t="shared" ca="1" si="5"/>
        <v>-6.43</v>
      </c>
      <c r="X29" s="125">
        <f t="shared" ca="1" si="6"/>
        <v>0</v>
      </c>
      <c r="Y29" s="131"/>
      <c r="Z29" s="100"/>
    </row>
    <row r="30" spans="1:26" ht="15.75" thickBot="1" x14ac:dyDescent="0.3">
      <c r="A30" s="103" t="s">
        <v>155</v>
      </c>
      <c r="B30" s="88" t="s">
        <v>153</v>
      </c>
      <c r="C30" s="121">
        <v>592</v>
      </c>
      <c r="D30" s="89" t="s">
        <v>4</v>
      </c>
      <c r="E30" s="122">
        <v>1.29</v>
      </c>
      <c r="F30" s="123">
        <v>41613</v>
      </c>
      <c r="G30" s="88" t="s">
        <v>19</v>
      </c>
      <c r="H30" s="88"/>
      <c r="I30" s="125">
        <v>0.18</v>
      </c>
      <c r="J30" s="115">
        <f ca="1">IF(ISERROR(OFFSET(Tabella!$A$1,MATCH(G30,Tabella!$A:$A,0)-1,MATCH(I30,Tabella!$A$1:$AC$1,0)-1)=TRUE),0,+OFFSET(Tabella!$A$1,MATCH(G30,Tabella!$A:$A,0)-1,MATCH(I30,Tabella!$A$1:$AC$1,0)-1))</f>
        <v>0</v>
      </c>
      <c r="K30" s="85">
        <f ca="1">IF(ISERROR(OFFSET(Ottone!$A$1,MATCH(G30,Ottone!$A:$A,0)-1,MATCH(I30,Ottone!$A$1:$Z$1,0)-1)=TRUE),0,OFFSET(Ottone!$A$1,MATCH(G30,Ottone!$A:$A,0)-1,MATCH(I30,Ottone!$A$1:$Z$1,0)-1))*IF(D30="Ottone",1,0)</f>
        <v>0</v>
      </c>
      <c r="L30" s="85">
        <f ca="1">IF(ISERROR(OFFSET(Rame!$A$1,MATCH(G30,Rame!$A:$A,0)-1,MATCH(I30,Rame!$A$1:$AA$1,0)-1)=TRUE),0,OFFSET(Rame!$A$1,MATCH(G30,Rame!$A:$A,0)-1,MATCH(I30,Rame!$A$1:$AA$1,0)-1))*IF(D30="Rame",1,0)</f>
        <v>0</v>
      </c>
      <c r="M30" s="126">
        <f t="shared" ca="1" si="0"/>
        <v>0</v>
      </c>
      <c r="N30" s="126">
        <f ca="1">+IF(ISERROR(OFFSET(Tabella!$G$1,MATCH(G30,Tabella!$G:$G,0)-1,MATCH(H30,Tabella!$G$1:$FG$1,0)-1)=TRUE),0,OFFSET(Tabella!$G$1,MATCH(G30,Tabella!$G:$G,0)-1,MATCH(H30,Tabella!$G$1:$AB$1,0)-1))</f>
        <v>0</v>
      </c>
      <c r="O30" s="126">
        <f ca="1">IF(ISERROR(OFFSET(Ottone!$F$1,MATCH(G30,Ottone!$A:$A,0)-1,MATCH(H30,Ottone!$F$1:$FF$1,0)-1)=TRUE),0,OFFSET(Ottone!$F$1,MATCH(G30,Ottone!$A:$A,0)-1,MATCH(H30,Ottone!$F$1:$FF$1,0)-1))*IF(D30="Ottone",1,0)</f>
        <v>0</v>
      </c>
      <c r="P30" s="126">
        <f ca="1">IF(ISERROR(OFFSET(Rame!$F$1,MATCH(G30,Rame!$F:$F,0)-1,MATCH(H30,Rame!$F$1:$FF$1,0)-1)=TRUE),0,OFFSET(Rame!$F$1,MATCH(G30,Rame!$F:$F,0)-1,MATCH(H30,Rame!$F$1:$FF$1,0)-1))*IF(D30="Rame",1,0)</f>
        <v>0</v>
      </c>
      <c r="Q30" s="126">
        <f t="shared" ca="1" si="1"/>
        <v>0</v>
      </c>
      <c r="R30" s="126">
        <f t="shared" si="7"/>
        <v>0</v>
      </c>
      <c r="S30" s="127"/>
      <c r="T30" s="128">
        <f t="shared" ca="1" si="3"/>
        <v>0</v>
      </c>
      <c r="U30" s="125">
        <f t="shared" si="4"/>
        <v>106.56</v>
      </c>
      <c r="V30" s="129"/>
      <c r="W30" s="130">
        <f t="shared" ca="1" si="5"/>
        <v>-1.29</v>
      </c>
      <c r="X30" s="125">
        <f t="shared" ca="1" si="6"/>
        <v>0</v>
      </c>
      <c r="Y30" s="131"/>
      <c r="Z30" s="100"/>
    </row>
    <row r="31" spans="1:26" ht="15.75" thickBot="1" x14ac:dyDescent="0.3">
      <c r="A31" s="103" t="s">
        <v>155</v>
      </c>
      <c r="B31" s="88" t="s">
        <v>153</v>
      </c>
      <c r="C31" s="121">
        <v>494</v>
      </c>
      <c r="D31" s="89" t="s">
        <v>4</v>
      </c>
      <c r="E31" s="122">
        <v>1.29</v>
      </c>
      <c r="F31" s="123">
        <v>41613</v>
      </c>
      <c r="G31" s="88" t="s">
        <v>26</v>
      </c>
      <c r="H31" s="88"/>
      <c r="I31" s="125">
        <v>0.18</v>
      </c>
      <c r="J31" s="115">
        <f ca="1">IF(ISERROR(OFFSET(Tabella!$A$1,MATCH(G31,Tabella!$A:$A,0)-1,MATCH(I31,Tabella!$A$1:$AC$1,0)-1)=TRUE),0,+OFFSET(Tabella!$A$1,MATCH(G31,Tabella!$A:$A,0)-1,MATCH(I31,Tabella!$A$1:$AC$1,0)-1))</f>
        <v>0</v>
      </c>
      <c r="K31" s="85">
        <f ca="1">IF(ISERROR(OFFSET(Ottone!$A$1,MATCH(G31,Ottone!$A:$A,0)-1,MATCH(I31,Ottone!$A$1:$Z$1,0)-1)=TRUE),0,OFFSET(Ottone!$A$1,MATCH(G31,Ottone!$A:$A,0)-1,MATCH(I31,Ottone!$A$1:$Z$1,0)-1))*IF(D31="Ottone",1,0)</f>
        <v>0</v>
      </c>
      <c r="L31" s="85">
        <f ca="1">IF(ISERROR(OFFSET(Rame!$A$1,MATCH(G31,Rame!$A:$A,0)-1,MATCH(I31,Rame!$A$1:$AA$1,0)-1)=TRUE),0,OFFSET(Rame!$A$1,MATCH(G31,Rame!$A:$A,0)-1,MATCH(I31,Rame!$A$1:$AA$1,0)-1))*IF(D31="Rame",1,0)</f>
        <v>0</v>
      </c>
      <c r="M31" s="126">
        <f t="shared" ca="1" si="0"/>
        <v>0</v>
      </c>
      <c r="N31" s="126">
        <f ca="1">+IF(ISERROR(OFFSET(Tabella!$G$1,MATCH(G31,Tabella!$G:$G,0)-1,MATCH(H31,Tabella!$G$1:$FG$1,0)-1)=TRUE),0,OFFSET(Tabella!$G$1,MATCH(G31,Tabella!$G:$G,0)-1,MATCH(H31,Tabella!$G$1:$AB$1,0)-1))</f>
        <v>0</v>
      </c>
      <c r="O31" s="126">
        <f ca="1">IF(ISERROR(OFFSET(Ottone!$F$1,MATCH(G31,Ottone!$A:$A,0)-1,MATCH(H31,Ottone!$F$1:$FF$1,0)-1)=TRUE),0,OFFSET(Ottone!$F$1,MATCH(G31,Ottone!$A:$A,0)-1,MATCH(H31,Ottone!$F$1:$FF$1,0)-1))*IF(D31="Ottone",1,0)</f>
        <v>0</v>
      </c>
      <c r="P31" s="126">
        <f ca="1">IF(ISERROR(OFFSET(Rame!$F$1,MATCH(G31,Rame!$F:$F,0)-1,MATCH(H31,Rame!$F$1:$FF$1,0)-1)=TRUE),0,OFFSET(Rame!$F$1,MATCH(G31,Rame!$F:$F,0)-1,MATCH(H31,Rame!$F$1:$FF$1,0)-1))*IF(D31="Rame",1,0)</f>
        <v>0</v>
      </c>
      <c r="Q31" s="126">
        <f t="shared" ca="1" si="1"/>
        <v>0</v>
      </c>
      <c r="R31" s="126">
        <f t="shared" si="7"/>
        <v>0</v>
      </c>
      <c r="S31" s="127"/>
      <c r="T31" s="128">
        <f t="shared" ca="1" si="3"/>
        <v>0</v>
      </c>
      <c r="U31" s="125">
        <f t="shared" si="4"/>
        <v>88.92</v>
      </c>
      <c r="V31" s="129"/>
      <c r="W31" s="130">
        <f t="shared" ca="1" si="5"/>
        <v>-1.29</v>
      </c>
      <c r="X31" s="125">
        <f t="shared" ca="1" si="6"/>
        <v>0</v>
      </c>
      <c r="Y31" s="131"/>
      <c r="Z31" s="100"/>
    </row>
    <row r="32" spans="1:26" ht="15.75" thickBot="1" x14ac:dyDescent="0.3">
      <c r="A32" s="103" t="s">
        <v>155</v>
      </c>
      <c r="B32" s="88" t="s">
        <v>153</v>
      </c>
      <c r="C32" s="121">
        <v>600</v>
      </c>
      <c r="D32" s="89" t="s">
        <v>4</v>
      </c>
      <c r="E32" s="122">
        <v>1.32</v>
      </c>
      <c r="F32" s="123">
        <v>41619</v>
      </c>
      <c r="G32" s="88" t="s">
        <v>19</v>
      </c>
      <c r="H32" s="88"/>
      <c r="I32" s="125">
        <v>0.18</v>
      </c>
      <c r="J32" s="115">
        <f ca="1">IF(ISERROR(OFFSET(Tabella!$A$1,MATCH(G32,Tabella!$A:$A,0)-1,MATCH(I32,Tabella!$A$1:$AC$1,0)-1)=TRUE),0,+OFFSET(Tabella!$A$1,MATCH(G32,Tabella!$A:$A,0)-1,MATCH(I32,Tabella!$A$1:$AC$1,0)-1))</f>
        <v>0</v>
      </c>
      <c r="K32" s="85">
        <f ca="1">IF(ISERROR(OFFSET(Ottone!$A$1,MATCH(G32,Ottone!$A:$A,0)-1,MATCH(I32,Ottone!$A$1:$Z$1,0)-1)=TRUE),0,OFFSET(Ottone!$A$1,MATCH(G32,Ottone!$A:$A,0)-1,MATCH(I32,Ottone!$A$1:$Z$1,0)-1))*IF(D32="Ottone",1,0)</f>
        <v>0</v>
      </c>
      <c r="L32" s="85">
        <f ca="1">IF(ISERROR(OFFSET(Rame!$A$1,MATCH(G32,Rame!$A:$A,0)-1,MATCH(I32,Rame!$A$1:$AA$1,0)-1)=TRUE),0,OFFSET(Rame!$A$1,MATCH(G32,Rame!$A:$A,0)-1,MATCH(I32,Rame!$A$1:$AA$1,0)-1))*IF(D32="Rame",1,0)</f>
        <v>0</v>
      </c>
      <c r="M32" s="126">
        <f t="shared" ca="1" si="0"/>
        <v>0</v>
      </c>
      <c r="N32" s="126">
        <f ca="1">+IF(ISERROR(OFFSET(Tabella!$G$1,MATCH(G32,Tabella!$G:$G,0)-1,MATCH(H32,Tabella!$G$1:$FG$1,0)-1)=TRUE),0,OFFSET(Tabella!$G$1,MATCH(G32,Tabella!$G:$G,0)-1,MATCH(H32,Tabella!$G$1:$AB$1,0)-1))</f>
        <v>0</v>
      </c>
      <c r="O32" s="126">
        <f ca="1">IF(ISERROR(OFFSET(Ottone!$F$1,MATCH(G32,Ottone!$A:$A,0)-1,MATCH(H32,Ottone!$F$1:$FF$1,0)-1)=TRUE),0,OFFSET(Ottone!$F$1,MATCH(G32,Ottone!$A:$A,0)-1,MATCH(H32,Ottone!$F$1:$FF$1,0)-1))*IF(D32="Ottone",1,0)</f>
        <v>0</v>
      </c>
      <c r="P32" s="126">
        <f ca="1">IF(ISERROR(OFFSET(Rame!$F$1,MATCH(G32,Rame!$F:$F,0)-1,MATCH(H32,Rame!$F$1:$FF$1,0)-1)=TRUE),0,OFFSET(Rame!$F$1,MATCH(G32,Rame!$F:$F,0)-1,MATCH(H32,Rame!$F$1:$FF$1,0)-1))*IF(D32="Rame",1,0)</f>
        <v>0</v>
      </c>
      <c r="Q32" s="126">
        <f t="shared" ca="1" si="1"/>
        <v>0</v>
      </c>
      <c r="R32" s="126">
        <f t="shared" si="7"/>
        <v>0</v>
      </c>
      <c r="S32" s="127"/>
      <c r="T32" s="128">
        <f t="shared" ca="1" si="3"/>
        <v>0</v>
      </c>
      <c r="U32" s="125">
        <f t="shared" si="4"/>
        <v>108</v>
      </c>
      <c r="V32" s="129"/>
      <c r="W32" s="130">
        <f t="shared" ca="1" si="5"/>
        <v>-1.32</v>
      </c>
      <c r="X32" s="125">
        <f t="shared" ca="1" si="6"/>
        <v>0</v>
      </c>
      <c r="Y32" s="131"/>
      <c r="Z32" s="100"/>
    </row>
    <row r="33" spans="1:26" ht="15.75" thickBot="1" x14ac:dyDescent="0.3">
      <c r="A33" s="103" t="s">
        <v>155</v>
      </c>
      <c r="B33" s="88" t="s">
        <v>153</v>
      </c>
      <c r="C33" s="121">
        <v>520</v>
      </c>
      <c r="D33" s="89" t="s">
        <v>4</v>
      </c>
      <c r="E33" s="122">
        <v>1.31</v>
      </c>
      <c r="F33" s="123">
        <v>41625</v>
      </c>
      <c r="G33" s="88" t="s">
        <v>23</v>
      </c>
      <c r="H33" s="88"/>
      <c r="I33" s="125">
        <v>0.18</v>
      </c>
      <c r="J33" s="115">
        <f ca="1">IF(ISERROR(OFFSET(Tabella!$A$1,MATCH(G33,Tabella!$A:$A,0)-1,MATCH(I33,Tabella!$A$1:$AC$1,0)-1)=TRUE),0,+OFFSET(Tabella!$A$1,MATCH(G33,Tabella!$A:$A,0)-1,MATCH(I33,Tabella!$A$1:$AC$1,0)-1))</f>
        <v>0</v>
      </c>
      <c r="K33" s="85">
        <f ca="1">IF(ISERROR(OFFSET(Ottone!$A$1,MATCH(G33,Ottone!$A:$A,0)-1,MATCH(I33,Ottone!$A$1:$Z$1,0)-1)=TRUE),0,OFFSET(Ottone!$A$1,MATCH(G33,Ottone!$A:$A,0)-1,MATCH(I33,Ottone!$A$1:$Z$1,0)-1))*IF(D33="Ottone",1,0)</f>
        <v>0</v>
      </c>
      <c r="L33" s="85">
        <f ca="1">IF(ISERROR(OFFSET(Rame!$A$1,MATCH(G33,Rame!$A:$A,0)-1,MATCH(I33,Rame!$A$1:$AA$1,0)-1)=TRUE),0,OFFSET(Rame!$A$1,MATCH(G33,Rame!$A:$A,0)-1,MATCH(I33,Rame!$A$1:$AA$1,0)-1))*IF(D33="Rame",1,0)</f>
        <v>0</v>
      </c>
      <c r="M33" s="126">
        <f t="shared" ca="1" si="0"/>
        <v>0</v>
      </c>
      <c r="N33" s="126">
        <f ca="1">+IF(ISERROR(OFFSET(Tabella!$G$1,MATCH(G33,Tabella!$G:$G,0)-1,MATCH(H33,Tabella!$G$1:$FG$1,0)-1)=TRUE),0,OFFSET(Tabella!$G$1,MATCH(G33,Tabella!$G:$G,0)-1,MATCH(H33,Tabella!$G$1:$AB$1,0)-1))</f>
        <v>0</v>
      </c>
      <c r="O33" s="126">
        <f ca="1">IF(ISERROR(OFFSET(Ottone!$F$1,MATCH(G33,Ottone!$A:$A,0)-1,MATCH(H33,Ottone!$F$1:$FF$1,0)-1)=TRUE),0,OFFSET(Ottone!$F$1,MATCH(G33,Ottone!$A:$A,0)-1,MATCH(H33,Ottone!$F$1:$FF$1,0)-1))*IF(D33="Ottone",1,0)</f>
        <v>0</v>
      </c>
      <c r="P33" s="126">
        <f ca="1">IF(ISERROR(OFFSET(Rame!$F$1,MATCH(G33,Rame!$F:$F,0)-1,MATCH(H33,Rame!$F$1:$FF$1,0)-1)=TRUE),0,OFFSET(Rame!$F$1,MATCH(G33,Rame!$F:$F,0)-1,MATCH(H33,Rame!$F$1:$FF$1,0)-1))*IF(D33="Rame",1,0)</f>
        <v>0</v>
      </c>
      <c r="Q33" s="126">
        <f t="shared" ca="1" si="1"/>
        <v>0</v>
      </c>
      <c r="R33" s="126">
        <f t="shared" si="7"/>
        <v>0</v>
      </c>
      <c r="S33" s="127"/>
      <c r="T33" s="128">
        <f t="shared" ca="1" si="3"/>
        <v>0</v>
      </c>
      <c r="U33" s="125">
        <f t="shared" si="4"/>
        <v>93.6</v>
      </c>
      <c r="V33" s="129"/>
      <c r="W33" s="130">
        <f t="shared" ca="1" si="5"/>
        <v>-1.31</v>
      </c>
      <c r="X33" s="125">
        <f t="shared" ca="1" si="6"/>
        <v>0</v>
      </c>
      <c r="Y33" s="131"/>
      <c r="Z33" s="100"/>
    </row>
    <row r="34" spans="1:26" ht="15.75" thickBot="1" x14ac:dyDescent="0.3">
      <c r="A34" s="103" t="s">
        <v>155</v>
      </c>
      <c r="B34" s="88" t="s">
        <v>153</v>
      </c>
      <c r="C34" s="121">
        <v>304</v>
      </c>
      <c r="D34" s="89" t="s">
        <v>4</v>
      </c>
      <c r="E34" s="122">
        <v>1.3</v>
      </c>
      <c r="F34" s="123">
        <v>41635</v>
      </c>
      <c r="G34" s="88" t="s">
        <v>26</v>
      </c>
      <c r="H34" s="88"/>
      <c r="I34" s="125">
        <v>0.18</v>
      </c>
      <c r="J34" s="115">
        <f ca="1">IF(ISERROR(OFFSET(Tabella!$A$1,MATCH(G34,Tabella!$A:$A,0)-1,MATCH(I34,Tabella!$A$1:$AC$1,0)-1)=TRUE),0,+OFFSET(Tabella!$A$1,MATCH(G34,Tabella!$A:$A,0)-1,MATCH(I34,Tabella!$A$1:$AC$1,0)-1))</f>
        <v>0</v>
      </c>
      <c r="K34" s="85">
        <f ca="1">IF(ISERROR(OFFSET(Ottone!$A$1,MATCH(G34,Ottone!$A:$A,0)-1,MATCH(I34,Ottone!$A$1:$Z$1,0)-1)=TRUE),0,OFFSET(Ottone!$A$1,MATCH(G34,Ottone!$A:$A,0)-1,MATCH(I34,Ottone!$A$1:$Z$1,0)-1))*IF(D34="Ottone",1,0)</f>
        <v>0</v>
      </c>
      <c r="L34" s="85">
        <f ca="1">IF(ISERROR(OFFSET(Rame!$A$1,MATCH(G34,Rame!$A:$A,0)-1,MATCH(I34,Rame!$A$1:$AA$1,0)-1)=TRUE),0,OFFSET(Rame!$A$1,MATCH(G34,Rame!$A:$A,0)-1,MATCH(I34,Rame!$A$1:$AA$1,0)-1))*IF(D34="Rame",1,0)</f>
        <v>0</v>
      </c>
      <c r="M34" s="126">
        <f t="shared" ca="1" si="0"/>
        <v>0</v>
      </c>
      <c r="N34" s="126">
        <f ca="1">+IF(ISERROR(OFFSET(Tabella!$G$1,MATCH(G34,Tabella!$G:$G,0)-1,MATCH(H34,Tabella!$G$1:$FG$1,0)-1)=TRUE),0,OFFSET(Tabella!$G$1,MATCH(G34,Tabella!$G:$G,0)-1,MATCH(H34,Tabella!$G$1:$AB$1,0)-1))</f>
        <v>0</v>
      </c>
      <c r="O34" s="126">
        <f ca="1">IF(ISERROR(OFFSET(Ottone!$F$1,MATCH(G34,Ottone!$A:$A,0)-1,MATCH(H34,Ottone!$F$1:$FF$1,0)-1)=TRUE),0,OFFSET(Ottone!$F$1,MATCH(G34,Ottone!$A:$A,0)-1,MATCH(H34,Ottone!$F$1:$FF$1,0)-1))*IF(D34="Ottone",1,0)</f>
        <v>0</v>
      </c>
      <c r="P34" s="126">
        <f ca="1">IF(ISERROR(OFFSET(Rame!$F$1,MATCH(G34,Rame!$F:$F,0)-1,MATCH(H34,Rame!$F$1:$FF$1,0)-1)=TRUE),0,OFFSET(Rame!$F$1,MATCH(G34,Rame!$F:$F,0)-1,MATCH(H34,Rame!$F$1:$FF$1,0)-1))*IF(D34="Rame",1,0)</f>
        <v>0</v>
      </c>
      <c r="Q34" s="126">
        <f t="shared" ca="1" si="1"/>
        <v>0</v>
      </c>
      <c r="R34" s="126">
        <f t="shared" si="7"/>
        <v>0</v>
      </c>
      <c r="S34" s="127"/>
      <c r="T34" s="128">
        <f t="shared" ca="1" si="3"/>
        <v>0</v>
      </c>
      <c r="U34" s="125">
        <f t="shared" si="4"/>
        <v>54.72</v>
      </c>
      <c r="V34" s="129"/>
      <c r="W34" s="130">
        <f t="shared" ca="1" si="5"/>
        <v>-1.3</v>
      </c>
      <c r="X34" s="125">
        <f t="shared" ca="1" si="6"/>
        <v>0</v>
      </c>
      <c r="Y34" s="131"/>
      <c r="Z34" s="100"/>
    </row>
    <row r="35" spans="1:26" ht="15.75" thickBot="1" x14ac:dyDescent="0.3">
      <c r="A35" s="103" t="s">
        <v>156</v>
      </c>
      <c r="B35" s="88" t="s">
        <v>153</v>
      </c>
      <c r="C35" s="121">
        <v>578</v>
      </c>
      <c r="D35" s="89" t="s">
        <v>4</v>
      </c>
      <c r="E35" s="122">
        <v>1.3</v>
      </c>
      <c r="F35" s="123">
        <v>41627</v>
      </c>
      <c r="G35" s="88" t="s">
        <v>17</v>
      </c>
      <c r="H35" s="88"/>
      <c r="I35" s="125">
        <v>0.18</v>
      </c>
      <c r="J35" s="115">
        <f ca="1">IF(ISERROR(OFFSET(Tabella!$A$1,MATCH(G35,Tabella!$A:$A,0)-1,MATCH(I35,Tabella!$A$1:$AC$1,0)-1)=TRUE),0,+OFFSET(Tabella!$A$1,MATCH(G35,Tabella!$A:$A,0)-1,MATCH(I35,Tabella!$A$1:$AC$1,0)-1))</f>
        <v>0</v>
      </c>
      <c r="K35" s="85">
        <f ca="1">IF(ISERROR(OFFSET(Ottone!$A$1,MATCH(G35,Ottone!$A:$A,0)-1,MATCH(I35,Ottone!$A$1:$Z$1,0)-1)=TRUE),0,OFFSET(Ottone!$A$1,MATCH(G35,Ottone!$A:$A,0)-1,MATCH(I35,Ottone!$A$1:$Z$1,0)-1))*IF(D35="Ottone",1,0)</f>
        <v>0</v>
      </c>
      <c r="L35" s="85">
        <f ca="1">IF(ISERROR(OFFSET(Rame!$A$1,MATCH(G35,Rame!$A:$A,0)-1,MATCH(I35,Rame!$A$1:$AA$1,0)-1)=TRUE),0,OFFSET(Rame!$A$1,MATCH(G35,Rame!$A:$A,0)-1,MATCH(I35,Rame!$A$1:$AA$1,0)-1))*IF(D35="Rame",1,0)</f>
        <v>0</v>
      </c>
      <c r="M35" s="126">
        <f t="shared" ca="1" si="0"/>
        <v>0</v>
      </c>
      <c r="N35" s="126">
        <f ca="1">+IF(ISERROR(OFFSET(Tabella!$G$1,MATCH(G35,Tabella!$G:$G,0)-1,MATCH(H35,Tabella!$G$1:$FG$1,0)-1)=TRUE),0,OFFSET(Tabella!$G$1,MATCH(G35,Tabella!$G:$G,0)-1,MATCH(H35,Tabella!$G$1:$AB$1,0)-1))</f>
        <v>0</v>
      </c>
      <c r="O35" s="126">
        <f ca="1">IF(ISERROR(OFFSET(Ottone!$F$1,MATCH(G35,Ottone!$A:$A,0)-1,MATCH(H35,Ottone!$F$1:$FF$1,0)-1)=TRUE),0,OFFSET(Ottone!$F$1,MATCH(G35,Ottone!$A:$A,0)-1,MATCH(H35,Ottone!$F$1:$FF$1,0)-1))*IF(D35="Ottone",1,0)</f>
        <v>0</v>
      </c>
      <c r="P35" s="126">
        <f ca="1">IF(ISERROR(OFFSET(Rame!$F$1,MATCH(G35,Rame!$F:$F,0)-1,MATCH(H35,Rame!$F$1:$FF$1,0)-1)=TRUE),0,OFFSET(Rame!$F$1,MATCH(G35,Rame!$F:$F,0)-1,MATCH(H35,Rame!$F$1:$FF$1,0)-1))*IF(D35="Rame",1,0)</f>
        <v>0</v>
      </c>
      <c r="Q35" s="126">
        <f t="shared" ca="1" si="1"/>
        <v>0</v>
      </c>
      <c r="R35" s="126">
        <f t="shared" si="7"/>
        <v>0</v>
      </c>
      <c r="S35" s="127"/>
      <c r="T35" s="128">
        <f t="shared" ca="1" si="3"/>
        <v>0</v>
      </c>
      <c r="U35" s="125">
        <f t="shared" si="4"/>
        <v>104.03999999999999</v>
      </c>
      <c r="V35" s="129"/>
      <c r="W35" s="130">
        <f t="shared" ca="1" si="5"/>
        <v>-1.3</v>
      </c>
      <c r="X35" s="125">
        <f t="shared" ca="1" si="6"/>
        <v>0</v>
      </c>
      <c r="Y35" s="131"/>
      <c r="Z35" s="100"/>
    </row>
    <row r="36" spans="1:26" ht="15.75" thickBot="1" x14ac:dyDescent="0.3">
      <c r="A36" s="103"/>
      <c r="B36" s="88"/>
      <c r="C36" s="121"/>
      <c r="D36" s="89"/>
      <c r="E36" s="122"/>
      <c r="F36" s="123"/>
      <c r="G36" s="88"/>
      <c r="H36" s="88"/>
      <c r="I36" s="125"/>
      <c r="J36" s="115">
        <f ca="1">IF(ISERROR(OFFSET(Tabella!$A$1,MATCH(G36,Tabella!$A:$A,0)-1,MATCH(I36,Tabella!$A$1:$AC$1,0)-1)=TRUE),0,+OFFSET(Tabella!$A$1,MATCH(G36,Tabella!$A:$A,0)-1,MATCH(I36,Tabella!$A$1:$AC$1,0)-1))</f>
        <v>0</v>
      </c>
      <c r="K36" s="85">
        <f ca="1">IF(ISERROR(OFFSET(Ottone!$A$1,MATCH(G36,Ottone!$A:$A,0)-1,MATCH(I36,Ottone!$A$1:$Z$1,0)-1)=TRUE),0,OFFSET(Ottone!$A$1,MATCH(G36,Ottone!$A:$A,0)-1,MATCH(I36,Ottone!$A$1:$Z$1,0)-1))*IF(D36="Ottone",1,0)</f>
        <v>0</v>
      </c>
      <c r="L36" s="85">
        <f ca="1">IF(ISERROR(OFFSET(Rame!$A$1,MATCH(G36,Rame!$A:$A,0)-1,MATCH(I36,Rame!$A$1:$AA$1,0)-1)=TRUE),0,OFFSET(Rame!$A$1,MATCH(G36,Rame!$A:$A,0)-1,MATCH(I36,Rame!$A$1:$AA$1,0)-1))*IF(D36="Rame",1,0)</f>
        <v>0</v>
      </c>
      <c r="M36" s="126">
        <f t="shared" ca="1" si="0"/>
        <v>0</v>
      </c>
      <c r="N36" s="126">
        <f ca="1">+IF(ISERROR(OFFSET(Tabella!$G$1,MATCH(G36,Tabella!$G:$G,0)-1,MATCH(H36,Tabella!$G$1:$FG$1,0)-1)=TRUE),0,OFFSET(Tabella!$G$1,MATCH(G36,Tabella!$G:$G,0)-1,MATCH(H36,Tabella!$G$1:$AB$1,0)-1))</f>
        <v>0</v>
      </c>
      <c r="O36" s="126">
        <f ca="1">IF(ISERROR(OFFSET(Ottone!$F$1,MATCH(G36,Ottone!$A:$A,0)-1,MATCH(H36,Ottone!$F$1:$FF$1,0)-1)=TRUE),0,OFFSET(Ottone!$F$1,MATCH(G36,Ottone!$A:$A,0)-1,MATCH(H36,Ottone!$F$1:$FF$1,0)-1))*IF(D36="Ottone",1,0)</f>
        <v>0</v>
      </c>
      <c r="P36" s="126">
        <f ca="1">IF(ISERROR(OFFSET(Rame!$F$1,MATCH(G36,Rame!$F:$F,0)-1,MATCH(H36,Rame!$F$1:$FF$1,0)-1)=TRUE),0,OFFSET(Rame!$F$1,MATCH(G36,Rame!$F:$F,0)-1,MATCH(H36,Rame!$F$1:$FF$1,0)-1))*IF(D36="Rame",1,0)</f>
        <v>0</v>
      </c>
      <c r="Q36" s="126">
        <f t="shared" ca="1" si="1"/>
        <v>0</v>
      </c>
      <c r="R36" s="126">
        <f t="shared" si="7"/>
        <v>0</v>
      </c>
      <c r="S36" s="127"/>
      <c r="T36" s="128">
        <f t="shared" ca="1" si="3"/>
        <v>0</v>
      </c>
      <c r="U36" s="125">
        <f t="shared" si="4"/>
        <v>0</v>
      </c>
      <c r="V36" s="129"/>
      <c r="W36" s="130">
        <f t="shared" ca="1" si="5"/>
        <v>0</v>
      </c>
      <c r="X36" s="125">
        <f t="shared" ca="1" si="6"/>
        <v>0</v>
      </c>
      <c r="Y36" s="131"/>
      <c r="Z36" s="100"/>
    </row>
    <row r="37" spans="1:26" ht="15.75" thickBot="1" x14ac:dyDescent="0.3">
      <c r="A37" s="103"/>
      <c r="B37" s="88"/>
      <c r="C37" s="121"/>
      <c r="D37" s="89"/>
      <c r="E37" s="122"/>
      <c r="F37" s="123"/>
      <c r="G37" s="88"/>
      <c r="H37" s="88"/>
      <c r="I37" s="125"/>
      <c r="J37" s="115">
        <f ca="1">IF(ISERROR(OFFSET(Tabella!$A$1,MATCH(G37,Tabella!$A:$A,0)-1,MATCH(I37,Tabella!$A$1:$AC$1,0)-1)=TRUE),0,+OFFSET(Tabella!$A$1,MATCH(G37,Tabella!$A:$A,0)-1,MATCH(I37,Tabella!$A$1:$AC$1,0)-1))</f>
        <v>0</v>
      </c>
      <c r="K37" s="85">
        <f ca="1">IF(ISERROR(OFFSET(Ottone!$A$1,MATCH(G37,Ottone!$A:$A,0)-1,MATCH(I37,Ottone!$A$1:$Z$1,0)-1)=TRUE),0,OFFSET(Ottone!$A$1,MATCH(G37,Ottone!$A:$A,0)-1,MATCH(I37,Ottone!$A$1:$Z$1,0)-1))*IF(D37="Ottone",1,0)</f>
        <v>0</v>
      </c>
      <c r="L37" s="85">
        <f ca="1">IF(ISERROR(OFFSET(Rame!$A$1,MATCH(G37,Rame!$A:$A,0)-1,MATCH(I37,Rame!$A$1:$AA$1,0)-1)=TRUE),0,OFFSET(Rame!$A$1,MATCH(G37,Rame!$A:$A,0)-1,MATCH(I37,Rame!$A$1:$AA$1,0)-1))*IF(D37="Rame",1,0)</f>
        <v>0</v>
      </c>
      <c r="M37" s="126">
        <f t="shared" ca="1" si="0"/>
        <v>0</v>
      </c>
      <c r="N37" s="126">
        <f ca="1">+IF(ISERROR(OFFSET(Tabella!$G$1,MATCH(G37,Tabella!$G:$G,0)-1,MATCH(H37,Tabella!$G$1:$FG$1,0)-1)=TRUE),0,OFFSET(Tabella!$G$1,MATCH(G37,Tabella!$G:$G,0)-1,MATCH(H37,Tabella!$G$1:$AB$1,0)-1))</f>
        <v>0</v>
      </c>
      <c r="O37" s="126">
        <f ca="1">IF(ISERROR(OFFSET(Ottone!$F$1,MATCH(G37,Ottone!$A:$A,0)-1,MATCH(H37,Ottone!$F$1:$FF$1,0)-1)=TRUE),0,OFFSET(Ottone!$F$1,MATCH(G37,Ottone!$A:$A,0)-1,MATCH(H37,Ottone!$F$1:$FF$1,0)-1))*IF(D37="Ottone",1,0)</f>
        <v>0</v>
      </c>
      <c r="P37" s="126">
        <f ca="1">IF(ISERROR(OFFSET(Rame!$F$1,MATCH(G37,Rame!$F:$F,0)-1,MATCH(H37,Rame!$F$1:$FF$1,0)-1)=TRUE),0,OFFSET(Rame!$F$1,MATCH(G37,Rame!$F:$F,0)-1,MATCH(H37,Rame!$F$1:$FF$1,0)-1))*IF(D37="Rame",1,0)</f>
        <v>0</v>
      </c>
      <c r="Q37" s="126">
        <f t="shared" ca="1" si="1"/>
        <v>0</v>
      </c>
      <c r="R37" s="126">
        <f t="shared" si="7"/>
        <v>0</v>
      </c>
      <c r="S37" s="127"/>
      <c r="T37" s="128">
        <f t="shared" ca="1" si="3"/>
        <v>0</v>
      </c>
      <c r="U37" s="125">
        <f t="shared" si="4"/>
        <v>0</v>
      </c>
      <c r="V37" s="129"/>
      <c r="W37" s="130">
        <f t="shared" ca="1" si="5"/>
        <v>0</v>
      </c>
      <c r="X37" s="125">
        <f t="shared" ca="1" si="6"/>
        <v>0</v>
      </c>
      <c r="Y37" s="131"/>
      <c r="Z37" s="100"/>
    </row>
    <row r="38" spans="1:26" ht="15.75" thickBot="1" x14ac:dyDescent="0.3">
      <c r="A38" s="103"/>
      <c r="B38" s="88"/>
      <c r="C38" s="121"/>
      <c r="D38" s="89"/>
      <c r="E38" s="122"/>
      <c r="F38" s="123"/>
      <c r="G38" s="88"/>
      <c r="H38" s="88"/>
      <c r="I38" s="125"/>
      <c r="J38" s="115">
        <f ca="1">IF(ISERROR(OFFSET(Tabella!$A$1,MATCH(G38,Tabella!$A:$A,0)-1,MATCH(I38,Tabella!$A$1:$AC$1,0)-1)=TRUE),0,+OFFSET(Tabella!$A$1,MATCH(G38,Tabella!$A:$A,0)-1,MATCH(I38,Tabella!$A$1:$AC$1,0)-1))</f>
        <v>0</v>
      </c>
      <c r="K38" s="85">
        <f ca="1">IF(ISERROR(OFFSET(Ottone!$A$1,MATCH(G38,Ottone!$A:$A,0)-1,MATCH(I38,Ottone!$A$1:$Z$1,0)-1)=TRUE),0,OFFSET(Ottone!$A$1,MATCH(G38,Ottone!$A:$A,0)-1,MATCH(I38,Ottone!$A$1:$Z$1,0)-1))*IF(D38="Ottone",1,0)</f>
        <v>0</v>
      </c>
      <c r="L38" s="85">
        <f ca="1">IF(ISERROR(OFFSET(Rame!$A$1,MATCH(G38,Rame!$A:$A,0)-1,MATCH(I38,Rame!$A$1:$AA$1,0)-1)=TRUE),0,OFFSET(Rame!$A$1,MATCH(G38,Rame!$A:$A,0)-1,MATCH(I38,Rame!$A$1:$AA$1,0)-1))*IF(D38="Rame",1,0)</f>
        <v>0</v>
      </c>
      <c r="M38" s="126">
        <f t="shared" ca="1" si="0"/>
        <v>0</v>
      </c>
      <c r="N38" s="126">
        <f ca="1">+IF(ISERROR(OFFSET(Tabella!$G$1,MATCH(G38,Tabella!$G:$G,0)-1,MATCH(H38,Tabella!$G$1:$FG$1,0)-1)=TRUE),0,OFFSET(Tabella!$G$1,MATCH(G38,Tabella!$G:$G,0)-1,MATCH(H38,Tabella!$G$1:$AB$1,0)-1))</f>
        <v>0</v>
      </c>
      <c r="O38" s="126">
        <f ca="1">IF(ISERROR(OFFSET(Ottone!$F$1,MATCH(G38,Ottone!$A:$A,0)-1,MATCH(H38,Ottone!$F$1:$FF$1,0)-1)=TRUE),0,OFFSET(Ottone!$F$1,MATCH(G38,Ottone!$A:$A,0)-1,MATCH(H38,Ottone!$F$1:$FF$1,0)-1))*IF(D38="Ottone",1,0)</f>
        <v>0</v>
      </c>
      <c r="P38" s="126">
        <f ca="1">IF(ISERROR(OFFSET(Rame!$F$1,MATCH(G38,Rame!$F:$F,0)-1,MATCH(H38,Rame!$F$1:$FF$1,0)-1)=TRUE),0,OFFSET(Rame!$F$1,MATCH(G38,Rame!$F:$F,0)-1,MATCH(H38,Rame!$F$1:$FF$1,0)-1))*IF(D38="Rame",1,0)</f>
        <v>0</v>
      </c>
      <c r="Q38" s="126">
        <f t="shared" ca="1" si="1"/>
        <v>0</v>
      </c>
      <c r="R38" s="126">
        <f t="shared" si="7"/>
        <v>0</v>
      </c>
      <c r="S38" s="127"/>
      <c r="T38" s="128">
        <f t="shared" ca="1" si="3"/>
        <v>0</v>
      </c>
      <c r="U38" s="125">
        <f t="shared" si="4"/>
        <v>0</v>
      </c>
      <c r="V38" s="129"/>
      <c r="W38" s="130">
        <f t="shared" ca="1" si="5"/>
        <v>0</v>
      </c>
      <c r="X38" s="125">
        <f t="shared" ca="1" si="6"/>
        <v>0</v>
      </c>
      <c r="Y38" s="131"/>
      <c r="Z38" s="100"/>
    </row>
    <row r="39" spans="1:26" ht="15.75" thickBot="1" x14ac:dyDescent="0.3">
      <c r="A39" s="103"/>
      <c r="B39" s="88"/>
      <c r="C39" s="121"/>
      <c r="D39" s="89"/>
      <c r="E39" s="122"/>
      <c r="F39" s="123"/>
      <c r="G39" s="88"/>
      <c r="H39" s="88"/>
      <c r="I39" s="125"/>
      <c r="J39" s="115">
        <f ca="1">IF(ISERROR(OFFSET(Tabella!$A$1,MATCH(G39,Tabella!$A:$A,0)-1,MATCH(I39,Tabella!$A$1:$AC$1,0)-1)=TRUE),0,+OFFSET(Tabella!$A$1,MATCH(G39,Tabella!$A:$A,0)-1,MATCH(I39,Tabella!$A$1:$AC$1,0)-1))</f>
        <v>0</v>
      </c>
      <c r="K39" s="85">
        <f ca="1">IF(ISERROR(OFFSET(Ottone!$A$1,MATCH(G39,Ottone!$A:$A,0)-1,MATCH(I39,Ottone!$A$1:$Z$1,0)-1)=TRUE),0,OFFSET(Ottone!$A$1,MATCH(G39,Ottone!$A:$A,0)-1,MATCH(I39,Ottone!$A$1:$Z$1,0)-1))*IF(D39="Ottone",1,0)</f>
        <v>0</v>
      </c>
      <c r="L39" s="85">
        <f ca="1">IF(ISERROR(OFFSET(Rame!$A$1,MATCH(G39,Rame!$A:$A,0)-1,MATCH(I39,Rame!$A$1:$AA$1,0)-1)=TRUE),0,OFFSET(Rame!$A$1,MATCH(G39,Rame!$A:$A,0)-1,MATCH(I39,Rame!$A$1:$AA$1,0)-1))*IF(D39="Rame",1,0)</f>
        <v>0</v>
      </c>
      <c r="M39" s="126">
        <f t="shared" ca="1" si="0"/>
        <v>0</v>
      </c>
      <c r="N39" s="126">
        <f ca="1">+IF(ISERROR(OFFSET(Tabella!$G$1,MATCH(G39,Tabella!$G:$G,0)-1,MATCH(H39,Tabella!$G$1:$FG$1,0)-1)=TRUE),0,OFFSET(Tabella!$G$1,MATCH(G39,Tabella!$G:$G,0)-1,MATCH(H39,Tabella!$G$1:$AB$1,0)-1))</f>
        <v>0</v>
      </c>
      <c r="O39" s="126">
        <f ca="1">IF(ISERROR(OFFSET(Ottone!$F$1,MATCH(G39,Ottone!$A:$A,0)-1,MATCH(H39,Ottone!$F$1:$FF$1,0)-1)=TRUE),0,OFFSET(Ottone!$F$1,MATCH(G39,Ottone!$A:$A,0)-1,MATCH(H39,Ottone!$F$1:$FF$1,0)-1))*IF(D39="Ottone",1,0)</f>
        <v>0</v>
      </c>
      <c r="P39" s="126">
        <f ca="1">IF(ISERROR(OFFSET(Rame!$F$1,MATCH(G39,Rame!$F:$F,0)-1,MATCH(H39,Rame!$F$1:$FF$1,0)-1)=TRUE),0,OFFSET(Rame!$F$1,MATCH(G39,Rame!$F:$F,0)-1,MATCH(H39,Rame!$F$1:$FF$1,0)-1))*IF(D39="Rame",1,0)</f>
        <v>0</v>
      </c>
      <c r="Q39" s="126">
        <f t="shared" ca="1" si="1"/>
        <v>0</v>
      </c>
      <c r="R39" s="126">
        <f t="shared" si="7"/>
        <v>0</v>
      </c>
      <c r="S39" s="127"/>
      <c r="T39" s="128">
        <f t="shared" ca="1" si="3"/>
        <v>0</v>
      </c>
      <c r="U39" s="125">
        <f t="shared" si="4"/>
        <v>0</v>
      </c>
      <c r="V39" s="129"/>
      <c r="W39" s="130">
        <f t="shared" ca="1" si="5"/>
        <v>0</v>
      </c>
      <c r="X39" s="125">
        <f t="shared" ca="1" si="6"/>
        <v>0</v>
      </c>
      <c r="Y39" s="131"/>
      <c r="Z39" s="100"/>
    </row>
    <row r="40" spans="1:26" ht="15.75" thickBot="1" x14ac:dyDescent="0.3">
      <c r="A40" s="103"/>
      <c r="B40" s="88"/>
      <c r="C40" s="121"/>
      <c r="D40" s="89"/>
      <c r="E40" s="122"/>
      <c r="F40" s="123"/>
      <c r="G40" s="88"/>
      <c r="H40" s="88"/>
      <c r="I40" s="125"/>
      <c r="J40" s="115">
        <f ca="1">IF(ISERROR(OFFSET(Tabella!$A$1,MATCH(G40,Tabella!$A:$A,0)-1,MATCH(I40,Tabella!$A$1:$AC$1,0)-1)=TRUE),0,+OFFSET(Tabella!$A$1,MATCH(G40,Tabella!$A:$A,0)-1,MATCH(I40,Tabella!$A$1:$AC$1,0)-1))</f>
        <v>0</v>
      </c>
      <c r="K40" s="85">
        <f ca="1">IF(ISERROR(OFFSET(Ottone!$A$1,MATCH(G40,Ottone!$A:$A,0)-1,MATCH(I40,Ottone!$A$1:$Z$1,0)-1)=TRUE),0,OFFSET(Ottone!$A$1,MATCH(G40,Ottone!$A:$A,0)-1,MATCH(I40,Ottone!$A$1:$Z$1,0)-1))*IF(D40="Ottone",1,0)</f>
        <v>0</v>
      </c>
      <c r="L40" s="85">
        <f ca="1">IF(ISERROR(OFFSET(Rame!$A$1,MATCH(G40,Rame!$A:$A,0)-1,MATCH(I40,Rame!$A$1:$AA$1,0)-1)=TRUE),0,OFFSET(Rame!$A$1,MATCH(G40,Rame!$A:$A,0)-1,MATCH(I40,Rame!$A$1:$AA$1,0)-1))*IF(D40="Rame",1,0)</f>
        <v>0</v>
      </c>
      <c r="M40" s="126">
        <f t="shared" ca="1" si="0"/>
        <v>0</v>
      </c>
      <c r="N40" s="126">
        <f ca="1">+IF(ISERROR(OFFSET(Tabella!$G$1,MATCH(G40,Tabella!$G:$G,0)-1,MATCH(H40,Tabella!$G$1:$FG$1,0)-1)=TRUE),0,OFFSET(Tabella!$G$1,MATCH(G40,Tabella!$G:$G,0)-1,MATCH(H40,Tabella!$G$1:$AB$1,0)-1))</f>
        <v>0</v>
      </c>
      <c r="O40" s="126">
        <f ca="1">IF(ISERROR(OFFSET(Ottone!$F$1,MATCH(G40,Ottone!$A:$A,0)-1,MATCH(H40,Ottone!$F$1:$FF$1,0)-1)=TRUE),0,OFFSET(Ottone!$F$1,MATCH(G40,Ottone!$A:$A,0)-1,MATCH(H40,Ottone!$F$1:$FF$1,0)-1))*IF(D40="Ottone",1,0)</f>
        <v>0</v>
      </c>
      <c r="P40" s="126">
        <f ca="1">IF(ISERROR(OFFSET(Rame!$F$1,MATCH(G40,Rame!$F:$F,0)-1,MATCH(H40,Rame!$F$1:$FF$1,0)-1)=TRUE),0,OFFSET(Rame!$F$1,MATCH(G40,Rame!$F:$F,0)-1,MATCH(H40,Rame!$F$1:$FF$1,0)-1))*IF(D40="Rame",1,0)</f>
        <v>0</v>
      </c>
      <c r="Q40" s="126">
        <f t="shared" ca="1" si="1"/>
        <v>0</v>
      </c>
      <c r="R40" s="126">
        <f t="shared" si="7"/>
        <v>0</v>
      </c>
      <c r="S40" s="127"/>
      <c r="T40" s="128">
        <f t="shared" ca="1" si="3"/>
        <v>0</v>
      </c>
      <c r="U40" s="125">
        <f t="shared" si="4"/>
        <v>0</v>
      </c>
      <c r="V40" s="129"/>
      <c r="W40" s="130">
        <f t="shared" ca="1" si="5"/>
        <v>0</v>
      </c>
      <c r="X40" s="125">
        <f t="shared" ca="1" si="6"/>
        <v>0</v>
      </c>
      <c r="Y40" s="131"/>
      <c r="Z40" s="100"/>
    </row>
    <row r="41" spans="1:26" ht="15.75" thickBot="1" x14ac:dyDescent="0.3">
      <c r="A41" s="103"/>
      <c r="B41" s="88"/>
      <c r="C41" s="121"/>
      <c r="D41" s="89"/>
      <c r="E41" s="122"/>
      <c r="F41" s="123"/>
      <c r="G41" s="88"/>
      <c r="H41" s="88"/>
      <c r="I41" s="125"/>
      <c r="J41" s="115">
        <f ca="1">IF(ISERROR(OFFSET(Tabella!$A$1,MATCH(G41,Tabella!$A:$A,0)-1,MATCH(I41,Tabella!$A$1:$AC$1,0)-1)=TRUE),0,+OFFSET(Tabella!$A$1,MATCH(G41,Tabella!$A:$A,0)-1,MATCH(I41,Tabella!$A$1:$AC$1,0)-1))</f>
        <v>0</v>
      </c>
      <c r="K41" s="85">
        <f ca="1">IF(ISERROR(OFFSET(Ottone!$A$1,MATCH(G41,Ottone!$A:$A,0)-1,MATCH(I41,Ottone!$A$1:$Z$1,0)-1)=TRUE),0,OFFSET(Ottone!$A$1,MATCH(G41,Ottone!$A:$A,0)-1,MATCH(I41,Ottone!$A$1:$Z$1,0)-1))*IF(D41="Ottone",1,0)</f>
        <v>0</v>
      </c>
      <c r="L41" s="85">
        <f ca="1">IF(ISERROR(OFFSET(Rame!$A$1,MATCH(G41,Rame!$A:$A,0)-1,MATCH(I41,Rame!$A$1:$AA$1,0)-1)=TRUE),0,OFFSET(Rame!$A$1,MATCH(G41,Rame!$A:$A,0)-1,MATCH(I41,Rame!$A$1:$AA$1,0)-1))*IF(D41="Rame",1,0)</f>
        <v>0</v>
      </c>
      <c r="M41" s="126">
        <f t="shared" ca="1" si="0"/>
        <v>0</v>
      </c>
      <c r="N41" s="126">
        <f ca="1">+IF(ISERROR(OFFSET(Tabella!$G$1,MATCH(G41,Tabella!$G:$G,0)-1,MATCH(H41,Tabella!$G$1:$FG$1,0)-1)=TRUE),0,OFFSET(Tabella!$G$1,MATCH(G41,Tabella!$G:$G,0)-1,MATCH(H41,Tabella!$G$1:$AB$1,0)-1))</f>
        <v>0</v>
      </c>
      <c r="O41" s="126">
        <f ca="1">IF(ISERROR(OFFSET(Ottone!$F$1,MATCH(G41,Ottone!$A:$A,0)-1,MATCH(H41,Ottone!$F$1:$FF$1,0)-1)=TRUE),0,OFFSET(Ottone!$F$1,MATCH(G41,Ottone!$A:$A,0)-1,MATCH(H41,Ottone!$F$1:$FF$1,0)-1))*IF(D41="Ottone",1,0)</f>
        <v>0</v>
      </c>
      <c r="P41" s="126">
        <f ca="1">IF(ISERROR(OFFSET(Rame!$F$1,MATCH(G41,Rame!$F:$F,0)-1,MATCH(H41,Rame!$F$1:$FF$1,0)-1)=TRUE),0,OFFSET(Rame!$F$1,MATCH(G41,Rame!$F:$F,0)-1,MATCH(H41,Rame!$F$1:$FF$1,0)-1))*IF(D41="Rame",1,0)</f>
        <v>0</v>
      </c>
      <c r="Q41" s="126">
        <f t="shared" ca="1" si="1"/>
        <v>0</v>
      </c>
      <c r="R41" s="126">
        <f t="shared" si="7"/>
        <v>0</v>
      </c>
      <c r="S41" s="127"/>
      <c r="T41" s="128">
        <f t="shared" ca="1" si="3"/>
        <v>0</v>
      </c>
      <c r="U41" s="125">
        <f t="shared" si="4"/>
        <v>0</v>
      </c>
      <c r="V41" s="129"/>
      <c r="W41" s="130">
        <f t="shared" ca="1" si="5"/>
        <v>0</v>
      </c>
      <c r="X41" s="125">
        <f t="shared" ca="1" si="6"/>
        <v>0</v>
      </c>
      <c r="Y41" s="131"/>
      <c r="Z41" s="100"/>
    </row>
    <row r="42" spans="1:26" ht="15.75" thickBot="1" x14ac:dyDescent="0.3">
      <c r="A42" s="103"/>
      <c r="B42" s="88"/>
      <c r="C42" s="121"/>
      <c r="D42" s="89"/>
      <c r="E42" s="122"/>
      <c r="F42" s="123"/>
      <c r="G42" s="88"/>
      <c r="H42" s="88"/>
      <c r="I42" s="125"/>
      <c r="J42" s="115">
        <f ca="1">IF(ISERROR(OFFSET(Tabella!$A$1,MATCH(G42,Tabella!$A:$A,0)-1,MATCH(I42,Tabella!$A$1:$AC$1,0)-1)=TRUE),0,+OFFSET(Tabella!$A$1,MATCH(G42,Tabella!$A:$A,0)-1,MATCH(I42,Tabella!$A$1:$AC$1,0)-1))</f>
        <v>0</v>
      </c>
      <c r="K42" s="85">
        <f ca="1">IF(ISERROR(OFFSET(Ottone!$A$1,MATCH(G42,Ottone!$A:$A,0)-1,MATCH(I42,Ottone!$A$1:$Z$1,0)-1)=TRUE),0,OFFSET(Ottone!$A$1,MATCH(G42,Ottone!$A:$A,0)-1,MATCH(I42,Ottone!$A$1:$Z$1,0)-1))*IF(D42="Ottone",1,0)</f>
        <v>0</v>
      </c>
      <c r="L42" s="85">
        <f ca="1">IF(ISERROR(OFFSET(Rame!$A$1,MATCH(G42,Rame!$A:$A,0)-1,MATCH(I42,Rame!$A$1:$AA$1,0)-1)=TRUE),0,OFFSET(Rame!$A$1,MATCH(G42,Rame!$A:$A,0)-1,MATCH(I42,Rame!$A$1:$AA$1,0)-1))*IF(D42="Rame",1,0)</f>
        <v>0</v>
      </c>
      <c r="M42" s="126">
        <f t="shared" ca="1" si="0"/>
        <v>0</v>
      </c>
      <c r="N42" s="126">
        <f ca="1">+IF(ISERROR(OFFSET(Tabella!$G$1,MATCH(G42,Tabella!$G:$G,0)-1,MATCH(H42,Tabella!$G$1:$FG$1,0)-1)=TRUE),0,OFFSET(Tabella!$G$1,MATCH(G42,Tabella!$G:$G,0)-1,MATCH(H42,Tabella!$G$1:$AB$1,0)-1))</f>
        <v>0</v>
      </c>
      <c r="O42" s="126">
        <f ca="1">IF(ISERROR(OFFSET(Ottone!$F$1,MATCH(G42,Ottone!$A:$A,0)-1,MATCH(H42,Ottone!$F$1:$FF$1,0)-1)=TRUE),0,OFFSET(Ottone!$F$1,MATCH(G42,Ottone!$A:$A,0)-1,MATCH(H42,Ottone!$F$1:$FF$1,0)-1))*IF(D42="Ottone",1,0)</f>
        <v>0</v>
      </c>
      <c r="P42" s="126">
        <f ca="1">IF(ISERROR(OFFSET(Rame!$F$1,MATCH(G42,Rame!$F:$F,0)-1,MATCH(H42,Rame!$F$1:$FF$1,0)-1)=TRUE),0,OFFSET(Rame!$F$1,MATCH(G42,Rame!$F:$F,0)-1,MATCH(H42,Rame!$F$1:$FF$1,0)-1))*IF(D42="Rame",1,0)</f>
        <v>0</v>
      </c>
      <c r="Q42" s="126">
        <f t="shared" ca="1" si="1"/>
        <v>0</v>
      </c>
      <c r="R42" s="126">
        <f t="shared" si="7"/>
        <v>0</v>
      </c>
      <c r="S42" s="127"/>
      <c r="T42" s="128">
        <f t="shared" ca="1" si="3"/>
        <v>0</v>
      </c>
      <c r="U42" s="125">
        <f t="shared" si="4"/>
        <v>0</v>
      </c>
      <c r="V42" s="129"/>
      <c r="W42" s="130">
        <f t="shared" ca="1" si="5"/>
        <v>0</v>
      </c>
      <c r="X42" s="125">
        <f t="shared" ca="1" si="6"/>
        <v>0</v>
      </c>
      <c r="Y42" s="131"/>
      <c r="Z42" s="100"/>
    </row>
    <row r="43" spans="1:26" ht="15.75" thickBot="1" x14ac:dyDescent="0.3">
      <c r="A43" s="103"/>
      <c r="B43" s="88"/>
      <c r="C43" s="121"/>
      <c r="D43" s="89"/>
      <c r="E43" s="122"/>
      <c r="F43" s="123"/>
      <c r="G43" s="88"/>
      <c r="H43" s="124"/>
      <c r="I43" s="125"/>
      <c r="J43" s="115">
        <f ca="1">IF(ISERROR(OFFSET(Tabella!$A$1,MATCH(G43,Tabella!$A:$A,0)-1,MATCH(I43,Tabella!$A$1:$AC$1,0)-1)=TRUE),0,+OFFSET(Tabella!$A$1,MATCH(G43,Tabella!$A:$A,0)-1,MATCH(I43,Tabella!$A$1:$AC$1,0)-1))</f>
        <v>0</v>
      </c>
      <c r="K43" s="85">
        <f ca="1">IF(ISERROR(OFFSET(Ottone!$A$1,MATCH(G43,Ottone!$A:$A,0)-1,MATCH(I43,Ottone!$A$1:$Z$1,0)-1)=TRUE),0,OFFSET(Ottone!$A$1,MATCH(G43,Ottone!$A:$A,0)-1,MATCH(I43,Ottone!$A$1:$Z$1,0)-1))*IF(D43="Ottone",1,0)</f>
        <v>0</v>
      </c>
      <c r="L43" s="85">
        <f ca="1">IF(ISERROR(OFFSET(Rame!$A$1,MATCH(G43,Rame!$A:$A,0)-1,MATCH(I43,Rame!$A$1:$AA$1,0)-1)=TRUE),0,OFFSET(Rame!$A$1,MATCH(G43,Rame!$A:$A,0)-1,MATCH(I43,Rame!$A$1:$AA$1,0)-1))*IF(D43="Rame",1,0)</f>
        <v>0</v>
      </c>
      <c r="M43" s="126">
        <f t="shared" ca="1" si="0"/>
        <v>0</v>
      </c>
      <c r="N43" s="126">
        <f ca="1">+IF(ISERROR(OFFSET(Tabella!$G$1,MATCH(G43,Tabella!$G:$G,0)-1,MATCH(H43,Tabella!$G$1:$FG$1,0)-1)=TRUE),0,OFFSET(Tabella!$G$1,MATCH(G43,Tabella!$G:$G,0)-1,MATCH(H43,Tabella!$G$1:$AB$1,0)-1))</f>
        <v>0</v>
      </c>
      <c r="O43" s="126">
        <f ca="1">IF(ISERROR(OFFSET(Ottone!$F$1,MATCH(G43,Ottone!$A:$A,0)-1,MATCH(H43,Ottone!$F$1:$FF$1,0)-1)=TRUE),0,OFFSET(Ottone!$F$1,MATCH(G43,Ottone!$A:$A,0)-1,MATCH(H43,Ottone!$F$1:$FF$1,0)-1))*IF(D43="Ottone",1,0)</f>
        <v>0</v>
      </c>
      <c r="P43" s="126">
        <f ca="1">IF(ISERROR(OFFSET(Rame!$F$1,MATCH(G43,Rame!$F:$F,0)-1,MATCH(H43,Rame!$F$1:$FF$1,0)-1)=TRUE),0,OFFSET(Rame!$F$1,MATCH(G43,Rame!$F:$F,0)-1,MATCH(H43,Rame!$F$1:$FF$1,0)-1))*IF(D43="Rame",1,0)</f>
        <v>0</v>
      </c>
      <c r="Q43" s="126">
        <f t="shared" ca="1" si="1"/>
        <v>0</v>
      </c>
      <c r="R43" s="126">
        <f t="shared" si="7"/>
        <v>0</v>
      </c>
      <c r="S43" s="127"/>
      <c r="T43" s="128">
        <f t="shared" ca="1" si="3"/>
        <v>0</v>
      </c>
      <c r="U43" s="125">
        <f t="shared" si="4"/>
        <v>0</v>
      </c>
      <c r="V43" s="129"/>
      <c r="W43" s="130">
        <f t="shared" ca="1" si="5"/>
        <v>0</v>
      </c>
      <c r="X43" s="125">
        <f t="shared" ca="1" si="6"/>
        <v>0</v>
      </c>
      <c r="Y43" s="131"/>
      <c r="Z43" s="100"/>
    </row>
    <row r="44" spans="1:26" ht="15.75" thickBot="1" x14ac:dyDescent="0.3">
      <c r="A44" s="133"/>
      <c r="B44" s="134"/>
      <c r="C44" s="135"/>
      <c r="D44" s="136"/>
      <c r="E44" s="137"/>
      <c r="F44" s="138"/>
      <c r="G44" s="134"/>
      <c r="H44" s="134"/>
      <c r="I44" s="139"/>
      <c r="J44" s="115">
        <f ca="1">IF(ISERROR(OFFSET(Tabella!$A$1,MATCH(G44,Tabella!$A:$A,0)-1,MATCH(I44,Tabella!$A$1:$AC$1,0)-1)=TRUE),0,+OFFSET(Tabella!$A$1,MATCH(G44,Tabella!$A:$A,0)-1,MATCH(I44,Tabella!$A$1:$AC$1,0)-1))</f>
        <v>0</v>
      </c>
      <c r="K44" s="85">
        <f ca="1">IF(ISERROR(OFFSET(Ottone!$A$1,MATCH(G44,Ottone!$A:$A,0)-1,MATCH(I44,Ottone!$A$1:$Z$1,0)-1)=TRUE),0,OFFSET(Ottone!$A$1,MATCH(G44,Ottone!$A:$A,0)-1,MATCH(I44,Ottone!$A$1:$Z$1,0)-1))*IF(D44="Ottone",1,0)</f>
        <v>0</v>
      </c>
      <c r="L44" s="85">
        <f ca="1">IF(ISERROR(OFFSET(Rame!$A$1,MATCH(G44,Rame!$A:$A,0)-1,MATCH(I44,Rame!$A$1:$AA$1,0)-1)=TRUE),0,OFFSET(Rame!$A$1,MATCH(G44,Rame!$A:$A,0)-1,MATCH(I44,Rame!$A$1:$AA$1,0)-1))*IF(D44="Rame",1,0)</f>
        <v>0</v>
      </c>
      <c r="M44" s="140">
        <f t="shared" ca="1" si="0"/>
        <v>0</v>
      </c>
      <c r="N44" s="140">
        <f ca="1">+IF(ISERROR(OFFSET(Tabella!$G$1,MATCH(G44,Tabella!$G:$G,0)-1,MATCH(H44,Tabella!$G$1:$FG$1,0)-1)=TRUE),0,OFFSET(Tabella!$G$1,MATCH(G44,Tabella!$G:$G,0)-1,MATCH(H44,Tabella!$G$1:$AB$1,0)-1))</f>
        <v>0</v>
      </c>
      <c r="O44" s="140">
        <f ca="1">IF(ISERROR(OFFSET(Ottone!$F$1,MATCH(G44,Ottone!$A:$A,0)-1,MATCH(H44,Ottone!$F$1:$FF$1,0)-1)=TRUE),0,OFFSET(Ottone!$F$1,MATCH(G44,Ottone!$A:$A,0)-1,MATCH(H44,Ottone!$F$1:$FF$1,0)-1))*IF(D44="Ottone",1,0)</f>
        <v>0</v>
      </c>
      <c r="P44" s="140">
        <f ca="1">IF(ISERROR(OFFSET(Rame!$F$1,MATCH(G44,Rame!$F:$F,0)-1,MATCH(H44,Rame!$F$1:$FF$1,0)-1)=TRUE),0,OFFSET(Rame!$F$1,MATCH(G44,Rame!$F:$F,0)-1,MATCH(H44,Rame!$F$1:$FF$1,0)-1))*IF(D44="Rame",1,0)</f>
        <v>0</v>
      </c>
      <c r="Q44" s="140">
        <f t="shared" ca="1" si="1"/>
        <v>0</v>
      </c>
      <c r="R44" s="140">
        <f t="shared" si="7"/>
        <v>0</v>
      </c>
      <c r="S44" s="141"/>
      <c r="T44" s="142">
        <f t="shared" ca="1" si="3"/>
        <v>0</v>
      </c>
      <c r="U44" s="143">
        <f t="shared" si="4"/>
        <v>0</v>
      </c>
      <c r="V44" s="144"/>
      <c r="W44" s="145">
        <f t="shared" ca="1" si="5"/>
        <v>0</v>
      </c>
      <c r="X44" s="139">
        <f t="shared" ca="1" si="6"/>
        <v>0</v>
      </c>
      <c r="Y44" s="146"/>
      <c r="Z44" s="101"/>
    </row>
    <row r="45" spans="1:26" ht="15.75" thickBot="1" x14ac:dyDescent="0.3">
      <c r="C45" s="90">
        <f>SUM(C6:C44)</f>
        <v>19012</v>
      </c>
      <c r="R45" s="147"/>
      <c r="S45" s="148"/>
      <c r="U45" s="91">
        <f>SUM(U6:U44)</f>
        <v>2327.36</v>
      </c>
      <c r="X45" s="82">
        <f ca="1">SUM(X6:X44)</f>
        <v>0</v>
      </c>
    </row>
    <row r="49" spans="2:4" ht="15.75" thickBot="1" x14ac:dyDescent="0.3"/>
    <row r="50" spans="2:4" ht="15.75" thickBot="1" x14ac:dyDescent="0.3">
      <c r="B50" s="92" t="s">
        <v>37</v>
      </c>
      <c r="C50" s="93" t="s">
        <v>38</v>
      </c>
      <c r="D50" s="94" t="s">
        <v>94</v>
      </c>
    </row>
    <row r="51" spans="2:4" x14ac:dyDescent="0.25">
      <c r="B51" s="149" t="s">
        <v>105</v>
      </c>
      <c r="C51" s="150">
        <f>SUMIF(B6:B44,"Alge",C6:C44)</f>
        <v>0</v>
      </c>
      <c r="D51" s="151">
        <f>SUMIF(B6:B44,"Alge",U6:U44)</f>
        <v>0</v>
      </c>
    </row>
    <row r="52" spans="2:4" x14ac:dyDescent="0.25">
      <c r="B52" s="103" t="s">
        <v>113</v>
      </c>
      <c r="C52" s="121">
        <f>SUMIF(B6:B44,"Amer",C6:C44)</f>
        <v>0</v>
      </c>
      <c r="D52" s="152">
        <f>SUMIF(B6:B44,"Amer",U6:U44)</f>
        <v>0</v>
      </c>
    </row>
    <row r="53" spans="2:4" x14ac:dyDescent="0.25">
      <c r="B53" s="103" t="s">
        <v>95</v>
      </c>
      <c r="C53" s="121">
        <f>SUMIF(B6:B44,"Braga",C6:C44)</f>
        <v>0</v>
      </c>
      <c r="D53" s="152">
        <f>SUMIF(B6:B44,"Braga",U6:U44)</f>
        <v>0</v>
      </c>
    </row>
    <row r="54" spans="2:4" x14ac:dyDescent="0.25">
      <c r="B54" s="103" t="s">
        <v>114</v>
      </c>
      <c r="C54" s="121">
        <f>SUMIF(B6:B44,"Colombo",C6:C44)</f>
        <v>0</v>
      </c>
      <c r="D54" s="152">
        <f ca="1">SUMIF(B5:B44,"Colombo",U6:U44)</f>
        <v>0</v>
      </c>
    </row>
    <row r="55" spans="2:4" x14ac:dyDescent="0.25">
      <c r="B55" s="103" t="s">
        <v>111</v>
      </c>
      <c r="C55" s="121">
        <f>SUMIF(B6:B44,"Elca",C6:C44)</f>
        <v>890</v>
      </c>
      <c r="D55" s="152">
        <f>SUMIF(B6:B44,"Elca",U6:U44)</f>
        <v>89</v>
      </c>
    </row>
    <row r="56" spans="2:4" x14ac:dyDescent="0.25">
      <c r="B56" s="103" t="s">
        <v>106</v>
      </c>
      <c r="C56" s="121">
        <f>SUMIF(B6:B44,"Eletrafo",C6:C44)</f>
        <v>1446</v>
      </c>
      <c r="D56" s="152">
        <f>SUMIF(B6:B44,"Eletrafo",U6:U44)</f>
        <v>144.60000000000002</v>
      </c>
    </row>
    <row r="57" spans="2:4" x14ac:dyDescent="0.25">
      <c r="B57" s="103" t="s">
        <v>91</v>
      </c>
      <c r="C57" s="121">
        <f>SUMIF(B6:B44,"Elettroplastica",C6:C44)</f>
        <v>0</v>
      </c>
      <c r="D57" s="152">
        <f>SUMIF(B6:B44,"Elettroplastica",U6:U44)</f>
        <v>0</v>
      </c>
    </row>
    <row r="58" spans="2:4" x14ac:dyDescent="0.25">
      <c r="B58" s="103" t="s">
        <v>104</v>
      </c>
      <c r="C58" s="121">
        <f>SUMIF(B6:B44,"Elpi Castresin",C6:C44)</f>
        <v>0</v>
      </c>
      <c r="D58" s="152">
        <f>SUMIF(B6:B44,"Alge",U6:U44)</f>
        <v>0</v>
      </c>
    </row>
    <row r="59" spans="2:4" x14ac:dyDescent="0.25">
      <c r="B59" s="103" t="s">
        <v>97</v>
      </c>
      <c r="C59" s="121">
        <f>SUMIF(B6:B44,"Emg",C6:C44)</f>
        <v>0</v>
      </c>
      <c r="D59" s="152">
        <f>SUMIF(B6:B44,"Emg",U6:U44)</f>
        <v>0</v>
      </c>
    </row>
    <row r="60" spans="2:4" x14ac:dyDescent="0.25">
      <c r="B60" s="103" t="s">
        <v>100</v>
      </c>
      <c r="C60" s="121">
        <f>SUMIF(B6:B44,"FdueG",C1:C44)</f>
        <v>0</v>
      </c>
      <c r="D60" s="152">
        <f>SUMIF(B6:B44,"FdueG",U6:U44)</f>
        <v>0</v>
      </c>
    </row>
    <row r="61" spans="2:4" x14ac:dyDescent="0.25">
      <c r="B61" s="103" t="s">
        <v>118</v>
      </c>
      <c r="C61" s="121">
        <f>SUMIF(B6:B44,"Giussani",C6:C44)</f>
        <v>0</v>
      </c>
      <c r="D61" s="152">
        <f>SUMIF(B6:B44,"Giussani",U6:U44)</f>
        <v>0</v>
      </c>
    </row>
    <row r="62" spans="2:4" x14ac:dyDescent="0.25">
      <c r="B62" s="103" t="s">
        <v>93</v>
      </c>
      <c r="C62" s="121">
        <f>SUMIF(B6:B44,"ICAR",C6:C44)</f>
        <v>840</v>
      </c>
      <c r="D62" s="152">
        <f>SUMIF(B6:B44,"Icar",U6:U44)</f>
        <v>84</v>
      </c>
    </row>
    <row r="63" spans="2:4" x14ac:dyDescent="0.25">
      <c r="B63" s="103" t="s">
        <v>116</v>
      </c>
      <c r="C63" s="121">
        <f>SUMIF(B6:B44,"Mace",C6:C44)</f>
        <v>0</v>
      </c>
      <c r="D63" s="152">
        <f>SUMIF(B6:B44,"Mace",U6:U44)</f>
        <v>0</v>
      </c>
    </row>
    <row r="64" spans="2:4" x14ac:dyDescent="0.25">
      <c r="B64" s="103" t="s">
        <v>112</v>
      </c>
      <c r="C64" s="121">
        <f>SUMIF(B6:B44,"Marnate",C6:C44)</f>
        <v>0</v>
      </c>
      <c r="D64" s="152">
        <f>SUMIF(B6:B44,"Marnate",U6:U44)</f>
        <v>0</v>
      </c>
    </row>
    <row r="65" spans="2:4" x14ac:dyDescent="0.25">
      <c r="B65" s="103" t="s">
        <v>92</v>
      </c>
      <c r="C65" s="121">
        <f>SUMIF(B6:B44,"Meca",C6:C44)</f>
        <v>0</v>
      </c>
      <c r="D65" s="152">
        <f>SUMIF(B6:B44,"Meca",U6:U44)</f>
        <v>0</v>
      </c>
    </row>
    <row r="66" spans="2:4" x14ac:dyDescent="0.25">
      <c r="B66" s="103" t="s">
        <v>108</v>
      </c>
      <c r="C66" s="121">
        <f>SUMIF(B6:B44,"MF",C6:C44)</f>
        <v>0</v>
      </c>
      <c r="D66" s="152">
        <f>SUMIF(B6:B44,"MF",U6:U44)</f>
        <v>0</v>
      </c>
    </row>
    <row r="67" spans="2:4" x14ac:dyDescent="0.25">
      <c r="B67" s="103" t="s">
        <v>101</v>
      </c>
      <c r="C67" s="121">
        <f>SUMIF(B6:B44,"MP",C6:C44)</f>
        <v>0</v>
      </c>
      <c r="D67" s="152">
        <f>SUMIF(B6:B44,"MP",U6:U44)</f>
        <v>0</v>
      </c>
    </row>
    <row r="68" spans="2:4" x14ac:dyDescent="0.25">
      <c r="B68" s="103" t="s">
        <v>110</v>
      </c>
      <c r="C68" s="121">
        <f>SUMIF(B6:B44,"Neotrade",C6:C44)</f>
        <v>0</v>
      </c>
      <c r="D68" s="152">
        <f>SUMIF(B6:B44,"Neotrae",U6:U44)</f>
        <v>0</v>
      </c>
    </row>
    <row r="69" spans="2:4" x14ac:dyDescent="0.25">
      <c r="B69" s="103" t="s">
        <v>102</v>
      </c>
      <c r="C69" s="121">
        <f>SUMIF(B6:B44,"Newton",C6:C44)</f>
        <v>5642</v>
      </c>
      <c r="D69" s="152">
        <f>SUMIF(B6:B44,"Newton",U6:U44)</f>
        <v>564.20000000000005</v>
      </c>
    </row>
    <row r="70" spans="2:4" x14ac:dyDescent="0.25">
      <c r="B70" s="103" t="s">
        <v>98</v>
      </c>
      <c r="C70" s="121">
        <f>SUMIF(B6:B44,"Piola",C6:C44)</f>
        <v>520</v>
      </c>
      <c r="D70" s="152">
        <f>SUMIF(B6:B44,"Piola",U6:U44)</f>
        <v>52</v>
      </c>
    </row>
    <row r="71" spans="2:4" x14ac:dyDescent="0.25">
      <c r="B71" s="103" t="s">
        <v>103</v>
      </c>
      <c r="C71" s="121">
        <f>SUMIF(B6:B44,"Piossasco",C6:C44)</f>
        <v>0</v>
      </c>
      <c r="D71" s="152">
        <f>SUMIF(B6:B44,"Piossasco",U6:U44)</f>
        <v>0</v>
      </c>
    </row>
    <row r="72" spans="2:4" x14ac:dyDescent="0.25">
      <c r="B72" s="103" t="s">
        <v>115</v>
      </c>
      <c r="C72" s="121">
        <f>SUMIF(B6:B44,"project",C6:C44)</f>
        <v>0</v>
      </c>
      <c r="D72" s="152">
        <f>SUMIF(B6:B44,"Project",U6:U44)</f>
        <v>0</v>
      </c>
    </row>
    <row r="73" spans="2:4" x14ac:dyDescent="0.25">
      <c r="B73" s="103" t="s">
        <v>109</v>
      </c>
      <c r="C73" s="121">
        <f>SUMIF(B6:B44,"Sirmet",C6:C44)</f>
        <v>0</v>
      </c>
      <c r="D73" s="152">
        <f>SUMIF(B6:B44,"Alge",U6:U44)</f>
        <v>0</v>
      </c>
    </row>
    <row r="74" spans="2:4" x14ac:dyDescent="0.25">
      <c r="B74" s="103" t="s">
        <v>107</v>
      </c>
      <c r="C74" s="121">
        <f>SUMIF(B6:B44,"Tecnomintra",C6:C44)</f>
        <v>0</v>
      </c>
      <c r="D74" s="152">
        <f>SUMIF(B6:B44,"Tecnomintra",U6:U44)</f>
        <v>0</v>
      </c>
    </row>
    <row r="75" spans="2:4" x14ac:dyDescent="0.25">
      <c r="B75" s="103" t="s">
        <v>90</v>
      </c>
      <c r="C75" s="121">
        <f>SUMIF(B6:B44,"Trafomec",C6:C44)</f>
        <v>6086</v>
      </c>
      <c r="D75" s="152">
        <f>SUMIF(B6:B44,"Trafomec",U6:U44)</f>
        <v>1095.48</v>
      </c>
    </row>
    <row r="76" spans="2:4" x14ac:dyDescent="0.25">
      <c r="B76" s="103" t="s">
        <v>119</v>
      </c>
      <c r="C76" s="121">
        <f>SUMIF(B6:B44,"Trafomec SA",C6:C44)</f>
        <v>0</v>
      </c>
      <c r="D76" s="152">
        <f>SUMIF(B6:B44,"Trafomec SA",U6:U44)</f>
        <v>0</v>
      </c>
    </row>
    <row r="77" spans="2:4" x14ac:dyDescent="0.25">
      <c r="B77" s="103" t="s">
        <v>96</v>
      </c>
      <c r="C77" s="121">
        <f>SUMIF(B6:B44,"Wattsud",C6:C44)</f>
        <v>0</v>
      </c>
      <c r="D77" s="152">
        <f>SUMIF(B6:B44,"Wattsud",U6:U44)</f>
        <v>0</v>
      </c>
    </row>
    <row r="78" spans="2:4" x14ac:dyDescent="0.25">
      <c r="B78" s="103" t="s">
        <v>117</v>
      </c>
      <c r="C78" s="121">
        <f>SUMIF(B6:B44,"Wetter",C6:C44)</f>
        <v>1564</v>
      </c>
      <c r="D78" s="152">
        <f>SUMIF(B6:B44,"Wetter",U6:U44)</f>
        <v>156.4</v>
      </c>
    </row>
    <row r="79" spans="2:4" x14ac:dyDescent="0.25">
      <c r="B79" s="153" t="s">
        <v>99</v>
      </c>
      <c r="C79" s="154">
        <f>SUMIF(B6:B44,"Zucchiatti",C6:C44)</f>
        <v>0</v>
      </c>
      <c r="D79" s="155">
        <f>SUMIF(B6:B44,"Zucchiatti",U6:U44)</f>
        <v>0</v>
      </c>
    </row>
    <row r="80" spans="2:4" ht="15.75" thickBot="1" x14ac:dyDescent="0.3">
      <c r="B80" s="133"/>
      <c r="C80" s="156">
        <v>0</v>
      </c>
      <c r="D80" s="157"/>
    </row>
    <row r="81" spans="3:4" ht="15.75" thickBot="1" x14ac:dyDescent="0.3">
      <c r="C81" s="96">
        <f>SUM(C51:C80)</f>
        <v>16988</v>
      </c>
      <c r="D81" s="97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5" t="s">
        <v>124</v>
      </c>
      <c r="D2" s="53"/>
      <c r="E2" s="53"/>
      <c r="F2" s="53"/>
      <c r="G2" s="53"/>
      <c r="H2" s="53"/>
      <c r="I2" s="53"/>
    </row>
    <row r="3" spans="1:26" ht="15.75" thickBot="1" x14ac:dyDescent="0.3"/>
    <row r="4" spans="1:26" ht="15.75" thickBot="1" x14ac:dyDescent="0.3">
      <c r="A4" s="104"/>
      <c r="B4" s="104"/>
      <c r="C4" s="104"/>
      <c r="D4" s="105"/>
      <c r="E4" s="24" t="s">
        <v>53</v>
      </c>
      <c r="F4" s="106"/>
      <c r="G4" s="104"/>
      <c r="H4" s="104"/>
      <c r="I4" s="104"/>
      <c r="J4" s="105"/>
      <c r="K4" s="107"/>
      <c r="L4" s="107"/>
      <c r="M4" s="107"/>
      <c r="N4" s="107"/>
      <c r="O4" s="107"/>
      <c r="P4" s="107"/>
      <c r="Q4" s="24" t="s">
        <v>49</v>
      </c>
      <c r="R4" s="107"/>
      <c r="S4" s="107"/>
      <c r="T4" s="106"/>
      <c r="U4" s="104"/>
      <c r="V4" s="104"/>
      <c r="W4" s="104"/>
      <c r="X4" s="104"/>
      <c r="Y4" s="104"/>
    </row>
    <row r="5" spans="1:26" ht="24.75" thickBot="1" x14ac:dyDescent="0.3">
      <c r="A5" s="17" t="s">
        <v>127</v>
      </c>
      <c r="B5" s="18" t="s">
        <v>37</v>
      </c>
      <c r="C5" s="18" t="s">
        <v>38</v>
      </c>
      <c r="D5" s="19" t="s">
        <v>39</v>
      </c>
      <c r="E5" s="20" t="s">
        <v>51</v>
      </c>
      <c r="F5" s="21" t="s">
        <v>52</v>
      </c>
      <c r="G5" s="18" t="s">
        <v>40</v>
      </c>
      <c r="H5" s="18" t="s">
        <v>41</v>
      </c>
      <c r="I5" s="18" t="s">
        <v>42</v>
      </c>
      <c r="J5" s="86" t="s">
        <v>4</v>
      </c>
      <c r="K5" s="83" t="s">
        <v>5</v>
      </c>
      <c r="L5" s="83" t="s">
        <v>6</v>
      </c>
      <c r="M5" s="19" t="s">
        <v>43</v>
      </c>
      <c r="N5" s="83" t="s">
        <v>4</v>
      </c>
      <c r="O5" s="83" t="s">
        <v>5</v>
      </c>
      <c r="P5" s="83" t="s">
        <v>6</v>
      </c>
      <c r="Q5" s="20" t="s">
        <v>44</v>
      </c>
      <c r="R5" s="20" t="s">
        <v>88</v>
      </c>
      <c r="S5" s="87" t="s">
        <v>89</v>
      </c>
      <c r="T5" s="21" t="s">
        <v>45</v>
      </c>
      <c r="U5" s="18" t="s">
        <v>48</v>
      </c>
      <c r="V5" s="23" t="s">
        <v>46</v>
      </c>
      <c r="W5" s="99" t="s">
        <v>50</v>
      </c>
      <c r="X5" s="22"/>
      <c r="Y5" s="22" t="s">
        <v>47</v>
      </c>
      <c r="Z5" s="23" t="s">
        <v>120</v>
      </c>
    </row>
    <row r="6" spans="1:26" ht="15.75" thickBot="1" x14ac:dyDescent="0.3">
      <c r="A6" s="108" t="s">
        <v>131</v>
      </c>
      <c r="B6" s="109" t="s">
        <v>132</v>
      </c>
      <c r="C6" s="110">
        <v>370</v>
      </c>
      <c r="D6" s="111" t="s">
        <v>4</v>
      </c>
      <c r="E6" s="112">
        <v>1.31</v>
      </c>
      <c r="F6" s="113">
        <v>41618</v>
      </c>
      <c r="G6" s="88" t="s">
        <v>28</v>
      </c>
      <c r="H6" s="109"/>
      <c r="I6" s="114">
        <v>0.1</v>
      </c>
      <c r="J6" s="115">
        <f ca="1">IF(ISERROR(OFFSET(Tabella!$A$1,MATCH(G6,Tabella!$A:$A,0)-1,MATCH(I6,Tabella!$A$1:$AC$1,0)-1)=TRUE),0,+OFFSET(Tabella!$A$1,MATCH(G6,Tabella!$A:$A,0)-1,MATCH(I6,Tabella!$A$1:$AC$1,0)-1))</f>
        <v>1.4</v>
      </c>
      <c r="K6" s="85">
        <f ca="1">IF(ISERROR(OFFSET(Ottone!$A$1,MATCH(G6,Ottone!$A:$A,0)-1,MATCH(I6,Ottone!$A$1:$Z$1,0)-1)=TRUE),0,OFFSET(Ottone!$A$1,MATCH(G6,Ottone!$A:$A,0)-1,MATCH(I6,Ottone!$A$1:$Z$1,0)-1))*IF(D6="Ottone",1,0)</f>
        <v>0</v>
      </c>
      <c r="L6" s="85">
        <f ca="1">IF(ISERROR(OFFSET(Rame!$A$1,MATCH(G6,Rame!$A:$A,0)-1,MATCH(I6,Rame!$A$1:$AA$1,0)-1)=TRUE),0,OFFSET(Rame!$A$1,MATCH(G6,Rame!$A:$A,0)-1,MATCH(I6,Rame!$A$1:$AA$1,0)-1))*IF(D6="Rame",1,0)</f>
        <v>0</v>
      </c>
      <c r="M6" s="115">
        <f t="shared" ref="M6:M51" ca="1" si="0">SUM(J6:L6)</f>
        <v>1.4</v>
      </c>
      <c r="N6" s="115">
        <f ca="1">+IF(ISERROR(OFFSET(Tabella!$G$1,MATCH(G6,Tabella!$G:$G,0)-1,MATCH(H6,Tabella!$G$1:$FG$1,0)-1)=TRUE),0,OFFSET(Tabella!$G$1,MATCH(G6,Tabella!$G:$G,0)-1,MATCH(H6,Tabella!$G$1:$AB$1,0)-1))</f>
        <v>0</v>
      </c>
      <c r="O6" s="115">
        <f ca="1">IF(ISERROR(OFFSET(Ottone!$F$1,MATCH(G6,Ottone!$A:$A,0)-1,MATCH(H6,Ottone!$F$1:$FF$1,0)-1)=TRUE),0,OFFSET(Ottone!$F$1,MATCH(G6,Ottone!$A:$A,0)-1,MATCH(H6,Ottone!$F$1:$FF$1,0)-1))*IF(D6="Ottone",1,0)</f>
        <v>0</v>
      </c>
      <c r="P6" s="115">
        <f ca="1">IF(ISERROR(OFFSET(Rame!$F$1,MATCH(G6,Rame!$F:$F,0)-1,MATCH(H6,Rame!$F$1:$FF$1,0)-1)=TRUE),0,OFFSET(Rame!$F$1,MATCH(G6,Rame!$F:$F,0)-1,MATCH(H6,Rame!$F$1:$FF$1,0)-1))*IF(D6="Rame",1,0)</f>
        <v>0</v>
      </c>
      <c r="Q6" s="115">
        <f t="shared" ref="Q6:Q51" ca="1" si="1">SUM(N6:P6)</f>
        <v>0</v>
      </c>
      <c r="R6" s="115">
        <f t="shared" ref="R6:R15" si="2">(IF(C6&gt;500,0,0.1)*IF(D6="Alluminio",0,1))*IF(C6=0,0,1)</f>
        <v>0</v>
      </c>
      <c r="S6" s="116"/>
      <c r="T6" s="117">
        <f t="shared" ref="T6:T51" ca="1" si="3">+M6+Q6+R6+S6</f>
        <v>1.4</v>
      </c>
      <c r="U6" s="114">
        <f t="shared" ref="U6:U51" si="4">+I6*C6</f>
        <v>37</v>
      </c>
      <c r="V6" s="118"/>
      <c r="W6" s="119">
        <f t="shared" ref="W6:W51" ca="1" si="5">+V6-T6-E6</f>
        <v>-2.71</v>
      </c>
      <c r="X6" s="114">
        <f t="shared" ref="X6:X51" ca="1" si="6">IF(W6&gt;0,W6,0)</f>
        <v>0</v>
      </c>
      <c r="Y6" s="120"/>
      <c r="Z6" s="102"/>
    </row>
    <row r="7" spans="1:26" ht="15.75" thickBot="1" x14ac:dyDescent="0.3">
      <c r="A7" s="103" t="s">
        <v>133</v>
      </c>
      <c r="B7" s="88" t="s">
        <v>134</v>
      </c>
      <c r="C7" s="121">
        <v>178</v>
      </c>
      <c r="D7" s="89" t="s">
        <v>4</v>
      </c>
      <c r="E7" s="122">
        <v>1.29</v>
      </c>
      <c r="F7" s="123">
        <v>41654</v>
      </c>
      <c r="G7" s="88" t="s">
        <v>25</v>
      </c>
      <c r="H7" s="124"/>
      <c r="I7" s="125">
        <v>0.1</v>
      </c>
      <c r="J7" s="115">
        <f ca="1">IF(ISERROR(OFFSET(Tabella!$A$1,MATCH(G7,Tabella!$A:$A,0)-1,MATCH(I7,Tabella!$A$1:$AC$1,0)-1)=TRUE),0,+OFFSET(Tabella!$A$1,MATCH(G7,Tabella!$A:$A,0)-1,MATCH(I7,Tabella!$A$1:$AC$1,0)-1))</f>
        <v>1.4</v>
      </c>
      <c r="K7" s="85">
        <f ca="1">IF(ISERROR(OFFSET(Ottone!$A$1,MATCH(G7,Ottone!$A:$A,0)-1,MATCH(I7,Ottone!$A$1:$Z$1,0)-1)=TRUE),0,OFFSET(Ottone!$A$1,MATCH(G7,Ottone!$A:$A,0)-1,MATCH(I7,Ottone!$A$1:$Z$1,0)-1))*IF(D7="Ottone",1,0)</f>
        <v>0</v>
      </c>
      <c r="L7" s="85">
        <f ca="1">IF(ISERROR(OFFSET(Rame!$A$1,MATCH(G7,Rame!$A:$A,0)-1,MATCH(I7,Rame!$A$1:$AA$1,0)-1)=TRUE),0,OFFSET(Rame!$A$1,MATCH(G7,Rame!$A:$A,0)-1,MATCH(I7,Rame!$A$1:$AA$1,0)-1))*IF(D7="Rame",1,0)</f>
        <v>0</v>
      </c>
      <c r="M7" s="126">
        <f t="shared" ca="1" si="0"/>
        <v>1.4</v>
      </c>
      <c r="N7" s="126">
        <f ca="1">+IF(ISERROR(OFFSET(Tabella!$G$1,MATCH(G7,Tabella!$G:$G,0)-1,MATCH(H7,Tabella!$G$1:$FG$1,0)-1)=TRUE),0,OFFSET(Tabella!$G$1,MATCH(G7,Tabella!$G:$G,0)-1,MATCH(H7,Tabella!$G$1:$AB$1,0)-1))</f>
        <v>0</v>
      </c>
      <c r="O7" s="126">
        <f ca="1">IF(ISERROR(OFFSET(Ottone!$F$1,MATCH(G7,Ottone!$A:$A,0)-1,MATCH(H7,Ottone!$F$1:$FF$1,0)-1)=TRUE),0,OFFSET(Ottone!$F$1,MATCH(G7,Ottone!$A:$A,0)-1,MATCH(H7,Ottone!$F$1:$FF$1,0)-1))*IF(D7="Ottone",1,0)</f>
        <v>0</v>
      </c>
      <c r="P7" s="126">
        <f ca="1">IF(ISERROR(OFFSET(Rame!$F$1,MATCH(G7,Rame!$F:$F,0)-1,MATCH(H7,Rame!$F$1:$FF$1,0)-1)=TRUE),0,OFFSET(Rame!$F$1,MATCH(G7,Rame!$F:$F,0)-1,MATCH(H7,Rame!$F$1:$FF$1,0)-1))*IF(D7="Rame",1,0)</f>
        <v>0</v>
      </c>
      <c r="Q7" s="126">
        <f t="shared" ca="1" si="1"/>
        <v>0</v>
      </c>
      <c r="R7" s="126">
        <f t="shared" si="2"/>
        <v>0</v>
      </c>
      <c r="S7" s="127"/>
      <c r="T7" s="128">
        <f t="shared" ca="1" si="3"/>
        <v>1.4</v>
      </c>
      <c r="U7" s="125">
        <f t="shared" si="4"/>
        <v>17.8</v>
      </c>
      <c r="V7" s="129"/>
      <c r="W7" s="130">
        <f t="shared" ca="1" si="5"/>
        <v>-2.69</v>
      </c>
      <c r="X7" s="125">
        <f t="shared" ca="1" si="6"/>
        <v>0</v>
      </c>
      <c r="Y7" s="131"/>
      <c r="Z7" s="100"/>
    </row>
    <row r="8" spans="1:26" ht="15.75" thickBot="1" x14ac:dyDescent="0.3">
      <c r="A8" s="103" t="s">
        <v>161</v>
      </c>
      <c r="B8" s="88" t="s">
        <v>125</v>
      </c>
      <c r="C8" s="121">
        <v>310</v>
      </c>
      <c r="D8" s="89" t="s">
        <v>5</v>
      </c>
      <c r="E8" s="122">
        <v>4.8499999999999996</v>
      </c>
      <c r="F8" s="123">
        <v>41627</v>
      </c>
      <c r="G8" s="88" t="s">
        <v>18</v>
      </c>
      <c r="H8" s="88"/>
      <c r="I8" s="125">
        <v>0.1</v>
      </c>
      <c r="J8" s="115">
        <f ca="1">IF(ISERROR(OFFSET(Tabella!$A$1,MATCH(G8,Tabella!$A:$A,0)-1,MATCH(I8,Tabella!$A$1:$AC$1,0)-1)=TRUE),0,+OFFSET(Tabella!$A$1,MATCH(G8,Tabella!$A:$A,0)-1,MATCH(I8,Tabella!$A$1:$AC$1,0)-1))</f>
        <v>0</v>
      </c>
      <c r="K8" s="85">
        <f ca="1">IF(ISERROR(OFFSET(Ottone!$A$1,MATCH(G8,Ottone!$A:$A,0)-1,MATCH(I8,Ottone!$A$1:$Z$1,0)-1)=TRUE),0,OFFSET(Ottone!$A$1,MATCH(G8,Ottone!$A:$A,0)-1,MATCH(I8,Ottone!$A$1:$Z$1,0)-1))*IF(D8="Ottone",1,0)</f>
        <v>0.6</v>
      </c>
      <c r="L8" s="85">
        <f ca="1">IF(ISERROR(OFFSET(Rame!$A$1,MATCH(G8,Rame!$A:$A,0)-1,MATCH(I8,Rame!$A$1:$AA$1,0)-1)=TRUE),0,OFFSET(Rame!$A$1,MATCH(G8,Rame!$A:$A,0)-1,MATCH(I8,Rame!$A$1:$AA$1,0)-1))*IF(D8="Rame",1,0)</f>
        <v>0</v>
      </c>
      <c r="M8" s="126">
        <f t="shared" ca="1" si="0"/>
        <v>0.6</v>
      </c>
      <c r="N8" s="126">
        <f ca="1">+IF(ISERROR(OFFSET(Tabella!$G$1,MATCH(G8,Tabella!$G:$G,0)-1,MATCH(H8,Tabella!$G$1:$FG$1,0)-1)=TRUE),0,OFFSET(Tabella!$G$1,MATCH(G8,Tabella!$G:$G,0)-1,MATCH(H8,Tabella!$G$1:$AB$1,0)-1))</f>
        <v>0</v>
      </c>
      <c r="O8" s="126">
        <f ca="1">IF(ISERROR(OFFSET(Ottone!$F$1,MATCH(G8,Ottone!$A:$A,0)-1,MATCH(H8,Ottone!$F$1:$FF$1,0)-1)=TRUE),0,OFFSET(Ottone!$F$1,MATCH(G8,Ottone!$A:$A,0)-1,MATCH(H8,Ottone!$F$1:$FF$1,0)-1))*IF(D8="Ottone",1,0)</f>
        <v>0</v>
      </c>
      <c r="P8" s="126">
        <f ca="1">IF(ISERROR(OFFSET(Rame!$F$1,MATCH(G8,Rame!$F:$F,0)-1,MATCH(H8,Rame!$F$1:$FF$1,0)-1)=TRUE),0,OFFSET(Rame!$F$1,MATCH(G8,Rame!$F:$F,0)-1,MATCH(H8,Rame!$F$1:$FF$1,0)-1))*IF(D8="Rame",1,0)</f>
        <v>0</v>
      </c>
      <c r="Q8" s="126">
        <f t="shared" ca="1" si="1"/>
        <v>0</v>
      </c>
      <c r="R8" s="126">
        <f t="shared" si="2"/>
        <v>0.1</v>
      </c>
      <c r="S8" s="127"/>
      <c r="T8" s="128">
        <f t="shared" ca="1" si="3"/>
        <v>0.7</v>
      </c>
      <c r="U8" s="125">
        <f t="shared" si="4"/>
        <v>31</v>
      </c>
      <c r="V8" s="129"/>
      <c r="W8" s="130">
        <f t="shared" ca="1" si="5"/>
        <v>-5.55</v>
      </c>
      <c r="X8" s="125">
        <f t="shared" ca="1" si="6"/>
        <v>0</v>
      </c>
      <c r="Y8" s="131" t="s">
        <v>61</v>
      </c>
      <c r="Z8" s="100"/>
    </row>
    <row r="9" spans="1:26" ht="15.75" thickBot="1" x14ac:dyDescent="0.3">
      <c r="A9" s="103" t="s">
        <v>135</v>
      </c>
      <c r="B9" s="88" t="s">
        <v>125</v>
      </c>
      <c r="C9" s="121">
        <v>359</v>
      </c>
      <c r="D9" s="89" t="s">
        <v>5</v>
      </c>
      <c r="E9" s="122">
        <v>4.8499999999999996</v>
      </c>
      <c r="F9" s="123">
        <v>41627</v>
      </c>
      <c r="G9" s="88" t="s">
        <v>20</v>
      </c>
      <c r="H9" s="88"/>
      <c r="I9" s="125">
        <v>0.1</v>
      </c>
      <c r="J9" s="115">
        <f ca="1">IF(ISERROR(OFFSET(Tabella!$A$1,MATCH(G9,Tabella!$A:$A,0)-1,MATCH(I9,Tabella!$A$1:$AC$1,0)-1)=TRUE),0,+OFFSET(Tabella!$A$1,MATCH(G9,Tabella!$A:$A,0)-1,MATCH(I9,Tabella!$A$1:$AC$1,0)-1))</f>
        <v>0</v>
      </c>
      <c r="K9" s="85">
        <f ca="1">IF(ISERROR(OFFSET(Ottone!$A$1,MATCH(G9,Ottone!$A:$A,0)-1,MATCH(I9,Ottone!$A$1:$Z$1,0)-1)=TRUE),0,OFFSET(Ottone!$A$1,MATCH(G9,Ottone!$A:$A,0)-1,MATCH(I9,Ottone!$A$1:$Z$1,0)-1))*IF(D9="Ottone",1,0)</f>
        <v>0.65</v>
      </c>
      <c r="L9" s="85">
        <f ca="1">IF(ISERROR(OFFSET(Rame!$A$1,MATCH(G9,Rame!$A:$A,0)-1,MATCH(I9,Rame!$A$1:$AA$1,0)-1)=TRUE),0,OFFSET(Rame!$A$1,MATCH(G9,Rame!$A:$A,0)-1,MATCH(I9,Rame!$A$1:$AA$1,0)-1))*IF(D9="Rame",1,0)</f>
        <v>0</v>
      </c>
      <c r="M9" s="126">
        <f t="shared" ca="1" si="0"/>
        <v>0.65</v>
      </c>
      <c r="N9" s="126">
        <f ca="1">+IF(ISERROR(OFFSET(Tabella!$G$1,MATCH(G9,Tabella!$G:$G,0)-1,MATCH(H9,Tabella!$G$1:$FG$1,0)-1)=TRUE),0,OFFSET(Tabella!$G$1,MATCH(G9,Tabella!$G:$G,0)-1,MATCH(H9,Tabella!$G$1:$AB$1,0)-1))</f>
        <v>0</v>
      </c>
      <c r="O9" s="126">
        <f ca="1">IF(ISERROR(OFFSET(Ottone!$F$1,MATCH(G9,Ottone!$A:$A,0)-1,MATCH(H9,Ottone!$F$1:$FF$1,0)-1)=TRUE),0,OFFSET(Ottone!$F$1,MATCH(G9,Ottone!$A:$A,0)-1,MATCH(H9,Ottone!$F$1:$FF$1,0)-1))*IF(D9="Ottone",1,0)</f>
        <v>0</v>
      </c>
      <c r="P9" s="126">
        <f ca="1">IF(ISERROR(OFFSET(Rame!$F$1,MATCH(G9,Rame!$F:$F,0)-1,MATCH(H9,Rame!$F$1:$FF$1,0)-1)=TRUE),0,OFFSET(Rame!$F$1,MATCH(G9,Rame!$F:$F,0)-1,MATCH(H9,Rame!$F$1:$FF$1,0)-1))*IF(D9="Rame",1,0)</f>
        <v>0</v>
      </c>
      <c r="Q9" s="126">
        <f t="shared" ca="1" si="1"/>
        <v>0</v>
      </c>
      <c r="R9" s="126">
        <f t="shared" si="2"/>
        <v>0.1</v>
      </c>
      <c r="S9" s="127"/>
      <c r="T9" s="128">
        <f t="shared" ca="1" si="3"/>
        <v>0.75</v>
      </c>
      <c r="U9" s="125">
        <f t="shared" si="4"/>
        <v>35.9</v>
      </c>
      <c r="V9" s="129"/>
      <c r="W9" s="130">
        <f t="shared" ca="1" si="5"/>
        <v>-5.6</v>
      </c>
      <c r="X9" s="125">
        <f t="shared" ca="1" si="6"/>
        <v>0</v>
      </c>
      <c r="Z9" s="100"/>
    </row>
    <row r="10" spans="1:26" ht="15.75" thickBot="1" x14ac:dyDescent="0.3">
      <c r="A10" s="103"/>
      <c r="B10" s="88"/>
      <c r="C10" s="121"/>
      <c r="D10" s="89"/>
      <c r="E10" s="122"/>
      <c r="F10" s="123"/>
      <c r="G10" s="88"/>
      <c r="H10" s="88"/>
      <c r="I10" s="125"/>
      <c r="J10" s="115">
        <f ca="1">IF(ISERROR(OFFSET(Tabella!$A$1,MATCH(G10,Tabella!$A:$A,0)-1,MATCH(I10,Tabella!$A$1:$AC$1,0)-1)=TRUE),0,+OFFSET(Tabella!$A$1,MATCH(G10,Tabella!$A:$A,0)-1,MATCH(I10,Tabella!$A$1:$AC$1,0)-1))</f>
        <v>0</v>
      </c>
      <c r="K10" s="85">
        <f ca="1">IF(ISERROR(OFFSET(Ottone!$A$1,MATCH(G10,Ottone!$A:$A,0)-1,MATCH(I10,Ottone!$A$1:$Z$1,0)-1)=TRUE),0,OFFSET(Ottone!$A$1,MATCH(G10,Ottone!$A:$A,0)-1,MATCH(I10,Ottone!$A$1:$Z$1,0)-1))*IF(D10="Ottone",1,0)</f>
        <v>0</v>
      </c>
      <c r="L10" s="85">
        <f ca="1">IF(ISERROR(OFFSET(Rame!$A$1,MATCH(G10,Rame!$A:$A,0)-1,MATCH(I10,Rame!$A$1:$AA$1,0)-1)=TRUE),0,OFFSET(Rame!$A$1,MATCH(G10,Rame!$A:$A,0)-1,MATCH(I10,Rame!$A$1:$AA$1,0)-1))*IF(D10="Rame",1,0)</f>
        <v>0</v>
      </c>
      <c r="M10" s="126">
        <f t="shared" ca="1" si="0"/>
        <v>0</v>
      </c>
      <c r="N10" s="126">
        <f ca="1">+IF(ISERROR(OFFSET(Tabella!$G$1,MATCH(G10,Tabella!$G:$G,0)-1,MATCH(H10,Tabella!$G$1:$FG$1,0)-1)=TRUE),0,OFFSET(Tabella!$G$1,MATCH(G10,Tabella!$G:$G,0)-1,MATCH(H10,Tabella!$G$1:$AB$1,0)-1))</f>
        <v>0</v>
      </c>
      <c r="O10" s="126">
        <f ca="1">IF(ISERROR(OFFSET(Ottone!$F$1,MATCH(G10,Ottone!$A:$A,0)-1,MATCH(H10,Ottone!$F$1:$FF$1,0)-1)=TRUE),0,OFFSET(Ottone!$F$1,MATCH(G10,Ottone!$A:$A,0)-1,MATCH(H10,Ottone!$F$1:$FF$1,0)-1))*IF(D10="Ottone",1,0)</f>
        <v>0</v>
      </c>
      <c r="P10" s="126">
        <f ca="1">IF(ISERROR(OFFSET(Rame!$F$1,MATCH(G10,Rame!$F:$F,0)-1,MATCH(H10,Rame!$F$1:$FF$1,0)-1)=TRUE),0,OFFSET(Rame!$F$1,MATCH(G10,Rame!$F:$F,0)-1,MATCH(H10,Rame!$F$1:$FF$1,0)-1))*IF(D10="Rame",1,0)</f>
        <v>0</v>
      </c>
      <c r="Q10" s="126">
        <f t="shared" ca="1" si="1"/>
        <v>0</v>
      </c>
      <c r="R10" s="126">
        <f t="shared" si="2"/>
        <v>0</v>
      </c>
      <c r="S10" s="127"/>
      <c r="T10" s="128">
        <f t="shared" ca="1" si="3"/>
        <v>0</v>
      </c>
      <c r="U10" s="125">
        <f t="shared" si="4"/>
        <v>0</v>
      </c>
      <c r="V10" s="129"/>
      <c r="W10" s="130">
        <f t="shared" ca="1" si="5"/>
        <v>0</v>
      </c>
      <c r="X10" s="125">
        <f t="shared" ca="1" si="6"/>
        <v>0</v>
      </c>
      <c r="Y10" s="131" t="s">
        <v>61</v>
      </c>
      <c r="Z10" s="100"/>
    </row>
    <row r="11" spans="1:26" ht="15.75" thickBot="1" x14ac:dyDescent="0.3">
      <c r="A11" s="104"/>
      <c r="B11" s="103"/>
      <c r="C11" s="121"/>
      <c r="D11" s="89"/>
      <c r="E11" s="122"/>
      <c r="F11" s="123"/>
      <c r="G11" s="88"/>
      <c r="H11" s="88"/>
      <c r="I11" s="125"/>
      <c r="J11" s="115">
        <f ca="1">IF(ISERROR(OFFSET(Tabella!$A$1,MATCH(G11,Tabella!$A:$A,0)-1,MATCH(I11,Tabella!$A$1:$AC$1,0)-1)=TRUE),0,+OFFSET(Tabella!$A$1,MATCH(G11,Tabella!$A:$A,0)-1,MATCH(I11,Tabella!$A$1:$AC$1,0)-1))</f>
        <v>0</v>
      </c>
      <c r="K11" s="85">
        <f ca="1">IF(ISERROR(OFFSET(Ottone!$A$1,MATCH(G11,Ottone!$A:$A,0)-1,MATCH(I11,Ottone!$A$1:$Z$1,0)-1)=TRUE),0,OFFSET(Ottone!$A$1,MATCH(G11,Ottone!$A:$A,0)-1,MATCH(I11,Ottone!$A$1:$Z$1,0)-1))*IF(D11="Ottone",1,0)</f>
        <v>0</v>
      </c>
      <c r="L11" s="85">
        <f ca="1">IF(ISERROR(OFFSET(Rame!$A$1,MATCH(G11,Rame!$A:$A,0)-1,MATCH(I11,Rame!$A$1:$AA$1,0)-1)=TRUE),0,OFFSET(Rame!$A$1,MATCH(G11,Rame!$A:$A,0)-1,MATCH(I11,Rame!$A$1:$AA$1,0)-1))*IF(D11="Rame",1,0)</f>
        <v>0</v>
      </c>
      <c r="M11" s="126">
        <f t="shared" ca="1" si="0"/>
        <v>0</v>
      </c>
      <c r="N11" s="126">
        <f ca="1">+IF(ISERROR(OFFSET(Tabella!$G$1,MATCH(G11,Tabella!$G:$G,0)-1,MATCH(H11,Tabella!$G$1:$FG$1,0)-1)=TRUE),0,OFFSET(Tabella!$G$1,MATCH(G11,Tabella!$G:$G,0)-1,MATCH(H11,Tabella!$G$1:$AB$1,0)-1))</f>
        <v>0</v>
      </c>
      <c r="O11" s="126">
        <f ca="1">IF(ISERROR(OFFSET(Ottone!$F$1,MATCH(G11,Ottone!$A:$A,0)-1,MATCH(H11,Ottone!$F$1:$FF$1,0)-1)=TRUE),0,OFFSET(Ottone!$F$1,MATCH(G11,Ottone!$A:$A,0)-1,MATCH(H11,Ottone!$F$1:$FF$1,0)-1))*IF(D11="Ottone",1,0)</f>
        <v>0</v>
      </c>
      <c r="P11" s="126">
        <f ca="1">IF(ISERROR(OFFSET(Rame!$F$1,MATCH(G11,Rame!$F:$F,0)-1,MATCH(H11,Rame!$F$1:$FF$1,0)-1)=TRUE),0,OFFSET(Rame!$F$1,MATCH(G11,Rame!$F:$F,0)-1,MATCH(H11,Rame!$F$1:$FF$1,0)-1))*IF(D11="Rame",1,0)</f>
        <v>0</v>
      </c>
      <c r="Q11" s="126">
        <f t="shared" ca="1" si="1"/>
        <v>0</v>
      </c>
      <c r="R11" s="126">
        <f t="shared" si="2"/>
        <v>0</v>
      </c>
      <c r="S11" s="127"/>
      <c r="T11" s="128">
        <f t="shared" ca="1" si="3"/>
        <v>0</v>
      </c>
      <c r="U11" s="125">
        <f t="shared" si="4"/>
        <v>0</v>
      </c>
      <c r="V11" s="129"/>
      <c r="W11" s="130">
        <f t="shared" ca="1" si="5"/>
        <v>0</v>
      </c>
      <c r="X11" s="125">
        <f t="shared" ca="1" si="6"/>
        <v>0</v>
      </c>
      <c r="Y11" s="131"/>
      <c r="Z11" s="100"/>
    </row>
    <row r="12" spans="1:26" ht="15.75" thickBot="1" x14ac:dyDescent="0.3">
      <c r="A12" s="103"/>
      <c r="B12" s="88"/>
      <c r="C12" s="121"/>
      <c r="D12" s="89"/>
      <c r="E12" s="122"/>
      <c r="F12" s="123"/>
      <c r="G12" s="88"/>
      <c r="H12" s="88"/>
      <c r="I12" s="132"/>
      <c r="J12" s="115">
        <f ca="1">IF(ISERROR(OFFSET(Tabella!$A$1,MATCH(G12,Tabella!$A:$A,0)-1,MATCH(I12,Tabella!$A$1:$AC$1,0)-1)=TRUE),0,+OFFSET(Tabella!$A$1,MATCH(G12,Tabella!$A:$A,0)-1,MATCH(I12,Tabella!$A$1:$AC$1,0)-1))</f>
        <v>0</v>
      </c>
      <c r="K12" s="85">
        <f ca="1">IF(ISERROR(OFFSET(Ottone!$A$1,MATCH(G12,Ottone!$A:$A,0)-1,MATCH(I12,Ottone!$A$1:$Z$1,0)-1)=TRUE),0,OFFSET(Ottone!$A$1,MATCH(G12,Ottone!$A:$A,0)-1,MATCH(I12,Ottone!$A$1:$Z$1,0)-1))*IF(D12="Ottone",1,0)</f>
        <v>0</v>
      </c>
      <c r="L12" s="85">
        <f ca="1">IF(ISERROR(OFFSET(Rame!$A$1,MATCH(G12,Rame!$A:$A,0)-1,MATCH(I12,Rame!$A$1:$AA$1,0)-1)=TRUE),0,OFFSET(Rame!$A$1,MATCH(G12,Rame!$A:$A,0)-1,MATCH(I12,Rame!$A$1:$AA$1,0)-1))*IF(D12="Rame",1,0)</f>
        <v>0</v>
      </c>
      <c r="M12" s="126">
        <f t="shared" ca="1" si="0"/>
        <v>0</v>
      </c>
      <c r="N12" s="126">
        <f ca="1">+IF(ISERROR(OFFSET(Tabella!$G$1,MATCH(G12,Tabella!$G:$G,0)-1,MATCH(H12,Tabella!$G$1:$FG$1,0)-1)=TRUE),0,OFFSET(Tabella!$G$1,MATCH(G12,Tabella!$G:$G,0)-1,MATCH(H12,Tabella!$G$1:$AB$1,0)-1))</f>
        <v>0</v>
      </c>
      <c r="O12" s="126">
        <f ca="1">IF(ISERROR(OFFSET(Ottone!$F$1,MATCH(G12,Ottone!$A:$A,0)-1,MATCH(H12,Ottone!$F$1:$FF$1,0)-1)=TRUE),0,OFFSET(Ottone!$F$1,MATCH(G12,Ottone!$A:$A,0)-1,MATCH(H12,Ottone!$F$1:$FF$1,0)-1))*IF(D12="Ottone",1,0)</f>
        <v>0</v>
      </c>
      <c r="P12" s="126">
        <f ca="1">IF(ISERROR(OFFSET(Rame!$F$1,MATCH(G12,Rame!$F:$F,0)-1,MATCH(H12,Rame!$F$1:$FF$1,0)-1)=TRUE),0,OFFSET(Rame!$F$1,MATCH(G12,Rame!$F:$F,0)-1,MATCH(H12,Rame!$F$1:$FF$1,0)-1))*IF(D12="Rame",1,0)</f>
        <v>0</v>
      </c>
      <c r="Q12" s="126">
        <f t="shared" ca="1" si="1"/>
        <v>0</v>
      </c>
      <c r="R12" s="126">
        <f t="shared" si="2"/>
        <v>0</v>
      </c>
      <c r="S12" s="127"/>
      <c r="T12" s="128">
        <f t="shared" ca="1" si="3"/>
        <v>0</v>
      </c>
      <c r="U12" s="125">
        <f t="shared" si="4"/>
        <v>0</v>
      </c>
      <c r="V12" s="129"/>
      <c r="W12" s="130">
        <f t="shared" ca="1" si="5"/>
        <v>0</v>
      </c>
      <c r="X12" s="125">
        <f t="shared" ca="1" si="6"/>
        <v>0</v>
      </c>
      <c r="Y12" s="131"/>
      <c r="Z12" s="100"/>
    </row>
    <row r="13" spans="1:26" ht="15.75" thickBot="1" x14ac:dyDescent="0.3">
      <c r="A13" s="103"/>
      <c r="B13" s="88"/>
      <c r="C13" s="121"/>
      <c r="D13" s="89"/>
      <c r="E13" s="122"/>
      <c r="F13" s="123"/>
      <c r="G13" s="88"/>
      <c r="H13" s="88"/>
      <c r="I13" s="125"/>
      <c r="J13" s="115">
        <f ca="1">IF(ISERROR(OFFSET(Tabella!$A$1,MATCH(G13,Tabella!$A:$A,0)-1,MATCH(I13,Tabella!$A$1:$AC$1,0)-1)=TRUE),0,+OFFSET(Tabella!$A$1,MATCH(G13,Tabella!$A:$A,0)-1,MATCH(I13,Tabella!$A$1:$AC$1,0)-1))</f>
        <v>0</v>
      </c>
      <c r="K13" s="85">
        <f ca="1">IF(ISERROR(OFFSET(Ottone!$A$1,MATCH(G13,Ottone!$A:$A,0)-1,MATCH(I13,Ottone!$A$1:$Z$1,0)-1)=TRUE),0,OFFSET(Ottone!$A$1,MATCH(G13,Ottone!$A:$A,0)-1,MATCH(I13,Ottone!$A$1:$Z$1,0)-1))*IF(D13="Ottone",1,0)</f>
        <v>0</v>
      </c>
      <c r="L13" s="85">
        <f ca="1">IF(ISERROR(OFFSET(Rame!$A$1,MATCH(G13,Rame!$A:$A,0)-1,MATCH(I13,Rame!$A$1:$AA$1,0)-1)=TRUE),0,OFFSET(Rame!$A$1,MATCH(G13,Rame!$A:$A,0)-1,MATCH(I13,Rame!$A$1:$AA$1,0)-1))*IF(D13="Rame",1,0)</f>
        <v>0</v>
      </c>
      <c r="M13" s="126">
        <f t="shared" ca="1" si="0"/>
        <v>0</v>
      </c>
      <c r="N13" s="126">
        <f ca="1">+IF(ISERROR(OFFSET(Tabella!$G$1,MATCH(G13,Tabella!$G:$G,0)-1,MATCH(H13,Tabella!$G$1:$FG$1,0)-1)=TRUE),0,OFFSET(Tabella!$G$1,MATCH(G13,Tabella!$G:$G,0)-1,MATCH(H13,Tabella!$G$1:$AB$1,0)-1))</f>
        <v>0</v>
      </c>
      <c r="O13" s="126">
        <f ca="1">IF(ISERROR(OFFSET(Ottone!$F$1,MATCH(G13,Ottone!$A:$A,0)-1,MATCH(H13,Ottone!$F$1:$FF$1,0)-1)=TRUE),0,OFFSET(Ottone!$F$1,MATCH(G13,Ottone!$A:$A,0)-1,MATCH(H13,Ottone!$F$1:$FF$1,0)-1))*IF(D13="Ottone",1,0)</f>
        <v>0</v>
      </c>
      <c r="P13" s="126">
        <f ca="1">IF(ISERROR(OFFSET(Rame!$F$1,MATCH(G13,Rame!$F:$F,0)-1,MATCH(H13,Rame!$F$1:$FF$1,0)-1)=TRUE),0,OFFSET(Rame!$F$1,MATCH(G13,Rame!$F:$F,0)-1,MATCH(H13,Rame!$F$1:$FF$1,0)-1))*IF(D13="Rame",1,0)</f>
        <v>0</v>
      </c>
      <c r="Q13" s="126">
        <f t="shared" ca="1" si="1"/>
        <v>0</v>
      </c>
      <c r="R13" s="126">
        <f t="shared" si="2"/>
        <v>0</v>
      </c>
      <c r="S13" s="127"/>
      <c r="T13" s="128">
        <f t="shared" ca="1" si="3"/>
        <v>0</v>
      </c>
      <c r="U13" s="125">
        <f t="shared" si="4"/>
        <v>0</v>
      </c>
      <c r="V13" s="129"/>
      <c r="W13" s="130">
        <f t="shared" ca="1" si="5"/>
        <v>0</v>
      </c>
      <c r="X13" s="125">
        <f t="shared" ca="1" si="6"/>
        <v>0</v>
      </c>
      <c r="Y13" s="131"/>
      <c r="Z13" s="100"/>
    </row>
    <row r="14" spans="1:26" ht="15.75" thickBot="1" x14ac:dyDescent="0.3">
      <c r="A14" s="103"/>
      <c r="B14" s="88"/>
      <c r="C14" s="121"/>
      <c r="D14" s="89"/>
      <c r="E14" s="122"/>
      <c r="F14" s="123"/>
      <c r="G14" s="88"/>
      <c r="H14" s="88"/>
      <c r="I14" s="125"/>
      <c r="J14" s="115">
        <f ca="1">IF(ISERROR(OFFSET(Tabella!$A$1,MATCH(G14,Tabella!$A:$A,0)-1,MATCH(I14,Tabella!$A$1:$AC$1,0)-1)=TRUE),0,+OFFSET(Tabella!$A$1,MATCH(G14,Tabella!$A:$A,0)-1,MATCH(I14,Tabella!$A$1:$AC$1,0)-1))</f>
        <v>0</v>
      </c>
      <c r="K14" s="85">
        <f ca="1">IF(ISERROR(OFFSET(Ottone!$A$1,MATCH(G14,Ottone!$A:$A,0)-1,MATCH(I14,Ottone!$A$1:$Z$1,0)-1)=TRUE),0,OFFSET(Ottone!$A$1,MATCH(G14,Ottone!$A:$A,0)-1,MATCH(I14,Ottone!$A$1:$Z$1,0)-1))*IF(D14="Ottone",1,0)</f>
        <v>0</v>
      </c>
      <c r="L14" s="85">
        <f ca="1">IF(ISERROR(OFFSET(Rame!$A$1,MATCH(G14,Rame!$A:$A,0)-1,MATCH(I14,Rame!$A$1:$AA$1,0)-1)=TRUE),0,OFFSET(Rame!$A$1,MATCH(G14,Rame!$A:$A,0)-1,MATCH(I14,Rame!$A$1:$AA$1,0)-1))*IF(D14="Rame",1,0)</f>
        <v>0</v>
      </c>
      <c r="M14" s="126">
        <f t="shared" ca="1" si="0"/>
        <v>0</v>
      </c>
      <c r="N14" s="126">
        <f ca="1">+IF(ISERROR(OFFSET(Tabella!$G$1,MATCH(G14,Tabella!$G:$G,0)-1,MATCH(H14,Tabella!$G$1:$FG$1,0)-1)=TRUE),0,OFFSET(Tabella!$G$1,MATCH(G14,Tabella!$G:$G,0)-1,MATCH(H14,Tabella!$G$1:$AB$1,0)-1))</f>
        <v>0</v>
      </c>
      <c r="O14" s="126">
        <f ca="1">IF(ISERROR(OFFSET(Ottone!$F$1,MATCH(G14,Ottone!$A:$A,0)-1,MATCH(H14,Ottone!$F$1:$FF$1,0)-1)=TRUE),0,OFFSET(Ottone!$F$1,MATCH(G14,Ottone!$A:$A,0)-1,MATCH(H14,Ottone!$F$1:$FF$1,0)-1))*IF(D14="Ottone",1,0)</f>
        <v>0</v>
      </c>
      <c r="P14" s="126">
        <f ca="1">IF(ISERROR(OFFSET(Rame!$F$1,MATCH(G14,Rame!$F:$F,0)-1,MATCH(H14,Rame!$F$1:$FF$1,0)-1)=TRUE),0,OFFSET(Rame!$F$1,MATCH(G14,Rame!$F:$F,0)-1,MATCH(H14,Rame!$F$1:$FF$1,0)-1))*IF(D14="Rame",1,0)</f>
        <v>0</v>
      </c>
      <c r="Q14" s="126">
        <f t="shared" ca="1" si="1"/>
        <v>0</v>
      </c>
      <c r="R14" s="126">
        <f t="shared" si="2"/>
        <v>0</v>
      </c>
      <c r="S14" s="127"/>
      <c r="T14" s="128">
        <f t="shared" ca="1" si="3"/>
        <v>0</v>
      </c>
      <c r="U14" s="125">
        <f t="shared" si="4"/>
        <v>0</v>
      </c>
      <c r="V14" s="129"/>
      <c r="W14" s="130">
        <f t="shared" ca="1" si="5"/>
        <v>0</v>
      </c>
      <c r="X14" s="125">
        <f t="shared" ca="1" si="6"/>
        <v>0</v>
      </c>
      <c r="Y14" s="131"/>
      <c r="Z14" s="100"/>
    </row>
    <row r="15" spans="1:26" ht="15.75" thickBot="1" x14ac:dyDescent="0.3">
      <c r="A15" s="103"/>
      <c r="B15" s="88"/>
      <c r="C15" s="121"/>
      <c r="D15" s="89"/>
      <c r="E15" s="122"/>
      <c r="F15" s="123"/>
      <c r="G15" s="88"/>
      <c r="H15" s="88"/>
      <c r="I15" s="125"/>
      <c r="J15" s="115">
        <f ca="1">IF(ISERROR(OFFSET(Tabella!$A$1,MATCH(G15,Tabella!$A:$A,0)-1,MATCH(I15,Tabella!$A$1:$AC$1,0)-1)=TRUE),0,+OFFSET(Tabella!$A$1,MATCH(G15,Tabella!$A:$A,0)-1,MATCH(I15,Tabella!$A$1:$AC$1,0)-1))</f>
        <v>0</v>
      </c>
      <c r="K15" s="85">
        <f ca="1">IF(ISERROR(OFFSET(Ottone!$A$1,MATCH(G15,Ottone!$A:$A,0)-1,MATCH(I15,Ottone!$A$1:$Z$1,0)-1)=TRUE),0,OFFSET(Ottone!$A$1,MATCH(G15,Ottone!$A:$A,0)-1,MATCH(I15,Ottone!$A$1:$Z$1,0)-1))*IF(D15="Ottone",1,0)</f>
        <v>0</v>
      </c>
      <c r="L15" s="85">
        <f ca="1">IF(ISERROR(OFFSET(Rame!$A$1,MATCH(G15,Rame!$A:$A,0)-1,MATCH(I15,Rame!$A$1:$AA$1,0)-1)=TRUE),0,OFFSET(Rame!$A$1,MATCH(G15,Rame!$A:$A,0)-1,MATCH(I15,Rame!$A$1:$AA$1,0)-1))*IF(D15="Rame",1,0)</f>
        <v>0</v>
      </c>
      <c r="M15" s="126">
        <f t="shared" ca="1" si="0"/>
        <v>0</v>
      </c>
      <c r="N15" s="126">
        <f ca="1">+IF(ISERROR(OFFSET(Tabella!$G$1,MATCH(G15,Tabella!$G:$G,0)-1,MATCH(H15,Tabella!$G$1:$FG$1,0)-1)=TRUE),0,OFFSET(Tabella!$G$1,MATCH(G15,Tabella!$G:$G,0)-1,MATCH(H15,Tabella!$G$1:$AB$1,0)-1))</f>
        <v>0</v>
      </c>
      <c r="O15" s="126">
        <f ca="1">IF(ISERROR(OFFSET(Ottone!$F$1,MATCH(G15,Ottone!$A:$A,0)-1,MATCH(H15,Ottone!$F$1:$FF$1,0)-1)=TRUE),0,OFFSET(Ottone!$F$1,MATCH(G15,Ottone!$A:$A,0)-1,MATCH(H15,Ottone!$F$1:$FF$1,0)-1))*IF(D15="Ottone",1,0)</f>
        <v>0</v>
      </c>
      <c r="P15" s="126">
        <f ca="1">IF(ISERROR(OFFSET(Rame!$F$1,MATCH(G15,Rame!$F:$F,0)-1,MATCH(H15,Rame!$F$1:$FF$1,0)-1)=TRUE),0,OFFSET(Rame!$F$1,MATCH(G15,Rame!$F:$F,0)-1,MATCH(H15,Rame!$F$1:$FF$1,0)-1))*IF(D15="Rame",1,0)</f>
        <v>0</v>
      </c>
      <c r="Q15" s="126">
        <f t="shared" ca="1" si="1"/>
        <v>0</v>
      </c>
      <c r="R15" s="126">
        <f t="shared" si="2"/>
        <v>0</v>
      </c>
      <c r="S15" s="127"/>
      <c r="T15" s="128">
        <f t="shared" ca="1" si="3"/>
        <v>0</v>
      </c>
      <c r="U15" s="125">
        <f t="shared" si="4"/>
        <v>0</v>
      </c>
      <c r="V15" s="129"/>
      <c r="W15" s="130">
        <f t="shared" ca="1" si="5"/>
        <v>0</v>
      </c>
      <c r="X15" s="125">
        <f t="shared" ca="1" si="6"/>
        <v>0</v>
      </c>
      <c r="Y15" s="131"/>
      <c r="Z15" s="100"/>
    </row>
    <row r="16" spans="1:26" ht="15.75" thickBot="1" x14ac:dyDescent="0.3">
      <c r="A16" s="103"/>
      <c r="B16" s="88"/>
      <c r="C16" s="121"/>
      <c r="D16" s="89"/>
      <c r="E16" s="122"/>
      <c r="F16" s="123"/>
      <c r="G16" s="88"/>
      <c r="H16" s="88"/>
      <c r="I16" s="125"/>
      <c r="J16" s="115">
        <f ca="1">IF(ISERROR(OFFSET(Tabella!$A$1,MATCH(G16,Tabella!$A:$A,0)-1,MATCH(I16,Tabella!$A$1:$AC$1,0)-1)=TRUE),0,+OFFSET(Tabella!$A$1,MATCH(G16,Tabella!$A:$A,0)-1,MATCH(I16,Tabella!$A$1:$AC$1,0)-1))</f>
        <v>0</v>
      </c>
      <c r="K16" s="85">
        <f ca="1">IF(ISERROR(OFFSET(Ottone!$A$1,MATCH(G16,Ottone!$A:$A,0)-1,MATCH(I16,Ottone!$A$1:$Z$1,0)-1)=TRUE),0,OFFSET(Ottone!$A$1,MATCH(G16,Ottone!$A:$A,0)-1,MATCH(I16,Ottone!$A$1:$Z$1,0)-1))*IF(D16="Ottone",1,0)</f>
        <v>0</v>
      </c>
      <c r="L16" s="85">
        <f ca="1">IF(ISERROR(OFFSET(Rame!$A$1,MATCH(G16,Rame!$A:$A,0)-1,MATCH(I16,Rame!$A$1:$AA$1,0)-1)=TRUE),0,OFFSET(Rame!$A$1,MATCH(G16,Rame!$A:$A,0)-1,MATCH(I16,Rame!$A$1:$AA$1,0)-1))*IF(D16="Rame",1,0)</f>
        <v>0</v>
      </c>
      <c r="M16" s="126">
        <f t="shared" ca="1" si="0"/>
        <v>0</v>
      </c>
      <c r="N16" s="126">
        <f ca="1">+IF(ISERROR(OFFSET(Tabella!$G$1,MATCH(G16,Tabella!$G:$G,0)-1,MATCH(H16,Tabella!$G$1:$FG$1,0)-1)=TRUE),0,OFFSET(Tabella!$G$1,MATCH(G16,Tabella!$G:$G,0)-1,MATCH(H16,Tabella!$G$1:$AB$1,0)-1))</f>
        <v>0</v>
      </c>
      <c r="O16" s="126">
        <f ca="1">IF(ISERROR(OFFSET(Ottone!$F$1,MATCH(G16,Ottone!$A:$A,0)-1,MATCH(H16,Ottone!$F$1:$FF$1,0)-1)=TRUE),0,OFFSET(Ottone!$F$1,MATCH(G16,Ottone!$A:$A,0)-1,MATCH(H16,Ottone!$F$1:$FF$1,0)-1))*IF(D16="Ottone",1,0)</f>
        <v>0</v>
      </c>
      <c r="P16" s="126">
        <f ca="1">IF(ISERROR(OFFSET(Rame!$F$1,MATCH(G16,Rame!$F:$F,0)-1,MATCH(H16,Rame!$F$1:$FF$1,0)-1)=TRUE),0,OFFSET(Rame!$F$1,MATCH(G16,Rame!$F:$F,0)-1,MATCH(H16,Rame!$F$1:$FF$1,0)-1))*IF(D16="Rame",1,0)</f>
        <v>0</v>
      </c>
      <c r="Q16" s="126">
        <f t="shared" ca="1" si="1"/>
        <v>0</v>
      </c>
      <c r="R16" s="126"/>
      <c r="S16" s="127"/>
      <c r="T16" s="128">
        <f t="shared" ca="1" si="3"/>
        <v>0</v>
      </c>
      <c r="U16" s="125">
        <f t="shared" si="4"/>
        <v>0</v>
      </c>
      <c r="V16" s="129"/>
      <c r="W16" s="130">
        <f t="shared" ca="1" si="5"/>
        <v>0</v>
      </c>
      <c r="X16" s="125">
        <f t="shared" ca="1" si="6"/>
        <v>0</v>
      </c>
      <c r="Y16" s="131"/>
      <c r="Z16" s="100"/>
    </row>
    <row r="17" spans="1:26" ht="15.75" thickBot="1" x14ac:dyDescent="0.3">
      <c r="A17" s="103"/>
      <c r="B17" s="88"/>
      <c r="C17" s="121"/>
      <c r="D17" s="89"/>
      <c r="E17" s="122"/>
      <c r="F17" s="123"/>
      <c r="G17" s="88"/>
      <c r="H17" s="88"/>
      <c r="I17" s="125"/>
      <c r="J17" s="115">
        <f ca="1">IF(ISERROR(OFFSET(Tabella!$A$1,MATCH(G17,Tabella!$A:$A,0)-1,MATCH(I17,Tabella!$A$1:$AC$1,0)-1)=TRUE),0,+OFFSET(Tabella!$A$1,MATCH(G17,Tabella!$A:$A,0)-1,MATCH(I17,Tabella!$A$1:$AC$1,0)-1))</f>
        <v>0</v>
      </c>
      <c r="K17" s="85">
        <f ca="1">IF(ISERROR(OFFSET(Ottone!$A$1,MATCH(G17,Ottone!$A:$A,0)-1,MATCH(I17,Ottone!$A$1:$Z$1,0)-1)=TRUE),0,OFFSET(Ottone!$A$1,MATCH(G17,Ottone!$A:$A,0)-1,MATCH(I17,Ottone!$A$1:$Z$1,0)-1))*IF(D17="Ottone",1,0)</f>
        <v>0</v>
      </c>
      <c r="L17" s="85">
        <f ca="1">IF(ISERROR(OFFSET(Rame!$A$1,MATCH(G17,Rame!$A:$A,0)-1,MATCH(I17,Rame!$A$1:$AA$1,0)-1)=TRUE),0,OFFSET(Rame!$A$1,MATCH(G17,Rame!$A:$A,0)-1,MATCH(I17,Rame!$A$1:$AA$1,0)-1))*IF(D17="Rame",1,0)</f>
        <v>0</v>
      </c>
      <c r="M17" s="126">
        <f t="shared" ca="1" si="0"/>
        <v>0</v>
      </c>
      <c r="N17" s="126">
        <f ca="1">+IF(ISERROR(OFFSET(Tabella!$G$1,MATCH(G17,Tabella!$G:$G,0)-1,MATCH(H17,Tabella!$G$1:$FG$1,0)-1)=TRUE),0,OFFSET(Tabella!$G$1,MATCH(G17,Tabella!$G:$G,0)-1,MATCH(H17,Tabella!$G$1:$AB$1,0)-1))</f>
        <v>0</v>
      </c>
      <c r="O17" s="126">
        <f ca="1">IF(ISERROR(OFFSET(Ottone!$F$1,MATCH(G17,Ottone!$A:$A,0)-1,MATCH(H17,Ottone!$F$1:$FF$1,0)-1)=TRUE),0,OFFSET(Ottone!$F$1,MATCH(G17,Ottone!$A:$A,0)-1,MATCH(H17,Ottone!$F$1:$FF$1,0)-1))*IF(D17="Ottone",1,0)</f>
        <v>0</v>
      </c>
      <c r="P17" s="126">
        <f ca="1">IF(ISERROR(OFFSET(Rame!$F$1,MATCH(G17,Rame!$F:$F,0)-1,MATCH(H17,Rame!$F$1:$FF$1,0)-1)=TRUE),0,OFFSET(Rame!$F$1,MATCH(G17,Rame!$F:$F,0)-1,MATCH(H17,Rame!$F$1:$FF$1,0)-1))*IF(D17="Rame",1,0)</f>
        <v>0</v>
      </c>
      <c r="Q17" s="126">
        <f t="shared" ca="1" si="1"/>
        <v>0</v>
      </c>
      <c r="R17" s="126">
        <f t="shared" ref="R17:R51" si="7">(IF(C17&gt;500,0,0.1)*IF(D17="Alluminio",0,1))*IF(C17=0,0,1)</f>
        <v>0</v>
      </c>
      <c r="S17" s="127"/>
      <c r="T17" s="128">
        <f t="shared" ca="1" si="3"/>
        <v>0</v>
      </c>
      <c r="U17" s="125">
        <f t="shared" si="4"/>
        <v>0</v>
      </c>
      <c r="V17" s="129"/>
      <c r="W17" s="130">
        <f t="shared" ca="1" si="5"/>
        <v>0</v>
      </c>
      <c r="X17" s="125">
        <f t="shared" ca="1" si="6"/>
        <v>0</v>
      </c>
      <c r="Y17" s="131"/>
      <c r="Z17" s="100"/>
    </row>
    <row r="18" spans="1:26" ht="15.75" thickBot="1" x14ac:dyDescent="0.3">
      <c r="A18" s="103"/>
      <c r="B18" s="88"/>
      <c r="C18" s="121"/>
      <c r="D18" s="89"/>
      <c r="E18" s="122"/>
      <c r="F18" s="123"/>
      <c r="G18" s="88"/>
      <c r="H18" s="88"/>
      <c r="I18" s="125"/>
      <c r="J18" s="115">
        <f ca="1">IF(ISERROR(OFFSET(Tabella!$A$1,MATCH(G18,Tabella!$A:$A,0)-1,MATCH(I18,Tabella!$A$1:$AC$1,0)-1)=TRUE),0,+OFFSET(Tabella!$A$1,MATCH(G18,Tabella!$A:$A,0)-1,MATCH(I18,Tabella!$A$1:$AC$1,0)-1))</f>
        <v>0</v>
      </c>
      <c r="K18" s="85">
        <f ca="1">IF(ISERROR(OFFSET(Ottone!$A$1,MATCH(G18,Ottone!$A:$A,0)-1,MATCH(I18,Ottone!$A$1:$Z$1,0)-1)=TRUE),0,OFFSET(Ottone!$A$1,MATCH(G18,Ottone!$A:$A,0)-1,MATCH(I18,Ottone!$A$1:$Z$1,0)-1))*IF(D18="Ottone",1,0)</f>
        <v>0</v>
      </c>
      <c r="L18" s="85">
        <f ca="1">IF(ISERROR(OFFSET(Rame!$A$1,MATCH(G18,Rame!$A:$A,0)-1,MATCH(I18,Rame!$A$1:$AA$1,0)-1)=TRUE),0,OFFSET(Rame!$A$1,MATCH(G18,Rame!$A:$A,0)-1,MATCH(I18,Rame!$A$1:$AA$1,0)-1))*IF(D18="Rame",1,0)</f>
        <v>0</v>
      </c>
      <c r="M18" s="126">
        <f t="shared" ca="1" si="0"/>
        <v>0</v>
      </c>
      <c r="N18" s="126">
        <f ca="1">+IF(ISERROR(OFFSET(Tabella!$G$1,MATCH(G18,Tabella!$G:$G,0)-1,MATCH(H18,Tabella!$G$1:$FG$1,0)-1)=TRUE),0,OFFSET(Tabella!$G$1,MATCH(G18,Tabella!$G:$G,0)-1,MATCH(H18,Tabella!$G$1:$AB$1,0)-1))</f>
        <v>0</v>
      </c>
      <c r="O18" s="126">
        <f ca="1">IF(ISERROR(OFFSET(Ottone!$F$1,MATCH(G18,Ottone!$A:$A,0)-1,MATCH(H18,Ottone!$F$1:$FF$1,0)-1)=TRUE),0,OFFSET(Ottone!$F$1,MATCH(G18,Ottone!$A:$A,0)-1,MATCH(H18,Ottone!$F$1:$FF$1,0)-1))*IF(D18="Ottone",1,0)</f>
        <v>0</v>
      </c>
      <c r="P18" s="126">
        <f ca="1">IF(ISERROR(OFFSET(Rame!$F$1,MATCH(G18,Rame!$F:$F,0)-1,MATCH(H18,Rame!$F$1:$FF$1,0)-1)=TRUE),0,OFFSET(Rame!$F$1,MATCH(G18,Rame!$F:$F,0)-1,MATCH(H18,Rame!$F$1:$FF$1,0)-1))*IF(D18="Rame",1,0)</f>
        <v>0</v>
      </c>
      <c r="Q18" s="126">
        <f t="shared" ca="1" si="1"/>
        <v>0</v>
      </c>
      <c r="R18" s="126">
        <f t="shared" si="7"/>
        <v>0</v>
      </c>
      <c r="S18" s="127"/>
      <c r="T18" s="128">
        <f t="shared" ca="1" si="3"/>
        <v>0</v>
      </c>
      <c r="U18" s="125">
        <f t="shared" si="4"/>
        <v>0</v>
      </c>
      <c r="V18" s="129"/>
      <c r="W18" s="130">
        <f t="shared" ca="1" si="5"/>
        <v>0</v>
      </c>
      <c r="X18" s="125">
        <f t="shared" ca="1" si="6"/>
        <v>0</v>
      </c>
      <c r="Y18" s="131"/>
      <c r="Z18" s="100"/>
    </row>
    <row r="19" spans="1:26" ht="15.75" thickBot="1" x14ac:dyDescent="0.3">
      <c r="A19" s="103"/>
      <c r="B19" s="88"/>
      <c r="C19" s="121"/>
      <c r="D19" s="89"/>
      <c r="E19" s="122"/>
      <c r="F19" s="123"/>
      <c r="G19" s="88"/>
      <c r="H19" s="88"/>
      <c r="I19" s="125"/>
      <c r="J19" s="115">
        <f ca="1">IF(ISERROR(OFFSET(Tabella!$A$1,MATCH(G19,Tabella!$A:$A,0)-1,MATCH(I19,Tabella!$A$1:$AC$1,0)-1)=TRUE),0,+OFFSET(Tabella!$A$1,MATCH(G19,Tabella!$A:$A,0)-1,MATCH(I19,Tabella!$A$1:$AC$1,0)-1))</f>
        <v>0</v>
      </c>
      <c r="K19" s="85">
        <f ca="1">IF(ISERROR(OFFSET(Ottone!$A$1,MATCH(G19,Ottone!$A:$A,0)-1,MATCH(I19,Ottone!$A$1:$Z$1,0)-1)=TRUE),0,OFFSET(Ottone!$A$1,MATCH(G19,Ottone!$A:$A,0)-1,MATCH(I19,Ottone!$A$1:$Z$1,0)-1))*IF(D19="Ottone",1,0)</f>
        <v>0</v>
      </c>
      <c r="L19" s="85">
        <f ca="1">IF(ISERROR(OFFSET(Rame!$A$1,MATCH(G19,Rame!$A:$A,0)-1,MATCH(I19,Rame!$A$1:$AA$1,0)-1)=TRUE),0,OFFSET(Rame!$A$1,MATCH(G19,Rame!$A:$A,0)-1,MATCH(I19,Rame!$A$1:$AA$1,0)-1))*IF(D19="Rame",1,0)</f>
        <v>0</v>
      </c>
      <c r="M19" s="126">
        <f t="shared" ca="1" si="0"/>
        <v>0</v>
      </c>
      <c r="N19" s="126">
        <f ca="1">+IF(ISERROR(OFFSET(Tabella!$G$1,MATCH(G19,Tabella!$G:$G,0)-1,MATCH(H19,Tabella!$G$1:$FG$1,0)-1)=TRUE),0,OFFSET(Tabella!$G$1,MATCH(G19,Tabella!$G:$G,0)-1,MATCH(H19,Tabella!$G$1:$AB$1,0)-1))</f>
        <v>0</v>
      </c>
      <c r="O19" s="126">
        <f ca="1">IF(ISERROR(OFFSET(Ottone!$F$1,MATCH(G19,Ottone!$A:$A,0)-1,MATCH(H19,Ottone!$F$1:$FF$1,0)-1)=TRUE),0,OFFSET(Ottone!$F$1,MATCH(G19,Ottone!$A:$A,0)-1,MATCH(H19,Ottone!$F$1:$FF$1,0)-1))*IF(D19="Ottone",1,0)</f>
        <v>0</v>
      </c>
      <c r="P19" s="126">
        <f ca="1">IF(ISERROR(OFFSET(Rame!$F$1,MATCH(G19,Rame!$F:$F,0)-1,MATCH(H19,Rame!$F$1:$FF$1,0)-1)=TRUE),0,OFFSET(Rame!$F$1,MATCH(G19,Rame!$F:$F,0)-1,MATCH(H19,Rame!$F$1:$FF$1,0)-1))*IF(D19="Rame",1,0)</f>
        <v>0</v>
      </c>
      <c r="Q19" s="126">
        <f t="shared" ca="1" si="1"/>
        <v>0</v>
      </c>
      <c r="R19" s="126">
        <f t="shared" si="7"/>
        <v>0</v>
      </c>
      <c r="S19" s="127"/>
      <c r="T19" s="128">
        <f t="shared" ca="1" si="3"/>
        <v>0</v>
      </c>
      <c r="U19" s="125">
        <f t="shared" si="4"/>
        <v>0</v>
      </c>
      <c r="V19" s="129"/>
      <c r="W19" s="130">
        <f t="shared" ca="1" si="5"/>
        <v>0</v>
      </c>
      <c r="X19" s="125">
        <f t="shared" ca="1" si="6"/>
        <v>0</v>
      </c>
      <c r="Y19" s="131"/>
      <c r="Z19" s="100"/>
    </row>
    <row r="20" spans="1:26" ht="15.75" thickBot="1" x14ac:dyDescent="0.3">
      <c r="A20" s="103"/>
      <c r="B20" s="88"/>
      <c r="C20" s="121"/>
      <c r="D20" s="89"/>
      <c r="E20" s="122"/>
      <c r="F20" s="123"/>
      <c r="G20" s="88"/>
      <c r="H20" s="88"/>
      <c r="I20" s="125"/>
      <c r="J20" s="115">
        <f ca="1">IF(ISERROR(OFFSET(Tabella!$A$1,MATCH(G20,Tabella!$A:$A,0)-1,MATCH(I20,Tabella!$A$1:$AC$1,0)-1)=TRUE),0,+OFFSET(Tabella!$A$1,MATCH(G20,Tabella!$A:$A,0)-1,MATCH(I20,Tabella!$A$1:$AC$1,0)-1))</f>
        <v>0</v>
      </c>
      <c r="K20" s="85">
        <f ca="1">IF(ISERROR(OFFSET(Ottone!$A$1,MATCH(G20,Ottone!$A:$A,0)-1,MATCH(I20,Ottone!$A$1:$Z$1,0)-1)=TRUE),0,OFFSET(Ottone!$A$1,MATCH(G20,Ottone!$A:$A,0)-1,MATCH(I20,Ottone!$A$1:$Z$1,0)-1))*IF(D20="Ottone",1,0)</f>
        <v>0</v>
      </c>
      <c r="L20" s="85">
        <f ca="1">IF(ISERROR(OFFSET(Rame!$A$1,MATCH(G20,Rame!$A:$A,0)-1,MATCH(I20,Rame!$A$1:$AA$1,0)-1)=TRUE),0,OFFSET(Rame!$A$1,MATCH(G20,Rame!$A:$A,0)-1,MATCH(I20,Rame!$A$1:$AA$1,0)-1))*IF(D20="Rame",1,0)</f>
        <v>0</v>
      </c>
      <c r="M20" s="126">
        <f t="shared" ca="1" si="0"/>
        <v>0</v>
      </c>
      <c r="N20" s="126">
        <f ca="1">+IF(ISERROR(OFFSET(Tabella!$G$1,MATCH(G20,Tabella!$G:$G,0)-1,MATCH(H20,Tabella!$G$1:$FG$1,0)-1)=TRUE),0,OFFSET(Tabella!$G$1,MATCH(G20,Tabella!$G:$G,0)-1,MATCH(H20,Tabella!$G$1:$AB$1,0)-1))</f>
        <v>0</v>
      </c>
      <c r="O20" s="126">
        <f ca="1">IF(ISERROR(OFFSET(Ottone!$F$1,MATCH(G20,Ottone!$A:$A,0)-1,MATCH(H20,Ottone!$F$1:$FF$1,0)-1)=TRUE),0,OFFSET(Ottone!$F$1,MATCH(G20,Ottone!$A:$A,0)-1,MATCH(H20,Ottone!$F$1:$FF$1,0)-1))*IF(D20="Ottone",1,0)</f>
        <v>0</v>
      </c>
      <c r="P20" s="126">
        <f ca="1">IF(ISERROR(OFFSET(Rame!$F$1,MATCH(G20,Rame!$F:$F,0)-1,MATCH(H20,Rame!$F$1:$FF$1,0)-1)=TRUE),0,OFFSET(Rame!$F$1,MATCH(G20,Rame!$F:$F,0)-1,MATCH(H20,Rame!$F$1:$FF$1,0)-1))*IF(D20="Rame",1,0)</f>
        <v>0</v>
      </c>
      <c r="Q20" s="126">
        <f t="shared" ca="1" si="1"/>
        <v>0</v>
      </c>
      <c r="R20" s="126">
        <f t="shared" si="7"/>
        <v>0</v>
      </c>
      <c r="S20" s="127"/>
      <c r="T20" s="128">
        <f t="shared" ca="1" si="3"/>
        <v>0</v>
      </c>
      <c r="U20" s="125">
        <f t="shared" si="4"/>
        <v>0</v>
      </c>
      <c r="V20" s="129"/>
      <c r="W20" s="130">
        <f t="shared" ca="1" si="5"/>
        <v>0</v>
      </c>
      <c r="X20" s="125">
        <f t="shared" ca="1" si="6"/>
        <v>0</v>
      </c>
      <c r="Y20" s="131"/>
      <c r="Z20" s="100"/>
    </row>
    <row r="21" spans="1:26" ht="15.75" thickBot="1" x14ac:dyDescent="0.3">
      <c r="A21" s="103"/>
      <c r="B21" s="88"/>
      <c r="C21" s="121"/>
      <c r="D21" s="89"/>
      <c r="E21" s="122"/>
      <c r="F21" s="123"/>
      <c r="G21" s="88"/>
      <c r="H21" s="88"/>
      <c r="I21" s="125"/>
      <c r="J21" s="115">
        <f ca="1">IF(ISERROR(OFFSET(Tabella!$A$1,MATCH(G21,Tabella!$A:$A,0)-1,MATCH(I21,Tabella!$A$1:$AC$1,0)-1)=TRUE),0,+OFFSET(Tabella!$A$1,MATCH(G21,Tabella!$A:$A,0)-1,MATCH(I21,Tabella!$A$1:$AC$1,0)-1))</f>
        <v>0</v>
      </c>
      <c r="K21" s="85">
        <f ca="1">IF(ISERROR(OFFSET(Ottone!$A$1,MATCH(G21,Ottone!$A:$A,0)-1,MATCH(I21,Ottone!$A$1:$Z$1,0)-1)=TRUE),0,OFFSET(Ottone!$A$1,MATCH(G21,Ottone!$A:$A,0)-1,MATCH(I21,Ottone!$A$1:$Z$1,0)-1))*IF(D21="Ottone",1,0)</f>
        <v>0</v>
      </c>
      <c r="L21" s="85">
        <f ca="1">IF(ISERROR(OFFSET(Rame!$A$1,MATCH(G21,Rame!$A:$A,0)-1,MATCH(I21,Rame!$A$1:$AA$1,0)-1)=TRUE),0,OFFSET(Rame!$A$1,MATCH(G21,Rame!$A:$A,0)-1,MATCH(I21,Rame!$A$1:$AA$1,0)-1))*IF(D21="Rame",1,0)</f>
        <v>0</v>
      </c>
      <c r="M21" s="126">
        <f t="shared" ca="1" si="0"/>
        <v>0</v>
      </c>
      <c r="N21" s="126">
        <f ca="1">+IF(ISERROR(OFFSET(Tabella!$G$1,MATCH(G21,Tabella!$G:$G,0)-1,MATCH(H21,Tabella!$G$1:$FG$1,0)-1)=TRUE),0,OFFSET(Tabella!$G$1,MATCH(G21,Tabella!$G:$G,0)-1,MATCH(H21,Tabella!$G$1:$AB$1,0)-1))</f>
        <v>0</v>
      </c>
      <c r="O21" s="126">
        <f ca="1">IF(ISERROR(OFFSET(Ottone!$F$1,MATCH(G21,Ottone!$A:$A,0)-1,MATCH(H21,Ottone!$F$1:$FF$1,0)-1)=TRUE),0,OFFSET(Ottone!$F$1,MATCH(G21,Ottone!$A:$A,0)-1,MATCH(H21,Ottone!$F$1:$FF$1,0)-1))*IF(D21="Ottone",1,0)</f>
        <v>0</v>
      </c>
      <c r="P21" s="126">
        <f ca="1">IF(ISERROR(OFFSET(Rame!$F$1,MATCH(G21,Rame!$F:$F,0)-1,MATCH(H21,Rame!$F$1:$FF$1,0)-1)=TRUE),0,OFFSET(Rame!$F$1,MATCH(G21,Rame!$F:$F,0)-1,MATCH(H21,Rame!$F$1:$FF$1,0)-1))*IF(D21="Rame",1,0)</f>
        <v>0</v>
      </c>
      <c r="Q21" s="126">
        <f t="shared" ca="1" si="1"/>
        <v>0</v>
      </c>
      <c r="R21" s="126">
        <f t="shared" si="7"/>
        <v>0</v>
      </c>
      <c r="S21" s="127"/>
      <c r="T21" s="128">
        <f t="shared" ca="1" si="3"/>
        <v>0</v>
      </c>
      <c r="U21" s="125">
        <f t="shared" si="4"/>
        <v>0</v>
      </c>
      <c r="V21" s="129"/>
      <c r="W21" s="130">
        <f t="shared" ca="1" si="5"/>
        <v>0</v>
      </c>
      <c r="X21" s="125">
        <f t="shared" ca="1" si="6"/>
        <v>0</v>
      </c>
      <c r="Y21" s="131"/>
      <c r="Z21" s="100"/>
    </row>
    <row r="22" spans="1:26" ht="15.75" thickBot="1" x14ac:dyDescent="0.3">
      <c r="A22" s="103"/>
      <c r="B22" s="88"/>
      <c r="C22" s="121"/>
      <c r="D22" s="89"/>
      <c r="E22" s="122"/>
      <c r="F22" s="123"/>
      <c r="G22" s="88"/>
      <c r="H22" s="88"/>
      <c r="I22" s="125"/>
      <c r="J22" s="115">
        <f ca="1">IF(ISERROR(OFFSET(Tabella!$A$1,MATCH(G22,Tabella!$A:$A,0)-1,MATCH(I22,Tabella!$A$1:$AC$1,0)-1)=TRUE),0,+OFFSET(Tabella!$A$1,MATCH(G22,Tabella!$A:$A,0)-1,MATCH(I22,Tabella!$A$1:$AC$1,0)-1))</f>
        <v>0</v>
      </c>
      <c r="K22" s="85">
        <f ca="1">IF(ISERROR(OFFSET(Ottone!$A$1,MATCH(G22,Ottone!$A:$A,0)-1,MATCH(I22,Ottone!$A$1:$Z$1,0)-1)=TRUE),0,OFFSET(Ottone!$A$1,MATCH(G22,Ottone!$A:$A,0)-1,MATCH(I22,Ottone!$A$1:$Z$1,0)-1))*IF(D22="Ottone",1,0)</f>
        <v>0</v>
      </c>
      <c r="L22" s="85">
        <f ca="1">IF(ISERROR(OFFSET(Rame!$A$1,MATCH(G22,Rame!$A:$A,0)-1,MATCH(I22,Rame!$A$1:$AA$1,0)-1)=TRUE),0,OFFSET(Rame!$A$1,MATCH(G22,Rame!$A:$A,0)-1,MATCH(I22,Rame!$A$1:$AA$1,0)-1))*IF(D22="Rame",1,0)</f>
        <v>0</v>
      </c>
      <c r="M22" s="126">
        <f t="shared" ca="1" si="0"/>
        <v>0</v>
      </c>
      <c r="N22" s="126">
        <f ca="1">+IF(ISERROR(OFFSET(Tabella!$G$1,MATCH(G22,Tabella!$G:$G,0)-1,MATCH(H22,Tabella!$G$1:$FG$1,0)-1)=TRUE),0,OFFSET(Tabella!$G$1,MATCH(G22,Tabella!$G:$G,0)-1,MATCH(H22,Tabella!$G$1:$AB$1,0)-1))</f>
        <v>0</v>
      </c>
      <c r="O22" s="126">
        <f ca="1">IF(ISERROR(OFFSET(Ottone!$F$1,MATCH(G22,Ottone!$A:$A,0)-1,MATCH(H22,Ottone!$F$1:$FF$1,0)-1)=TRUE),0,OFFSET(Ottone!$F$1,MATCH(G22,Ottone!$A:$A,0)-1,MATCH(H22,Ottone!$F$1:$FF$1,0)-1))*IF(D22="Ottone",1,0)</f>
        <v>0</v>
      </c>
      <c r="P22" s="126">
        <f ca="1">IF(ISERROR(OFFSET(Rame!$F$1,MATCH(G22,Rame!$F:$F,0)-1,MATCH(H22,Rame!$F$1:$FF$1,0)-1)=TRUE),0,OFFSET(Rame!$F$1,MATCH(G22,Rame!$F:$F,0)-1,MATCH(H22,Rame!$F$1:$FF$1,0)-1))*IF(D22="Rame",1,0)</f>
        <v>0</v>
      </c>
      <c r="Q22" s="126">
        <f t="shared" ca="1" si="1"/>
        <v>0</v>
      </c>
      <c r="R22" s="126">
        <f t="shared" si="7"/>
        <v>0</v>
      </c>
      <c r="S22" s="127"/>
      <c r="T22" s="128">
        <f t="shared" ca="1" si="3"/>
        <v>0</v>
      </c>
      <c r="U22" s="125">
        <f t="shared" si="4"/>
        <v>0</v>
      </c>
      <c r="V22" s="129"/>
      <c r="W22" s="130">
        <f t="shared" ca="1" si="5"/>
        <v>0</v>
      </c>
      <c r="X22" s="125">
        <f t="shared" ca="1" si="6"/>
        <v>0</v>
      </c>
      <c r="Y22" s="131"/>
      <c r="Z22" s="100"/>
    </row>
    <row r="23" spans="1:26" ht="15.75" thickBot="1" x14ac:dyDescent="0.3">
      <c r="A23" s="103"/>
      <c r="B23" s="88"/>
      <c r="C23" s="121"/>
      <c r="D23" s="89"/>
      <c r="E23" s="122"/>
      <c r="F23" s="123"/>
      <c r="G23" s="88"/>
      <c r="H23" s="88"/>
      <c r="I23" s="125"/>
      <c r="J23" s="115">
        <f ca="1">IF(ISERROR(OFFSET(Tabella!$A$1,MATCH(G23,Tabella!$A:$A,0)-1,MATCH(I23,Tabella!$A$1:$AC$1,0)-1)=TRUE),0,+OFFSET(Tabella!$A$1,MATCH(G23,Tabella!$A:$A,0)-1,MATCH(I23,Tabella!$A$1:$AC$1,0)-1))</f>
        <v>0</v>
      </c>
      <c r="K23" s="85">
        <f ca="1">IF(ISERROR(OFFSET(Ottone!$A$1,MATCH(G23,Ottone!$A:$A,0)-1,MATCH(I23,Ottone!$A$1:$Z$1,0)-1)=TRUE),0,OFFSET(Ottone!$A$1,MATCH(G23,Ottone!$A:$A,0)-1,MATCH(I23,Ottone!$A$1:$Z$1,0)-1))*IF(D23="Ottone",1,0)</f>
        <v>0</v>
      </c>
      <c r="L23" s="85">
        <f ca="1">IF(ISERROR(OFFSET(Rame!$A$1,MATCH(G23,Rame!$A:$A,0)-1,MATCH(I23,Rame!$A$1:$AA$1,0)-1)=TRUE),0,OFFSET(Rame!$A$1,MATCH(G23,Rame!$A:$A,0)-1,MATCH(I23,Rame!$A$1:$AA$1,0)-1))*IF(D23="Rame",1,0)</f>
        <v>0</v>
      </c>
      <c r="M23" s="126">
        <f t="shared" ca="1" si="0"/>
        <v>0</v>
      </c>
      <c r="N23" s="126">
        <f ca="1">+IF(ISERROR(OFFSET(Tabella!$G$1,MATCH(G23,Tabella!$G:$G,0)-1,MATCH(H23,Tabella!$G$1:$FG$1,0)-1)=TRUE),0,OFFSET(Tabella!$G$1,MATCH(G23,Tabella!$G:$G,0)-1,MATCH(H23,Tabella!$G$1:$AB$1,0)-1))</f>
        <v>0</v>
      </c>
      <c r="O23" s="126">
        <f ca="1">IF(ISERROR(OFFSET(Ottone!$F$1,MATCH(G23,Ottone!$A:$A,0)-1,MATCH(H23,Ottone!$F$1:$FF$1,0)-1)=TRUE),0,OFFSET(Ottone!$F$1,MATCH(G23,Ottone!$A:$A,0)-1,MATCH(H23,Ottone!$F$1:$FF$1,0)-1))*IF(D23="Ottone",1,0)</f>
        <v>0</v>
      </c>
      <c r="P23" s="126">
        <f ca="1">IF(ISERROR(OFFSET(Rame!$F$1,MATCH(G23,Rame!$F:$F,0)-1,MATCH(H23,Rame!$F$1:$FF$1,0)-1)=TRUE),0,OFFSET(Rame!$F$1,MATCH(G23,Rame!$F:$F,0)-1,MATCH(H23,Rame!$F$1:$FF$1,0)-1))*IF(D23="Rame",1,0)</f>
        <v>0</v>
      </c>
      <c r="Q23" s="126">
        <f t="shared" ca="1" si="1"/>
        <v>0</v>
      </c>
      <c r="R23" s="126">
        <f t="shared" si="7"/>
        <v>0</v>
      </c>
      <c r="S23" s="127"/>
      <c r="T23" s="128">
        <f t="shared" ca="1" si="3"/>
        <v>0</v>
      </c>
      <c r="U23" s="125">
        <f t="shared" si="4"/>
        <v>0</v>
      </c>
      <c r="V23" s="129"/>
      <c r="W23" s="130">
        <f t="shared" ca="1" si="5"/>
        <v>0</v>
      </c>
      <c r="X23" s="125">
        <f t="shared" ca="1" si="6"/>
        <v>0</v>
      </c>
      <c r="Y23" s="131"/>
      <c r="Z23" s="100"/>
    </row>
    <row r="24" spans="1:26" ht="15.75" thickBot="1" x14ac:dyDescent="0.3">
      <c r="A24" s="103"/>
      <c r="B24" s="88"/>
      <c r="C24" s="121"/>
      <c r="D24" s="89"/>
      <c r="E24" s="122"/>
      <c r="F24" s="123"/>
      <c r="G24" s="88"/>
      <c r="H24" s="88"/>
      <c r="I24" s="125"/>
      <c r="J24" s="115">
        <f ca="1">IF(ISERROR(OFFSET(Tabella!$A$1,MATCH(G24,Tabella!$A:$A,0)-1,MATCH(I24,Tabella!$A$1:$AC$1,0)-1)=TRUE),0,+OFFSET(Tabella!$A$1,MATCH(G24,Tabella!$A:$A,0)-1,MATCH(I24,Tabella!$A$1:$AC$1,0)-1))</f>
        <v>0</v>
      </c>
      <c r="K24" s="85">
        <f ca="1">IF(ISERROR(OFFSET(Ottone!$A$1,MATCH(G24,Ottone!$A:$A,0)-1,MATCH(I24,Ottone!$A$1:$Z$1,0)-1)=TRUE),0,OFFSET(Ottone!$A$1,MATCH(G24,Ottone!$A:$A,0)-1,MATCH(I24,Ottone!$A$1:$Z$1,0)-1))*IF(D24="Ottone",1,0)</f>
        <v>0</v>
      </c>
      <c r="L24" s="85">
        <f ca="1">IF(ISERROR(OFFSET(Rame!$A$1,MATCH(G24,Rame!$A:$A,0)-1,MATCH(I24,Rame!$A$1:$AA$1,0)-1)=TRUE),0,OFFSET(Rame!$A$1,MATCH(G24,Rame!$A:$A,0)-1,MATCH(I24,Rame!$A$1:$AA$1,0)-1))*IF(D24="Rame",1,0)</f>
        <v>0</v>
      </c>
      <c r="M24" s="126">
        <f t="shared" ca="1" si="0"/>
        <v>0</v>
      </c>
      <c r="N24" s="126">
        <f ca="1">+IF(ISERROR(OFFSET(Tabella!$G$1,MATCH(G24,Tabella!$G:$G,0)-1,MATCH(H24,Tabella!$G$1:$FG$1,0)-1)=TRUE),0,OFFSET(Tabella!$G$1,MATCH(G24,Tabella!$G:$G,0)-1,MATCH(H24,Tabella!$G$1:$AB$1,0)-1))</f>
        <v>0</v>
      </c>
      <c r="O24" s="126">
        <f ca="1">IF(ISERROR(OFFSET(Ottone!$F$1,MATCH(G24,Ottone!$A:$A,0)-1,MATCH(H24,Ottone!$F$1:$FF$1,0)-1)=TRUE),0,OFFSET(Ottone!$F$1,MATCH(G24,Ottone!$A:$A,0)-1,MATCH(H24,Ottone!$F$1:$FF$1,0)-1))*IF(D24="Ottone",1,0)</f>
        <v>0</v>
      </c>
      <c r="P24" s="126">
        <f ca="1">IF(ISERROR(OFFSET(Rame!$F$1,MATCH(G24,Rame!$F:$F,0)-1,MATCH(H24,Rame!$F$1:$FF$1,0)-1)=TRUE),0,OFFSET(Rame!$F$1,MATCH(G24,Rame!$F:$F,0)-1,MATCH(H24,Rame!$F$1:$FF$1,0)-1))*IF(D24="Rame",1,0)</f>
        <v>0</v>
      </c>
      <c r="Q24" s="126">
        <f t="shared" ca="1" si="1"/>
        <v>0</v>
      </c>
      <c r="R24" s="126">
        <f t="shared" si="7"/>
        <v>0</v>
      </c>
      <c r="S24" s="127"/>
      <c r="T24" s="128">
        <f t="shared" ca="1" si="3"/>
        <v>0</v>
      </c>
      <c r="U24" s="125">
        <f t="shared" si="4"/>
        <v>0</v>
      </c>
      <c r="V24" s="129"/>
      <c r="W24" s="130">
        <f t="shared" ca="1" si="5"/>
        <v>0</v>
      </c>
      <c r="X24" s="125">
        <f t="shared" ca="1" si="6"/>
        <v>0</v>
      </c>
      <c r="Y24" s="131"/>
      <c r="Z24" s="100"/>
    </row>
    <row r="25" spans="1:26" ht="15.75" thickBot="1" x14ac:dyDescent="0.3">
      <c r="A25" s="103"/>
      <c r="B25" s="88"/>
      <c r="C25" s="121"/>
      <c r="D25" s="89"/>
      <c r="E25" s="122"/>
      <c r="F25" s="123"/>
      <c r="G25" s="88"/>
      <c r="H25" s="88"/>
      <c r="I25" s="125"/>
      <c r="J25" s="115">
        <f ca="1">IF(ISERROR(OFFSET(Tabella!$A$1,MATCH(G25,Tabella!$A:$A,0)-1,MATCH(I25,Tabella!$A$1:$AC$1,0)-1)=TRUE),0,+OFFSET(Tabella!$A$1,MATCH(G25,Tabella!$A:$A,0)-1,MATCH(I25,Tabella!$A$1:$AC$1,0)-1))</f>
        <v>0</v>
      </c>
      <c r="K25" s="85">
        <f ca="1">IF(ISERROR(OFFSET(Ottone!$A$1,MATCH(G25,Ottone!$A:$A,0)-1,MATCH(I25,Ottone!$A$1:$Z$1,0)-1)=TRUE),0,OFFSET(Ottone!$A$1,MATCH(G25,Ottone!$A:$A,0)-1,MATCH(I25,Ottone!$A$1:$Z$1,0)-1))*IF(D25="Ottone",1,0)</f>
        <v>0</v>
      </c>
      <c r="L25" s="85">
        <f ca="1">IF(ISERROR(OFFSET(Rame!$A$1,MATCH(G25,Rame!$A:$A,0)-1,MATCH(I25,Rame!$A$1:$AA$1,0)-1)=TRUE),0,OFFSET(Rame!$A$1,MATCH(G25,Rame!$A:$A,0)-1,MATCH(I25,Rame!$A$1:$AA$1,0)-1))*IF(D25="Rame",1,0)</f>
        <v>0</v>
      </c>
      <c r="M25" s="126">
        <f t="shared" ca="1" si="0"/>
        <v>0</v>
      </c>
      <c r="N25" s="126">
        <f ca="1">+IF(ISERROR(OFFSET(Tabella!$G$1,MATCH(G25,Tabella!$G:$G,0)-1,MATCH(H25,Tabella!$G$1:$FG$1,0)-1)=TRUE),0,OFFSET(Tabella!$G$1,MATCH(G25,Tabella!$G:$G,0)-1,MATCH(H25,Tabella!$G$1:$AB$1,0)-1))</f>
        <v>0</v>
      </c>
      <c r="O25" s="126">
        <f ca="1">IF(ISERROR(OFFSET(Ottone!$F$1,MATCH(G25,Ottone!$A:$A,0)-1,MATCH(H25,Ottone!$F$1:$FF$1,0)-1)=TRUE),0,OFFSET(Ottone!$F$1,MATCH(G25,Ottone!$A:$A,0)-1,MATCH(H25,Ottone!$F$1:$FF$1,0)-1))*IF(D25="Ottone",1,0)</f>
        <v>0</v>
      </c>
      <c r="P25" s="126">
        <f ca="1">IF(ISERROR(OFFSET(Rame!$F$1,MATCH(G25,Rame!$F:$F,0)-1,MATCH(H25,Rame!$F$1:$FF$1,0)-1)=TRUE),0,OFFSET(Rame!$F$1,MATCH(G25,Rame!$F:$F,0)-1,MATCH(H25,Rame!$F$1:$FF$1,0)-1))*IF(D25="Rame",1,0)</f>
        <v>0</v>
      </c>
      <c r="Q25" s="126">
        <f t="shared" ca="1" si="1"/>
        <v>0</v>
      </c>
      <c r="R25" s="126">
        <f t="shared" si="7"/>
        <v>0</v>
      </c>
      <c r="S25" s="127"/>
      <c r="T25" s="128">
        <f t="shared" ca="1" si="3"/>
        <v>0</v>
      </c>
      <c r="U25" s="125">
        <f t="shared" si="4"/>
        <v>0</v>
      </c>
      <c r="V25" s="129"/>
      <c r="W25" s="130">
        <f t="shared" ca="1" si="5"/>
        <v>0</v>
      </c>
      <c r="X25" s="125">
        <f t="shared" ca="1" si="6"/>
        <v>0</v>
      </c>
      <c r="Y25" s="131"/>
      <c r="Z25" s="100"/>
    </row>
    <row r="26" spans="1:26" ht="15.75" thickBot="1" x14ac:dyDescent="0.3">
      <c r="A26" s="103"/>
      <c r="B26" s="88"/>
      <c r="C26" s="121"/>
      <c r="D26" s="89"/>
      <c r="E26" s="122"/>
      <c r="F26" s="123"/>
      <c r="G26" s="88"/>
      <c r="H26" s="88"/>
      <c r="I26" s="125"/>
      <c r="J26" s="115">
        <f ca="1">IF(ISERROR(OFFSET(Tabella!$A$1,MATCH(G26,Tabella!$A:$A,0)-1,MATCH(I26,Tabella!$A$1:$AC$1,0)-1)=TRUE),0,+OFFSET(Tabella!$A$1,MATCH(G26,Tabella!$A:$A,0)-1,MATCH(I26,Tabella!$A$1:$AC$1,0)-1))</f>
        <v>0</v>
      </c>
      <c r="K26" s="85">
        <f ca="1">IF(ISERROR(OFFSET(Ottone!$A$1,MATCH(G26,Ottone!$A:$A,0)-1,MATCH(I26,Ottone!$A$1:$Z$1,0)-1)=TRUE),0,OFFSET(Ottone!$A$1,MATCH(G26,Ottone!$A:$A,0)-1,MATCH(I26,Ottone!$A$1:$Z$1,0)-1))*IF(D26="Ottone",1,0)</f>
        <v>0</v>
      </c>
      <c r="L26" s="85">
        <f ca="1">IF(ISERROR(OFFSET(Rame!$A$1,MATCH(G26,Rame!$A:$A,0)-1,MATCH(I26,Rame!$A$1:$AA$1,0)-1)=TRUE),0,OFFSET(Rame!$A$1,MATCH(G26,Rame!$A:$A,0)-1,MATCH(I26,Rame!$A$1:$AA$1,0)-1))*IF(D26="Rame",1,0)</f>
        <v>0</v>
      </c>
      <c r="M26" s="126">
        <f t="shared" ca="1" si="0"/>
        <v>0</v>
      </c>
      <c r="N26" s="126">
        <f ca="1">+IF(ISERROR(OFFSET(Tabella!$G$1,MATCH(G26,Tabella!$G:$G,0)-1,MATCH(H26,Tabella!$G$1:$FG$1,0)-1)=TRUE),0,OFFSET(Tabella!$G$1,MATCH(G26,Tabella!$G:$G,0)-1,MATCH(H26,Tabella!$G$1:$AB$1,0)-1))</f>
        <v>0</v>
      </c>
      <c r="O26" s="126">
        <f ca="1">IF(ISERROR(OFFSET(Ottone!$F$1,MATCH(G26,Ottone!$A:$A,0)-1,MATCH(H26,Ottone!$F$1:$FF$1,0)-1)=TRUE),0,OFFSET(Ottone!$F$1,MATCH(G26,Ottone!$A:$A,0)-1,MATCH(H26,Ottone!$F$1:$FF$1,0)-1))*IF(D26="Ottone",1,0)</f>
        <v>0</v>
      </c>
      <c r="P26" s="126">
        <f ca="1">IF(ISERROR(OFFSET(Rame!$F$1,MATCH(G26,Rame!$F:$F,0)-1,MATCH(H26,Rame!$F$1:$FF$1,0)-1)=TRUE),0,OFFSET(Rame!$F$1,MATCH(G26,Rame!$F:$F,0)-1,MATCH(H26,Rame!$F$1:$FF$1,0)-1))*IF(D26="Rame",1,0)</f>
        <v>0</v>
      </c>
      <c r="Q26" s="126">
        <f t="shared" ca="1" si="1"/>
        <v>0</v>
      </c>
      <c r="R26" s="126">
        <f t="shared" si="7"/>
        <v>0</v>
      </c>
      <c r="S26" s="127"/>
      <c r="T26" s="128">
        <f t="shared" ca="1" si="3"/>
        <v>0</v>
      </c>
      <c r="U26" s="125">
        <f t="shared" si="4"/>
        <v>0</v>
      </c>
      <c r="V26" s="129"/>
      <c r="W26" s="130">
        <f t="shared" ca="1" si="5"/>
        <v>0</v>
      </c>
      <c r="X26" s="125">
        <f t="shared" ca="1" si="6"/>
        <v>0</v>
      </c>
      <c r="Y26" s="131"/>
      <c r="Z26" s="100"/>
    </row>
    <row r="27" spans="1:26" ht="15.75" thickBot="1" x14ac:dyDescent="0.3">
      <c r="A27" s="103"/>
      <c r="B27" s="88"/>
      <c r="C27" s="121"/>
      <c r="D27" s="89"/>
      <c r="E27" s="122"/>
      <c r="F27" s="123"/>
      <c r="G27" s="88"/>
      <c r="H27" s="88"/>
      <c r="I27" s="125"/>
      <c r="J27" s="115">
        <f ca="1">IF(ISERROR(OFFSET(Tabella!$A$1,MATCH(G27,Tabella!$A:$A,0)-1,MATCH(I27,Tabella!$A$1:$AC$1,0)-1)=TRUE),0,+OFFSET(Tabella!$A$1,MATCH(G27,Tabella!$A:$A,0)-1,MATCH(I27,Tabella!$A$1:$AC$1,0)-1))</f>
        <v>0</v>
      </c>
      <c r="K27" s="85">
        <f ca="1">IF(ISERROR(OFFSET(Ottone!$A$1,MATCH(G27,Ottone!$A:$A,0)-1,MATCH(I27,Ottone!$A$1:$Z$1,0)-1)=TRUE),0,OFFSET(Ottone!$A$1,MATCH(G27,Ottone!$A:$A,0)-1,MATCH(I27,Ottone!$A$1:$Z$1,0)-1))*IF(D27="Ottone",1,0)</f>
        <v>0</v>
      </c>
      <c r="L27" s="85">
        <f ca="1">IF(ISERROR(OFFSET(Rame!$A$1,MATCH(G27,Rame!$A:$A,0)-1,MATCH(I27,Rame!$A$1:$AA$1,0)-1)=TRUE),0,OFFSET(Rame!$A$1,MATCH(G27,Rame!$A:$A,0)-1,MATCH(I27,Rame!$A$1:$AA$1,0)-1))*IF(D27="Rame",1,0)</f>
        <v>0</v>
      </c>
      <c r="M27" s="126">
        <f t="shared" ca="1" si="0"/>
        <v>0</v>
      </c>
      <c r="N27" s="126">
        <f ca="1">+IF(ISERROR(OFFSET(Tabella!$G$1,MATCH(G27,Tabella!$G:$G,0)-1,MATCH(H27,Tabella!$G$1:$FG$1,0)-1)=TRUE),0,OFFSET(Tabella!$G$1,MATCH(G27,Tabella!$G:$G,0)-1,MATCH(H27,Tabella!$G$1:$AB$1,0)-1))</f>
        <v>0</v>
      </c>
      <c r="O27" s="126">
        <f ca="1">IF(ISERROR(OFFSET(Ottone!$F$1,MATCH(G27,Ottone!$A:$A,0)-1,MATCH(H27,Ottone!$F$1:$FF$1,0)-1)=TRUE),0,OFFSET(Ottone!$F$1,MATCH(G27,Ottone!$A:$A,0)-1,MATCH(H27,Ottone!$F$1:$FF$1,0)-1))*IF(D27="Ottone",1,0)</f>
        <v>0</v>
      </c>
      <c r="P27" s="126">
        <f ca="1">IF(ISERROR(OFFSET(Rame!$F$1,MATCH(G27,Rame!$F:$F,0)-1,MATCH(H27,Rame!$F$1:$FF$1,0)-1)=TRUE),0,OFFSET(Rame!$F$1,MATCH(G27,Rame!$F:$F,0)-1,MATCH(H27,Rame!$F$1:$FF$1,0)-1))*IF(D27="Rame",1,0)</f>
        <v>0</v>
      </c>
      <c r="Q27" s="126">
        <f t="shared" ca="1" si="1"/>
        <v>0</v>
      </c>
      <c r="R27" s="126">
        <f t="shared" si="7"/>
        <v>0</v>
      </c>
      <c r="S27" s="127"/>
      <c r="T27" s="128">
        <f t="shared" ca="1" si="3"/>
        <v>0</v>
      </c>
      <c r="U27" s="125">
        <f t="shared" si="4"/>
        <v>0</v>
      </c>
      <c r="V27" s="129"/>
      <c r="W27" s="130">
        <f t="shared" ca="1" si="5"/>
        <v>0</v>
      </c>
      <c r="X27" s="125">
        <f t="shared" ca="1" si="6"/>
        <v>0</v>
      </c>
      <c r="Y27" s="131"/>
      <c r="Z27" s="100"/>
    </row>
    <row r="28" spans="1:26" ht="15.75" thickBot="1" x14ac:dyDescent="0.3">
      <c r="A28" s="103"/>
      <c r="B28" s="88"/>
      <c r="C28" s="121"/>
      <c r="D28" s="89"/>
      <c r="E28" s="122"/>
      <c r="F28" s="123"/>
      <c r="G28" s="88"/>
      <c r="H28" s="88"/>
      <c r="I28" s="125"/>
      <c r="J28" s="115">
        <f ca="1">IF(ISERROR(OFFSET(Tabella!$A$1,MATCH(G28,Tabella!$A:$A,0)-1,MATCH(I28,Tabella!$A$1:$AC$1,0)-1)=TRUE),0,+OFFSET(Tabella!$A$1,MATCH(G28,Tabella!$A:$A,0)-1,MATCH(I28,Tabella!$A$1:$AC$1,0)-1))</f>
        <v>0</v>
      </c>
      <c r="K28" s="85">
        <f ca="1">IF(ISERROR(OFFSET(Ottone!$A$1,MATCH(G28,Ottone!$A:$A,0)-1,MATCH(I28,Ottone!$A$1:$Z$1,0)-1)=TRUE),0,OFFSET(Ottone!$A$1,MATCH(G28,Ottone!$A:$A,0)-1,MATCH(I28,Ottone!$A$1:$Z$1,0)-1))*IF(D28="Ottone",1,0)</f>
        <v>0</v>
      </c>
      <c r="L28" s="85">
        <f ca="1">IF(ISERROR(OFFSET(Rame!$A$1,MATCH(G28,Rame!$A:$A,0)-1,MATCH(I28,Rame!$A$1:$AA$1,0)-1)=TRUE),0,OFFSET(Rame!$A$1,MATCH(G28,Rame!$A:$A,0)-1,MATCH(I28,Rame!$A$1:$AA$1,0)-1))*IF(D28="Rame",1,0)</f>
        <v>0</v>
      </c>
      <c r="M28" s="126">
        <f t="shared" ca="1" si="0"/>
        <v>0</v>
      </c>
      <c r="N28" s="126">
        <f ca="1">+IF(ISERROR(OFFSET(Tabella!$G$1,MATCH(G28,Tabella!$G:$G,0)-1,MATCH(H28,Tabella!$G$1:$FG$1,0)-1)=TRUE),0,OFFSET(Tabella!$G$1,MATCH(G28,Tabella!$G:$G,0)-1,MATCH(H28,Tabella!$G$1:$AB$1,0)-1))</f>
        <v>0</v>
      </c>
      <c r="O28" s="126">
        <f ca="1">IF(ISERROR(OFFSET(Ottone!$F$1,MATCH(G28,Ottone!$A:$A,0)-1,MATCH(H28,Ottone!$F$1:$FF$1,0)-1)=TRUE),0,OFFSET(Ottone!$F$1,MATCH(G28,Ottone!$A:$A,0)-1,MATCH(H28,Ottone!$F$1:$FF$1,0)-1))*IF(D28="Ottone",1,0)</f>
        <v>0</v>
      </c>
      <c r="P28" s="126">
        <f ca="1">IF(ISERROR(OFFSET(Rame!$F$1,MATCH(G28,Rame!$F:$F,0)-1,MATCH(H28,Rame!$F$1:$FF$1,0)-1)=TRUE),0,OFFSET(Rame!$F$1,MATCH(G28,Rame!$F:$F,0)-1,MATCH(H28,Rame!$F$1:$FF$1,0)-1))*IF(D28="Rame",1,0)</f>
        <v>0</v>
      </c>
      <c r="Q28" s="126">
        <f t="shared" ca="1" si="1"/>
        <v>0</v>
      </c>
      <c r="R28" s="126">
        <f t="shared" si="7"/>
        <v>0</v>
      </c>
      <c r="S28" s="127"/>
      <c r="T28" s="128">
        <f t="shared" ca="1" si="3"/>
        <v>0</v>
      </c>
      <c r="U28" s="125">
        <f t="shared" si="4"/>
        <v>0</v>
      </c>
      <c r="V28" s="129"/>
      <c r="W28" s="130">
        <f t="shared" ca="1" si="5"/>
        <v>0</v>
      </c>
      <c r="X28" s="125">
        <f t="shared" ca="1" si="6"/>
        <v>0</v>
      </c>
      <c r="Y28" s="131"/>
      <c r="Z28" s="100"/>
    </row>
    <row r="29" spans="1:26" ht="15.75" thickBot="1" x14ac:dyDescent="0.3">
      <c r="A29" s="103"/>
      <c r="B29" s="88"/>
      <c r="C29" s="121"/>
      <c r="D29" s="89"/>
      <c r="E29" s="122"/>
      <c r="F29" s="123"/>
      <c r="G29" s="88"/>
      <c r="H29" s="88"/>
      <c r="I29" s="125"/>
      <c r="J29" s="115">
        <f ca="1">IF(ISERROR(OFFSET(Tabella!$A$1,MATCH(G29,Tabella!$A:$A,0)-1,MATCH(I29,Tabella!$A$1:$AC$1,0)-1)=TRUE),0,+OFFSET(Tabella!$A$1,MATCH(G29,Tabella!$A:$A,0)-1,MATCH(I29,Tabella!$A$1:$AC$1,0)-1))</f>
        <v>0</v>
      </c>
      <c r="K29" s="85">
        <f ca="1">IF(ISERROR(OFFSET(Ottone!$A$1,MATCH(G29,Ottone!$A:$A,0)-1,MATCH(I29,Ottone!$A$1:$Z$1,0)-1)=TRUE),0,OFFSET(Ottone!$A$1,MATCH(G29,Ottone!$A:$A,0)-1,MATCH(I29,Ottone!$A$1:$Z$1,0)-1))*IF(D29="Ottone",1,0)</f>
        <v>0</v>
      </c>
      <c r="L29" s="85">
        <f ca="1">IF(ISERROR(OFFSET(Rame!$A$1,MATCH(G29,Rame!$A:$A,0)-1,MATCH(I29,Rame!$A$1:$AA$1,0)-1)=TRUE),0,OFFSET(Rame!$A$1,MATCH(G29,Rame!$A:$A,0)-1,MATCH(I29,Rame!$A$1:$AA$1,0)-1))*IF(D29="Rame",1,0)</f>
        <v>0</v>
      </c>
      <c r="M29" s="126">
        <f t="shared" ca="1" si="0"/>
        <v>0</v>
      </c>
      <c r="N29" s="126">
        <f ca="1">+IF(ISERROR(OFFSET(Tabella!$G$1,MATCH(G29,Tabella!$G:$G,0)-1,MATCH(H29,Tabella!$G$1:$FG$1,0)-1)=TRUE),0,OFFSET(Tabella!$G$1,MATCH(G29,Tabella!$G:$G,0)-1,MATCH(H29,Tabella!$G$1:$AB$1,0)-1))</f>
        <v>0</v>
      </c>
      <c r="O29" s="126">
        <f ca="1">IF(ISERROR(OFFSET(Ottone!$F$1,MATCH(G29,Ottone!$A:$A,0)-1,MATCH(H29,Ottone!$F$1:$FF$1,0)-1)=TRUE),0,OFFSET(Ottone!$F$1,MATCH(G29,Ottone!$A:$A,0)-1,MATCH(H29,Ottone!$F$1:$FF$1,0)-1))*IF(D29="Ottone",1,0)</f>
        <v>0</v>
      </c>
      <c r="P29" s="126">
        <f ca="1">IF(ISERROR(OFFSET(Rame!$F$1,MATCH(G29,Rame!$F:$F,0)-1,MATCH(H29,Rame!$F$1:$FF$1,0)-1)=TRUE),0,OFFSET(Rame!$F$1,MATCH(G29,Rame!$F:$F,0)-1,MATCH(H29,Rame!$F$1:$FF$1,0)-1))*IF(D29="Rame",1,0)</f>
        <v>0</v>
      </c>
      <c r="Q29" s="126">
        <f t="shared" ca="1" si="1"/>
        <v>0</v>
      </c>
      <c r="R29" s="126">
        <f t="shared" si="7"/>
        <v>0</v>
      </c>
      <c r="S29" s="127"/>
      <c r="T29" s="128">
        <f t="shared" ca="1" si="3"/>
        <v>0</v>
      </c>
      <c r="U29" s="125">
        <f t="shared" si="4"/>
        <v>0</v>
      </c>
      <c r="V29" s="129"/>
      <c r="W29" s="130">
        <f t="shared" ca="1" si="5"/>
        <v>0</v>
      </c>
      <c r="X29" s="125">
        <f t="shared" ca="1" si="6"/>
        <v>0</v>
      </c>
      <c r="Y29" s="131"/>
      <c r="Z29" s="100"/>
    </row>
    <row r="30" spans="1:26" ht="15.75" thickBot="1" x14ac:dyDescent="0.3">
      <c r="A30" s="103"/>
      <c r="B30" s="88"/>
      <c r="C30" s="121"/>
      <c r="D30" s="89"/>
      <c r="E30" s="122"/>
      <c r="F30" s="123"/>
      <c r="G30" s="88"/>
      <c r="H30" s="88"/>
      <c r="I30" s="125"/>
      <c r="J30" s="115">
        <f ca="1">IF(ISERROR(OFFSET(Tabella!$A$1,MATCH(G30,Tabella!$A:$A,0)-1,MATCH(I30,Tabella!$A$1:$AC$1,0)-1)=TRUE),0,+OFFSET(Tabella!$A$1,MATCH(G30,Tabella!$A:$A,0)-1,MATCH(I30,Tabella!$A$1:$AC$1,0)-1))</f>
        <v>0</v>
      </c>
      <c r="K30" s="85">
        <f ca="1">IF(ISERROR(OFFSET(Ottone!$A$1,MATCH(G30,Ottone!$A:$A,0)-1,MATCH(I30,Ottone!$A$1:$Z$1,0)-1)=TRUE),0,OFFSET(Ottone!$A$1,MATCH(G30,Ottone!$A:$A,0)-1,MATCH(I30,Ottone!$A$1:$Z$1,0)-1))*IF(D30="Ottone",1,0)</f>
        <v>0</v>
      </c>
      <c r="L30" s="85">
        <f ca="1">IF(ISERROR(OFFSET(Rame!$A$1,MATCH(G30,Rame!$A:$A,0)-1,MATCH(I30,Rame!$A$1:$AA$1,0)-1)=TRUE),0,OFFSET(Rame!$A$1,MATCH(G30,Rame!$A:$A,0)-1,MATCH(I30,Rame!$A$1:$AA$1,0)-1))*IF(D30="Rame",1,0)</f>
        <v>0</v>
      </c>
      <c r="M30" s="126">
        <f t="shared" ca="1" si="0"/>
        <v>0</v>
      </c>
      <c r="N30" s="126">
        <f ca="1">+IF(ISERROR(OFFSET(Tabella!$G$1,MATCH(G30,Tabella!$G:$G,0)-1,MATCH(H30,Tabella!$G$1:$FG$1,0)-1)=TRUE),0,OFFSET(Tabella!$G$1,MATCH(G30,Tabella!$G:$G,0)-1,MATCH(H30,Tabella!$G$1:$AB$1,0)-1))</f>
        <v>0</v>
      </c>
      <c r="O30" s="126">
        <f ca="1">IF(ISERROR(OFFSET(Ottone!$F$1,MATCH(G30,Ottone!$A:$A,0)-1,MATCH(H30,Ottone!$F$1:$FF$1,0)-1)=TRUE),0,OFFSET(Ottone!$F$1,MATCH(G30,Ottone!$A:$A,0)-1,MATCH(H30,Ottone!$F$1:$FF$1,0)-1))*IF(D30="Ottone",1,0)</f>
        <v>0</v>
      </c>
      <c r="P30" s="126">
        <f ca="1">IF(ISERROR(OFFSET(Rame!$F$1,MATCH(G30,Rame!$F:$F,0)-1,MATCH(H30,Rame!$F$1:$FF$1,0)-1)=TRUE),0,OFFSET(Rame!$F$1,MATCH(G30,Rame!$F:$F,0)-1,MATCH(H30,Rame!$F$1:$FF$1,0)-1))*IF(D30="Rame",1,0)</f>
        <v>0</v>
      </c>
      <c r="Q30" s="126">
        <f t="shared" ca="1" si="1"/>
        <v>0</v>
      </c>
      <c r="R30" s="126">
        <f t="shared" si="7"/>
        <v>0</v>
      </c>
      <c r="S30" s="127"/>
      <c r="T30" s="128">
        <f t="shared" ca="1" si="3"/>
        <v>0</v>
      </c>
      <c r="U30" s="125">
        <f t="shared" si="4"/>
        <v>0</v>
      </c>
      <c r="V30" s="129"/>
      <c r="W30" s="130">
        <f t="shared" ca="1" si="5"/>
        <v>0</v>
      </c>
      <c r="X30" s="125">
        <f t="shared" ca="1" si="6"/>
        <v>0</v>
      </c>
      <c r="Y30" s="131"/>
      <c r="Z30" s="100"/>
    </row>
    <row r="31" spans="1:26" ht="15.75" thickBot="1" x14ac:dyDescent="0.3">
      <c r="A31" s="103"/>
      <c r="B31" s="88"/>
      <c r="C31" s="121"/>
      <c r="D31" s="89"/>
      <c r="E31" s="122"/>
      <c r="F31" s="123"/>
      <c r="G31" s="88"/>
      <c r="H31" s="88"/>
      <c r="I31" s="125"/>
      <c r="J31" s="115">
        <f ca="1">IF(ISERROR(OFFSET(Tabella!$A$1,MATCH(G31,Tabella!$A:$A,0)-1,MATCH(I31,Tabella!$A$1:$AC$1,0)-1)=TRUE),0,+OFFSET(Tabella!$A$1,MATCH(G31,Tabella!$A:$A,0)-1,MATCH(I31,Tabella!$A$1:$AC$1,0)-1))</f>
        <v>0</v>
      </c>
      <c r="K31" s="85">
        <f ca="1">IF(ISERROR(OFFSET(Ottone!$A$1,MATCH(G31,Ottone!$A:$A,0)-1,MATCH(I31,Ottone!$A$1:$Z$1,0)-1)=TRUE),0,OFFSET(Ottone!$A$1,MATCH(G31,Ottone!$A:$A,0)-1,MATCH(I31,Ottone!$A$1:$Z$1,0)-1))*IF(D31="Ottone",1,0)</f>
        <v>0</v>
      </c>
      <c r="L31" s="85">
        <f ca="1">IF(ISERROR(OFFSET(Rame!$A$1,MATCH(G31,Rame!$A:$A,0)-1,MATCH(I31,Rame!$A$1:$AA$1,0)-1)=TRUE),0,OFFSET(Rame!$A$1,MATCH(G31,Rame!$A:$A,0)-1,MATCH(I31,Rame!$A$1:$AA$1,0)-1))*IF(D31="Rame",1,0)</f>
        <v>0</v>
      </c>
      <c r="M31" s="126">
        <f t="shared" ca="1" si="0"/>
        <v>0</v>
      </c>
      <c r="N31" s="126">
        <f ca="1">+IF(ISERROR(OFFSET(Tabella!$G$1,MATCH(G31,Tabella!$G:$G,0)-1,MATCH(H31,Tabella!$G$1:$FG$1,0)-1)=TRUE),0,OFFSET(Tabella!$G$1,MATCH(G31,Tabella!$G:$G,0)-1,MATCH(H31,Tabella!$G$1:$AB$1,0)-1))</f>
        <v>0</v>
      </c>
      <c r="O31" s="126">
        <f ca="1">IF(ISERROR(OFFSET(Ottone!$F$1,MATCH(G31,Ottone!$A:$A,0)-1,MATCH(H31,Ottone!$F$1:$FF$1,0)-1)=TRUE),0,OFFSET(Ottone!$F$1,MATCH(G31,Ottone!$A:$A,0)-1,MATCH(H31,Ottone!$F$1:$FF$1,0)-1))*IF(D31="Ottone",1,0)</f>
        <v>0</v>
      </c>
      <c r="P31" s="126">
        <f ca="1">IF(ISERROR(OFFSET(Rame!$F$1,MATCH(G31,Rame!$F:$F,0)-1,MATCH(H31,Rame!$F$1:$FF$1,0)-1)=TRUE),0,OFFSET(Rame!$F$1,MATCH(G31,Rame!$F:$F,0)-1,MATCH(H31,Rame!$F$1:$FF$1,0)-1))*IF(D31="Rame",1,0)</f>
        <v>0</v>
      </c>
      <c r="Q31" s="126">
        <f t="shared" ca="1" si="1"/>
        <v>0</v>
      </c>
      <c r="R31" s="126">
        <f t="shared" si="7"/>
        <v>0</v>
      </c>
      <c r="S31" s="127"/>
      <c r="T31" s="128">
        <f t="shared" ca="1" si="3"/>
        <v>0</v>
      </c>
      <c r="U31" s="125">
        <f t="shared" si="4"/>
        <v>0</v>
      </c>
      <c r="V31" s="129"/>
      <c r="W31" s="130">
        <f t="shared" ca="1" si="5"/>
        <v>0</v>
      </c>
      <c r="X31" s="125">
        <f t="shared" ca="1" si="6"/>
        <v>0</v>
      </c>
      <c r="Y31" s="131"/>
      <c r="Z31" s="100"/>
    </row>
    <row r="32" spans="1:26" ht="15.75" thickBot="1" x14ac:dyDescent="0.3">
      <c r="A32" s="103"/>
      <c r="B32" s="88"/>
      <c r="C32" s="121"/>
      <c r="D32" s="89"/>
      <c r="E32" s="122"/>
      <c r="F32" s="123"/>
      <c r="G32" s="88"/>
      <c r="H32" s="88"/>
      <c r="I32" s="125"/>
      <c r="J32" s="115">
        <f ca="1">IF(ISERROR(OFFSET(Tabella!$A$1,MATCH(G32,Tabella!$A:$A,0)-1,MATCH(I32,Tabella!$A$1:$AC$1,0)-1)=TRUE),0,+OFFSET(Tabella!$A$1,MATCH(G32,Tabella!$A:$A,0)-1,MATCH(I32,Tabella!$A$1:$AC$1,0)-1))</f>
        <v>0</v>
      </c>
      <c r="K32" s="85">
        <f ca="1">IF(ISERROR(OFFSET(Ottone!$A$1,MATCH(G32,Ottone!$A:$A,0)-1,MATCH(I32,Ottone!$A$1:$Z$1,0)-1)=TRUE),0,OFFSET(Ottone!$A$1,MATCH(G32,Ottone!$A:$A,0)-1,MATCH(I32,Ottone!$A$1:$Z$1,0)-1))*IF(D32="Ottone",1,0)</f>
        <v>0</v>
      </c>
      <c r="L32" s="85">
        <f ca="1">IF(ISERROR(OFFSET(Rame!$A$1,MATCH(G32,Rame!$A:$A,0)-1,MATCH(I32,Rame!$A$1:$AA$1,0)-1)=TRUE),0,OFFSET(Rame!$A$1,MATCH(G32,Rame!$A:$A,0)-1,MATCH(I32,Rame!$A$1:$AA$1,0)-1))*IF(D32="Rame",1,0)</f>
        <v>0</v>
      </c>
      <c r="M32" s="126">
        <f t="shared" ca="1" si="0"/>
        <v>0</v>
      </c>
      <c r="N32" s="126">
        <f ca="1">+IF(ISERROR(OFFSET(Tabella!$G$1,MATCH(G32,Tabella!$G:$G,0)-1,MATCH(H32,Tabella!$G$1:$FG$1,0)-1)=TRUE),0,OFFSET(Tabella!$G$1,MATCH(G32,Tabella!$G:$G,0)-1,MATCH(H32,Tabella!$G$1:$AB$1,0)-1))</f>
        <v>0</v>
      </c>
      <c r="O32" s="126">
        <f ca="1">IF(ISERROR(OFFSET(Ottone!$F$1,MATCH(G32,Ottone!$A:$A,0)-1,MATCH(H32,Ottone!$F$1:$FF$1,0)-1)=TRUE),0,OFFSET(Ottone!$F$1,MATCH(G32,Ottone!$A:$A,0)-1,MATCH(H32,Ottone!$F$1:$FF$1,0)-1))*IF(D32="Ottone",1,0)</f>
        <v>0</v>
      </c>
      <c r="P32" s="126">
        <f ca="1">IF(ISERROR(OFFSET(Rame!$F$1,MATCH(G32,Rame!$F:$F,0)-1,MATCH(H32,Rame!$F$1:$FF$1,0)-1)=TRUE),0,OFFSET(Rame!$F$1,MATCH(G32,Rame!$F:$F,0)-1,MATCH(H32,Rame!$F$1:$FF$1,0)-1))*IF(D32="Rame",1,0)</f>
        <v>0</v>
      </c>
      <c r="Q32" s="126">
        <f t="shared" ca="1" si="1"/>
        <v>0</v>
      </c>
      <c r="R32" s="126">
        <f t="shared" si="7"/>
        <v>0</v>
      </c>
      <c r="S32" s="127"/>
      <c r="T32" s="128">
        <f t="shared" ca="1" si="3"/>
        <v>0</v>
      </c>
      <c r="U32" s="125">
        <f t="shared" si="4"/>
        <v>0</v>
      </c>
      <c r="V32" s="129"/>
      <c r="W32" s="130">
        <f t="shared" ca="1" si="5"/>
        <v>0</v>
      </c>
      <c r="X32" s="125">
        <f t="shared" ca="1" si="6"/>
        <v>0</v>
      </c>
      <c r="Y32" s="131"/>
      <c r="Z32" s="100"/>
    </row>
    <row r="33" spans="1:26" ht="15.75" thickBot="1" x14ac:dyDescent="0.3">
      <c r="A33" s="103"/>
      <c r="B33" s="88"/>
      <c r="C33" s="121"/>
      <c r="D33" s="89"/>
      <c r="E33" s="122"/>
      <c r="F33" s="123"/>
      <c r="G33" s="88"/>
      <c r="H33" s="88"/>
      <c r="I33" s="125"/>
      <c r="J33" s="115">
        <f ca="1">IF(ISERROR(OFFSET(Tabella!$A$1,MATCH(G33,Tabella!$A:$A,0)-1,MATCH(I33,Tabella!$A$1:$AC$1,0)-1)=TRUE),0,+OFFSET(Tabella!$A$1,MATCH(G33,Tabella!$A:$A,0)-1,MATCH(I33,Tabella!$A$1:$AC$1,0)-1))</f>
        <v>0</v>
      </c>
      <c r="K33" s="85">
        <f ca="1">IF(ISERROR(OFFSET(Ottone!$A$1,MATCH(G33,Ottone!$A:$A,0)-1,MATCH(I33,Ottone!$A$1:$Z$1,0)-1)=TRUE),0,OFFSET(Ottone!$A$1,MATCH(G33,Ottone!$A:$A,0)-1,MATCH(I33,Ottone!$A$1:$Z$1,0)-1))*IF(D33="Ottone",1,0)</f>
        <v>0</v>
      </c>
      <c r="L33" s="85">
        <f ca="1">IF(ISERROR(OFFSET(Rame!$A$1,MATCH(G33,Rame!$A:$A,0)-1,MATCH(I33,Rame!$A$1:$AA$1,0)-1)=TRUE),0,OFFSET(Rame!$A$1,MATCH(G33,Rame!$A:$A,0)-1,MATCH(I33,Rame!$A$1:$AA$1,0)-1))*IF(D33="Rame",1,0)</f>
        <v>0</v>
      </c>
      <c r="M33" s="126">
        <f t="shared" ca="1" si="0"/>
        <v>0</v>
      </c>
      <c r="N33" s="126">
        <f ca="1">+IF(ISERROR(OFFSET(Tabella!$G$1,MATCH(G33,Tabella!$G:$G,0)-1,MATCH(H33,Tabella!$G$1:$FG$1,0)-1)=TRUE),0,OFFSET(Tabella!$G$1,MATCH(G33,Tabella!$G:$G,0)-1,MATCH(H33,Tabella!$G$1:$AB$1,0)-1))</f>
        <v>0</v>
      </c>
      <c r="O33" s="126">
        <f ca="1">IF(ISERROR(OFFSET(Ottone!$F$1,MATCH(G33,Ottone!$A:$A,0)-1,MATCH(H33,Ottone!$F$1:$FF$1,0)-1)=TRUE),0,OFFSET(Ottone!$F$1,MATCH(G33,Ottone!$A:$A,0)-1,MATCH(H33,Ottone!$F$1:$FF$1,0)-1))*IF(D33="Ottone",1,0)</f>
        <v>0</v>
      </c>
      <c r="P33" s="126">
        <f ca="1">IF(ISERROR(OFFSET(Rame!$F$1,MATCH(G33,Rame!$F:$F,0)-1,MATCH(H33,Rame!$F$1:$FF$1,0)-1)=TRUE),0,OFFSET(Rame!$F$1,MATCH(G33,Rame!$F:$F,0)-1,MATCH(H33,Rame!$F$1:$FF$1,0)-1))*IF(D33="Rame",1,0)</f>
        <v>0</v>
      </c>
      <c r="Q33" s="126">
        <f t="shared" ca="1" si="1"/>
        <v>0</v>
      </c>
      <c r="R33" s="126">
        <f t="shared" si="7"/>
        <v>0</v>
      </c>
      <c r="S33" s="127"/>
      <c r="T33" s="128">
        <f t="shared" ca="1" si="3"/>
        <v>0</v>
      </c>
      <c r="U33" s="125">
        <f t="shared" si="4"/>
        <v>0</v>
      </c>
      <c r="V33" s="129"/>
      <c r="W33" s="130">
        <f t="shared" ca="1" si="5"/>
        <v>0</v>
      </c>
      <c r="X33" s="125">
        <f t="shared" ca="1" si="6"/>
        <v>0</v>
      </c>
      <c r="Y33" s="131"/>
      <c r="Z33" s="100"/>
    </row>
    <row r="34" spans="1:26" ht="15.75" thickBot="1" x14ac:dyDescent="0.3">
      <c r="A34" s="103"/>
      <c r="B34" s="88"/>
      <c r="C34" s="121"/>
      <c r="D34" s="89"/>
      <c r="E34" s="122"/>
      <c r="F34" s="123"/>
      <c r="G34" s="88"/>
      <c r="H34" s="88"/>
      <c r="I34" s="125"/>
      <c r="J34" s="115">
        <f ca="1">IF(ISERROR(OFFSET(Tabella!$A$1,MATCH(G34,Tabella!$A:$A,0)-1,MATCH(I34,Tabella!$A$1:$AC$1,0)-1)=TRUE),0,+OFFSET(Tabella!$A$1,MATCH(G34,Tabella!$A:$A,0)-1,MATCH(I34,Tabella!$A$1:$AC$1,0)-1))</f>
        <v>0</v>
      </c>
      <c r="K34" s="85">
        <f ca="1">IF(ISERROR(OFFSET(Ottone!$A$1,MATCH(G34,Ottone!$A:$A,0)-1,MATCH(I34,Ottone!$A$1:$Z$1,0)-1)=TRUE),0,OFFSET(Ottone!$A$1,MATCH(G34,Ottone!$A:$A,0)-1,MATCH(I34,Ottone!$A$1:$Z$1,0)-1))*IF(D34="Ottone",1,0)</f>
        <v>0</v>
      </c>
      <c r="L34" s="85">
        <f ca="1">IF(ISERROR(OFFSET(Rame!$A$1,MATCH(G34,Rame!$A:$A,0)-1,MATCH(I34,Rame!$A$1:$AA$1,0)-1)=TRUE),0,OFFSET(Rame!$A$1,MATCH(G34,Rame!$A:$A,0)-1,MATCH(I34,Rame!$A$1:$AA$1,0)-1))*IF(D34="Rame",1,0)</f>
        <v>0</v>
      </c>
      <c r="M34" s="126">
        <f t="shared" ca="1" si="0"/>
        <v>0</v>
      </c>
      <c r="N34" s="126">
        <f ca="1">+IF(ISERROR(OFFSET(Tabella!$G$1,MATCH(G34,Tabella!$G:$G,0)-1,MATCH(H34,Tabella!$G$1:$FG$1,0)-1)=TRUE),0,OFFSET(Tabella!$G$1,MATCH(G34,Tabella!$G:$G,0)-1,MATCH(H34,Tabella!$G$1:$AB$1,0)-1))</f>
        <v>0</v>
      </c>
      <c r="O34" s="126">
        <f ca="1">IF(ISERROR(OFFSET(Ottone!$F$1,MATCH(G34,Ottone!$A:$A,0)-1,MATCH(H34,Ottone!$F$1:$FF$1,0)-1)=TRUE),0,OFFSET(Ottone!$F$1,MATCH(G34,Ottone!$A:$A,0)-1,MATCH(H34,Ottone!$F$1:$FF$1,0)-1))*IF(D34="Ottone",1,0)</f>
        <v>0</v>
      </c>
      <c r="P34" s="126">
        <f ca="1">IF(ISERROR(OFFSET(Rame!$F$1,MATCH(G34,Rame!$F:$F,0)-1,MATCH(H34,Rame!$F$1:$FF$1,0)-1)=TRUE),0,OFFSET(Rame!$F$1,MATCH(G34,Rame!$F:$F,0)-1,MATCH(H34,Rame!$F$1:$FF$1,0)-1))*IF(D34="Rame",1,0)</f>
        <v>0</v>
      </c>
      <c r="Q34" s="126">
        <f t="shared" ca="1" si="1"/>
        <v>0</v>
      </c>
      <c r="R34" s="126">
        <f t="shared" si="7"/>
        <v>0</v>
      </c>
      <c r="S34" s="127"/>
      <c r="T34" s="128">
        <f t="shared" ca="1" si="3"/>
        <v>0</v>
      </c>
      <c r="U34" s="125">
        <f t="shared" si="4"/>
        <v>0</v>
      </c>
      <c r="V34" s="129"/>
      <c r="W34" s="130">
        <f t="shared" ca="1" si="5"/>
        <v>0</v>
      </c>
      <c r="X34" s="125">
        <f t="shared" ca="1" si="6"/>
        <v>0</v>
      </c>
      <c r="Y34" s="131"/>
      <c r="Z34" s="100"/>
    </row>
    <row r="35" spans="1:26" ht="15.75" thickBot="1" x14ac:dyDescent="0.3">
      <c r="A35" s="103"/>
      <c r="B35" s="88"/>
      <c r="C35" s="121"/>
      <c r="D35" s="89"/>
      <c r="E35" s="122"/>
      <c r="F35" s="123"/>
      <c r="G35" s="88"/>
      <c r="H35" s="88"/>
      <c r="I35" s="125"/>
      <c r="J35" s="115">
        <f ca="1">IF(ISERROR(OFFSET(Tabella!$A$1,MATCH(G35,Tabella!$A:$A,0)-1,MATCH(I35,Tabella!$A$1:$AC$1,0)-1)=TRUE),0,+OFFSET(Tabella!$A$1,MATCH(G35,Tabella!$A:$A,0)-1,MATCH(I35,Tabella!$A$1:$AC$1,0)-1))</f>
        <v>0</v>
      </c>
      <c r="K35" s="85">
        <f ca="1">IF(ISERROR(OFFSET(Ottone!$A$1,MATCH(G35,Ottone!$A:$A,0)-1,MATCH(I35,Ottone!$A$1:$Z$1,0)-1)=TRUE),0,OFFSET(Ottone!$A$1,MATCH(G35,Ottone!$A:$A,0)-1,MATCH(I35,Ottone!$A$1:$Z$1,0)-1))*IF(D35="Ottone",1,0)</f>
        <v>0</v>
      </c>
      <c r="L35" s="85">
        <f ca="1">IF(ISERROR(OFFSET(Rame!$A$1,MATCH(G35,Rame!$A:$A,0)-1,MATCH(I35,Rame!$A$1:$AA$1,0)-1)=TRUE),0,OFFSET(Rame!$A$1,MATCH(G35,Rame!$A:$A,0)-1,MATCH(I35,Rame!$A$1:$AA$1,0)-1))*IF(D35="Rame",1,0)</f>
        <v>0</v>
      </c>
      <c r="M35" s="126">
        <f t="shared" ca="1" si="0"/>
        <v>0</v>
      </c>
      <c r="N35" s="126">
        <f ca="1">+IF(ISERROR(OFFSET(Tabella!$G$1,MATCH(G35,Tabella!$G:$G,0)-1,MATCH(H35,Tabella!$G$1:$FG$1,0)-1)=TRUE),0,OFFSET(Tabella!$G$1,MATCH(G35,Tabella!$G:$G,0)-1,MATCH(H35,Tabella!$G$1:$AB$1,0)-1))</f>
        <v>0</v>
      </c>
      <c r="O35" s="126">
        <f ca="1">IF(ISERROR(OFFSET(Ottone!$F$1,MATCH(G35,Ottone!$A:$A,0)-1,MATCH(H35,Ottone!$F$1:$FF$1,0)-1)=TRUE),0,OFFSET(Ottone!$F$1,MATCH(G35,Ottone!$A:$A,0)-1,MATCH(H35,Ottone!$F$1:$FF$1,0)-1))*IF(D35="Ottone",1,0)</f>
        <v>0</v>
      </c>
      <c r="P35" s="126">
        <f ca="1">IF(ISERROR(OFFSET(Rame!$F$1,MATCH(G35,Rame!$F:$F,0)-1,MATCH(H35,Rame!$F$1:$FF$1,0)-1)=TRUE),0,OFFSET(Rame!$F$1,MATCH(G35,Rame!$F:$F,0)-1,MATCH(H35,Rame!$F$1:$FF$1,0)-1))*IF(D35="Rame",1,0)</f>
        <v>0</v>
      </c>
      <c r="Q35" s="126">
        <f t="shared" ca="1" si="1"/>
        <v>0</v>
      </c>
      <c r="R35" s="126">
        <f t="shared" si="7"/>
        <v>0</v>
      </c>
      <c r="S35" s="127"/>
      <c r="T35" s="128">
        <f t="shared" ca="1" si="3"/>
        <v>0</v>
      </c>
      <c r="U35" s="125">
        <f t="shared" si="4"/>
        <v>0</v>
      </c>
      <c r="V35" s="129"/>
      <c r="W35" s="130">
        <f t="shared" ca="1" si="5"/>
        <v>0</v>
      </c>
      <c r="X35" s="125">
        <f t="shared" ca="1" si="6"/>
        <v>0</v>
      </c>
      <c r="Y35" s="131"/>
      <c r="Z35" s="100"/>
    </row>
    <row r="36" spans="1:26" ht="15.75" thickBot="1" x14ac:dyDescent="0.3">
      <c r="A36" s="103"/>
      <c r="B36" s="88"/>
      <c r="C36" s="121"/>
      <c r="D36" s="89"/>
      <c r="E36" s="122"/>
      <c r="F36" s="123"/>
      <c r="G36" s="88"/>
      <c r="H36" s="88"/>
      <c r="I36" s="125"/>
      <c r="J36" s="115">
        <f ca="1">IF(ISERROR(OFFSET(Tabella!$A$1,MATCH(G36,Tabella!$A:$A,0)-1,MATCH(I36,Tabella!$A$1:$AC$1,0)-1)=TRUE),0,+OFFSET(Tabella!$A$1,MATCH(G36,Tabella!$A:$A,0)-1,MATCH(I36,Tabella!$A$1:$AC$1,0)-1))</f>
        <v>0</v>
      </c>
      <c r="K36" s="85">
        <f ca="1">IF(ISERROR(OFFSET(Ottone!$A$1,MATCH(G36,Ottone!$A:$A,0)-1,MATCH(I36,Ottone!$A$1:$Z$1,0)-1)=TRUE),0,OFFSET(Ottone!$A$1,MATCH(G36,Ottone!$A:$A,0)-1,MATCH(I36,Ottone!$A$1:$Z$1,0)-1))*IF(D36="Ottone",1,0)</f>
        <v>0</v>
      </c>
      <c r="L36" s="85">
        <f ca="1">IF(ISERROR(OFFSET(Rame!$A$1,MATCH(G36,Rame!$A:$A,0)-1,MATCH(I36,Rame!$A$1:$AA$1,0)-1)=TRUE),0,OFFSET(Rame!$A$1,MATCH(G36,Rame!$A:$A,0)-1,MATCH(I36,Rame!$A$1:$AA$1,0)-1))*IF(D36="Rame",1,0)</f>
        <v>0</v>
      </c>
      <c r="M36" s="126">
        <f t="shared" ca="1" si="0"/>
        <v>0</v>
      </c>
      <c r="N36" s="126">
        <f ca="1">+IF(ISERROR(OFFSET(Tabella!$G$1,MATCH(G36,Tabella!$G:$G,0)-1,MATCH(H36,Tabella!$G$1:$FG$1,0)-1)=TRUE),0,OFFSET(Tabella!$G$1,MATCH(G36,Tabella!$G:$G,0)-1,MATCH(H36,Tabella!$G$1:$AB$1,0)-1))</f>
        <v>0</v>
      </c>
      <c r="O36" s="126">
        <f ca="1">IF(ISERROR(OFFSET(Ottone!$F$1,MATCH(G36,Ottone!$A:$A,0)-1,MATCH(H36,Ottone!$F$1:$FF$1,0)-1)=TRUE),0,OFFSET(Ottone!$F$1,MATCH(G36,Ottone!$A:$A,0)-1,MATCH(H36,Ottone!$F$1:$FF$1,0)-1))*IF(D36="Ottone",1,0)</f>
        <v>0</v>
      </c>
      <c r="P36" s="126">
        <f ca="1">IF(ISERROR(OFFSET(Rame!$F$1,MATCH(G36,Rame!$F:$F,0)-1,MATCH(H36,Rame!$F$1:$FF$1,0)-1)=TRUE),0,OFFSET(Rame!$F$1,MATCH(G36,Rame!$F:$F,0)-1,MATCH(H36,Rame!$F$1:$FF$1,0)-1))*IF(D36="Rame",1,0)</f>
        <v>0</v>
      </c>
      <c r="Q36" s="126">
        <f t="shared" ca="1" si="1"/>
        <v>0</v>
      </c>
      <c r="R36" s="126">
        <f t="shared" si="7"/>
        <v>0</v>
      </c>
      <c r="S36" s="127"/>
      <c r="T36" s="128">
        <f t="shared" ca="1" si="3"/>
        <v>0</v>
      </c>
      <c r="U36" s="125">
        <f t="shared" si="4"/>
        <v>0</v>
      </c>
      <c r="V36" s="129"/>
      <c r="W36" s="130">
        <f t="shared" ca="1" si="5"/>
        <v>0</v>
      </c>
      <c r="X36" s="125">
        <f t="shared" ca="1" si="6"/>
        <v>0</v>
      </c>
      <c r="Y36" s="131"/>
      <c r="Z36" s="100"/>
    </row>
    <row r="37" spans="1:26" ht="15.75" thickBot="1" x14ac:dyDescent="0.3">
      <c r="A37" s="103"/>
      <c r="B37" s="88"/>
      <c r="C37" s="121"/>
      <c r="D37" s="89"/>
      <c r="E37" s="122"/>
      <c r="F37" s="123"/>
      <c r="G37" s="88"/>
      <c r="H37" s="88"/>
      <c r="I37" s="125"/>
      <c r="J37" s="115">
        <f ca="1">IF(ISERROR(OFFSET(Tabella!$A$1,MATCH(G37,Tabella!$A:$A,0)-1,MATCH(I37,Tabella!$A$1:$AC$1,0)-1)=TRUE),0,+OFFSET(Tabella!$A$1,MATCH(G37,Tabella!$A:$A,0)-1,MATCH(I37,Tabella!$A$1:$AC$1,0)-1))</f>
        <v>0</v>
      </c>
      <c r="K37" s="85">
        <f ca="1">IF(ISERROR(OFFSET(Ottone!$A$1,MATCH(G37,Ottone!$A:$A,0)-1,MATCH(I37,Ottone!$A$1:$Z$1,0)-1)=TRUE),0,OFFSET(Ottone!$A$1,MATCH(G37,Ottone!$A:$A,0)-1,MATCH(I37,Ottone!$A$1:$Z$1,0)-1))*IF(D37="Ottone",1,0)</f>
        <v>0</v>
      </c>
      <c r="L37" s="85">
        <f ca="1">IF(ISERROR(OFFSET(Rame!$A$1,MATCH(G37,Rame!$A:$A,0)-1,MATCH(I37,Rame!$A$1:$AA$1,0)-1)=TRUE),0,OFFSET(Rame!$A$1,MATCH(G37,Rame!$A:$A,0)-1,MATCH(I37,Rame!$A$1:$AA$1,0)-1))*IF(D37="Rame",1,0)</f>
        <v>0</v>
      </c>
      <c r="M37" s="126">
        <f t="shared" ca="1" si="0"/>
        <v>0</v>
      </c>
      <c r="N37" s="126">
        <f ca="1">+IF(ISERROR(OFFSET(Tabella!$G$1,MATCH(G37,Tabella!$G:$G,0)-1,MATCH(H37,Tabella!$G$1:$FG$1,0)-1)=TRUE),0,OFFSET(Tabella!$G$1,MATCH(G37,Tabella!$G:$G,0)-1,MATCH(H37,Tabella!$G$1:$AB$1,0)-1))</f>
        <v>0</v>
      </c>
      <c r="O37" s="126">
        <f ca="1">IF(ISERROR(OFFSET(Ottone!$F$1,MATCH(G37,Ottone!$A:$A,0)-1,MATCH(H37,Ottone!$F$1:$FF$1,0)-1)=TRUE),0,OFFSET(Ottone!$F$1,MATCH(G37,Ottone!$A:$A,0)-1,MATCH(H37,Ottone!$F$1:$FF$1,0)-1))*IF(D37="Ottone",1,0)</f>
        <v>0</v>
      </c>
      <c r="P37" s="126">
        <f ca="1">IF(ISERROR(OFFSET(Rame!$F$1,MATCH(G37,Rame!$F:$F,0)-1,MATCH(H37,Rame!$F$1:$FF$1,0)-1)=TRUE),0,OFFSET(Rame!$F$1,MATCH(G37,Rame!$F:$F,0)-1,MATCH(H37,Rame!$F$1:$FF$1,0)-1))*IF(D37="Rame",1,0)</f>
        <v>0</v>
      </c>
      <c r="Q37" s="126">
        <f t="shared" ca="1" si="1"/>
        <v>0</v>
      </c>
      <c r="R37" s="126">
        <f t="shared" si="7"/>
        <v>0</v>
      </c>
      <c r="S37" s="127"/>
      <c r="T37" s="128">
        <f t="shared" ca="1" si="3"/>
        <v>0</v>
      </c>
      <c r="U37" s="125">
        <f t="shared" si="4"/>
        <v>0</v>
      </c>
      <c r="V37" s="129"/>
      <c r="W37" s="130">
        <f t="shared" ca="1" si="5"/>
        <v>0</v>
      </c>
      <c r="X37" s="125">
        <f t="shared" ca="1" si="6"/>
        <v>0</v>
      </c>
      <c r="Y37" s="131"/>
      <c r="Z37" s="100"/>
    </row>
    <row r="38" spans="1:26" ht="15.75" thickBot="1" x14ac:dyDescent="0.3">
      <c r="A38" s="103"/>
      <c r="B38" s="88"/>
      <c r="C38" s="121"/>
      <c r="D38" s="89"/>
      <c r="E38" s="122"/>
      <c r="F38" s="123"/>
      <c r="G38" s="88"/>
      <c r="H38" s="88"/>
      <c r="I38" s="125"/>
      <c r="J38" s="115">
        <f ca="1">IF(ISERROR(OFFSET(Tabella!$A$1,MATCH(G38,Tabella!$A:$A,0)-1,MATCH(I38,Tabella!$A$1:$AC$1,0)-1)=TRUE),0,+OFFSET(Tabella!$A$1,MATCH(G38,Tabella!$A:$A,0)-1,MATCH(I38,Tabella!$A$1:$AC$1,0)-1))</f>
        <v>0</v>
      </c>
      <c r="K38" s="85">
        <f ca="1">IF(ISERROR(OFFSET(Ottone!$A$1,MATCH(G38,Ottone!$A:$A,0)-1,MATCH(I38,Ottone!$A$1:$Z$1,0)-1)=TRUE),0,OFFSET(Ottone!$A$1,MATCH(G38,Ottone!$A:$A,0)-1,MATCH(I38,Ottone!$A$1:$Z$1,0)-1))*IF(D38="Ottone",1,0)</f>
        <v>0</v>
      </c>
      <c r="L38" s="85">
        <f ca="1">IF(ISERROR(OFFSET(Rame!$A$1,MATCH(G38,Rame!$A:$A,0)-1,MATCH(I38,Rame!$A$1:$AA$1,0)-1)=TRUE),0,OFFSET(Rame!$A$1,MATCH(G38,Rame!$A:$A,0)-1,MATCH(I38,Rame!$A$1:$AA$1,0)-1))*IF(D38="Rame",1,0)</f>
        <v>0</v>
      </c>
      <c r="M38" s="126">
        <f t="shared" ca="1" si="0"/>
        <v>0</v>
      </c>
      <c r="N38" s="126">
        <f ca="1">+IF(ISERROR(OFFSET(Tabella!$G$1,MATCH(G38,Tabella!$G:$G,0)-1,MATCH(H38,Tabella!$G$1:$FG$1,0)-1)=TRUE),0,OFFSET(Tabella!$G$1,MATCH(G38,Tabella!$G:$G,0)-1,MATCH(H38,Tabella!$G$1:$AB$1,0)-1))</f>
        <v>0</v>
      </c>
      <c r="O38" s="126">
        <f ca="1">IF(ISERROR(OFFSET(Ottone!$F$1,MATCH(G38,Ottone!$A:$A,0)-1,MATCH(H38,Ottone!$F$1:$FF$1,0)-1)=TRUE),0,OFFSET(Ottone!$F$1,MATCH(G38,Ottone!$A:$A,0)-1,MATCH(H38,Ottone!$F$1:$FF$1,0)-1))*IF(D38="Ottone",1,0)</f>
        <v>0</v>
      </c>
      <c r="P38" s="126">
        <f ca="1">IF(ISERROR(OFFSET(Rame!$F$1,MATCH(G38,Rame!$F:$F,0)-1,MATCH(H38,Rame!$F$1:$FF$1,0)-1)=TRUE),0,OFFSET(Rame!$F$1,MATCH(G38,Rame!$F:$F,0)-1,MATCH(H38,Rame!$F$1:$FF$1,0)-1))*IF(D38="Rame",1,0)</f>
        <v>0</v>
      </c>
      <c r="Q38" s="126">
        <f t="shared" ca="1" si="1"/>
        <v>0</v>
      </c>
      <c r="R38" s="126">
        <f t="shared" si="7"/>
        <v>0</v>
      </c>
      <c r="S38" s="127"/>
      <c r="T38" s="128">
        <f t="shared" ca="1" si="3"/>
        <v>0</v>
      </c>
      <c r="U38" s="125">
        <f t="shared" si="4"/>
        <v>0</v>
      </c>
      <c r="V38" s="129"/>
      <c r="W38" s="130">
        <f t="shared" ca="1" si="5"/>
        <v>0</v>
      </c>
      <c r="X38" s="125">
        <f t="shared" ca="1" si="6"/>
        <v>0</v>
      </c>
      <c r="Y38" s="131"/>
      <c r="Z38" s="100"/>
    </row>
    <row r="39" spans="1:26" ht="15.75" thickBot="1" x14ac:dyDescent="0.3">
      <c r="A39" s="103"/>
      <c r="B39" s="88"/>
      <c r="C39" s="121"/>
      <c r="D39" s="89"/>
      <c r="E39" s="122"/>
      <c r="F39" s="123"/>
      <c r="G39" s="88"/>
      <c r="H39" s="88"/>
      <c r="I39" s="125"/>
      <c r="J39" s="115">
        <f ca="1">IF(ISERROR(OFFSET(Tabella!$A$1,MATCH(G39,Tabella!$A:$A,0)-1,MATCH(I39,Tabella!$A$1:$AC$1,0)-1)=TRUE),0,+OFFSET(Tabella!$A$1,MATCH(G39,Tabella!$A:$A,0)-1,MATCH(I39,Tabella!$A$1:$AC$1,0)-1))</f>
        <v>0</v>
      </c>
      <c r="K39" s="85">
        <f ca="1">IF(ISERROR(OFFSET(Ottone!$A$1,MATCH(G39,Ottone!$A:$A,0)-1,MATCH(I39,Ottone!$A$1:$Z$1,0)-1)=TRUE),0,OFFSET(Ottone!$A$1,MATCH(G39,Ottone!$A:$A,0)-1,MATCH(I39,Ottone!$A$1:$Z$1,0)-1))*IF(D39="Ottone",1,0)</f>
        <v>0</v>
      </c>
      <c r="L39" s="85">
        <f ca="1">IF(ISERROR(OFFSET(Rame!$A$1,MATCH(G39,Rame!$A:$A,0)-1,MATCH(I39,Rame!$A$1:$AA$1,0)-1)=TRUE),0,OFFSET(Rame!$A$1,MATCH(G39,Rame!$A:$A,0)-1,MATCH(I39,Rame!$A$1:$AA$1,0)-1))*IF(D39="Rame",1,0)</f>
        <v>0</v>
      </c>
      <c r="M39" s="126">
        <f t="shared" ca="1" si="0"/>
        <v>0</v>
      </c>
      <c r="N39" s="126">
        <f ca="1">+IF(ISERROR(OFFSET(Tabella!$G$1,MATCH(G39,Tabella!$G:$G,0)-1,MATCH(H39,Tabella!$G$1:$FG$1,0)-1)=TRUE),0,OFFSET(Tabella!$G$1,MATCH(G39,Tabella!$G:$G,0)-1,MATCH(H39,Tabella!$G$1:$AB$1,0)-1))</f>
        <v>0</v>
      </c>
      <c r="O39" s="126">
        <f ca="1">IF(ISERROR(OFFSET(Ottone!$F$1,MATCH(G39,Ottone!$A:$A,0)-1,MATCH(H39,Ottone!$F$1:$FF$1,0)-1)=TRUE),0,OFFSET(Ottone!$F$1,MATCH(G39,Ottone!$A:$A,0)-1,MATCH(H39,Ottone!$F$1:$FF$1,0)-1))*IF(D39="Ottone",1,0)</f>
        <v>0</v>
      </c>
      <c r="P39" s="126">
        <f ca="1">IF(ISERROR(OFFSET(Rame!$F$1,MATCH(G39,Rame!$F:$F,0)-1,MATCH(H39,Rame!$F$1:$FF$1,0)-1)=TRUE),0,OFFSET(Rame!$F$1,MATCH(G39,Rame!$F:$F,0)-1,MATCH(H39,Rame!$F$1:$FF$1,0)-1))*IF(D39="Rame",1,0)</f>
        <v>0</v>
      </c>
      <c r="Q39" s="126">
        <f t="shared" ca="1" si="1"/>
        <v>0</v>
      </c>
      <c r="R39" s="126">
        <f t="shared" si="7"/>
        <v>0</v>
      </c>
      <c r="S39" s="127"/>
      <c r="T39" s="128">
        <f t="shared" ca="1" si="3"/>
        <v>0</v>
      </c>
      <c r="U39" s="125">
        <f t="shared" si="4"/>
        <v>0</v>
      </c>
      <c r="V39" s="129"/>
      <c r="W39" s="130">
        <f t="shared" ca="1" si="5"/>
        <v>0</v>
      </c>
      <c r="X39" s="125">
        <f t="shared" ca="1" si="6"/>
        <v>0</v>
      </c>
      <c r="Y39" s="131"/>
      <c r="Z39" s="100"/>
    </row>
    <row r="40" spans="1:26" ht="15.75" thickBot="1" x14ac:dyDescent="0.3">
      <c r="A40" s="103"/>
      <c r="B40" s="88"/>
      <c r="C40" s="121"/>
      <c r="D40" s="89"/>
      <c r="E40" s="122"/>
      <c r="F40" s="123"/>
      <c r="G40" s="88"/>
      <c r="H40" s="88"/>
      <c r="I40" s="125"/>
      <c r="J40" s="115">
        <f ca="1">IF(ISERROR(OFFSET(Tabella!$A$1,MATCH(G40,Tabella!$A:$A,0)-1,MATCH(I40,Tabella!$A$1:$AC$1,0)-1)=TRUE),0,+OFFSET(Tabella!$A$1,MATCH(G40,Tabella!$A:$A,0)-1,MATCH(I40,Tabella!$A$1:$AC$1,0)-1))</f>
        <v>0</v>
      </c>
      <c r="K40" s="85">
        <f ca="1">IF(ISERROR(OFFSET(Ottone!$A$1,MATCH(G40,Ottone!$A:$A,0)-1,MATCH(I40,Ottone!$A$1:$Z$1,0)-1)=TRUE),0,OFFSET(Ottone!$A$1,MATCH(G40,Ottone!$A:$A,0)-1,MATCH(I40,Ottone!$A$1:$Z$1,0)-1))*IF(D40="Ottone",1,0)</f>
        <v>0</v>
      </c>
      <c r="L40" s="85">
        <f ca="1">IF(ISERROR(OFFSET(Rame!$A$1,MATCH(G40,Rame!$A:$A,0)-1,MATCH(I40,Rame!$A$1:$AA$1,0)-1)=TRUE),0,OFFSET(Rame!$A$1,MATCH(G40,Rame!$A:$A,0)-1,MATCH(I40,Rame!$A$1:$AA$1,0)-1))*IF(D40="Rame",1,0)</f>
        <v>0</v>
      </c>
      <c r="M40" s="126">
        <f t="shared" ca="1" si="0"/>
        <v>0</v>
      </c>
      <c r="N40" s="126">
        <f ca="1">+IF(ISERROR(OFFSET(Tabella!$G$1,MATCH(G40,Tabella!$G:$G,0)-1,MATCH(H40,Tabella!$G$1:$FG$1,0)-1)=TRUE),0,OFFSET(Tabella!$G$1,MATCH(G40,Tabella!$G:$G,0)-1,MATCH(H40,Tabella!$G$1:$AB$1,0)-1))</f>
        <v>0</v>
      </c>
      <c r="O40" s="126">
        <f ca="1">IF(ISERROR(OFFSET(Ottone!$F$1,MATCH(G40,Ottone!$A:$A,0)-1,MATCH(H40,Ottone!$F$1:$FF$1,0)-1)=TRUE),0,OFFSET(Ottone!$F$1,MATCH(G40,Ottone!$A:$A,0)-1,MATCH(H40,Ottone!$F$1:$FF$1,0)-1))*IF(D40="Ottone",1,0)</f>
        <v>0</v>
      </c>
      <c r="P40" s="126">
        <f ca="1">IF(ISERROR(OFFSET(Rame!$F$1,MATCH(G40,Rame!$F:$F,0)-1,MATCH(H40,Rame!$F$1:$FF$1,0)-1)=TRUE),0,OFFSET(Rame!$F$1,MATCH(G40,Rame!$F:$F,0)-1,MATCH(H40,Rame!$F$1:$FF$1,0)-1))*IF(D40="Rame",1,0)</f>
        <v>0</v>
      </c>
      <c r="Q40" s="126">
        <f t="shared" ca="1" si="1"/>
        <v>0</v>
      </c>
      <c r="R40" s="126">
        <f t="shared" si="7"/>
        <v>0</v>
      </c>
      <c r="S40" s="127"/>
      <c r="T40" s="128">
        <f t="shared" ca="1" si="3"/>
        <v>0</v>
      </c>
      <c r="U40" s="125">
        <f t="shared" si="4"/>
        <v>0</v>
      </c>
      <c r="V40" s="129"/>
      <c r="W40" s="130">
        <f t="shared" ca="1" si="5"/>
        <v>0</v>
      </c>
      <c r="X40" s="125">
        <f t="shared" ca="1" si="6"/>
        <v>0</v>
      </c>
      <c r="Y40" s="131"/>
      <c r="Z40" s="100"/>
    </row>
    <row r="41" spans="1:26" ht="15.75" thickBot="1" x14ac:dyDescent="0.3">
      <c r="A41" s="103"/>
      <c r="B41" s="88"/>
      <c r="C41" s="121"/>
      <c r="D41" s="89"/>
      <c r="E41" s="122"/>
      <c r="F41" s="123"/>
      <c r="G41" s="88"/>
      <c r="H41" s="88"/>
      <c r="I41" s="125"/>
      <c r="J41" s="115">
        <f ca="1">IF(ISERROR(OFFSET(Tabella!$A$1,MATCH(G41,Tabella!$A:$A,0)-1,MATCH(I41,Tabella!$A$1:$AC$1,0)-1)=TRUE),0,+OFFSET(Tabella!$A$1,MATCH(G41,Tabella!$A:$A,0)-1,MATCH(I41,Tabella!$A$1:$AC$1,0)-1))</f>
        <v>0</v>
      </c>
      <c r="K41" s="85">
        <f ca="1">IF(ISERROR(OFFSET(Ottone!$A$1,MATCH(G41,Ottone!$A:$A,0)-1,MATCH(I41,Ottone!$A$1:$Z$1,0)-1)=TRUE),0,OFFSET(Ottone!$A$1,MATCH(G41,Ottone!$A:$A,0)-1,MATCH(I41,Ottone!$A$1:$Z$1,0)-1))*IF(D41="Ottone",1,0)</f>
        <v>0</v>
      </c>
      <c r="L41" s="85">
        <f ca="1">IF(ISERROR(OFFSET(Rame!$A$1,MATCH(G41,Rame!$A:$A,0)-1,MATCH(I41,Rame!$A$1:$AA$1,0)-1)=TRUE),0,OFFSET(Rame!$A$1,MATCH(G41,Rame!$A:$A,0)-1,MATCH(I41,Rame!$A$1:$AA$1,0)-1))*IF(D41="Rame",1,0)</f>
        <v>0</v>
      </c>
      <c r="M41" s="126">
        <f t="shared" ca="1" si="0"/>
        <v>0</v>
      </c>
      <c r="N41" s="126">
        <f ca="1">+IF(ISERROR(OFFSET(Tabella!$G$1,MATCH(G41,Tabella!$G:$G,0)-1,MATCH(H41,Tabella!$G$1:$FG$1,0)-1)=TRUE),0,OFFSET(Tabella!$G$1,MATCH(G41,Tabella!$G:$G,0)-1,MATCH(H41,Tabella!$G$1:$AB$1,0)-1))</f>
        <v>0</v>
      </c>
      <c r="O41" s="126">
        <f ca="1">IF(ISERROR(OFFSET(Ottone!$F$1,MATCH(G41,Ottone!$A:$A,0)-1,MATCH(H41,Ottone!$F$1:$FF$1,0)-1)=TRUE),0,OFFSET(Ottone!$F$1,MATCH(G41,Ottone!$A:$A,0)-1,MATCH(H41,Ottone!$F$1:$FF$1,0)-1))*IF(D41="Ottone",1,0)</f>
        <v>0</v>
      </c>
      <c r="P41" s="126">
        <f ca="1">IF(ISERROR(OFFSET(Rame!$F$1,MATCH(G41,Rame!$F:$F,0)-1,MATCH(H41,Rame!$F$1:$FF$1,0)-1)=TRUE),0,OFFSET(Rame!$F$1,MATCH(G41,Rame!$F:$F,0)-1,MATCH(H41,Rame!$F$1:$FF$1,0)-1))*IF(D41="Rame",1,0)</f>
        <v>0</v>
      </c>
      <c r="Q41" s="126">
        <f t="shared" ca="1" si="1"/>
        <v>0</v>
      </c>
      <c r="R41" s="126">
        <f t="shared" si="7"/>
        <v>0</v>
      </c>
      <c r="S41" s="127"/>
      <c r="T41" s="128">
        <f t="shared" ca="1" si="3"/>
        <v>0</v>
      </c>
      <c r="U41" s="125">
        <f t="shared" si="4"/>
        <v>0</v>
      </c>
      <c r="V41" s="129"/>
      <c r="W41" s="130">
        <f t="shared" ca="1" si="5"/>
        <v>0</v>
      </c>
      <c r="X41" s="125">
        <f t="shared" ca="1" si="6"/>
        <v>0</v>
      </c>
      <c r="Y41" s="131"/>
      <c r="Z41" s="100"/>
    </row>
    <row r="42" spans="1:26" ht="15.75" thickBot="1" x14ac:dyDescent="0.3">
      <c r="A42" s="103"/>
      <c r="B42" s="88"/>
      <c r="C42" s="121"/>
      <c r="D42" s="89"/>
      <c r="E42" s="122"/>
      <c r="F42" s="123"/>
      <c r="G42" s="88"/>
      <c r="H42" s="88"/>
      <c r="I42" s="125"/>
      <c r="J42" s="115">
        <f ca="1">IF(ISERROR(OFFSET(Tabella!$A$1,MATCH(G42,Tabella!$A:$A,0)-1,MATCH(I42,Tabella!$A$1:$AC$1,0)-1)=TRUE),0,+OFFSET(Tabella!$A$1,MATCH(G42,Tabella!$A:$A,0)-1,MATCH(I42,Tabella!$A$1:$AC$1,0)-1))</f>
        <v>0</v>
      </c>
      <c r="K42" s="85">
        <f ca="1">IF(ISERROR(OFFSET(Ottone!$A$1,MATCH(G42,Ottone!$A:$A,0)-1,MATCH(I42,Ottone!$A$1:$Z$1,0)-1)=TRUE),0,OFFSET(Ottone!$A$1,MATCH(G42,Ottone!$A:$A,0)-1,MATCH(I42,Ottone!$A$1:$Z$1,0)-1))*IF(D42="Ottone",1,0)</f>
        <v>0</v>
      </c>
      <c r="L42" s="85">
        <f ca="1">IF(ISERROR(OFFSET(Rame!$A$1,MATCH(G42,Rame!$A:$A,0)-1,MATCH(I42,Rame!$A$1:$AA$1,0)-1)=TRUE),0,OFFSET(Rame!$A$1,MATCH(G42,Rame!$A:$A,0)-1,MATCH(I42,Rame!$A$1:$AA$1,0)-1))*IF(D42="Rame",1,0)</f>
        <v>0</v>
      </c>
      <c r="M42" s="126">
        <f t="shared" ca="1" si="0"/>
        <v>0</v>
      </c>
      <c r="N42" s="126">
        <f ca="1">+IF(ISERROR(OFFSET(Tabella!$G$1,MATCH(G42,Tabella!$G:$G,0)-1,MATCH(H42,Tabella!$G$1:$FG$1,0)-1)=TRUE),0,OFFSET(Tabella!$G$1,MATCH(G42,Tabella!$G:$G,0)-1,MATCH(H42,Tabella!$G$1:$AB$1,0)-1))</f>
        <v>0</v>
      </c>
      <c r="O42" s="126">
        <f ca="1">IF(ISERROR(OFFSET(Ottone!$F$1,MATCH(G42,Ottone!$A:$A,0)-1,MATCH(H42,Ottone!$F$1:$FF$1,0)-1)=TRUE),0,OFFSET(Ottone!$F$1,MATCH(G42,Ottone!$A:$A,0)-1,MATCH(H42,Ottone!$F$1:$FF$1,0)-1))*IF(D42="Ottone",1,0)</f>
        <v>0</v>
      </c>
      <c r="P42" s="126">
        <f ca="1">IF(ISERROR(OFFSET(Rame!$F$1,MATCH(G42,Rame!$F:$F,0)-1,MATCH(H42,Rame!$F$1:$FF$1,0)-1)=TRUE),0,OFFSET(Rame!$F$1,MATCH(G42,Rame!$F:$F,0)-1,MATCH(H42,Rame!$F$1:$FF$1,0)-1))*IF(D42="Rame",1,0)</f>
        <v>0</v>
      </c>
      <c r="Q42" s="126">
        <f t="shared" ca="1" si="1"/>
        <v>0</v>
      </c>
      <c r="R42" s="126">
        <f t="shared" si="7"/>
        <v>0</v>
      </c>
      <c r="S42" s="127"/>
      <c r="T42" s="128">
        <f t="shared" ca="1" si="3"/>
        <v>0</v>
      </c>
      <c r="U42" s="125">
        <f t="shared" si="4"/>
        <v>0</v>
      </c>
      <c r="V42" s="129"/>
      <c r="W42" s="130">
        <f t="shared" ca="1" si="5"/>
        <v>0</v>
      </c>
      <c r="X42" s="125">
        <f t="shared" ca="1" si="6"/>
        <v>0</v>
      </c>
      <c r="Y42" s="131"/>
      <c r="Z42" s="100"/>
    </row>
    <row r="43" spans="1:26" ht="15.75" thickBot="1" x14ac:dyDescent="0.3">
      <c r="A43" s="103"/>
      <c r="B43" s="88"/>
      <c r="C43" s="121"/>
      <c r="D43" s="89"/>
      <c r="E43" s="122"/>
      <c r="F43" s="123"/>
      <c r="G43" s="88"/>
      <c r="H43" s="88"/>
      <c r="I43" s="125"/>
      <c r="J43" s="115">
        <f ca="1">IF(ISERROR(OFFSET(Tabella!$A$1,MATCH(G43,Tabella!$A:$A,0)-1,MATCH(I43,Tabella!$A$1:$AC$1,0)-1)=TRUE),0,+OFFSET(Tabella!$A$1,MATCH(G43,Tabella!$A:$A,0)-1,MATCH(I43,Tabella!$A$1:$AC$1,0)-1))</f>
        <v>0</v>
      </c>
      <c r="K43" s="85">
        <f ca="1">IF(ISERROR(OFFSET(Ottone!$A$1,MATCH(G43,Ottone!$A:$A,0)-1,MATCH(I43,Ottone!$A$1:$Z$1,0)-1)=TRUE),0,OFFSET(Ottone!$A$1,MATCH(G43,Ottone!$A:$A,0)-1,MATCH(I43,Ottone!$A$1:$Z$1,0)-1))*IF(D43="Ottone",1,0)</f>
        <v>0</v>
      </c>
      <c r="L43" s="85">
        <f ca="1">IF(ISERROR(OFFSET(Rame!$A$1,MATCH(G43,Rame!$A:$A,0)-1,MATCH(I43,Rame!$A$1:$AA$1,0)-1)=TRUE),0,OFFSET(Rame!$A$1,MATCH(G43,Rame!$A:$A,0)-1,MATCH(I43,Rame!$A$1:$AA$1,0)-1))*IF(D43="Rame",1,0)</f>
        <v>0</v>
      </c>
      <c r="M43" s="126">
        <f t="shared" ca="1" si="0"/>
        <v>0</v>
      </c>
      <c r="N43" s="126">
        <f ca="1">+IF(ISERROR(OFFSET(Tabella!$G$1,MATCH(G43,Tabella!$G:$G,0)-1,MATCH(H43,Tabella!$G$1:$FG$1,0)-1)=TRUE),0,OFFSET(Tabella!$G$1,MATCH(G43,Tabella!$G:$G,0)-1,MATCH(H43,Tabella!$G$1:$AB$1,0)-1))</f>
        <v>0</v>
      </c>
      <c r="O43" s="126">
        <f ca="1">IF(ISERROR(OFFSET(Ottone!$F$1,MATCH(G43,Ottone!$A:$A,0)-1,MATCH(H43,Ottone!$F$1:$FF$1,0)-1)=TRUE),0,OFFSET(Ottone!$F$1,MATCH(G43,Ottone!$A:$A,0)-1,MATCH(H43,Ottone!$F$1:$FF$1,0)-1))*IF(D43="Ottone",1,0)</f>
        <v>0</v>
      </c>
      <c r="P43" s="126">
        <f ca="1">IF(ISERROR(OFFSET(Rame!$F$1,MATCH(G43,Rame!$F:$F,0)-1,MATCH(H43,Rame!$F$1:$FF$1,0)-1)=TRUE),0,OFFSET(Rame!$F$1,MATCH(G43,Rame!$F:$F,0)-1,MATCH(H43,Rame!$F$1:$FF$1,0)-1))*IF(D43="Rame",1,0)</f>
        <v>0</v>
      </c>
      <c r="Q43" s="126">
        <f t="shared" ca="1" si="1"/>
        <v>0</v>
      </c>
      <c r="R43" s="126">
        <f t="shared" si="7"/>
        <v>0</v>
      </c>
      <c r="S43" s="127"/>
      <c r="T43" s="128">
        <f t="shared" ca="1" si="3"/>
        <v>0</v>
      </c>
      <c r="U43" s="125">
        <f t="shared" si="4"/>
        <v>0</v>
      </c>
      <c r="V43" s="129"/>
      <c r="W43" s="130">
        <f t="shared" ca="1" si="5"/>
        <v>0</v>
      </c>
      <c r="X43" s="125">
        <f t="shared" ca="1" si="6"/>
        <v>0</v>
      </c>
      <c r="Y43" s="131"/>
      <c r="Z43" s="100"/>
    </row>
    <row r="44" spans="1:26" ht="15.75" thickBot="1" x14ac:dyDescent="0.3">
      <c r="A44" s="103"/>
      <c r="B44" s="88"/>
      <c r="C44" s="121"/>
      <c r="D44" s="89"/>
      <c r="E44" s="122"/>
      <c r="F44" s="123"/>
      <c r="G44" s="88"/>
      <c r="H44" s="88"/>
      <c r="I44" s="125"/>
      <c r="J44" s="115">
        <f ca="1">IF(ISERROR(OFFSET(Tabella!$A$1,MATCH(G44,Tabella!$A:$A,0)-1,MATCH(I44,Tabella!$A$1:$AC$1,0)-1)=TRUE),0,+OFFSET(Tabella!$A$1,MATCH(G44,Tabella!$A:$A,0)-1,MATCH(I44,Tabella!$A$1:$AC$1,0)-1))</f>
        <v>0</v>
      </c>
      <c r="K44" s="85">
        <f ca="1">IF(ISERROR(OFFSET(Ottone!$A$1,MATCH(G44,Ottone!$A:$A,0)-1,MATCH(I44,Ottone!$A$1:$Z$1,0)-1)=TRUE),0,OFFSET(Ottone!$A$1,MATCH(G44,Ottone!$A:$A,0)-1,MATCH(I44,Ottone!$A$1:$Z$1,0)-1))*IF(D44="Ottone",1,0)</f>
        <v>0</v>
      </c>
      <c r="L44" s="85">
        <f ca="1">IF(ISERROR(OFFSET(Rame!$A$1,MATCH(G44,Rame!$A:$A,0)-1,MATCH(I44,Rame!$A$1:$AA$1,0)-1)=TRUE),0,OFFSET(Rame!$A$1,MATCH(G44,Rame!$A:$A,0)-1,MATCH(I44,Rame!$A$1:$AA$1,0)-1))*IF(D44="Rame",1,0)</f>
        <v>0</v>
      </c>
      <c r="M44" s="126">
        <f t="shared" ca="1" si="0"/>
        <v>0</v>
      </c>
      <c r="N44" s="126">
        <f ca="1">+IF(ISERROR(OFFSET(Tabella!$G$1,MATCH(G44,Tabella!$G:$G,0)-1,MATCH(H44,Tabella!$G$1:$FG$1,0)-1)=TRUE),0,OFFSET(Tabella!$G$1,MATCH(G44,Tabella!$G:$G,0)-1,MATCH(H44,Tabella!$G$1:$AB$1,0)-1))</f>
        <v>0</v>
      </c>
      <c r="O44" s="126">
        <f ca="1">IF(ISERROR(OFFSET(Ottone!$F$1,MATCH(G44,Ottone!$A:$A,0)-1,MATCH(H44,Ottone!$F$1:$FF$1,0)-1)=TRUE),0,OFFSET(Ottone!$F$1,MATCH(G44,Ottone!$A:$A,0)-1,MATCH(H44,Ottone!$F$1:$FF$1,0)-1))*IF(D44="Ottone",1,0)</f>
        <v>0</v>
      </c>
      <c r="P44" s="126">
        <f ca="1">IF(ISERROR(OFFSET(Rame!$F$1,MATCH(G44,Rame!$F:$F,0)-1,MATCH(H44,Rame!$F$1:$FF$1,0)-1)=TRUE),0,OFFSET(Rame!$F$1,MATCH(G44,Rame!$F:$F,0)-1,MATCH(H44,Rame!$F$1:$FF$1,0)-1))*IF(D44="Rame",1,0)</f>
        <v>0</v>
      </c>
      <c r="Q44" s="126">
        <f t="shared" ca="1" si="1"/>
        <v>0</v>
      </c>
      <c r="R44" s="126">
        <f t="shared" si="7"/>
        <v>0</v>
      </c>
      <c r="S44" s="127"/>
      <c r="T44" s="128">
        <f t="shared" ca="1" si="3"/>
        <v>0</v>
      </c>
      <c r="U44" s="125">
        <f t="shared" si="4"/>
        <v>0</v>
      </c>
      <c r="V44" s="129"/>
      <c r="W44" s="130">
        <f t="shared" ca="1" si="5"/>
        <v>0</v>
      </c>
      <c r="X44" s="125">
        <f t="shared" ca="1" si="6"/>
        <v>0</v>
      </c>
      <c r="Y44" s="131"/>
      <c r="Z44" s="100"/>
    </row>
    <row r="45" spans="1:26" ht="15.75" thickBot="1" x14ac:dyDescent="0.3">
      <c r="A45" s="103"/>
      <c r="B45" s="88"/>
      <c r="C45" s="121"/>
      <c r="D45" s="89"/>
      <c r="E45" s="122"/>
      <c r="F45" s="123"/>
      <c r="G45" s="88"/>
      <c r="H45" s="88"/>
      <c r="I45" s="125"/>
      <c r="J45" s="115">
        <f ca="1">IF(ISERROR(OFFSET(Tabella!$A$1,MATCH(G45,Tabella!$A:$A,0)-1,MATCH(I45,Tabella!$A$1:$AC$1,0)-1)=TRUE),0,+OFFSET(Tabella!$A$1,MATCH(G45,Tabella!$A:$A,0)-1,MATCH(I45,Tabella!$A$1:$AC$1,0)-1))</f>
        <v>0</v>
      </c>
      <c r="K45" s="85">
        <f ca="1">IF(ISERROR(OFFSET(Ottone!$A$1,MATCH(G45,Ottone!$A:$A,0)-1,MATCH(I45,Ottone!$A$1:$Z$1,0)-1)=TRUE),0,OFFSET(Ottone!$A$1,MATCH(G45,Ottone!$A:$A,0)-1,MATCH(I45,Ottone!$A$1:$Z$1,0)-1))*IF(D45="Ottone",1,0)</f>
        <v>0</v>
      </c>
      <c r="L45" s="85">
        <f ca="1">IF(ISERROR(OFFSET(Rame!$A$1,MATCH(G45,Rame!$A:$A,0)-1,MATCH(I45,Rame!$A$1:$AA$1,0)-1)=TRUE),0,OFFSET(Rame!$A$1,MATCH(G45,Rame!$A:$A,0)-1,MATCH(I45,Rame!$A$1:$AA$1,0)-1))*IF(D45="Rame",1,0)</f>
        <v>0</v>
      </c>
      <c r="M45" s="126">
        <f t="shared" ca="1" si="0"/>
        <v>0</v>
      </c>
      <c r="N45" s="126">
        <f ca="1">+IF(ISERROR(OFFSET(Tabella!$G$1,MATCH(G45,Tabella!$G:$G,0)-1,MATCH(H45,Tabella!$G$1:$FG$1,0)-1)=TRUE),0,OFFSET(Tabella!$G$1,MATCH(G45,Tabella!$G:$G,0)-1,MATCH(H45,Tabella!$G$1:$AB$1,0)-1))</f>
        <v>0</v>
      </c>
      <c r="O45" s="126">
        <f ca="1">IF(ISERROR(OFFSET(Ottone!$F$1,MATCH(G45,Ottone!$A:$A,0)-1,MATCH(H45,Ottone!$F$1:$FF$1,0)-1)=TRUE),0,OFFSET(Ottone!$F$1,MATCH(G45,Ottone!$A:$A,0)-1,MATCH(H45,Ottone!$F$1:$FF$1,0)-1))*IF(D45="Ottone",1,0)</f>
        <v>0</v>
      </c>
      <c r="P45" s="126">
        <f ca="1">IF(ISERROR(OFFSET(Rame!$F$1,MATCH(G45,Rame!$F:$F,0)-1,MATCH(H45,Rame!$F$1:$FF$1,0)-1)=TRUE),0,OFFSET(Rame!$F$1,MATCH(G45,Rame!$F:$F,0)-1,MATCH(H45,Rame!$F$1:$FF$1,0)-1))*IF(D45="Rame",1,0)</f>
        <v>0</v>
      </c>
      <c r="Q45" s="126">
        <f t="shared" ca="1" si="1"/>
        <v>0</v>
      </c>
      <c r="R45" s="126">
        <f t="shared" si="7"/>
        <v>0</v>
      </c>
      <c r="S45" s="127"/>
      <c r="T45" s="128">
        <f t="shared" ca="1" si="3"/>
        <v>0</v>
      </c>
      <c r="U45" s="125">
        <f t="shared" si="4"/>
        <v>0</v>
      </c>
      <c r="V45" s="129"/>
      <c r="W45" s="130">
        <f t="shared" ca="1" si="5"/>
        <v>0</v>
      </c>
      <c r="X45" s="125">
        <f t="shared" ca="1" si="6"/>
        <v>0</v>
      </c>
      <c r="Y45" s="131"/>
      <c r="Z45" s="100"/>
    </row>
    <row r="46" spans="1:26" ht="15.75" thickBot="1" x14ac:dyDescent="0.3">
      <c r="A46" s="103"/>
      <c r="B46" s="88"/>
      <c r="C46" s="121"/>
      <c r="D46" s="89"/>
      <c r="E46" s="122"/>
      <c r="F46" s="123"/>
      <c r="G46" s="88"/>
      <c r="H46" s="88"/>
      <c r="I46" s="125"/>
      <c r="J46" s="115">
        <f ca="1">IF(ISERROR(OFFSET(Tabella!$A$1,MATCH(G46,Tabella!$A:$A,0)-1,MATCH(I46,Tabella!$A$1:$AC$1,0)-1)=TRUE),0,+OFFSET(Tabella!$A$1,MATCH(G46,Tabella!$A:$A,0)-1,MATCH(I46,Tabella!$A$1:$AC$1,0)-1))</f>
        <v>0</v>
      </c>
      <c r="K46" s="85">
        <f ca="1">IF(ISERROR(OFFSET(Ottone!$A$1,MATCH(G46,Ottone!$A:$A,0)-1,MATCH(I46,Ottone!$A$1:$Z$1,0)-1)=TRUE),0,OFFSET(Ottone!$A$1,MATCH(G46,Ottone!$A:$A,0)-1,MATCH(I46,Ottone!$A$1:$Z$1,0)-1))*IF(D46="Ottone",1,0)</f>
        <v>0</v>
      </c>
      <c r="L46" s="85">
        <f ca="1">IF(ISERROR(OFFSET(Rame!$A$1,MATCH(G46,Rame!$A:$A,0)-1,MATCH(I46,Rame!$A$1:$AA$1,0)-1)=TRUE),0,OFFSET(Rame!$A$1,MATCH(G46,Rame!$A:$A,0)-1,MATCH(I46,Rame!$A$1:$AA$1,0)-1))*IF(D46="Rame",1,0)</f>
        <v>0</v>
      </c>
      <c r="M46" s="126">
        <f t="shared" ca="1" si="0"/>
        <v>0</v>
      </c>
      <c r="N46" s="126">
        <f ca="1">+IF(ISERROR(OFFSET(Tabella!$G$1,MATCH(G46,Tabella!$G:$G,0)-1,MATCH(H46,Tabella!$G$1:$FG$1,0)-1)=TRUE),0,OFFSET(Tabella!$G$1,MATCH(G46,Tabella!$G:$G,0)-1,MATCH(H46,Tabella!$G$1:$AB$1,0)-1))</f>
        <v>0</v>
      </c>
      <c r="O46" s="126">
        <f ca="1">IF(ISERROR(OFFSET(Ottone!$F$1,MATCH(G46,Ottone!$A:$A,0)-1,MATCH(H46,Ottone!$F$1:$FF$1,0)-1)=TRUE),0,OFFSET(Ottone!$F$1,MATCH(G46,Ottone!$A:$A,0)-1,MATCH(H46,Ottone!$F$1:$FF$1,0)-1))*IF(D46="Ottone",1,0)</f>
        <v>0</v>
      </c>
      <c r="P46" s="126">
        <f ca="1">IF(ISERROR(OFFSET(Rame!$F$1,MATCH(G46,Rame!$F:$F,0)-1,MATCH(H46,Rame!$F$1:$FF$1,0)-1)=TRUE),0,OFFSET(Rame!$F$1,MATCH(G46,Rame!$F:$F,0)-1,MATCH(H46,Rame!$F$1:$FF$1,0)-1))*IF(D46="Rame",1,0)</f>
        <v>0</v>
      </c>
      <c r="Q46" s="126">
        <f t="shared" ca="1" si="1"/>
        <v>0</v>
      </c>
      <c r="R46" s="126">
        <f t="shared" si="7"/>
        <v>0</v>
      </c>
      <c r="S46" s="127"/>
      <c r="T46" s="128">
        <f t="shared" ca="1" si="3"/>
        <v>0</v>
      </c>
      <c r="U46" s="125">
        <f t="shared" si="4"/>
        <v>0</v>
      </c>
      <c r="V46" s="129"/>
      <c r="W46" s="130">
        <f t="shared" ca="1" si="5"/>
        <v>0</v>
      </c>
      <c r="X46" s="125">
        <f t="shared" ca="1" si="6"/>
        <v>0</v>
      </c>
      <c r="Y46" s="131"/>
      <c r="Z46" s="100"/>
    </row>
    <row r="47" spans="1:26" ht="15.75" thickBot="1" x14ac:dyDescent="0.3">
      <c r="A47" s="103"/>
      <c r="B47" s="88"/>
      <c r="C47" s="121"/>
      <c r="D47" s="89"/>
      <c r="E47" s="122"/>
      <c r="F47" s="123"/>
      <c r="G47" s="88"/>
      <c r="H47" s="88"/>
      <c r="I47" s="125"/>
      <c r="J47" s="115">
        <f ca="1">IF(ISERROR(OFFSET(Tabella!$A$1,MATCH(G47,Tabella!$A:$A,0)-1,MATCH(I47,Tabella!$A$1:$AC$1,0)-1)=TRUE),0,+OFFSET(Tabella!$A$1,MATCH(G47,Tabella!$A:$A,0)-1,MATCH(I47,Tabella!$A$1:$AC$1,0)-1))</f>
        <v>0</v>
      </c>
      <c r="K47" s="85">
        <f ca="1">IF(ISERROR(OFFSET(Ottone!$A$1,MATCH(G47,Ottone!$A:$A,0)-1,MATCH(I47,Ottone!$A$1:$Z$1,0)-1)=TRUE),0,OFFSET(Ottone!$A$1,MATCH(G47,Ottone!$A:$A,0)-1,MATCH(I47,Ottone!$A$1:$Z$1,0)-1))*IF(D47="Ottone",1,0)</f>
        <v>0</v>
      </c>
      <c r="L47" s="85">
        <f ca="1">IF(ISERROR(OFFSET(Rame!$A$1,MATCH(G47,Rame!$A:$A,0)-1,MATCH(I47,Rame!$A$1:$AA$1,0)-1)=TRUE),0,OFFSET(Rame!$A$1,MATCH(G47,Rame!$A:$A,0)-1,MATCH(I47,Rame!$A$1:$AA$1,0)-1))*IF(D47="Rame",1,0)</f>
        <v>0</v>
      </c>
      <c r="M47" s="126">
        <f t="shared" ca="1" si="0"/>
        <v>0</v>
      </c>
      <c r="N47" s="126">
        <f ca="1">+IF(ISERROR(OFFSET(Tabella!$G$1,MATCH(G47,Tabella!$G:$G,0)-1,MATCH(H47,Tabella!$G$1:$FG$1,0)-1)=TRUE),0,OFFSET(Tabella!$G$1,MATCH(G47,Tabella!$G:$G,0)-1,MATCH(H47,Tabella!$G$1:$AB$1,0)-1))</f>
        <v>0</v>
      </c>
      <c r="O47" s="126">
        <f ca="1">IF(ISERROR(OFFSET(Ottone!$F$1,MATCH(G47,Ottone!$A:$A,0)-1,MATCH(H47,Ottone!$F$1:$FF$1,0)-1)=TRUE),0,OFFSET(Ottone!$F$1,MATCH(G47,Ottone!$A:$A,0)-1,MATCH(H47,Ottone!$F$1:$FF$1,0)-1))*IF(D47="Ottone",1,0)</f>
        <v>0</v>
      </c>
      <c r="P47" s="126">
        <f ca="1">IF(ISERROR(OFFSET(Rame!$F$1,MATCH(G47,Rame!$F:$F,0)-1,MATCH(H47,Rame!$F$1:$FF$1,0)-1)=TRUE),0,OFFSET(Rame!$F$1,MATCH(G47,Rame!$F:$F,0)-1,MATCH(H47,Rame!$F$1:$FF$1,0)-1))*IF(D47="Rame",1,0)</f>
        <v>0</v>
      </c>
      <c r="Q47" s="126">
        <f t="shared" ca="1" si="1"/>
        <v>0</v>
      </c>
      <c r="R47" s="126">
        <f t="shared" si="7"/>
        <v>0</v>
      </c>
      <c r="S47" s="127"/>
      <c r="T47" s="128">
        <f t="shared" ca="1" si="3"/>
        <v>0</v>
      </c>
      <c r="U47" s="125">
        <f t="shared" si="4"/>
        <v>0</v>
      </c>
      <c r="V47" s="129"/>
      <c r="W47" s="130">
        <f t="shared" ca="1" si="5"/>
        <v>0</v>
      </c>
      <c r="X47" s="125">
        <f t="shared" ca="1" si="6"/>
        <v>0</v>
      </c>
      <c r="Y47" s="131"/>
      <c r="Z47" s="100"/>
    </row>
    <row r="48" spans="1:26" ht="15.75" thickBot="1" x14ac:dyDescent="0.3">
      <c r="A48" s="103"/>
      <c r="B48" s="88"/>
      <c r="C48" s="121"/>
      <c r="D48" s="89"/>
      <c r="E48" s="122"/>
      <c r="F48" s="123"/>
      <c r="G48" s="88"/>
      <c r="H48" s="88"/>
      <c r="I48" s="125"/>
      <c r="J48" s="115">
        <f ca="1">IF(ISERROR(OFFSET(Tabella!$A$1,MATCH(G48,Tabella!$A:$A,0)-1,MATCH(I48,Tabella!$A$1:$AC$1,0)-1)=TRUE),0,+OFFSET(Tabella!$A$1,MATCH(G48,Tabella!$A:$A,0)-1,MATCH(I48,Tabella!$A$1:$AC$1,0)-1))</f>
        <v>0</v>
      </c>
      <c r="K48" s="85">
        <f ca="1">IF(ISERROR(OFFSET(Ottone!$A$1,MATCH(G48,Ottone!$A:$A,0)-1,MATCH(I48,Ottone!$A$1:$Z$1,0)-1)=TRUE),0,OFFSET(Ottone!$A$1,MATCH(G48,Ottone!$A:$A,0)-1,MATCH(I48,Ottone!$A$1:$Z$1,0)-1))*IF(D48="Ottone",1,0)</f>
        <v>0</v>
      </c>
      <c r="L48" s="85">
        <f ca="1">IF(ISERROR(OFFSET(Rame!$A$1,MATCH(G48,Rame!$A:$A,0)-1,MATCH(I48,Rame!$A$1:$AA$1,0)-1)=TRUE),0,OFFSET(Rame!$A$1,MATCH(G48,Rame!$A:$A,0)-1,MATCH(I48,Rame!$A$1:$AA$1,0)-1))*IF(D48="Rame",1,0)</f>
        <v>0</v>
      </c>
      <c r="M48" s="126">
        <f t="shared" ca="1" si="0"/>
        <v>0</v>
      </c>
      <c r="N48" s="126">
        <f ca="1">+IF(ISERROR(OFFSET(Tabella!$G$1,MATCH(G48,Tabella!$G:$G,0)-1,MATCH(H48,Tabella!$G$1:$FG$1,0)-1)=TRUE),0,OFFSET(Tabella!$G$1,MATCH(G48,Tabella!$G:$G,0)-1,MATCH(H48,Tabella!$G$1:$AB$1,0)-1))</f>
        <v>0</v>
      </c>
      <c r="O48" s="126">
        <f ca="1">IF(ISERROR(OFFSET(Ottone!$F$1,MATCH(G48,Ottone!$A:$A,0)-1,MATCH(H48,Ottone!$F$1:$FF$1,0)-1)=TRUE),0,OFFSET(Ottone!$F$1,MATCH(G48,Ottone!$A:$A,0)-1,MATCH(H48,Ottone!$F$1:$FF$1,0)-1))*IF(D48="Ottone",1,0)</f>
        <v>0</v>
      </c>
      <c r="P48" s="126">
        <f ca="1">IF(ISERROR(OFFSET(Rame!$F$1,MATCH(G48,Rame!$F:$F,0)-1,MATCH(H48,Rame!$F$1:$FF$1,0)-1)=TRUE),0,OFFSET(Rame!$F$1,MATCH(G48,Rame!$F:$F,0)-1,MATCH(H48,Rame!$F$1:$FF$1,0)-1))*IF(D48="Rame",1,0)</f>
        <v>0</v>
      </c>
      <c r="Q48" s="126">
        <f t="shared" ca="1" si="1"/>
        <v>0</v>
      </c>
      <c r="R48" s="126">
        <f t="shared" si="7"/>
        <v>0</v>
      </c>
      <c r="S48" s="127"/>
      <c r="T48" s="128">
        <f t="shared" ca="1" si="3"/>
        <v>0</v>
      </c>
      <c r="U48" s="125">
        <f t="shared" si="4"/>
        <v>0</v>
      </c>
      <c r="V48" s="129"/>
      <c r="W48" s="130">
        <f t="shared" ca="1" si="5"/>
        <v>0</v>
      </c>
      <c r="X48" s="125">
        <f t="shared" ca="1" si="6"/>
        <v>0</v>
      </c>
      <c r="Y48" s="131"/>
      <c r="Z48" s="100"/>
    </row>
    <row r="49" spans="1:26" ht="15.75" thickBot="1" x14ac:dyDescent="0.3">
      <c r="A49" s="103"/>
      <c r="B49" s="88"/>
      <c r="C49" s="121"/>
      <c r="D49" s="89"/>
      <c r="E49" s="122"/>
      <c r="F49" s="123"/>
      <c r="G49" s="88"/>
      <c r="H49" s="88"/>
      <c r="I49" s="125"/>
      <c r="J49" s="115">
        <f ca="1">IF(ISERROR(OFFSET(Tabella!$A$1,MATCH(G49,Tabella!$A:$A,0)-1,MATCH(I49,Tabella!$A$1:$AC$1,0)-1)=TRUE),0,+OFFSET(Tabella!$A$1,MATCH(G49,Tabella!$A:$A,0)-1,MATCH(I49,Tabella!$A$1:$AC$1,0)-1))</f>
        <v>0</v>
      </c>
      <c r="K49" s="85">
        <f ca="1">IF(ISERROR(OFFSET(Ottone!$A$1,MATCH(G49,Ottone!$A:$A,0)-1,MATCH(I49,Ottone!$A$1:$Z$1,0)-1)=TRUE),0,OFFSET(Ottone!$A$1,MATCH(G49,Ottone!$A:$A,0)-1,MATCH(I49,Ottone!$A$1:$Z$1,0)-1))*IF(D49="Ottone",1,0)</f>
        <v>0</v>
      </c>
      <c r="L49" s="85">
        <f ca="1">IF(ISERROR(OFFSET(Rame!$A$1,MATCH(G49,Rame!$A:$A,0)-1,MATCH(I49,Rame!$A$1:$AA$1,0)-1)=TRUE),0,OFFSET(Rame!$A$1,MATCH(G49,Rame!$A:$A,0)-1,MATCH(I49,Rame!$A$1:$AA$1,0)-1))*IF(D49="Rame",1,0)</f>
        <v>0</v>
      </c>
      <c r="M49" s="126">
        <f t="shared" ca="1" si="0"/>
        <v>0</v>
      </c>
      <c r="N49" s="126">
        <f ca="1">+IF(ISERROR(OFFSET(Tabella!$G$1,MATCH(G49,Tabella!$G:$G,0)-1,MATCH(H49,Tabella!$G$1:$FG$1,0)-1)=TRUE),0,OFFSET(Tabella!$G$1,MATCH(G49,Tabella!$G:$G,0)-1,MATCH(H49,Tabella!$G$1:$AB$1,0)-1))</f>
        <v>0</v>
      </c>
      <c r="O49" s="126">
        <f ca="1">IF(ISERROR(OFFSET(Ottone!$F$1,MATCH(G49,Ottone!$A:$A,0)-1,MATCH(H49,Ottone!$F$1:$FF$1,0)-1)=TRUE),0,OFFSET(Ottone!$F$1,MATCH(G49,Ottone!$A:$A,0)-1,MATCH(H49,Ottone!$F$1:$FF$1,0)-1))*IF(D49="Ottone",1,0)</f>
        <v>0</v>
      </c>
      <c r="P49" s="126">
        <f ca="1">IF(ISERROR(OFFSET(Rame!$F$1,MATCH(G49,Rame!$F:$F,0)-1,MATCH(H49,Rame!$F$1:$FF$1,0)-1)=TRUE),0,OFFSET(Rame!$F$1,MATCH(G49,Rame!$F:$F,0)-1,MATCH(H49,Rame!$F$1:$FF$1,0)-1))*IF(D49="Rame",1,0)</f>
        <v>0</v>
      </c>
      <c r="Q49" s="126">
        <f t="shared" ca="1" si="1"/>
        <v>0</v>
      </c>
      <c r="R49" s="126">
        <f t="shared" si="7"/>
        <v>0</v>
      </c>
      <c r="S49" s="127"/>
      <c r="T49" s="128">
        <f t="shared" ca="1" si="3"/>
        <v>0</v>
      </c>
      <c r="U49" s="125">
        <f t="shared" si="4"/>
        <v>0</v>
      </c>
      <c r="V49" s="129"/>
      <c r="W49" s="130">
        <f t="shared" ca="1" si="5"/>
        <v>0</v>
      </c>
      <c r="X49" s="125">
        <f t="shared" ca="1" si="6"/>
        <v>0</v>
      </c>
      <c r="Y49" s="131"/>
      <c r="Z49" s="100"/>
    </row>
    <row r="50" spans="1:26" ht="15.75" thickBot="1" x14ac:dyDescent="0.3">
      <c r="A50" s="103"/>
      <c r="B50" s="88"/>
      <c r="C50" s="121"/>
      <c r="D50" s="89"/>
      <c r="E50" s="122"/>
      <c r="F50" s="123"/>
      <c r="G50" s="88"/>
      <c r="H50" s="124"/>
      <c r="I50" s="125"/>
      <c r="J50" s="115">
        <f ca="1">IF(ISERROR(OFFSET(Tabella!$A$1,MATCH(G50,Tabella!$A:$A,0)-1,MATCH(I50,Tabella!$A$1:$AC$1,0)-1)=TRUE),0,+OFFSET(Tabella!$A$1,MATCH(G50,Tabella!$A:$A,0)-1,MATCH(I50,Tabella!$A$1:$AC$1,0)-1))</f>
        <v>0</v>
      </c>
      <c r="K50" s="85">
        <f ca="1">IF(ISERROR(OFFSET(Ottone!$A$1,MATCH(G50,Ottone!$A:$A,0)-1,MATCH(I50,Ottone!$A$1:$Z$1,0)-1)=TRUE),0,OFFSET(Ottone!$A$1,MATCH(G50,Ottone!$A:$A,0)-1,MATCH(I50,Ottone!$A$1:$Z$1,0)-1))*IF(D50="Ottone",1,0)</f>
        <v>0</v>
      </c>
      <c r="L50" s="85">
        <f ca="1">IF(ISERROR(OFFSET(Rame!$A$1,MATCH(G50,Rame!$A:$A,0)-1,MATCH(I50,Rame!$A$1:$AA$1,0)-1)=TRUE),0,OFFSET(Rame!$A$1,MATCH(G50,Rame!$A:$A,0)-1,MATCH(I50,Rame!$A$1:$AA$1,0)-1))*IF(D50="Rame",1,0)</f>
        <v>0</v>
      </c>
      <c r="M50" s="126">
        <f t="shared" ca="1" si="0"/>
        <v>0</v>
      </c>
      <c r="N50" s="126">
        <f ca="1">+IF(ISERROR(OFFSET(Tabella!$G$1,MATCH(G50,Tabella!$G:$G,0)-1,MATCH(H50,Tabella!$G$1:$FG$1,0)-1)=TRUE),0,OFFSET(Tabella!$G$1,MATCH(G50,Tabella!$G:$G,0)-1,MATCH(H50,Tabella!$G$1:$AB$1,0)-1))</f>
        <v>0</v>
      </c>
      <c r="O50" s="126">
        <f ca="1">IF(ISERROR(OFFSET(Ottone!$F$1,MATCH(G50,Ottone!$A:$A,0)-1,MATCH(H50,Ottone!$F$1:$FF$1,0)-1)=TRUE),0,OFFSET(Ottone!$F$1,MATCH(G50,Ottone!$A:$A,0)-1,MATCH(H50,Ottone!$F$1:$FF$1,0)-1))*IF(D50="Ottone",1,0)</f>
        <v>0</v>
      </c>
      <c r="P50" s="126">
        <f ca="1">IF(ISERROR(OFFSET(Rame!$F$1,MATCH(G50,Rame!$F:$F,0)-1,MATCH(H50,Rame!$F$1:$FF$1,0)-1)=TRUE),0,OFFSET(Rame!$F$1,MATCH(G50,Rame!$F:$F,0)-1,MATCH(H50,Rame!$F$1:$FF$1,0)-1))*IF(D50="Rame",1,0)</f>
        <v>0</v>
      </c>
      <c r="Q50" s="126">
        <f t="shared" ca="1" si="1"/>
        <v>0</v>
      </c>
      <c r="R50" s="126">
        <f t="shared" si="7"/>
        <v>0</v>
      </c>
      <c r="S50" s="127"/>
      <c r="T50" s="128">
        <f t="shared" ca="1" si="3"/>
        <v>0</v>
      </c>
      <c r="U50" s="125">
        <f t="shared" si="4"/>
        <v>0</v>
      </c>
      <c r="V50" s="129"/>
      <c r="W50" s="130">
        <f t="shared" ca="1" si="5"/>
        <v>0</v>
      </c>
      <c r="X50" s="125">
        <f t="shared" ca="1" si="6"/>
        <v>0</v>
      </c>
      <c r="Y50" s="131"/>
      <c r="Z50" s="100"/>
    </row>
    <row r="51" spans="1:26" ht="15.75" thickBot="1" x14ac:dyDescent="0.3">
      <c r="A51" s="133"/>
      <c r="B51" s="134"/>
      <c r="C51" s="135"/>
      <c r="D51" s="136"/>
      <c r="E51" s="137"/>
      <c r="F51" s="138"/>
      <c r="G51" s="134"/>
      <c r="H51" s="134"/>
      <c r="I51" s="139"/>
      <c r="J51" s="115">
        <f ca="1">IF(ISERROR(OFFSET(Tabella!$A$1,MATCH(G51,Tabella!$A:$A,0)-1,MATCH(I51,Tabella!$A$1:$AC$1,0)-1)=TRUE),0,+OFFSET(Tabella!$A$1,MATCH(G51,Tabella!$A:$A,0)-1,MATCH(I51,Tabella!$A$1:$AC$1,0)-1))</f>
        <v>0</v>
      </c>
      <c r="K51" s="85">
        <f ca="1">IF(ISERROR(OFFSET(Ottone!$A$1,MATCH(G51,Ottone!$A:$A,0)-1,MATCH(I51,Ottone!$A$1:$Z$1,0)-1)=TRUE),0,OFFSET(Ottone!$A$1,MATCH(G51,Ottone!$A:$A,0)-1,MATCH(I51,Ottone!$A$1:$Z$1,0)-1))*IF(D51="Ottone",1,0)</f>
        <v>0</v>
      </c>
      <c r="L51" s="85">
        <f ca="1">IF(ISERROR(OFFSET(Rame!$A$1,MATCH(G51,Rame!$A:$A,0)-1,MATCH(I51,Rame!$A$1:$AA$1,0)-1)=TRUE),0,OFFSET(Rame!$A$1,MATCH(G51,Rame!$A:$A,0)-1,MATCH(I51,Rame!$A$1:$AA$1,0)-1))*IF(D51="Rame",1,0)</f>
        <v>0</v>
      </c>
      <c r="M51" s="140">
        <f t="shared" ca="1" si="0"/>
        <v>0</v>
      </c>
      <c r="N51" s="140">
        <f ca="1">+IF(ISERROR(OFFSET(Tabella!$G$1,MATCH(G51,Tabella!$G:$G,0)-1,MATCH(H51,Tabella!$G$1:$FG$1,0)-1)=TRUE),0,OFFSET(Tabella!$G$1,MATCH(G51,Tabella!$G:$G,0)-1,MATCH(H51,Tabella!$G$1:$AB$1,0)-1))</f>
        <v>0</v>
      </c>
      <c r="O51" s="140">
        <f ca="1">IF(ISERROR(OFFSET(Ottone!$F$1,MATCH(G51,Ottone!$A:$A,0)-1,MATCH(H51,Ottone!$F$1:$FF$1,0)-1)=TRUE),0,OFFSET(Ottone!$F$1,MATCH(G51,Ottone!$A:$A,0)-1,MATCH(H51,Ottone!$F$1:$FF$1,0)-1))*IF(D51="Ottone",1,0)</f>
        <v>0</v>
      </c>
      <c r="P51" s="140">
        <f ca="1">IF(ISERROR(OFFSET(Rame!$F$1,MATCH(G51,Rame!$F:$F,0)-1,MATCH(H51,Rame!$F$1:$FF$1,0)-1)=TRUE),0,OFFSET(Rame!$F$1,MATCH(G51,Rame!$F:$F,0)-1,MATCH(H51,Rame!$F$1:$FF$1,0)-1))*IF(D51="Rame",1,0)</f>
        <v>0</v>
      </c>
      <c r="Q51" s="140">
        <f t="shared" ca="1" si="1"/>
        <v>0</v>
      </c>
      <c r="R51" s="140">
        <f t="shared" si="7"/>
        <v>0</v>
      </c>
      <c r="S51" s="141"/>
      <c r="T51" s="142">
        <f t="shared" ca="1" si="3"/>
        <v>0</v>
      </c>
      <c r="U51" s="143">
        <f t="shared" si="4"/>
        <v>0</v>
      </c>
      <c r="V51" s="144"/>
      <c r="W51" s="145">
        <f t="shared" ca="1" si="5"/>
        <v>0</v>
      </c>
      <c r="X51" s="139">
        <f t="shared" ca="1" si="6"/>
        <v>0</v>
      </c>
      <c r="Y51" s="146"/>
      <c r="Z51" s="101"/>
    </row>
    <row r="52" spans="1:26" ht="15.75" thickBot="1" x14ac:dyDescent="0.3">
      <c r="C52" s="90">
        <f>SUM(C6:C51)</f>
        <v>1217</v>
      </c>
      <c r="R52" s="147"/>
      <c r="S52" s="148"/>
      <c r="U52" s="91">
        <f>SUM(U6:U51)</f>
        <v>121.69999999999999</v>
      </c>
      <c r="X52" s="82">
        <f ca="1">SUM(X6:X51)</f>
        <v>0</v>
      </c>
    </row>
    <row r="56" spans="1:26" ht="15.75" thickBot="1" x14ac:dyDescent="0.3"/>
    <row r="57" spans="1:26" ht="15.75" thickBot="1" x14ac:dyDescent="0.3">
      <c r="B57" s="92" t="s">
        <v>37</v>
      </c>
      <c r="C57" s="93" t="s">
        <v>38</v>
      </c>
      <c r="D57" s="94" t="s">
        <v>94</v>
      </c>
    </row>
    <row r="58" spans="1:26" x14ac:dyDescent="0.25">
      <c r="B58" s="149" t="s">
        <v>105</v>
      </c>
      <c r="C58" s="150">
        <f>SUMIF(B6:B51,"Alge",C6:C51)</f>
        <v>0</v>
      </c>
      <c r="D58" s="151">
        <f>SUMIF(B6:B51,"Alge",U6:U51)</f>
        <v>0</v>
      </c>
    </row>
    <row r="59" spans="1:26" x14ac:dyDescent="0.25">
      <c r="B59" s="103" t="s">
        <v>113</v>
      </c>
      <c r="C59" s="121">
        <f>SUMIF(B6:B51,"Amer",C6:C51)</f>
        <v>0</v>
      </c>
      <c r="D59" s="152">
        <f>SUMIF(B6:B51,"Amer",U6:U51)</f>
        <v>0</v>
      </c>
    </row>
    <row r="60" spans="1:26" x14ac:dyDescent="0.25">
      <c r="B60" s="103" t="s">
        <v>95</v>
      </c>
      <c r="C60" s="121">
        <f>SUMIF(B6:B51,"Braga",C6:C51)</f>
        <v>0</v>
      </c>
      <c r="D60" s="152">
        <f>SUMIF(B6:B51,"Braga",U6:U51)</f>
        <v>0</v>
      </c>
    </row>
    <row r="61" spans="1:26" x14ac:dyDescent="0.25">
      <c r="B61" s="103" t="s">
        <v>114</v>
      </c>
      <c r="C61" s="121">
        <f>SUMIF(B6:B51,"Colombo",C6:C51)</f>
        <v>0</v>
      </c>
      <c r="D61" s="152">
        <f ca="1">SUMIF(B5:B51,"Colombo",U6:U51)</f>
        <v>0</v>
      </c>
    </row>
    <row r="62" spans="1:26" x14ac:dyDescent="0.25">
      <c r="B62" s="103" t="s">
        <v>111</v>
      </c>
      <c r="C62" s="121">
        <f>SUMIF(B6:B51,"Elca",C6:C51)</f>
        <v>0</v>
      </c>
      <c r="D62" s="152">
        <f>SUMIF(B6:B51,"Elca",U6:U51)</f>
        <v>0</v>
      </c>
    </row>
    <row r="63" spans="1:26" x14ac:dyDescent="0.25">
      <c r="B63" s="103" t="s">
        <v>106</v>
      </c>
      <c r="C63" s="121">
        <f>SUMIF(B6:B51,"Eletrafo",C6:C51)</f>
        <v>0</v>
      </c>
      <c r="D63" s="152">
        <f>SUMIF(B6:B51,"Eletrafo",U6:U51)</f>
        <v>0</v>
      </c>
    </row>
    <row r="64" spans="1:26" x14ac:dyDescent="0.25">
      <c r="B64" s="103" t="s">
        <v>91</v>
      </c>
      <c r="C64" s="121">
        <f>SUMIF(B6:B51,"Elettroplastica",C6:C51)</f>
        <v>0</v>
      </c>
      <c r="D64" s="152">
        <f>SUMIF(B6:B51,"Elettroplastica",U6:U51)</f>
        <v>0</v>
      </c>
    </row>
    <row r="65" spans="2:4" x14ac:dyDescent="0.25">
      <c r="B65" s="103" t="s">
        <v>104</v>
      </c>
      <c r="C65" s="121">
        <f>SUMIF(B6:B51,"Elpi Castresin",C6:C51)</f>
        <v>0</v>
      </c>
      <c r="D65" s="152">
        <f>SUMIF(B6:B51,"Alge",U6:U51)</f>
        <v>0</v>
      </c>
    </row>
    <row r="66" spans="2:4" x14ac:dyDescent="0.25">
      <c r="B66" s="103" t="s">
        <v>97</v>
      </c>
      <c r="C66" s="121">
        <f>SUMIF(B6:B51,"Emg",C6:C51)</f>
        <v>0</v>
      </c>
      <c r="D66" s="152">
        <f>SUMIF(B6:B51,"Emg",U6:U51)</f>
        <v>0</v>
      </c>
    </row>
    <row r="67" spans="2:4" x14ac:dyDescent="0.25">
      <c r="B67" s="103" t="s">
        <v>100</v>
      </c>
      <c r="C67" s="121">
        <f>SUMIF(B6:B51,"FdueG",C1:C51)</f>
        <v>0</v>
      </c>
      <c r="D67" s="152">
        <f>SUMIF(B6:B51,"FdueG",U6:U51)</f>
        <v>0</v>
      </c>
    </row>
    <row r="68" spans="2:4" x14ac:dyDescent="0.25">
      <c r="B68" s="103" t="s">
        <v>118</v>
      </c>
      <c r="C68" s="121">
        <f>SUMIF(B6:B51,"Giussani",C6:C51)</f>
        <v>0</v>
      </c>
      <c r="D68" s="152">
        <f>SUMIF(B6:B51,"Giussani",U6:U51)</f>
        <v>0</v>
      </c>
    </row>
    <row r="69" spans="2:4" x14ac:dyDescent="0.25">
      <c r="B69" s="103" t="s">
        <v>93</v>
      </c>
      <c r="C69" s="121">
        <f>SUMIF(B6:B51,"ICAR",C6:C51)</f>
        <v>0</v>
      </c>
      <c r="D69" s="152">
        <f>SUMIF(B6:B51,"Icar",U6:U51)</f>
        <v>0</v>
      </c>
    </row>
    <row r="70" spans="2:4" x14ac:dyDescent="0.25">
      <c r="B70" s="103" t="s">
        <v>116</v>
      </c>
      <c r="C70" s="121">
        <f>SUMIF(B6:B51,"Mace",C6:C51)</f>
        <v>0</v>
      </c>
      <c r="D70" s="152">
        <f>SUMIF(B6:B51,"Mace",U6:U51)</f>
        <v>0</v>
      </c>
    </row>
    <row r="71" spans="2:4" x14ac:dyDescent="0.25">
      <c r="B71" s="103" t="s">
        <v>112</v>
      </c>
      <c r="C71" s="121">
        <f>SUMIF(B6:B51,"Marnate",C6:C51)</f>
        <v>0</v>
      </c>
      <c r="D71" s="152">
        <f>SUMIF(B6:B51,"Marnate",U6:U51)</f>
        <v>0</v>
      </c>
    </row>
    <row r="72" spans="2:4" x14ac:dyDescent="0.25">
      <c r="B72" s="103" t="s">
        <v>92</v>
      </c>
      <c r="C72" s="121">
        <f>SUMIF(B6:B51,"Meca",C6:C51)</f>
        <v>370</v>
      </c>
      <c r="D72" s="152">
        <f>SUMIF(B6:B51,"Meca",U6:U51)</f>
        <v>37</v>
      </c>
    </row>
    <row r="73" spans="2:4" x14ac:dyDescent="0.25">
      <c r="B73" s="103" t="s">
        <v>108</v>
      </c>
      <c r="C73" s="121">
        <f>SUMIF(B6:B51,"MF",C6:C51)</f>
        <v>0</v>
      </c>
      <c r="D73" s="152">
        <f>SUMIF(B6:B51,"MF",U6:U51)</f>
        <v>0</v>
      </c>
    </row>
    <row r="74" spans="2:4" x14ac:dyDescent="0.25">
      <c r="B74" s="103" t="s">
        <v>101</v>
      </c>
      <c r="C74" s="121">
        <f>SUMIF(B6:B51,"MP",C6:C51)</f>
        <v>0</v>
      </c>
      <c r="D74" s="152">
        <f>SUMIF(B6:B51,"MP",U6:U51)</f>
        <v>0</v>
      </c>
    </row>
    <row r="75" spans="2:4" x14ac:dyDescent="0.25">
      <c r="B75" s="103" t="s">
        <v>110</v>
      </c>
      <c r="C75" s="121">
        <f>SUMIF(B6:B51,"Neotrade",C6:C51)</f>
        <v>0</v>
      </c>
      <c r="D75" s="152">
        <f>SUMIF(B6:B51,"Neotrae",U6:U51)</f>
        <v>0</v>
      </c>
    </row>
    <row r="76" spans="2:4" x14ac:dyDescent="0.25">
      <c r="B76" s="103" t="s">
        <v>102</v>
      </c>
      <c r="C76" s="121">
        <f>SUMIF(B6:B51,"Newton",C6:C51)</f>
        <v>0</v>
      </c>
      <c r="D76" s="152">
        <f>SUMIF(B6:B51,"Newton",U6:U51)</f>
        <v>0</v>
      </c>
    </row>
    <row r="77" spans="2:4" x14ac:dyDescent="0.25">
      <c r="B77" s="103" t="s">
        <v>98</v>
      </c>
      <c r="C77" s="121">
        <f>SUMIF(B6:B51,"Piola",C6:C51)</f>
        <v>0</v>
      </c>
      <c r="D77" s="152">
        <f>SUMIF(B6:B51,"Piola",U6:U51)</f>
        <v>0</v>
      </c>
    </row>
    <row r="78" spans="2:4" x14ac:dyDescent="0.25">
      <c r="B78" s="103" t="s">
        <v>103</v>
      </c>
      <c r="C78" s="121">
        <f>SUMIF(B6:B51,"Piossasco",C6:C51)</f>
        <v>0</v>
      </c>
      <c r="D78" s="152">
        <f>SUMIF(B6:B51,"Piossasco",U6:U51)</f>
        <v>0</v>
      </c>
    </row>
    <row r="79" spans="2:4" x14ac:dyDescent="0.25">
      <c r="B79" s="103" t="s">
        <v>115</v>
      </c>
      <c r="C79" s="121">
        <f>SUMIF(B6:B51,"project",C6:C51)</f>
        <v>0</v>
      </c>
      <c r="D79" s="152">
        <f>SUMIF(B6:B51,"Project",U6:U51)</f>
        <v>0</v>
      </c>
    </row>
    <row r="80" spans="2:4" x14ac:dyDescent="0.25">
      <c r="B80" s="103" t="s">
        <v>109</v>
      </c>
      <c r="C80" s="121">
        <f>SUMIF(B6:B51,"Sirmet",C6:C51)</f>
        <v>0</v>
      </c>
      <c r="D80" s="152">
        <f>SUMIF(B6:B51,"Alge",U6:U51)</f>
        <v>0</v>
      </c>
    </row>
    <row r="81" spans="2:4" x14ac:dyDescent="0.25">
      <c r="B81" s="103" t="s">
        <v>107</v>
      </c>
      <c r="C81" s="121">
        <f>SUMIF(B6:B51,"Tecnomintra",C6:C51)</f>
        <v>0</v>
      </c>
      <c r="D81" s="152">
        <f>SUMIF(B6:B51,"Tecnomintra",U6:U51)</f>
        <v>0</v>
      </c>
    </row>
    <row r="82" spans="2:4" x14ac:dyDescent="0.25">
      <c r="B82" s="103" t="s">
        <v>90</v>
      </c>
      <c r="C82" s="121">
        <f>SUMIF(B6:B51,"Trafomec",C6:C51)</f>
        <v>0</v>
      </c>
      <c r="D82" s="152">
        <f>SUMIF(B6:B51,"Trafomec",U6:U51)</f>
        <v>0</v>
      </c>
    </row>
    <row r="83" spans="2:4" x14ac:dyDescent="0.25">
      <c r="B83" s="103" t="s">
        <v>119</v>
      </c>
      <c r="C83" s="121">
        <f>SUMIF(B6:B51,"Trafomec SA",C6:C51)</f>
        <v>0</v>
      </c>
      <c r="D83" s="152">
        <f>SUMIF(B6:B51,"Trafomec SA",U6:U51)</f>
        <v>0</v>
      </c>
    </row>
    <row r="84" spans="2:4" x14ac:dyDescent="0.25">
      <c r="B84" s="103" t="s">
        <v>96</v>
      </c>
      <c r="C84" s="121">
        <f>SUMIF(B6:B51,"Wattsud",C6:C51)</f>
        <v>0</v>
      </c>
      <c r="D84" s="152">
        <f>SUMIF(B6:B51,"Wattsud",U6:U51)</f>
        <v>0</v>
      </c>
    </row>
    <row r="85" spans="2:4" x14ac:dyDescent="0.25">
      <c r="B85" s="103" t="s">
        <v>117</v>
      </c>
      <c r="C85" s="121">
        <f>SUMIF(B6:B51,"Wetter",C6:C51)</f>
        <v>0</v>
      </c>
      <c r="D85" s="152">
        <f>SUMIF(B6:B51,"Wetter",U6:U51)</f>
        <v>0</v>
      </c>
    </row>
    <row r="86" spans="2:4" x14ac:dyDescent="0.25">
      <c r="B86" s="153" t="s">
        <v>99</v>
      </c>
      <c r="C86" s="154">
        <f>SUMIF(B6:B51,"Zucchiatti",C6:C51)</f>
        <v>0</v>
      </c>
      <c r="D86" s="155">
        <f>SUMIF(B6:B51,"Zucchiatti",U6:U51)</f>
        <v>0</v>
      </c>
    </row>
    <row r="87" spans="2:4" ht="15.75" thickBot="1" x14ac:dyDescent="0.3">
      <c r="B87" s="133"/>
      <c r="C87" s="156">
        <v>0</v>
      </c>
      <c r="D87" s="157"/>
    </row>
    <row r="88" spans="2:4" ht="15.75" thickBot="1" x14ac:dyDescent="0.3">
      <c r="C88" s="96">
        <f>SUM(C58:C87)</f>
        <v>370</v>
      </c>
      <c r="D88" s="97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5" t="s">
        <v>124</v>
      </c>
      <c r="D2" s="53"/>
      <c r="E2" s="53"/>
      <c r="F2" s="53"/>
      <c r="G2" s="53"/>
      <c r="H2" s="53"/>
      <c r="I2" s="53"/>
    </row>
    <row r="3" spans="1:26" ht="15.75" thickBot="1" x14ac:dyDescent="0.3"/>
    <row r="4" spans="1:26" ht="15.75" thickBot="1" x14ac:dyDescent="0.3">
      <c r="A4" s="104"/>
      <c r="B4" s="104"/>
      <c r="C4" s="104"/>
      <c r="D4" s="105"/>
      <c r="E4" s="24" t="s">
        <v>53</v>
      </c>
      <c r="F4" s="106"/>
      <c r="G4" s="104"/>
      <c r="H4" s="104"/>
      <c r="I4" s="104"/>
      <c r="J4" s="105"/>
      <c r="K4" s="107"/>
      <c r="L4" s="107"/>
      <c r="M4" s="107"/>
      <c r="N4" s="107"/>
      <c r="O4" s="107"/>
      <c r="P4" s="107"/>
      <c r="Q4" s="24" t="s">
        <v>49</v>
      </c>
      <c r="R4" s="107"/>
      <c r="S4" s="107"/>
      <c r="T4" s="106"/>
      <c r="U4" s="104"/>
      <c r="V4" s="104"/>
      <c r="W4" s="104"/>
      <c r="X4" s="104"/>
      <c r="Y4" s="104"/>
    </row>
    <row r="5" spans="1:26" ht="24.75" thickBot="1" x14ac:dyDescent="0.3">
      <c r="A5" s="17" t="s">
        <v>36</v>
      </c>
      <c r="B5" s="18" t="s">
        <v>37</v>
      </c>
      <c r="C5" s="18" t="s">
        <v>38</v>
      </c>
      <c r="D5" s="19" t="s">
        <v>39</v>
      </c>
      <c r="E5" s="20" t="s">
        <v>51</v>
      </c>
      <c r="F5" s="21" t="s">
        <v>52</v>
      </c>
      <c r="G5" s="18" t="s">
        <v>40</v>
      </c>
      <c r="H5" s="18" t="s">
        <v>41</v>
      </c>
      <c r="I5" s="18" t="s">
        <v>42</v>
      </c>
      <c r="J5" s="86" t="s">
        <v>4</v>
      </c>
      <c r="K5" s="83" t="s">
        <v>5</v>
      </c>
      <c r="L5" s="83" t="s">
        <v>6</v>
      </c>
      <c r="M5" s="19" t="s">
        <v>43</v>
      </c>
      <c r="N5" s="83" t="s">
        <v>4</v>
      </c>
      <c r="O5" s="83" t="s">
        <v>5</v>
      </c>
      <c r="P5" s="83" t="s">
        <v>6</v>
      </c>
      <c r="Q5" s="20" t="s">
        <v>44</v>
      </c>
      <c r="R5" s="20" t="s">
        <v>88</v>
      </c>
      <c r="S5" s="87" t="s">
        <v>89</v>
      </c>
      <c r="T5" s="21" t="s">
        <v>45</v>
      </c>
      <c r="U5" s="18" t="s">
        <v>48</v>
      </c>
      <c r="V5" s="23" t="s">
        <v>46</v>
      </c>
      <c r="W5" s="99" t="s">
        <v>50</v>
      </c>
      <c r="X5" s="22"/>
      <c r="Y5" s="22" t="s">
        <v>47</v>
      </c>
      <c r="Z5" s="23" t="s">
        <v>120</v>
      </c>
    </row>
    <row r="6" spans="1:26" ht="15.75" thickBot="1" x14ac:dyDescent="0.3">
      <c r="A6" s="108"/>
      <c r="B6" s="109"/>
      <c r="C6" s="110"/>
      <c r="D6" s="111" t="s">
        <v>4</v>
      </c>
      <c r="E6" s="112"/>
      <c r="F6" s="113"/>
      <c r="G6" s="88" t="s">
        <v>13</v>
      </c>
      <c r="H6" s="109" t="s">
        <v>7</v>
      </c>
      <c r="I6" s="114">
        <v>0.1</v>
      </c>
      <c r="J6" s="115">
        <f ca="1">IF(ISERROR(OFFSET(Tabella!$A$1,MATCH(G6,Tabella!$A:$A,0)-1,MATCH(I6,Tabella!$A$1:$AC$1,0)-1)=TRUE),0,+OFFSET(Tabella!$A$1,MATCH(G6,Tabella!$A:$A,0)-1,MATCH(I6,Tabella!$A$1:$AC$1,0)-1))</f>
        <v>1.6</v>
      </c>
      <c r="K6" s="85">
        <f ca="1">IF(ISERROR(OFFSET(Ottone!$A$1,MATCH(G6,Ottone!$A:$A,0)-1,MATCH(I6,Ottone!$A$1:$Z$1,0)-1)=TRUE),0,OFFSET(Ottone!$A$1,MATCH(G6,Ottone!$A:$A,0)-1,MATCH(I6,Ottone!$A$1:$Z$1,0)-1))*IF(D6="Ottone",1,0)</f>
        <v>0</v>
      </c>
      <c r="L6" s="85">
        <f ca="1">IF(ISERROR(OFFSET(Rame!$A$1,MATCH(G6,Rame!$A:$A,0)-1,MATCH(I6,Rame!$A$1:$AA$1,0)-1)=TRUE),0,OFFSET(Rame!$A$1,MATCH(G6,Rame!$A:$A,0)-1,MATCH(I6,Rame!$A$1:$AA$1,0)-1))*IF(D6="Rame",1,0)</f>
        <v>0</v>
      </c>
      <c r="M6" s="115">
        <f t="shared" ref="M6:M51" ca="1" si="0">SUM(J6:L6)</f>
        <v>1.6</v>
      </c>
      <c r="N6" s="115">
        <f ca="1">+IF(ISERROR(OFFSET(Tabella!$G$1,MATCH(G6,Tabella!$G:$G,0)-1,MATCH(H6,Tabella!$G$1:$FG$1,0)-1)=TRUE),0,OFFSET(Tabella!$G$1,MATCH(G6,Tabella!$G:$G,0)-1,MATCH(H6,Tabella!$G$1:$AB$1,0)-1))</f>
        <v>0.3</v>
      </c>
      <c r="O6" s="115">
        <f ca="1">IF(ISERROR(OFFSET(Ottone!$F$1,MATCH(G6,Ottone!$A:$A,0)-1,MATCH(H6,Ottone!$F$1:$FF$1,0)-1)=TRUE),0,OFFSET(Ottone!$F$1,MATCH(G6,Ottone!$A:$A,0)-1,MATCH(H6,Ottone!$F$1:$FF$1,0)-1))*IF(D6="Ottone",1,0)</f>
        <v>0</v>
      </c>
      <c r="P6" s="115">
        <f ca="1">IF(ISERROR(OFFSET(Rame!$F$1,MATCH(G6,Rame!$F:$F,0)-1,MATCH(H6,Rame!$F$1:$FF$1,0)-1)=TRUE),0,OFFSET(Rame!$F$1,MATCH(G6,Rame!$F:$F,0)-1,MATCH(H6,Rame!$F$1:$FF$1,0)-1))*IF(D6="Rame",1,0)</f>
        <v>0</v>
      </c>
      <c r="Q6" s="115">
        <f t="shared" ref="Q6:Q51" ca="1" si="1">SUM(N6:P6)</f>
        <v>0.3</v>
      </c>
      <c r="R6" s="115">
        <f t="shared" ref="R6:R15" si="2">(IF(C6&gt;500,0,0.1)*IF(D6="Alluminio",0,1))*IF(C6=0,0,1)</f>
        <v>0</v>
      </c>
      <c r="S6" s="116"/>
      <c r="T6" s="117">
        <f t="shared" ref="T6:T51" ca="1" si="3">+M6+Q6+R6+S6</f>
        <v>1.9000000000000001</v>
      </c>
      <c r="U6" s="114">
        <f t="shared" ref="U6:U51" si="4">+I6*C6</f>
        <v>0</v>
      </c>
      <c r="V6" s="118"/>
      <c r="W6" s="119">
        <f t="shared" ref="W6:W51" ca="1" si="5">+V6-T6-E6</f>
        <v>-1.9000000000000001</v>
      </c>
      <c r="X6" s="114">
        <f t="shared" ref="X6:X51" ca="1" si="6">IF(W6&gt;0,W6,0)</f>
        <v>0</v>
      </c>
      <c r="Y6" s="120"/>
      <c r="Z6" s="102"/>
    </row>
    <row r="7" spans="1:26" ht="15.75" thickBot="1" x14ac:dyDescent="0.3">
      <c r="A7" s="103"/>
      <c r="B7" s="88"/>
      <c r="C7" s="121"/>
      <c r="D7" s="89"/>
      <c r="E7" s="122"/>
      <c r="F7" s="123"/>
      <c r="G7" s="88"/>
      <c r="H7" s="124"/>
      <c r="I7" s="125"/>
      <c r="J7" s="115">
        <f ca="1">IF(ISERROR(OFFSET(Tabella!$A$1,MATCH(G7,Tabella!$A:$A,0)-1,MATCH(I7,Tabella!$A$1:$AC$1,0)-1)=TRUE),0,+OFFSET(Tabella!$A$1,MATCH(G7,Tabella!$A:$A,0)-1,MATCH(I7,Tabella!$A$1:$AC$1,0)-1))</f>
        <v>0</v>
      </c>
      <c r="K7" s="85">
        <f ca="1">IF(ISERROR(OFFSET(Ottone!$A$1,MATCH(G7,Ottone!$A:$A,0)-1,MATCH(I7,Ottone!$A$1:$Z$1,0)-1)=TRUE),0,OFFSET(Ottone!$A$1,MATCH(G7,Ottone!$A:$A,0)-1,MATCH(I7,Ottone!$A$1:$Z$1,0)-1))*IF(D7="Ottone",1,0)</f>
        <v>0</v>
      </c>
      <c r="L7" s="85">
        <f ca="1">IF(ISERROR(OFFSET(Rame!$A$1,MATCH(G7,Rame!$A:$A,0)-1,MATCH(I7,Rame!$A$1:$AA$1,0)-1)=TRUE),0,OFFSET(Rame!$A$1,MATCH(G7,Rame!$A:$A,0)-1,MATCH(I7,Rame!$A$1:$AA$1,0)-1))*IF(D7="Rame",1,0)</f>
        <v>0</v>
      </c>
      <c r="M7" s="126">
        <f t="shared" ca="1" si="0"/>
        <v>0</v>
      </c>
      <c r="N7" s="126">
        <f ca="1">+IF(ISERROR(OFFSET(Tabella!$G$1,MATCH(G7,Tabella!$G:$G,0)-1,MATCH(H7,Tabella!$G$1:$FG$1,0)-1)=TRUE),0,OFFSET(Tabella!$G$1,MATCH(G7,Tabella!$G:$G,0)-1,MATCH(H7,Tabella!$G$1:$AB$1,0)-1))</f>
        <v>0</v>
      </c>
      <c r="O7" s="126">
        <f ca="1">IF(ISERROR(OFFSET(Ottone!$F$1,MATCH(G7,Ottone!$A:$A,0)-1,MATCH(H7,Ottone!$F$1:$FF$1,0)-1)=TRUE),0,OFFSET(Ottone!$F$1,MATCH(G7,Ottone!$A:$A,0)-1,MATCH(H7,Ottone!$F$1:$FF$1,0)-1))*IF(D7="Ottone",1,0)</f>
        <v>0</v>
      </c>
      <c r="P7" s="126">
        <f ca="1">IF(ISERROR(OFFSET(Rame!$F$1,MATCH(G7,Rame!$F:$F,0)-1,MATCH(H7,Rame!$F$1:$FF$1,0)-1)=TRUE),0,OFFSET(Rame!$F$1,MATCH(G7,Rame!$F:$F,0)-1,MATCH(H7,Rame!$F$1:$FF$1,0)-1))*IF(D7="Rame",1,0)</f>
        <v>0</v>
      </c>
      <c r="Q7" s="126">
        <f t="shared" ca="1" si="1"/>
        <v>0</v>
      </c>
      <c r="R7" s="126">
        <f t="shared" si="2"/>
        <v>0</v>
      </c>
      <c r="S7" s="127"/>
      <c r="T7" s="128">
        <f t="shared" ca="1" si="3"/>
        <v>0</v>
      </c>
      <c r="U7" s="125">
        <f t="shared" si="4"/>
        <v>0</v>
      </c>
      <c r="V7" s="129"/>
      <c r="W7" s="130">
        <f t="shared" ca="1" si="5"/>
        <v>0</v>
      </c>
      <c r="X7" s="125">
        <f t="shared" ca="1" si="6"/>
        <v>0</v>
      </c>
      <c r="Y7" s="131"/>
      <c r="Z7" s="100"/>
    </row>
    <row r="8" spans="1:26" ht="15.75" thickBot="1" x14ac:dyDescent="0.3">
      <c r="A8" s="103"/>
      <c r="B8" s="88"/>
      <c r="C8" s="121"/>
      <c r="D8" s="89"/>
      <c r="E8" s="122"/>
      <c r="F8" s="123"/>
      <c r="G8" s="88"/>
      <c r="H8" s="88"/>
      <c r="I8" s="125"/>
      <c r="J8" s="115">
        <f ca="1">IF(ISERROR(OFFSET(Tabella!$A$1,MATCH(G8,Tabella!$A:$A,0)-1,MATCH(I8,Tabella!$A$1:$AC$1,0)-1)=TRUE),0,+OFFSET(Tabella!$A$1,MATCH(G8,Tabella!$A:$A,0)-1,MATCH(I8,Tabella!$A$1:$AC$1,0)-1))</f>
        <v>0</v>
      </c>
      <c r="K8" s="85">
        <f ca="1">IF(ISERROR(OFFSET(Ottone!$A$1,MATCH(G8,Ottone!$A:$A,0)-1,MATCH(I8,Ottone!$A$1:$Z$1,0)-1)=TRUE),0,OFFSET(Ottone!$A$1,MATCH(G8,Ottone!$A:$A,0)-1,MATCH(I8,Ottone!$A$1:$Z$1,0)-1))*IF(D8="Ottone",1,0)</f>
        <v>0</v>
      </c>
      <c r="L8" s="85">
        <f ca="1">IF(ISERROR(OFFSET(Rame!$A$1,MATCH(G8,Rame!$A:$A,0)-1,MATCH(I8,Rame!$A$1:$AA$1,0)-1)=TRUE),0,OFFSET(Rame!$A$1,MATCH(G8,Rame!$A:$A,0)-1,MATCH(I8,Rame!$A$1:$AA$1,0)-1))*IF(D8="Rame",1,0)</f>
        <v>0</v>
      </c>
      <c r="M8" s="126">
        <f t="shared" ca="1" si="0"/>
        <v>0</v>
      </c>
      <c r="N8" s="126">
        <f ca="1">+IF(ISERROR(OFFSET(Tabella!$G$1,MATCH(G8,Tabella!$G:$G,0)-1,MATCH(H8,Tabella!$G$1:$FG$1,0)-1)=TRUE),0,OFFSET(Tabella!$G$1,MATCH(G8,Tabella!$G:$G,0)-1,MATCH(H8,Tabella!$G$1:$AB$1,0)-1))</f>
        <v>0</v>
      </c>
      <c r="O8" s="126">
        <f ca="1">IF(ISERROR(OFFSET(Ottone!$F$1,MATCH(G8,Ottone!$A:$A,0)-1,MATCH(H8,Ottone!$F$1:$FF$1,0)-1)=TRUE),0,OFFSET(Ottone!$F$1,MATCH(G8,Ottone!$A:$A,0)-1,MATCH(H8,Ottone!$F$1:$FF$1,0)-1))*IF(D8="Ottone",1,0)</f>
        <v>0</v>
      </c>
      <c r="P8" s="126">
        <f ca="1">IF(ISERROR(OFFSET(Rame!$F$1,MATCH(G8,Rame!$F:$F,0)-1,MATCH(H8,Rame!$F$1:$FF$1,0)-1)=TRUE),0,OFFSET(Rame!$F$1,MATCH(G8,Rame!$F:$F,0)-1,MATCH(H8,Rame!$F$1:$FF$1,0)-1))*IF(D8="Rame",1,0)</f>
        <v>0</v>
      </c>
      <c r="Q8" s="126">
        <f t="shared" ca="1" si="1"/>
        <v>0</v>
      </c>
      <c r="R8" s="126">
        <f t="shared" si="2"/>
        <v>0</v>
      </c>
      <c r="S8" s="127"/>
      <c r="T8" s="128">
        <f t="shared" ca="1" si="3"/>
        <v>0</v>
      </c>
      <c r="U8" s="125">
        <f t="shared" si="4"/>
        <v>0</v>
      </c>
      <c r="V8" s="129"/>
      <c r="W8" s="130">
        <f t="shared" ca="1" si="5"/>
        <v>0</v>
      </c>
      <c r="X8" s="125">
        <f t="shared" ca="1" si="6"/>
        <v>0</v>
      </c>
      <c r="Y8" s="131"/>
      <c r="Z8" s="100"/>
    </row>
    <row r="9" spans="1:26" ht="15.75" thickBot="1" x14ac:dyDescent="0.3">
      <c r="A9" s="103"/>
      <c r="B9" s="88"/>
      <c r="C9" s="121"/>
      <c r="D9" s="89"/>
      <c r="E9" s="122"/>
      <c r="F9" s="123"/>
      <c r="G9" s="88"/>
      <c r="H9" s="88"/>
      <c r="I9" s="125"/>
      <c r="J9" s="115">
        <f ca="1">IF(ISERROR(OFFSET(Tabella!$A$1,MATCH(G9,Tabella!$A:$A,0)-1,MATCH(I9,Tabella!$A$1:$AC$1,0)-1)=TRUE),0,+OFFSET(Tabella!$A$1,MATCH(G9,Tabella!$A:$A,0)-1,MATCH(I9,Tabella!$A$1:$AC$1,0)-1))</f>
        <v>0</v>
      </c>
      <c r="K9" s="85">
        <f ca="1">IF(ISERROR(OFFSET(Ottone!$A$1,MATCH(G9,Ottone!$A:$A,0)-1,MATCH(I9,Ottone!$A$1:$Z$1,0)-1)=TRUE),0,OFFSET(Ottone!$A$1,MATCH(G9,Ottone!$A:$A,0)-1,MATCH(I9,Ottone!$A$1:$Z$1,0)-1))*IF(D9="Ottone",1,0)</f>
        <v>0</v>
      </c>
      <c r="L9" s="85">
        <f ca="1">IF(ISERROR(OFFSET(Rame!$A$1,MATCH(G9,Rame!$A:$A,0)-1,MATCH(I9,Rame!$A$1:$AA$1,0)-1)=TRUE),0,OFFSET(Rame!$A$1,MATCH(G9,Rame!$A:$A,0)-1,MATCH(I9,Rame!$A$1:$AA$1,0)-1))*IF(D9="Rame",1,0)</f>
        <v>0</v>
      </c>
      <c r="M9" s="126">
        <f t="shared" ca="1" si="0"/>
        <v>0</v>
      </c>
      <c r="N9" s="126">
        <f ca="1">+IF(ISERROR(OFFSET(Tabella!$G$1,MATCH(G9,Tabella!$G:$G,0)-1,MATCH(H9,Tabella!$G$1:$FG$1,0)-1)=TRUE),0,OFFSET(Tabella!$G$1,MATCH(G9,Tabella!$G:$G,0)-1,MATCH(H9,Tabella!$G$1:$AB$1,0)-1))</f>
        <v>0</v>
      </c>
      <c r="O9" s="126">
        <f ca="1">IF(ISERROR(OFFSET(Ottone!$F$1,MATCH(G9,Ottone!$A:$A,0)-1,MATCH(H9,Ottone!$F$1:$FF$1,0)-1)=TRUE),0,OFFSET(Ottone!$F$1,MATCH(G9,Ottone!$A:$A,0)-1,MATCH(H9,Ottone!$F$1:$FF$1,0)-1))*IF(D9="Ottone",1,0)</f>
        <v>0</v>
      </c>
      <c r="P9" s="126">
        <f ca="1">IF(ISERROR(OFFSET(Rame!$F$1,MATCH(G9,Rame!$F:$F,0)-1,MATCH(H9,Rame!$F$1:$FF$1,0)-1)=TRUE),0,OFFSET(Rame!$F$1,MATCH(G9,Rame!$F:$F,0)-1,MATCH(H9,Rame!$F$1:$FF$1,0)-1))*IF(D9="Rame",1,0)</f>
        <v>0</v>
      </c>
      <c r="Q9" s="126">
        <f t="shared" ca="1" si="1"/>
        <v>0</v>
      </c>
      <c r="R9" s="126">
        <f t="shared" si="2"/>
        <v>0</v>
      </c>
      <c r="S9" s="127"/>
      <c r="T9" s="128">
        <f t="shared" ca="1" si="3"/>
        <v>0</v>
      </c>
      <c r="U9" s="125">
        <f t="shared" si="4"/>
        <v>0</v>
      </c>
      <c r="V9" s="129"/>
      <c r="W9" s="130">
        <f t="shared" ca="1" si="5"/>
        <v>0</v>
      </c>
      <c r="X9" s="125">
        <f t="shared" ca="1" si="6"/>
        <v>0</v>
      </c>
      <c r="Y9" s="131"/>
      <c r="Z9" s="100"/>
    </row>
    <row r="10" spans="1:26" ht="15.75" thickBot="1" x14ac:dyDescent="0.3">
      <c r="A10" s="103"/>
      <c r="B10" s="88"/>
      <c r="C10" s="121"/>
      <c r="D10" s="89"/>
      <c r="E10" s="122"/>
      <c r="F10" s="123"/>
      <c r="G10" s="88"/>
      <c r="H10" s="88"/>
      <c r="I10" s="125"/>
      <c r="J10" s="115">
        <f ca="1">IF(ISERROR(OFFSET(Tabella!$A$1,MATCH(G10,Tabella!$A:$A,0)-1,MATCH(I10,Tabella!$A$1:$AC$1,0)-1)=TRUE),0,+OFFSET(Tabella!$A$1,MATCH(G10,Tabella!$A:$A,0)-1,MATCH(I10,Tabella!$A$1:$AC$1,0)-1))</f>
        <v>0</v>
      </c>
      <c r="K10" s="85">
        <f ca="1">IF(ISERROR(OFFSET(Ottone!$A$1,MATCH(G10,Ottone!$A:$A,0)-1,MATCH(I10,Ottone!$A$1:$Z$1,0)-1)=TRUE),0,OFFSET(Ottone!$A$1,MATCH(G10,Ottone!$A:$A,0)-1,MATCH(I10,Ottone!$A$1:$Z$1,0)-1))*IF(D10="Ottone",1,0)</f>
        <v>0</v>
      </c>
      <c r="L10" s="85">
        <f ca="1">IF(ISERROR(OFFSET(Rame!$A$1,MATCH(G10,Rame!$A:$A,0)-1,MATCH(I10,Rame!$A$1:$AA$1,0)-1)=TRUE),0,OFFSET(Rame!$A$1,MATCH(G10,Rame!$A:$A,0)-1,MATCH(I10,Rame!$A$1:$AA$1,0)-1))*IF(D10="Rame",1,0)</f>
        <v>0</v>
      </c>
      <c r="M10" s="126">
        <f t="shared" ca="1" si="0"/>
        <v>0</v>
      </c>
      <c r="N10" s="126">
        <f ca="1">+IF(ISERROR(OFFSET(Tabella!$G$1,MATCH(G10,Tabella!$G:$G,0)-1,MATCH(H10,Tabella!$G$1:$FG$1,0)-1)=TRUE),0,OFFSET(Tabella!$G$1,MATCH(G10,Tabella!$G:$G,0)-1,MATCH(H10,Tabella!$G$1:$AB$1,0)-1))</f>
        <v>0</v>
      </c>
      <c r="O10" s="126">
        <f ca="1">IF(ISERROR(OFFSET(Ottone!$F$1,MATCH(G10,Ottone!$A:$A,0)-1,MATCH(H10,Ottone!$F$1:$FF$1,0)-1)=TRUE),0,OFFSET(Ottone!$F$1,MATCH(G10,Ottone!$A:$A,0)-1,MATCH(H10,Ottone!$F$1:$FF$1,0)-1))*IF(D10="Ottone",1,0)</f>
        <v>0</v>
      </c>
      <c r="P10" s="126">
        <f ca="1">IF(ISERROR(OFFSET(Rame!$F$1,MATCH(G10,Rame!$F:$F,0)-1,MATCH(H10,Rame!$F$1:$FF$1,0)-1)=TRUE),0,OFFSET(Rame!$F$1,MATCH(G10,Rame!$F:$F,0)-1,MATCH(H10,Rame!$F$1:$FF$1,0)-1))*IF(D10="Rame",1,0)</f>
        <v>0</v>
      </c>
      <c r="Q10" s="126">
        <f t="shared" ca="1" si="1"/>
        <v>0</v>
      </c>
      <c r="R10" s="126">
        <f t="shared" si="2"/>
        <v>0</v>
      </c>
      <c r="S10" s="127"/>
      <c r="T10" s="128">
        <f t="shared" ca="1" si="3"/>
        <v>0</v>
      </c>
      <c r="U10" s="125">
        <f t="shared" si="4"/>
        <v>0</v>
      </c>
      <c r="V10" s="129"/>
      <c r="W10" s="130">
        <f t="shared" ca="1" si="5"/>
        <v>0</v>
      </c>
      <c r="X10" s="125">
        <f t="shared" ca="1" si="6"/>
        <v>0</v>
      </c>
      <c r="Y10" s="131"/>
      <c r="Z10" s="100"/>
    </row>
    <row r="11" spans="1:26" ht="15.75" thickBot="1" x14ac:dyDescent="0.3">
      <c r="A11" s="104"/>
      <c r="B11" s="103"/>
      <c r="C11" s="121"/>
      <c r="D11" s="89"/>
      <c r="E11" s="122"/>
      <c r="F11" s="123"/>
      <c r="G11" s="88"/>
      <c r="H11" s="88"/>
      <c r="I11" s="125"/>
      <c r="J11" s="115">
        <f ca="1">IF(ISERROR(OFFSET(Tabella!$A$1,MATCH(G11,Tabella!$A:$A,0)-1,MATCH(I11,Tabella!$A$1:$AC$1,0)-1)=TRUE),0,+OFFSET(Tabella!$A$1,MATCH(G11,Tabella!$A:$A,0)-1,MATCH(I11,Tabella!$A$1:$AC$1,0)-1))</f>
        <v>0</v>
      </c>
      <c r="K11" s="85">
        <f ca="1">IF(ISERROR(OFFSET(Ottone!$A$1,MATCH(G11,Ottone!$A:$A,0)-1,MATCH(I11,Ottone!$A$1:$Z$1,0)-1)=TRUE),0,OFFSET(Ottone!$A$1,MATCH(G11,Ottone!$A:$A,0)-1,MATCH(I11,Ottone!$A$1:$Z$1,0)-1))*IF(D11="Ottone",1,0)</f>
        <v>0</v>
      </c>
      <c r="L11" s="85">
        <f ca="1">IF(ISERROR(OFFSET(Rame!$A$1,MATCH(G11,Rame!$A:$A,0)-1,MATCH(I11,Rame!$A$1:$AA$1,0)-1)=TRUE),0,OFFSET(Rame!$A$1,MATCH(G11,Rame!$A:$A,0)-1,MATCH(I11,Rame!$A$1:$AA$1,0)-1))*IF(D11="Rame",1,0)</f>
        <v>0</v>
      </c>
      <c r="M11" s="126">
        <f t="shared" ca="1" si="0"/>
        <v>0</v>
      </c>
      <c r="N11" s="126">
        <f ca="1">+IF(ISERROR(OFFSET(Tabella!$G$1,MATCH(G11,Tabella!$G:$G,0)-1,MATCH(H11,Tabella!$G$1:$FG$1,0)-1)=TRUE),0,OFFSET(Tabella!$G$1,MATCH(G11,Tabella!$G:$G,0)-1,MATCH(H11,Tabella!$G$1:$AB$1,0)-1))</f>
        <v>0</v>
      </c>
      <c r="O11" s="126">
        <f ca="1">IF(ISERROR(OFFSET(Ottone!$F$1,MATCH(G11,Ottone!$A:$A,0)-1,MATCH(H11,Ottone!$F$1:$FF$1,0)-1)=TRUE),0,OFFSET(Ottone!$F$1,MATCH(G11,Ottone!$A:$A,0)-1,MATCH(H11,Ottone!$F$1:$FF$1,0)-1))*IF(D11="Ottone",1,0)</f>
        <v>0</v>
      </c>
      <c r="P11" s="126">
        <f ca="1">IF(ISERROR(OFFSET(Rame!$F$1,MATCH(G11,Rame!$F:$F,0)-1,MATCH(H11,Rame!$F$1:$FF$1,0)-1)=TRUE),0,OFFSET(Rame!$F$1,MATCH(G11,Rame!$F:$F,0)-1,MATCH(H11,Rame!$F$1:$FF$1,0)-1))*IF(D11="Rame",1,0)</f>
        <v>0</v>
      </c>
      <c r="Q11" s="126">
        <f t="shared" ca="1" si="1"/>
        <v>0</v>
      </c>
      <c r="R11" s="126">
        <f t="shared" si="2"/>
        <v>0</v>
      </c>
      <c r="S11" s="127"/>
      <c r="T11" s="128">
        <f t="shared" ca="1" si="3"/>
        <v>0</v>
      </c>
      <c r="U11" s="125">
        <f t="shared" si="4"/>
        <v>0</v>
      </c>
      <c r="V11" s="129"/>
      <c r="W11" s="130">
        <f t="shared" ca="1" si="5"/>
        <v>0</v>
      </c>
      <c r="X11" s="125">
        <f t="shared" ca="1" si="6"/>
        <v>0</v>
      </c>
      <c r="Y11" s="131"/>
      <c r="Z11" s="100"/>
    </row>
    <row r="12" spans="1:26" ht="15.75" thickBot="1" x14ac:dyDescent="0.3">
      <c r="A12" s="103"/>
      <c r="B12" s="88"/>
      <c r="C12" s="121"/>
      <c r="D12" s="89"/>
      <c r="E12" s="122"/>
      <c r="F12" s="123"/>
      <c r="G12" s="88"/>
      <c r="H12" s="88"/>
      <c r="I12" s="132"/>
      <c r="J12" s="115">
        <f ca="1">IF(ISERROR(OFFSET(Tabella!$A$1,MATCH(G12,Tabella!$A:$A,0)-1,MATCH(I12,Tabella!$A$1:$AC$1,0)-1)=TRUE),0,+OFFSET(Tabella!$A$1,MATCH(G12,Tabella!$A:$A,0)-1,MATCH(I12,Tabella!$A$1:$AC$1,0)-1))</f>
        <v>0</v>
      </c>
      <c r="K12" s="85">
        <f ca="1">IF(ISERROR(OFFSET(Ottone!$A$1,MATCH(G12,Ottone!$A:$A,0)-1,MATCH(I12,Ottone!$A$1:$Z$1,0)-1)=TRUE),0,OFFSET(Ottone!$A$1,MATCH(G12,Ottone!$A:$A,0)-1,MATCH(I12,Ottone!$A$1:$Z$1,0)-1))*IF(D12="Ottone",1,0)</f>
        <v>0</v>
      </c>
      <c r="L12" s="85">
        <f ca="1">IF(ISERROR(OFFSET(Rame!$A$1,MATCH(G12,Rame!$A:$A,0)-1,MATCH(I12,Rame!$A$1:$AA$1,0)-1)=TRUE),0,OFFSET(Rame!$A$1,MATCH(G12,Rame!$A:$A,0)-1,MATCH(I12,Rame!$A$1:$AA$1,0)-1))*IF(D12="Rame",1,0)</f>
        <v>0</v>
      </c>
      <c r="M12" s="126">
        <f t="shared" ca="1" si="0"/>
        <v>0</v>
      </c>
      <c r="N12" s="126">
        <f ca="1">+IF(ISERROR(OFFSET(Tabella!$G$1,MATCH(G12,Tabella!$G:$G,0)-1,MATCH(H12,Tabella!$G$1:$FG$1,0)-1)=TRUE),0,OFFSET(Tabella!$G$1,MATCH(G12,Tabella!$G:$G,0)-1,MATCH(H12,Tabella!$G$1:$AB$1,0)-1))</f>
        <v>0</v>
      </c>
      <c r="O12" s="126">
        <f ca="1">IF(ISERROR(OFFSET(Ottone!$F$1,MATCH(G12,Ottone!$A:$A,0)-1,MATCH(H12,Ottone!$F$1:$FF$1,0)-1)=TRUE),0,OFFSET(Ottone!$F$1,MATCH(G12,Ottone!$A:$A,0)-1,MATCH(H12,Ottone!$F$1:$FF$1,0)-1))*IF(D12="Ottone",1,0)</f>
        <v>0</v>
      </c>
      <c r="P12" s="126">
        <f ca="1">IF(ISERROR(OFFSET(Rame!$F$1,MATCH(G12,Rame!$F:$F,0)-1,MATCH(H12,Rame!$F$1:$FF$1,0)-1)=TRUE),0,OFFSET(Rame!$F$1,MATCH(G12,Rame!$F:$F,0)-1,MATCH(H12,Rame!$F$1:$FF$1,0)-1))*IF(D12="Rame",1,0)</f>
        <v>0</v>
      </c>
      <c r="Q12" s="126">
        <f t="shared" ca="1" si="1"/>
        <v>0</v>
      </c>
      <c r="R12" s="126">
        <f t="shared" si="2"/>
        <v>0</v>
      </c>
      <c r="S12" s="127"/>
      <c r="T12" s="128">
        <f t="shared" ca="1" si="3"/>
        <v>0</v>
      </c>
      <c r="U12" s="125">
        <f t="shared" si="4"/>
        <v>0</v>
      </c>
      <c r="V12" s="129"/>
      <c r="W12" s="130">
        <f t="shared" ca="1" si="5"/>
        <v>0</v>
      </c>
      <c r="X12" s="125">
        <f t="shared" ca="1" si="6"/>
        <v>0</v>
      </c>
      <c r="Y12" s="131"/>
      <c r="Z12" s="100"/>
    </row>
    <row r="13" spans="1:26" ht="15.75" thickBot="1" x14ac:dyDescent="0.3">
      <c r="A13" s="103"/>
      <c r="B13" s="88"/>
      <c r="C13" s="121"/>
      <c r="D13" s="89"/>
      <c r="E13" s="122"/>
      <c r="F13" s="123"/>
      <c r="G13" s="88"/>
      <c r="H13" s="88"/>
      <c r="I13" s="125"/>
      <c r="J13" s="115">
        <f ca="1">IF(ISERROR(OFFSET(Tabella!$A$1,MATCH(G13,Tabella!$A:$A,0)-1,MATCH(I13,Tabella!$A$1:$AC$1,0)-1)=TRUE),0,+OFFSET(Tabella!$A$1,MATCH(G13,Tabella!$A:$A,0)-1,MATCH(I13,Tabella!$A$1:$AC$1,0)-1))</f>
        <v>0</v>
      </c>
      <c r="K13" s="85">
        <f ca="1">IF(ISERROR(OFFSET(Ottone!$A$1,MATCH(G13,Ottone!$A:$A,0)-1,MATCH(I13,Ottone!$A$1:$Z$1,0)-1)=TRUE),0,OFFSET(Ottone!$A$1,MATCH(G13,Ottone!$A:$A,0)-1,MATCH(I13,Ottone!$A$1:$Z$1,0)-1))*IF(D13="Ottone",1,0)</f>
        <v>0</v>
      </c>
      <c r="L13" s="85">
        <f ca="1">IF(ISERROR(OFFSET(Rame!$A$1,MATCH(G13,Rame!$A:$A,0)-1,MATCH(I13,Rame!$A$1:$AA$1,0)-1)=TRUE),0,OFFSET(Rame!$A$1,MATCH(G13,Rame!$A:$A,0)-1,MATCH(I13,Rame!$A$1:$AA$1,0)-1))*IF(D13="Rame",1,0)</f>
        <v>0</v>
      </c>
      <c r="M13" s="126">
        <f t="shared" ca="1" si="0"/>
        <v>0</v>
      </c>
      <c r="N13" s="126">
        <f ca="1">+IF(ISERROR(OFFSET(Tabella!$G$1,MATCH(G13,Tabella!$G:$G,0)-1,MATCH(H13,Tabella!$G$1:$FG$1,0)-1)=TRUE),0,OFFSET(Tabella!$G$1,MATCH(G13,Tabella!$G:$G,0)-1,MATCH(H13,Tabella!$G$1:$AB$1,0)-1))</f>
        <v>0</v>
      </c>
      <c r="O13" s="126">
        <f ca="1">IF(ISERROR(OFFSET(Ottone!$F$1,MATCH(G13,Ottone!$A:$A,0)-1,MATCH(H13,Ottone!$F$1:$FF$1,0)-1)=TRUE),0,OFFSET(Ottone!$F$1,MATCH(G13,Ottone!$A:$A,0)-1,MATCH(H13,Ottone!$F$1:$FF$1,0)-1))*IF(D13="Ottone",1,0)</f>
        <v>0</v>
      </c>
      <c r="P13" s="126">
        <f ca="1">IF(ISERROR(OFFSET(Rame!$F$1,MATCH(G13,Rame!$F:$F,0)-1,MATCH(H13,Rame!$F$1:$FF$1,0)-1)=TRUE),0,OFFSET(Rame!$F$1,MATCH(G13,Rame!$F:$F,0)-1,MATCH(H13,Rame!$F$1:$FF$1,0)-1))*IF(D13="Rame",1,0)</f>
        <v>0</v>
      </c>
      <c r="Q13" s="126">
        <f t="shared" ca="1" si="1"/>
        <v>0</v>
      </c>
      <c r="R13" s="126">
        <f t="shared" si="2"/>
        <v>0</v>
      </c>
      <c r="S13" s="127"/>
      <c r="T13" s="128">
        <f t="shared" ca="1" si="3"/>
        <v>0</v>
      </c>
      <c r="U13" s="125">
        <f t="shared" si="4"/>
        <v>0</v>
      </c>
      <c r="V13" s="129"/>
      <c r="W13" s="130">
        <f t="shared" ca="1" si="5"/>
        <v>0</v>
      </c>
      <c r="X13" s="125">
        <f t="shared" ca="1" si="6"/>
        <v>0</v>
      </c>
      <c r="Y13" s="131"/>
      <c r="Z13" s="100"/>
    </row>
    <row r="14" spans="1:26" ht="15.75" thickBot="1" x14ac:dyDescent="0.3">
      <c r="A14" s="103"/>
      <c r="B14" s="88"/>
      <c r="C14" s="121"/>
      <c r="D14" s="89"/>
      <c r="E14" s="122"/>
      <c r="F14" s="123"/>
      <c r="G14" s="88"/>
      <c r="H14" s="88"/>
      <c r="I14" s="125"/>
      <c r="J14" s="115">
        <f ca="1">IF(ISERROR(OFFSET(Tabella!$A$1,MATCH(G14,Tabella!$A:$A,0)-1,MATCH(I14,Tabella!$A$1:$AC$1,0)-1)=TRUE),0,+OFFSET(Tabella!$A$1,MATCH(G14,Tabella!$A:$A,0)-1,MATCH(I14,Tabella!$A$1:$AC$1,0)-1))</f>
        <v>0</v>
      </c>
      <c r="K14" s="85">
        <f ca="1">IF(ISERROR(OFFSET(Ottone!$A$1,MATCH(G14,Ottone!$A:$A,0)-1,MATCH(I14,Ottone!$A$1:$Z$1,0)-1)=TRUE),0,OFFSET(Ottone!$A$1,MATCH(G14,Ottone!$A:$A,0)-1,MATCH(I14,Ottone!$A$1:$Z$1,0)-1))*IF(D14="Ottone",1,0)</f>
        <v>0</v>
      </c>
      <c r="L14" s="85">
        <f ca="1">IF(ISERROR(OFFSET(Rame!$A$1,MATCH(G14,Rame!$A:$A,0)-1,MATCH(I14,Rame!$A$1:$AA$1,0)-1)=TRUE),0,OFFSET(Rame!$A$1,MATCH(G14,Rame!$A:$A,0)-1,MATCH(I14,Rame!$A$1:$AA$1,0)-1))*IF(D14="Rame",1,0)</f>
        <v>0</v>
      </c>
      <c r="M14" s="126">
        <f t="shared" ca="1" si="0"/>
        <v>0</v>
      </c>
      <c r="N14" s="126">
        <f ca="1">+IF(ISERROR(OFFSET(Tabella!$G$1,MATCH(G14,Tabella!$G:$G,0)-1,MATCH(H14,Tabella!$G$1:$FG$1,0)-1)=TRUE),0,OFFSET(Tabella!$G$1,MATCH(G14,Tabella!$G:$G,0)-1,MATCH(H14,Tabella!$G$1:$AB$1,0)-1))</f>
        <v>0</v>
      </c>
      <c r="O14" s="126">
        <f ca="1">IF(ISERROR(OFFSET(Ottone!$F$1,MATCH(G14,Ottone!$A:$A,0)-1,MATCH(H14,Ottone!$F$1:$FF$1,0)-1)=TRUE),0,OFFSET(Ottone!$F$1,MATCH(G14,Ottone!$A:$A,0)-1,MATCH(H14,Ottone!$F$1:$FF$1,0)-1))*IF(D14="Ottone",1,0)</f>
        <v>0</v>
      </c>
      <c r="P14" s="126">
        <f ca="1">IF(ISERROR(OFFSET(Rame!$F$1,MATCH(G14,Rame!$F:$F,0)-1,MATCH(H14,Rame!$F$1:$FF$1,0)-1)=TRUE),0,OFFSET(Rame!$F$1,MATCH(G14,Rame!$F:$F,0)-1,MATCH(H14,Rame!$F$1:$FF$1,0)-1))*IF(D14="Rame",1,0)</f>
        <v>0</v>
      </c>
      <c r="Q14" s="126">
        <f t="shared" ca="1" si="1"/>
        <v>0</v>
      </c>
      <c r="R14" s="126">
        <f t="shared" si="2"/>
        <v>0</v>
      </c>
      <c r="S14" s="127"/>
      <c r="T14" s="128">
        <f t="shared" ca="1" si="3"/>
        <v>0</v>
      </c>
      <c r="U14" s="125">
        <f t="shared" si="4"/>
        <v>0</v>
      </c>
      <c r="V14" s="129"/>
      <c r="W14" s="130">
        <f t="shared" ca="1" si="5"/>
        <v>0</v>
      </c>
      <c r="X14" s="125">
        <f t="shared" ca="1" si="6"/>
        <v>0</v>
      </c>
      <c r="Y14" s="131"/>
      <c r="Z14" s="100"/>
    </row>
    <row r="15" spans="1:26" ht="15.75" thickBot="1" x14ac:dyDescent="0.3">
      <c r="A15" s="103"/>
      <c r="B15" s="88"/>
      <c r="C15" s="121"/>
      <c r="D15" s="89"/>
      <c r="E15" s="122"/>
      <c r="F15" s="123"/>
      <c r="G15" s="88"/>
      <c r="H15" s="88"/>
      <c r="I15" s="125"/>
      <c r="J15" s="115">
        <f ca="1">IF(ISERROR(OFFSET(Tabella!$A$1,MATCH(G15,Tabella!$A:$A,0)-1,MATCH(I15,Tabella!$A$1:$AC$1,0)-1)=TRUE),0,+OFFSET(Tabella!$A$1,MATCH(G15,Tabella!$A:$A,0)-1,MATCH(I15,Tabella!$A$1:$AC$1,0)-1))</f>
        <v>0</v>
      </c>
      <c r="K15" s="85">
        <f ca="1">IF(ISERROR(OFFSET(Ottone!$A$1,MATCH(G15,Ottone!$A:$A,0)-1,MATCH(I15,Ottone!$A$1:$Z$1,0)-1)=TRUE),0,OFFSET(Ottone!$A$1,MATCH(G15,Ottone!$A:$A,0)-1,MATCH(I15,Ottone!$A$1:$Z$1,0)-1))*IF(D15="Ottone",1,0)</f>
        <v>0</v>
      </c>
      <c r="L15" s="85">
        <f ca="1">IF(ISERROR(OFFSET(Rame!$A$1,MATCH(G15,Rame!$A:$A,0)-1,MATCH(I15,Rame!$A$1:$AA$1,0)-1)=TRUE),0,OFFSET(Rame!$A$1,MATCH(G15,Rame!$A:$A,0)-1,MATCH(I15,Rame!$A$1:$AA$1,0)-1))*IF(D15="Rame",1,0)</f>
        <v>0</v>
      </c>
      <c r="M15" s="126">
        <f t="shared" ca="1" si="0"/>
        <v>0</v>
      </c>
      <c r="N15" s="126">
        <f ca="1">+IF(ISERROR(OFFSET(Tabella!$G$1,MATCH(G15,Tabella!$G:$G,0)-1,MATCH(H15,Tabella!$G$1:$FG$1,0)-1)=TRUE),0,OFFSET(Tabella!$G$1,MATCH(G15,Tabella!$G:$G,0)-1,MATCH(H15,Tabella!$G$1:$AB$1,0)-1))</f>
        <v>0</v>
      </c>
      <c r="O15" s="126">
        <f ca="1">IF(ISERROR(OFFSET(Ottone!$F$1,MATCH(G15,Ottone!$A:$A,0)-1,MATCH(H15,Ottone!$F$1:$FF$1,0)-1)=TRUE),0,OFFSET(Ottone!$F$1,MATCH(G15,Ottone!$A:$A,0)-1,MATCH(H15,Ottone!$F$1:$FF$1,0)-1))*IF(D15="Ottone",1,0)</f>
        <v>0</v>
      </c>
      <c r="P15" s="126">
        <f ca="1">IF(ISERROR(OFFSET(Rame!$F$1,MATCH(G15,Rame!$F:$F,0)-1,MATCH(H15,Rame!$F$1:$FF$1,0)-1)=TRUE),0,OFFSET(Rame!$F$1,MATCH(G15,Rame!$F:$F,0)-1,MATCH(H15,Rame!$F$1:$FF$1,0)-1))*IF(D15="Rame",1,0)</f>
        <v>0</v>
      </c>
      <c r="Q15" s="126">
        <f t="shared" ca="1" si="1"/>
        <v>0</v>
      </c>
      <c r="R15" s="126">
        <f t="shared" si="2"/>
        <v>0</v>
      </c>
      <c r="S15" s="127"/>
      <c r="T15" s="128">
        <f t="shared" ca="1" si="3"/>
        <v>0</v>
      </c>
      <c r="U15" s="125">
        <f t="shared" si="4"/>
        <v>0</v>
      </c>
      <c r="V15" s="129"/>
      <c r="W15" s="130">
        <f t="shared" ca="1" si="5"/>
        <v>0</v>
      </c>
      <c r="X15" s="125">
        <f t="shared" ca="1" si="6"/>
        <v>0</v>
      </c>
      <c r="Y15" s="131"/>
      <c r="Z15" s="100"/>
    </row>
    <row r="16" spans="1:26" ht="15.75" thickBot="1" x14ac:dyDescent="0.3">
      <c r="A16" s="103"/>
      <c r="B16" s="88"/>
      <c r="C16" s="121"/>
      <c r="D16" s="89"/>
      <c r="E16" s="122"/>
      <c r="F16" s="123"/>
      <c r="G16" s="88"/>
      <c r="H16" s="88"/>
      <c r="I16" s="125"/>
      <c r="J16" s="115">
        <f ca="1">IF(ISERROR(OFFSET(Tabella!$A$1,MATCH(G16,Tabella!$A:$A,0)-1,MATCH(I16,Tabella!$A$1:$AC$1,0)-1)=TRUE),0,+OFFSET(Tabella!$A$1,MATCH(G16,Tabella!$A:$A,0)-1,MATCH(I16,Tabella!$A$1:$AC$1,0)-1))</f>
        <v>0</v>
      </c>
      <c r="K16" s="85">
        <f ca="1">IF(ISERROR(OFFSET(Ottone!$A$1,MATCH(G16,Ottone!$A:$A,0)-1,MATCH(I16,Ottone!$A$1:$Z$1,0)-1)=TRUE),0,OFFSET(Ottone!$A$1,MATCH(G16,Ottone!$A:$A,0)-1,MATCH(I16,Ottone!$A$1:$Z$1,0)-1))*IF(D16="Ottone",1,0)</f>
        <v>0</v>
      </c>
      <c r="L16" s="85">
        <f ca="1">IF(ISERROR(OFFSET(Rame!$A$1,MATCH(G16,Rame!$A:$A,0)-1,MATCH(I16,Rame!$A$1:$AA$1,0)-1)=TRUE),0,OFFSET(Rame!$A$1,MATCH(G16,Rame!$A:$A,0)-1,MATCH(I16,Rame!$A$1:$AA$1,0)-1))*IF(D16="Rame",1,0)</f>
        <v>0</v>
      </c>
      <c r="M16" s="126">
        <f t="shared" ca="1" si="0"/>
        <v>0</v>
      </c>
      <c r="N16" s="126">
        <f ca="1">+IF(ISERROR(OFFSET(Tabella!$G$1,MATCH(G16,Tabella!$G:$G,0)-1,MATCH(H16,Tabella!$G$1:$FG$1,0)-1)=TRUE),0,OFFSET(Tabella!$G$1,MATCH(G16,Tabella!$G:$G,0)-1,MATCH(H16,Tabella!$G$1:$AB$1,0)-1))</f>
        <v>0</v>
      </c>
      <c r="O16" s="126">
        <f ca="1">IF(ISERROR(OFFSET(Ottone!$F$1,MATCH(G16,Ottone!$A:$A,0)-1,MATCH(H16,Ottone!$F$1:$FF$1,0)-1)=TRUE),0,OFFSET(Ottone!$F$1,MATCH(G16,Ottone!$A:$A,0)-1,MATCH(H16,Ottone!$F$1:$FF$1,0)-1))*IF(D16="Ottone",1,0)</f>
        <v>0</v>
      </c>
      <c r="P16" s="126">
        <f ca="1">IF(ISERROR(OFFSET(Rame!$F$1,MATCH(G16,Rame!$F:$F,0)-1,MATCH(H16,Rame!$F$1:$FF$1,0)-1)=TRUE),0,OFFSET(Rame!$F$1,MATCH(G16,Rame!$F:$F,0)-1,MATCH(H16,Rame!$F$1:$FF$1,0)-1))*IF(D16="Rame",1,0)</f>
        <v>0</v>
      </c>
      <c r="Q16" s="126">
        <f t="shared" ca="1" si="1"/>
        <v>0</v>
      </c>
      <c r="R16" s="126"/>
      <c r="S16" s="127"/>
      <c r="T16" s="128">
        <f t="shared" ca="1" si="3"/>
        <v>0</v>
      </c>
      <c r="U16" s="125">
        <f t="shared" si="4"/>
        <v>0</v>
      </c>
      <c r="V16" s="129"/>
      <c r="W16" s="130">
        <f t="shared" ca="1" si="5"/>
        <v>0</v>
      </c>
      <c r="X16" s="125">
        <f t="shared" ca="1" si="6"/>
        <v>0</v>
      </c>
      <c r="Y16" s="131"/>
      <c r="Z16" s="100"/>
    </row>
    <row r="17" spans="1:26" ht="15.75" thickBot="1" x14ac:dyDescent="0.3">
      <c r="A17" s="103"/>
      <c r="B17" s="88"/>
      <c r="C17" s="121"/>
      <c r="D17" s="89"/>
      <c r="E17" s="122"/>
      <c r="F17" s="123"/>
      <c r="G17" s="88"/>
      <c r="H17" s="88"/>
      <c r="I17" s="125"/>
      <c r="J17" s="115">
        <f ca="1">IF(ISERROR(OFFSET(Tabella!$A$1,MATCH(G17,Tabella!$A:$A,0)-1,MATCH(I17,Tabella!$A$1:$AC$1,0)-1)=TRUE),0,+OFFSET(Tabella!$A$1,MATCH(G17,Tabella!$A:$A,0)-1,MATCH(I17,Tabella!$A$1:$AC$1,0)-1))</f>
        <v>0</v>
      </c>
      <c r="K17" s="85">
        <f ca="1">IF(ISERROR(OFFSET(Ottone!$A$1,MATCH(G17,Ottone!$A:$A,0)-1,MATCH(I17,Ottone!$A$1:$Z$1,0)-1)=TRUE),0,OFFSET(Ottone!$A$1,MATCH(G17,Ottone!$A:$A,0)-1,MATCH(I17,Ottone!$A$1:$Z$1,0)-1))*IF(D17="Ottone",1,0)</f>
        <v>0</v>
      </c>
      <c r="L17" s="85">
        <f ca="1">IF(ISERROR(OFFSET(Rame!$A$1,MATCH(G17,Rame!$A:$A,0)-1,MATCH(I17,Rame!$A$1:$AA$1,0)-1)=TRUE),0,OFFSET(Rame!$A$1,MATCH(G17,Rame!$A:$A,0)-1,MATCH(I17,Rame!$A$1:$AA$1,0)-1))*IF(D17="Rame",1,0)</f>
        <v>0</v>
      </c>
      <c r="M17" s="126">
        <f t="shared" ca="1" si="0"/>
        <v>0</v>
      </c>
      <c r="N17" s="126">
        <f ca="1">+IF(ISERROR(OFFSET(Tabella!$G$1,MATCH(G17,Tabella!$G:$G,0)-1,MATCH(H17,Tabella!$G$1:$FG$1,0)-1)=TRUE),0,OFFSET(Tabella!$G$1,MATCH(G17,Tabella!$G:$G,0)-1,MATCH(H17,Tabella!$G$1:$AB$1,0)-1))</f>
        <v>0</v>
      </c>
      <c r="O17" s="126">
        <f ca="1">IF(ISERROR(OFFSET(Ottone!$F$1,MATCH(G17,Ottone!$A:$A,0)-1,MATCH(H17,Ottone!$F$1:$FF$1,0)-1)=TRUE),0,OFFSET(Ottone!$F$1,MATCH(G17,Ottone!$A:$A,0)-1,MATCH(H17,Ottone!$F$1:$FF$1,0)-1))*IF(D17="Ottone",1,0)</f>
        <v>0</v>
      </c>
      <c r="P17" s="126">
        <f ca="1">IF(ISERROR(OFFSET(Rame!$F$1,MATCH(G17,Rame!$F:$F,0)-1,MATCH(H17,Rame!$F$1:$FF$1,0)-1)=TRUE),0,OFFSET(Rame!$F$1,MATCH(G17,Rame!$F:$F,0)-1,MATCH(H17,Rame!$F$1:$FF$1,0)-1))*IF(D17="Rame",1,0)</f>
        <v>0</v>
      </c>
      <c r="Q17" s="126">
        <f t="shared" ca="1" si="1"/>
        <v>0</v>
      </c>
      <c r="R17" s="126">
        <f t="shared" ref="R17:R51" si="7">(IF(C17&gt;500,0,0.1)*IF(D17="Alluminio",0,1))*IF(C17=0,0,1)</f>
        <v>0</v>
      </c>
      <c r="S17" s="127"/>
      <c r="T17" s="128">
        <f t="shared" ca="1" si="3"/>
        <v>0</v>
      </c>
      <c r="U17" s="125">
        <f t="shared" si="4"/>
        <v>0</v>
      </c>
      <c r="V17" s="129"/>
      <c r="W17" s="130">
        <f t="shared" ca="1" si="5"/>
        <v>0</v>
      </c>
      <c r="X17" s="125">
        <f t="shared" ca="1" si="6"/>
        <v>0</v>
      </c>
      <c r="Y17" s="131"/>
      <c r="Z17" s="100"/>
    </row>
    <row r="18" spans="1:26" ht="15.75" thickBot="1" x14ac:dyDescent="0.3">
      <c r="A18" s="103"/>
      <c r="B18" s="88"/>
      <c r="C18" s="121"/>
      <c r="D18" s="89"/>
      <c r="E18" s="122"/>
      <c r="F18" s="123"/>
      <c r="G18" s="88"/>
      <c r="H18" s="88"/>
      <c r="I18" s="125"/>
      <c r="J18" s="115">
        <f ca="1">IF(ISERROR(OFFSET(Tabella!$A$1,MATCH(G18,Tabella!$A:$A,0)-1,MATCH(I18,Tabella!$A$1:$AC$1,0)-1)=TRUE),0,+OFFSET(Tabella!$A$1,MATCH(G18,Tabella!$A:$A,0)-1,MATCH(I18,Tabella!$A$1:$AC$1,0)-1))</f>
        <v>0</v>
      </c>
      <c r="K18" s="85">
        <f ca="1">IF(ISERROR(OFFSET(Ottone!$A$1,MATCH(G18,Ottone!$A:$A,0)-1,MATCH(I18,Ottone!$A$1:$Z$1,0)-1)=TRUE),0,OFFSET(Ottone!$A$1,MATCH(G18,Ottone!$A:$A,0)-1,MATCH(I18,Ottone!$A$1:$Z$1,0)-1))*IF(D18="Ottone",1,0)</f>
        <v>0</v>
      </c>
      <c r="L18" s="85">
        <f ca="1">IF(ISERROR(OFFSET(Rame!$A$1,MATCH(G18,Rame!$A:$A,0)-1,MATCH(I18,Rame!$A$1:$AA$1,0)-1)=TRUE),0,OFFSET(Rame!$A$1,MATCH(G18,Rame!$A:$A,0)-1,MATCH(I18,Rame!$A$1:$AA$1,0)-1))*IF(D18="Rame",1,0)</f>
        <v>0</v>
      </c>
      <c r="M18" s="126">
        <f t="shared" ca="1" si="0"/>
        <v>0</v>
      </c>
      <c r="N18" s="126">
        <f ca="1">+IF(ISERROR(OFFSET(Tabella!$G$1,MATCH(G18,Tabella!$G:$G,0)-1,MATCH(H18,Tabella!$G$1:$FG$1,0)-1)=TRUE),0,OFFSET(Tabella!$G$1,MATCH(G18,Tabella!$G:$G,0)-1,MATCH(H18,Tabella!$G$1:$AB$1,0)-1))</f>
        <v>0</v>
      </c>
      <c r="O18" s="126">
        <f ca="1">IF(ISERROR(OFFSET(Ottone!$F$1,MATCH(G18,Ottone!$A:$A,0)-1,MATCH(H18,Ottone!$F$1:$FF$1,0)-1)=TRUE),0,OFFSET(Ottone!$F$1,MATCH(G18,Ottone!$A:$A,0)-1,MATCH(H18,Ottone!$F$1:$FF$1,0)-1))*IF(D18="Ottone",1,0)</f>
        <v>0</v>
      </c>
      <c r="P18" s="126">
        <f ca="1">IF(ISERROR(OFFSET(Rame!$F$1,MATCH(G18,Rame!$F:$F,0)-1,MATCH(H18,Rame!$F$1:$FF$1,0)-1)=TRUE),0,OFFSET(Rame!$F$1,MATCH(G18,Rame!$F:$F,0)-1,MATCH(H18,Rame!$F$1:$FF$1,0)-1))*IF(D18="Rame",1,0)</f>
        <v>0</v>
      </c>
      <c r="Q18" s="126">
        <f t="shared" ca="1" si="1"/>
        <v>0</v>
      </c>
      <c r="R18" s="126">
        <f t="shared" si="7"/>
        <v>0</v>
      </c>
      <c r="S18" s="127"/>
      <c r="T18" s="128">
        <f t="shared" ca="1" si="3"/>
        <v>0</v>
      </c>
      <c r="U18" s="125">
        <f t="shared" si="4"/>
        <v>0</v>
      </c>
      <c r="V18" s="129"/>
      <c r="W18" s="130">
        <f t="shared" ca="1" si="5"/>
        <v>0</v>
      </c>
      <c r="X18" s="125">
        <f t="shared" ca="1" si="6"/>
        <v>0</v>
      </c>
      <c r="Y18" s="131"/>
      <c r="Z18" s="100"/>
    </row>
    <row r="19" spans="1:26" ht="15.75" thickBot="1" x14ac:dyDescent="0.3">
      <c r="A19" s="103"/>
      <c r="B19" s="88"/>
      <c r="C19" s="121"/>
      <c r="D19" s="89"/>
      <c r="E19" s="122"/>
      <c r="F19" s="123"/>
      <c r="G19" s="88"/>
      <c r="H19" s="88"/>
      <c r="I19" s="125"/>
      <c r="J19" s="115">
        <f ca="1">IF(ISERROR(OFFSET(Tabella!$A$1,MATCH(G19,Tabella!$A:$A,0)-1,MATCH(I19,Tabella!$A$1:$AC$1,0)-1)=TRUE),0,+OFFSET(Tabella!$A$1,MATCH(G19,Tabella!$A:$A,0)-1,MATCH(I19,Tabella!$A$1:$AC$1,0)-1))</f>
        <v>0</v>
      </c>
      <c r="K19" s="85">
        <f ca="1">IF(ISERROR(OFFSET(Ottone!$A$1,MATCH(G19,Ottone!$A:$A,0)-1,MATCH(I19,Ottone!$A$1:$Z$1,0)-1)=TRUE),0,OFFSET(Ottone!$A$1,MATCH(G19,Ottone!$A:$A,0)-1,MATCH(I19,Ottone!$A$1:$Z$1,0)-1))*IF(D19="Ottone",1,0)</f>
        <v>0</v>
      </c>
      <c r="L19" s="85">
        <f ca="1">IF(ISERROR(OFFSET(Rame!$A$1,MATCH(G19,Rame!$A:$A,0)-1,MATCH(I19,Rame!$A$1:$AA$1,0)-1)=TRUE),0,OFFSET(Rame!$A$1,MATCH(G19,Rame!$A:$A,0)-1,MATCH(I19,Rame!$A$1:$AA$1,0)-1))*IF(D19="Rame",1,0)</f>
        <v>0</v>
      </c>
      <c r="M19" s="126">
        <f t="shared" ca="1" si="0"/>
        <v>0</v>
      </c>
      <c r="N19" s="126">
        <f ca="1">+IF(ISERROR(OFFSET(Tabella!$G$1,MATCH(G19,Tabella!$G:$G,0)-1,MATCH(H19,Tabella!$G$1:$FG$1,0)-1)=TRUE),0,OFFSET(Tabella!$G$1,MATCH(G19,Tabella!$G:$G,0)-1,MATCH(H19,Tabella!$G$1:$AB$1,0)-1))</f>
        <v>0</v>
      </c>
      <c r="O19" s="126">
        <f ca="1">IF(ISERROR(OFFSET(Ottone!$F$1,MATCH(G19,Ottone!$A:$A,0)-1,MATCH(H19,Ottone!$F$1:$FF$1,0)-1)=TRUE),0,OFFSET(Ottone!$F$1,MATCH(G19,Ottone!$A:$A,0)-1,MATCH(H19,Ottone!$F$1:$FF$1,0)-1))*IF(D19="Ottone",1,0)</f>
        <v>0</v>
      </c>
      <c r="P19" s="126">
        <f ca="1">IF(ISERROR(OFFSET(Rame!$F$1,MATCH(G19,Rame!$F:$F,0)-1,MATCH(H19,Rame!$F$1:$FF$1,0)-1)=TRUE),0,OFFSET(Rame!$F$1,MATCH(G19,Rame!$F:$F,0)-1,MATCH(H19,Rame!$F$1:$FF$1,0)-1))*IF(D19="Rame",1,0)</f>
        <v>0</v>
      </c>
      <c r="Q19" s="126">
        <f t="shared" ca="1" si="1"/>
        <v>0</v>
      </c>
      <c r="R19" s="126">
        <f t="shared" si="7"/>
        <v>0</v>
      </c>
      <c r="S19" s="127"/>
      <c r="T19" s="128">
        <f t="shared" ca="1" si="3"/>
        <v>0</v>
      </c>
      <c r="U19" s="125">
        <f t="shared" si="4"/>
        <v>0</v>
      </c>
      <c r="V19" s="129"/>
      <c r="W19" s="130">
        <f t="shared" ca="1" si="5"/>
        <v>0</v>
      </c>
      <c r="X19" s="125">
        <f t="shared" ca="1" si="6"/>
        <v>0</v>
      </c>
      <c r="Y19" s="131"/>
      <c r="Z19" s="100"/>
    </row>
    <row r="20" spans="1:26" ht="15.75" thickBot="1" x14ac:dyDescent="0.3">
      <c r="A20" s="103"/>
      <c r="B20" s="88"/>
      <c r="C20" s="121"/>
      <c r="D20" s="89"/>
      <c r="E20" s="122"/>
      <c r="F20" s="123"/>
      <c r="G20" s="88"/>
      <c r="H20" s="88"/>
      <c r="I20" s="125"/>
      <c r="J20" s="115">
        <f ca="1">IF(ISERROR(OFFSET(Tabella!$A$1,MATCH(G20,Tabella!$A:$A,0)-1,MATCH(I20,Tabella!$A$1:$AC$1,0)-1)=TRUE),0,+OFFSET(Tabella!$A$1,MATCH(G20,Tabella!$A:$A,0)-1,MATCH(I20,Tabella!$A$1:$AC$1,0)-1))</f>
        <v>0</v>
      </c>
      <c r="K20" s="85">
        <f ca="1">IF(ISERROR(OFFSET(Ottone!$A$1,MATCH(G20,Ottone!$A:$A,0)-1,MATCH(I20,Ottone!$A$1:$Z$1,0)-1)=TRUE),0,OFFSET(Ottone!$A$1,MATCH(G20,Ottone!$A:$A,0)-1,MATCH(I20,Ottone!$A$1:$Z$1,0)-1))*IF(D20="Ottone",1,0)</f>
        <v>0</v>
      </c>
      <c r="L20" s="85">
        <f ca="1">IF(ISERROR(OFFSET(Rame!$A$1,MATCH(G20,Rame!$A:$A,0)-1,MATCH(I20,Rame!$A$1:$AA$1,0)-1)=TRUE),0,OFFSET(Rame!$A$1,MATCH(G20,Rame!$A:$A,0)-1,MATCH(I20,Rame!$A$1:$AA$1,0)-1))*IF(D20="Rame",1,0)</f>
        <v>0</v>
      </c>
      <c r="M20" s="126">
        <f t="shared" ca="1" si="0"/>
        <v>0</v>
      </c>
      <c r="N20" s="126">
        <f ca="1">+IF(ISERROR(OFFSET(Tabella!$G$1,MATCH(G20,Tabella!$G:$G,0)-1,MATCH(H20,Tabella!$G$1:$FG$1,0)-1)=TRUE),0,OFFSET(Tabella!$G$1,MATCH(G20,Tabella!$G:$G,0)-1,MATCH(H20,Tabella!$G$1:$AB$1,0)-1))</f>
        <v>0</v>
      </c>
      <c r="O20" s="126">
        <f ca="1">IF(ISERROR(OFFSET(Ottone!$F$1,MATCH(G20,Ottone!$A:$A,0)-1,MATCH(H20,Ottone!$F$1:$FF$1,0)-1)=TRUE),0,OFFSET(Ottone!$F$1,MATCH(G20,Ottone!$A:$A,0)-1,MATCH(H20,Ottone!$F$1:$FF$1,0)-1))*IF(D20="Ottone",1,0)</f>
        <v>0</v>
      </c>
      <c r="P20" s="126">
        <f ca="1">IF(ISERROR(OFFSET(Rame!$F$1,MATCH(G20,Rame!$F:$F,0)-1,MATCH(H20,Rame!$F$1:$FF$1,0)-1)=TRUE),0,OFFSET(Rame!$F$1,MATCH(G20,Rame!$F:$F,0)-1,MATCH(H20,Rame!$F$1:$FF$1,0)-1))*IF(D20="Rame",1,0)</f>
        <v>0</v>
      </c>
      <c r="Q20" s="126">
        <f t="shared" ca="1" si="1"/>
        <v>0</v>
      </c>
      <c r="R20" s="126">
        <f t="shared" si="7"/>
        <v>0</v>
      </c>
      <c r="S20" s="127"/>
      <c r="T20" s="128">
        <f t="shared" ca="1" si="3"/>
        <v>0</v>
      </c>
      <c r="U20" s="125">
        <f t="shared" si="4"/>
        <v>0</v>
      </c>
      <c r="V20" s="129"/>
      <c r="W20" s="130">
        <f t="shared" ca="1" si="5"/>
        <v>0</v>
      </c>
      <c r="X20" s="125">
        <f t="shared" ca="1" si="6"/>
        <v>0</v>
      </c>
      <c r="Y20" s="131"/>
      <c r="Z20" s="100"/>
    </row>
    <row r="21" spans="1:26" ht="15.75" thickBot="1" x14ac:dyDescent="0.3">
      <c r="A21" s="103"/>
      <c r="B21" s="88"/>
      <c r="C21" s="121"/>
      <c r="D21" s="89"/>
      <c r="E21" s="122"/>
      <c r="F21" s="123"/>
      <c r="G21" s="88"/>
      <c r="H21" s="88"/>
      <c r="I21" s="125"/>
      <c r="J21" s="115">
        <f ca="1">IF(ISERROR(OFFSET(Tabella!$A$1,MATCH(G21,Tabella!$A:$A,0)-1,MATCH(I21,Tabella!$A$1:$AC$1,0)-1)=TRUE),0,+OFFSET(Tabella!$A$1,MATCH(G21,Tabella!$A:$A,0)-1,MATCH(I21,Tabella!$A$1:$AC$1,0)-1))</f>
        <v>0</v>
      </c>
      <c r="K21" s="85">
        <f ca="1">IF(ISERROR(OFFSET(Ottone!$A$1,MATCH(G21,Ottone!$A:$A,0)-1,MATCH(I21,Ottone!$A$1:$Z$1,0)-1)=TRUE),0,OFFSET(Ottone!$A$1,MATCH(G21,Ottone!$A:$A,0)-1,MATCH(I21,Ottone!$A$1:$Z$1,0)-1))*IF(D21="Ottone",1,0)</f>
        <v>0</v>
      </c>
      <c r="L21" s="85">
        <f ca="1">IF(ISERROR(OFFSET(Rame!$A$1,MATCH(G21,Rame!$A:$A,0)-1,MATCH(I21,Rame!$A$1:$AA$1,0)-1)=TRUE),0,OFFSET(Rame!$A$1,MATCH(G21,Rame!$A:$A,0)-1,MATCH(I21,Rame!$A$1:$AA$1,0)-1))*IF(D21="Rame",1,0)</f>
        <v>0</v>
      </c>
      <c r="M21" s="126">
        <f t="shared" ca="1" si="0"/>
        <v>0</v>
      </c>
      <c r="N21" s="126">
        <f ca="1">+IF(ISERROR(OFFSET(Tabella!$G$1,MATCH(G21,Tabella!$G:$G,0)-1,MATCH(H21,Tabella!$G$1:$FG$1,0)-1)=TRUE),0,OFFSET(Tabella!$G$1,MATCH(G21,Tabella!$G:$G,0)-1,MATCH(H21,Tabella!$G$1:$AB$1,0)-1))</f>
        <v>0</v>
      </c>
      <c r="O21" s="126">
        <f ca="1">IF(ISERROR(OFFSET(Ottone!$F$1,MATCH(G21,Ottone!$A:$A,0)-1,MATCH(H21,Ottone!$F$1:$FF$1,0)-1)=TRUE),0,OFFSET(Ottone!$F$1,MATCH(G21,Ottone!$A:$A,0)-1,MATCH(H21,Ottone!$F$1:$FF$1,0)-1))*IF(D21="Ottone",1,0)</f>
        <v>0</v>
      </c>
      <c r="P21" s="126">
        <f ca="1">IF(ISERROR(OFFSET(Rame!$F$1,MATCH(G21,Rame!$F:$F,0)-1,MATCH(H21,Rame!$F$1:$FF$1,0)-1)=TRUE),0,OFFSET(Rame!$F$1,MATCH(G21,Rame!$F:$F,0)-1,MATCH(H21,Rame!$F$1:$FF$1,0)-1))*IF(D21="Rame",1,0)</f>
        <v>0</v>
      </c>
      <c r="Q21" s="126">
        <f t="shared" ca="1" si="1"/>
        <v>0</v>
      </c>
      <c r="R21" s="126">
        <f t="shared" si="7"/>
        <v>0</v>
      </c>
      <c r="S21" s="127"/>
      <c r="T21" s="128">
        <f t="shared" ca="1" si="3"/>
        <v>0</v>
      </c>
      <c r="U21" s="125">
        <f t="shared" si="4"/>
        <v>0</v>
      </c>
      <c r="V21" s="129"/>
      <c r="W21" s="130">
        <f t="shared" ca="1" si="5"/>
        <v>0</v>
      </c>
      <c r="X21" s="125">
        <f t="shared" ca="1" si="6"/>
        <v>0</v>
      </c>
      <c r="Y21" s="131"/>
      <c r="Z21" s="100"/>
    </row>
    <row r="22" spans="1:26" ht="15.75" thickBot="1" x14ac:dyDescent="0.3">
      <c r="A22" s="103"/>
      <c r="B22" s="88"/>
      <c r="C22" s="121"/>
      <c r="D22" s="89"/>
      <c r="E22" s="122"/>
      <c r="F22" s="123"/>
      <c r="G22" s="88"/>
      <c r="H22" s="88"/>
      <c r="I22" s="125"/>
      <c r="J22" s="115">
        <f ca="1">IF(ISERROR(OFFSET(Tabella!$A$1,MATCH(G22,Tabella!$A:$A,0)-1,MATCH(I22,Tabella!$A$1:$AC$1,0)-1)=TRUE),0,+OFFSET(Tabella!$A$1,MATCH(G22,Tabella!$A:$A,0)-1,MATCH(I22,Tabella!$A$1:$AC$1,0)-1))</f>
        <v>0</v>
      </c>
      <c r="K22" s="85">
        <f ca="1">IF(ISERROR(OFFSET(Ottone!$A$1,MATCH(G22,Ottone!$A:$A,0)-1,MATCH(I22,Ottone!$A$1:$Z$1,0)-1)=TRUE),0,OFFSET(Ottone!$A$1,MATCH(G22,Ottone!$A:$A,0)-1,MATCH(I22,Ottone!$A$1:$Z$1,0)-1))*IF(D22="Ottone",1,0)</f>
        <v>0</v>
      </c>
      <c r="L22" s="85">
        <f ca="1">IF(ISERROR(OFFSET(Rame!$A$1,MATCH(G22,Rame!$A:$A,0)-1,MATCH(I22,Rame!$A$1:$AA$1,0)-1)=TRUE),0,OFFSET(Rame!$A$1,MATCH(G22,Rame!$A:$A,0)-1,MATCH(I22,Rame!$A$1:$AA$1,0)-1))*IF(D22="Rame",1,0)</f>
        <v>0</v>
      </c>
      <c r="M22" s="126">
        <f t="shared" ca="1" si="0"/>
        <v>0</v>
      </c>
      <c r="N22" s="126">
        <f ca="1">+IF(ISERROR(OFFSET(Tabella!$G$1,MATCH(G22,Tabella!$G:$G,0)-1,MATCH(H22,Tabella!$G$1:$FG$1,0)-1)=TRUE),0,OFFSET(Tabella!$G$1,MATCH(G22,Tabella!$G:$G,0)-1,MATCH(H22,Tabella!$G$1:$AB$1,0)-1))</f>
        <v>0</v>
      </c>
      <c r="O22" s="126">
        <f ca="1">IF(ISERROR(OFFSET(Ottone!$F$1,MATCH(G22,Ottone!$A:$A,0)-1,MATCH(H22,Ottone!$F$1:$FF$1,0)-1)=TRUE),0,OFFSET(Ottone!$F$1,MATCH(G22,Ottone!$A:$A,0)-1,MATCH(H22,Ottone!$F$1:$FF$1,0)-1))*IF(D22="Ottone",1,0)</f>
        <v>0</v>
      </c>
      <c r="P22" s="126">
        <f ca="1">IF(ISERROR(OFFSET(Rame!$F$1,MATCH(G22,Rame!$F:$F,0)-1,MATCH(H22,Rame!$F$1:$FF$1,0)-1)=TRUE),0,OFFSET(Rame!$F$1,MATCH(G22,Rame!$F:$F,0)-1,MATCH(H22,Rame!$F$1:$FF$1,0)-1))*IF(D22="Rame",1,0)</f>
        <v>0</v>
      </c>
      <c r="Q22" s="126">
        <f t="shared" ca="1" si="1"/>
        <v>0</v>
      </c>
      <c r="R22" s="126">
        <f t="shared" si="7"/>
        <v>0</v>
      </c>
      <c r="S22" s="127"/>
      <c r="T22" s="128">
        <f t="shared" ca="1" si="3"/>
        <v>0</v>
      </c>
      <c r="U22" s="125">
        <f t="shared" si="4"/>
        <v>0</v>
      </c>
      <c r="V22" s="129"/>
      <c r="W22" s="130">
        <f t="shared" ca="1" si="5"/>
        <v>0</v>
      </c>
      <c r="X22" s="125">
        <f t="shared" ca="1" si="6"/>
        <v>0</v>
      </c>
      <c r="Y22" s="131"/>
      <c r="Z22" s="100"/>
    </row>
    <row r="23" spans="1:26" ht="15.75" thickBot="1" x14ac:dyDescent="0.3">
      <c r="A23" s="103"/>
      <c r="B23" s="88"/>
      <c r="C23" s="121"/>
      <c r="D23" s="89"/>
      <c r="E23" s="122"/>
      <c r="F23" s="123"/>
      <c r="G23" s="88"/>
      <c r="H23" s="88"/>
      <c r="I23" s="125"/>
      <c r="J23" s="115">
        <f ca="1">IF(ISERROR(OFFSET(Tabella!$A$1,MATCH(G23,Tabella!$A:$A,0)-1,MATCH(I23,Tabella!$A$1:$AC$1,0)-1)=TRUE),0,+OFFSET(Tabella!$A$1,MATCH(G23,Tabella!$A:$A,0)-1,MATCH(I23,Tabella!$A$1:$AC$1,0)-1))</f>
        <v>0</v>
      </c>
      <c r="K23" s="85">
        <f ca="1">IF(ISERROR(OFFSET(Ottone!$A$1,MATCH(G23,Ottone!$A:$A,0)-1,MATCH(I23,Ottone!$A$1:$Z$1,0)-1)=TRUE),0,OFFSET(Ottone!$A$1,MATCH(G23,Ottone!$A:$A,0)-1,MATCH(I23,Ottone!$A$1:$Z$1,0)-1))*IF(D23="Ottone",1,0)</f>
        <v>0</v>
      </c>
      <c r="L23" s="85">
        <f ca="1">IF(ISERROR(OFFSET(Rame!$A$1,MATCH(G23,Rame!$A:$A,0)-1,MATCH(I23,Rame!$A$1:$AA$1,0)-1)=TRUE),0,OFFSET(Rame!$A$1,MATCH(G23,Rame!$A:$A,0)-1,MATCH(I23,Rame!$A$1:$AA$1,0)-1))*IF(D23="Rame",1,0)</f>
        <v>0</v>
      </c>
      <c r="M23" s="126">
        <f t="shared" ca="1" si="0"/>
        <v>0</v>
      </c>
      <c r="N23" s="126">
        <f ca="1">+IF(ISERROR(OFFSET(Tabella!$G$1,MATCH(G23,Tabella!$G:$G,0)-1,MATCH(H23,Tabella!$G$1:$FG$1,0)-1)=TRUE),0,OFFSET(Tabella!$G$1,MATCH(G23,Tabella!$G:$G,0)-1,MATCH(H23,Tabella!$G$1:$AB$1,0)-1))</f>
        <v>0</v>
      </c>
      <c r="O23" s="126">
        <f ca="1">IF(ISERROR(OFFSET(Ottone!$F$1,MATCH(G23,Ottone!$A:$A,0)-1,MATCH(H23,Ottone!$F$1:$FF$1,0)-1)=TRUE),0,OFFSET(Ottone!$F$1,MATCH(G23,Ottone!$A:$A,0)-1,MATCH(H23,Ottone!$F$1:$FF$1,0)-1))*IF(D23="Ottone",1,0)</f>
        <v>0</v>
      </c>
      <c r="P23" s="126">
        <f ca="1">IF(ISERROR(OFFSET(Rame!$F$1,MATCH(G23,Rame!$F:$F,0)-1,MATCH(H23,Rame!$F$1:$FF$1,0)-1)=TRUE),0,OFFSET(Rame!$F$1,MATCH(G23,Rame!$F:$F,0)-1,MATCH(H23,Rame!$F$1:$FF$1,0)-1))*IF(D23="Rame",1,0)</f>
        <v>0</v>
      </c>
      <c r="Q23" s="126">
        <f t="shared" ca="1" si="1"/>
        <v>0</v>
      </c>
      <c r="R23" s="126">
        <f t="shared" si="7"/>
        <v>0</v>
      </c>
      <c r="S23" s="127"/>
      <c r="T23" s="128">
        <f t="shared" ca="1" si="3"/>
        <v>0</v>
      </c>
      <c r="U23" s="125">
        <f t="shared" si="4"/>
        <v>0</v>
      </c>
      <c r="V23" s="129"/>
      <c r="W23" s="130">
        <f t="shared" ca="1" si="5"/>
        <v>0</v>
      </c>
      <c r="X23" s="125">
        <f t="shared" ca="1" si="6"/>
        <v>0</v>
      </c>
      <c r="Y23" s="131"/>
      <c r="Z23" s="100"/>
    </row>
    <row r="24" spans="1:26" ht="15.75" thickBot="1" x14ac:dyDescent="0.3">
      <c r="A24" s="103"/>
      <c r="B24" s="88"/>
      <c r="C24" s="121"/>
      <c r="D24" s="89"/>
      <c r="E24" s="122"/>
      <c r="F24" s="123"/>
      <c r="G24" s="88"/>
      <c r="H24" s="88"/>
      <c r="I24" s="125"/>
      <c r="J24" s="115">
        <f ca="1">IF(ISERROR(OFFSET(Tabella!$A$1,MATCH(G24,Tabella!$A:$A,0)-1,MATCH(I24,Tabella!$A$1:$AC$1,0)-1)=TRUE),0,+OFFSET(Tabella!$A$1,MATCH(G24,Tabella!$A:$A,0)-1,MATCH(I24,Tabella!$A$1:$AC$1,0)-1))</f>
        <v>0</v>
      </c>
      <c r="K24" s="85">
        <f ca="1">IF(ISERROR(OFFSET(Ottone!$A$1,MATCH(G24,Ottone!$A:$A,0)-1,MATCH(I24,Ottone!$A$1:$Z$1,0)-1)=TRUE),0,OFFSET(Ottone!$A$1,MATCH(G24,Ottone!$A:$A,0)-1,MATCH(I24,Ottone!$A$1:$Z$1,0)-1))*IF(D24="Ottone",1,0)</f>
        <v>0</v>
      </c>
      <c r="L24" s="85">
        <f ca="1">IF(ISERROR(OFFSET(Rame!$A$1,MATCH(G24,Rame!$A:$A,0)-1,MATCH(I24,Rame!$A$1:$AA$1,0)-1)=TRUE),0,OFFSET(Rame!$A$1,MATCH(G24,Rame!$A:$A,0)-1,MATCH(I24,Rame!$A$1:$AA$1,0)-1))*IF(D24="Rame",1,0)</f>
        <v>0</v>
      </c>
      <c r="M24" s="126">
        <f t="shared" ca="1" si="0"/>
        <v>0</v>
      </c>
      <c r="N24" s="126">
        <f ca="1">+IF(ISERROR(OFFSET(Tabella!$G$1,MATCH(G24,Tabella!$G:$G,0)-1,MATCH(H24,Tabella!$G$1:$FG$1,0)-1)=TRUE),0,OFFSET(Tabella!$G$1,MATCH(G24,Tabella!$G:$G,0)-1,MATCH(H24,Tabella!$G$1:$AB$1,0)-1))</f>
        <v>0</v>
      </c>
      <c r="O24" s="126">
        <f ca="1">IF(ISERROR(OFFSET(Ottone!$F$1,MATCH(G24,Ottone!$A:$A,0)-1,MATCH(H24,Ottone!$F$1:$FF$1,0)-1)=TRUE),0,OFFSET(Ottone!$F$1,MATCH(G24,Ottone!$A:$A,0)-1,MATCH(H24,Ottone!$F$1:$FF$1,0)-1))*IF(D24="Ottone",1,0)</f>
        <v>0</v>
      </c>
      <c r="P24" s="126">
        <f ca="1">IF(ISERROR(OFFSET(Rame!$F$1,MATCH(G24,Rame!$F:$F,0)-1,MATCH(H24,Rame!$F$1:$FF$1,0)-1)=TRUE),0,OFFSET(Rame!$F$1,MATCH(G24,Rame!$F:$F,0)-1,MATCH(H24,Rame!$F$1:$FF$1,0)-1))*IF(D24="Rame",1,0)</f>
        <v>0</v>
      </c>
      <c r="Q24" s="126">
        <f t="shared" ca="1" si="1"/>
        <v>0</v>
      </c>
      <c r="R24" s="126">
        <f t="shared" si="7"/>
        <v>0</v>
      </c>
      <c r="S24" s="127"/>
      <c r="T24" s="128">
        <f t="shared" ca="1" si="3"/>
        <v>0</v>
      </c>
      <c r="U24" s="125">
        <f t="shared" si="4"/>
        <v>0</v>
      </c>
      <c r="V24" s="129"/>
      <c r="W24" s="130">
        <f t="shared" ca="1" si="5"/>
        <v>0</v>
      </c>
      <c r="X24" s="125">
        <f t="shared" ca="1" si="6"/>
        <v>0</v>
      </c>
      <c r="Y24" s="131"/>
      <c r="Z24" s="100"/>
    </row>
    <row r="25" spans="1:26" ht="15.75" thickBot="1" x14ac:dyDescent="0.3">
      <c r="A25" s="103"/>
      <c r="B25" s="88"/>
      <c r="C25" s="121"/>
      <c r="D25" s="89"/>
      <c r="E25" s="122"/>
      <c r="F25" s="123"/>
      <c r="G25" s="88"/>
      <c r="H25" s="88"/>
      <c r="I25" s="125"/>
      <c r="J25" s="115">
        <f ca="1">IF(ISERROR(OFFSET(Tabella!$A$1,MATCH(G25,Tabella!$A:$A,0)-1,MATCH(I25,Tabella!$A$1:$AC$1,0)-1)=TRUE),0,+OFFSET(Tabella!$A$1,MATCH(G25,Tabella!$A:$A,0)-1,MATCH(I25,Tabella!$A$1:$AC$1,0)-1))</f>
        <v>0</v>
      </c>
      <c r="K25" s="85">
        <f ca="1">IF(ISERROR(OFFSET(Ottone!$A$1,MATCH(G25,Ottone!$A:$A,0)-1,MATCH(I25,Ottone!$A$1:$Z$1,0)-1)=TRUE),0,OFFSET(Ottone!$A$1,MATCH(G25,Ottone!$A:$A,0)-1,MATCH(I25,Ottone!$A$1:$Z$1,0)-1))*IF(D25="Ottone",1,0)</f>
        <v>0</v>
      </c>
      <c r="L25" s="85">
        <f ca="1">IF(ISERROR(OFFSET(Rame!$A$1,MATCH(G25,Rame!$A:$A,0)-1,MATCH(I25,Rame!$A$1:$AA$1,0)-1)=TRUE),0,OFFSET(Rame!$A$1,MATCH(G25,Rame!$A:$A,0)-1,MATCH(I25,Rame!$A$1:$AA$1,0)-1))*IF(D25="Rame",1,0)</f>
        <v>0</v>
      </c>
      <c r="M25" s="126">
        <f t="shared" ca="1" si="0"/>
        <v>0</v>
      </c>
      <c r="N25" s="126">
        <f ca="1">+IF(ISERROR(OFFSET(Tabella!$G$1,MATCH(G25,Tabella!$G:$G,0)-1,MATCH(H25,Tabella!$G$1:$FG$1,0)-1)=TRUE),0,OFFSET(Tabella!$G$1,MATCH(G25,Tabella!$G:$G,0)-1,MATCH(H25,Tabella!$G$1:$AB$1,0)-1))</f>
        <v>0</v>
      </c>
      <c r="O25" s="126">
        <f ca="1">IF(ISERROR(OFFSET(Ottone!$F$1,MATCH(G25,Ottone!$A:$A,0)-1,MATCH(H25,Ottone!$F$1:$FF$1,0)-1)=TRUE),0,OFFSET(Ottone!$F$1,MATCH(G25,Ottone!$A:$A,0)-1,MATCH(H25,Ottone!$F$1:$FF$1,0)-1))*IF(D25="Ottone",1,0)</f>
        <v>0</v>
      </c>
      <c r="P25" s="126">
        <f ca="1">IF(ISERROR(OFFSET(Rame!$F$1,MATCH(G25,Rame!$F:$F,0)-1,MATCH(H25,Rame!$F$1:$FF$1,0)-1)=TRUE),0,OFFSET(Rame!$F$1,MATCH(G25,Rame!$F:$F,0)-1,MATCH(H25,Rame!$F$1:$FF$1,0)-1))*IF(D25="Rame",1,0)</f>
        <v>0</v>
      </c>
      <c r="Q25" s="126">
        <f t="shared" ca="1" si="1"/>
        <v>0</v>
      </c>
      <c r="R25" s="126">
        <f t="shared" si="7"/>
        <v>0</v>
      </c>
      <c r="S25" s="127"/>
      <c r="T25" s="128">
        <f t="shared" ca="1" si="3"/>
        <v>0</v>
      </c>
      <c r="U25" s="125">
        <f t="shared" si="4"/>
        <v>0</v>
      </c>
      <c r="V25" s="129"/>
      <c r="W25" s="130">
        <f t="shared" ca="1" si="5"/>
        <v>0</v>
      </c>
      <c r="X25" s="125">
        <f t="shared" ca="1" si="6"/>
        <v>0</v>
      </c>
      <c r="Y25" s="131"/>
      <c r="Z25" s="100"/>
    </row>
    <row r="26" spans="1:26" ht="15.75" thickBot="1" x14ac:dyDescent="0.3">
      <c r="A26" s="103"/>
      <c r="B26" s="88"/>
      <c r="C26" s="121"/>
      <c r="D26" s="89"/>
      <c r="E26" s="122"/>
      <c r="F26" s="123"/>
      <c r="G26" s="88"/>
      <c r="H26" s="88"/>
      <c r="I26" s="125"/>
      <c r="J26" s="115">
        <f ca="1">IF(ISERROR(OFFSET(Tabella!$A$1,MATCH(G26,Tabella!$A:$A,0)-1,MATCH(I26,Tabella!$A$1:$AC$1,0)-1)=TRUE),0,+OFFSET(Tabella!$A$1,MATCH(G26,Tabella!$A:$A,0)-1,MATCH(I26,Tabella!$A$1:$AC$1,0)-1))</f>
        <v>0</v>
      </c>
      <c r="K26" s="85">
        <f ca="1">IF(ISERROR(OFFSET(Ottone!$A$1,MATCH(G26,Ottone!$A:$A,0)-1,MATCH(I26,Ottone!$A$1:$Z$1,0)-1)=TRUE),0,OFFSET(Ottone!$A$1,MATCH(G26,Ottone!$A:$A,0)-1,MATCH(I26,Ottone!$A$1:$Z$1,0)-1))*IF(D26="Ottone",1,0)</f>
        <v>0</v>
      </c>
      <c r="L26" s="85">
        <f ca="1">IF(ISERROR(OFFSET(Rame!$A$1,MATCH(G26,Rame!$A:$A,0)-1,MATCH(I26,Rame!$A$1:$AA$1,0)-1)=TRUE),0,OFFSET(Rame!$A$1,MATCH(G26,Rame!$A:$A,0)-1,MATCH(I26,Rame!$A$1:$AA$1,0)-1))*IF(D26="Rame",1,0)</f>
        <v>0</v>
      </c>
      <c r="M26" s="126">
        <f t="shared" ca="1" si="0"/>
        <v>0</v>
      </c>
      <c r="N26" s="126">
        <f ca="1">+IF(ISERROR(OFFSET(Tabella!$G$1,MATCH(G26,Tabella!$G:$G,0)-1,MATCH(H26,Tabella!$G$1:$FG$1,0)-1)=TRUE),0,OFFSET(Tabella!$G$1,MATCH(G26,Tabella!$G:$G,0)-1,MATCH(H26,Tabella!$G$1:$AB$1,0)-1))</f>
        <v>0</v>
      </c>
      <c r="O26" s="126">
        <f ca="1">IF(ISERROR(OFFSET(Ottone!$F$1,MATCH(G26,Ottone!$A:$A,0)-1,MATCH(H26,Ottone!$F$1:$FF$1,0)-1)=TRUE),0,OFFSET(Ottone!$F$1,MATCH(G26,Ottone!$A:$A,0)-1,MATCH(H26,Ottone!$F$1:$FF$1,0)-1))*IF(D26="Ottone",1,0)</f>
        <v>0</v>
      </c>
      <c r="P26" s="126">
        <f ca="1">IF(ISERROR(OFFSET(Rame!$F$1,MATCH(G26,Rame!$F:$F,0)-1,MATCH(H26,Rame!$F$1:$FF$1,0)-1)=TRUE),0,OFFSET(Rame!$F$1,MATCH(G26,Rame!$F:$F,0)-1,MATCH(H26,Rame!$F$1:$FF$1,0)-1))*IF(D26="Rame",1,0)</f>
        <v>0</v>
      </c>
      <c r="Q26" s="126">
        <f t="shared" ca="1" si="1"/>
        <v>0</v>
      </c>
      <c r="R26" s="126">
        <f t="shared" si="7"/>
        <v>0</v>
      </c>
      <c r="S26" s="127"/>
      <c r="T26" s="128">
        <f t="shared" ca="1" si="3"/>
        <v>0</v>
      </c>
      <c r="U26" s="125">
        <f t="shared" si="4"/>
        <v>0</v>
      </c>
      <c r="V26" s="129"/>
      <c r="W26" s="130">
        <f t="shared" ca="1" si="5"/>
        <v>0</v>
      </c>
      <c r="X26" s="125">
        <f t="shared" ca="1" si="6"/>
        <v>0</v>
      </c>
      <c r="Y26" s="131"/>
      <c r="Z26" s="100"/>
    </row>
    <row r="27" spans="1:26" ht="15.75" thickBot="1" x14ac:dyDescent="0.3">
      <c r="A27" s="103"/>
      <c r="B27" s="88"/>
      <c r="C27" s="121"/>
      <c r="D27" s="89"/>
      <c r="E27" s="122"/>
      <c r="F27" s="123"/>
      <c r="G27" s="88"/>
      <c r="H27" s="88"/>
      <c r="I27" s="125"/>
      <c r="J27" s="115">
        <f ca="1">IF(ISERROR(OFFSET(Tabella!$A$1,MATCH(G27,Tabella!$A:$A,0)-1,MATCH(I27,Tabella!$A$1:$AC$1,0)-1)=TRUE),0,+OFFSET(Tabella!$A$1,MATCH(G27,Tabella!$A:$A,0)-1,MATCH(I27,Tabella!$A$1:$AC$1,0)-1))</f>
        <v>0</v>
      </c>
      <c r="K27" s="85">
        <f ca="1">IF(ISERROR(OFFSET(Ottone!$A$1,MATCH(G27,Ottone!$A:$A,0)-1,MATCH(I27,Ottone!$A$1:$Z$1,0)-1)=TRUE),0,OFFSET(Ottone!$A$1,MATCH(G27,Ottone!$A:$A,0)-1,MATCH(I27,Ottone!$A$1:$Z$1,0)-1))*IF(D27="Ottone",1,0)</f>
        <v>0</v>
      </c>
      <c r="L27" s="85">
        <f ca="1">IF(ISERROR(OFFSET(Rame!$A$1,MATCH(G27,Rame!$A:$A,0)-1,MATCH(I27,Rame!$A$1:$AA$1,0)-1)=TRUE),0,OFFSET(Rame!$A$1,MATCH(G27,Rame!$A:$A,0)-1,MATCH(I27,Rame!$A$1:$AA$1,0)-1))*IF(D27="Rame",1,0)</f>
        <v>0</v>
      </c>
      <c r="M27" s="126">
        <f t="shared" ca="1" si="0"/>
        <v>0</v>
      </c>
      <c r="N27" s="126">
        <f ca="1">+IF(ISERROR(OFFSET(Tabella!$G$1,MATCH(G27,Tabella!$G:$G,0)-1,MATCH(H27,Tabella!$G$1:$FG$1,0)-1)=TRUE),0,OFFSET(Tabella!$G$1,MATCH(G27,Tabella!$G:$G,0)-1,MATCH(H27,Tabella!$G$1:$AB$1,0)-1))</f>
        <v>0</v>
      </c>
      <c r="O27" s="126">
        <f ca="1">IF(ISERROR(OFFSET(Ottone!$F$1,MATCH(G27,Ottone!$A:$A,0)-1,MATCH(H27,Ottone!$F$1:$FF$1,0)-1)=TRUE),0,OFFSET(Ottone!$F$1,MATCH(G27,Ottone!$A:$A,0)-1,MATCH(H27,Ottone!$F$1:$FF$1,0)-1))*IF(D27="Ottone",1,0)</f>
        <v>0</v>
      </c>
      <c r="P27" s="126">
        <f ca="1">IF(ISERROR(OFFSET(Rame!$F$1,MATCH(G27,Rame!$F:$F,0)-1,MATCH(H27,Rame!$F$1:$FF$1,0)-1)=TRUE),0,OFFSET(Rame!$F$1,MATCH(G27,Rame!$F:$F,0)-1,MATCH(H27,Rame!$F$1:$FF$1,0)-1))*IF(D27="Rame",1,0)</f>
        <v>0</v>
      </c>
      <c r="Q27" s="126">
        <f t="shared" ca="1" si="1"/>
        <v>0</v>
      </c>
      <c r="R27" s="126">
        <f t="shared" si="7"/>
        <v>0</v>
      </c>
      <c r="S27" s="127"/>
      <c r="T27" s="128">
        <f t="shared" ca="1" si="3"/>
        <v>0</v>
      </c>
      <c r="U27" s="125">
        <f t="shared" si="4"/>
        <v>0</v>
      </c>
      <c r="V27" s="129"/>
      <c r="W27" s="130">
        <f t="shared" ca="1" si="5"/>
        <v>0</v>
      </c>
      <c r="X27" s="125">
        <f t="shared" ca="1" si="6"/>
        <v>0</v>
      </c>
      <c r="Y27" s="131"/>
      <c r="Z27" s="100"/>
    </row>
    <row r="28" spans="1:26" ht="15.75" thickBot="1" x14ac:dyDescent="0.3">
      <c r="A28" s="103"/>
      <c r="B28" s="88"/>
      <c r="C28" s="121"/>
      <c r="D28" s="89"/>
      <c r="E28" s="122"/>
      <c r="F28" s="123"/>
      <c r="G28" s="88"/>
      <c r="H28" s="88"/>
      <c r="I28" s="125"/>
      <c r="J28" s="115">
        <f ca="1">IF(ISERROR(OFFSET(Tabella!$A$1,MATCH(G28,Tabella!$A:$A,0)-1,MATCH(I28,Tabella!$A$1:$AC$1,0)-1)=TRUE),0,+OFFSET(Tabella!$A$1,MATCH(G28,Tabella!$A:$A,0)-1,MATCH(I28,Tabella!$A$1:$AC$1,0)-1))</f>
        <v>0</v>
      </c>
      <c r="K28" s="85">
        <f ca="1">IF(ISERROR(OFFSET(Ottone!$A$1,MATCH(G28,Ottone!$A:$A,0)-1,MATCH(I28,Ottone!$A$1:$Z$1,0)-1)=TRUE),0,OFFSET(Ottone!$A$1,MATCH(G28,Ottone!$A:$A,0)-1,MATCH(I28,Ottone!$A$1:$Z$1,0)-1))*IF(D28="Ottone",1,0)</f>
        <v>0</v>
      </c>
      <c r="L28" s="85">
        <f ca="1">IF(ISERROR(OFFSET(Rame!$A$1,MATCH(G28,Rame!$A:$A,0)-1,MATCH(I28,Rame!$A$1:$AA$1,0)-1)=TRUE),0,OFFSET(Rame!$A$1,MATCH(G28,Rame!$A:$A,0)-1,MATCH(I28,Rame!$A$1:$AA$1,0)-1))*IF(D28="Rame",1,0)</f>
        <v>0</v>
      </c>
      <c r="M28" s="126">
        <f t="shared" ca="1" si="0"/>
        <v>0</v>
      </c>
      <c r="N28" s="126">
        <f ca="1">+IF(ISERROR(OFFSET(Tabella!$G$1,MATCH(G28,Tabella!$G:$G,0)-1,MATCH(H28,Tabella!$G$1:$FG$1,0)-1)=TRUE),0,OFFSET(Tabella!$G$1,MATCH(G28,Tabella!$G:$G,0)-1,MATCH(H28,Tabella!$G$1:$AB$1,0)-1))</f>
        <v>0</v>
      </c>
      <c r="O28" s="126">
        <f ca="1">IF(ISERROR(OFFSET(Ottone!$F$1,MATCH(G28,Ottone!$A:$A,0)-1,MATCH(H28,Ottone!$F$1:$FF$1,0)-1)=TRUE),0,OFFSET(Ottone!$F$1,MATCH(G28,Ottone!$A:$A,0)-1,MATCH(H28,Ottone!$F$1:$FF$1,0)-1))*IF(D28="Ottone",1,0)</f>
        <v>0</v>
      </c>
      <c r="P28" s="126">
        <f ca="1">IF(ISERROR(OFFSET(Rame!$F$1,MATCH(G28,Rame!$F:$F,0)-1,MATCH(H28,Rame!$F$1:$FF$1,0)-1)=TRUE),0,OFFSET(Rame!$F$1,MATCH(G28,Rame!$F:$F,0)-1,MATCH(H28,Rame!$F$1:$FF$1,0)-1))*IF(D28="Rame",1,0)</f>
        <v>0</v>
      </c>
      <c r="Q28" s="126">
        <f t="shared" ca="1" si="1"/>
        <v>0</v>
      </c>
      <c r="R28" s="126">
        <f t="shared" si="7"/>
        <v>0</v>
      </c>
      <c r="S28" s="127"/>
      <c r="T28" s="128">
        <f t="shared" ca="1" si="3"/>
        <v>0</v>
      </c>
      <c r="U28" s="125">
        <f t="shared" si="4"/>
        <v>0</v>
      </c>
      <c r="V28" s="129"/>
      <c r="W28" s="130">
        <f t="shared" ca="1" si="5"/>
        <v>0</v>
      </c>
      <c r="X28" s="125">
        <f t="shared" ca="1" si="6"/>
        <v>0</v>
      </c>
      <c r="Y28" s="131"/>
      <c r="Z28" s="100"/>
    </row>
    <row r="29" spans="1:26" ht="15.75" thickBot="1" x14ac:dyDescent="0.3">
      <c r="A29" s="103"/>
      <c r="B29" s="88"/>
      <c r="C29" s="121"/>
      <c r="D29" s="89"/>
      <c r="E29" s="122"/>
      <c r="F29" s="123"/>
      <c r="G29" s="88"/>
      <c r="H29" s="88"/>
      <c r="I29" s="125"/>
      <c r="J29" s="115">
        <f ca="1">IF(ISERROR(OFFSET(Tabella!$A$1,MATCH(G29,Tabella!$A:$A,0)-1,MATCH(I29,Tabella!$A$1:$AC$1,0)-1)=TRUE),0,+OFFSET(Tabella!$A$1,MATCH(G29,Tabella!$A:$A,0)-1,MATCH(I29,Tabella!$A$1:$AC$1,0)-1))</f>
        <v>0</v>
      </c>
      <c r="K29" s="85">
        <f ca="1">IF(ISERROR(OFFSET(Ottone!$A$1,MATCH(G29,Ottone!$A:$A,0)-1,MATCH(I29,Ottone!$A$1:$Z$1,0)-1)=TRUE),0,OFFSET(Ottone!$A$1,MATCH(G29,Ottone!$A:$A,0)-1,MATCH(I29,Ottone!$A$1:$Z$1,0)-1))*IF(D29="Ottone",1,0)</f>
        <v>0</v>
      </c>
      <c r="L29" s="85">
        <f ca="1">IF(ISERROR(OFFSET(Rame!$A$1,MATCH(G29,Rame!$A:$A,0)-1,MATCH(I29,Rame!$A$1:$AA$1,0)-1)=TRUE),0,OFFSET(Rame!$A$1,MATCH(G29,Rame!$A:$A,0)-1,MATCH(I29,Rame!$A$1:$AA$1,0)-1))*IF(D29="Rame",1,0)</f>
        <v>0</v>
      </c>
      <c r="M29" s="126">
        <f t="shared" ca="1" si="0"/>
        <v>0</v>
      </c>
      <c r="N29" s="126">
        <f ca="1">+IF(ISERROR(OFFSET(Tabella!$G$1,MATCH(G29,Tabella!$G:$G,0)-1,MATCH(H29,Tabella!$G$1:$FG$1,0)-1)=TRUE),0,OFFSET(Tabella!$G$1,MATCH(G29,Tabella!$G:$G,0)-1,MATCH(H29,Tabella!$G$1:$AB$1,0)-1))</f>
        <v>0</v>
      </c>
      <c r="O29" s="126">
        <f ca="1">IF(ISERROR(OFFSET(Ottone!$F$1,MATCH(G29,Ottone!$A:$A,0)-1,MATCH(H29,Ottone!$F$1:$FF$1,0)-1)=TRUE),0,OFFSET(Ottone!$F$1,MATCH(G29,Ottone!$A:$A,0)-1,MATCH(H29,Ottone!$F$1:$FF$1,0)-1))*IF(D29="Ottone",1,0)</f>
        <v>0</v>
      </c>
      <c r="P29" s="126">
        <f ca="1">IF(ISERROR(OFFSET(Rame!$F$1,MATCH(G29,Rame!$F:$F,0)-1,MATCH(H29,Rame!$F$1:$FF$1,0)-1)=TRUE),0,OFFSET(Rame!$F$1,MATCH(G29,Rame!$F:$F,0)-1,MATCH(H29,Rame!$F$1:$FF$1,0)-1))*IF(D29="Rame",1,0)</f>
        <v>0</v>
      </c>
      <c r="Q29" s="126">
        <f t="shared" ca="1" si="1"/>
        <v>0</v>
      </c>
      <c r="R29" s="126">
        <f t="shared" si="7"/>
        <v>0</v>
      </c>
      <c r="S29" s="127"/>
      <c r="T29" s="128">
        <f t="shared" ca="1" si="3"/>
        <v>0</v>
      </c>
      <c r="U29" s="125">
        <f t="shared" si="4"/>
        <v>0</v>
      </c>
      <c r="V29" s="129"/>
      <c r="W29" s="130">
        <f t="shared" ca="1" si="5"/>
        <v>0</v>
      </c>
      <c r="X29" s="125">
        <f t="shared" ca="1" si="6"/>
        <v>0</v>
      </c>
      <c r="Y29" s="131"/>
      <c r="Z29" s="100"/>
    </row>
    <row r="30" spans="1:26" ht="15.75" thickBot="1" x14ac:dyDescent="0.3">
      <c r="A30" s="103"/>
      <c r="B30" s="88"/>
      <c r="C30" s="121"/>
      <c r="D30" s="89"/>
      <c r="E30" s="122"/>
      <c r="F30" s="123"/>
      <c r="G30" s="88"/>
      <c r="H30" s="88"/>
      <c r="I30" s="125"/>
      <c r="J30" s="115">
        <f ca="1">IF(ISERROR(OFFSET(Tabella!$A$1,MATCH(G30,Tabella!$A:$A,0)-1,MATCH(I30,Tabella!$A$1:$AC$1,0)-1)=TRUE),0,+OFFSET(Tabella!$A$1,MATCH(G30,Tabella!$A:$A,0)-1,MATCH(I30,Tabella!$A$1:$AC$1,0)-1))</f>
        <v>0</v>
      </c>
      <c r="K30" s="85">
        <f ca="1">IF(ISERROR(OFFSET(Ottone!$A$1,MATCH(G30,Ottone!$A:$A,0)-1,MATCH(I30,Ottone!$A$1:$Z$1,0)-1)=TRUE),0,OFFSET(Ottone!$A$1,MATCH(G30,Ottone!$A:$A,0)-1,MATCH(I30,Ottone!$A$1:$Z$1,0)-1))*IF(D30="Ottone",1,0)</f>
        <v>0</v>
      </c>
      <c r="L30" s="85">
        <f ca="1">IF(ISERROR(OFFSET(Rame!$A$1,MATCH(G30,Rame!$A:$A,0)-1,MATCH(I30,Rame!$A$1:$AA$1,0)-1)=TRUE),0,OFFSET(Rame!$A$1,MATCH(G30,Rame!$A:$A,0)-1,MATCH(I30,Rame!$A$1:$AA$1,0)-1))*IF(D30="Rame",1,0)</f>
        <v>0</v>
      </c>
      <c r="M30" s="126">
        <f t="shared" ca="1" si="0"/>
        <v>0</v>
      </c>
      <c r="N30" s="126">
        <f ca="1">+IF(ISERROR(OFFSET(Tabella!$G$1,MATCH(G30,Tabella!$G:$G,0)-1,MATCH(H30,Tabella!$G$1:$FG$1,0)-1)=TRUE),0,OFFSET(Tabella!$G$1,MATCH(G30,Tabella!$G:$G,0)-1,MATCH(H30,Tabella!$G$1:$AB$1,0)-1))</f>
        <v>0</v>
      </c>
      <c r="O30" s="126">
        <f ca="1">IF(ISERROR(OFFSET(Ottone!$F$1,MATCH(G30,Ottone!$A:$A,0)-1,MATCH(H30,Ottone!$F$1:$FF$1,0)-1)=TRUE),0,OFFSET(Ottone!$F$1,MATCH(G30,Ottone!$A:$A,0)-1,MATCH(H30,Ottone!$F$1:$FF$1,0)-1))*IF(D30="Ottone",1,0)</f>
        <v>0</v>
      </c>
      <c r="P30" s="126">
        <f ca="1">IF(ISERROR(OFFSET(Rame!$F$1,MATCH(G30,Rame!$F:$F,0)-1,MATCH(H30,Rame!$F$1:$FF$1,0)-1)=TRUE),0,OFFSET(Rame!$F$1,MATCH(G30,Rame!$F:$F,0)-1,MATCH(H30,Rame!$F$1:$FF$1,0)-1))*IF(D30="Rame",1,0)</f>
        <v>0</v>
      </c>
      <c r="Q30" s="126">
        <f t="shared" ca="1" si="1"/>
        <v>0</v>
      </c>
      <c r="R30" s="126">
        <f t="shared" si="7"/>
        <v>0</v>
      </c>
      <c r="S30" s="127"/>
      <c r="T30" s="128">
        <f t="shared" ca="1" si="3"/>
        <v>0</v>
      </c>
      <c r="U30" s="125">
        <f t="shared" si="4"/>
        <v>0</v>
      </c>
      <c r="V30" s="129"/>
      <c r="W30" s="130">
        <f t="shared" ca="1" si="5"/>
        <v>0</v>
      </c>
      <c r="X30" s="125">
        <f t="shared" ca="1" si="6"/>
        <v>0</v>
      </c>
      <c r="Y30" s="131"/>
      <c r="Z30" s="100"/>
    </row>
    <row r="31" spans="1:26" ht="15.75" thickBot="1" x14ac:dyDescent="0.3">
      <c r="A31" s="103"/>
      <c r="B31" s="88"/>
      <c r="C31" s="121"/>
      <c r="D31" s="89"/>
      <c r="E31" s="122"/>
      <c r="F31" s="123"/>
      <c r="G31" s="88"/>
      <c r="H31" s="88"/>
      <c r="I31" s="125"/>
      <c r="J31" s="115">
        <f ca="1">IF(ISERROR(OFFSET(Tabella!$A$1,MATCH(G31,Tabella!$A:$A,0)-1,MATCH(I31,Tabella!$A$1:$AC$1,0)-1)=TRUE),0,+OFFSET(Tabella!$A$1,MATCH(G31,Tabella!$A:$A,0)-1,MATCH(I31,Tabella!$A$1:$AC$1,0)-1))</f>
        <v>0</v>
      </c>
      <c r="K31" s="85">
        <f ca="1">IF(ISERROR(OFFSET(Ottone!$A$1,MATCH(G31,Ottone!$A:$A,0)-1,MATCH(I31,Ottone!$A$1:$Z$1,0)-1)=TRUE),0,OFFSET(Ottone!$A$1,MATCH(G31,Ottone!$A:$A,0)-1,MATCH(I31,Ottone!$A$1:$Z$1,0)-1))*IF(D31="Ottone",1,0)</f>
        <v>0</v>
      </c>
      <c r="L31" s="85">
        <f ca="1">IF(ISERROR(OFFSET(Rame!$A$1,MATCH(G31,Rame!$A:$A,0)-1,MATCH(I31,Rame!$A$1:$AA$1,0)-1)=TRUE),0,OFFSET(Rame!$A$1,MATCH(G31,Rame!$A:$A,0)-1,MATCH(I31,Rame!$A$1:$AA$1,0)-1))*IF(D31="Rame",1,0)</f>
        <v>0</v>
      </c>
      <c r="M31" s="126">
        <f t="shared" ca="1" si="0"/>
        <v>0</v>
      </c>
      <c r="N31" s="126">
        <f ca="1">+IF(ISERROR(OFFSET(Tabella!$G$1,MATCH(G31,Tabella!$G:$G,0)-1,MATCH(H31,Tabella!$G$1:$FG$1,0)-1)=TRUE),0,OFFSET(Tabella!$G$1,MATCH(G31,Tabella!$G:$G,0)-1,MATCH(H31,Tabella!$G$1:$AB$1,0)-1))</f>
        <v>0</v>
      </c>
      <c r="O31" s="126">
        <f ca="1">IF(ISERROR(OFFSET(Ottone!$F$1,MATCH(G31,Ottone!$A:$A,0)-1,MATCH(H31,Ottone!$F$1:$FF$1,0)-1)=TRUE),0,OFFSET(Ottone!$F$1,MATCH(G31,Ottone!$A:$A,0)-1,MATCH(H31,Ottone!$F$1:$FF$1,0)-1))*IF(D31="Ottone",1,0)</f>
        <v>0</v>
      </c>
      <c r="P31" s="126">
        <f ca="1">IF(ISERROR(OFFSET(Rame!$F$1,MATCH(G31,Rame!$F:$F,0)-1,MATCH(H31,Rame!$F$1:$FF$1,0)-1)=TRUE),0,OFFSET(Rame!$F$1,MATCH(G31,Rame!$F:$F,0)-1,MATCH(H31,Rame!$F$1:$FF$1,0)-1))*IF(D31="Rame",1,0)</f>
        <v>0</v>
      </c>
      <c r="Q31" s="126">
        <f t="shared" ca="1" si="1"/>
        <v>0</v>
      </c>
      <c r="R31" s="126">
        <f t="shared" si="7"/>
        <v>0</v>
      </c>
      <c r="S31" s="127"/>
      <c r="T31" s="128">
        <f t="shared" ca="1" si="3"/>
        <v>0</v>
      </c>
      <c r="U31" s="125">
        <f t="shared" si="4"/>
        <v>0</v>
      </c>
      <c r="V31" s="129"/>
      <c r="W31" s="130">
        <f t="shared" ca="1" si="5"/>
        <v>0</v>
      </c>
      <c r="X31" s="125">
        <f t="shared" ca="1" si="6"/>
        <v>0</v>
      </c>
      <c r="Y31" s="131"/>
      <c r="Z31" s="100"/>
    </row>
    <row r="32" spans="1:26" ht="15.75" thickBot="1" x14ac:dyDescent="0.3">
      <c r="A32" s="103"/>
      <c r="B32" s="88"/>
      <c r="C32" s="121"/>
      <c r="D32" s="89"/>
      <c r="E32" s="122"/>
      <c r="F32" s="123"/>
      <c r="G32" s="88"/>
      <c r="H32" s="88"/>
      <c r="I32" s="125"/>
      <c r="J32" s="115">
        <f ca="1">IF(ISERROR(OFFSET(Tabella!$A$1,MATCH(G32,Tabella!$A:$A,0)-1,MATCH(I32,Tabella!$A$1:$AC$1,0)-1)=TRUE),0,+OFFSET(Tabella!$A$1,MATCH(G32,Tabella!$A:$A,0)-1,MATCH(I32,Tabella!$A$1:$AC$1,0)-1))</f>
        <v>0</v>
      </c>
      <c r="K32" s="85">
        <f ca="1">IF(ISERROR(OFFSET(Ottone!$A$1,MATCH(G32,Ottone!$A:$A,0)-1,MATCH(I32,Ottone!$A$1:$Z$1,0)-1)=TRUE),0,OFFSET(Ottone!$A$1,MATCH(G32,Ottone!$A:$A,0)-1,MATCH(I32,Ottone!$A$1:$Z$1,0)-1))*IF(D32="Ottone",1,0)</f>
        <v>0</v>
      </c>
      <c r="L32" s="85">
        <f ca="1">IF(ISERROR(OFFSET(Rame!$A$1,MATCH(G32,Rame!$A:$A,0)-1,MATCH(I32,Rame!$A$1:$AA$1,0)-1)=TRUE),0,OFFSET(Rame!$A$1,MATCH(G32,Rame!$A:$A,0)-1,MATCH(I32,Rame!$A$1:$AA$1,0)-1))*IF(D32="Rame",1,0)</f>
        <v>0</v>
      </c>
      <c r="M32" s="126">
        <f t="shared" ca="1" si="0"/>
        <v>0</v>
      </c>
      <c r="N32" s="126">
        <f ca="1">+IF(ISERROR(OFFSET(Tabella!$G$1,MATCH(G32,Tabella!$G:$G,0)-1,MATCH(H32,Tabella!$G$1:$FG$1,0)-1)=TRUE),0,OFFSET(Tabella!$G$1,MATCH(G32,Tabella!$G:$G,0)-1,MATCH(H32,Tabella!$G$1:$AB$1,0)-1))</f>
        <v>0</v>
      </c>
      <c r="O32" s="126">
        <f ca="1">IF(ISERROR(OFFSET(Ottone!$F$1,MATCH(G32,Ottone!$A:$A,0)-1,MATCH(H32,Ottone!$F$1:$FF$1,0)-1)=TRUE),0,OFFSET(Ottone!$F$1,MATCH(G32,Ottone!$A:$A,0)-1,MATCH(H32,Ottone!$F$1:$FF$1,0)-1))*IF(D32="Ottone",1,0)</f>
        <v>0</v>
      </c>
      <c r="P32" s="126">
        <f ca="1">IF(ISERROR(OFFSET(Rame!$F$1,MATCH(G32,Rame!$F:$F,0)-1,MATCH(H32,Rame!$F$1:$FF$1,0)-1)=TRUE),0,OFFSET(Rame!$F$1,MATCH(G32,Rame!$F:$F,0)-1,MATCH(H32,Rame!$F$1:$FF$1,0)-1))*IF(D32="Rame",1,0)</f>
        <v>0</v>
      </c>
      <c r="Q32" s="126">
        <f t="shared" ca="1" si="1"/>
        <v>0</v>
      </c>
      <c r="R32" s="126">
        <f t="shared" si="7"/>
        <v>0</v>
      </c>
      <c r="S32" s="127"/>
      <c r="T32" s="128">
        <f t="shared" ca="1" si="3"/>
        <v>0</v>
      </c>
      <c r="U32" s="125">
        <f t="shared" si="4"/>
        <v>0</v>
      </c>
      <c r="V32" s="129"/>
      <c r="W32" s="130">
        <f t="shared" ca="1" si="5"/>
        <v>0</v>
      </c>
      <c r="X32" s="125">
        <f t="shared" ca="1" si="6"/>
        <v>0</v>
      </c>
      <c r="Y32" s="131"/>
      <c r="Z32" s="100"/>
    </row>
    <row r="33" spans="1:26" ht="15.75" thickBot="1" x14ac:dyDescent="0.3">
      <c r="A33" s="103"/>
      <c r="B33" s="88"/>
      <c r="C33" s="121"/>
      <c r="D33" s="89"/>
      <c r="E33" s="122"/>
      <c r="F33" s="123"/>
      <c r="G33" s="88"/>
      <c r="H33" s="88"/>
      <c r="I33" s="125"/>
      <c r="J33" s="115">
        <f ca="1">IF(ISERROR(OFFSET(Tabella!$A$1,MATCH(G33,Tabella!$A:$A,0)-1,MATCH(I33,Tabella!$A$1:$AC$1,0)-1)=TRUE),0,+OFFSET(Tabella!$A$1,MATCH(G33,Tabella!$A:$A,0)-1,MATCH(I33,Tabella!$A$1:$AC$1,0)-1))</f>
        <v>0</v>
      </c>
      <c r="K33" s="85">
        <f ca="1">IF(ISERROR(OFFSET(Ottone!$A$1,MATCH(G33,Ottone!$A:$A,0)-1,MATCH(I33,Ottone!$A$1:$Z$1,0)-1)=TRUE),0,OFFSET(Ottone!$A$1,MATCH(G33,Ottone!$A:$A,0)-1,MATCH(I33,Ottone!$A$1:$Z$1,0)-1))*IF(D33="Ottone",1,0)</f>
        <v>0</v>
      </c>
      <c r="L33" s="85">
        <f ca="1">IF(ISERROR(OFFSET(Rame!$A$1,MATCH(G33,Rame!$A:$A,0)-1,MATCH(I33,Rame!$A$1:$AA$1,0)-1)=TRUE),0,OFFSET(Rame!$A$1,MATCH(G33,Rame!$A:$A,0)-1,MATCH(I33,Rame!$A$1:$AA$1,0)-1))*IF(D33="Rame",1,0)</f>
        <v>0</v>
      </c>
      <c r="M33" s="126">
        <f t="shared" ca="1" si="0"/>
        <v>0</v>
      </c>
      <c r="N33" s="126">
        <f ca="1">+IF(ISERROR(OFFSET(Tabella!$G$1,MATCH(G33,Tabella!$G:$G,0)-1,MATCH(H33,Tabella!$G$1:$FG$1,0)-1)=TRUE),0,OFFSET(Tabella!$G$1,MATCH(G33,Tabella!$G:$G,0)-1,MATCH(H33,Tabella!$G$1:$AB$1,0)-1))</f>
        <v>0</v>
      </c>
      <c r="O33" s="126">
        <f ca="1">IF(ISERROR(OFFSET(Ottone!$F$1,MATCH(G33,Ottone!$A:$A,0)-1,MATCH(H33,Ottone!$F$1:$FF$1,0)-1)=TRUE),0,OFFSET(Ottone!$F$1,MATCH(G33,Ottone!$A:$A,0)-1,MATCH(H33,Ottone!$F$1:$FF$1,0)-1))*IF(D33="Ottone",1,0)</f>
        <v>0</v>
      </c>
      <c r="P33" s="126">
        <f ca="1">IF(ISERROR(OFFSET(Rame!$F$1,MATCH(G33,Rame!$F:$F,0)-1,MATCH(H33,Rame!$F$1:$FF$1,0)-1)=TRUE),0,OFFSET(Rame!$F$1,MATCH(G33,Rame!$F:$F,0)-1,MATCH(H33,Rame!$F$1:$FF$1,0)-1))*IF(D33="Rame",1,0)</f>
        <v>0</v>
      </c>
      <c r="Q33" s="126">
        <f t="shared" ca="1" si="1"/>
        <v>0</v>
      </c>
      <c r="R33" s="126">
        <f t="shared" si="7"/>
        <v>0</v>
      </c>
      <c r="S33" s="127"/>
      <c r="T33" s="128">
        <f t="shared" ca="1" si="3"/>
        <v>0</v>
      </c>
      <c r="U33" s="125">
        <f t="shared" si="4"/>
        <v>0</v>
      </c>
      <c r="V33" s="129"/>
      <c r="W33" s="130">
        <f t="shared" ca="1" si="5"/>
        <v>0</v>
      </c>
      <c r="X33" s="125">
        <f t="shared" ca="1" si="6"/>
        <v>0</v>
      </c>
      <c r="Y33" s="131"/>
      <c r="Z33" s="100"/>
    </row>
    <row r="34" spans="1:26" ht="15.75" thickBot="1" x14ac:dyDescent="0.3">
      <c r="A34" s="103"/>
      <c r="B34" s="88"/>
      <c r="C34" s="121"/>
      <c r="D34" s="89"/>
      <c r="E34" s="122"/>
      <c r="F34" s="123"/>
      <c r="G34" s="88"/>
      <c r="H34" s="88"/>
      <c r="I34" s="125"/>
      <c r="J34" s="115">
        <f ca="1">IF(ISERROR(OFFSET(Tabella!$A$1,MATCH(G34,Tabella!$A:$A,0)-1,MATCH(I34,Tabella!$A$1:$AC$1,0)-1)=TRUE),0,+OFFSET(Tabella!$A$1,MATCH(G34,Tabella!$A:$A,0)-1,MATCH(I34,Tabella!$A$1:$AC$1,0)-1))</f>
        <v>0</v>
      </c>
      <c r="K34" s="85">
        <f ca="1">IF(ISERROR(OFFSET(Ottone!$A$1,MATCH(G34,Ottone!$A:$A,0)-1,MATCH(I34,Ottone!$A$1:$Z$1,0)-1)=TRUE),0,OFFSET(Ottone!$A$1,MATCH(G34,Ottone!$A:$A,0)-1,MATCH(I34,Ottone!$A$1:$Z$1,0)-1))*IF(D34="Ottone",1,0)</f>
        <v>0</v>
      </c>
      <c r="L34" s="85">
        <f ca="1">IF(ISERROR(OFFSET(Rame!$A$1,MATCH(G34,Rame!$A:$A,0)-1,MATCH(I34,Rame!$A$1:$AA$1,0)-1)=TRUE),0,OFFSET(Rame!$A$1,MATCH(G34,Rame!$A:$A,0)-1,MATCH(I34,Rame!$A$1:$AA$1,0)-1))*IF(D34="Rame",1,0)</f>
        <v>0</v>
      </c>
      <c r="M34" s="126">
        <f t="shared" ca="1" si="0"/>
        <v>0</v>
      </c>
      <c r="N34" s="126">
        <f ca="1">+IF(ISERROR(OFFSET(Tabella!$G$1,MATCH(G34,Tabella!$G:$G,0)-1,MATCH(H34,Tabella!$G$1:$FG$1,0)-1)=TRUE),0,OFFSET(Tabella!$G$1,MATCH(G34,Tabella!$G:$G,0)-1,MATCH(H34,Tabella!$G$1:$AB$1,0)-1))</f>
        <v>0</v>
      </c>
      <c r="O34" s="126">
        <f ca="1">IF(ISERROR(OFFSET(Ottone!$F$1,MATCH(G34,Ottone!$A:$A,0)-1,MATCH(H34,Ottone!$F$1:$FF$1,0)-1)=TRUE),0,OFFSET(Ottone!$F$1,MATCH(G34,Ottone!$A:$A,0)-1,MATCH(H34,Ottone!$F$1:$FF$1,0)-1))*IF(D34="Ottone",1,0)</f>
        <v>0</v>
      </c>
      <c r="P34" s="126">
        <f ca="1">IF(ISERROR(OFFSET(Rame!$F$1,MATCH(G34,Rame!$F:$F,0)-1,MATCH(H34,Rame!$F$1:$FF$1,0)-1)=TRUE),0,OFFSET(Rame!$F$1,MATCH(G34,Rame!$F:$F,0)-1,MATCH(H34,Rame!$F$1:$FF$1,0)-1))*IF(D34="Rame",1,0)</f>
        <v>0</v>
      </c>
      <c r="Q34" s="126">
        <f t="shared" ca="1" si="1"/>
        <v>0</v>
      </c>
      <c r="R34" s="126">
        <f t="shared" si="7"/>
        <v>0</v>
      </c>
      <c r="S34" s="127"/>
      <c r="T34" s="128">
        <f t="shared" ca="1" si="3"/>
        <v>0</v>
      </c>
      <c r="U34" s="125">
        <f t="shared" si="4"/>
        <v>0</v>
      </c>
      <c r="V34" s="129"/>
      <c r="W34" s="130">
        <f t="shared" ca="1" si="5"/>
        <v>0</v>
      </c>
      <c r="X34" s="125">
        <f t="shared" ca="1" si="6"/>
        <v>0</v>
      </c>
      <c r="Y34" s="131"/>
      <c r="Z34" s="100"/>
    </row>
    <row r="35" spans="1:26" ht="15.75" thickBot="1" x14ac:dyDescent="0.3">
      <c r="A35" s="103"/>
      <c r="B35" s="88"/>
      <c r="C35" s="121"/>
      <c r="D35" s="89"/>
      <c r="E35" s="122"/>
      <c r="F35" s="123"/>
      <c r="G35" s="88"/>
      <c r="H35" s="88"/>
      <c r="I35" s="125"/>
      <c r="J35" s="115">
        <f ca="1">IF(ISERROR(OFFSET(Tabella!$A$1,MATCH(G35,Tabella!$A:$A,0)-1,MATCH(I35,Tabella!$A$1:$AC$1,0)-1)=TRUE),0,+OFFSET(Tabella!$A$1,MATCH(G35,Tabella!$A:$A,0)-1,MATCH(I35,Tabella!$A$1:$AC$1,0)-1))</f>
        <v>0</v>
      </c>
      <c r="K35" s="85">
        <f ca="1">IF(ISERROR(OFFSET(Ottone!$A$1,MATCH(G35,Ottone!$A:$A,0)-1,MATCH(I35,Ottone!$A$1:$Z$1,0)-1)=TRUE),0,OFFSET(Ottone!$A$1,MATCH(G35,Ottone!$A:$A,0)-1,MATCH(I35,Ottone!$A$1:$Z$1,0)-1))*IF(D35="Ottone",1,0)</f>
        <v>0</v>
      </c>
      <c r="L35" s="85">
        <f ca="1">IF(ISERROR(OFFSET(Rame!$A$1,MATCH(G35,Rame!$A:$A,0)-1,MATCH(I35,Rame!$A$1:$AA$1,0)-1)=TRUE),0,OFFSET(Rame!$A$1,MATCH(G35,Rame!$A:$A,0)-1,MATCH(I35,Rame!$A$1:$AA$1,0)-1))*IF(D35="Rame",1,0)</f>
        <v>0</v>
      </c>
      <c r="M35" s="126">
        <f t="shared" ca="1" si="0"/>
        <v>0</v>
      </c>
      <c r="N35" s="126">
        <f ca="1">+IF(ISERROR(OFFSET(Tabella!$G$1,MATCH(G35,Tabella!$G:$G,0)-1,MATCH(H35,Tabella!$G$1:$FG$1,0)-1)=TRUE),0,OFFSET(Tabella!$G$1,MATCH(G35,Tabella!$G:$G,0)-1,MATCH(H35,Tabella!$G$1:$AB$1,0)-1))</f>
        <v>0</v>
      </c>
      <c r="O35" s="126">
        <f ca="1">IF(ISERROR(OFFSET(Ottone!$F$1,MATCH(G35,Ottone!$A:$A,0)-1,MATCH(H35,Ottone!$F$1:$FF$1,0)-1)=TRUE),0,OFFSET(Ottone!$F$1,MATCH(G35,Ottone!$A:$A,0)-1,MATCH(H35,Ottone!$F$1:$FF$1,0)-1))*IF(D35="Ottone",1,0)</f>
        <v>0</v>
      </c>
      <c r="P35" s="126">
        <f ca="1">IF(ISERROR(OFFSET(Rame!$F$1,MATCH(G35,Rame!$F:$F,0)-1,MATCH(H35,Rame!$F$1:$FF$1,0)-1)=TRUE),0,OFFSET(Rame!$F$1,MATCH(G35,Rame!$F:$F,0)-1,MATCH(H35,Rame!$F$1:$FF$1,0)-1))*IF(D35="Rame",1,0)</f>
        <v>0</v>
      </c>
      <c r="Q35" s="126">
        <f t="shared" ca="1" si="1"/>
        <v>0</v>
      </c>
      <c r="R35" s="126">
        <f t="shared" si="7"/>
        <v>0</v>
      </c>
      <c r="S35" s="127"/>
      <c r="T35" s="128">
        <f t="shared" ca="1" si="3"/>
        <v>0</v>
      </c>
      <c r="U35" s="125">
        <f t="shared" si="4"/>
        <v>0</v>
      </c>
      <c r="V35" s="129"/>
      <c r="W35" s="130">
        <f t="shared" ca="1" si="5"/>
        <v>0</v>
      </c>
      <c r="X35" s="125">
        <f t="shared" ca="1" si="6"/>
        <v>0</v>
      </c>
      <c r="Y35" s="131"/>
      <c r="Z35" s="100"/>
    </row>
    <row r="36" spans="1:26" ht="15.75" thickBot="1" x14ac:dyDescent="0.3">
      <c r="A36" s="103"/>
      <c r="B36" s="88"/>
      <c r="C36" s="121"/>
      <c r="D36" s="89"/>
      <c r="E36" s="122"/>
      <c r="F36" s="123"/>
      <c r="G36" s="88"/>
      <c r="H36" s="88"/>
      <c r="I36" s="125"/>
      <c r="J36" s="115">
        <f ca="1">IF(ISERROR(OFFSET(Tabella!$A$1,MATCH(G36,Tabella!$A:$A,0)-1,MATCH(I36,Tabella!$A$1:$AC$1,0)-1)=TRUE),0,+OFFSET(Tabella!$A$1,MATCH(G36,Tabella!$A:$A,0)-1,MATCH(I36,Tabella!$A$1:$AC$1,0)-1))</f>
        <v>0</v>
      </c>
      <c r="K36" s="85">
        <f ca="1">IF(ISERROR(OFFSET(Ottone!$A$1,MATCH(G36,Ottone!$A:$A,0)-1,MATCH(I36,Ottone!$A$1:$Z$1,0)-1)=TRUE),0,OFFSET(Ottone!$A$1,MATCH(G36,Ottone!$A:$A,0)-1,MATCH(I36,Ottone!$A$1:$Z$1,0)-1))*IF(D36="Ottone",1,0)</f>
        <v>0</v>
      </c>
      <c r="L36" s="85">
        <f ca="1">IF(ISERROR(OFFSET(Rame!$A$1,MATCH(G36,Rame!$A:$A,0)-1,MATCH(I36,Rame!$A$1:$AA$1,0)-1)=TRUE),0,OFFSET(Rame!$A$1,MATCH(G36,Rame!$A:$A,0)-1,MATCH(I36,Rame!$A$1:$AA$1,0)-1))*IF(D36="Rame",1,0)</f>
        <v>0</v>
      </c>
      <c r="M36" s="126">
        <f t="shared" ca="1" si="0"/>
        <v>0</v>
      </c>
      <c r="N36" s="126">
        <f ca="1">+IF(ISERROR(OFFSET(Tabella!$G$1,MATCH(G36,Tabella!$G:$G,0)-1,MATCH(H36,Tabella!$G$1:$FG$1,0)-1)=TRUE),0,OFFSET(Tabella!$G$1,MATCH(G36,Tabella!$G:$G,0)-1,MATCH(H36,Tabella!$G$1:$AB$1,0)-1))</f>
        <v>0</v>
      </c>
      <c r="O36" s="126">
        <f ca="1">IF(ISERROR(OFFSET(Ottone!$F$1,MATCH(G36,Ottone!$A:$A,0)-1,MATCH(H36,Ottone!$F$1:$FF$1,0)-1)=TRUE),0,OFFSET(Ottone!$F$1,MATCH(G36,Ottone!$A:$A,0)-1,MATCH(H36,Ottone!$F$1:$FF$1,0)-1))*IF(D36="Ottone",1,0)</f>
        <v>0</v>
      </c>
      <c r="P36" s="126">
        <f ca="1">IF(ISERROR(OFFSET(Rame!$F$1,MATCH(G36,Rame!$F:$F,0)-1,MATCH(H36,Rame!$F$1:$FF$1,0)-1)=TRUE),0,OFFSET(Rame!$F$1,MATCH(G36,Rame!$F:$F,0)-1,MATCH(H36,Rame!$F$1:$FF$1,0)-1))*IF(D36="Rame",1,0)</f>
        <v>0</v>
      </c>
      <c r="Q36" s="126">
        <f t="shared" ca="1" si="1"/>
        <v>0</v>
      </c>
      <c r="R36" s="126">
        <f t="shared" si="7"/>
        <v>0</v>
      </c>
      <c r="S36" s="127"/>
      <c r="T36" s="128">
        <f t="shared" ca="1" si="3"/>
        <v>0</v>
      </c>
      <c r="U36" s="125">
        <f t="shared" si="4"/>
        <v>0</v>
      </c>
      <c r="V36" s="129"/>
      <c r="W36" s="130">
        <f t="shared" ca="1" si="5"/>
        <v>0</v>
      </c>
      <c r="X36" s="125">
        <f t="shared" ca="1" si="6"/>
        <v>0</v>
      </c>
      <c r="Y36" s="131"/>
      <c r="Z36" s="100"/>
    </row>
    <row r="37" spans="1:26" ht="15.75" thickBot="1" x14ac:dyDescent="0.3">
      <c r="A37" s="103"/>
      <c r="B37" s="88"/>
      <c r="C37" s="121"/>
      <c r="D37" s="89"/>
      <c r="E37" s="122"/>
      <c r="F37" s="123"/>
      <c r="G37" s="88"/>
      <c r="H37" s="88"/>
      <c r="I37" s="125"/>
      <c r="J37" s="115">
        <f ca="1">IF(ISERROR(OFFSET(Tabella!$A$1,MATCH(G37,Tabella!$A:$A,0)-1,MATCH(I37,Tabella!$A$1:$AC$1,0)-1)=TRUE),0,+OFFSET(Tabella!$A$1,MATCH(G37,Tabella!$A:$A,0)-1,MATCH(I37,Tabella!$A$1:$AC$1,0)-1))</f>
        <v>0</v>
      </c>
      <c r="K37" s="85">
        <f ca="1">IF(ISERROR(OFFSET(Ottone!$A$1,MATCH(G37,Ottone!$A:$A,0)-1,MATCH(I37,Ottone!$A$1:$Z$1,0)-1)=TRUE),0,OFFSET(Ottone!$A$1,MATCH(G37,Ottone!$A:$A,0)-1,MATCH(I37,Ottone!$A$1:$Z$1,0)-1))*IF(D37="Ottone",1,0)</f>
        <v>0</v>
      </c>
      <c r="L37" s="85">
        <f ca="1">IF(ISERROR(OFFSET(Rame!$A$1,MATCH(G37,Rame!$A:$A,0)-1,MATCH(I37,Rame!$A$1:$AA$1,0)-1)=TRUE),0,OFFSET(Rame!$A$1,MATCH(G37,Rame!$A:$A,0)-1,MATCH(I37,Rame!$A$1:$AA$1,0)-1))*IF(D37="Rame",1,0)</f>
        <v>0</v>
      </c>
      <c r="M37" s="126">
        <f t="shared" ca="1" si="0"/>
        <v>0</v>
      </c>
      <c r="N37" s="126">
        <f ca="1">+IF(ISERROR(OFFSET(Tabella!$G$1,MATCH(G37,Tabella!$G:$G,0)-1,MATCH(H37,Tabella!$G$1:$FG$1,0)-1)=TRUE),0,OFFSET(Tabella!$G$1,MATCH(G37,Tabella!$G:$G,0)-1,MATCH(H37,Tabella!$G$1:$AB$1,0)-1))</f>
        <v>0</v>
      </c>
      <c r="O37" s="126">
        <f ca="1">IF(ISERROR(OFFSET(Ottone!$F$1,MATCH(G37,Ottone!$A:$A,0)-1,MATCH(H37,Ottone!$F$1:$FF$1,0)-1)=TRUE),0,OFFSET(Ottone!$F$1,MATCH(G37,Ottone!$A:$A,0)-1,MATCH(H37,Ottone!$F$1:$FF$1,0)-1))*IF(D37="Ottone",1,0)</f>
        <v>0</v>
      </c>
      <c r="P37" s="126">
        <f ca="1">IF(ISERROR(OFFSET(Rame!$F$1,MATCH(G37,Rame!$F:$F,0)-1,MATCH(H37,Rame!$F$1:$FF$1,0)-1)=TRUE),0,OFFSET(Rame!$F$1,MATCH(G37,Rame!$F:$F,0)-1,MATCH(H37,Rame!$F$1:$FF$1,0)-1))*IF(D37="Rame",1,0)</f>
        <v>0</v>
      </c>
      <c r="Q37" s="126">
        <f t="shared" ca="1" si="1"/>
        <v>0</v>
      </c>
      <c r="R37" s="126">
        <f t="shared" si="7"/>
        <v>0</v>
      </c>
      <c r="S37" s="127"/>
      <c r="T37" s="128">
        <f t="shared" ca="1" si="3"/>
        <v>0</v>
      </c>
      <c r="U37" s="125">
        <f t="shared" si="4"/>
        <v>0</v>
      </c>
      <c r="V37" s="129"/>
      <c r="W37" s="130">
        <f t="shared" ca="1" si="5"/>
        <v>0</v>
      </c>
      <c r="X37" s="125">
        <f t="shared" ca="1" si="6"/>
        <v>0</v>
      </c>
      <c r="Y37" s="131"/>
      <c r="Z37" s="100"/>
    </row>
    <row r="38" spans="1:26" ht="15.75" thickBot="1" x14ac:dyDescent="0.3">
      <c r="A38" s="103"/>
      <c r="B38" s="88"/>
      <c r="C38" s="121"/>
      <c r="D38" s="89"/>
      <c r="E38" s="122"/>
      <c r="F38" s="123"/>
      <c r="G38" s="88"/>
      <c r="H38" s="88"/>
      <c r="I38" s="125"/>
      <c r="J38" s="115">
        <f ca="1">IF(ISERROR(OFFSET(Tabella!$A$1,MATCH(G38,Tabella!$A:$A,0)-1,MATCH(I38,Tabella!$A$1:$AC$1,0)-1)=TRUE),0,+OFFSET(Tabella!$A$1,MATCH(G38,Tabella!$A:$A,0)-1,MATCH(I38,Tabella!$A$1:$AC$1,0)-1))</f>
        <v>0</v>
      </c>
      <c r="K38" s="85">
        <f ca="1">IF(ISERROR(OFFSET(Ottone!$A$1,MATCH(G38,Ottone!$A:$A,0)-1,MATCH(I38,Ottone!$A$1:$Z$1,0)-1)=TRUE),0,OFFSET(Ottone!$A$1,MATCH(G38,Ottone!$A:$A,0)-1,MATCH(I38,Ottone!$A$1:$Z$1,0)-1))*IF(D38="Ottone",1,0)</f>
        <v>0</v>
      </c>
      <c r="L38" s="85">
        <f ca="1">IF(ISERROR(OFFSET(Rame!$A$1,MATCH(G38,Rame!$A:$A,0)-1,MATCH(I38,Rame!$A$1:$AA$1,0)-1)=TRUE),0,OFFSET(Rame!$A$1,MATCH(G38,Rame!$A:$A,0)-1,MATCH(I38,Rame!$A$1:$AA$1,0)-1))*IF(D38="Rame",1,0)</f>
        <v>0</v>
      </c>
      <c r="M38" s="126">
        <f t="shared" ca="1" si="0"/>
        <v>0</v>
      </c>
      <c r="N38" s="126">
        <f ca="1">+IF(ISERROR(OFFSET(Tabella!$G$1,MATCH(G38,Tabella!$G:$G,0)-1,MATCH(H38,Tabella!$G$1:$FG$1,0)-1)=TRUE),0,OFFSET(Tabella!$G$1,MATCH(G38,Tabella!$G:$G,0)-1,MATCH(H38,Tabella!$G$1:$AB$1,0)-1))</f>
        <v>0</v>
      </c>
      <c r="O38" s="126">
        <f ca="1">IF(ISERROR(OFFSET(Ottone!$F$1,MATCH(G38,Ottone!$A:$A,0)-1,MATCH(H38,Ottone!$F$1:$FF$1,0)-1)=TRUE),0,OFFSET(Ottone!$F$1,MATCH(G38,Ottone!$A:$A,0)-1,MATCH(H38,Ottone!$F$1:$FF$1,0)-1))*IF(D38="Ottone",1,0)</f>
        <v>0</v>
      </c>
      <c r="P38" s="126">
        <f ca="1">IF(ISERROR(OFFSET(Rame!$F$1,MATCH(G38,Rame!$F:$F,0)-1,MATCH(H38,Rame!$F$1:$FF$1,0)-1)=TRUE),0,OFFSET(Rame!$F$1,MATCH(G38,Rame!$F:$F,0)-1,MATCH(H38,Rame!$F$1:$FF$1,0)-1))*IF(D38="Rame",1,0)</f>
        <v>0</v>
      </c>
      <c r="Q38" s="126">
        <f t="shared" ca="1" si="1"/>
        <v>0</v>
      </c>
      <c r="R38" s="126">
        <f t="shared" si="7"/>
        <v>0</v>
      </c>
      <c r="S38" s="127"/>
      <c r="T38" s="128">
        <f t="shared" ca="1" si="3"/>
        <v>0</v>
      </c>
      <c r="U38" s="125">
        <f t="shared" si="4"/>
        <v>0</v>
      </c>
      <c r="V38" s="129"/>
      <c r="W38" s="130">
        <f t="shared" ca="1" si="5"/>
        <v>0</v>
      </c>
      <c r="X38" s="125">
        <f t="shared" ca="1" si="6"/>
        <v>0</v>
      </c>
      <c r="Y38" s="131"/>
      <c r="Z38" s="100"/>
    </row>
    <row r="39" spans="1:26" ht="15.75" thickBot="1" x14ac:dyDescent="0.3">
      <c r="A39" s="103"/>
      <c r="B39" s="88"/>
      <c r="C39" s="121"/>
      <c r="D39" s="89"/>
      <c r="E39" s="122"/>
      <c r="F39" s="123"/>
      <c r="G39" s="88"/>
      <c r="H39" s="88"/>
      <c r="I39" s="125"/>
      <c r="J39" s="115">
        <f ca="1">IF(ISERROR(OFFSET(Tabella!$A$1,MATCH(G39,Tabella!$A:$A,0)-1,MATCH(I39,Tabella!$A$1:$AC$1,0)-1)=TRUE),0,+OFFSET(Tabella!$A$1,MATCH(G39,Tabella!$A:$A,0)-1,MATCH(I39,Tabella!$A$1:$AC$1,0)-1))</f>
        <v>0</v>
      </c>
      <c r="K39" s="85">
        <f ca="1">IF(ISERROR(OFFSET(Ottone!$A$1,MATCH(G39,Ottone!$A:$A,0)-1,MATCH(I39,Ottone!$A$1:$Z$1,0)-1)=TRUE),0,OFFSET(Ottone!$A$1,MATCH(G39,Ottone!$A:$A,0)-1,MATCH(I39,Ottone!$A$1:$Z$1,0)-1))*IF(D39="Ottone",1,0)</f>
        <v>0</v>
      </c>
      <c r="L39" s="85">
        <f ca="1">IF(ISERROR(OFFSET(Rame!$A$1,MATCH(G39,Rame!$A:$A,0)-1,MATCH(I39,Rame!$A$1:$AA$1,0)-1)=TRUE),0,OFFSET(Rame!$A$1,MATCH(G39,Rame!$A:$A,0)-1,MATCH(I39,Rame!$A$1:$AA$1,0)-1))*IF(D39="Rame",1,0)</f>
        <v>0</v>
      </c>
      <c r="M39" s="126">
        <f t="shared" ca="1" si="0"/>
        <v>0</v>
      </c>
      <c r="N39" s="126">
        <f ca="1">+IF(ISERROR(OFFSET(Tabella!$G$1,MATCH(G39,Tabella!$G:$G,0)-1,MATCH(H39,Tabella!$G$1:$FG$1,0)-1)=TRUE),0,OFFSET(Tabella!$G$1,MATCH(G39,Tabella!$G:$G,0)-1,MATCH(H39,Tabella!$G$1:$AB$1,0)-1))</f>
        <v>0</v>
      </c>
      <c r="O39" s="126">
        <f ca="1">IF(ISERROR(OFFSET(Ottone!$F$1,MATCH(G39,Ottone!$A:$A,0)-1,MATCH(H39,Ottone!$F$1:$FF$1,0)-1)=TRUE),0,OFFSET(Ottone!$F$1,MATCH(G39,Ottone!$A:$A,0)-1,MATCH(H39,Ottone!$F$1:$FF$1,0)-1))*IF(D39="Ottone",1,0)</f>
        <v>0</v>
      </c>
      <c r="P39" s="126">
        <f ca="1">IF(ISERROR(OFFSET(Rame!$F$1,MATCH(G39,Rame!$F:$F,0)-1,MATCH(H39,Rame!$F$1:$FF$1,0)-1)=TRUE),0,OFFSET(Rame!$F$1,MATCH(G39,Rame!$F:$F,0)-1,MATCH(H39,Rame!$F$1:$FF$1,0)-1))*IF(D39="Rame",1,0)</f>
        <v>0</v>
      </c>
      <c r="Q39" s="126">
        <f t="shared" ca="1" si="1"/>
        <v>0</v>
      </c>
      <c r="R39" s="126">
        <f t="shared" si="7"/>
        <v>0</v>
      </c>
      <c r="S39" s="127"/>
      <c r="T39" s="128">
        <f t="shared" ca="1" si="3"/>
        <v>0</v>
      </c>
      <c r="U39" s="125">
        <f t="shared" si="4"/>
        <v>0</v>
      </c>
      <c r="V39" s="129"/>
      <c r="W39" s="130">
        <f t="shared" ca="1" si="5"/>
        <v>0</v>
      </c>
      <c r="X39" s="125">
        <f t="shared" ca="1" si="6"/>
        <v>0</v>
      </c>
      <c r="Y39" s="131"/>
      <c r="Z39" s="100"/>
    </row>
    <row r="40" spans="1:26" ht="15.75" thickBot="1" x14ac:dyDescent="0.3">
      <c r="A40" s="103"/>
      <c r="B40" s="88"/>
      <c r="C40" s="121"/>
      <c r="D40" s="89"/>
      <c r="E40" s="122"/>
      <c r="F40" s="123"/>
      <c r="G40" s="88"/>
      <c r="H40" s="88"/>
      <c r="I40" s="125"/>
      <c r="J40" s="115">
        <f ca="1">IF(ISERROR(OFFSET(Tabella!$A$1,MATCH(G40,Tabella!$A:$A,0)-1,MATCH(I40,Tabella!$A$1:$AC$1,0)-1)=TRUE),0,+OFFSET(Tabella!$A$1,MATCH(G40,Tabella!$A:$A,0)-1,MATCH(I40,Tabella!$A$1:$AC$1,0)-1))</f>
        <v>0</v>
      </c>
      <c r="K40" s="85">
        <f ca="1">IF(ISERROR(OFFSET(Ottone!$A$1,MATCH(G40,Ottone!$A:$A,0)-1,MATCH(I40,Ottone!$A$1:$Z$1,0)-1)=TRUE),0,OFFSET(Ottone!$A$1,MATCH(G40,Ottone!$A:$A,0)-1,MATCH(I40,Ottone!$A$1:$Z$1,0)-1))*IF(D40="Ottone",1,0)</f>
        <v>0</v>
      </c>
      <c r="L40" s="85">
        <f ca="1">IF(ISERROR(OFFSET(Rame!$A$1,MATCH(G40,Rame!$A:$A,0)-1,MATCH(I40,Rame!$A$1:$AA$1,0)-1)=TRUE),0,OFFSET(Rame!$A$1,MATCH(G40,Rame!$A:$A,0)-1,MATCH(I40,Rame!$A$1:$AA$1,0)-1))*IF(D40="Rame",1,0)</f>
        <v>0</v>
      </c>
      <c r="M40" s="126">
        <f t="shared" ca="1" si="0"/>
        <v>0</v>
      </c>
      <c r="N40" s="126">
        <f ca="1">+IF(ISERROR(OFFSET(Tabella!$G$1,MATCH(G40,Tabella!$G:$G,0)-1,MATCH(H40,Tabella!$G$1:$FG$1,0)-1)=TRUE),0,OFFSET(Tabella!$G$1,MATCH(G40,Tabella!$G:$G,0)-1,MATCH(H40,Tabella!$G$1:$AB$1,0)-1))</f>
        <v>0</v>
      </c>
      <c r="O40" s="126">
        <f ca="1">IF(ISERROR(OFFSET(Ottone!$F$1,MATCH(G40,Ottone!$A:$A,0)-1,MATCH(H40,Ottone!$F$1:$FF$1,0)-1)=TRUE),0,OFFSET(Ottone!$F$1,MATCH(G40,Ottone!$A:$A,0)-1,MATCH(H40,Ottone!$F$1:$FF$1,0)-1))*IF(D40="Ottone",1,0)</f>
        <v>0</v>
      </c>
      <c r="P40" s="126">
        <f ca="1">IF(ISERROR(OFFSET(Rame!$F$1,MATCH(G40,Rame!$F:$F,0)-1,MATCH(H40,Rame!$F$1:$FF$1,0)-1)=TRUE),0,OFFSET(Rame!$F$1,MATCH(G40,Rame!$F:$F,0)-1,MATCH(H40,Rame!$F$1:$FF$1,0)-1))*IF(D40="Rame",1,0)</f>
        <v>0</v>
      </c>
      <c r="Q40" s="126">
        <f t="shared" ca="1" si="1"/>
        <v>0</v>
      </c>
      <c r="R40" s="126">
        <f t="shared" si="7"/>
        <v>0</v>
      </c>
      <c r="S40" s="127"/>
      <c r="T40" s="128">
        <f t="shared" ca="1" si="3"/>
        <v>0</v>
      </c>
      <c r="U40" s="125">
        <f t="shared" si="4"/>
        <v>0</v>
      </c>
      <c r="V40" s="129"/>
      <c r="W40" s="130">
        <f t="shared" ca="1" si="5"/>
        <v>0</v>
      </c>
      <c r="X40" s="125">
        <f t="shared" ca="1" si="6"/>
        <v>0</v>
      </c>
      <c r="Y40" s="131"/>
      <c r="Z40" s="100"/>
    </row>
    <row r="41" spans="1:26" ht="15.75" thickBot="1" x14ac:dyDescent="0.3">
      <c r="A41" s="103"/>
      <c r="B41" s="88"/>
      <c r="C41" s="121"/>
      <c r="D41" s="89"/>
      <c r="E41" s="122"/>
      <c r="F41" s="123"/>
      <c r="G41" s="88"/>
      <c r="H41" s="88"/>
      <c r="I41" s="125"/>
      <c r="J41" s="115">
        <f ca="1">IF(ISERROR(OFFSET(Tabella!$A$1,MATCH(G41,Tabella!$A:$A,0)-1,MATCH(I41,Tabella!$A$1:$AC$1,0)-1)=TRUE),0,+OFFSET(Tabella!$A$1,MATCH(G41,Tabella!$A:$A,0)-1,MATCH(I41,Tabella!$A$1:$AC$1,0)-1))</f>
        <v>0</v>
      </c>
      <c r="K41" s="85">
        <f ca="1">IF(ISERROR(OFFSET(Ottone!$A$1,MATCH(G41,Ottone!$A:$A,0)-1,MATCH(I41,Ottone!$A$1:$Z$1,0)-1)=TRUE),0,OFFSET(Ottone!$A$1,MATCH(G41,Ottone!$A:$A,0)-1,MATCH(I41,Ottone!$A$1:$Z$1,0)-1))*IF(D41="Ottone",1,0)</f>
        <v>0</v>
      </c>
      <c r="L41" s="85">
        <f ca="1">IF(ISERROR(OFFSET(Rame!$A$1,MATCH(G41,Rame!$A:$A,0)-1,MATCH(I41,Rame!$A$1:$AA$1,0)-1)=TRUE),0,OFFSET(Rame!$A$1,MATCH(G41,Rame!$A:$A,0)-1,MATCH(I41,Rame!$A$1:$AA$1,0)-1))*IF(D41="Rame",1,0)</f>
        <v>0</v>
      </c>
      <c r="M41" s="126">
        <f t="shared" ca="1" si="0"/>
        <v>0</v>
      </c>
      <c r="N41" s="126">
        <f ca="1">+IF(ISERROR(OFFSET(Tabella!$G$1,MATCH(G41,Tabella!$G:$G,0)-1,MATCH(H41,Tabella!$G$1:$FG$1,0)-1)=TRUE),0,OFFSET(Tabella!$G$1,MATCH(G41,Tabella!$G:$G,0)-1,MATCH(H41,Tabella!$G$1:$AB$1,0)-1))</f>
        <v>0</v>
      </c>
      <c r="O41" s="126">
        <f ca="1">IF(ISERROR(OFFSET(Ottone!$F$1,MATCH(G41,Ottone!$A:$A,0)-1,MATCH(H41,Ottone!$F$1:$FF$1,0)-1)=TRUE),0,OFFSET(Ottone!$F$1,MATCH(G41,Ottone!$A:$A,0)-1,MATCH(H41,Ottone!$F$1:$FF$1,0)-1))*IF(D41="Ottone",1,0)</f>
        <v>0</v>
      </c>
      <c r="P41" s="126">
        <f ca="1">IF(ISERROR(OFFSET(Rame!$F$1,MATCH(G41,Rame!$F:$F,0)-1,MATCH(H41,Rame!$F$1:$FF$1,0)-1)=TRUE),0,OFFSET(Rame!$F$1,MATCH(G41,Rame!$F:$F,0)-1,MATCH(H41,Rame!$F$1:$FF$1,0)-1))*IF(D41="Rame",1,0)</f>
        <v>0</v>
      </c>
      <c r="Q41" s="126">
        <f t="shared" ca="1" si="1"/>
        <v>0</v>
      </c>
      <c r="R41" s="126">
        <f t="shared" si="7"/>
        <v>0</v>
      </c>
      <c r="S41" s="127"/>
      <c r="T41" s="128">
        <f t="shared" ca="1" si="3"/>
        <v>0</v>
      </c>
      <c r="U41" s="125">
        <f t="shared" si="4"/>
        <v>0</v>
      </c>
      <c r="V41" s="129"/>
      <c r="W41" s="130">
        <f t="shared" ca="1" si="5"/>
        <v>0</v>
      </c>
      <c r="X41" s="125">
        <f t="shared" ca="1" si="6"/>
        <v>0</v>
      </c>
      <c r="Y41" s="131"/>
      <c r="Z41" s="100"/>
    </row>
    <row r="42" spans="1:26" ht="15.75" thickBot="1" x14ac:dyDescent="0.3">
      <c r="A42" s="103"/>
      <c r="B42" s="88"/>
      <c r="C42" s="121"/>
      <c r="D42" s="89"/>
      <c r="E42" s="122"/>
      <c r="F42" s="123"/>
      <c r="G42" s="88"/>
      <c r="H42" s="88"/>
      <c r="I42" s="125"/>
      <c r="J42" s="115">
        <f ca="1">IF(ISERROR(OFFSET(Tabella!$A$1,MATCH(G42,Tabella!$A:$A,0)-1,MATCH(I42,Tabella!$A$1:$AC$1,0)-1)=TRUE),0,+OFFSET(Tabella!$A$1,MATCH(G42,Tabella!$A:$A,0)-1,MATCH(I42,Tabella!$A$1:$AC$1,0)-1))</f>
        <v>0</v>
      </c>
      <c r="K42" s="85">
        <f ca="1">IF(ISERROR(OFFSET(Ottone!$A$1,MATCH(G42,Ottone!$A:$A,0)-1,MATCH(I42,Ottone!$A$1:$Z$1,0)-1)=TRUE),0,OFFSET(Ottone!$A$1,MATCH(G42,Ottone!$A:$A,0)-1,MATCH(I42,Ottone!$A$1:$Z$1,0)-1))*IF(D42="Ottone",1,0)</f>
        <v>0</v>
      </c>
      <c r="L42" s="85">
        <f ca="1">IF(ISERROR(OFFSET(Rame!$A$1,MATCH(G42,Rame!$A:$A,0)-1,MATCH(I42,Rame!$A$1:$AA$1,0)-1)=TRUE),0,OFFSET(Rame!$A$1,MATCH(G42,Rame!$A:$A,0)-1,MATCH(I42,Rame!$A$1:$AA$1,0)-1))*IF(D42="Rame",1,0)</f>
        <v>0</v>
      </c>
      <c r="M42" s="126">
        <f t="shared" ca="1" si="0"/>
        <v>0</v>
      </c>
      <c r="N42" s="126">
        <f ca="1">+IF(ISERROR(OFFSET(Tabella!$G$1,MATCH(G42,Tabella!$G:$G,0)-1,MATCH(H42,Tabella!$G$1:$FG$1,0)-1)=TRUE),0,OFFSET(Tabella!$G$1,MATCH(G42,Tabella!$G:$G,0)-1,MATCH(H42,Tabella!$G$1:$AB$1,0)-1))</f>
        <v>0</v>
      </c>
      <c r="O42" s="126">
        <f ca="1">IF(ISERROR(OFFSET(Ottone!$F$1,MATCH(G42,Ottone!$A:$A,0)-1,MATCH(H42,Ottone!$F$1:$FF$1,0)-1)=TRUE),0,OFFSET(Ottone!$F$1,MATCH(G42,Ottone!$A:$A,0)-1,MATCH(H42,Ottone!$F$1:$FF$1,0)-1))*IF(D42="Ottone",1,0)</f>
        <v>0</v>
      </c>
      <c r="P42" s="126">
        <f ca="1">IF(ISERROR(OFFSET(Rame!$F$1,MATCH(G42,Rame!$F:$F,0)-1,MATCH(H42,Rame!$F$1:$FF$1,0)-1)=TRUE),0,OFFSET(Rame!$F$1,MATCH(G42,Rame!$F:$F,0)-1,MATCH(H42,Rame!$F$1:$FF$1,0)-1))*IF(D42="Rame",1,0)</f>
        <v>0</v>
      </c>
      <c r="Q42" s="126">
        <f t="shared" ca="1" si="1"/>
        <v>0</v>
      </c>
      <c r="R42" s="126">
        <f t="shared" si="7"/>
        <v>0</v>
      </c>
      <c r="S42" s="127"/>
      <c r="T42" s="128">
        <f t="shared" ca="1" si="3"/>
        <v>0</v>
      </c>
      <c r="U42" s="125">
        <f t="shared" si="4"/>
        <v>0</v>
      </c>
      <c r="V42" s="129"/>
      <c r="W42" s="130">
        <f t="shared" ca="1" si="5"/>
        <v>0</v>
      </c>
      <c r="X42" s="125">
        <f t="shared" ca="1" si="6"/>
        <v>0</v>
      </c>
      <c r="Y42" s="131"/>
      <c r="Z42" s="100"/>
    </row>
    <row r="43" spans="1:26" ht="15.75" thickBot="1" x14ac:dyDescent="0.3">
      <c r="A43" s="103"/>
      <c r="B43" s="88"/>
      <c r="C43" s="121"/>
      <c r="D43" s="89"/>
      <c r="E43" s="122"/>
      <c r="F43" s="123"/>
      <c r="G43" s="88"/>
      <c r="H43" s="88"/>
      <c r="I43" s="125"/>
      <c r="J43" s="115">
        <f ca="1">IF(ISERROR(OFFSET(Tabella!$A$1,MATCH(G43,Tabella!$A:$A,0)-1,MATCH(I43,Tabella!$A$1:$AC$1,0)-1)=TRUE),0,+OFFSET(Tabella!$A$1,MATCH(G43,Tabella!$A:$A,0)-1,MATCH(I43,Tabella!$A$1:$AC$1,0)-1))</f>
        <v>0</v>
      </c>
      <c r="K43" s="85">
        <f ca="1">IF(ISERROR(OFFSET(Ottone!$A$1,MATCH(G43,Ottone!$A:$A,0)-1,MATCH(I43,Ottone!$A$1:$Z$1,0)-1)=TRUE),0,OFFSET(Ottone!$A$1,MATCH(G43,Ottone!$A:$A,0)-1,MATCH(I43,Ottone!$A$1:$Z$1,0)-1))*IF(D43="Ottone",1,0)</f>
        <v>0</v>
      </c>
      <c r="L43" s="85">
        <f ca="1">IF(ISERROR(OFFSET(Rame!$A$1,MATCH(G43,Rame!$A:$A,0)-1,MATCH(I43,Rame!$A$1:$AA$1,0)-1)=TRUE),0,OFFSET(Rame!$A$1,MATCH(G43,Rame!$A:$A,0)-1,MATCH(I43,Rame!$A$1:$AA$1,0)-1))*IF(D43="Rame",1,0)</f>
        <v>0</v>
      </c>
      <c r="M43" s="126">
        <f t="shared" ca="1" si="0"/>
        <v>0</v>
      </c>
      <c r="N43" s="126">
        <f ca="1">+IF(ISERROR(OFFSET(Tabella!$G$1,MATCH(G43,Tabella!$G:$G,0)-1,MATCH(H43,Tabella!$G$1:$FG$1,0)-1)=TRUE),0,OFFSET(Tabella!$G$1,MATCH(G43,Tabella!$G:$G,0)-1,MATCH(H43,Tabella!$G$1:$AB$1,0)-1))</f>
        <v>0</v>
      </c>
      <c r="O43" s="126">
        <f ca="1">IF(ISERROR(OFFSET(Ottone!$F$1,MATCH(G43,Ottone!$A:$A,0)-1,MATCH(H43,Ottone!$F$1:$FF$1,0)-1)=TRUE),0,OFFSET(Ottone!$F$1,MATCH(G43,Ottone!$A:$A,0)-1,MATCH(H43,Ottone!$F$1:$FF$1,0)-1))*IF(D43="Ottone",1,0)</f>
        <v>0</v>
      </c>
      <c r="P43" s="126">
        <f ca="1">IF(ISERROR(OFFSET(Rame!$F$1,MATCH(G43,Rame!$F:$F,0)-1,MATCH(H43,Rame!$F$1:$FF$1,0)-1)=TRUE),0,OFFSET(Rame!$F$1,MATCH(G43,Rame!$F:$F,0)-1,MATCH(H43,Rame!$F$1:$FF$1,0)-1))*IF(D43="Rame",1,0)</f>
        <v>0</v>
      </c>
      <c r="Q43" s="126">
        <f t="shared" ca="1" si="1"/>
        <v>0</v>
      </c>
      <c r="R43" s="126">
        <f t="shared" si="7"/>
        <v>0</v>
      </c>
      <c r="S43" s="127"/>
      <c r="T43" s="128">
        <f t="shared" ca="1" si="3"/>
        <v>0</v>
      </c>
      <c r="U43" s="125">
        <f t="shared" si="4"/>
        <v>0</v>
      </c>
      <c r="V43" s="129"/>
      <c r="W43" s="130">
        <f t="shared" ca="1" si="5"/>
        <v>0</v>
      </c>
      <c r="X43" s="125">
        <f t="shared" ca="1" si="6"/>
        <v>0</v>
      </c>
      <c r="Y43" s="131"/>
      <c r="Z43" s="100"/>
    </row>
    <row r="44" spans="1:26" ht="15.75" thickBot="1" x14ac:dyDescent="0.3">
      <c r="A44" s="103"/>
      <c r="B44" s="88"/>
      <c r="C44" s="121"/>
      <c r="D44" s="89"/>
      <c r="E44" s="122"/>
      <c r="F44" s="123"/>
      <c r="G44" s="88"/>
      <c r="H44" s="88"/>
      <c r="I44" s="125"/>
      <c r="J44" s="115">
        <f ca="1">IF(ISERROR(OFFSET(Tabella!$A$1,MATCH(G44,Tabella!$A:$A,0)-1,MATCH(I44,Tabella!$A$1:$AC$1,0)-1)=TRUE),0,+OFFSET(Tabella!$A$1,MATCH(G44,Tabella!$A:$A,0)-1,MATCH(I44,Tabella!$A$1:$AC$1,0)-1))</f>
        <v>0</v>
      </c>
      <c r="K44" s="85">
        <f ca="1">IF(ISERROR(OFFSET(Ottone!$A$1,MATCH(G44,Ottone!$A:$A,0)-1,MATCH(I44,Ottone!$A$1:$Z$1,0)-1)=TRUE),0,OFFSET(Ottone!$A$1,MATCH(G44,Ottone!$A:$A,0)-1,MATCH(I44,Ottone!$A$1:$Z$1,0)-1))*IF(D44="Ottone",1,0)</f>
        <v>0</v>
      </c>
      <c r="L44" s="85">
        <f ca="1">IF(ISERROR(OFFSET(Rame!$A$1,MATCH(G44,Rame!$A:$A,0)-1,MATCH(I44,Rame!$A$1:$AA$1,0)-1)=TRUE),0,OFFSET(Rame!$A$1,MATCH(G44,Rame!$A:$A,0)-1,MATCH(I44,Rame!$A$1:$AA$1,0)-1))*IF(D44="Rame",1,0)</f>
        <v>0</v>
      </c>
      <c r="M44" s="126">
        <f t="shared" ca="1" si="0"/>
        <v>0</v>
      </c>
      <c r="N44" s="126">
        <f ca="1">+IF(ISERROR(OFFSET(Tabella!$G$1,MATCH(G44,Tabella!$G:$G,0)-1,MATCH(H44,Tabella!$G$1:$FG$1,0)-1)=TRUE),0,OFFSET(Tabella!$G$1,MATCH(G44,Tabella!$G:$G,0)-1,MATCH(H44,Tabella!$G$1:$AB$1,0)-1))</f>
        <v>0</v>
      </c>
      <c r="O44" s="126">
        <f ca="1">IF(ISERROR(OFFSET(Ottone!$F$1,MATCH(G44,Ottone!$A:$A,0)-1,MATCH(H44,Ottone!$F$1:$FF$1,0)-1)=TRUE),0,OFFSET(Ottone!$F$1,MATCH(G44,Ottone!$A:$A,0)-1,MATCH(H44,Ottone!$F$1:$FF$1,0)-1))*IF(D44="Ottone",1,0)</f>
        <v>0</v>
      </c>
      <c r="P44" s="126">
        <f ca="1">IF(ISERROR(OFFSET(Rame!$F$1,MATCH(G44,Rame!$F:$F,0)-1,MATCH(H44,Rame!$F$1:$FF$1,0)-1)=TRUE),0,OFFSET(Rame!$F$1,MATCH(G44,Rame!$F:$F,0)-1,MATCH(H44,Rame!$F$1:$FF$1,0)-1))*IF(D44="Rame",1,0)</f>
        <v>0</v>
      </c>
      <c r="Q44" s="126">
        <f t="shared" ca="1" si="1"/>
        <v>0</v>
      </c>
      <c r="R44" s="126">
        <f t="shared" si="7"/>
        <v>0</v>
      </c>
      <c r="S44" s="127"/>
      <c r="T44" s="128">
        <f t="shared" ca="1" si="3"/>
        <v>0</v>
      </c>
      <c r="U44" s="125">
        <f t="shared" si="4"/>
        <v>0</v>
      </c>
      <c r="V44" s="129"/>
      <c r="W44" s="130">
        <f t="shared" ca="1" si="5"/>
        <v>0</v>
      </c>
      <c r="X44" s="125">
        <f t="shared" ca="1" si="6"/>
        <v>0</v>
      </c>
      <c r="Y44" s="131"/>
      <c r="Z44" s="100"/>
    </row>
    <row r="45" spans="1:26" ht="15.75" thickBot="1" x14ac:dyDescent="0.3">
      <c r="A45" s="103"/>
      <c r="B45" s="88"/>
      <c r="C45" s="121"/>
      <c r="D45" s="89"/>
      <c r="E45" s="122"/>
      <c r="F45" s="123"/>
      <c r="G45" s="88"/>
      <c r="H45" s="88"/>
      <c r="I45" s="125"/>
      <c r="J45" s="115">
        <f ca="1">IF(ISERROR(OFFSET(Tabella!$A$1,MATCH(G45,Tabella!$A:$A,0)-1,MATCH(I45,Tabella!$A$1:$AC$1,0)-1)=TRUE),0,+OFFSET(Tabella!$A$1,MATCH(G45,Tabella!$A:$A,0)-1,MATCH(I45,Tabella!$A$1:$AC$1,0)-1))</f>
        <v>0</v>
      </c>
      <c r="K45" s="85">
        <f ca="1">IF(ISERROR(OFFSET(Ottone!$A$1,MATCH(G45,Ottone!$A:$A,0)-1,MATCH(I45,Ottone!$A$1:$Z$1,0)-1)=TRUE),0,OFFSET(Ottone!$A$1,MATCH(G45,Ottone!$A:$A,0)-1,MATCH(I45,Ottone!$A$1:$Z$1,0)-1))*IF(D45="Ottone",1,0)</f>
        <v>0</v>
      </c>
      <c r="L45" s="85">
        <f ca="1">IF(ISERROR(OFFSET(Rame!$A$1,MATCH(G45,Rame!$A:$A,0)-1,MATCH(I45,Rame!$A$1:$AA$1,0)-1)=TRUE),0,OFFSET(Rame!$A$1,MATCH(G45,Rame!$A:$A,0)-1,MATCH(I45,Rame!$A$1:$AA$1,0)-1))*IF(D45="Rame",1,0)</f>
        <v>0</v>
      </c>
      <c r="M45" s="126">
        <f t="shared" ca="1" si="0"/>
        <v>0</v>
      </c>
      <c r="N45" s="126">
        <f ca="1">+IF(ISERROR(OFFSET(Tabella!$G$1,MATCH(G45,Tabella!$G:$G,0)-1,MATCH(H45,Tabella!$G$1:$FG$1,0)-1)=TRUE),0,OFFSET(Tabella!$G$1,MATCH(G45,Tabella!$G:$G,0)-1,MATCH(H45,Tabella!$G$1:$AB$1,0)-1))</f>
        <v>0</v>
      </c>
      <c r="O45" s="126">
        <f ca="1">IF(ISERROR(OFFSET(Ottone!$F$1,MATCH(G45,Ottone!$A:$A,0)-1,MATCH(H45,Ottone!$F$1:$FF$1,0)-1)=TRUE),0,OFFSET(Ottone!$F$1,MATCH(G45,Ottone!$A:$A,0)-1,MATCH(H45,Ottone!$F$1:$FF$1,0)-1))*IF(D45="Ottone",1,0)</f>
        <v>0</v>
      </c>
      <c r="P45" s="126">
        <f ca="1">IF(ISERROR(OFFSET(Rame!$F$1,MATCH(G45,Rame!$F:$F,0)-1,MATCH(H45,Rame!$F$1:$FF$1,0)-1)=TRUE),0,OFFSET(Rame!$F$1,MATCH(G45,Rame!$F:$F,0)-1,MATCH(H45,Rame!$F$1:$FF$1,0)-1))*IF(D45="Rame",1,0)</f>
        <v>0</v>
      </c>
      <c r="Q45" s="126">
        <f t="shared" ca="1" si="1"/>
        <v>0</v>
      </c>
      <c r="R45" s="126">
        <f t="shared" si="7"/>
        <v>0</v>
      </c>
      <c r="S45" s="127"/>
      <c r="T45" s="128">
        <f t="shared" ca="1" si="3"/>
        <v>0</v>
      </c>
      <c r="U45" s="125">
        <f t="shared" si="4"/>
        <v>0</v>
      </c>
      <c r="V45" s="129"/>
      <c r="W45" s="130">
        <f t="shared" ca="1" si="5"/>
        <v>0</v>
      </c>
      <c r="X45" s="125">
        <f t="shared" ca="1" si="6"/>
        <v>0</v>
      </c>
      <c r="Y45" s="131"/>
      <c r="Z45" s="100"/>
    </row>
    <row r="46" spans="1:26" ht="15.75" thickBot="1" x14ac:dyDescent="0.3">
      <c r="A46" s="103"/>
      <c r="B46" s="88"/>
      <c r="C46" s="121"/>
      <c r="D46" s="89"/>
      <c r="E46" s="122"/>
      <c r="F46" s="123"/>
      <c r="G46" s="88"/>
      <c r="H46" s="88"/>
      <c r="I46" s="125"/>
      <c r="J46" s="115">
        <f ca="1">IF(ISERROR(OFFSET(Tabella!$A$1,MATCH(G46,Tabella!$A:$A,0)-1,MATCH(I46,Tabella!$A$1:$AC$1,0)-1)=TRUE),0,+OFFSET(Tabella!$A$1,MATCH(G46,Tabella!$A:$A,0)-1,MATCH(I46,Tabella!$A$1:$AC$1,0)-1))</f>
        <v>0</v>
      </c>
      <c r="K46" s="85">
        <f ca="1">IF(ISERROR(OFFSET(Ottone!$A$1,MATCH(G46,Ottone!$A:$A,0)-1,MATCH(I46,Ottone!$A$1:$Z$1,0)-1)=TRUE),0,OFFSET(Ottone!$A$1,MATCH(G46,Ottone!$A:$A,0)-1,MATCH(I46,Ottone!$A$1:$Z$1,0)-1))*IF(D46="Ottone",1,0)</f>
        <v>0</v>
      </c>
      <c r="L46" s="85">
        <f ca="1">IF(ISERROR(OFFSET(Rame!$A$1,MATCH(G46,Rame!$A:$A,0)-1,MATCH(I46,Rame!$A$1:$AA$1,0)-1)=TRUE),0,OFFSET(Rame!$A$1,MATCH(G46,Rame!$A:$A,0)-1,MATCH(I46,Rame!$A$1:$AA$1,0)-1))*IF(D46="Rame",1,0)</f>
        <v>0</v>
      </c>
      <c r="M46" s="126">
        <f t="shared" ca="1" si="0"/>
        <v>0</v>
      </c>
      <c r="N46" s="126">
        <f ca="1">+IF(ISERROR(OFFSET(Tabella!$G$1,MATCH(G46,Tabella!$G:$G,0)-1,MATCH(H46,Tabella!$G$1:$FG$1,0)-1)=TRUE),0,OFFSET(Tabella!$G$1,MATCH(G46,Tabella!$G:$G,0)-1,MATCH(H46,Tabella!$G$1:$AB$1,0)-1))</f>
        <v>0</v>
      </c>
      <c r="O46" s="126">
        <f ca="1">IF(ISERROR(OFFSET(Ottone!$F$1,MATCH(G46,Ottone!$A:$A,0)-1,MATCH(H46,Ottone!$F$1:$FF$1,0)-1)=TRUE),0,OFFSET(Ottone!$F$1,MATCH(G46,Ottone!$A:$A,0)-1,MATCH(H46,Ottone!$F$1:$FF$1,0)-1))*IF(D46="Ottone",1,0)</f>
        <v>0</v>
      </c>
      <c r="P46" s="126">
        <f ca="1">IF(ISERROR(OFFSET(Rame!$F$1,MATCH(G46,Rame!$F:$F,0)-1,MATCH(H46,Rame!$F$1:$FF$1,0)-1)=TRUE),0,OFFSET(Rame!$F$1,MATCH(G46,Rame!$F:$F,0)-1,MATCH(H46,Rame!$F$1:$FF$1,0)-1))*IF(D46="Rame",1,0)</f>
        <v>0</v>
      </c>
      <c r="Q46" s="126">
        <f t="shared" ca="1" si="1"/>
        <v>0</v>
      </c>
      <c r="R46" s="126">
        <f t="shared" si="7"/>
        <v>0</v>
      </c>
      <c r="S46" s="127"/>
      <c r="T46" s="128">
        <f t="shared" ca="1" si="3"/>
        <v>0</v>
      </c>
      <c r="U46" s="125">
        <f t="shared" si="4"/>
        <v>0</v>
      </c>
      <c r="V46" s="129"/>
      <c r="W46" s="130">
        <f t="shared" ca="1" si="5"/>
        <v>0</v>
      </c>
      <c r="X46" s="125">
        <f t="shared" ca="1" si="6"/>
        <v>0</v>
      </c>
      <c r="Y46" s="131"/>
      <c r="Z46" s="100"/>
    </row>
    <row r="47" spans="1:26" ht="15.75" thickBot="1" x14ac:dyDescent="0.3">
      <c r="A47" s="103"/>
      <c r="B47" s="88"/>
      <c r="C47" s="121"/>
      <c r="D47" s="89"/>
      <c r="E47" s="122"/>
      <c r="F47" s="123"/>
      <c r="G47" s="88"/>
      <c r="H47" s="88"/>
      <c r="I47" s="125"/>
      <c r="J47" s="115">
        <f ca="1">IF(ISERROR(OFFSET(Tabella!$A$1,MATCH(G47,Tabella!$A:$A,0)-1,MATCH(I47,Tabella!$A$1:$AC$1,0)-1)=TRUE),0,+OFFSET(Tabella!$A$1,MATCH(G47,Tabella!$A:$A,0)-1,MATCH(I47,Tabella!$A$1:$AC$1,0)-1))</f>
        <v>0</v>
      </c>
      <c r="K47" s="85">
        <f ca="1">IF(ISERROR(OFFSET(Ottone!$A$1,MATCH(G47,Ottone!$A:$A,0)-1,MATCH(I47,Ottone!$A$1:$Z$1,0)-1)=TRUE),0,OFFSET(Ottone!$A$1,MATCH(G47,Ottone!$A:$A,0)-1,MATCH(I47,Ottone!$A$1:$Z$1,0)-1))*IF(D47="Ottone",1,0)</f>
        <v>0</v>
      </c>
      <c r="L47" s="85">
        <f ca="1">IF(ISERROR(OFFSET(Rame!$A$1,MATCH(G47,Rame!$A:$A,0)-1,MATCH(I47,Rame!$A$1:$AA$1,0)-1)=TRUE),0,OFFSET(Rame!$A$1,MATCH(G47,Rame!$A:$A,0)-1,MATCH(I47,Rame!$A$1:$AA$1,0)-1))*IF(D47="Rame",1,0)</f>
        <v>0</v>
      </c>
      <c r="M47" s="126">
        <f t="shared" ca="1" si="0"/>
        <v>0</v>
      </c>
      <c r="N47" s="126">
        <f ca="1">+IF(ISERROR(OFFSET(Tabella!$G$1,MATCH(G47,Tabella!$G:$G,0)-1,MATCH(H47,Tabella!$G$1:$FG$1,0)-1)=TRUE),0,OFFSET(Tabella!$G$1,MATCH(G47,Tabella!$G:$G,0)-1,MATCH(H47,Tabella!$G$1:$AB$1,0)-1))</f>
        <v>0</v>
      </c>
      <c r="O47" s="126">
        <f ca="1">IF(ISERROR(OFFSET(Ottone!$F$1,MATCH(G47,Ottone!$A:$A,0)-1,MATCH(H47,Ottone!$F$1:$FF$1,0)-1)=TRUE),0,OFFSET(Ottone!$F$1,MATCH(G47,Ottone!$A:$A,0)-1,MATCH(H47,Ottone!$F$1:$FF$1,0)-1))*IF(D47="Ottone",1,0)</f>
        <v>0</v>
      </c>
      <c r="P47" s="126">
        <f ca="1">IF(ISERROR(OFFSET(Rame!$F$1,MATCH(G47,Rame!$F:$F,0)-1,MATCH(H47,Rame!$F$1:$FF$1,0)-1)=TRUE),0,OFFSET(Rame!$F$1,MATCH(G47,Rame!$F:$F,0)-1,MATCH(H47,Rame!$F$1:$FF$1,0)-1))*IF(D47="Rame",1,0)</f>
        <v>0</v>
      </c>
      <c r="Q47" s="126">
        <f t="shared" ca="1" si="1"/>
        <v>0</v>
      </c>
      <c r="R47" s="126">
        <f t="shared" si="7"/>
        <v>0</v>
      </c>
      <c r="S47" s="127"/>
      <c r="T47" s="128">
        <f t="shared" ca="1" si="3"/>
        <v>0</v>
      </c>
      <c r="U47" s="125">
        <f t="shared" si="4"/>
        <v>0</v>
      </c>
      <c r="V47" s="129"/>
      <c r="W47" s="130">
        <f t="shared" ca="1" si="5"/>
        <v>0</v>
      </c>
      <c r="X47" s="125">
        <f t="shared" ca="1" si="6"/>
        <v>0</v>
      </c>
      <c r="Y47" s="131"/>
      <c r="Z47" s="100"/>
    </row>
    <row r="48" spans="1:26" ht="15.75" thickBot="1" x14ac:dyDescent="0.3">
      <c r="A48" s="103"/>
      <c r="B48" s="88"/>
      <c r="C48" s="121"/>
      <c r="D48" s="89"/>
      <c r="E48" s="122"/>
      <c r="F48" s="123"/>
      <c r="G48" s="88"/>
      <c r="H48" s="88"/>
      <c r="I48" s="125"/>
      <c r="J48" s="115">
        <f ca="1">IF(ISERROR(OFFSET(Tabella!$A$1,MATCH(G48,Tabella!$A:$A,0)-1,MATCH(I48,Tabella!$A$1:$AC$1,0)-1)=TRUE),0,+OFFSET(Tabella!$A$1,MATCH(G48,Tabella!$A:$A,0)-1,MATCH(I48,Tabella!$A$1:$AC$1,0)-1))</f>
        <v>0</v>
      </c>
      <c r="K48" s="85">
        <f ca="1">IF(ISERROR(OFFSET(Ottone!$A$1,MATCH(G48,Ottone!$A:$A,0)-1,MATCH(I48,Ottone!$A$1:$Z$1,0)-1)=TRUE),0,OFFSET(Ottone!$A$1,MATCH(G48,Ottone!$A:$A,0)-1,MATCH(I48,Ottone!$A$1:$Z$1,0)-1))*IF(D48="Ottone",1,0)</f>
        <v>0</v>
      </c>
      <c r="L48" s="85">
        <f ca="1">IF(ISERROR(OFFSET(Rame!$A$1,MATCH(G48,Rame!$A:$A,0)-1,MATCH(I48,Rame!$A$1:$AA$1,0)-1)=TRUE),0,OFFSET(Rame!$A$1,MATCH(G48,Rame!$A:$A,0)-1,MATCH(I48,Rame!$A$1:$AA$1,0)-1))*IF(D48="Rame",1,0)</f>
        <v>0</v>
      </c>
      <c r="M48" s="126">
        <f t="shared" ca="1" si="0"/>
        <v>0</v>
      </c>
      <c r="N48" s="126">
        <f ca="1">+IF(ISERROR(OFFSET(Tabella!$G$1,MATCH(G48,Tabella!$G:$G,0)-1,MATCH(H48,Tabella!$G$1:$FG$1,0)-1)=TRUE),0,OFFSET(Tabella!$G$1,MATCH(G48,Tabella!$G:$G,0)-1,MATCH(H48,Tabella!$G$1:$AB$1,0)-1))</f>
        <v>0</v>
      </c>
      <c r="O48" s="126">
        <f ca="1">IF(ISERROR(OFFSET(Ottone!$F$1,MATCH(G48,Ottone!$A:$A,0)-1,MATCH(H48,Ottone!$F$1:$FF$1,0)-1)=TRUE),0,OFFSET(Ottone!$F$1,MATCH(G48,Ottone!$A:$A,0)-1,MATCH(H48,Ottone!$F$1:$FF$1,0)-1))*IF(D48="Ottone",1,0)</f>
        <v>0</v>
      </c>
      <c r="P48" s="126">
        <f ca="1">IF(ISERROR(OFFSET(Rame!$F$1,MATCH(G48,Rame!$F:$F,0)-1,MATCH(H48,Rame!$F$1:$FF$1,0)-1)=TRUE),0,OFFSET(Rame!$F$1,MATCH(G48,Rame!$F:$F,0)-1,MATCH(H48,Rame!$F$1:$FF$1,0)-1))*IF(D48="Rame",1,0)</f>
        <v>0</v>
      </c>
      <c r="Q48" s="126">
        <f t="shared" ca="1" si="1"/>
        <v>0</v>
      </c>
      <c r="R48" s="126">
        <f t="shared" si="7"/>
        <v>0</v>
      </c>
      <c r="S48" s="127"/>
      <c r="T48" s="128">
        <f t="shared" ca="1" si="3"/>
        <v>0</v>
      </c>
      <c r="U48" s="125">
        <f t="shared" si="4"/>
        <v>0</v>
      </c>
      <c r="V48" s="129"/>
      <c r="W48" s="130">
        <f t="shared" ca="1" si="5"/>
        <v>0</v>
      </c>
      <c r="X48" s="125">
        <f t="shared" ca="1" si="6"/>
        <v>0</v>
      </c>
      <c r="Y48" s="131"/>
      <c r="Z48" s="100"/>
    </row>
    <row r="49" spans="1:26" ht="15.75" thickBot="1" x14ac:dyDescent="0.3">
      <c r="A49" s="103"/>
      <c r="B49" s="88"/>
      <c r="C49" s="121"/>
      <c r="D49" s="89"/>
      <c r="E49" s="122"/>
      <c r="F49" s="123"/>
      <c r="G49" s="88"/>
      <c r="H49" s="88"/>
      <c r="I49" s="125"/>
      <c r="J49" s="115">
        <f ca="1">IF(ISERROR(OFFSET(Tabella!$A$1,MATCH(G49,Tabella!$A:$A,0)-1,MATCH(I49,Tabella!$A$1:$AC$1,0)-1)=TRUE),0,+OFFSET(Tabella!$A$1,MATCH(G49,Tabella!$A:$A,0)-1,MATCH(I49,Tabella!$A$1:$AC$1,0)-1))</f>
        <v>0</v>
      </c>
      <c r="K49" s="85">
        <f ca="1">IF(ISERROR(OFFSET(Ottone!$A$1,MATCH(G49,Ottone!$A:$A,0)-1,MATCH(I49,Ottone!$A$1:$Z$1,0)-1)=TRUE),0,OFFSET(Ottone!$A$1,MATCH(G49,Ottone!$A:$A,0)-1,MATCH(I49,Ottone!$A$1:$Z$1,0)-1))*IF(D49="Ottone",1,0)</f>
        <v>0</v>
      </c>
      <c r="L49" s="85">
        <f ca="1">IF(ISERROR(OFFSET(Rame!$A$1,MATCH(G49,Rame!$A:$A,0)-1,MATCH(I49,Rame!$A$1:$AA$1,0)-1)=TRUE),0,OFFSET(Rame!$A$1,MATCH(G49,Rame!$A:$A,0)-1,MATCH(I49,Rame!$A$1:$AA$1,0)-1))*IF(D49="Rame",1,0)</f>
        <v>0</v>
      </c>
      <c r="M49" s="126">
        <f t="shared" ca="1" si="0"/>
        <v>0</v>
      </c>
      <c r="N49" s="126">
        <f ca="1">+IF(ISERROR(OFFSET(Tabella!$G$1,MATCH(G49,Tabella!$G:$G,0)-1,MATCH(H49,Tabella!$G$1:$FG$1,0)-1)=TRUE),0,OFFSET(Tabella!$G$1,MATCH(G49,Tabella!$G:$G,0)-1,MATCH(H49,Tabella!$G$1:$AB$1,0)-1))</f>
        <v>0</v>
      </c>
      <c r="O49" s="126">
        <f ca="1">IF(ISERROR(OFFSET(Ottone!$F$1,MATCH(G49,Ottone!$A:$A,0)-1,MATCH(H49,Ottone!$F$1:$FF$1,0)-1)=TRUE),0,OFFSET(Ottone!$F$1,MATCH(G49,Ottone!$A:$A,0)-1,MATCH(H49,Ottone!$F$1:$FF$1,0)-1))*IF(D49="Ottone",1,0)</f>
        <v>0</v>
      </c>
      <c r="P49" s="126">
        <f ca="1">IF(ISERROR(OFFSET(Rame!$F$1,MATCH(G49,Rame!$F:$F,0)-1,MATCH(H49,Rame!$F$1:$FF$1,0)-1)=TRUE),0,OFFSET(Rame!$F$1,MATCH(G49,Rame!$F:$F,0)-1,MATCH(H49,Rame!$F$1:$FF$1,0)-1))*IF(D49="Rame",1,0)</f>
        <v>0</v>
      </c>
      <c r="Q49" s="126">
        <f t="shared" ca="1" si="1"/>
        <v>0</v>
      </c>
      <c r="R49" s="126">
        <f t="shared" si="7"/>
        <v>0</v>
      </c>
      <c r="S49" s="127"/>
      <c r="T49" s="128">
        <f t="shared" ca="1" si="3"/>
        <v>0</v>
      </c>
      <c r="U49" s="125">
        <f t="shared" si="4"/>
        <v>0</v>
      </c>
      <c r="V49" s="129"/>
      <c r="W49" s="130">
        <f t="shared" ca="1" si="5"/>
        <v>0</v>
      </c>
      <c r="X49" s="125">
        <f t="shared" ca="1" si="6"/>
        <v>0</v>
      </c>
      <c r="Y49" s="131"/>
      <c r="Z49" s="100"/>
    </row>
    <row r="50" spans="1:26" ht="15.75" thickBot="1" x14ac:dyDescent="0.3">
      <c r="A50" s="103"/>
      <c r="B50" s="88"/>
      <c r="C50" s="121"/>
      <c r="D50" s="89"/>
      <c r="E50" s="122"/>
      <c r="F50" s="123"/>
      <c r="G50" s="88"/>
      <c r="H50" s="124"/>
      <c r="I50" s="125"/>
      <c r="J50" s="115">
        <f ca="1">IF(ISERROR(OFFSET(Tabella!$A$1,MATCH(G50,Tabella!$A:$A,0)-1,MATCH(I50,Tabella!$A$1:$AC$1,0)-1)=TRUE),0,+OFFSET(Tabella!$A$1,MATCH(G50,Tabella!$A:$A,0)-1,MATCH(I50,Tabella!$A$1:$AC$1,0)-1))</f>
        <v>0</v>
      </c>
      <c r="K50" s="85">
        <f ca="1">IF(ISERROR(OFFSET(Ottone!$A$1,MATCH(G50,Ottone!$A:$A,0)-1,MATCH(I50,Ottone!$A$1:$Z$1,0)-1)=TRUE),0,OFFSET(Ottone!$A$1,MATCH(G50,Ottone!$A:$A,0)-1,MATCH(I50,Ottone!$A$1:$Z$1,0)-1))*IF(D50="Ottone",1,0)</f>
        <v>0</v>
      </c>
      <c r="L50" s="85">
        <f ca="1">IF(ISERROR(OFFSET(Rame!$A$1,MATCH(G50,Rame!$A:$A,0)-1,MATCH(I50,Rame!$A$1:$AA$1,0)-1)=TRUE),0,OFFSET(Rame!$A$1,MATCH(G50,Rame!$A:$A,0)-1,MATCH(I50,Rame!$A$1:$AA$1,0)-1))*IF(D50="Rame",1,0)</f>
        <v>0</v>
      </c>
      <c r="M50" s="126">
        <f t="shared" ca="1" si="0"/>
        <v>0</v>
      </c>
      <c r="N50" s="126">
        <f ca="1">+IF(ISERROR(OFFSET(Tabella!$G$1,MATCH(G50,Tabella!$G:$G,0)-1,MATCH(H50,Tabella!$G$1:$FG$1,0)-1)=TRUE),0,OFFSET(Tabella!$G$1,MATCH(G50,Tabella!$G:$G,0)-1,MATCH(H50,Tabella!$G$1:$AB$1,0)-1))</f>
        <v>0</v>
      </c>
      <c r="O50" s="126">
        <f ca="1">IF(ISERROR(OFFSET(Ottone!$F$1,MATCH(G50,Ottone!$A:$A,0)-1,MATCH(H50,Ottone!$F$1:$FF$1,0)-1)=TRUE),0,OFFSET(Ottone!$F$1,MATCH(G50,Ottone!$A:$A,0)-1,MATCH(H50,Ottone!$F$1:$FF$1,0)-1))*IF(D50="Ottone",1,0)</f>
        <v>0</v>
      </c>
      <c r="P50" s="126">
        <f ca="1">IF(ISERROR(OFFSET(Rame!$F$1,MATCH(G50,Rame!$F:$F,0)-1,MATCH(H50,Rame!$F$1:$FF$1,0)-1)=TRUE),0,OFFSET(Rame!$F$1,MATCH(G50,Rame!$F:$F,0)-1,MATCH(H50,Rame!$F$1:$FF$1,0)-1))*IF(D50="Rame",1,0)</f>
        <v>0</v>
      </c>
      <c r="Q50" s="126">
        <f t="shared" ca="1" si="1"/>
        <v>0</v>
      </c>
      <c r="R50" s="126">
        <f t="shared" si="7"/>
        <v>0</v>
      </c>
      <c r="S50" s="127"/>
      <c r="T50" s="128">
        <f t="shared" ca="1" si="3"/>
        <v>0</v>
      </c>
      <c r="U50" s="125">
        <f t="shared" si="4"/>
        <v>0</v>
      </c>
      <c r="V50" s="129"/>
      <c r="W50" s="130">
        <f t="shared" ca="1" si="5"/>
        <v>0</v>
      </c>
      <c r="X50" s="125">
        <f t="shared" ca="1" si="6"/>
        <v>0</v>
      </c>
      <c r="Y50" s="131"/>
      <c r="Z50" s="100"/>
    </row>
    <row r="51" spans="1:26" ht="15.75" thickBot="1" x14ac:dyDescent="0.3">
      <c r="A51" s="133"/>
      <c r="B51" s="134"/>
      <c r="C51" s="135"/>
      <c r="D51" s="136"/>
      <c r="E51" s="137"/>
      <c r="F51" s="138"/>
      <c r="G51" s="134"/>
      <c r="H51" s="134"/>
      <c r="I51" s="139"/>
      <c r="J51" s="115">
        <f ca="1">IF(ISERROR(OFFSET(Tabella!$A$1,MATCH(G51,Tabella!$A:$A,0)-1,MATCH(I51,Tabella!$A$1:$AC$1,0)-1)=TRUE),0,+OFFSET(Tabella!$A$1,MATCH(G51,Tabella!$A:$A,0)-1,MATCH(I51,Tabella!$A$1:$AC$1,0)-1))</f>
        <v>0</v>
      </c>
      <c r="K51" s="85">
        <f ca="1">IF(ISERROR(OFFSET(Ottone!$A$1,MATCH(G51,Ottone!$A:$A,0)-1,MATCH(I51,Ottone!$A$1:$Z$1,0)-1)=TRUE),0,OFFSET(Ottone!$A$1,MATCH(G51,Ottone!$A:$A,0)-1,MATCH(I51,Ottone!$A$1:$Z$1,0)-1))*IF(D51="Ottone",1,0)</f>
        <v>0</v>
      </c>
      <c r="L51" s="85">
        <f ca="1">IF(ISERROR(OFFSET(Rame!$A$1,MATCH(G51,Rame!$A:$A,0)-1,MATCH(I51,Rame!$A$1:$AA$1,0)-1)=TRUE),0,OFFSET(Rame!$A$1,MATCH(G51,Rame!$A:$A,0)-1,MATCH(I51,Rame!$A$1:$AA$1,0)-1))*IF(D51="Rame",1,0)</f>
        <v>0</v>
      </c>
      <c r="M51" s="140">
        <f t="shared" ca="1" si="0"/>
        <v>0</v>
      </c>
      <c r="N51" s="140">
        <f ca="1">+IF(ISERROR(OFFSET(Tabella!$G$1,MATCH(G51,Tabella!$G:$G,0)-1,MATCH(H51,Tabella!$G$1:$FG$1,0)-1)=TRUE),0,OFFSET(Tabella!$G$1,MATCH(G51,Tabella!$G:$G,0)-1,MATCH(H51,Tabella!$G$1:$AB$1,0)-1))</f>
        <v>0</v>
      </c>
      <c r="O51" s="140">
        <f ca="1">IF(ISERROR(OFFSET(Ottone!$F$1,MATCH(G51,Ottone!$A:$A,0)-1,MATCH(H51,Ottone!$F$1:$FF$1,0)-1)=TRUE),0,OFFSET(Ottone!$F$1,MATCH(G51,Ottone!$A:$A,0)-1,MATCH(H51,Ottone!$F$1:$FF$1,0)-1))*IF(D51="Ottone",1,0)</f>
        <v>0</v>
      </c>
      <c r="P51" s="140">
        <f ca="1">IF(ISERROR(OFFSET(Rame!$F$1,MATCH(G51,Rame!$F:$F,0)-1,MATCH(H51,Rame!$F$1:$FF$1,0)-1)=TRUE),0,OFFSET(Rame!$F$1,MATCH(G51,Rame!$F:$F,0)-1,MATCH(H51,Rame!$F$1:$FF$1,0)-1))*IF(D51="Rame",1,0)</f>
        <v>0</v>
      </c>
      <c r="Q51" s="140">
        <f t="shared" ca="1" si="1"/>
        <v>0</v>
      </c>
      <c r="R51" s="140">
        <f t="shared" si="7"/>
        <v>0</v>
      </c>
      <c r="S51" s="141"/>
      <c r="T51" s="142">
        <f t="shared" ca="1" si="3"/>
        <v>0</v>
      </c>
      <c r="U51" s="143">
        <f t="shared" si="4"/>
        <v>0</v>
      </c>
      <c r="V51" s="144"/>
      <c r="W51" s="145">
        <f t="shared" ca="1" si="5"/>
        <v>0</v>
      </c>
      <c r="X51" s="139">
        <f t="shared" ca="1" si="6"/>
        <v>0</v>
      </c>
      <c r="Y51" s="146"/>
      <c r="Z51" s="101"/>
    </row>
    <row r="52" spans="1:26" ht="15.75" thickBot="1" x14ac:dyDescent="0.3">
      <c r="C52" s="90">
        <f>SUM(C6:C51)</f>
        <v>0</v>
      </c>
      <c r="R52" s="147"/>
      <c r="S52" s="148"/>
      <c r="U52" s="91">
        <f>SUM(U6:U51)</f>
        <v>0</v>
      </c>
      <c r="X52" s="82">
        <f ca="1">SUM(X6:X51)</f>
        <v>0</v>
      </c>
    </row>
    <row r="56" spans="1:26" ht="15.75" thickBot="1" x14ac:dyDescent="0.3"/>
    <row r="57" spans="1:26" ht="15.75" thickBot="1" x14ac:dyDescent="0.3">
      <c r="B57" s="92" t="s">
        <v>37</v>
      </c>
      <c r="C57" s="93" t="s">
        <v>38</v>
      </c>
      <c r="D57" s="94" t="s">
        <v>94</v>
      </c>
    </row>
    <row r="58" spans="1:26" x14ac:dyDescent="0.25">
      <c r="B58" s="149" t="s">
        <v>105</v>
      </c>
      <c r="C58" s="150">
        <f>SUMIF(B6:B51,"Alge",C6:C51)</f>
        <v>0</v>
      </c>
      <c r="D58" s="151">
        <f>SUMIF(B6:B51,"Alge",U6:U51)</f>
        <v>0</v>
      </c>
    </row>
    <row r="59" spans="1:26" x14ac:dyDescent="0.25">
      <c r="B59" s="103" t="s">
        <v>113</v>
      </c>
      <c r="C59" s="121">
        <f>SUMIF(B6:B51,"Amer",C6:C51)</f>
        <v>0</v>
      </c>
      <c r="D59" s="152">
        <f>SUMIF(B6:B51,"Amer",U6:U51)</f>
        <v>0</v>
      </c>
    </row>
    <row r="60" spans="1:26" x14ac:dyDescent="0.25">
      <c r="B60" s="103" t="s">
        <v>95</v>
      </c>
      <c r="C60" s="121">
        <f>SUMIF(B6:B51,"Braga",C6:C51)</f>
        <v>0</v>
      </c>
      <c r="D60" s="152">
        <f>SUMIF(B6:B51,"Braga",U6:U51)</f>
        <v>0</v>
      </c>
    </row>
    <row r="61" spans="1:26" x14ac:dyDescent="0.25">
      <c r="B61" s="103" t="s">
        <v>114</v>
      </c>
      <c r="C61" s="121">
        <f>SUMIF(B6:B51,"Colombo",C6:C51)</f>
        <v>0</v>
      </c>
      <c r="D61" s="152">
        <f ca="1">SUMIF(B5:B51,"Colombo",U6:U51)</f>
        <v>0</v>
      </c>
    </row>
    <row r="62" spans="1:26" x14ac:dyDescent="0.25">
      <c r="B62" s="103" t="s">
        <v>111</v>
      </c>
      <c r="C62" s="121">
        <f>SUMIF(B6:B51,"Elca",C6:C51)</f>
        <v>0</v>
      </c>
      <c r="D62" s="152">
        <f>SUMIF(B6:B51,"Elca",U6:U51)</f>
        <v>0</v>
      </c>
    </row>
    <row r="63" spans="1:26" x14ac:dyDescent="0.25">
      <c r="B63" s="103" t="s">
        <v>106</v>
      </c>
      <c r="C63" s="121">
        <f>SUMIF(B6:B51,"Eletrafo",C6:C51)</f>
        <v>0</v>
      </c>
      <c r="D63" s="152">
        <f>SUMIF(B6:B51,"Eletrafo",U6:U51)</f>
        <v>0</v>
      </c>
    </row>
    <row r="64" spans="1:26" x14ac:dyDescent="0.25">
      <c r="B64" s="103" t="s">
        <v>91</v>
      </c>
      <c r="C64" s="121">
        <f>SUMIF(B6:B51,"Elettroplastica",C6:C51)</f>
        <v>0</v>
      </c>
      <c r="D64" s="152">
        <f>SUMIF(B6:B51,"Elettroplastica",U6:U51)</f>
        <v>0</v>
      </c>
    </row>
    <row r="65" spans="2:4" x14ac:dyDescent="0.25">
      <c r="B65" s="103" t="s">
        <v>104</v>
      </c>
      <c r="C65" s="121">
        <f>SUMIF(B6:B51,"Elpi Castresin",C6:C51)</f>
        <v>0</v>
      </c>
      <c r="D65" s="152">
        <f>SUMIF(B6:B51,"Alge",U6:U51)</f>
        <v>0</v>
      </c>
    </row>
    <row r="66" spans="2:4" x14ac:dyDescent="0.25">
      <c r="B66" s="103" t="s">
        <v>97</v>
      </c>
      <c r="C66" s="121">
        <f>SUMIF(B6:B51,"Emg",C6:C51)</f>
        <v>0</v>
      </c>
      <c r="D66" s="152">
        <f>SUMIF(B6:B51,"Emg",U6:U51)</f>
        <v>0</v>
      </c>
    </row>
    <row r="67" spans="2:4" x14ac:dyDescent="0.25">
      <c r="B67" s="103" t="s">
        <v>100</v>
      </c>
      <c r="C67" s="121">
        <f>SUMIF(B6:B51,"FdueG",C1:C51)</f>
        <v>0</v>
      </c>
      <c r="D67" s="152">
        <f>SUMIF(B6:B51,"FdueG",U6:U51)</f>
        <v>0</v>
      </c>
    </row>
    <row r="68" spans="2:4" x14ac:dyDescent="0.25">
      <c r="B68" s="103" t="s">
        <v>118</v>
      </c>
      <c r="C68" s="121">
        <f>SUMIF(B6:B51,"Giussani",C6:C51)</f>
        <v>0</v>
      </c>
      <c r="D68" s="152">
        <f>SUMIF(B6:B51,"Giussani",U6:U51)</f>
        <v>0</v>
      </c>
    </row>
    <row r="69" spans="2:4" x14ac:dyDescent="0.25">
      <c r="B69" s="103" t="s">
        <v>93</v>
      </c>
      <c r="C69" s="121">
        <f>SUMIF(B6:B51,"ICAR",C6:C51)</f>
        <v>0</v>
      </c>
      <c r="D69" s="152">
        <f>SUMIF(B6:B51,"Icar",U6:U51)</f>
        <v>0</v>
      </c>
    </row>
    <row r="70" spans="2:4" x14ac:dyDescent="0.25">
      <c r="B70" s="103" t="s">
        <v>116</v>
      </c>
      <c r="C70" s="121">
        <f>SUMIF(B6:B51,"Mace",C6:C51)</f>
        <v>0</v>
      </c>
      <c r="D70" s="152">
        <f>SUMIF(B6:B51,"Mace",U6:U51)</f>
        <v>0</v>
      </c>
    </row>
    <row r="71" spans="2:4" x14ac:dyDescent="0.25">
      <c r="B71" s="103" t="s">
        <v>112</v>
      </c>
      <c r="C71" s="121">
        <f>SUMIF(B6:B51,"Marnate",C6:C51)</f>
        <v>0</v>
      </c>
      <c r="D71" s="152">
        <f>SUMIF(B6:B51,"Marnate",U6:U51)</f>
        <v>0</v>
      </c>
    </row>
    <row r="72" spans="2:4" x14ac:dyDescent="0.25">
      <c r="B72" s="103" t="s">
        <v>92</v>
      </c>
      <c r="C72" s="121">
        <f>SUMIF(B6:B51,"Meca",C6:C51)</f>
        <v>0</v>
      </c>
      <c r="D72" s="152">
        <f>SUMIF(B6:B51,"Meca",U6:U51)</f>
        <v>0</v>
      </c>
    </row>
    <row r="73" spans="2:4" x14ac:dyDescent="0.25">
      <c r="B73" s="103" t="s">
        <v>108</v>
      </c>
      <c r="C73" s="121">
        <f>SUMIF(B6:B51,"MF",C6:C51)</f>
        <v>0</v>
      </c>
      <c r="D73" s="152">
        <f>SUMIF(B6:B51,"MF",U6:U51)</f>
        <v>0</v>
      </c>
    </row>
    <row r="74" spans="2:4" x14ac:dyDescent="0.25">
      <c r="B74" s="103" t="s">
        <v>101</v>
      </c>
      <c r="C74" s="121">
        <f>SUMIF(B6:B51,"MP",C6:C51)</f>
        <v>0</v>
      </c>
      <c r="D74" s="152">
        <f>SUMIF(B6:B51,"MP",U6:U51)</f>
        <v>0</v>
      </c>
    </row>
    <row r="75" spans="2:4" x14ac:dyDescent="0.25">
      <c r="B75" s="103" t="s">
        <v>110</v>
      </c>
      <c r="C75" s="121">
        <f>SUMIF(B6:B51,"Neotrade",C6:C51)</f>
        <v>0</v>
      </c>
      <c r="D75" s="152">
        <f>SUMIF(B6:B51,"Neotrae",U6:U51)</f>
        <v>0</v>
      </c>
    </row>
    <row r="76" spans="2:4" x14ac:dyDescent="0.25">
      <c r="B76" s="103" t="s">
        <v>102</v>
      </c>
      <c r="C76" s="121">
        <f>SUMIF(B6:B51,"Newton",C6:C51)</f>
        <v>0</v>
      </c>
      <c r="D76" s="152">
        <f>SUMIF(B6:B51,"Newton",U6:U51)</f>
        <v>0</v>
      </c>
    </row>
    <row r="77" spans="2:4" x14ac:dyDescent="0.25">
      <c r="B77" s="103" t="s">
        <v>98</v>
      </c>
      <c r="C77" s="121">
        <f>SUMIF(B6:B51,"Piola",C6:C51)</f>
        <v>0</v>
      </c>
      <c r="D77" s="152">
        <f>SUMIF(B6:B51,"Piola",U6:U51)</f>
        <v>0</v>
      </c>
    </row>
    <row r="78" spans="2:4" x14ac:dyDescent="0.25">
      <c r="B78" s="103" t="s">
        <v>103</v>
      </c>
      <c r="C78" s="121">
        <f>SUMIF(B6:B51,"Piossasco",C6:C51)</f>
        <v>0</v>
      </c>
      <c r="D78" s="152">
        <f>SUMIF(B6:B51,"Piossasco",U6:U51)</f>
        <v>0</v>
      </c>
    </row>
    <row r="79" spans="2:4" x14ac:dyDescent="0.25">
      <c r="B79" s="103" t="s">
        <v>115</v>
      </c>
      <c r="C79" s="121">
        <f>SUMIF(B6:B51,"project",C6:C51)</f>
        <v>0</v>
      </c>
      <c r="D79" s="152">
        <f>SUMIF(B6:B51,"Project",U6:U51)</f>
        <v>0</v>
      </c>
    </row>
    <row r="80" spans="2:4" x14ac:dyDescent="0.25">
      <c r="B80" s="103" t="s">
        <v>109</v>
      </c>
      <c r="C80" s="121">
        <f>SUMIF(B6:B51,"Sirmet",C6:C51)</f>
        <v>0</v>
      </c>
      <c r="D80" s="152">
        <f>SUMIF(B6:B51,"Alge",U6:U51)</f>
        <v>0</v>
      </c>
    </row>
    <row r="81" spans="2:4" x14ac:dyDescent="0.25">
      <c r="B81" s="103" t="s">
        <v>107</v>
      </c>
      <c r="C81" s="121">
        <f>SUMIF(B6:B51,"Tecnomintra",C6:C51)</f>
        <v>0</v>
      </c>
      <c r="D81" s="152">
        <f>SUMIF(B6:B51,"Tecnomintra",U6:U51)</f>
        <v>0</v>
      </c>
    </row>
    <row r="82" spans="2:4" x14ac:dyDescent="0.25">
      <c r="B82" s="103" t="s">
        <v>90</v>
      </c>
      <c r="C82" s="121">
        <f>SUMIF(B6:B51,"Trafomec",C6:C51)</f>
        <v>0</v>
      </c>
      <c r="D82" s="152">
        <f>SUMIF(B6:B51,"Trafomec",U6:U51)</f>
        <v>0</v>
      </c>
    </row>
    <row r="83" spans="2:4" x14ac:dyDescent="0.25">
      <c r="B83" s="103" t="s">
        <v>119</v>
      </c>
      <c r="C83" s="121">
        <f>SUMIF(B6:B51,"Trafomec SA",C6:C51)</f>
        <v>0</v>
      </c>
      <c r="D83" s="152">
        <f>SUMIF(B6:B51,"Trafomec SA",U6:U51)</f>
        <v>0</v>
      </c>
    </row>
    <row r="84" spans="2:4" x14ac:dyDescent="0.25">
      <c r="B84" s="103" t="s">
        <v>96</v>
      </c>
      <c r="C84" s="121">
        <f>SUMIF(B6:B51,"Wattsud",C6:C51)</f>
        <v>0</v>
      </c>
      <c r="D84" s="152">
        <f>SUMIF(B6:B51,"Wattsud",U6:U51)</f>
        <v>0</v>
      </c>
    </row>
    <row r="85" spans="2:4" x14ac:dyDescent="0.25">
      <c r="B85" s="103" t="s">
        <v>117</v>
      </c>
      <c r="C85" s="121">
        <f>SUMIF(B6:B51,"Wetter",C6:C51)</f>
        <v>0</v>
      </c>
      <c r="D85" s="152">
        <f>SUMIF(B6:B51,"Wetter",U6:U51)</f>
        <v>0</v>
      </c>
    </row>
    <row r="86" spans="2:4" x14ac:dyDescent="0.25">
      <c r="B86" s="153" t="s">
        <v>99</v>
      </c>
      <c r="C86" s="154">
        <f>SUMIF(B6:B51,"Zucchiatti",C6:C51)</f>
        <v>0</v>
      </c>
      <c r="D86" s="155">
        <f>SUMIF(B6:B51,"Zucchiatti",U6:U51)</f>
        <v>0</v>
      </c>
    </row>
    <row r="87" spans="2:4" ht="15.75" thickBot="1" x14ac:dyDescent="0.3">
      <c r="B87" s="133"/>
      <c r="C87" s="156">
        <v>0</v>
      </c>
      <c r="D87" s="157"/>
    </row>
    <row r="88" spans="2:4" ht="15.75" thickBot="1" x14ac:dyDescent="0.3">
      <c r="C88" s="96">
        <f>SUM(C58:C87)</f>
        <v>0</v>
      </c>
      <c r="D88" s="97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5" t="s">
        <v>124</v>
      </c>
      <c r="D2" s="53"/>
      <c r="E2" s="53"/>
      <c r="F2" s="53"/>
      <c r="G2" s="53"/>
      <c r="H2" s="53"/>
      <c r="I2" s="53"/>
    </row>
    <row r="3" spans="1:26" ht="15.75" thickBot="1" x14ac:dyDescent="0.3"/>
    <row r="4" spans="1:26" ht="15.75" thickBot="1" x14ac:dyDescent="0.3">
      <c r="A4" s="104"/>
      <c r="B4" s="104"/>
      <c r="C4" s="104"/>
      <c r="D4" s="105"/>
      <c r="E4" s="24" t="s">
        <v>53</v>
      </c>
      <c r="F4" s="106"/>
      <c r="G4" s="104"/>
      <c r="H4" s="104"/>
      <c r="I4" s="104"/>
      <c r="J4" s="105"/>
      <c r="K4" s="107"/>
      <c r="L4" s="107"/>
      <c r="M4" s="107"/>
      <c r="N4" s="107"/>
      <c r="O4" s="107"/>
      <c r="P4" s="107"/>
      <c r="Q4" s="24" t="s">
        <v>49</v>
      </c>
      <c r="R4" s="107"/>
      <c r="S4" s="107"/>
      <c r="T4" s="106"/>
      <c r="U4" s="104"/>
      <c r="V4" s="104"/>
      <c r="W4" s="104"/>
      <c r="X4" s="104"/>
      <c r="Y4" s="104"/>
    </row>
    <row r="5" spans="1:26" ht="24.75" thickBot="1" x14ac:dyDescent="0.3">
      <c r="A5" s="17" t="s">
        <v>127</v>
      </c>
      <c r="B5" s="18" t="s">
        <v>37</v>
      </c>
      <c r="C5" s="18" t="s">
        <v>38</v>
      </c>
      <c r="D5" s="19" t="s">
        <v>39</v>
      </c>
      <c r="E5" s="20" t="s">
        <v>51</v>
      </c>
      <c r="F5" s="21" t="s">
        <v>52</v>
      </c>
      <c r="G5" s="18" t="s">
        <v>40</v>
      </c>
      <c r="H5" s="18" t="s">
        <v>41</v>
      </c>
      <c r="I5" s="18" t="s">
        <v>42</v>
      </c>
      <c r="J5" s="86" t="s">
        <v>4</v>
      </c>
      <c r="K5" s="83" t="s">
        <v>5</v>
      </c>
      <c r="L5" s="83" t="s">
        <v>6</v>
      </c>
      <c r="M5" s="19" t="s">
        <v>43</v>
      </c>
      <c r="N5" s="83" t="s">
        <v>4</v>
      </c>
      <c r="O5" s="83" t="s">
        <v>5</v>
      </c>
      <c r="P5" s="83" t="s">
        <v>6</v>
      </c>
      <c r="Q5" s="20" t="s">
        <v>44</v>
      </c>
      <c r="R5" s="20" t="s">
        <v>88</v>
      </c>
      <c r="S5" s="87" t="s">
        <v>89</v>
      </c>
      <c r="T5" s="21" t="s">
        <v>45</v>
      </c>
      <c r="U5" s="18" t="s">
        <v>48</v>
      </c>
      <c r="V5" s="23" t="s">
        <v>46</v>
      </c>
      <c r="W5" s="99" t="s">
        <v>50</v>
      </c>
      <c r="X5" s="22"/>
      <c r="Y5" s="22" t="s">
        <v>47</v>
      </c>
      <c r="Z5" s="23" t="s">
        <v>120</v>
      </c>
    </row>
    <row r="6" spans="1:26" ht="15.75" thickBot="1" x14ac:dyDescent="0.3">
      <c r="A6" s="108" t="s">
        <v>128</v>
      </c>
      <c r="B6" s="109" t="s">
        <v>129</v>
      </c>
      <c r="C6" s="110">
        <v>2100</v>
      </c>
      <c r="D6" s="111" t="s">
        <v>5</v>
      </c>
      <c r="E6" s="112">
        <v>4.95</v>
      </c>
      <c r="F6" s="113">
        <v>41654</v>
      </c>
      <c r="G6" s="88" t="s">
        <v>16</v>
      </c>
      <c r="H6" s="109"/>
      <c r="I6" s="114">
        <v>0.18</v>
      </c>
      <c r="J6" s="115">
        <f ca="1">IF(ISERROR(OFFSET(Tabella!$A$1,MATCH(G6,Tabella!$A:$A,0)-1,MATCH(I6,Tabella!$A$1:$AC$1,0)-1)=TRUE),0,+OFFSET(Tabella!$A$1,MATCH(G6,Tabella!$A:$A,0)-1,MATCH(I6,Tabella!$A$1:$AC$1,0)-1))</f>
        <v>0</v>
      </c>
      <c r="K6" s="85">
        <f ca="1">IF(ISERROR(OFFSET(Ottone!$A$1,MATCH(G6,Ottone!$A:$A,0)-1,MATCH(I6,Ottone!$A$1:$Z$1,0)-1)=TRUE),0,OFFSET(Ottone!$A$1,MATCH(G6,Ottone!$A:$A,0)-1,MATCH(I6,Ottone!$A$1:$Z$1,0)-1))*IF(D6="Ottone",1,0)</f>
        <v>0</v>
      </c>
      <c r="L6" s="85">
        <f ca="1">IF(ISERROR(OFFSET(Rame!$A$1,MATCH(G6,Rame!$A:$A,0)-1,MATCH(I6,Rame!$A$1:$AA$1,0)-1)=TRUE),0,OFFSET(Rame!$A$1,MATCH(G6,Rame!$A:$A,0)-1,MATCH(I6,Rame!$A$1:$AA$1,0)-1))*IF(D6="Rame",1,0)</f>
        <v>0</v>
      </c>
      <c r="M6" s="115">
        <f t="shared" ref="M6:M51" ca="1" si="0">SUM(J6:L6)</f>
        <v>0</v>
      </c>
      <c r="N6" s="115">
        <f ca="1">+IF(ISERROR(OFFSET(Tabella!$G$1,MATCH(G6,Tabella!$G:$G,0)-1,MATCH(H6,Tabella!$G$1:$FG$1,0)-1)=TRUE),0,OFFSET(Tabella!$G$1,MATCH(G6,Tabella!$G:$G,0)-1,MATCH(H6,Tabella!$G$1:$AB$1,0)-1))</f>
        <v>0</v>
      </c>
      <c r="O6" s="115">
        <f ca="1">IF(ISERROR(OFFSET(Ottone!$F$1,MATCH(G6,Ottone!$A:$A,0)-1,MATCH(H6,Ottone!$F$1:$FF$1,0)-1)=TRUE),0,OFFSET(Ottone!$F$1,MATCH(G6,Ottone!$A:$A,0)-1,MATCH(H6,Ottone!$F$1:$FF$1,0)-1))*IF(D6="Ottone",1,0)</f>
        <v>0</v>
      </c>
      <c r="P6" s="115">
        <f ca="1">IF(ISERROR(OFFSET(Rame!$F$1,MATCH(G6,Rame!$F:$F,0)-1,MATCH(H6,Rame!$F$1:$FF$1,0)-1)=TRUE),0,OFFSET(Rame!$F$1,MATCH(G6,Rame!$F:$F,0)-1,MATCH(H6,Rame!$F$1:$FF$1,0)-1))*IF(D6="Rame",1,0)</f>
        <v>0</v>
      </c>
      <c r="Q6" s="115">
        <f t="shared" ref="Q6:Q15" ca="1" si="1">SUM(N6:P6)</f>
        <v>0</v>
      </c>
      <c r="R6" s="115">
        <f t="shared" ref="R6:R15" si="2">(IF(C6&gt;500,0,0.1)*IF(D6="Alluminio",0,1))*IF(C6=0,0,1)</f>
        <v>0</v>
      </c>
      <c r="S6" s="116"/>
      <c r="T6" s="117">
        <f t="shared" ref="T6:T51" ca="1" si="3">+M6+Q6+R6+S6</f>
        <v>0</v>
      </c>
      <c r="U6" s="114">
        <f t="shared" ref="U6:U51" si="4">+I6*C6</f>
        <v>378</v>
      </c>
      <c r="V6" s="118"/>
      <c r="W6" s="119">
        <f t="shared" ref="W6:W51" ca="1" si="5">+V6-T6-E6</f>
        <v>-4.95</v>
      </c>
      <c r="X6" s="114">
        <f t="shared" ref="X6:X51" ca="1" si="6">IF(W6&gt;0,W6,0)</f>
        <v>0</v>
      </c>
      <c r="Y6" s="120"/>
      <c r="Z6" s="102"/>
    </row>
    <row r="7" spans="1:26" ht="15.75" thickBot="1" x14ac:dyDescent="0.3">
      <c r="A7" s="103" t="s">
        <v>130</v>
      </c>
      <c r="B7" s="88" t="s">
        <v>129</v>
      </c>
      <c r="C7" s="121">
        <v>2100</v>
      </c>
      <c r="D7" s="89" t="s">
        <v>5</v>
      </c>
      <c r="E7" s="122">
        <v>4.95</v>
      </c>
      <c r="F7" s="123">
        <v>41654</v>
      </c>
      <c r="G7" s="88" t="s">
        <v>16</v>
      </c>
      <c r="H7" s="124"/>
      <c r="I7" s="125">
        <v>0.18</v>
      </c>
      <c r="J7" s="115">
        <f ca="1">IF(ISERROR(OFFSET(Tabella!$A$1,MATCH(G7,Tabella!$A:$A,0)-1,MATCH(I7,Tabella!$A$1:$AC$1,0)-1)=TRUE),0,+OFFSET(Tabella!$A$1,MATCH(G7,Tabella!$A:$A,0)-1,MATCH(I7,Tabella!$A$1:$AC$1,0)-1))</f>
        <v>0</v>
      </c>
      <c r="K7" s="85">
        <f ca="1">IF(ISERROR(OFFSET(Ottone!$A$1,MATCH(G7,Ottone!$A:$A,0)-1,MATCH(I7,Ottone!$A$1:$Z$1,0)-1)=TRUE),0,OFFSET(Ottone!$A$1,MATCH(G7,Ottone!$A:$A,0)-1,MATCH(I7,Ottone!$A$1:$Z$1,0)-1))*IF(D7="Ottone",1,0)</f>
        <v>0</v>
      </c>
      <c r="L7" s="85">
        <f ca="1">IF(ISERROR(OFFSET(Rame!$A$1,MATCH(G7,Rame!$A:$A,0)-1,MATCH(I7,Rame!$A$1:$AA$1,0)-1)=TRUE),0,OFFSET(Rame!$A$1,MATCH(G7,Rame!$A:$A,0)-1,MATCH(I7,Rame!$A$1:$AA$1,0)-1))*IF(D7="Rame",1,0)</f>
        <v>0</v>
      </c>
      <c r="M7" s="126">
        <f t="shared" ca="1" si="0"/>
        <v>0</v>
      </c>
      <c r="N7" s="126">
        <f ca="1">+IF(ISERROR(OFFSET(Tabella!$G$1,MATCH(G7,Tabella!$G:$G,0)-1,MATCH(H7,Tabella!$G$1:$FG$1,0)-1)=TRUE),0,OFFSET(Tabella!$G$1,MATCH(G7,Tabella!$G:$G,0)-1,MATCH(H7,Tabella!$G$1:$AB$1,0)-1))</f>
        <v>0</v>
      </c>
      <c r="O7" s="126">
        <f ca="1">IF(ISERROR(OFFSET(Ottone!$F$1,MATCH(G7,Ottone!$A:$A,0)-1,MATCH(H7,Ottone!$F$1:$FF$1,0)-1)=TRUE),0,OFFSET(Ottone!$F$1,MATCH(G7,Ottone!$A:$A,0)-1,MATCH(H7,Ottone!$F$1:$FF$1,0)-1))*IF(D7="Ottone",1,0)</f>
        <v>0</v>
      </c>
      <c r="P7" s="126">
        <f ca="1">IF(ISERROR(OFFSET(Rame!$F$1,MATCH(G7,Rame!$F:$F,0)-1,MATCH(H7,Rame!$F$1:$FF$1,0)-1)=TRUE),0,OFFSET(Rame!$F$1,MATCH(G7,Rame!$F:$F,0)-1,MATCH(H7,Rame!$F$1:$FF$1,0)-1))*IF(D7="Rame",1,0)</f>
        <v>0</v>
      </c>
      <c r="Q7" s="126">
        <f t="shared" ca="1" si="1"/>
        <v>0</v>
      </c>
      <c r="R7" s="126">
        <f t="shared" si="2"/>
        <v>0</v>
      </c>
      <c r="S7" s="127"/>
      <c r="T7" s="128">
        <f t="shared" ca="1" si="3"/>
        <v>0</v>
      </c>
      <c r="U7" s="125">
        <f t="shared" si="4"/>
        <v>378</v>
      </c>
      <c r="V7" s="129"/>
      <c r="W7" s="130">
        <f t="shared" ca="1" si="5"/>
        <v>-4.95</v>
      </c>
      <c r="X7" s="125">
        <f t="shared" ca="1" si="6"/>
        <v>0</v>
      </c>
      <c r="Y7" s="131"/>
      <c r="Z7" s="100"/>
    </row>
    <row r="8" spans="1:26" ht="15.75" thickBot="1" x14ac:dyDescent="0.3">
      <c r="A8" s="103"/>
      <c r="B8" s="88"/>
      <c r="C8" s="121"/>
      <c r="D8" s="89"/>
      <c r="E8" s="122"/>
      <c r="F8" s="123"/>
      <c r="G8" s="88"/>
      <c r="H8" s="88"/>
      <c r="I8" s="125"/>
      <c r="J8" s="115">
        <f ca="1">IF(ISERROR(OFFSET(Tabella!$A$1,MATCH(G8,Tabella!$A:$A,0)-1,MATCH(I8,Tabella!$A$1:$AC$1,0)-1)=TRUE),0,+OFFSET(Tabella!$A$1,MATCH(G8,Tabella!$A:$A,0)-1,MATCH(I8,Tabella!$A$1:$AC$1,0)-1))</f>
        <v>0</v>
      </c>
      <c r="K8" s="85">
        <f ca="1">IF(ISERROR(OFFSET(Ottone!$A$1,MATCH(G8,Ottone!$A:$A,0)-1,MATCH(I8,Ottone!$A$1:$Z$1,0)-1)=TRUE),0,OFFSET(Ottone!$A$1,MATCH(G8,Ottone!$A:$A,0)-1,MATCH(I8,Ottone!$A$1:$Z$1,0)-1))*IF(D8="Ottone",1,0)</f>
        <v>0</v>
      </c>
      <c r="L8" s="85">
        <f ca="1">IF(ISERROR(OFFSET(Rame!$A$1,MATCH(G8,Rame!$A:$A,0)-1,MATCH(I8,Rame!$A$1:$AA$1,0)-1)=TRUE),0,OFFSET(Rame!$A$1,MATCH(G8,Rame!$A:$A,0)-1,MATCH(I8,Rame!$A$1:$AA$1,0)-1))*IF(D8="Rame",1,0)</f>
        <v>0</v>
      </c>
      <c r="M8" s="126">
        <f t="shared" ca="1" si="0"/>
        <v>0</v>
      </c>
      <c r="N8" s="126">
        <f ca="1">+IF(ISERROR(OFFSET(Tabella!$G$1,MATCH(G8,Tabella!$G:$G,0)-1,MATCH(H8,Tabella!$G$1:$FG$1,0)-1)=TRUE),0,OFFSET(Tabella!$G$1,MATCH(G8,Tabella!$G:$G,0)-1,MATCH(H8,Tabella!$G$1:$AB$1,0)-1))</f>
        <v>0</v>
      </c>
      <c r="O8" s="126">
        <f ca="1">IF(ISERROR(OFFSET(Ottone!$F$1,MATCH(G8,Ottone!$A:$A,0)-1,MATCH(H8,Ottone!$F$1:$FF$1,0)-1)=TRUE),0,OFFSET(Ottone!$F$1,MATCH(G8,Ottone!$A:$A,0)-1,MATCH(H8,Ottone!$F$1:$FF$1,0)-1))*IF(D8="Ottone",1,0)</f>
        <v>0</v>
      </c>
      <c r="P8" s="126">
        <f ca="1">IF(ISERROR(OFFSET(Rame!$F$1,MATCH(G8,Rame!$F:$F,0)-1,MATCH(H8,Rame!$F$1:$FF$1,0)-1)=TRUE),0,OFFSET(Rame!$F$1,MATCH(G8,Rame!$F:$F,0)-1,MATCH(H8,Rame!$F$1:$FF$1,0)-1))*IF(D8="Rame",1,0)</f>
        <v>0</v>
      </c>
      <c r="Q8" s="126">
        <f t="shared" ca="1" si="1"/>
        <v>0</v>
      </c>
      <c r="R8" s="126">
        <f t="shared" si="2"/>
        <v>0</v>
      </c>
      <c r="S8" s="127"/>
      <c r="T8" s="128">
        <f t="shared" ca="1" si="3"/>
        <v>0</v>
      </c>
      <c r="U8" s="125">
        <f t="shared" si="4"/>
        <v>0</v>
      </c>
      <c r="V8" s="129"/>
      <c r="W8" s="130">
        <f t="shared" ca="1" si="5"/>
        <v>0</v>
      </c>
      <c r="X8" s="125">
        <f t="shared" ca="1" si="6"/>
        <v>0</v>
      </c>
      <c r="Y8" s="131"/>
      <c r="Z8" s="100"/>
    </row>
    <row r="9" spans="1:26" ht="15.75" thickBot="1" x14ac:dyDescent="0.3">
      <c r="A9" s="103"/>
      <c r="B9" s="88"/>
      <c r="C9" s="121"/>
      <c r="D9" s="89"/>
      <c r="E9" s="122"/>
      <c r="F9" s="123"/>
      <c r="G9" s="88"/>
      <c r="H9" s="88"/>
      <c r="I9" s="125"/>
      <c r="J9" s="115">
        <f ca="1">IF(ISERROR(OFFSET(Tabella!$A$1,MATCH(G9,Tabella!$A:$A,0)-1,MATCH(I9,Tabella!$A$1:$AC$1,0)-1)=TRUE),0,+OFFSET(Tabella!$A$1,MATCH(G9,Tabella!$A:$A,0)-1,MATCH(I9,Tabella!$A$1:$AC$1,0)-1))</f>
        <v>0</v>
      </c>
      <c r="K9" s="85">
        <f ca="1">IF(ISERROR(OFFSET(Ottone!$A$1,MATCH(G9,Ottone!$A:$A,0)-1,MATCH(I9,Ottone!$A$1:$Z$1,0)-1)=TRUE),0,OFFSET(Ottone!$A$1,MATCH(G9,Ottone!$A:$A,0)-1,MATCH(I9,Ottone!$A$1:$Z$1,0)-1))*IF(D9="Ottone",1,0)</f>
        <v>0</v>
      </c>
      <c r="L9" s="85">
        <f ca="1">IF(ISERROR(OFFSET(Rame!$A$1,MATCH(G9,Rame!$A:$A,0)-1,MATCH(I9,Rame!$A$1:$AA$1,0)-1)=TRUE),0,OFFSET(Rame!$A$1,MATCH(G9,Rame!$A:$A,0)-1,MATCH(I9,Rame!$A$1:$AA$1,0)-1))*IF(D9="Rame",1,0)</f>
        <v>0</v>
      </c>
      <c r="M9" s="126">
        <f t="shared" ca="1" si="0"/>
        <v>0</v>
      </c>
      <c r="N9" s="126">
        <f ca="1">+IF(ISERROR(OFFSET(Tabella!$G$1,MATCH(G9,Tabella!$G:$G,0)-1,MATCH(H9,Tabella!$G$1:$FG$1,0)-1)=TRUE),0,OFFSET(Tabella!$G$1,MATCH(G9,Tabella!$G:$G,0)-1,MATCH(H9,Tabella!$G$1:$AB$1,0)-1))</f>
        <v>0</v>
      </c>
      <c r="O9" s="126">
        <f ca="1">IF(ISERROR(OFFSET(Ottone!$F$1,MATCH(G9,Ottone!$A:$A,0)-1,MATCH(H9,Ottone!$F$1:$FF$1,0)-1)=TRUE),0,OFFSET(Ottone!$F$1,MATCH(G9,Ottone!$A:$A,0)-1,MATCH(H9,Ottone!$F$1:$FF$1,0)-1))*IF(D9="Ottone",1,0)</f>
        <v>0</v>
      </c>
      <c r="P9" s="126">
        <f ca="1">IF(ISERROR(OFFSET(Rame!$F$1,MATCH(G9,Rame!$F:$F,0)-1,MATCH(H9,Rame!$F$1:$FF$1,0)-1)=TRUE),0,OFFSET(Rame!$F$1,MATCH(G9,Rame!$F:$F,0)-1,MATCH(H9,Rame!$F$1:$FF$1,0)-1))*IF(D9="Rame",1,0)</f>
        <v>0</v>
      </c>
      <c r="Q9" s="126">
        <f t="shared" ca="1" si="1"/>
        <v>0</v>
      </c>
      <c r="R9" s="126">
        <f t="shared" si="2"/>
        <v>0</v>
      </c>
      <c r="S9" s="127"/>
      <c r="T9" s="128">
        <f t="shared" ca="1" si="3"/>
        <v>0</v>
      </c>
      <c r="U9" s="125">
        <f t="shared" si="4"/>
        <v>0</v>
      </c>
      <c r="V9" s="129"/>
      <c r="W9" s="130">
        <f t="shared" ca="1" si="5"/>
        <v>0</v>
      </c>
      <c r="X9" s="125">
        <f t="shared" ca="1" si="6"/>
        <v>0</v>
      </c>
      <c r="Y9" s="131"/>
      <c r="Z9" s="100"/>
    </row>
    <row r="10" spans="1:26" ht="15.75" thickBot="1" x14ac:dyDescent="0.3">
      <c r="A10" s="103"/>
      <c r="B10" s="88"/>
      <c r="C10" s="121"/>
      <c r="D10" s="89"/>
      <c r="E10" s="122"/>
      <c r="F10" s="123"/>
      <c r="G10" s="88"/>
      <c r="H10" s="88"/>
      <c r="I10" s="125"/>
      <c r="J10" s="115">
        <f ca="1">IF(ISERROR(OFFSET(Tabella!$A$1,MATCH(G10,Tabella!$A:$A,0)-1,MATCH(I10,Tabella!$A$1:$AC$1,0)-1)=TRUE),0,+OFFSET(Tabella!$A$1,MATCH(G10,Tabella!$A:$A,0)-1,MATCH(I10,Tabella!$A$1:$AC$1,0)-1))</f>
        <v>0</v>
      </c>
      <c r="K10" s="85">
        <f ca="1">IF(ISERROR(OFFSET(Ottone!$A$1,MATCH(G10,Ottone!$A:$A,0)-1,MATCH(I10,Ottone!$A$1:$Z$1,0)-1)=TRUE),0,OFFSET(Ottone!$A$1,MATCH(G10,Ottone!$A:$A,0)-1,MATCH(I10,Ottone!$A$1:$Z$1,0)-1))*IF(D10="Ottone",1,0)</f>
        <v>0</v>
      </c>
      <c r="L10" s="85">
        <f ca="1">IF(ISERROR(OFFSET(Rame!$A$1,MATCH(G10,Rame!$A:$A,0)-1,MATCH(I10,Rame!$A$1:$AA$1,0)-1)=TRUE),0,OFFSET(Rame!$A$1,MATCH(G10,Rame!$A:$A,0)-1,MATCH(I10,Rame!$A$1:$AA$1,0)-1))*IF(D10="Rame",1,0)</f>
        <v>0</v>
      </c>
      <c r="M10" s="126">
        <f t="shared" ca="1" si="0"/>
        <v>0</v>
      </c>
      <c r="N10" s="126">
        <f ca="1">+IF(ISERROR(OFFSET(Tabella!$G$1,MATCH(G10,Tabella!$G:$G,0)-1,MATCH(H10,Tabella!$G$1:$FG$1,0)-1)=TRUE),0,OFFSET(Tabella!$G$1,MATCH(G10,Tabella!$G:$G,0)-1,MATCH(H10,Tabella!$G$1:$AB$1,0)-1))</f>
        <v>0</v>
      </c>
      <c r="O10" s="126">
        <f ca="1">IF(ISERROR(OFFSET(Ottone!$F$1,MATCH(G10,Ottone!$A:$A,0)-1,MATCH(H10,Ottone!$F$1:$FF$1,0)-1)=TRUE),0,OFFSET(Ottone!$F$1,MATCH(G10,Ottone!$A:$A,0)-1,MATCH(H10,Ottone!$F$1:$FF$1,0)-1))*IF(D10="Ottone",1,0)</f>
        <v>0</v>
      </c>
      <c r="P10" s="126">
        <f ca="1">IF(ISERROR(OFFSET(Rame!$F$1,MATCH(G10,Rame!$F:$F,0)-1,MATCH(H10,Rame!$F$1:$FF$1,0)-1)=TRUE),0,OFFSET(Rame!$F$1,MATCH(G10,Rame!$F:$F,0)-1,MATCH(H10,Rame!$F$1:$FF$1,0)-1))*IF(D10="Rame",1,0)</f>
        <v>0</v>
      </c>
      <c r="Q10" s="126">
        <f t="shared" ca="1" si="1"/>
        <v>0</v>
      </c>
      <c r="R10" s="126">
        <f t="shared" si="2"/>
        <v>0</v>
      </c>
      <c r="S10" s="127"/>
      <c r="T10" s="128">
        <f t="shared" ca="1" si="3"/>
        <v>0</v>
      </c>
      <c r="U10" s="125">
        <f t="shared" si="4"/>
        <v>0</v>
      </c>
      <c r="V10" s="129"/>
      <c r="W10" s="130">
        <f t="shared" ca="1" si="5"/>
        <v>0</v>
      </c>
      <c r="X10" s="125">
        <f t="shared" ca="1" si="6"/>
        <v>0</v>
      </c>
      <c r="Y10" s="131"/>
      <c r="Z10" s="100"/>
    </row>
    <row r="11" spans="1:26" ht="15.75" thickBot="1" x14ac:dyDescent="0.3">
      <c r="A11" s="104"/>
      <c r="B11" s="103"/>
      <c r="C11" s="121"/>
      <c r="D11" s="89"/>
      <c r="E11" s="122"/>
      <c r="F11" s="123"/>
      <c r="G11" s="88"/>
      <c r="H11" s="88"/>
      <c r="I11" s="125"/>
      <c r="J11" s="115">
        <f ca="1">IF(ISERROR(OFFSET(Tabella!$A$1,MATCH(G11,Tabella!$A:$A,0)-1,MATCH(I11,Tabella!$A$1:$AC$1,0)-1)=TRUE),0,+OFFSET(Tabella!$A$1,MATCH(G11,Tabella!$A:$A,0)-1,MATCH(I11,Tabella!$A$1:$AC$1,0)-1))</f>
        <v>0</v>
      </c>
      <c r="K11" s="85">
        <f ca="1">IF(ISERROR(OFFSET(Ottone!$A$1,MATCH(G11,Ottone!$A:$A,0)-1,MATCH(I11,Ottone!$A$1:$Z$1,0)-1)=TRUE),0,OFFSET(Ottone!$A$1,MATCH(G11,Ottone!$A:$A,0)-1,MATCH(I11,Ottone!$A$1:$Z$1,0)-1))*IF(D11="Ottone",1,0)</f>
        <v>0</v>
      </c>
      <c r="L11" s="85">
        <f ca="1">IF(ISERROR(OFFSET(Rame!$A$1,MATCH(G11,Rame!$A:$A,0)-1,MATCH(I11,Rame!$A$1:$AA$1,0)-1)=TRUE),0,OFFSET(Rame!$A$1,MATCH(G11,Rame!$A:$A,0)-1,MATCH(I11,Rame!$A$1:$AA$1,0)-1))*IF(D11="Rame",1,0)</f>
        <v>0</v>
      </c>
      <c r="M11" s="126">
        <f t="shared" ca="1" si="0"/>
        <v>0</v>
      </c>
      <c r="N11" s="126">
        <f ca="1">+IF(ISERROR(OFFSET(Tabella!$G$1,MATCH(G11,Tabella!$G:$G,0)-1,MATCH(H11,Tabella!$G$1:$FG$1,0)-1)=TRUE),0,OFFSET(Tabella!$G$1,MATCH(G11,Tabella!$G:$G,0)-1,MATCH(H11,Tabella!$G$1:$AB$1,0)-1))</f>
        <v>0</v>
      </c>
      <c r="O11" s="126">
        <f ca="1">IF(ISERROR(OFFSET(Ottone!$F$1,MATCH(G11,Ottone!$A:$A,0)-1,MATCH(H11,Ottone!$F$1:$FF$1,0)-1)=TRUE),0,OFFSET(Ottone!$F$1,MATCH(G11,Ottone!$A:$A,0)-1,MATCH(H11,Ottone!$F$1:$FF$1,0)-1))*IF(D11="Ottone",1,0)</f>
        <v>0</v>
      </c>
      <c r="P11" s="126">
        <f ca="1">IF(ISERROR(OFFSET(Rame!$F$1,MATCH(G11,Rame!$F:$F,0)-1,MATCH(H11,Rame!$F$1:$FF$1,0)-1)=TRUE),0,OFFSET(Rame!$F$1,MATCH(G11,Rame!$F:$F,0)-1,MATCH(H11,Rame!$F$1:$FF$1,0)-1))*IF(D11="Rame",1,0)</f>
        <v>0</v>
      </c>
      <c r="Q11" s="126">
        <f t="shared" ca="1" si="1"/>
        <v>0</v>
      </c>
      <c r="R11" s="126">
        <f t="shared" si="2"/>
        <v>0</v>
      </c>
      <c r="S11" s="127"/>
      <c r="T11" s="128">
        <f t="shared" ca="1" si="3"/>
        <v>0</v>
      </c>
      <c r="U11" s="125">
        <f t="shared" si="4"/>
        <v>0</v>
      </c>
      <c r="V11" s="129"/>
      <c r="W11" s="130">
        <f t="shared" ca="1" si="5"/>
        <v>0</v>
      </c>
      <c r="X11" s="125">
        <f t="shared" ca="1" si="6"/>
        <v>0</v>
      </c>
      <c r="Y11" s="131"/>
      <c r="Z11" s="100"/>
    </row>
    <row r="12" spans="1:26" ht="15.75" thickBot="1" x14ac:dyDescent="0.3">
      <c r="A12" s="103"/>
      <c r="B12" s="88"/>
      <c r="C12" s="121"/>
      <c r="D12" s="89"/>
      <c r="E12" s="122"/>
      <c r="F12" s="123"/>
      <c r="G12" s="88"/>
      <c r="H12" s="88"/>
      <c r="I12" s="132"/>
      <c r="J12" s="115">
        <f ca="1">IF(ISERROR(OFFSET(Tabella!$A$1,MATCH(G12,Tabella!$A:$A,0)-1,MATCH(I12,Tabella!$A$1:$AC$1,0)-1)=TRUE),0,+OFFSET(Tabella!$A$1,MATCH(G12,Tabella!$A:$A,0)-1,MATCH(I12,Tabella!$A$1:$AC$1,0)-1))</f>
        <v>0</v>
      </c>
      <c r="K12" s="85">
        <f ca="1">IF(ISERROR(OFFSET(Ottone!$A$1,MATCH(G12,Ottone!$A:$A,0)-1,MATCH(I12,Ottone!$A$1:$Z$1,0)-1)=TRUE),0,OFFSET(Ottone!$A$1,MATCH(G12,Ottone!$A:$A,0)-1,MATCH(I12,Ottone!$A$1:$Z$1,0)-1))*IF(D12="Ottone",1,0)</f>
        <v>0</v>
      </c>
      <c r="L12" s="85">
        <f ca="1">IF(ISERROR(OFFSET(Rame!$A$1,MATCH(G12,Rame!$A:$A,0)-1,MATCH(I12,Rame!$A$1:$AA$1,0)-1)=TRUE),0,OFFSET(Rame!$A$1,MATCH(G12,Rame!$A:$A,0)-1,MATCH(I12,Rame!$A$1:$AA$1,0)-1))*IF(D12="Rame",1,0)</f>
        <v>0</v>
      </c>
      <c r="M12" s="126">
        <f t="shared" ca="1" si="0"/>
        <v>0</v>
      </c>
      <c r="N12" s="126">
        <f ca="1">+IF(ISERROR(OFFSET(Tabella!$G$1,MATCH(G12,Tabella!$G:$G,0)-1,MATCH(H12,Tabella!$G$1:$FG$1,0)-1)=TRUE),0,OFFSET(Tabella!$G$1,MATCH(G12,Tabella!$G:$G,0)-1,MATCH(H12,Tabella!$G$1:$AB$1,0)-1))</f>
        <v>0</v>
      </c>
      <c r="O12" s="126">
        <f ca="1">IF(ISERROR(OFFSET(Ottone!$F$1,MATCH(G12,Ottone!$A:$A,0)-1,MATCH(H12,Ottone!$F$1:$FF$1,0)-1)=TRUE),0,OFFSET(Ottone!$F$1,MATCH(G12,Ottone!$A:$A,0)-1,MATCH(H12,Ottone!$F$1:$FF$1,0)-1))*IF(D12="Ottone",1,0)</f>
        <v>0</v>
      </c>
      <c r="P12" s="126">
        <f ca="1">IF(ISERROR(OFFSET(Rame!$F$1,MATCH(G12,Rame!$F:$F,0)-1,MATCH(H12,Rame!$F$1:$FF$1,0)-1)=TRUE),0,OFFSET(Rame!$F$1,MATCH(G12,Rame!$F:$F,0)-1,MATCH(H12,Rame!$F$1:$FF$1,0)-1))*IF(D12="Rame",1,0)</f>
        <v>0</v>
      </c>
      <c r="Q12" s="126">
        <f t="shared" ca="1" si="1"/>
        <v>0</v>
      </c>
      <c r="R12" s="126">
        <f t="shared" si="2"/>
        <v>0</v>
      </c>
      <c r="S12" s="127"/>
      <c r="T12" s="128">
        <f t="shared" ca="1" si="3"/>
        <v>0</v>
      </c>
      <c r="U12" s="125">
        <f t="shared" si="4"/>
        <v>0</v>
      </c>
      <c r="V12" s="129"/>
      <c r="W12" s="130">
        <f t="shared" ca="1" si="5"/>
        <v>0</v>
      </c>
      <c r="X12" s="125">
        <f t="shared" ca="1" si="6"/>
        <v>0</v>
      </c>
      <c r="Y12" s="131"/>
      <c r="Z12" s="100"/>
    </row>
    <row r="13" spans="1:26" ht="15.75" thickBot="1" x14ac:dyDescent="0.3">
      <c r="A13" s="103"/>
      <c r="B13" s="88"/>
      <c r="C13" s="121"/>
      <c r="D13" s="89"/>
      <c r="E13" s="122"/>
      <c r="F13" s="123"/>
      <c r="G13" s="88"/>
      <c r="H13" s="88"/>
      <c r="I13" s="125"/>
      <c r="J13" s="115">
        <f ca="1">IF(ISERROR(OFFSET(Tabella!$A$1,MATCH(G13,Tabella!$A:$A,0)-1,MATCH(I13,Tabella!$A$1:$AC$1,0)-1)=TRUE),0,+OFFSET(Tabella!$A$1,MATCH(G13,Tabella!$A:$A,0)-1,MATCH(I13,Tabella!$A$1:$AC$1,0)-1))</f>
        <v>0</v>
      </c>
      <c r="K13" s="85">
        <f ca="1">IF(ISERROR(OFFSET(Ottone!$A$1,MATCH(G13,Ottone!$A:$A,0)-1,MATCH(I13,Ottone!$A$1:$Z$1,0)-1)=TRUE),0,OFFSET(Ottone!$A$1,MATCH(G13,Ottone!$A:$A,0)-1,MATCH(I13,Ottone!$A$1:$Z$1,0)-1))*IF(D13="Ottone",1,0)</f>
        <v>0</v>
      </c>
      <c r="L13" s="85">
        <f ca="1">IF(ISERROR(OFFSET(Rame!$A$1,MATCH(G13,Rame!$A:$A,0)-1,MATCH(I13,Rame!$A$1:$AA$1,0)-1)=TRUE),0,OFFSET(Rame!$A$1,MATCH(G13,Rame!$A:$A,0)-1,MATCH(I13,Rame!$A$1:$AA$1,0)-1))*IF(D13="Rame",1,0)</f>
        <v>0</v>
      </c>
      <c r="M13" s="126">
        <f t="shared" ca="1" si="0"/>
        <v>0</v>
      </c>
      <c r="N13" s="126">
        <f ca="1">+IF(ISERROR(OFFSET(Tabella!$G$1,MATCH(G13,Tabella!$G:$G,0)-1,MATCH(H13,Tabella!$G$1:$FG$1,0)-1)=TRUE),0,OFFSET(Tabella!$G$1,MATCH(G13,Tabella!$G:$G,0)-1,MATCH(H13,Tabella!$G$1:$AB$1,0)-1))</f>
        <v>0</v>
      </c>
      <c r="O13" s="126">
        <f ca="1">IF(ISERROR(OFFSET(Ottone!$F$1,MATCH(G13,Ottone!$A:$A,0)-1,MATCH(H13,Ottone!$F$1:$FF$1,0)-1)=TRUE),0,OFFSET(Ottone!$F$1,MATCH(G13,Ottone!$A:$A,0)-1,MATCH(H13,Ottone!$F$1:$FF$1,0)-1))*IF(D13="Ottone",1,0)</f>
        <v>0</v>
      </c>
      <c r="P13" s="126">
        <f ca="1">IF(ISERROR(OFFSET(Rame!$F$1,MATCH(G13,Rame!$F:$F,0)-1,MATCH(H13,Rame!$F$1:$FF$1,0)-1)=TRUE),0,OFFSET(Rame!$F$1,MATCH(G13,Rame!$F:$F,0)-1,MATCH(H13,Rame!$F$1:$FF$1,0)-1))*IF(D13="Rame",1,0)</f>
        <v>0</v>
      </c>
      <c r="Q13" s="126">
        <f t="shared" ca="1" si="1"/>
        <v>0</v>
      </c>
      <c r="R13" s="126">
        <f t="shared" si="2"/>
        <v>0</v>
      </c>
      <c r="S13" s="127"/>
      <c r="T13" s="128">
        <f t="shared" ca="1" si="3"/>
        <v>0</v>
      </c>
      <c r="U13" s="125">
        <f t="shared" si="4"/>
        <v>0</v>
      </c>
      <c r="V13" s="129"/>
      <c r="W13" s="130">
        <f t="shared" ca="1" si="5"/>
        <v>0</v>
      </c>
      <c r="X13" s="125">
        <f t="shared" ca="1" si="6"/>
        <v>0</v>
      </c>
      <c r="Y13" s="131"/>
      <c r="Z13" s="100"/>
    </row>
    <row r="14" spans="1:26" ht="15.75" thickBot="1" x14ac:dyDescent="0.3">
      <c r="A14" s="103"/>
      <c r="B14" s="88"/>
      <c r="C14" s="121"/>
      <c r="D14" s="89"/>
      <c r="E14" s="122"/>
      <c r="F14" s="123"/>
      <c r="G14" s="88"/>
      <c r="H14" s="88"/>
      <c r="I14" s="125"/>
      <c r="J14" s="115">
        <f ca="1">IF(ISERROR(OFFSET(Tabella!$A$1,MATCH(G14,Tabella!$A:$A,0)-1,MATCH(I14,Tabella!$A$1:$AC$1,0)-1)=TRUE),0,+OFFSET(Tabella!$A$1,MATCH(G14,Tabella!$A:$A,0)-1,MATCH(I14,Tabella!$A$1:$AC$1,0)-1))</f>
        <v>0</v>
      </c>
      <c r="K14" s="85">
        <f ca="1">IF(ISERROR(OFFSET(Ottone!$A$1,MATCH(G14,Ottone!$A:$A,0)-1,MATCH(I14,Ottone!$A$1:$Z$1,0)-1)=TRUE),0,OFFSET(Ottone!$A$1,MATCH(G14,Ottone!$A:$A,0)-1,MATCH(I14,Ottone!$A$1:$Z$1,0)-1))*IF(D14="Ottone",1,0)</f>
        <v>0</v>
      </c>
      <c r="L14" s="85">
        <f ca="1">IF(ISERROR(OFFSET(Rame!$A$1,MATCH(G14,Rame!$A:$A,0)-1,MATCH(I14,Rame!$A$1:$AA$1,0)-1)=TRUE),0,OFFSET(Rame!$A$1,MATCH(G14,Rame!$A:$A,0)-1,MATCH(I14,Rame!$A$1:$AA$1,0)-1))*IF(D14="Rame",1,0)</f>
        <v>0</v>
      </c>
      <c r="M14" s="126">
        <f t="shared" ca="1" si="0"/>
        <v>0</v>
      </c>
      <c r="N14" s="126">
        <f ca="1">+IF(ISERROR(OFFSET(Tabella!$G$1,MATCH(G14,Tabella!$G:$G,0)-1,MATCH(H14,Tabella!$G$1:$FG$1,0)-1)=TRUE),0,OFFSET(Tabella!$G$1,MATCH(G14,Tabella!$G:$G,0)-1,MATCH(H14,Tabella!$G$1:$AB$1,0)-1))</f>
        <v>0</v>
      </c>
      <c r="O14" s="126">
        <f ca="1">IF(ISERROR(OFFSET(Ottone!$F$1,MATCH(G14,Ottone!$A:$A,0)-1,MATCH(H14,Ottone!$F$1:$FF$1,0)-1)=TRUE),0,OFFSET(Ottone!$F$1,MATCH(G14,Ottone!$A:$A,0)-1,MATCH(H14,Ottone!$F$1:$FF$1,0)-1))*IF(D14="Ottone",1,0)</f>
        <v>0</v>
      </c>
      <c r="P14" s="126">
        <f ca="1">IF(ISERROR(OFFSET(Rame!$F$1,MATCH(G14,Rame!$F:$F,0)-1,MATCH(H14,Rame!$F$1:$FF$1,0)-1)=TRUE),0,OFFSET(Rame!$F$1,MATCH(G14,Rame!$F:$F,0)-1,MATCH(H14,Rame!$F$1:$FF$1,0)-1))*IF(D14="Rame",1,0)</f>
        <v>0</v>
      </c>
      <c r="Q14" s="126">
        <f t="shared" ca="1" si="1"/>
        <v>0</v>
      </c>
      <c r="R14" s="126">
        <f t="shared" si="2"/>
        <v>0</v>
      </c>
      <c r="S14" s="127"/>
      <c r="T14" s="128">
        <f t="shared" ca="1" si="3"/>
        <v>0</v>
      </c>
      <c r="U14" s="125">
        <f t="shared" si="4"/>
        <v>0</v>
      </c>
      <c r="V14" s="129"/>
      <c r="W14" s="130">
        <f t="shared" ca="1" si="5"/>
        <v>0</v>
      </c>
      <c r="X14" s="125">
        <f t="shared" ca="1" si="6"/>
        <v>0</v>
      </c>
      <c r="Y14" s="131"/>
      <c r="Z14" s="100"/>
    </row>
    <row r="15" spans="1:26" ht="15.75" thickBot="1" x14ac:dyDescent="0.3">
      <c r="A15" s="103"/>
      <c r="B15" s="88"/>
      <c r="C15" s="121"/>
      <c r="D15" s="89"/>
      <c r="E15" s="122"/>
      <c r="F15" s="123"/>
      <c r="G15" s="88"/>
      <c r="H15" s="88"/>
      <c r="I15" s="125"/>
      <c r="J15" s="115">
        <f ca="1">IF(ISERROR(OFFSET(Tabella!$A$1,MATCH(G15,Tabella!$A:$A,0)-1,MATCH(I15,Tabella!$A$1:$AC$1,0)-1)=TRUE),0,+OFFSET(Tabella!$A$1,MATCH(G15,Tabella!$A:$A,0)-1,MATCH(I15,Tabella!$A$1:$AC$1,0)-1))</f>
        <v>0</v>
      </c>
      <c r="K15" s="85">
        <f ca="1">IF(ISERROR(OFFSET(Ottone!$A$1,MATCH(G15,Ottone!$A:$A,0)-1,MATCH(I15,Ottone!$A$1:$Z$1,0)-1)=TRUE),0,OFFSET(Ottone!$A$1,MATCH(G15,Ottone!$A:$A,0)-1,MATCH(I15,Ottone!$A$1:$Z$1,0)-1))*IF(D15="Ottone",1,0)</f>
        <v>0</v>
      </c>
      <c r="L15" s="85">
        <f ca="1">IF(ISERROR(OFFSET(Rame!$A$1,MATCH(G15,Rame!$A:$A,0)-1,MATCH(I15,Rame!$A$1:$AA$1,0)-1)=TRUE),0,OFFSET(Rame!$A$1,MATCH(G15,Rame!$A:$A,0)-1,MATCH(I15,Rame!$A$1:$AA$1,0)-1))*IF(D15="Rame",1,0)</f>
        <v>0</v>
      </c>
      <c r="M15" s="126">
        <f t="shared" ca="1" si="0"/>
        <v>0</v>
      </c>
      <c r="N15" s="126">
        <f ca="1">+IF(ISERROR(OFFSET(Tabella!$G$1,MATCH(G15,Tabella!$G:$G,0)-1,MATCH(H15,Tabella!$G$1:$FG$1,0)-1)=TRUE),0,OFFSET(Tabella!$G$1,MATCH(G15,Tabella!$G:$G,0)-1,MATCH(H15,Tabella!$G$1:$AB$1,0)-1))</f>
        <v>0</v>
      </c>
      <c r="O15" s="126">
        <f ca="1">IF(ISERROR(OFFSET(Ottone!$F$1,MATCH(G15,Ottone!$A:$A,0)-1,MATCH(H15,Ottone!$F$1:$FF$1,0)-1)=TRUE),0,OFFSET(Ottone!$F$1,MATCH(G15,Ottone!$A:$A,0)-1,MATCH(H15,Ottone!$F$1:$FF$1,0)-1))*IF(D15="Ottone",1,0)</f>
        <v>0</v>
      </c>
      <c r="P15" s="126">
        <f ca="1">IF(ISERROR(OFFSET(Rame!$F$1,MATCH(G15,Rame!$F:$F,0)-1,MATCH(H15,Rame!$F$1:$FF$1,0)-1)=TRUE),0,OFFSET(Rame!$F$1,MATCH(G15,Rame!$F:$F,0)-1,MATCH(H15,Rame!$F$1:$FF$1,0)-1))*IF(D15="Rame",1,0)</f>
        <v>0</v>
      </c>
      <c r="Q15" s="126">
        <f t="shared" ca="1" si="1"/>
        <v>0</v>
      </c>
      <c r="R15" s="126">
        <f t="shared" si="2"/>
        <v>0</v>
      </c>
      <c r="S15" s="127"/>
      <c r="T15" s="128">
        <f t="shared" ca="1" si="3"/>
        <v>0</v>
      </c>
      <c r="U15" s="125">
        <f t="shared" si="4"/>
        <v>0</v>
      </c>
      <c r="V15" s="129"/>
      <c r="W15" s="130">
        <f t="shared" ca="1" si="5"/>
        <v>0</v>
      </c>
      <c r="X15" s="125">
        <f t="shared" ca="1" si="6"/>
        <v>0</v>
      </c>
      <c r="Y15" s="131"/>
      <c r="Z15" s="100"/>
    </row>
    <row r="16" spans="1:26" ht="15.75" thickBot="1" x14ac:dyDescent="0.3">
      <c r="A16" s="103"/>
      <c r="B16" s="88"/>
      <c r="C16" s="121"/>
      <c r="D16" s="89"/>
      <c r="E16" s="122"/>
      <c r="F16" s="123"/>
      <c r="G16" s="88"/>
      <c r="H16" s="88"/>
      <c r="I16" s="125"/>
      <c r="J16" s="115">
        <f ca="1">IF(ISERROR(OFFSET(Tabella!$A$1,MATCH(G16,Tabella!$A:$A,0)-1,MATCH(I16,Tabella!$A$1:$AC$1,0)-1)=TRUE),0,+OFFSET(Tabella!$A$1,MATCH(G16,Tabella!$A:$A,0)-1,MATCH(I16,Tabella!$A$1:$AC$1,0)-1))</f>
        <v>0</v>
      </c>
      <c r="K16" s="85">
        <f ca="1">IF(ISERROR(OFFSET(Ottone!$A$1,MATCH(G16,Ottone!$A:$A,0)-1,MATCH(I16,Ottone!$A$1:$Z$1,0)-1)=TRUE),0,OFFSET(Ottone!$A$1,MATCH(G16,Ottone!$A:$A,0)-1,MATCH(I16,Ottone!$A$1:$Z$1,0)-1))*IF(D16="Ottone",1,0)</f>
        <v>0</v>
      </c>
      <c r="L16" s="85">
        <f ca="1">IF(ISERROR(OFFSET(Rame!$A$1,MATCH(G16,Rame!$A:$A,0)-1,MATCH(I16,Rame!$A$1:$AA$1,0)-1)=TRUE),0,OFFSET(Rame!$A$1,MATCH(G16,Rame!$A:$A,0)-1,MATCH(I16,Rame!$A$1:$AA$1,0)-1))*IF(D16="Rame",1,0)</f>
        <v>0</v>
      </c>
      <c r="M16" s="126">
        <f t="shared" ca="1" si="0"/>
        <v>0</v>
      </c>
      <c r="N16" s="126">
        <f ca="1">+IF(ISERROR(OFFSET(Tabella!$G$1,MATCH(G16,Tabella!$G:$G,0)-1,MATCH(H16,Tabella!$G$1:$FG$1,0)-1)=TRUE),0,OFFSET(Tabella!$G$1,MATCH(G16,Tabella!$G:$G,0)-1,MATCH(H16,Tabella!$G$1:$AB$1,0)-1))</f>
        <v>0</v>
      </c>
      <c r="O16" s="126">
        <f ca="1">IF(ISERROR(OFFSET(Ottone!$F$1,MATCH(G16,Ottone!$A:$A,0)-1,MATCH(H16,Ottone!$F$1:$FF$1,0)-1)=TRUE),0,OFFSET(Ottone!$F$1,MATCH(G16,Ottone!$A:$A,0)-1,MATCH(H16,Ottone!$F$1:$FF$1,0)-1))*IF(D16="Ottone",1,0)</f>
        <v>0</v>
      </c>
      <c r="P16" s="126">
        <f ca="1">IF(ISERROR(OFFSET(Rame!$F$1,MATCH(G16,Rame!$F:$F,0)-1,MATCH(H16,Rame!$F$1:$FF$1,0)-1)=TRUE),0,OFFSET(Rame!$F$1,MATCH(G16,Rame!$F:$F,0)-1,MATCH(H16,Rame!$F$1:$FF$1,0)-1))*IF(D16="Rame",1,0)</f>
        <v>0</v>
      </c>
      <c r="Q16" s="126">
        <f ca="1">SUM(N16:P16)</f>
        <v>0</v>
      </c>
      <c r="R16" s="126"/>
      <c r="S16" s="127"/>
      <c r="T16" s="128">
        <f t="shared" ca="1" si="3"/>
        <v>0</v>
      </c>
      <c r="U16" s="125">
        <f t="shared" si="4"/>
        <v>0</v>
      </c>
      <c r="V16" s="129"/>
      <c r="W16" s="130">
        <f t="shared" ca="1" si="5"/>
        <v>0</v>
      </c>
      <c r="X16" s="125">
        <f t="shared" ca="1" si="6"/>
        <v>0</v>
      </c>
      <c r="Y16" s="131"/>
      <c r="Z16" s="100"/>
    </row>
    <row r="17" spans="1:26" ht="15.75" thickBot="1" x14ac:dyDescent="0.3">
      <c r="A17" s="103"/>
      <c r="B17" s="88"/>
      <c r="C17" s="121"/>
      <c r="D17" s="89"/>
      <c r="E17" s="122"/>
      <c r="F17" s="123"/>
      <c r="G17" s="88"/>
      <c r="H17" s="88"/>
      <c r="I17" s="125"/>
      <c r="J17" s="115">
        <f ca="1">IF(ISERROR(OFFSET(Tabella!$A$1,MATCH(G17,Tabella!$A:$A,0)-1,MATCH(I17,Tabella!$A$1:$AC$1,0)-1)=TRUE),0,+OFFSET(Tabella!$A$1,MATCH(G17,Tabella!$A:$A,0)-1,MATCH(I17,Tabella!$A$1:$AC$1,0)-1))</f>
        <v>0</v>
      </c>
      <c r="K17" s="85">
        <f ca="1">IF(ISERROR(OFFSET(Ottone!$A$1,MATCH(G17,Ottone!$A:$A,0)-1,MATCH(I17,Ottone!$A$1:$Z$1,0)-1)=TRUE),0,OFFSET(Ottone!$A$1,MATCH(G17,Ottone!$A:$A,0)-1,MATCH(I17,Ottone!$A$1:$Z$1,0)-1))*IF(D17="Ottone",1,0)</f>
        <v>0</v>
      </c>
      <c r="L17" s="85">
        <f ca="1">IF(ISERROR(OFFSET(Rame!$A$1,MATCH(G17,Rame!$A:$A,0)-1,MATCH(I17,Rame!$A$1:$AA$1,0)-1)=TRUE),0,OFFSET(Rame!$A$1,MATCH(G17,Rame!$A:$A,0)-1,MATCH(I17,Rame!$A$1:$AA$1,0)-1))*IF(D17="Rame",1,0)</f>
        <v>0</v>
      </c>
      <c r="M17" s="126">
        <f t="shared" ca="1" si="0"/>
        <v>0</v>
      </c>
      <c r="N17" s="126">
        <f ca="1">+IF(ISERROR(OFFSET(Tabella!$G$1,MATCH(G17,Tabella!$G:$G,0)-1,MATCH(H17,Tabella!$G$1:$FG$1,0)-1)=TRUE),0,OFFSET(Tabella!$G$1,MATCH(G17,Tabella!$G:$G,0)-1,MATCH(H17,Tabella!$G$1:$AB$1,0)-1))</f>
        <v>0</v>
      </c>
      <c r="O17" s="126">
        <f ca="1">IF(ISERROR(OFFSET(Ottone!$F$1,MATCH(G17,Ottone!$A:$A,0)-1,MATCH(H17,Ottone!$F$1:$FF$1,0)-1)=TRUE),0,OFFSET(Ottone!$F$1,MATCH(G17,Ottone!$A:$A,0)-1,MATCH(H17,Ottone!$F$1:$FF$1,0)-1))*IF(D17="Ottone",1,0)</f>
        <v>0</v>
      </c>
      <c r="P17" s="126">
        <f ca="1">IF(ISERROR(OFFSET(Rame!$F$1,MATCH(G17,Rame!$F:$F,0)-1,MATCH(H17,Rame!$F$1:$FF$1,0)-1)=TRUE),0,OFFSET(Rame!$F$1,MATCH(G17,Rame!$F:$F,0)-1,MATCH(H17,Rame!$F$1:$FF$1,0)-1))*IF(D17="Rame",1,0)</f>
        <v>0</v>
      </c>
      <c r="Q17" s="126">
        <f ca="1">SUM(N17:P17)</f>
        <v>0</v>
      </c>
      <c r="R17" s="126">
        <f t="shared" ref="R17:R51" si="7">(IF(C17&gt;500,0,0.1)*IF(D17="Alluminio",0,1))*IF(C17=0,0,1)</f>
        <v>0</v>
      </c>
      <c r="S17" s="127"/>
      <c r="T17" s="128">
        <f t="shared" ca="1" si="3"/>
        <v>0</v>
      </c>
      <c r="U17" s="125">
        <f t="shared" si="4"/>
        <v>0</v>
      </c>
      <c r="V17" s="129"/>
      <c r="W17" s="130">
        <f t="shared" ca="1" si="5"/>
        <v>0</v>
      </c>
      <c r="X17" s="125">
        <f t="shared" ca="1" si="6"/>
        <v>0</v>
      </c>
      <c r="Y17" s="131"/>
      <c r="Z17" s="100"/>
    </row>
    <row r="18" spans="1:26" ht="15.75" thickBot="1" x14ac:dyDescent="0.3">
      <c r="A18" s="103"/>
      <c r="B18" s="88"/>
      <c r="C18" s="121"/>
      <c r="D18" s="89"/>
      <c r="E18" s="122"/>
      <c r="F18" s="123"/>
      <c r="G18" s="88"/>
      <c r="H18" s="88"/>
      <c r="I18" s="125"/>
      <c r="J18" s="115">
        <f ca="1">IF(ISERROR(OFFSET(Tabella!$A$1,MATCH(G18,Tabella!$A:$A,0)-1,MATCH(I18,Tabella!$A$1:$AC$1,0)-1)=TRUE),0,+OFFSET(Tabella!$A$1,MATCH(G18,Tabella!$A:$A,0)-1,MATCH(I18,Tabella!$A$1:$AC$1,0)-1))</f>
        <v>0</v>
      </c>
      <c r="K18" s="85">
        <f ca="1">IF(ISERROR(OFFSET(Ottone!$A$1,MATCH(G18,Ottone!$A:$A,0)-1,MATCH(I18,Ottone!$A$1:$Z$1,0)-1)=TRUE),0,OFFSET(Ottone!$A$1,MATCH(G18,Ottone!$A:$A,0)-1,MATCH(I18,Ottone!$A$1:$Z$1,0)-1))*IF(D18="Ottone",1,0)</f>
        <v>0</v>
      </c>
      <c r="L18" s="85">
        <f ca="1">IF(ISERROR(OFFSET(Rame!$A$1,MATCH(G18,Rame!$A:$A,0)-1,MATCH(I18,Rame!$A$1:$AA$1,0)-1)=TRUE),0,OFFSET(Rame!$A$1,MATCH(G18,Rame!$A:$A,0)-1,MATCH(I18,Rame!$A$1:$AA$1,0)-1))*IF(D18="Rame",1,0)</f>
        <v>0</v>
      </c>
      <c r="M18" s="126">
        <f t="shared" ca="1" si="0"/>
        <v>0</v>
      </c>
      <c r="N18" s="126">
        <f ca="1">+IF(ISERROR(OFFSET(Tabella!$G$1,MATCH(G18,Tabella!$G:$G,0)-1,MATCH(H18,Tabella!$G$1:$FG$1,0)-1)=TRUE),0,OFFSET(Tabella!$G$1,MATCH(G18,Tabella!$G:$G,0)-1,MATCH(H18,Tabella!$G$1:$AB$1,0)-1))</f>
        <v>0</v>
      </c>
      <c r="O18" s="126">
        <f ca="1">IF(ISERROR(OFFSET(Ottone!$F$1,MATCH(G18,Ottone!$A:$A,0)-1,MATCH(H18,Ottone!$F$1:$FF$1,0)-1)=TRUE),0,OFFSET(Ottone!$F$1,MATCH(G18,Ottone!$A:$A,0)-1,MATCH(H18,Ottone!$F$1:$FF$1,0)-1))*IF(D18="Ottone",1,0)</f>
        <v>0</v>
      </c>
      <c r="P18" s="126">
        <f ca="1">IF(ISERROR(OFFSET(Rame!$F$1,MATCH(G18,Rame!$F:$F,0)-1,MATCH(H18,Rame!$F$1:$FF$1,0)-1)=TRUE),0,OFFSET(Rame!$F$1,MATCH(G18,Rame!$F:$F,0)-1,MATCH(H18,Rame!$F$1:$FF$1,0)-1))*IF(D18="Rame",1,0)</f>
        <v>0</v>
      </c>
      <c r="Q18" s="126">
        <f t="shared" ref="Q18:Q51" ca="1" si="8">SUM(N18:P18)</f>
        <v>0</v>
      </c>
      <c r="R18" s="126">
        <f t="shared" si="7"/>
        <v>0</v>
      </c>
      <c r="S18" s="127"/>
      <c r="T18" s="128">
        <f t="shared" ca="1" si="3"/>
        <v>0</v>
      </c>
      <c r="U18" s="125">
        <f t="shared" si="4"/>
        <v>0</v>
      </c>
      <c r="V18" s="129"/>
      <c r="W18" s="130">
        <f t="shared" ca="1" si="5"/>
        <v>0</v>
      </c>
      <c r="X18" s="125">
        <f t="shared" ca="1" si="6"/>
        <v>0</v>
      </c>
      <c r="Y18" s="131"/>
      <c r="Z18" s="100"/>
    </row>
    <row r="19" spans="1:26" ht="15.75" thickBot="1" x14ac:dyDescent="0.3">
      <c r="A19" s="103"/>
      <c r="B19" s="88"/>
      <c r="C19" s="121"/>
      <c r="D19" s="89"/>
      <c r="E19" s="122"/>
      <c r="F19" s="123"/>
      <c r="G19" s="88"/>
      <c r="H19" s="88"/>
      <c r="I19" s="125"/>
      <c r="J19" s="115">
        <f ca="1">IF(ISERROR(OFFSET(Tabella!$A$1,MATCH(G19,Tabella!$A:$A,0)-1,MATCH(I19,Tabella!$A$1:$AC$1,0)-1)=TRUE),0,+OFFSET(Tabella!$A$1,MATCH(G19,Tabella!$A:$A,0)-1,MATCH(I19,Tabella!$A$1:$AC$1,0)-1))</f>
        <v>0</v>
      </c>
      <c r="K19" s="85">
        <f ca="1">IF(ISERROR(OFFSET(Ottone!$A$1,MATCH(G19,Ottone!$A:$A,0)-1,MATCH(I19,Ottone!$A$1:$Z$1,0)-1)=TRUE),0,OFFSET(Ottone!$A$1,MATCH(G19,Ottone!$A:$A,0)-1,MATCH(I19,Ottone!$A$1:$Z$1,0)-1))*IF(D19="Ottone",1,0)</f>
        <v>0</v>
      </c>
      <c r="L19" s="85">
        <f ca="1">IF(ISERROR(OFFSET(Rame!$A$1,MATCH(G19,Rame!$A:$A,0)-1,MATCH(I19,Rame!$A$1:$AA$1,0)-1)=TRUE),0,OFFSET(Rame!$A$1,MATCH(G19,Rame!$A:$A,0)-1,MATCH(I19,Rame!$A$1:$AA$1,0)-1))*IF(D19="Rame",1,0)</f>
        <v>0</v>
      </c>
      <c r="M19" s="126">
        <f t="shared" ca="1" si="0"/>
        <v>0</v>
      </c>
      <c r="N19" s="126">
        <f ca="1">+IF(ISERROR(OFFSET(Tabella!$G$1,MATCH(G19,Tabella!$G:$G,0)-1,MATCH(H19,Tabella!$G$1:$FG$1,0)-1)=TRUE),0,OFFSET(Tabella!$G$1,MATCH(G19,Tabella!$G:$G,0)-1,MATCH(H19,Tabella!$G$1:$AB$1,0)-1))</f>
        <v>0</v>
      </c>
      <c r="O19" s="126">
        <f ca="1">IF(ISERROR(OFFSET(Ottone!$F$1,MATCH(G19,Ottone!$A:$A,0)-1,MATCH(H19,Ottone!$F$1:$FF$1,0)-1)=TRUE),0,OFFSET(Ottone!$F$1,MATCH(G19,Ottone!$A:$A,0)-1,MATCH(H19,Ottone!$F$1:$FF$1,0)-1))*IF(D19="Ottone",1,0)</f>
        <v>0</v>
      </c>
      <c r="P19" s="126">
        <f ca="1">IF(ISERROR(OFFSET(Rame!$F$1,MATCH(G19,Rame!$F:$F,0)-1,MATCH(H19,Rame!$F$1:$FF$1,0)-1)=TRUE),0,OFFSET(Rame!$F$1,MATCH(G19,Rame!$F:$F,0)-1,MATCH(H19,Rame!$F$1:$FF$1,0)-1))*IF(D19="Rame",1,0)</f>
        <v>0</v>
      </c>
      <c r="Q19" s="126">
        <f t="shared" ca="1" si="8"/>
        <v>0</v>
      </c>
      <c r="R19" s="126">
        <f t="shared" si="7"/>
        <v>0</v>
      </c>
      <c r="S19" s="127"/>
      <c r="T19" s="128">
        <f t="shared" ca="1" si="3"/>
        <v>0</v>
      </c>
      <c r="U19" s="125">
        <f t="shared" si="4"/>
        <v>0</v>
      </c>
      <c r="V19" s="129"/>
      <c r="W19" s="130">
        <f t="shared" ca="1" si="5"/>
        <v>0</v>
      </c>
      <c r="X19" s="125">
        <f t="shared" ca="1" si="6"/>
        <v>0</v>
      </c>
      <c r="Y19" s="131"/>
      <c r="Z19" s="100"/>
    </row>
    <row r="20" spans="1:26" ht="15.75" thickBot="1" x14ac:dyDescent="0.3">
      <c r="A20" s="103"/>
      <c r="B20" s="88"/>
      <c r="C20" s="121"/>
      <c r="D20" s="89"/>
      <c r="E20" s="122"/>
      <c r="F20" s="123"/>
      <c r="G20" s="88"/>
      <c r="H20" s="88"/>
      <c r="I20" s="125"/>
      <c r="J20" s="115">
        <f ca="1">IF(ISERROR(OFFSET(Tabella!$A$1,MATCH(G20,Tabella!$A:$A,0)-1,MATCH(I20,Tabella!$A$1:$AC$1,0)-1)=TRUE),0,+OFFSET(Tabella!$A$1,MATCH(G20,Tabella!$A:$A,0)-1,MATCH(I20,Tabella!$A$1:$AC$1,0)-1))</f>
        <v>0</v>
      </c>
      <c r="K20" s="85">
        <f ca="1">IF(ISERROR(OFFSET(Ottone!$A$1,MATCH(G20,Ottone!$A:$A,0)-1,MATCH(I20,Ottone!$A$1:$Z$1,0)-1)=TRUE),0,OFFSET(Ottone!$A$1,MATCH(G20,Ottone!$A:$A,0)-1,MATCH(I20,Ottone!$A$1:$Z$1,0)-1))*IF(D20="Ottone",1,0)</f>
        <v>0</v>
      </c>
      <c r="L20" s="85">
        <f ca="1">IF(ISERROR(OFFSET(Rame!$A$1,MATCH(G20,Rame!$A:$A,0)-1,MATCH(I20,Rame!$A$1:$AA$1,0)-1)=TRUE),0,OFFSET(Rame!$A$1,MATCH(G20,Rame!$A:$A,0)-1,MATCH(I20,Rame!$A$1:$AA$1,0)-1))*IF(D20="Rame",1,0)</f>
        <v>0</v>
      </c>
      <c r="M20" s="126">
        <f t="shared" ca="1" si="0"/>
        <v>0</v>
      </c>
      <c r="N20" s="126">
        <f ca="1">+IF(ISERROR(OFFSET(Tabella!$G$1,MATCH(G20,Tabella!$G:$G,0)-1,MATCH(H20,Tabella!$G$1:$FG$1,0)-1)=TRUE),0,OFFSET(Tabella!$G$1,MATCH(G20,Tabella!$G:$G,0)-1,MATCH(H20,Tabella!$G$1:$AB$1,0)-1))</f>
        <v>0</v>
      </c>
      <c r="O20" s="126">
        <f ca="1">IF(ISERROR(OFFSET(Ottone!$F$1,MATCH(G20,Ottone!$A:$A,0)-1,MATCH(H20,Ottone!$F$1:$FF$1,0)-1)=TRUE),0,OFFSET(Ottone!$F$1,MATCH(G20,Ottone!$A:$A,0)-1,MATCH(H20,Ottone!$F$1:$FF$1,0)-1))*IF(D20="Ottone",1,0)</f>
        <v>0</v>
      </c>
      <c r="P20" s="126">
        <f ca="1">IF(ISERROR(OFFSET(Rame!$F$1,MATCH(G20,Rame!$F:$F,0)-1,MATCH(H20,Rame!$F$1:$FF$1,0)-1)=TRUE),0,OFFSET(Rame!$F$1,MATCH(G20,Rame!$F:$F,0)-1,MATCH(H20,Rame!$F$1:$FF$1,0)-1))*IF(D20="Rame",1,0)</f>
        <v>0</v>
      </c>
      <c r="Q20" s="126">
        <f t="shared" ca="1" si="8"/>
        <v>0</v>
      </c>
      <c r="R20" s="126">
        <f t="shared" si="7"/>
        <v>0</v>
      </c>
      <c r="S20" s="127"/>
      <c r="T20" s="128">
        <f t="shared" ca="1" si="3"/>
        <v>0</v>
      </c>
      <c r="U20" s="125">
        <f t="shared" si="4"/>
        <v>0</v>
      </c>
      <c r="V20" s="129"/>
      <c r="W20" s="130">
        <f t="shared" ca="1" si="5"/>
        <v>0</v>
      </c>
      <c r="X20" s="125">
        <f t="shared" ca="1" si="6"/>
        <v>0</v>
      </c>
      <c r="Y20" s="131"/>
      <c r="Z20" s="100"/>
    </row>
    <row r="21" spans="1:26" ht="15.75" thickBot="1" x14ac:dyDescent="0.3">
      <c r="A21" s="103"/>
      <c r="B21" s="88"/>
      <c r="C21" s="121"/>
      <c r="D21" s="89"/>
      <c r="E21" s="122"/>
      <c r="F21" s="123"/>
      <c r="G21" s="88"/>
      <c r="H21" s="88"/>
      <c r="I21" s="125"/>
      <c r="J21" s="115">
        <f ca="1">IF(ISERROR(OFFSET(Tabella!$A$1,MATCH(G21,Tabella!$A:$A,0)-1,MATCH(I21,Tabella!$A$1:$AC$1,0)-1)=TRUE),0,+OFFSET(Tabella!$A$1,MATCH(G21,Tabella!$A:$A,0)-1,MATCH(I21,Tabella!$A$1:$AC$1,0)-1))</f>
        <v>0</v>
      </c>
      <c r="K21" s="85">
        <f ca="1">IF(ISERROR(OFFSET(Ottone!$A$1,MATCH(G21,Ottone!$A:$A,0)-1,MATCH(I21,Ottone!$A$1:$Z$1,0)-1)=TRUE),0,OFFSET(Ottone!$A$1,MATCH(G21,Ottone!$A:$A,0)-1,MATCH(I21,Ottone!$A$1:$Z$1,0)-1))*IF(D21="Ottone",1,0)</f>
        <v>0</v>
      </c>
      <c r="L21" s="85">
        <f ca="1">IF(ISERROR(OFFSET(Rame!$A$1,MATCH(G21,Rame!$A:$A,0)-1,MATCH(I21,Rame!$A$1:$AA$1,0)-1)=TRUE),0,OFFSET(Rame!$A$1,MATCH(G21,Rame!$A:$A,0)-1,MATCH(I21,Rame!$A$1:$AA$1,0)-1))*IF(D21="Rame",1,0)</f>
        <v>0</v>
      </c>
      <c r="M21" s="126">
        <f t="shared" ca="1" si="0"/>
        <v>0</v>
      </c>
      <c r="N21" s="126">
        <f ca="1">+IF(ISERROR(OFFSET(Tabella!$G$1,MATCH(G21,Tabella!$G:$G,0)-1,MATCH(H21,Tabella!$G$1:$FG$1,0)-1)=TRUE),0,OFFSET(Tabella!$G$1,MATCH(G21,Tabella!$G:$G,0)-1,MATCH(H21,Tabella!$G$1:$AB$1,0)-1))</f>
        <v>0</v>
      </c>
      <c r="O21" s="126">
        <f ca="1">IF(ISERROR(OFFSET(Ottone!$F$1,MATCH(G21,Ottone!$A:$A,0)-1,MATCH(H21,Ottone!$F$1:$FF$1,0)-1)=TRUE),0,OFFSET(Ottone!$F$1,MATCH(G21,Ottone!$A:$A,0)-1,MATCH(H21,Ottone!$F$1:$FF$1,0)-1))*IF(D21="Ottone",1,0)</f>
        <v>0</v>
      </c>
      <c r="P21" s="126">
        <f ca="1">IF(ISERROR(OFFSET(Rame!$F$1,MATCH(G21,Rame!$F:$F,0)-1,MATCH(H21,Rame!$F$1:$FF$1,0)-1)=TRUE),0,OFFSET(Rame!$F$1,MATCH(G21,Rame!$F:$F,0)-1,MATCH(H21,Rame!$F$1:$FF$1,0)-1))*IF(D21="Rame",1,0)</f>
        <v>0</v>
      </c>
      <c r="Q21" s="126">
        <f t="shared" ca="1" si="8"/>
        <v>0</v>
      </c>
      <c r="R21" s="126">
        <f t="shared" si="7"/>
        <v>0</v>
      </c>
      <c r="S21" s="127"/>
      <c r="T21" s="128">
        <f t="shared" ca="1" si="3"/>
        <v>0</v>
      </c>
      <c r="U21" s="125">
        <f t="shared" si="4"/>
        <v>0</v>
      </c>
      <c r="V21" s="129"/>
      <c r="W21" s="130">
        <f t="shared" ca="1" si="5"/>
        <v>0</v>
      </c>
      <c r="X21" s="125">
        <f t="shared" ca="1" si="6"/>
        <v>0</v>
      </c>
      <c r="Y21" s="131"/>
      <c r="Z21" s="100"/>
    </row>
    <row r="22" spans="1:26" ht="15.75" thickBot="1" x14ac:dyDescent="0.3">
      <c r="A22" s="103"/>
      <c r="B22" s="88"/>
      <c r="C22" s="121"/>
      <c r="D22" s="89"/>
      <c r="E22" s="122"/>
      <c r="F22" s="123"/>
      <c r="G22" s="88"/>
      <c r="H22" s="88"/>
      <c r="I22" s="125"/>
      <c r="J22" s="115">
        <f ca="1">IF(ISERROR(OFFSET(Tabella!$A$1,MATCH(G22,Tabella!$A:$A,0)-1,MATCH(I22,Tabella!$A$1:$AC$1,0)-1)=TRUE),0,+OFFSET(Tabella!$A$1,MATCH(G22,Tabella!$A:$A,0)-1,MATCH(I22,Tabella!$A$1:$AC$1,0)-1))</f>
        <v>0</v>
      </c>
      <c r="K22" s="85">
        <f ca="1">IF(ISERROR(OFFSET(Ottone!$A$1,MATCH(G22,Ottone!$A:$A,0)-1,MATCH(I22,Ottone!$A$1:$Z$1,0)-1)=TRUE),0,OFFSET(Ottone!$A$1,MATCH(G22,Ottone!$A:$A,0)-1,MATCH(I22,Ottone!$A$1:$Z$1,0)-1))*IF(D22="Ottone",1,0)</f>
        <v>0</v>
      </c>
      <c r="L22" s="85">
        <f ca="1">IF(ISERROR(OFFSET(Rame!$A$1,MATCH(G22,Rame!$A:$A,0)-1,MATCH(I22,Rame!$A$1:$AA$1,0)-1)=TRUE),0,OFFSET(Rame!$A$1,MATCH(G22,Rame!$A:$A,0)-1,MATCH(I22,Rame!$A$1:$AA$1,0)-1))*IF(D22="Rame",1,0)</f>
        <v>0</v>
      </c>
      <c r="M22" s="126">
        <f t="shared" ca="1" si="0"/>
        <v>0</v>
      </c>
      <c r="N22" s="126">
        <f ca="1">+IF(ISERROR(OFFSET(Tabella!$G$1,MATCH(G22,Tabella!$G:$G,0)-1,MATCH(H22,Tabella!$G$1:$FG$1,0)-1)=TRUE),0,OFFSET(Tabella!$G$1,MATCH(G22,Tabella!$G:$G,0)-1,MATCH(H22,Tabella!$G$1:$AB$1,0)-1))</f>
        <v>0</v>
      </c>
      <c r="O22" s="126">
        <f ca="1">IF(ISERROR(OFFSET(Ottone!$F$1,MATCH(G22,Ottone!$A:$A,0)-1,MATCH(H22,Ottone!$F$1:$FF$1,0)-1)=TRUE),0,OFFSET(Ottone!$F$1,MATCH(G22,Ottone!$A:$A,0)-1,MATCH(H22,Ottone!$F$1:$FF$1,0)-1))*IF(D22="Ottone",1,0)</f>
        <v>0</v>
      </c>
      <c r="P22" s="126">
        <f ca="1">IF(ISERROR(OFFSET(Rame!$F$1,MATCH(G22,Rame!$F:$F,0)-1,MATCH(H22,Rame!$F$1:$FF$1,0)-1)=TRUE),0,OFFSET(Rame!$F$1,MATCH(G22,Rame!$F:$F,0)-1,MATCH(H22,Rame!$F$1:$FF$1,0)-1))*IF(D22="Rame",1,0)</f>
        <v>0</v>
      </c>
      <c r="Q22" s="126">
        <f t="shared" ca="1" si="8"/>
        <v>0</v>
      </c>
      <c r="R22" s="126">
        <f t="shared" si="7"/>
        <v>0</v>
      </c>
      <c r="S22" s="127"/>
      <c r="T22" s="128">
        <f t="shared" ca="1" si="3"/>
        <v>0</v>
      </c>
      <c r="U22" s="125">
        <f t="shared" si="4"/>
        <v>0</v>
      </c>
      <c r="V22" s="129"/>
      <c r="W22" s="130">
        <f t="shared" ca="1" si="5"/>
        <v>0</v>
      </c>
      <c r="X22" s="125">
        <f t="shared" ca="1" si="6"/>
        <v>0</v>
      </c>
      <c r="Y22" s="131"/>
      <c r="Z22" s="100"/>
    </row>
    <row r="23" spans="1:26" ht="15.75" thickBot="1" x14ac:dyDescent="0.3">
      <c r="A23" s="103"/>
      <c r="B23" s="88"/>
      <c r="C23" s="121"/>
      <c r="D23" s="89"/>
      <c r="E23" s="122"/>
      <c r="F23" s="123"/>
      <c r="G23" s="88"/>
      <c r="H23" s="88"/>
      <c r="I23" s="125"/>
      <c r="J23" s="115">
        <f ca="1">IF(ISERROR(OFFSET(Tabella!$A$1,MATCH(G23,Tabella!$A:$A,0)-1,MATCH(I23,Tabella!$A$1:$AC$1,0)-1)=TRUE),0,+OFFSET(Tabella!$A$1,MATCH(G23,Tabella!$A:$A,0)-1,MATCH(I23,Tabella!$A$1:$AC$1,0)-1))</f>
        <v>0</v>
      </c>
      <c r="K23" s="85">
        <f ca="1">IF(ISERROR(OFFSET(Ottone!$A$1,MATCH(G23,Ottone!$A:$A,0)-1,MATCH(I23,Ottone!$A$1:$Z$1,0)-1)=TRUE),0,OFFSET(Ottone!$A$1,MATCH(G23,Ottone!$A:$A,0)-1,MATCH(I23,Ottone!$A$1:$Z$1,0)-1))*IF(D23="Ottone",1,0)</f>
        <v>0</v>
      </c>
      <c r="L23" s="85">
        <f ca="1">IF(ISERROR(OFFSET(Rame!$A$1,MATCH(G23,Rame!$A:$A,0)-1,MATCH(I23,Rame!$A$1:$AA$1,0)-1)=TRUE),0,OFFSET(Rame!$A$1,MATCH(G23,Rame!$A:$A,0)-1,MATCH(I23,Rame!$A$1:$AA$1,0)-1))*IF(D23="Rame",1,0)</f>
        <v>0</v>
      </c>
      <c r="M23" s="126">
        <f t="shared" ca="1" si="0"/>
        <v>0</v>
      </c>
      <c r="N23" s="126">
        <f ca="1">+IF(ISERROR(OFFSET(Tabella!$G$1,MATCH(G23,Tabella!$G:$G,0)-1,MATCH(H23,Tabella!$G$1:$FG$1,0)-1)=TRUE),0,OFFSET(Tabella!$G$1,MATCH(G23,Tabella!$G:$G,0)-1,MATCH(H23,Tabella!$G$1:$AB$1,0)-1))</f>
        <v>0</v>
      </c>
      <c r="O23" s="126">
        <f ca="1">IF(ISERROR(OFFSET(Ottone!$F$1,MATCH(G23,Ottone!$A:$A,0)-1,MATCH(H23,Ottone!$F$1:$FF$1,0)-1)=TRUE),0,OFFSET(Ottone!$F$1,MATCH(G23,Ottone!$A:$A,0)-1,MATCH(H23,Ottone!$F$1:$FF$1,0)-1))*IF(D23="Ottone",1,0)</f>
        <v>0</v>
      </c>
      <c r="P23" s="126">
        <f ca="1">IF(ISERROR(OFFSET(Rame!$F$1,MATCH(G23,Rame!$F:$F,0)-1,MATCH(H23,Rame!$F$1:$FF$1,0)-1)=TRUE),0,OFFSET(Rame!$F$1,MATCH(G23,Rame!$F:$F,0)-1,MATCH(H23,Rame!$F$1:$FF$1,0)-1))*IF(D23="Rame",1,0)</f>
        <v>0</v>
      </c>
      <c r="Q23" s="126">
        <f t="shared" ca="1" si="8"/>
        <v>0</v>
      </c>
      <c r="R23" s="126">
        <f t="shared" si="7"/>
        <v>0</v>
      </c>
      <c r="S23" s="127"/>
      <c r="T23" s="128">
        <f t="shared" ca="1" si="3"/>
        <v>0</v>
      </c>
      <c r="U23" s="125">
        <f t="shared" si="4"/>
        <v>0</v>
      </c>
      <c r="V23" s="129"/>
      <c r="W23" s="130">
        <f t="shared" ca="1" si="5"/>
        <v>0</v>
      </c>
      <c r="X23" s="125">
        <f t="shared" ca="1" si="6"/>
        <v>0</v>
      </c>
      <c r="Y23" s="131"/>
      <c r="Z23" s="100"/>
    </row>
    <row r="24" spans="1:26" ht="15.75" thickBot="1" x14ac:dyDescent="0.3">
      <c r="A24" s="103"/>
      <c r="B24" s="88"/>
      <c r="C24" s="121"/>
      <c r="D24" s="89"/>
      <c r="E24" s="122"/>
      <c r="F24" s="123"/>
      <c r="G24" s="88"/>
      <c r="H24" s="88"/>
      <c r="I24" s="125"/>
      <c r="J24" s="115">
        <f ca="1">IF(ISERROR(OFFSET(Tabella!$A$1,MATCH(G24,Tabella!$A:$A,0)-1,MATCH(I24,Tabella!$A$1:$AC$1,0)-1)=TRUE),0,+OFFSET(Tabella!$A$1,MATCH(G24,Tabella!$A:$A,0)-1,MATCH(I24,Tabella!$A$1:$AC$1,0)-1))</f>
        <v>0</v>
      </c>
      <c r="K24" s="85">
        <f ca="1">IF(ISERROR(OFFSET(Ottone!$A$1,MATCH(G24,Ottone!$A:$A,0)-1,MATCH(I24,Ottone!$A$1:$Z$1,0)-1)=TRUE),0,OFFSET(Ottone!$A$1,MATCH(G24,Ottone!$A:$A,0)-1,MATCH(I24,Ottone!$A$1:$Z$1,0)-1))*IF(D24="Ottone",1,0)</f>
        <v>0</v>
      </c>
      <c r="L24" s="85">
        <f ca="1">IF(ISERROR(OFFSET(Rame!$A$1,MATCH(G24,Rame!$A:$A,0)-1,MATCH(I24,Rame!$A$1:$AA$1,0)-1)=TRUE),0,OFFSET(Rame!$A$1,MATCH(G24,Rame!$A:$A,0)-1,MATCH(I24,Rame!$A$1:$AA$1,0)-1))*IF(D24="Rame",1,0)</f>
        <v>0</v>
      </c>
      <c r="M24" s="126">
        <f t="shared" ca="1" si="0"/>
        <v>0</v>
      </c>
      <c r="N24" s="126">
        <f ca="1">+IF(ISERROR(OFFSET(Tabella!$G$1,MATCH(G24,Tabella!$G:$G,0)-1,MATCH(H24,Tabella!$G$1:$FG$1,0)-1)=TRUE),0,OFFSET(Tabella!$G$1,MATCH(G24,Tabella!$G:$G,0)-1,MATCH(H24,Tabella!$G$1:$AB$1,0)-1))</f>
        <v>0</v>
      </c>
      <c r="O24" s="126">
        <f ca="1">IF(ISERROR(OFFSET(Ottone!$F$1,MATCH(G24,Ottone!$A:$A,0)-1,MATCH(H24,Ottone!$F$1:$FF$1,0)-1)=TRUE),0,OFFSET(Ottone!$F$1,MATCH(G24,Ottone!$A:$A,0)-1,MATCH(H24,Ottone!$F$1:$FF$1,0)-1))*IF(D24="Ottone",1,0)</f>
        <v>0</v>
      </c>
      <c r="P24" s="126">
        <f ca="1">IF(ISERROR(OFFSET(Rame!$F$1,MATCH(G24,Rame!$F:$F,0)-1,MATCH(H24,Rame!$F$1:$FF$1,0)-1)=TRUE),0,OFFSET(Rame!$F$1,MATCH(G24,Rame!$F:$F,0)-1,MATCH(H24,Rame!$F$1:$FF$1,0)-1))*IF(D24="Rame",1,0)</f>
        <v>0</v>
      </c>
      <c r="Q24" s="126">
        <f t="shared" ca="1" si="8"/>
        <v>0</v>
      </c>
      <c r="R24" s="126">
        <f t="shared" si="7"/>
        <v>0</v>
      </c>
      <c r="S24" s="127"/>
      <c r="T24" s="128">
        <f t="shared" ca="1" si="3"/>
        <v>0</v>
      </c>
      <c r="U24" s="125">
        <f t="shared" si="4"/>
        <v>0</v>
      </c>
      <c r="V24" s="129"/>
      <c r="W24" s="130">
        <f t="shared" ca="1" si="5"/>
        <v>0</v>
      </c>
      <c r="X24" s="125">
        <f t="shared" ca="1" si="6"/>
        <v>0</v>
      </c>
      <c r="Y24" s="131"/>
      <c r="Z24" s="100"/>
    </row>
    <row r="25" spans="1:26" ht="15.75" thickBot="1" x14ac:dyDescent="0.3">
      <c r="A25" s="103"/>
      <c r="B25" s="88"/>
      <c r="C25" s="121"/>
      <c r="D25" s="89"/>
      <c r="E25" s="122"/>
      <c r="F25" s="123"/>
      <c r="G25" s="88"/>
      <c r="H25" s="88"/>
      <c r="I25" s="125"/>
      <c r="J25" s="115">
        <f ca="1">IF(ISERROR(OFFSET(Tabella!$A$1,MATCH(G25,Tabella!$A:$A,0)-1,MATCH(I25,Tabella!$A$1:$AC$1,0)-1)=TRUE),0,+OFFSET(Tabella!$A$1,MATCH(G25,Tabella!$A:$A,0)-1,MATCH(I25,Tabella!$A$1:$AC$1,0)-1))</f>
        <v>0</v>
      </c>
      <c r="K25" s="85">
        <f ca="1">IF(ISERROR(OFFSET(Ottone!$A$1,MATCH(G25,Ottone!$A:$A,0)-1,MATCH(I25,Ottone!$A$1:$Z$1,0)-1)=TRUE),0,OFFSET(Ottone!$A$1,MATCH(G25,Ottone!$A:$A,0)-1,MATCH(I25,Ottone!$A$1:$Z$1,0)-1))*IF(D25="Ottone",1,0)</f>
        <v>0</v>
      </c>
      <c r="L25" s="85">
        <f ca="1">IF(ISERROR(OFFSET(Rame!$A$1,MATCH(G25,Rame!$A:$A,0)-1,MATCH(I25,Rame!$A$1:$AA$1,0)-1)=TRUE),0,OFFSET(Rame!$A$1,MATCH(G25,Rame!$A:$A,0)-1,MATCH(I25,Rame!$A$1:$AA$1,0)-1))*IF(D25="Rame",1,0)</f>
        <v>0</v>
      </c>
      <c r="M25" s="126">
        <f t="shared" ca="1" si="0"/>
        <v>0</v>
      </c>
      <c r="N25" s="126">
        <f ca="1">+IF(ISERROR(OFFSET(Tabella!$G$1,MATCH(G25,Tabella!$G:$G,0)-1,MATCH(H25,Tabella!$G$1:$FG$1,0)-1)=TRUE),0,OFFSET(Tabella!$G$1,MATCH(G25,Tabella!$G:$G,0)-1,MATCH(H25,Tabella!$G$1:$AB$1,0)-1))</f>
        <v>0</v>
      </c>
      <c r="O25" s="126">
        <f ca="1">IF(ISERROR(OFFSET(Ottone!$F$1,MATCH(G25,Ottone!$A:$A,0)-1,MATCH(H25,Ottone!$F$1:$FF$1,0)-1)=TRUE),0,OFFSET(Ottone!$F$1,MATCH(G25,Ottone!$A:$A,0)-1,MATCH(H25,Ottone!$F$1:$FF$1,0)-1))*IF(D25="Ottone",1,0)</f>
        <v>0</v>
      </c>
      <c r="P25" s="126">
        <f ca="1">IF(ISERROR(OFFSET(Rame!$F$1,MATCH(G25,Rame!$F:$F,0)-1,MATCH(H25,Rame!$F$1:$FF$1,0)-1)=TRUE),0,OFFSET(Rame!$F$1,MATCH(G25,Rame!$F:$F,0)-1,MATCH(H25,Rame!$F$1:$FF$1,0)-1))*IF(D25="Rame",1,0)</f>
        <v>0</v>
      </c>
      <c r="Q25" s="126">
        <f t="shared" ca="1" si="8"/>
        <v>0</v>
      </c>
      <c r="R25" s="126">
        <f t="shared" si="7"/>
        <v>0</v>
      </c>
      <c r="S25" s="127"/>
      <c r="T25" s="128">
        <f t="shared" ca="1" si="3"/>
        <v>0</v>
      </c>
      <c r="U25" s="125">
        <f t="shared" si="4"/>
        <v>0</v>
      </c>
      <c r="V25" s="129"/>
      <c r="W25" s="130">
        <f t="shared" ca="1" si="5"/>
        <v>0</v>
      </c>
      <c r="X25" s="125">
        <f t="shared" ca="1" si="6"/>
        <v>0</v>
      </c>
      <c r="Y25" s="131"/>
      <c r="Z25" s="100"/>
    </row>
    <row r="26" spans="1:26" ht="15.75" thickBot="1" x14ac:dyDescent="0.3">
      <c r="A26" s="103"/>
      <c r="B26" s="88"/>
      <c r="C26" s="121"/>
      <c r="D26" s="89"/>
      <c r="E26" s="122"/>
      <c r="F26" s="123"/>
      <c r="G26" s="88"/>
      <c r="H26" s="88"/>
      <c r="I26" s="125"/>
      <c r="J26" s="115">
        <f ca="1">IF(ISERROR(OFFSET(Tabella!$A$1,MATCH(G26,Tabella!$A:$A,0)-1,MATCH(I26,Tabella!$A$1:$AC$1,0)-1)=TRUE),0,+OFFSET(Tabella!$A$1,MATCH(G26,Tabella!$A:$A,0)-1,MATCH(I26,Tabella!$A$1:$AC$1,0)-1))</f>
        <v>0</v>
      </c>
      <c r="K26" s="85">
        <f ca="1">IF(ISERROR(OFFSET(Ottone!$A$1,MATCH(G26,Ottone!$A:$A,0)-1,MATCH(I26,Ottone!$A$1:$Z$1,0)-1)=TRUE),0,OFFSET(Ottone!$A$1,MATCH(G26,Ottone!$A:$A,0)-1,MATCH(I26,Ottone!$A$1:$Z$1,0)-1))*IF(D26="Ottone",1,0)</f>
        <v>0</v>
      </c>
      <c r="L26" s="85">
        <f ca="1">IF(ISERROR(OFFSET(Rame!$A$1,MATCH(G26,Rame!$A:$A,0)-1,MATCH(I26,Rame!$A$1:$AA$1,0)-1)=TRUE),0,OFFSET(Rame!$A$1,MATCH(G26,Rame!$A:$A,0)-1,MATCH(I26,Rame!$A$1:$AA$1,0)-1))*IF(D26="Rame",1,0)</f>
        <v>0</v>
      </c>
      <c r="M26" s="126">
        <f t="shared" ca="1" si="0"/>
        <v>0</v>
      </c>
      <c r="N26" s="126">
        <f ca="1">+IF(ISERROR(OFFSET(Tabella!$G$1,MATCH(G26,Tabella!$G:$G,0)-1,MATCH(H26,Tabella!$G$1:$FG$1,0)-1)=TRUE),0,OFFSET(Tabella!$G$1,MATCH(G26,Tabella!$G:$G,0)-1,MATCH(H26,Tabella!$G$1:$AB$1,0)-1))</f>
        <v>0</v>
      </c>
      <c r="O26" s="126">
        <f ca="1">IF(ISERROR(OFFSET(Ottone!$F$1,MATCH(G26,Ottone!$A:$A,0)-1,MATCH(H26,Ottone!$F$1:$FF$1,0)-1)=TRUE),0,OFFSET(Ottone!$F$1,MATCH(G26,Ottone!$A:$A,0)-1,MATCH(H26,Ottone!$F$1:$FF$1,0)-1))*IF(D26="Ottone",1,0)</f>
        <v>0</v>
      </c>
      <c r="P26" s="126">
        <f ca="1">IF(ISERROR(OFFSET(Rame!$F$1,MATCH(G26,Rame!$F:$F,0)-1,MATCH(H26,Rame!$F$1:$FF$1,0)-1)=TRUE),0,OFFSET(Rame!$F$1,MATCH(G26,Rame!$F:$F,0)-1,MATCH(H26,Rame!$F$1:$FF$1,0)-1))*IF(D26="Rame",1,0)</f>
        <v>0</v>
      </c>
      <c r="Q26" s="126">
        <f t="shared" ca="1" si="8"/>
        <v>0</v>
      </c>
      <c r="R26" s="126">
        <f t="shared" si="7"/>
        <v>0</v>
      </c>
      <c r="S26" s="127"/>
      <c r="T26" s="128">
        <f t="shared" ca="1" si="3"/>
        <v>0</v>
      </c>
      <c r="U26" s="125">
        <f t="shared" si="4"/>
        <v>0</v>
      </c>
      <c r="V26" s="129"/>
      <c r="W26" s="130">
        <f t="shared" ca="1" si="5"/>
        <v>0</v>
      </c>
      <c r="X26" s="125">
        <f t="shared" ca="1" si="6"/>
        <v>0</v>
      </c>
      <c r="Y26" s="131"/>
      <c r="Z26" s="100"/>
    </row>
    <row r="27" spans="1:26" ht="15.75" thickBot="1" x14ac:dyDescent="0.3">
      <c r="A27" s="103"/>
      <c r="B27" s="88"/>
      <c r="C27" s="121"/>
      <c r="D27" s="89"/>
      <c r="E27" s="122"/>
      <c r="F27" s="123"/>
      <c r="G27" s="88"/>
      <c r="H27" s="88"/>
      <c r="I27" s="125"/>
      <c r="J27" s="115">
        <f ca="1">IF(ISERROR(OFFSET(Tabella!$A$1,MATCH(G27,Tabella!$A:$A,0)-1,MATCH(I27,Tabella!$A$1:$AC$1,0)-1)=TRUE),0,+OFFSET(Tabella!$A$1,MATCH(G27,Tabella!$A:$A,0)-1,MATCH(I27,Tabella!$A$1:$AC$1,0)-1))</f>
        <v>0</v>
      </c>
      <c r="K27" s="85">
        <f ca="1">IF(ISERROR(OFFSET(Ottone!$A$1,MATCH(G27,Ottone!$A:$A,0)-1,MATCH(I27,Ottone!$A$1:$Z$1,0)-1)=TRUE),0,OFFSET(Ottone!$A$1,MATCH(G27,Ottone!$A:$A,0)-1,MATCH(I27,Ottone!$A$1:$Z$1,0)-1))*IF(D27="Ottone",1,0)</f>
        <v>0</v>
      </c>
      <c r="L27" s="85">
        <f ca="1">IF(ISERROR(OFFSET(Rame!$A$1,MATCH(G27,Rame!$A:$A,0)-1,MATCH(I27,Rame!$A$1:$AA$1,0)-1)=TRUE),0,OFFSET(Rame!$A$1,MATCH(G27,Rame!$A:$A,0)-1,MATCH(I27,Rame!$A$1:$AA$1,0)-1))*IF(D27="Rame",1,0)</f>
        <v>0</v>
      </c>
      <c r="M27" s="126">
        <f t="shared" ca="1" si="0"/>
        <v>0</v>
      </c>
      <c r="N27" s="126">
        <f ca="1">+IF(ISERROR(OFFSET(Tabella!$G$1,MATCH(G27,Tabella!$G:$G,0)-1,MATCH(H27,Tabella!$G$1:$FG$1,0)-1)=TRUE),0,OFFSET(Tabella!$G$1,MATCH(G27,Tabella!$G:$G,0)-1,MATCH(H27,Tabella!$G$1:$AB$1,0)-1))</f>
        <v>0</v>
      </c>
      <c r="O27" s="126">
        <f ca="1">IF(ISERROR(OFFSET(Ottone!$F$1,MATCH(G27,Ottone!$A:$A,0)-1,MATCH(H27,Ottone!$F$1:$FF$1,0)-1)=TRUE),0,OFFSET(Ottone!$F$1,MATCH(G27,Ottone!$A:$A,0)-1,MATCH(H27,Ottone!$F$1:$FF$1,0)-1))*IF(D27="Ottone",1,0)</f>
        <v>0</v>
      </c>
      <c r="P27" s="126">
        <f ca="1">IF(ISERROR(OFFSET(Rame!$F$1,MATCH(G27,Rame!$F:$F,0)-1,MATCH(H27,Rame!$F$1:$FF$1,0)-1)=TRUE),0,OFFSET(Rame!$F$1,MATCH(G27,Rame!$F:$F,0)-1,MATCH(H27,Rame!$F$1:$FF$1,0)-1))*IF(D27="Rame",1,0)</f>
        <v>0</v>
      </c>
      <c r="Q27" s="126">
        <f t="shared" ca="1" si="8"/>
        <v>0</v>
      </c>
      <c r="R27" s="126">
        <f t="shared" si="7"/>
        <v>0</v>
      </c>
      <c r="S27" s="127"/>
      <c r="T27" s="128">
        <f t="shared" ca="1" si="3"/>
        <v>0</v>
      </c>
      <c r="U27" s="125">
        <f t="shared" si="4"/>
        <v>0</v>
      </c>
      <c r="V27" s="129"/>
      <c r="W27" s="130">
        <f t="shared" ca="1" si="5"/>
        <v>0</v>
      </c>
      <c r="X27" s="125">
        <f t="shared" ca="1" si="6"/>
        <v>0</v>
      </c>
      <c r="Y27" s="131"/>
      <c r="Z27" s="100"/>
    </row>
    <row r="28" spans="1:26" ht="15.75" thickBot="1" x14ac:dyDescent="0.3">
      <c r="A28" s="103"/>
      <c r="B28" s="88"/>
      <c r="C28" s="121"/>
      <c r="D28" s="89"/>
      <c r="E28" s="122"/>
      <c r="F28" s="123"/>
      <c r="G28" s="88"/>
      <c r="H28" s="88"/>
      <c r="I28" s="125"/>
      <c r="J28" s="115">
        <f ca="1">IF(ISERROR(OFFSET(Tabella!$A$1,MATCH(G28,Tabella!$A:$A,0)-1,MATCH(I28,Tabella!$A$1:$AC$1,0)-1)=TRUE),0,+OFFSET(Tabella!$A$1,MATCH(G28,Tabella!$A:$A,0)-1,MATCH(I28,Tabella!$A$1:$AC$1,0)-1))</f>
        <v>0</v>
      </c>
      <c r="K28" s="85">
        <f ca="1">IF(ISERROR(OFFSET(Ottone!$A$1,MATCH(G28,Ottone!$A:$A,0)-1,MATCH(I28,Ottone!$A$1:$Z$1,0)-1)=TRUE),0,OFFSET(Ottone!$A$1,MATCH(G28,Ottone!$A:$A,0)-1,MATCH(I28,Ottone!$A$1:$Z$1,0)-1))*IF(D28="Ottone",1,0)</f>
        <v>0</v>
      </c>
      <c r="L28" s="85">
        <f ca="1">IF(ISERROR(OFFSET(Rame!$A$1,MATCH(G28,Rame!$A:$A,0)-1,MATCH(I28,Rame!$A$1:$AA$1,0)-1)=TRUE),0,OFFSET(Rame!$A$1,MATCH(G28,Rame!$A:$A,0)-1,MATCH(I28,Rame!$A$1:$AA$1,0)-1))*IF(D28="Rame",1,0)</f>
        <v>0</v>
      </c>
      <c r="M28" s="126">
        <f t="shared" ca="1" si="0"/>
        <v>0</v>
      </c>
      <c r="N28" s="126">
        <f ca="1">+IF(ISERROR(OFFSET(Tabella!$G$1,MATCH(G28,Tabella!$G:$G,0)-1,MATCH(H28,Tabella!$G$1:$FG$1,0)-1)=TRUE),0,OFFSET(Tabella!$G$1,MATCH(G28,Tabella!$G:$G,0)-1,MATCH(H28,Tabella!$G$1:$AB$1,0)-1))</f>
        <v>0</v>
      </c>
      <c r="O28" s="126">
        <f ca="1">IF(ISERROR(OFFSET(Ottone!$F$1,MATCH(G28,Ottone!$A:$A,0)-1,MATCH(H28,Ottone!$F$1:$FF$1,0)-1)=TRUE),0,OFFSET(Ottone!$F$1,MATCH(G28,Ottone!$A:$A,0)-1,MATCH(H28,Ottone!$F$1:$FF$1,0)-1))*IF(D28="Ottone",1,0)</f>
        <v>0</v>
      </c>
      <c r="P28" s="126">
        <f ca="1">IF(ISERROR(OFFSET(Rame!$F$1,MATCH(G28,Rame!$F:$F,0)-1,MATCH(H28,Rame!$F$1:$FF$1,0)-1)=TRUE),0,OFFSET(Rame!$F$1,MATCH(G28,Rame!$F:$F,0)-1,MATCH(H28,Rame!$F$1:$FF$1,0)-1))*IF(D28="Rame",1,0)</f>
        <v>0</v>
      </c>
      <c r="Q28" s="126">
        <f t="shared" ca="1" si="8"/>
        <v>0</v>
      </c>
      <c r="R28" s="126">
        <f t="shared" si="7"/>
        <v>0</v>
      </c>
      <c r="S28" s="127"/>
      <c r="T28" s="128">
        <f t="shared" ca="1" si="3"/>
        <v>0</v>
      </c>
      <c r="U28" s="125">
        <f t="shared" si="4"/>
        <v>0</v>
      </c>
      <c r="V28" s="129"/>
      <c r="W28" s="130">
        <f t="shared" ca="1" si="5"/>
        <v>0</v>
      </c>
      <c r="X28" s="125">
        <f t="shared" ca="1" si="6"/>
        <v>0</v>
      </c>
      <c r="Y28" s="131"/>
      <c r="Z28" s="100"/>
    </row>
    <row r="29" spans="1:26" ht="15.75" thickBot="1" x14ac:dyDescent="0.3">
      <c r="A29" s="103"/>
      <c r="B29" s="88"/>
      <c r="C29" s="121"/>
      <c r="D29" s="89"/>
      <c r="E29" s="122"/>
      <c r="F29" s="123"/>
      <c r="G29" s="88"/>
      <c r="H29" s="88"/>
      <c r="I29" s="125"/>
      <c r="J29" s="115">
        <f ca="1">IF(ISERROR(OFFSET(Tabella!$A$1,MATCH(G29,Tabella!$A:$A,0)-1,MATCH(I29,Tabella!$A$1:$AC$1,0)-1)=TRUE),0,+OFFSET(Tabella!$A$1,MATCH(G29,Tabella!$A:$A,0)-1,MATCH(I29,Tabella!$A$1:$AC$1,0)-1))</f>
        <v>0</v>
      </c>
      <c r="K29" s="85">
        <f ca="1">IF(ISERROR(OFFSET(Ottone!$A$1,MATCH(G29,Ottone!$A:$A,0)-1,MATCH(I29,Ottone!$A$1:$Z$1,0)-1)=TRUE),0,OFFSET(Ottone!$A$1,MATCH(G29,Ottone!$A:$A,0)-1,MATCH(I29,Ottone!$A$1:$Z$1,0)-1))*IF(D29="Ottone",1,0)</f>
        <v>0</v>
      </c>
      <c r="L29" s="85">
        <f ca="1">IF(ISERROR(OFFSET(Rame!$A$1,MATCH(G29,Rame!$A:$A,0)-1,MATCH(I29,Rame!$A$1:$AA$1,0)-1)=TRUE),0,OFFSET(Rame!$A$1,MATCH(G29,Rame!$A:$A,0)-1,MATCH(I29,Rame!$A$1:$AA$1,0)-1))*IF(D29="Rame",1,0)</f>
        <v>0</v>
      </c>
      <c r="M29" s="126">
        <f t="shared" ca="1" si="0"/>
        <v>0</v>
      </c>
      <c r="N29" s="126">
        <f ca="1">+IF(ISERROR(OFFSET(Tabella!$G$1,MATCH(G29,Tabella!$G:$G,0)-1,MATCH(H29,Tabella!$G$1:$FG$1,0)-1)=TRUE),0,OFFSET(Tabella!$G$1,MATCH(G29,Tabella!$G:$G,0)-1,MATCH(H29,Tabella!$G$1:$AB$1,0)-1))</f>
        <v>0</v>
      </c>
      <c r="O29" s="126">
        <f ca="1">IF(ISERROR(OFFSET(Ottone!$F$1,MATCH(G29,Ottone!$A:$A,0)-1,MATCH(H29,Ottone!$F$1:$FF$1,0)-1)=TRUE),0,OFFSET(Ottone!$F$1,MATCH(G29,Ottone!$A:$A,0)-1,MATCH(H29,Ottone!$F$1:$FF$1,0)-1))*IF(D29="Ottone",1,0)</f>
        <v>0</v>
      </c>
      <c r="P29" s="126">
        <f ca="1">IF(ISERROR(OFFSET(Rame!$F$1,MATCH(G29,Rame!$F:$F,0)-1,MATCH(H29,Rame!$F$1:$FF$1,0)-1)=TRUE),0,OFFSET(Rame!$F$1,MATCH(G29,Rame!$F:$F,0)-1,MATCH(H29,Rame!$F$1:$FF$1,0)-1))*IF(D29="Rame",1,0)</f>
        <v>0</v>
      </c>
      <c r="Q29" s="126">
        <f t="shared" ca="1" si="8"/>
        <v>0</v>
      </c>
      <c r="R29" s="126">
        <f t="shared" si="7"/>
        <v>0</v>
      </c>
      <c r="S29" s="127"/>
      <c r="T29" s="128">
        <f t="shared" ca="1" si="3"/>
        <v>0</v>
      </c>
      <c r="U29" s="125">
        <f t="shared" si="4"/>
        <v>0</v>
      </c>
      <c r="V29" s="129"/>
      <c r="W29" s="130">
        <f t="shared" ca="1" si="5"/>
        <v>0</v>
      </c>
      <c r="X29" s="125">
        <f t="shared" ca="1" si="6"/>
        <v>0</v>
      </c>
      <c r="Y29" s="131"/>
      <c r="Z29" s="100"/>
    </row>
    <row r="30" spans="1:26" ht="15.75" thickBot="1" x14ac:dyDescent="0.3">
      <c r="A30" s="103"/>
      <c r="B30" s="88"/>
      <c r="C30" s="121"/>
      <c r="D30" s="89"/>
      <c r="E30" s="122"/>
      <c r="F30" s="123"/>
      <c r="G30" s="88"/>
      <c r="H30" s="88"/>
      <c r="I30" s="125"/>
      <c r="J30" s="115">
        <f ca="1">IF(ISERROR(OFFSET(Tabella!$A$1,MATCH(G30,Tabella!$A:$A,0)-1,MATCH(I30,Tabella!$A$1:$AC$1,0)-1)=TRUE),0,+OFFSET(Tabella!$A$1,MATCH(G30,Tabella!$A:$A,0)-1,MATCH(I30,Tabella!$A$1:$AC$1,0)-1))</f>
        <v>0</v>
      </c>
      <c r="K30" s="85">
        <f ca="1">IF(ISERROR(OFFSET(Ottone!$A$1,MATCH(G30,Ottone!$A:$A,0)-1,MATCH(I30,Ottone!$A$1:$Z$1,0)-1)=TRUE),0,OFFSET(Ottone!$A$1,MATCH(G30,Ottone!$A:$A,0)-1,MATCH(I30,Ottone!$A$1:$Z$1,0)-1))*IF(D30="Ottone",1,0)</f>
        <v>0</v>
      </c>
      <c r="L30" s="85">
        <f ca="1">IF(ISERROR(OFFSET(Rame!$A$1,MATCH(G30,Rame!$A:$A,0)-1,MATCH(I30,Rame!$A$1:$AA$1,0)-1)=TRUE),0,OFFSET(Rame!$A$1,MATCH(G30,Rame!$A:$A,0)-1,MATCH(I30,Rame!$A$1:$AA$1,0)-1))*IF(D30="Rame",1,0)</f>
        <v>0</v>
      </c>
      <c r="M30" s="126">
        <f t="shared" ca="1" si="0"/>
        <v>0</v>
      </c>
      <c r="N30" s="126">
        <f ca="1">+IF(ISERROR(OFFSET(Tabella!$G$1,MATCH(G30,Tabella!$G:$G,0)-1,MATCH(H30,Tabella!$G$1:$FG$1,0)-1)=TRUE),0,OFFSET(Tabella!$G$1,MATCH(G30,Tabella!$G:$G,0)-1,MATCH(H30,Tabella!$G$1:$AB$1,0)-1))</f>
        <v>0</v>
      </c>
      <c r="O30" s="126">
        <f ca="1">IF(ISERROR(OFFSET(Ottone!$F$1,MATCH(G30,Ottone!$A:$A,0)-1,MATCH(H30,Ottone!$F$1:$FF$1,0)-1)=TRUE),0,OFFSET(Ottone!$F$1,MATCH(G30,Ottone!$A:$A,0)-1,MATCH(H30,Ottone!$F$1:$FF$1,0)-1))*IF(D30="Ottone",1,0)</f>
        <v>0</v>
      </c>
      <c r="P30" s="126">
        <f ca="1">IF(ISERROR(OFFSET(Rame!$F$1,MATCH(G30,Rame!$F:$F,0)-1,MATCH(H30,Rame!$F$1:$FF$1,0)-1)=TRUE),0,OFFSET(Rame!$F$1,MATCH(G30,Rame!$F:$F,0)-1,MATCH(H30,Rame!$F$1:$FF$1,0)-1))*IF(D30="Rame",1,0)</f>
        <v>0</v>
      </c>
      <c r="Q30" s="126">
        <f t="shared" ca="1" si="8"/>
        <v>0</v>
      </c>
      <c r="R30" s="126">
        <f t="shared" si="7"/>
        <v>0</v>
      </c>
      <c r="S30" s="127"/>
      <c r="T30" s="128">
        <f t="shared" ca="1" si="3"/>
        <v>0</v>
      </c>
      <c r="U30" s="125">
        <f t="shared" si="4"/>
        <v>0</v>
      </c>
      <c r="V30" s="129"/>
      <c r="W30" s="130">
        <f t="shared" ca="1" si="5"/>
        <v>0</v>
      </c>
      <c r="X30" s="125">
        <f t="shared" ca="1" si="6"/>
        <v>0</v>
      </c>
      <c r="Y30" s="131"/>
      <c r="Z30" s="100"/>
    </row>
    <row r="31" spans="1:26" ht="15.75" thickBot="1" x14ac:dyDescent="0.3">
      <c r="A31" s="103"/>
      <c r="B31" s="88"/>
      <c r="C31" s="121"/>
      <c r="D31" s="89"/>
      <c r="E31" s="122"/>
      <c r="F31" s="123"/>
      <c r="G31" s="88"/>
      <c r="H31" s="88"/>
      <c r="I31" s="125"/>
      <c r="J31" s="115">
        <f ca="1">IF(ISERROR(OFFSET(Tabella!$A$1,MATCH(G31,Tabella!$A:$A,0)-1,MATCH(I31,Tabella!$A$1:$AC$1,0)-1)=TRUE),0,+OFFSET(Tabella!$A$1,MATCH(G31,Tabella!$A:$A,0)-1,MATCH(I31,Tabella!$A$1:$AC$1,0)-1))</f>
        <v>0</v>
      </c>
      <c r="K31" s="85">
        <f ca="1">IF(ISERROR(OFFSET(Ottone!$A$1,MATCH(G31,Ottone!$A:$A,0)-1,MATCH(I31,Ottone!$A$1:$Z$1,0)-1)=TRUE),0,OFFSET(Ottone!$A$1,MATCH(G31,Ottone!$A:$A,0)-1,MATCH(I31,Ottone!$A$1:$Z$1,0)-1))*IF(D31="Ottone",1,0)</f>
        <v>0</v>
      </c>
      <c r="L31" s="85">
        <f ca="1">IF(ISERROR(OFFSET(Rame!$A$1,MATCH(G31,Rame!$A:$A,0)-1,MATCH(I31,Rame!$A$1:$AA$1,0)-1)=TRUE),0,OFFSET(Rame!$A$1,MATCH(G31,Rame!$A:$A,0)-1,MATCH(I31,Rame!$A$1:$AA$1,0)-1))*IF(D31="Rame",1,0)</f>
        <v>0</v>
      </c>
      <c r="M31" s="126">
        <f t="shared" ca="1" si="0"/>
        <v>0</v>
      </c>
      <c r="N31" s="126">
        <f ca="1">+IF(ISERROR(OFFSET(Tabella!$G$1,MATCH(G31,Tabella!$G:$G,0)-1,MATCH(H31,Tabella!$G$1:$FG$1,0)-1)=TRUE),0,OFFSET(Tabella!$G$1,MATCH(G31,Tabella!$G:$G,0)-1,MATCH(H31,Tabella!$G$1:$AB$1,0)-1))</f>
        <v>0</v>
      </c>
      <c r="O31" s="126">
        <f ca="1">IF(ISERROR(OFFSET(Ottone!$F$1,MATCH(G31,Ottone!$A:$A,0)-1,MATCH(H31,Ottone!$F$1:$FF$1,0)-1)=TRUE),0,OFFSET(Ottone!$F$1,MATCH(G31,Ottone!$A:$A,0)-1,MATCH(H31,Ottone!$F$1:$FF$1,0)-1))*IF(D31="Ottone",1,0)</f>
        <v>0</v>
      </c>
      <c r="P31" s="126">
        <f ca="1">IF(ISERROR(OFFSET(Rame!$F$1,MATCH(G31,Rame!$F:$F,0)-1,MATCH(H31,Rame!$F$1:$FF$1,0)-1)=TRUE),0,OFFSET(Rame!$F$1,MATCH(G31,Rame!$F:$F,0)-1,MATCH(H31,Rame!$F$1:$FF$1,0)-1))*IF(D31="Rame",1,0)</f>
        <v>0</v>
      </c>
      <c r="Q31" s="126">
        <f t="shared" ca="1" si="8"/>
        <v>0</v>
      </c>
      <c r="R31" s="126">
        <f t="shared" si="7"/>
        <v>0</v>
      </c>
      <c r="S31" s="127"/>
      <c r="T31" s="128">
        <f t="shared" ca="1" si="3"/>
        <v>0</v>
      </c>
      <c r="U31" s="125">
        <f t="shared" si="4"/>
        <v>0</v>
      </c>
      <c r="V31" s="129"/>
      <c r="W31" s="130">
        <f t="shared" ca="1" si="5"/>
        <v>0</v>
      </c>
      <c r="X31" s="125">
        <f t="shared" ca="1" si="6"/>
        <v>0</v>
      </c>
      <c r="Y31" s="131"/>
      <c r="Z31" s="100"/>
    </row>
    <row r="32" spans="1:26" ht="15.75" thickBot="1" x14ac:dyDescent="0.3">
      <c r="A32" s="103"/>
      <c r="B32" s="88"/>
      <c r="C32" s="121"/>
      <c r="D32" s="89"/>
      <c r="E32" s="122"/>
      <c r="F32" s="123"/>
      <c r="G32" s="88"/>
      <c r="H32" s="88"/>
      <c r="I32" s="125"/>
      <c r="J32" s="115">
        <f ca="1">IF(ISERROR(OFFSET(Tabella!$A$1,MATCH(G32,Tabella!$A:$A,0)-1,MATCH(I32,Tabella!$A$1:$AC$1,0)-1)=TRUE),0,+OFFSET(Tabella!$A$1,MATCH(G32,Tabella!$A:$A,0)-1,MATCH(I32,Tabella!$A$1:$AC$1,0)-1))</f>
        <v>0</v>
      </c>
      <c r="K32" s="85">
        <f ca="1">IF(ISERROR(OFFSET(Ottone!$A$1,MATCH(G32,Ottone!$A:$A,0)-1,MATCH(I32,Ottone!$A$1:$Z$1,0)-1)=TRUE),0,OFFSET(Ottone!$A$1,MATCH(G32,Ottone!$A:$A,0)-1,MATCH(I32,Ottone!$A$1:$Z$1,0)-1))*IF(D32="Ottone",1,0)</f>
        <v>0</v>
      </c>
      <c r="L32" s="85">
        <f ca="1">IF(ISERROR(OFFSET(Rame!$A$1,MATCH(G32,Rame!$A:$A,0)-1,MATCH(I32,Rame!$A$1:$AA$1,0)-1)=TRUE),0,OFFSET(Rame!$A$1,MATCH(G32,Rame!$A:$A,0)-1,MATCH(I32,Rame!$A$1:$AA$1,0)-1))*IF(D32="Rame",1,0)</f>
        <v>0</v>
      </c>
      <c r="M32" s="126">
        <f t="shared" ca="1" si="0"/>
        <v>0</v>
      </c>
      <c r="N32" s="126">
        <f ca="1">+IF(ISERROR(OFFSET(Tabella!$G$1,MATCH(G32,Tabella!$G:$G,0)-1,MATCH(H32,Tabella!$G$1:$FG$1,0)-1)=TRUE),0,OFFSET(Tabella!$G$1,MATCH(G32,Tabella!$G:$G,0)-1,MATCH(H32,Tabella!$G$1:$AB$1,0)-1))</f>
        <v>0</v>
      </c>
      <c r="O32" s="126">
        <f ca="1">IF(ISERROR(OFFSET(Ottone!$F$1,MATCH(G32,Ottone!$A:$A,0)-1,MATCH(H32,Ottone!$F$1:$FF$1,0)-1)=TRUE),0,OFFSET(Ottone!$F$1,MATCH(G32,Ottone!$A:$A,0)-1,MATCH(H32,Ottone!$F$1:$FF$1,0)-1))*IF(D32="Ottone",1,0)</f>
        <v>0</v>
      </c>
      <c r="P32" s="126">
        <f ca="1">IF(ISERROR(OFFSET(Rame!$F$1,MATCH(G32,Rame!$F:$F,0)-1,MATCH(H32,Rame!$F$1:$FF$1,0)-1)=TRUE),0,OFFSET(Rame!$F$1,MATCH(G32,Rame!$F:$F,0)-1,MATCH(H32,Rame!$F$1:$FF$1,0)-1))*IF(D32="Rame",1,0)</f>
        <v>0</v>
      </c>
      <c r="Q32" s="126">
        <f t="shared" ca="1" si="8"/>
        <v>0</v>
      </c>
      <c r="R32" s="126">
        <f t="shared" si="7"/>
        <v>0</v>
      </c>
      <c r="S32" s="127"/>
      <c r="T32" s="128">
        <f t="shared" ca="1" si="3"/>
        <v>0</v>
      </c>
      <c r="U32" s="125">
        <f t="shared" si="4"/>
        <v>0</v>
      </c>
      <c r="V32" s="129"/>
      <c r="W32" s="130">
        <f t="shared" ca="1" si="5"/>
        <v>0</v>
      </c>
      <c r="X32" s="125">
        <f t="shared" ca="1" si="6"/>
        <v>0</v>
      </c>
      <c r="Y32" s="131"/>
      <c r="Z32" s="100"/>
    </row>
    <row r="33" spans="1:26" ht="15.75" thickBot="1" x14ac:dyDescent="0.3">
      <c r="A33" s="103"/>
      <c r="B33" s="88"/>
      <c r="C33" s="121"/>
      <c r="D33" s="89"/>
      <c r="E33" s="122"/>
      <c r="F33" s="123"/>
      <c r="G33" s="88"/>
      <c r="H33" s="88"/>
      <c r="I33" s="125"/>
      <c r="J33" s="115">
        <f ca="1">IF(ISERROR(OFFSET(Tabella!$A$1,MATCH(G33,Tabella!$A:$A,0)-1,MATCH(I33,Tabella!$A$1:$AC$1,0)-1)=TRUE),0,+OFFSET(Tabella!$A$1,MATCH(G33,Tabella!$A:$A,0)-1,MATCH(I33,Tabella!$A$1:$AC$1,0)-1))</f>
        <v>0</v>
      </c>
      <c r="K33" s="85">
        <f ca="1">IF(ISERROR(OFFSET(Ottone!$A$1,MATCH(G33,Ottone!$A:$A,0)-1,MATCH(I33,Ottone!$A$1:$Z$1,0)-1)=TRUE),0,OFFSET(Ottone!$A$1,MATCH(G33,Ottone!$A:$A,0)-1,MATCH(I33,Ottone!$A$1:$Z$1,0)-1))*IF(D33="Ottone",1,0)</f>
        <v>0</v>
      </c>
      <c r="L33" s="85">
        <f ca="1">IF(ISERROR(OFFSET(Rame!$A$1,MATCH(G33,Rame!$A:$A,0)-1,MATCH(I33,Rame!$A$1:$AA$1,0)-1)=TRUE),0,OFFSET(Rame!$A$1,MATCH(G33,Rame!$A:$A,0)-1,MATCH(I33,Rame!$A$1:$AA$1,0)-1))*IF(D33="Rame",1,0)</f>
        <v>0</v>
      </c>
      <c r="M33" s="126">
        <f t="shared" ca="1" si="0"/>
        <v>0</v>
      </c>
      <c r="N33" s="126">
        <f ca="1">+IF(ISERROR(OFFSET(Tabella!$G$1,MATCH(G33,Tabella!$G:$G,0)-1,MATCH(H33,Tabella!$G$1:$FG$1,0)-1)=TRUE),0,OFFSET(Tabella!$G$1,MATCH(G33,Tabella!$G:$G,0)-1,MATCH(H33,Tabella!$G$1:$AB$1,0)-1))</f>
        <v>0</v>
      </c>
      <c r="O33" s="126">
        <f ca="1">IF(ISERROR(OFFSET(Ottone!$F$1,MATCH(G33,Ottone!$A:$A,0)-1,MATCH(H33,Ottone!$F$1:$FF$1,0)-1)=TRUE),0,OFFSET(Ottone!$F$1,MATCH(G33,Ottone!$A:$A,0)-1,MATCH(H33,Ottone!$F$1:$FF$1,0)-1))*IF(D33="Ottone",1,0)</f>
        <v>0</v>
      </c>
      <c r="P33" s="126">
        <f ca="1">IF(ISERROR(OFFSET(Rame!$F$1,MATCH(G33,Rame!$F:$F,0)-1,MATCH(H33,Rame!$F$1:$FF$1,0)-1)=TRUE),0,OFFSET(Rame!$F$1,MATCH(G33,Rame!$F:$F,0)-1,MATCH(H33,Rame!$F$1:$FF$1,0)-1))*IF(D33="Rame",1,0)</f>
        <v>0</v>
      </c>
      <c r="Q33" s="126">
        <f t="shared" ca="1" si="8"/>
        <v>0</v>
      </c>
      <c r="R33" s="126">
        <f t="shared" si="7"/>
        <v>0</v>
      </c>
      <c r="S33" s="127"/>
      <c r="T33" s="128">
        <f t="shared" ca="1" si="3"/>
        <v>0</v>
      </c>
      <c r="U33" s="125">
        <f t="shared" si="4"/>
        <v>0</v>
      </c>
      <c r="V33" s="129"/>
      <c r="W33" s="130">
        <f t="shared" ca="1" si="5"/>
        <v>0</v>
      </c>
      <c r="X33" s="125">
        <f t="shared" ca="1" si="6"/>
        <v>0</v>
      </c>
      <c r="Y33" s="131"/>
      <c r="Z33" s="100"/>
    </row>
    <row r="34" spans="1:26" ht="15.75" thickBot="1" x14ac:dyDescent="0.3">
      <c r="A34" s="103"/>
      <c r="B34" s="88"/>
      <c r="C34" s="121"/>
      <c r="D34" s="89"/>
      <c r="E34" s="122"/>
      <c r="F34" s="123"/>
      <c r="G34" s="88"/>
      <c r="H34" s="88"/>
      <c r="I34" s="125"/>
      <c r="J34" s="115">
        <f ca="1">IF(ISERROR(OFFSET(Tabella!$A$1,MATCH(G34,Tabella!$A:$A,0)-1,MATCH(I34,Tabella!$A$1:$AC$1,0)-1)=TRUE),0,+OFFSET(Tabella!$A$1,MATCH(G34,Tabella!$A:$A,0)-1,MATCH(I34,Tabella!$A$1:$AC$1,0)-1))</f>
        <v>0</v>
      </c>
      <c r="K34" s="85">
        <f ca="1">IF(ISERROR(OFFSET(Ottone!$A$1,MATCH(G34,Ottone!$A:$A,0)-1,MATCH(I34,Ottone!$A$1:$Z$1,0)-1)=TRUE),0,OFFSET(Ottone!$A$1,MATCH(G34,Ottone!$A:$A,0)-1,MATCH(I34,Ottone!$A$1:$Z$1,0)-1))*IF(D34="Ottone",1,0)</f>
        <v>0</v>
      </c>
      <c r="L34" s="85">
        <f ca="1">IF(ISERROR(OFFSET(Rame!$A$1,MATCH(G34,Rame!$A:$A,0)-1,MATCH(I34,Rame!$A$1:$AA$1,0)-1)=TRUE),0,OFFSET(Rame!$A$1,MATCH(G34,Rame!$A:$A,0)-1,MATCH(I34,Rame!$A$1:$AA$1,0)-1))*IF(D34="Rame",1,0)</f>
        <v>0</v>
      </c>
      <c r="M34" s="126">
        <f t="shared" ca="1" si="0"/>
        <v>0</v>
      </c>
      <c r="N34" s="126">
        <f ca="1">+IF(ISERROR(OFFSET(Tabella!$G$1,MATCH(G34,Tabella!$G:$G,0)-1,MATCH(H34,Tabella!$G$1:$FG$1,0)-1)=TRUE),0,OFFSET(Tabella!$G$1,MATCH(G34,Tabella!$G:$G,0)-1,MATCH(H34,Tabella!$G$1:$AB$1,0)-1))</f>
        <v>0</v>
      </c>
      <c r="O34" s="126">
        <f ca="1">IF(ISERROR(OFFSET(Ottone!$F$1,MATCH(G34,Ottone!$A:$A,0)-1,MATCH(H34,Ottone!$F$1:$FF$1,0)-1)=TRUE),0,OFFSET(Ottone!$F$1,MATCH(G34,Ottone!$A:$A,0)-1,MATCH(H34,Ottone!$F$1:$FF$1,0)-1))*IF(D34="Ottone",1,0)</f>
        <v>0</v>
      </c>
      <c r="P34" s="126">
        <f ca="1">IF(ISERROR(OFFSET(Rame!$F$1,MATCH(G34,Rame!$F:$F,0)-1,MATCH(H34,Rame!$F$1:$FF$1,0)-1)=TRUE),0,OFFSET(Rame!$F$1,MATCH(G34,Rame!$F:$F,0)-1,MATCH(H34,Rame!$F$1:$FF$1,0)-1))*IF(D34="Rame",1,0)</f>
        <v>0</v>
      </c>
      <c r="Q34" s="126">
        <f t="shared" ca="1" si="8"/>
        <v>0</v>
      </c>
      <c r="R34" s="126">
        <f t="shared" si="7"/>
        <v>0</v>
      </c>
      <c r="S34" s="127"/>
      <c r="T34" s="128">
        <f t="shared" ca="1" si="3"/>
        <v>0</v>
      </c>
      <c r="U34" s="125">
        <f t="shared" si="4"/>
        <v>0</v>
      </c>
      <c r="V34" s="129"/>
      <c r="W34" s="130">
        <f t="shared" ca="1" si="5"/>
        <v>0</v>
      </c>
      <c r="X34" s="125">
        <f t="shared" ca="1" si="6"/>
        <v>0</v>
      </c>
      <c r="Y34" s="131"/>
      <c r="Z34" s="100"/>
    </row>
    <row r="35" spans="1:26" ht="15.75" thickBot="1" x14ac:dyDescent="0.3">
      <c r="A35" s="103"/>
      <c r="B35" s="88"/>
      <c r="C35" s="121"/>
      <c r="D35" s="89"/>
      <c r="E35" s="122"/>
      <c r="F35" s="123"/>
      <c r="G35" s="88"/>
      <c r="H35" s="88"/>
      <c r="I35" s="125"/>
      <c r="J35" s="115">
        <f ca="1">IF(ISERROR(OFFSET(Tabella!$A$1,MATCH(G35,Tabella!$A:$A,0)-1,MATCH(I35,Tabella!$A$1:$AC$1,0)-1)=TRUE),0,+OFFSET(Tabella!$A$1,MATCH(G35,Tabella!$A:$A,0)-1,MATCH(I35,Tabella!$A$1:$AC$1,0)-1))</f>
        <v>0</v>
      </c>
      <c r="K35" s="85">
        <f ca="1">IF(ISERROR(OFFSET(Ottone!$A$1,MATCH(G35,Ottone!$A:$A,0)-1,MATCH(I35,Ottone!$A$1:$Z$1,0)-1)=TRUE),0,OFFSET(Ottone!$A$1,MATCH(G35,Ottone!$A:$A,0)-1,MATCH(I35,Ottone!$A$1:$Z$1,0)-1))*IF(D35="Ottone",1,0)</f>
        <v>0</v>
      </c>
      <c r="L35" s="85">
        <f ca="1">IF(ISERROR(OFFSET(Rame!$A$1,MATCH(G35,Rame!$A:$A,0)-1,MATCH(I35,Rame!$A$1:$AA$1,0)-1)=TRUE),0,OFFSET(Rame!$A$1,MATCH(G35,Rame!$A:$A,0)-1,MATCH(I35,Rame!$A$1:$AA$1,0)-1))*IF(D35="Rame",1,0)</f>
        <v>0</v>
      </c>
      <c r="M35" s="126">
        <f t="shared" ca="1" si="0"/>
        <v>0</v>
      </c>
      <c r="N35" s="126">
        <f ca="1">+IF(ISERROR(OFFSET(Tabella!$G$1,MATCH(G35,Tabella!$G:$G,0)-1,MATCH(H35,Tabella!$G$1:$FG$1,0)-1)=TRUE),0,OFFSET(Tabella!$G$1,MATCH(G35,Tabella!$G:$G,0)-1,MATCH(H35,Tabella!$G$1:$AB$1,0)-1))</f>
        <v>0</v>
      </c>
      <c r="O35" s="126">
        <f ca="1">IF(ISERROR(OFFSET(Ottone!$F$1,MATCH(G35,Ottone!$A:$A,0)-1,MATCH(H35,Ottone!$F$1:$FF$1,0)-1)=TRUE),0,OFFSET(Ottone!$F$1,MATCH(G35,Ottone!$A:$A,0)-1,MATCH(H35,Ottone!$F$1:$FF$1,0)-1))*IF(D35="Ottone",1,0)</f>
        <v>0</v>
      </c>
      <c r="P35" s="126">
        <f ca="1">IF(ISERROR(OFFSET(Rame!$F$1,MATCH(G35,Rame!$F:$F,0)-1,MATCH(H35,Rame!$F$1:$FF$1,0)-1)=TRUE),0,OFFSET(Rame!$F$1,MATCH(G35,Rame!$F:$F,0)-1,MATCH(H35,Rame!$F$1:$FF$1,0)-1))*IF(D35="Rame",1,0)</f>
        <v>0</v>
      </c>
      <c r="Q35" s="126">
        <f t="shared" ca="1" si="8"/>
        <v>0</v>
      </c>
      <c r="R35" s="126">
        <f t="shared" si="7"/>
        <v>0</v>
      </c>
      <c r="S35" s="127"/>
      <c r="T35" s="128">
        <f t="shared" ca="1" si="3"/>
        <v>0</v>
      </c>
      <c r="U35" s="125">
        <f t="shared" si="4"/>
        <v>0</v>
      </c>
      <c r="V35" s="129"/>
      <c r="W35" s="130">
        <f t="shared" ca="1" si="5"/>
        <v>0</v>
      </c>
      <c r="X35" s="125">
        <f t="shared" ca="1" si="6"/>
        <v>0</v>
      </c>
      <c r="Y35" s="131"/>
      <c r="Z35" s="100"/>
    </row>
    <row r="36" spans="1:26" ht="15.75" thickBot="1" x14ac:dyDescent="0.3">
      <c r="A36" s="103"/>
      <c r="B36" s="88"/>
      <c r="C36" s="121"/>
      <c r="D36" s="89"/>
      <c r="E36" s="122"/>
      <c r="F36" s="123"/>
      <c r="G36" s="88"/>
      <c r="H36" s="88"/>
      <c r="I36" s="125"/>
      <c r="J36" s="115">
        <f ca="1">IF(ISERROR(OFFSET(Tabella!$A$1,MATCH(G36,Tabella!$A:$A,0)-1,MATCH(I36,Tabella!$A$1:$AC$1,0)-1)=TRUE),0,+OFFSET(Tabella!$A$1,MATCH(G36,Tabella!$A:$A,0)-1,MATCH(I36,Tabella!$A$1:$AC$1,0)-1))</f>
        <v>0</v>
      </c>
      <c r="K36" s="85">
        <f ca="1">IF(ISERROR(OFFSET(Ottone!$A$1,MATCH(G36,Ottone!$A:$A,0)-1,MATCH(I36,Ottone!$A$1:$Z$1,0)-1)=TRUE),0,OFFSET(Ottone!$A$1,MATCH(G36,Ottone!$A:$A,0)-1,MATCH(I36,Ottone!$A$1:$Z$1,0)-1))*IF(D36="Ottone",1,0)</f>
        <v>0</v>
      </c>
      <c r="L36" s="85">
        <f ca="1">IF(ISERROR(OFFSET(Rame!$A$1,MATCH(G36,Rame!$A:$A,0)-1,MATCH(I36,Rame!$A$1:$AA$1,0)-1)=TRUE),0,OFFSET(Rame!$A$1,MATCH(G36,Rame!$A:$A,0)-1,MATCH(I36,Rame!$A$1:$AA$1,0)-1))*IF(D36="Rame",1,0)</f>
        <v>0</v>
      </c>
      <c r="M36" s="126">
        <f t="shared" ca="1" si="0"/>
        <v>0</v>
      </c>
      <c r="N36" s="126">
        <f ca="1">+IF(ISERROR(OFFSET(Tabella!$G$1,MATCH(G36,Tabella!$G:$G,0)-1,MATCH(H36,Tabella!$G$1:$FG$1,0)-1)=TRUE),0,OFFSET(Tabella!$G$1,MATCH(G36,Tabella!$G:$G,0)-1,MATCH(H36,Tabella!$G$1:$AB$1,0)-1))</f>
        <v>0</v>
      </c>
      <c r="O36" s="126">
        <f ca="1">IF(ISERROR(OFFSET(Ottone!$F$1,MATCH(G36,Ottone!$A:$A,0)-1,MATCH(H36,Ottone!$F$1:$FF$1,0)-1)=TRUE),0,OFFSET(Ottone!$F$1,MATCH(G36,Ottone!$A:$A,0)-1,MATCH(H36,Ottone!$F$1:$FF$1,0)-1))*IF(D36="Ottone",1,0)</f>
        <v>0</v>
      </c>
      <c r="P36" s="126">
        <f ca="1">IF(ISERROR(OFFSET(Rame!$F$1,MATCH(G36,Rame!$F:$F,0)-1,MATCH(H36,Rame!$F$1:$FF$1,0)-1)=TRUE),0,OFFSET(Rame!$F$1,MATCH(G36,Rame!$F:$F,0)-1,MATCH(H36,Rame!$F$1:$FF$1,0)-1))*IF(D36="Rame",1,0)</f>
        <v>0</v>
      </c>
      <c r="Q36" s="126">
        <f t="shared" ca="1" si="8"/>
        <v>0</v>
      </c>
      <c r="R36" s="126">
        <f t="shared" si="7"/>
        <v>0</v>
      </c>
      <c r="S36" s="127"/>
      <c r="T36" s="128">
        <f t="shared" ca="1" si="3"/>
        <v>0</v>
      </c>
      <c r="U36" s="125">
        <f t="shared" si="4"/>
        <v>0</v>
      </c>
      <c r="V36" s="129"/>
      <c r="W36" s="130">
        <f t="shared" ca="1" si="5"/>
        <v>0</v>
      </c>
      <c r="X36" s="125">
        <f t="shared" ca="1" si="6"/>
        <v>0</v>
      </c>
      <c r="Y36" s="131"/>
      <c r="Z36" s="100"/>
    </row>
    <row r="37" spans="1:26" ht="15.75" thickBot="1" x14ac:dyDescent="0.3">
      <c r="A37" s="103"/>
      <c r="B37" s="88"/>
      <c r="C37" s="121"/>
      <c r="D37" s="89"/>
      <c r="E37" s="122"/>
      <c r="F37" s="123"/>
      <c r="G37" s="88"/>
      <c r="H37" s="88"/>
      <c r="I37" s="125"/>
      <c r="J37" s="115">
        <f ca="1">IF(ISERROR(OFFSET(Tabella!$A$1,MATCH(G37,Tabella!$A:$A,0)-1,MATCH(I37,Tabella!$A$1:$AC$1,0)-1)=TRUE),0,+OFFSET(Tabella!$A$1,MATCH(G37,Tabella!$A:$A,0)-1,MATCH(I37,Tabella!$A$1:$AC$1,0)-1))</f>
        <v>0</v>
      </c>
      <c r="K37" s="85">
        <f ca="1">IF(ISERROR(OFFSET(Ottone!$A$1,MATCH(G37,Ottone!$A:$A,0)-1,MATCH(I37,Ottone!$A$1:$Z$1,0)-1)=TRUE),0,OFFSET(Ottone!$A$1,MATCH(G37,Ottone!$A:$A,0)-1,MATCH(I37,Ottone!$A$1:$Z$1,0)-1))*IF(D37="Ottone",1,0)</f>
        <v>0</v>
      </c>
      <c r="L37" s="85">
        <f ca="1">IF(ISERROR(OFFSET(Rame!$A$1,MATCH(G37,Rame!$A:$A,0)-1,MATCH(I37,Rame!$A$1:$AA$1,0)-1)=TRUE),0,OFFSET(Rame!$A$1,MATCH(G37,Rame!$A:$A,0)-1,MATCH(I37,Rame!$A$1:$AA$1,0)-1))*IF(D37="Rame",1,0)</f>
        <v>0</v>
      </c>
      <c r="M37" s="126">
        <f t="shared" ca="1" si="0"/>
        <v>0</v>
      </c>
      <c r="N37" s="126">
        <f ca="1">+IF(ISERROR(OFFSET(Tabella!$G$1,MATCH(G37,Tabella!$G:$G,0)-1,MATCH(H37,Tabella!$G$1:$FG$1,0)-1)=TRUE),0,OFFSET(Tabella!$G$1,MATCH(G37,Tabella!$G:$G,0)-1,MATCH(H37,Tabella!$G$1:$AB$1,0)-1))</f>
        <v>0</v>
      </c>
      <c r="O37" s="126">
        <f ca="1">IF(ISERROR(OFFSET(Ottone!$F$1,MATCH(G37,Ottone!$A:$A,0)-1,MATCH(H37,Ottone!$F$1:$FF$1,0)-1)=TRUE),0,OFFSET(Ottone!$F$1,MATCH(G37,Ottone!$A:$A,0)-1,MATCH(H37,Ottone!$F$1:$FF$1,0)-1))*IF(D37="Ottone",1,0)</f>
        <v>0</v>
      </c>
      <c r="P37" s="126">
        <f ca="1">IF(ISERROR(OFFSET(Rame!$F$1,MATCH(G37,Rame!$F:$F,0)-1,MATCH(H37,Rame!$F$1:$FF$1,0)-1)=TRUE),0,OFFSET(Rame!$F$1,MATCH(G37,Rame!$F:$F,0)-1,MATCH(H37,Rame!$F$1:$FF$1,0)-1))*IF(D37="Rame",1,0)</f>
        <v>0</v>
      </c>
      <c r="Q37" s="126">
        <f t="shared" ca="1" si="8"/>
        <v>0</v>
      </c>
      <c r="R37" s="126">
        <f t="shared" si="7"/>
        <v>0</v>
      </c>
      <c r="S37" s="127"/>
      <c r="T37" s="128">
        <f t="shared" ca="1" si="3"/>
        <v>0</v>
      </c>
      <c r="U37" s="125">
        <f t="shared" si="4"/>
        <v>0</v>
      </c>
      <c r="V37" s="129"/>
      <c r="W37" s="130">
        <f t="shared" ca="1" si="5"/>
        <v>0</v>
      </c>
      <c r="X37" s="125">
        <f t="shared" ca="1" si="6"/>
        <v>0</v>
      </c>
      <c r="Y37" s="131"/>
      <c r="Z37" s="100"/>
    </row>
    <row r="38" spans="1:26" ht="15.75" thickBot="1" x14ac:dyDescent="0.3">
      <c r="A38" s="103"/>
      <c r="B38" s="88"/>
      <c r="C38" s="121"/>
      <c r="D38" s="89"/>
      <c r="E38" s="122"/>
      <c r="F38" s="123"/>
      <c r="G38" s="88"/>
      <c r="H38" s="88"/>
      <c r="I38" s="125"/>
      <c r="J38" s="115">
        <f ca="1">IF(ISERROR(OFFSET(Tabella!$A$1,MATCH(G38,Tabella!$A:$A,0)-1,MATCH(I38,Tabella!$A$1:$AC$1,0)-1)=TRUE),0,+OFFSET(Tabella!$A$1,MATCH(G38,Tabella!$A:$A,0)-1,MATCH(I38,Tabella!$A$1:$AC$1,0)-1))</f>
        <v>0</v>
      </c>
      <c r="K38" s="85">
        <f ca="1">IF(ISERROR(OFFSET(Ottone!$A$1,MATCH(G38,Ottone!$A:$A,0)-1,MATCH(I38,Ottone!$A$1:$Z$1,0)-1)=TRUE),0,OFFSET(Ottone!$A$1,MATCH(G38,Ottone!$A:$A,0)-1,MATCH(I38,Ottone!$A$1:$Z$1,0)-1))*IF(D38="Ottone",1,0)</f>
        <v>0</v>
      </c>
      <c r="L38" s="85">
        <f ca="1">IF(ISERROR(OFFSET(Rame!$A$1,MATCH(G38,Rame!$A:$A,0)-1,MATCH(I38,Rame!$A$1:$AA$1,0)-1)=TRUE),0,OFFSET(Rame!$A$1,MATCH(G38,Rame!$A:$A,0)-1,MATCH(I38,Rame!$A$1:$AA$1,0)-1))*IF(D38="Rame",1,0)</f>
        <v>0</v>
      </c>
      <c r="M38" s="126">
        <f t="shared" ca="1" si="0"/>
        <v>0</v>
      </c>
      <c r="N38" s="126">
        <f ca="1">+IF(ISERROR(OFFSET(Tabella!$G$1,MATCH(G38,Tabella!$G:$G,0)-1,MATCH(H38,Tabella!$G$1:$FG$1,0)-1)=TRUE),0,OFFSET(Tabella!$G$1,MATCH(G38,Tabella!$G:$G,0)-1,MATCH(H38,Tabella!$G$1:$AB$1,0)-1))</f>
        <v>0</v>
      </c>
      <c r="O38" s="126">
        <f ca="1">IF(ISERROR(OFFSET(Ottone!$F$1,MATCH(G38,Ottone!$A:$A,0)-1,MATCH(H38,Ottone!$F$1:$FF$1,0)-1)=TRUE),0,OFFSET(Ottone!$F$1,MATCH(G38,Ottone!$A:$A,0)-1,MATCH(H38,Ottone!$F$1:$FF$1,0)-1))*IF(D38="Ottone",1,0)</f>
        <v>0</v>
      </c>
      <c r="P38" s="126">
        <f ca="1">IF(ISERROR(OFFSET(Rame!$F$1,MATCH(G38,Rame!$F:$F,0)-1,MATCH(H38,Rame!$F$1:$FF$1,0)-1)=TRUE),0,OFFSET(Rame!$F$1,MATCH(G38,Rame!$F:$F,0)-1,MATCH(H38,Rame!$F$1:$FF$1,0)-1))*IF(D38="Rame",1,0)</f>
        <v>0</v>
      </c>
      <c r="Q38" s="126">
        <f t="shared" ca="1" si="8"/>
        <v>0</v>
      </c>
      <c r="R38" s="126">
        <f t="shared" si="7"/>
        <v>0</v>
      </c>
      <c r="S38" s="127"/>
      <c r="T38" s="128">
        <f t="shared" ca="1" si="3"/>
        <v>0</v>
      </c>
      <c r="U38" s="125">
        <f t="shared" si="4"/>
        <v>0</v>
      </c>
      <c r="V38" s="129"/>
      <c r="W38" s="130">
        <f t="shared" ca="1" si="5"/>
        <v>0</v>
      </c>
      <c r="X38" s="125">
        <f t="shared" ca="1" si="6"/>
        <v>0</v>
      </c>
      <c r="Y38" s="131"/>
      <c r="Z38" s="100"/>
    </row>
    <row r="39" spans="1:26" ht="15.75" thickBot="1" x14ac:dyDescent="0.3">
      <c r="A39" s="103"/>
      <c r="B39" s="88"/>
      <c r="C39" s="121"/>
      <c r="D39" s="89"/>
      <c r="E39" s="122"/>
      <c r="F39" s="123"/>
      <c r="G39" s="88"/>
      <c r="H39" s="88"/>
      <c r="I39" s="125"/>
      <c r="J39" s="115">
        <f ca="1">IF(ISERROR(OFFSET(Tabella!$A$1,MATCH(G39,Tabella!$A:$A,0)-1,MATCH(I39,Tabella!$A$1:$AC$1,0)-1)=TRUE),0,+OFFSET(Tabella!$A$1,MATCH(G39,Tabella!$A:$A,0)-1,MATCH(I39,Tabella!$A$1:$AC$1,0)-1))</f>
        <v>0</v>
      </c>
      <c r="K39" s="85">
        <f ca="1">IF(ISERROR(OFFSET(Ottone!$A$1,MATCH(G39,Ottone!$A:$A,0)-1,MATCH(I39,Ottone!$A$1:$Z$1,0)-1)=TRUE),0,OFFSET(Ottone!$A$1,MATCH(G39,Ottone!$A:$A,0)-1,MATCH(I39,Ottone!$A$1:$Z$1,0)-1))*IF(D39="Ottone",1,0)</f>
        <v>0</v>
      </c>
      <c r="L39" s="85">
        <f ca="1">IF(ISERROR(OFFSET(Rame!$A$1,MATCH(G39,Rame!$A:$A,0)-1,MATCH(I39,Rame!$A$1:$AA$1,0)-1)=TRUE),0,OFFSET(Rame!$A$1,MATCH(G39,Rame!$A:$A,0)-1,MATCH(I39,Rame!$A$1:$AA$1,0)-1))*IF(D39="Rame",1,0)</f>
        <v>0</v>
      </c>
      <c r="M39" s="126">
        <f t="shared" ca="1" si="0"/>
        <v>0</v>
      </c>
      <c r="N39" s="126">
        <f ca="1">+IF(ISERROR(OFFSET(Tabella!$G$1,MATCH(G39,Tabella!$G:$G,0)-1,MATCH(H39,Tabella!$G$1:$FG$1,0)-1)=TRUE),0,OFFSET(Tabella!$G$1,MATCH(G39,Tabella!$G:$G,0)-1,MATCH(H39,Tabella!$G$1:$AB$1,0)-1))</f>
        <v>0</v>
      </c>
      <c r="O39" s="126">
        <f ca="1">IF(ISERROR(OFFSET(Ottone!$F$1,MATCH(G39,Ottone!$A:$A,0)-1,MATCH(H39,Ottone!$F$1:$FF$1,0)-1)=TRUE),0,OFFSET(Ottone!$F$1,MATCH(G39,Ottone!$A:$A,0)-1,MATCH(H39,Ottone!$F$1:$FF$1,0)-1))*IF(D39="Ottone",1,0)</f>
        <v>0</v>
      </c>
      <c r="P39" s="126">
        <f ca="1">IF(ISERROR(OFFSET(Rame!$F$1,MATCH(G39,Rame!$F:$F,0)-1,MATCH(H39,Rame!$F$1:$FF$1,0)-1)=TRUE),0,OFFSET(Rame!$F$1,MATCH(G39,Rame!$F:$F,0)-1,MATCH(H39,Rame!$F$1:$FF$1,0)-1))*IF(D39="Rame",1,0)</f>
        <v>0</v>
      </c>
      <c r="Q39" s="126">
        <f t="shared" ca="1" si="8"/>
        <v>0</v>
      </c>
      <c r="R39" s="126">
        <f t="shared" si="7"/>
        <v>0</v>
      </c>
      <c r="S39" s="127"/>
      <c r="T39" s="128">
        <f t="shared" ca="1" si="3"/>
        <v>0</v>
      </c>
      <c r="U39" s="125">
        <f t="shared" si="4"/>
        <v>0</v>
      </c>
      <c r="V39" s="129"/>
      <c r="W39" s="130">
        <f t="shared" ca="1" si="5"/>
        <v>0</v>
      </c>
      <c r="X39" s="125">
        <f t="shared" ca="1" si="6"/>
        <v>0</v>
      </c>
      <c r="Y39" s="131"/>
      <c r="Z39" s="100"/>
    </row>
    <row r="40" spans="1:26" ht="15.75" thickBot="1" x14ac:dyDescent="0.3">
      <c r="A40" s="103"/>
      <c r="B40" s="88"/>
      <c r="C40" s="121"/>
      <c r="D40" s="89"/>
      <c r="E40" s="122"/>
      <c r="F40" s="123"/>
      <c r="G40" s="88"/>
      <c r="H40" s="88"/>
      <c r="I40" s="125"/>
      <c r="J40" s="115">
        <f ca="1">IF(ISERROR(OFFSET(Tabella!$A$1,MATCH(G40,Tabella!$A:$A,0)-1,MATCH(I40,Tabella!$A$1:$AC$1,0)-1)=TRUE),0,+OFFSET(Tabella!$A$1,MATCH(G40,Tabella!$A:$A,0)-1,MATCH(I40,Tabella!$A$1:$AC$1,0)-1))</f>
        <v>0</v>
      </c>
      <c r="K40" s="85">
        <f ca="1">IF(ISERROR(OFFSET(Ottone!$A$1,MATCH(G40,Ottone!$A:$A,0)-1,MATCH(I40,Ottone!$A$1:$Z$1,0)-1)=TRUE),0,OFFSET(Ottone!$A$1,MATCH(G40,Ottone!$A:$A,0)-1,MATCH(I40,Ottone!$A$1:$Z$1,0)-1))*IF(D40="Ottone",1,0)</f>
        <v>0</v>
      </c>
      <c r="L40" s="85">
        <f ca="1">IF(ISERROR(OFFSET(Rame!$A$1,MATCH(G40,Rame!$A:$A,0)-1,MATCH(I40,Rame!$A$1:$AA$1,0)-1)=TRUE),0,OFFSET(Rame!$A$1,MATCH(G40,Rame!$A:$A,0)-1,MATCH(I40,Rame!$A$1:$AA$1,0)-1))*IF(D40="Rame",1,0)</f>
        <v>0</v>
      </c>
      <c r="M40" s="126">
        <f t="shared" ca="1" si="0"/>
        <v>0</v>
      </c>
      <c r="N40" s="126">
        <f ca="1">+IF(ISERROR(OFFSET(Tabella!$G$1,MATCH(G40,Tabella!$G:$G,0)-1,MATCH(H40,Tabella!$G$1:$FG$1,0)-1)=TRUE),0,OFFSET(Tabella!$G$1,MATCH(G40,Tabella!$G:$G,0)-1,MATCH(H40,Tabella!$G$1:$AB$1,0)-1))</f>
        <v>0</v>
      </c>
      <c r="O40" s="126">
        <f ca="1">IF(ISERROR(OFFSET(Ottone!$F$1,MATCH(G40,Ottone!$A:$A,0)-1,MATCH(H40,Ottone!$F$1:$FF$1,0)-1)=TRUE),0,OFFSET(Ottone!$F$1,MATCH(G40,Ottone!$A:$A,0)-1,MATCH(H40,Ottone!$F$1:$FF$1,0)-1))*IF(D40="Ottone",1,0)</f>
        <v>0</v>
      </c>
      <c r="P40" s="126">
        <f ca="1">IF(ISERROR(OFFSET(Rame!$F$1,MATCH(G40,Rame!$F:$F,0)-1,MATCH(H40,Rame!$F$1:$FF$1,0)-1)=TRUE),0,OFFSET(Rame!$F$1,MATCH(G40,Rame!$F:$F,0)-1,MATCH(H40,Rame!$F$1:$FF$1,0)-1))*IF(D40="Rame",1,0)</f>
        <v>0</v>
      </c>
      <c r="Q40" s="126">
        <f t="shared" ca="1" si="8"/>
        <v>0</v>
      </c>
      <c r="R40" s="126">
        <f t="shared" si="7"/>
        <v>0</v>
      </c>
      <c r="S40" s="127"/>
      <c r="T40" s="128">
        <f t="shared" ca="1" si="3"/>
        <v>0</v>
      </c>
      <c r="U40" s="125">
        <f t="shared" si="4"/>
        <v>0</v>
      </c>
      <c r="V40" s="129"/>
      <c r="W40" s="130">
        <f t="shared" ca="1" si="5"/>
        <v>0</v>
      </c>
      <c r="X40" s="125">
        <f t="shared" ca="1" si="6"/>
        <v>0</v>
      </c>
      <c r="Y40" s="131"/>
      <c r="Z40" s="100"/>
    </row>
    <row r="41" spans="1:26" ht="15.75" thickBot="1" x14ac:dyDescent="0.3">
      <c r="A41" s="103"/>
      <c r="B41" s="88"/>
      <c r="C41" s="121"/>
      <c r="D41" s="89"/>
      <c r="E41" s="122"/>
      <c r="F41" s="123"/>
      <c r="G41" s="88"/>
      <c r="H41" s="88"/>
      <c r="I41" s="125"/>
      <c r="J41" s="115">
        <f ca="1">IF(ISERROR(OFFSET(Tabella!$A$1,MATCH(G41,Tabella!$A:$A,0)-1,MATCH(I41,Tabella!$A$1:$AC$1,0)-1)=TRUE),0,+OFFSET(Tabella!$A$1,MATCH(G41,Tabella!$A:$A,0)-1,MATCH(I41,Tabella!$A$1:$AC$1,0)-1))</f>
        <v>0</v>
      </c>
      <c r="K41" s="85">
        <f ca="1">IF(ISERROR(OFFSET(Ottone!$A$1,MATCH(G41,Ottone!$A:$A,0)-1,MATCH(I41,Ottone!$A$1:$Z$1,0)-1)=TRUE),0,OFFSET(Ottone!$A$1,MATCH(G41,Ottone!$A:$A,0)-1,MATCH(I41,Ottone!$A$1:$Z$1,0)-1))*IF(D41="Ottone",1,0)</f>
        <v>0</v>
      </c>
      <c r="L41" s="85">
        <f ca="1">IF(ISERROR(OFFSET(Rame!$A$1,MATCH(G41,Rame!$A:$A,0)-1,MATCH(I41,Rame!$A$1:$AA$1,0)-1)=TRUE),0,OFFSET(Rame!$A$1,MATCH(G41,Rame!$A:$A,0)-1,MATCH(I41,Rame!$A$1:$AA$1,0)-1))*IF(D41="Rame",1,0)</f>
        <v>0</v>
      </c>
      <c r="M41" s="126">
        <f t="shared" ca="1" si="0"/>
        <v>0</v>
      </c>
      <c r="N41" s="126">
        <f ca="1">+IF(ISERROR(OFFSET(Tabella!$G$1,MATCH(G41,Tabella!$G:$G,0)-1,MATCH(H41,Tabella!$G$1:$FG$1,0)-1)=TRUE),0,OFFSET(Tabella!$G$1,MATCH(G41,Tabella!$G:$G,0)-1,MATCH(H41,Tabella!$G$1:$AB$1,0)-1))</f>
        <v>0</v>
      </c>
      <c r="O41" s="126">
        <f ca="1">IF(ISERROR(OFFSET(Ottone!$F$1,MATCH(G41,Ottone!$A:$A,0)-1,MATCH(H41,Ottone!$F$1:$FF$1,0)-1)=TRUE),0,OFFSET(Ottone!$F$1,MATCH(G41,Ottone!$A:$A,0)-1,MATCH(H41,Ottone!$F$1:$FF$1,0)-1))*IF(D41="Ottone",1,0)</f>
        <v>0</v>
      </c>
      <c r="P41" s="126">
        <f ca="1">IF(ISERROR(OFFSET(Rame!$F$1,MATCH(G41,Rame!$F:$F,0)-1,MATCH(H41,Rame!$F$1:$FF$1,0)-1)=TRUE),0,OFFSET(Rame!$F$1,MATCH(G41,Rame!$F:$F,0)-1,MATCH(H41,Rame!$F$1:$FF$1,0)-1))*IF(D41="Rame",1,0)</f>
        <v>0</v>
      </c>
      <c r="Q41" s="126">
        <f t="shared" ca="1" si="8"/>
        <v>0</v>
      </c>
      <c r="R41" s="126">
        <f t="shared" si="7"/>
        <v>0</v>
      </c>
      <c r="S41" s="127"/>
      <c r="T41" s="128">
        <f t="shared" ca="1" si="3"/>
        <v>0</v>
      </c>
      <c r="U41" s="125">
        <f t="shared" si="4"/>
        <v>0</v>
      </c>
      <c r="V41" s="129"/>
      <c r="W41" s="130">
        <f t="shared" ca="1" si="5"/>
        <v>0</v>
      </c>
      <c r="X41" s="125">
        <f t="shared" ca="1" si="6"/>
        <v>0</v>
      </c>
      <c r="Y41" s="131"/>
      <c r="Z41" s="100"/>
    </row>
    <row r="42" spans="1:26" ht="15.75" thickBot="1" x14ac:dyDescent="0.3">
      <c r="A42" s="103"/>
      <c r="B42" s="88"/>
      <c r="C42" s="121"/>
      <c r="D42" s="89"/>
      <c r="E42" s="122"/>
      <c r="F42" s="123"/>
      <c r="G42" s="88"/>
      <c r="H42" s="88"/>
      <c r="I42" s="125"/>
      <c r="J42" s="115">
        <f ca="1">IF(ISERROR(OFFSET(Tabella!$A$1,MATCH(G42,Tabella!$A:$A,0)-1,MATCH(I42,Tabella!$A$1:$AC$1,0)-1)=TRUE),0,+OFFSET(Tabella!$A$1,MATCH(G42,Tabella!$A:$A,0)-1,MATCH(I42,Tabella!$A$1:$AC$1,0)-1))</f>
        <v>0</v>
      </c>
      <c r="K42" s="85">
        <f ca="1">IF(ISERROR(OFFSET(Ottone!$A$1,MATCH(G42,Ottone!$A:$A,0)-1,MATCH(I42,Ottone!$A$1:$Z$1,0)-1)=TRUE),0,OFFSET(Ottone!$A$1,MATCH(G42,Ottone!$A:$A,0)-1,MATCH(I42,Ottone!$A$1:$Z$1,0)-1))*IF(D42="Ottone",1,0)</f>
        <v>0</v>
      </c>
      <c r="L42" s="85">
        <f ca="1">IF(ISERROR(OFFSET(Rame!$A$1,MATCH(G42,Rame!$A:$A,0)-1,MATCH(I42,Rame!$A$1:$AA$1,0)-1)=TRUE),0,OFFSET(Rame!$A$1,MATCH(G42,Rame!$A:$A,0)-1,MATCH(I42,Rame!$A$1:$AA$1,0)-1))*IF(D42="Rame",1,0)</f>
        <v>0</v>
      </c>
      <c r="M42" s="126">
        <f t="shared" ca="1" si="0"/>
        <v>0</v>
      </c>
      <c r="N42" s="126">
        <f ca="1">+IF(ISERROR(OFFSET(Tabella!$G$1,MATCH(G42,Tabella!$G:$G,0)-1,MATCH(H42,Tabella!$G$1:$FG$1,0)-1)=TRUE),0,OFFSET(Tabella!$G$1,MATCH(G42,Tabella!$G:$G,0)-1,MATCH(H42,Tabella!$G$1:$AB$1,0)-1))</f>
        <v>0</v>
      </c>
      <c r="O42" s="126">
        <f ca="1">IF(ISERROR(OFFSET(Ottone!$F$1,MATCH(G42,Ottone!$A:$A,0)-1,MATCH(H42,Ottone!$F$1:$FF$1,0)-1)=TRUE),0,OFFSET(Ottone!$F$1,MATCH(G42,Ottone!$A:$A,0)-1,MATCH(H42,Ottone!$F$1:$FF$1,0)-1))*IF(D42="Ottone",1,0)</f>
        <v>0</v>
      </c>
      <c r="P42" s="126">
        <f ca="1">IF(ISERROR(OFFSET(Rame!$F$1,MATCH(G42,Rame!$F:$F,0)-1,MATCH(H42,Rame!$F$1:$FF$1,0)-1)=TRUE),0,OFFSET(Rame!$F$1,MATCH(G42,Rame!$F:$F,0)-1,MATCH(H42,Rame!$F$1:$FF$1,0)-1))*IF(D42="Rame",1,0)</f>
        <v>0</v>
      </c>
      <c r="Q42" s="126">
        <f t="shared" ca="1" si="8"/>
        <v>0</v>
      </c>
      <c r="R42" s="126">
        <f t="shared" si="7"/>
        <v>0</v>
      </c>
      <c r="S42" s="127"/>
      <c r="T42" s="128">
        <f t="shared" ca="1" si="3"/>
        <v>0</v>
      </c>
      <c r="U42" s="125">
        <f t="shared" si="4"/>
        <v>0</v>
      </c>
      <c r="V42" s="129"/>
      <c r="W42" s="130">
        <f t="shared" ca="1" si="5"/>
        <v>0</v>
      </c>
      <c r="X42" s="125">
        <f t="shared" ca="1" si="6"/>
        <v>0</v>
      </c>
      <c r="Y42" s="131"/>
      <c r="Z42" s="100"/>
    </row>
    <row r="43" spans="1:26" ht="15.75" thickBot="1" x14ac:dyDescent="0.3">
      <c r="A43" s="103"/>
      <c r="B43" s="88"/>
      <c r="C43" s="121"/>
      <c r="D43" s="89"/>
      <c r="E43" s="122"/>
      <c r="F43" s="123"/>
      <c r="G43" s="88"/>
      <c r="H43" s="88"/>
      <c r="I43" s="125"/>
      <c r="J43" s="115">
        <f ca="1">IF(ISERROR(OFFSET(Tabella!$A$1,MATCH(G43,Tabella!$A:$A,0)-1,MATCH(I43,Tabella!$A$1:$AC$1,0)-1)=TRUE),0,+OFFSET(Tabella!$A$1,MATCH(G43,Tabella!$A:$A,0)-1,MATCH(I43,Tabella!$A$1:$AC$1,0)-1))</f>
        <v>0</v>
      </c>
      <c r="K43" s="85">
        <f ca="1">IF(ISERROR(OFFSET(Ottone!$A$1,MATCH(G43,Ottone!$A:$A,0)-1,MATCH(I43,Ottone!$A$1:$Z$1,0)-1)=TRUE),0,OFFSET(Ottone!$A$1,MATCH(G43,Ottone!$A:$A,0)-1,MATCH(I43,Ottone!$A$1:$Z$1,0)-1))*IF(D43="Ottone",1,0)</f>
        <v>0</v>
      </c>
      <c r="L43" s="85">
        <f ca="1">IF(ISERROR(OFFSET(Rame!$A$1,MATCH(G43,Rame!$A:$A,0)-1,MATCH(I43,Rame!$A$1:$AA$1,0)-1)=TRUE),0,OFFSET(Rame!$A$1,MATCH(G43,Rame!$A:$A,0)-1,MATCH(I43,Rame!$A$1:$AA$1,0)-1))*IF(D43="Rame",1,0)</f>
        <v>0</v>
      </c>
      <c r="M43" s="126">
        <f t="shared" ca="1" si="0"/>
        <v>0</v>
      </c>
      <c r="N43" s="126">
        <f ca="1">+IF(ISERROR(OFFSET(Tabella!$G$1,MATCH(G43,Tabella!$G:$G,0)-1,MATCH(H43,Tabella!$G$1:$FG$1,0)-1)=TRUE),0,OFFSET(Tabella!$G$1,MATCH(G43,Tabella!$G:$G,0)-1,MATCH(H43,Tabella!$G$1:$AB$1,0)-1))</f>
        <v>0</v>
      </c>
      <c r="O43" s="126">
        <f ca="1">IF(ISERROR(OFFSET(Ottone!$F$1,MATCH(G43,Ottone!$A:$A,0)-1,MATCH(H43,Ottone!$F$1:$FF$1,0)-1)=TRUE),0,OFFSET(Ottone!$F$1,MATCH(G43,Ottone!$A:$A,0)-1,MATCH(H43,Ottone!$F$1:$FF$1,0)-1))*IF(D43="Ottone",1,0)</f>
        <v>0</v>
      </c>
      <c r="P43" s="126">
        <f ca="1">IF(ISERROR(OFFSET(Rame!$F$1,MATCH(G43,Rame!$F:$F,0)-1,MATCH(H43,Rame!$F$1:$FF$1,0)-1)=TRUE),0,OFFSET(Rame!$F$1,MATCH(G43,Rame!$F:$F,0)-1,MATCH(H43,Rame!$F$1:$FF$1,0)-1))*IF(D43="Rame",1,0)</f>
        <v>0</v>
      </c>
      <c r="Q43" s="126">
        <f t="shared" ca="1" si="8"/>
        <v>0</v>
      </c>
      <c r="R43" s="126">
        <f t="shared" si="7"/>
        <v>0</v>
      </c>
      <c r="S43" s="127"/>
      <c r="T43" s="128">
        <f t="shared" ca="1" si="3"/>
        <v>0</v>
      </c>
      <c r="U43" s="125">
        <f t="shared" si="4"/>
        <v>0</v>
      </c>
      <c r="V43" s="129"/>
      <c r="W43" s="130">
        <f t="shared" ca="1" si="5"/>
        <v>0</v>
      </c>
      <c r="X43" s="125">
        <f t="shared" ca="1" si="6"/>
        <v>0</v>
      </c>
      <c r="Y43" s="131"/>
      <c r="Z43" s="100"/>
    </row>
    <row r="44" spans="1:26" ht="15.75" thickBot="1" x14ac:dyDescent="0.3">
      <c r="A44" s="103"/>
      <c r="B44" s="88"/>
      <c r="C44" s="121"/>
      <c r="D44" s="89"/>
      <c r="E44" s="122"/>
      <c r="F44" s="123"/>
      <c r="G44" s="88"/>
      <c r="H44" s="88"/>
      <c r="I44" s="125"/>
      <c r="J44" s="115">
        <f ca="1">IF(ISERROR(OFFSET(Tabella!$A$1,MATCH(G44,Tabella!$A:$A,0)-1,MATCH(I44,Tabella!$A$1:$AC$1,0)-1)=TRUE),0,+OFFSET(Tabella!$A$1,MATCH(G44,Tabella!$A:$A,0)-1,MATCH(I44,Tabella!$A$1:$AC$1,0)-1))</f>
        <v>0</v>
      </c>
      <c r="K44" s="85">
        <f ca="1">IF(ISERROR(OFFSET(Ottone!$A$1,MATCH(G44,Ottone!$A:$A,0)-1,MATCH(I44,Ottone!$A$1:$Z$1,0)-1)=TRUE),0,OFFSET(Ottone!$A$1,MATCH(G44,Ottone!$A:$A,0)-1,MATCH(I44,Ottone!$A$1:$Z$1,0)-1))*IF(D44="Ottone",1,0)</f>
        <v>0</v>
      </c>
      <c r="L44" s="85">
        <f ca="1">IF(ISERROR(OFFSET(Rame!$A$1,MATCH(G44,Rame!$A:$A,0)-1,MATCH(I44,Rame!$A$1:$AA$1,0)-1)=TRUE),0,OFFSET(Rame!$A$1,MATCH(G44,Rame!$A:$A,0)-1,MATCH(I44,Rame!$A$1:$AA$1,0)-1))*IF(D44="Rame",1,0)</f>
        <v>0</v>
      </c>
      <c r="M44" s="126">
        <f t="shared" ca="1" si="0"/>
        <v>0</v>
      </c>
      <c r="N44" s="126">
        <f ca="1">+IF(ISERROR(OFFSET(Tabella!$G$1,MATCH(G44,Tabella!$G:$G,0)-1,MATCH(H44,Tabella!$G$1:$FG$1,0)-1)=TRUE),0,OFFSET(Tabella!$G$1,MATCH(G44,Tabella!$G:$G,0)-1,MATCH(H44,Tabella!$G$1:$AB$1,0)-1))</f>
        <v>0</v>
      </c>
      <c r="O44" s="126">
        <f ca="1">IF(ISERROR(OFFSET(Ottone!$F$1,MATCH(G44,Ottone!$A:$A,0)-1,MATCH(H44,Ottone!$F$1:$FF$1,0)-1)=TRUE),0,OFFSET(Ottone!$F$1,MATCH(G44,Ottone!$A:$A,0)-1,MATCH(H44,Ottone!$F$1:$FF$1,0)-1))*IF(D44="Ottone",1,0)</f>
        <v>0</v>
      </c>
      <c r="P44" s="126">
        <f ca="1">IF(ISERROR(OFFSET(Rame!$F$1,MATCH(G44,Rame!$F:$F,0)-1,MATCH(H44,Rame!$F$1:$FF$1,0)-1)=TRUE),0,OFFSET(Rame!$F$1,MATCH(G44,Rame!$F:$F,0)-1,MATCH(H44,Rame!$F$1:$FF$1,0)-1))*IF(D44="Rame",1,0)</f>
        <v>0</v>
      </c>
      <c r="Q44" s="126">
        <f t="shared" ca="1" si="8"/>
        <v>0</v>
      </c>
      <c r="R44" s="126">
        <f t="shared" si="7"/>
        <v>0</v>
      </c>
      <c r="S44" s="127"/>
      <c r="T44" s="128">
        <f t="shared" ca="1" si="3"/>
        <v>0</v>
      </c>
      <c r="U44" s="125">
        <f t="shared" si="4"/>
        <v>0</v>
      </c>
      <c r="V44" s="129"/>
      <c r="W44" s="130">
        <f t="shared" ca="1" si="5"/>
        <v>0</v>
      </c>
      <c r="X44" s="125">
        <f t="shared" ca="1" si="6"/>
        <v>0</v>
      </c>
      <c r="Y44" s="131"/>
      <c r="Z44" s="100"/>
    </row>
    <row r="45" spans="1:26" ht="15.75" thickBot="1" x14ac:dyDescent="0.3">
      <c r="A45" s="103"/>
      <c r="B45" s="88"/>
      <c r="C45" s="121"/>
      <c r="D45" s="89"/>
      <c r="E45" s="122"/>
      <c r="F45" s="123"/>
      <c r="G45" s="88"/>
      <c r="H45" s="88"/>
      <c r="I45" s="125"/>
      <c r="J45" s="115">
        <f ca="1">IF(ISERROR(OFFSET(Tabella!$A$1,MATCH(G45,Tabella!$A:$A,0)-1,MATCH(I45,Tabella!$A$1:$AC$1,0)-1)=TRUE),0,+OFFSET(Tabella!$A$1,MATCH(G45,Tabella!$A:$A,0)-1,MATCH(I45,Tabella!$A$1:$AC$1,0)-1))</f>
        <v>0</v>
      </c>
      <c r="K45" s="85">
        <f ca="1">IF(ISERROR(OFFSET(Ottone!$A$1,MATCH(G45,Ottone!$A:$A,0)-1,MATCH(I45,Ottone!$A$1:$Z$1,0)-1)=TRUE),0,OFFSET(Ottone!$A$1,MATCH(G45,Ottone!$A:$A,0)-1,MATCH(I45,Ottone!$A$1:$Z$1,0)-1))*IF(D45="Ottone",1,0)</f>
        <v>0</v>
      </c>
      <c r="L45" s="85">
        <f ca="1">IF(ISERROR(OFFSET(Rame!$A$1,MATCH(G45,Rame!$A:$A,0)-1,MATCH(I45,Rame!$A$1:$AA$1,0)-1)=TRUE),0,OFFSET(Rame!$A$1,MATCH(G45,Rame!$A:$A,0)-1,MATCH(I45,Rame!$A$1:$AA$1,0)-1))*IF(D45="Rame",1,0)</f>
        <v>0</v>
      </c>
      <c r="M45" s="126">
        <f t="shared" ca="1" si="0"/>
        <v>0</v>
      </c>
      <c r="N45" s="126">
        <f ca="1">+IF(ISERROR(OFFSET(Tabella!$G$1,MATCH(G45,Tabella!$G:$G,0)-1,MATCH(H45,Tabella!$G$1:$FG$1,0)-1)=TRUE),0,OFFSET(Tabella!$G$1,MATCH(G45,Tabella!$G:$G,0)-1,MATCH(H45,Tabella!$G$1:$AB$1,0)-1))</f>
        <v>0</v>
      </c>
      <c r="O45" s="126">
        <f ca="1">IF(ISERROR(OFFSET(Ottone!$F$1,MATCH(G45,Ottone!$A:$A,0)-1,MATCH(H45,Ottone!$F$1:$FF$1,0)-1)=TRUE),0,OFFSET(Ottone!$F$1,MATCH(G45,Ottone!$A:$A,0)-1,MATCH(H45,Ottone!$F$1:$FF$1,0)-1))*IF(D45="Ottone",1,0)</f>
        <v>0</v>
      </c>
      <c r="P45" s="126">
        <f ca="1">IF(ISERROR(OFFSET(Rame!$F$1,MATCH(G45,Rame!$F:$F,0)-1,MATCH(H45,Rame!$F$1:$FF$1,0)-1)=TRUE),0,OFFSET(Rame!$F$1,MATCH(G45,Rame!$F:$F,0)-1,MATCH(H45,Rame!$F$1:$FF$1,0)-1))*IF(D45="Rame",1,0)</f>
        <v>0</v>
      </c>
      <c r="Q45" s="126">
        <f t="shared" ca="1" si="8"/>
        <v>0</v>
      </c>
      <c r="R45" s="126">
        <f t="shared" si="7"/>
        <v>0</v>
      </c>
      <c r="S45" s="127"/>
      <c r="T45" s="128">
        <f t="shared" ca="1" si="3"/>
        <v>0</v>
      </c>
      <c r="U45" s="125">
        <f t="shared" si="4"/>
        <v>0</v>
      </c>
      <c r="V45" s="129"/>
      <c r="W45" s="130">
        <f t="shared" ca="1" si="5"/>
        <v>0</v>
      </c>
      <c r="X45" s="125">
        <f t="shared" ca="1" si="6"/>
        <v>0</v>
      </c>
      <c r="Y45" s="131"/>
      <c r="Z45" s="100"/>
    </row>
    <row r="46" spans="1:26" ht="15.75" thickBot="1" x14ac:dyDescent="0.3">
      <c r="A46" s="103"/>
      <c r="B46" s="88"/>
      <c r="C46" s="121"/>
      <c r="D46" s="89"/>
      <c r="E46" s="122"/>
      <c r="F46" s="123"/>
      <c r="G46" s="88"/>
      <c r="H46" s="88"/>
      <c r="I46" s="125"/>
      <c r="J46" s="115">
        <f ca="1">IF(ISERROR(OFFSET(Tabella!$A$1,MATCH(G46,Tabella!$A:$A,0)-1,MATCH(I46,Tabella!$A$1:$AC$1,0)-1)=TRUE),0,+OFFSET(Tabella!$A$1,MATCH(G46,Tabella!$A:$A,0)-1,MATCH(I46,Tabella!$A$1:$AC$1,0)-1))</f>
        <v>0</v>
      </c>
      <c r="K46" s="85">
        <f ca="1">IF(ISERROR(OFFSET(Ottone!$A$1,MATCH(G46,Ottone!$A:$A,0)-1,MATCH(I46,Ottone!$A$1:$Z$1,0)-1)=TRUE),0,OFFSET(Ottone!$A$1,MATCH(G46,Ottone!$A:$A,0)-1,MATCH(I46,Ottone!$A$1:$Z$1,0)-1))*IF(D46="Ottone",1,0)</f>
        <v>0</v>
      </c>
      <c r="L46" s="85">
        <f ca="1">IF(ISERROR(OFFSET(Rame!$A$1,MATCH(G46,Rame!$A:$A,0)-1,MATCH(I46,Rame!$A$1:$AA$1,0)-1)=TRUE),0,OFFSET(Rame!$A$1,MATCH(G46,Rame!$A:$A,0)-1,MATCH(I46,Rame!$A$1:$AA$1,0)-1))*IF(D46="Rame",1,0)</f>
        <v>0</v>
      </c>
      <c r="M46" s="126">
        <f t="shared" ca="1" si="0"/>
        <v>0</v>
      </c>
      <c r="N46" s="126">
        <f ca="1">+IF(ISERROR(OFFSET(Tabella!$G$1,MATCH(G46,Tabella!$G:$G,0)-1,MATCH(H46,Tabella!$G$1:$FG$1,0)-1)=TRUE),0,OFFSET(Tabella!$G$1,MATCH(G46,Tabella!$G:$G,0)-1,MATCH(H46,Tabella!$G$1:$AB$1,0)-1))</f>
        <v>0</v>
      </c>
      <c r="O46" s="126">
        <f ca="1">IF(ISERROR(OFFSET(Ottone!$F$1,MATCH(G46,Ottone!$A:$A,0)-1,MATCH(H46,Ottone!$F$1:$FF$1,0)-1)=TRUE),0,OFFSET(Ottone!$F$1,MATCH(G46,Ottone!$A:$A,0)-1,MATCH(H46,Ottone!$F$1:$FF$1,0)-1))*IF(D46="Ottone",1,0)</f>
        <v>0</v>
      </c>
      <c r="P46" s="126">
        <f ca="1">IF(ISERROR(OFFSET(Rame!$F$1,MATCH(G46,Rame!$F:$F,0)-1,MATCH(H46,Rame!$F$1:$FF$1,0)-1)=TRUE),0,OFFSET(Rame!$F$1,MATCH(G46,Rame!$F:$F,0)-1,MATCH(H46,Rame!$F$1:$FF$1,0)-1))*IF(D46="Rame",1,0)</f>
        <v>0</v>
      </c>
      <c r="Q46" s="126">
        <f t="shared" ca="1" si="8"/>
        <v>0</v>
      </c>
      <c r="R46" s="126">
        <f t="shared" si="7"/>
        <v>0</v>
      </c>
      <c r="S46" s="127"/>
      <c r="T46" s="128">
        <f t="shared" ca="1" si="3"/>
        <v>0</v>
      </c>
      <c r="U46" s="125">
        <f t="shared" si="4"/>
        <v>0</v>
      </c>
      <c r="V46" s="129"/>
      <c r="W46" s="130">
        <f t="shared" ca="1" si="5"/>
        <v>0</v>
      </c>
      <c r="X46" s="125">
        <f t="shared" ca="1" si="6"/>
        <v>0</v>
      </c>
      <c r="Y46" s="131"/>
      <c r="Z46" s="100"/>
    </row>
    <row r="47" spans="1:26" ht="15.75" thickBot="1" x14ac:dyDescent="0.3">
      <c r="A47" s="103"/>
      <c r="B47" s="88"/>
      <c r="C47" s="121"/>
      <c r="D47" s="89"/>
      <c r="E47" s="122"/>
      <c r="F47" s="123"/>
      <c r="G47" s="88"/>
      <c r="H47" s="88"/>
      <c r="I47" s="125"/>
      <c r="J47" s="115">
        <f ca="1">IF(ISERROR(OFFSET(Tabella!$A$1,MATCH(G47,Tabella!$A:$A,0)-1,MATCH(I47,Tabella!$A$1:$AC$1,0)-1)=TRUE),0,+OFFSET(Tabella!$A$1,MATCH(G47,Tabella!$A:$A,0)-1,MATCH(I47,Tabella!$A$1:$AC$1,0)-1))</f>
        <v>0</v>
      </c>
      <c r="K47" s="85">
        <f ca="1">IF(ISERROR(OFFSET(Ottone!$A$1,MATCH(G47,Ottone!$A:$A,0)-1,MATCH(I47,Ottone!$A$1:$Z$1,0)-1)=TRUE),0,OFFSET(Ottone!$A$1,MATCH(G47,Ottone!$A:$A,0)-1,MATCH(I47,Ottone!$A$1:$Z$1,0)-1))*IF(D47="Ottone",1,0)</f>
        <v>0</v>
      </c>
      <c r="L47" s="85">
        <f ca="1">IF(ISERROR(OFFSET(Rame!$A$1,MATCH(G47,Rame!$A:$A,0)-1,MATCH(I47,Rame!$A$1:$AA$1,0)-1)=TRUE),0,OFFSET(Rame!$A$1,MATCH(G47,Rame!$A:$A,0)-1,MATCH(I47,Rame!$A$1:$AA$1,0)-1))*IF(D47="Rame",1,0)</f>
        <v>0</v>
      </c>
      <c r="M47" s="126">
        <f t="shared" ca="1" si="0"/>
        <v>0</v>
      </c>
      <c r="N47" s="126">
        <f ca="1">+IF(ISERROR(OFFSET(Tabella!$G$1,MATCH(G47,Tabella!$G:$G,0)-1,MATCH(H47,Tabella!$G$1:$FG$1,0)-1)=TRUE),0,OFFSET(Tabella!$G$1,MATCH(G47,Tabella!$G:$G,0)-1,MATCH(H47,Tabella!$G$1:$AB$1,0)-1))</f>
        <v>0</v>
      </c>
      <c r="O47" s="126">
        <f ca="1">IF(ISERROR(OFFSET(Ottone!$F$1,MATCH(G47,Ottone!$A:$A,0)-1,MATCH(H47,Ottone!$F$1:$FF$1,0)-1)=TRUE),0,OFFSET(Ottone!$F$1,MATCH(G47,Ottone!$A:$A,0)-1,MATCH(H47,Ottone!$F$1:$FF$1,0)-1))*IF(D47="Ottone",1,0)</f>
        <v>0</v>
      </c>
      <c r="P47" s="126">
        <f ca="1">IF(ISERROR(OFFSET(Rame!$F$1,MATCH(G47,Rame!$F:$F,0)-1,MATCH(H47,Rame!$F$1:$FF$1,0)-1)=TRUE),0,OFFSET(Rame!$F$1,MATCH(G47,Rame!$F:$F,0)-1,MATCH(H47,Rame!$F$1:$FF$1,0)-1))*IF(D47="Rame",1,0)</f>
        <v>0</v>
      </c>
      <c r="Q47" s="126">
        <f t="shared" ca="1" si="8"/>
        <v>0</v>
      </c>
      <c r="R47" s="126">
        <f t="shared" si="7"/>
        <v>0</v>
      </c>
      <c r="S47" s="127"/>
      <c r="T47" s="128">
        <f t="shared" ca="1" si="3"/>
        <v>0</v>
      </c>
      <c r="U47" s="125">
        <f t="shared" si="4"/>
        <v>0</v>
      </c>
      <c r="V47" s="129"/>
      <c r="W47" s="130">
        <f t="shared" ca="1" si="5"/>
        <v>0</v>
      </c>
      <c r="X47" s="125">
        <f t="shared" ca="1" si="6"/>
        <v>0</v>
      </c>
      <c r="Y47" s="131"/>
      <c r="Z47" s="100"/>
    </row>
    <row r="48" spans="1:26" ht="15.75" thickBot="1" x14ac:dyDescent="0.3">
      <c r="A48" s="103"/>
      <c r="B48" s="88"/>
      <c r="C48" s="121"/>
      <c r="D48" s="89"/>
      <c r="E48" s="122"/>
      <c r="F48" s="123"/>
      <c r="G48" s="88"/>
      <c r="H48" s="88"/>
      <c r="I48" s="125"/>
      <c r="J48" s="115">
        <f ca="1">IF(ISERROR(OFFSET(Tabella!$A$1,MATCH(G48,Tabella!$A:$A,0)-1,MATCH(I48,Tabella!$A$1:$AC$1,0)-1)=TRUE),0,+OFFSET(Tabella!$A$1,MATCH(G48,Tabella!$A:$A,0)-1,MATCH(I48,Tabella!$A$1:$AC$1,0)-1))</f>
        <v>0</v>
      </c>
      <c r="K48" s="85">
        <f ca="1">IF(ISERROR(OFFSET(Ottone!$A$1,MATCH(G48,Ottone!$A:$A,0)-1,MATCH(I48,Ottone!$A$1:$Z$1,0)-1)=TRUE),0,OFFSET(Ottone!$A$1,MATCH(G48,Ottone!$A:$A,0)-1,MATCH(I48,Ottone!$A$1:$Z$1,0)-1))*IF(D48="Ottone",1,0)</f>
        <v>0</v>
      </c>
      <c r="L48" s="85">
        <f ca="1">IF(ISERROR(OFFSET(Rame!$A$1,MATCH(G48,Rame!$A:$A,0)-1,MATCH(I48,Rame!$A$1:$AA$1,0)-1)=TRUE),0,OFFSET(Rame!$A$1,MATCH(G48,Rame!$A:$A,0)-1,MATCH(I48,Rame!$A$1:$AA$1,0)-1))*IF(D48="Rame",1,0)</f>
        <v>0</v>
      </c>
      <c r="M48" s="126">
        <f t="shared" ca="1" si="0"/>
        <v>0</v>
      </c>
      <c r="N48" s="126">
        <f ca="1">+IF(ISERROR(OFFSET(Tabella!$G$1,MATCH(G48,Tabella!$G:$G,0)-1,MATCH(H48,Tabella!$G$1:$FG$1,0)-1)=TRUE),0,OFFSET(Tabella!$G$1,MATCH(G48,Tabella!$G:$G,0)-1,MATCH(H48,Tabella!$G$1:$AB$1,0)-1))</f>
        <v>0</v>
      </c>
      <c r="O48" s="126">
        <f ca="1">IF(ISERROR(OFFSET(Ottone!$F$1,MATCH(G48,Ottone!$A:$A,0)-1,MATCH(H48,Ottone!$F$1:$FF$1,0)-1)=TRUE),0,OFFSET(Ottone!$F$1,MATCH(G48,Ottone!$A:$A,0)-1,MATCH(H48,Ottone!$F$1:$FF$1,0)-1))*IF(D48="Ottone",1,0)</f>
        <v>0</v>
      </c>
      <c r="P48" s="126">
        <f ca="1">IF(ISERROR(OFFSET(Rame!$F$1,MATCH(G48,Rame!$F:$F,0)-1,MATCH(H48,Rame!$F$1:$FF$1,0)-1)=TRUE),0,OFFSET(Rame!$F$1,MATCH(G48,Rame!$F:$F,0)-1,MATCH(H48,Rame!$F$1:$FF$1,0)-1))*IF(D48="Rame",1,0)</f>
        <v>0</v>
      </c>
      <c r="Q48" s="126">
        <f t="shared" ca="1" si="8"/>
        <v>0</v>
      </c>
      <c r="R48" s="126">
        <f t="shared" si="7"/>
        <v>0</v>
      </c>
      <c r="S48" s="127"/>
      <c r="T48" s="128">
        <f t="shared" ca="1" si="3"/>
        <v>0</v>
      </c>
      <c r="U48" s="125">
        <f t="shared" si="4"/>
        <v>0</v>
      </c>
      <c r="V48" s="129"/>
      <c r="W48" s="130">
        <f t="shared" ca="1" si="5"/>
        <v>0</v>
      </c>
      <c r="X48" s="125">
        <f t="shared" ca="1" si="6"/>
        <v>0</v>
      </c>
      <c r="Y48" s="131"/>
      <c r="Z48" s="100"/>
    </row>
    <row r="49" spans="1:26" ht="15.75" thickBot="1" x14ac:dyDescent="0.3">
      <c r="A49" s="103"/>
      <c r="B49" s="88"/>
      <c r="C49" s="121"/>
      <c r="D49" s="89"/>
      <c r="E49" s="122"/>
      <c r="F49" s="123"/>
      <c r="G49" s="88"/>
      <c r="H49" s="88"/>
      <c r="I49" s="125"/>
      <c r="J49" s="115">
        <f ca="1">IF(ISERROR(OFFSET(Tabella!$A$1,MATCH(G49,Tabella!$A:$A,0)-1,MATCH(I49,Tabella!$A$1:$AC$1,0)-1)=TRUE),0,+OFFSET(Tabella!$A$1,MATCH(G49,Tabella!$A:$A,0)-1,MATCH(I49,Tabella!$A$1:$AC$1,0)-1))</f>
        <v>0</v>
      </c>
      <c r="K49" s="85">
        <f ca="1">IF(ISERROR(OFFSET(Ottone!$A$1,MATCH(G49,Ottone!$A:$A,0)-1,MATCH(I49,Ottone!$A$1:$Z$1,0)-1)=TRUE),0,OFFSET(Ottone!$A$1,MATCH(G49,Ottone!$A:$A,0)-1,MATCH(I49,Ottone!$A$1:$Z$1,0)-1))*IF(D49="Ottone",1,0)</f>
        <v>0</v>
      </c>
      <c r="L49" s="85">
        <f ca="1">IF(ISERROR(OFFSET(Rame!$A$1,MATCH(G49,Rame!$A:$A,0)-1,MATCH(I49,Rame!$A$1:$AA$1,0)-1)=TRUE),0,OFFSET(Rame!$A$1,MATCH(G49,Rame!$A:$A,0)-1,MATCH(I49,Rame!$A$1:$AA$1,0)-1))*IF(D49="Rame",1,0)</f>
        <v>0</v>
      </c>
      <c r="M49" s="126">
        <f t="shared" ca="1" si="0"/>
        <v>0</v>
      </c>
      <c r="N49" s="126">
        <f ca="1">+IF(ISERROR(OFFSET(Tabella!$G$1,MATCH(G49,Tabella!$G:$G,0)-1,MATCH(H49,Tabella!$G$1:$FG$1,0)-1)=TRUE),0,OFFSET(Tabella!$G$1,MATCH(G49,Tabella!$G:$G,0)-1,MATCH(H49,Tabella!$G$1:$AB$1,0)-1))</f>
        <v>0</v>
      </c>
      <c r="O49" s="126">
        <f ca="1">IF(ISERROR(OFFSET(Ottone!$F$1,MATCH(G49,Ottone!$A:$A,0)-1,MATCH(H49,Ottone!$F$1:$FF$1,0)-1)=TRUE),0,OFFSET(Ottone!$F$1,MATCH(G49,Ottone!$A:$A,0)-1,MATCH(H49,Ottone!$F$1:$FF$1,0)-1))*IF(D49="Ottone",1,0)</f>
        <v>0</v>
      </c>
      <c r="P49" s="126">
        <f ca="1">IF(ISERROR(OFFSET(Rame!$F$1,MATCH(G49,Rame!$F:$F,0)-1,MATCH(H49,Rame!$F$1:$FF$1,0)-1)=TRUE),0,OFFSET(Rame!$F$1,MATCH(G49,Rame!$F:$F,0)-1,MATCH(H49,Rame!$F$1:$FF$1,0)-1))*IF(D49="Rame",1,0)</f>
        <v>0</v>
      </c>
      <c r="Q49" s="126">
        <f t="shared" ca="1" si="8"/>
        <v>0</v>
      </c>
      <c r="R49" s="126">
        <f t="shared" si="7"/>
        <v>0</v>
      </c>
      <c r="S49" s="127"/>
      <c r="T49" s="128">
        <f t="shared" ca="1" si="3"/>
        <v>0</v>
      </c>
      <c r="U49" s="125">
        <f t="shared" si="4"/>
        <v>0</v>
      </c>
      <c r="V49" s="129"/>
      <c r="W49" s="130">
        <f t="shared" ca="1" si="5"/>
        <v>0</v>
      </c>
      <c r="X49" s="125">
        <f t="shared" ca="1" si="6"/>
        <v>0</v>
      </c>
      <c r="Y49" s="131"/>
      <c r="Z49" s="100"/>
    </row>
    <row r="50" spans="1:26" ht="15.75" thickBot="1" x14ac:dyDescent="0.3">
      <c r="A50" s="103"/>
      <c r="B50" s="88"/>
      <c r="C50" s="121"/>
      <c r="D50" s="89"/>
      <c r="E50" s="122"/>
      <c r="F50" s="123"/>
      <c r="G50" s="88"/>
      <c r="H50" s="124"/>
      <c r="I50" s="125"/>
      <c r="J50" s="115">
        <f ca="1">IF(ISERROR(OFFSET(Tabella!$A$1,MATCH(G50,Tabella!$A:$A,0)-1,MATCH(I50,Tabella!$A$1:$AC$1,0)-1)=TRUE),0,+OFFSET(Tabella!$A$1,MATCH(G50,Tabella!$A:$A,0)-1,MATCH(I50,Tabella!$A$1:$AC$1,0)-1))</f>
        <v>0</v>
      </c>
      <c r="K50" s="85">
        <f ca="1">IF(ISERROR(OFFSET(Ottone!$A$1,MATCH(G50,Ottone!$A:$A,0)-1,MATCH(I50,Ottone!$A$1:$Z$1,0)-1)=TRUE),0,OFFSET(Ottone!$A$1,MATCH(G50,Ottone!$A:$A,0)-1,MATCH(I50,Ottone!$A$1:$Z$1,0)-1))*IF(D50="Ottone",1,0)</f>
        <v>0</v>
      </c>
      <c r="L50" s="85">
        <f ca="1">IF(ISERROR(OFFSET(Rame!$A$1,MATCH(G50,Rame!$A:$A,0)-1,MATCH(I50,Rame!$A$1:$AA$1,0)-1)=TRUE),0,OFFSET(Rame!$A$1,MATCH(G50,Rame!$A:$A,0)-1,MATCH(I50,Rame!$A$1:$AA$1,0)-1))*IF(D50="Rame",1,0)</f>
        <v>0</v>
      </c>
      <c r="M50" s="126">
        <f t="shared" ca="1" si="0"/>
        <v>0</v>
      </c>
      <c r="N50" s="126">
        <f ca="1">+IF(ISERROR(OFFSET(Tabella!$G$1,MATCH(G50,Tabella!$G:$G,0)-1,MATCH(H50,Tabella!$G$1:$FG$1,0)-1)=TRUE),0,OFFSET(Tabella!$G$1,MATCH(G50,Tabella!$G:$G,0)-1,MATCH(H50,Tabella!$G$1:$AB$1,0)-1))</f>
        <v>0</v>
      </c>
      <c r="O50" s="126">
        <f ca="1">IF(ISERROR(OFFSET(Ottone!$F$1,MATCH(G50,Ottone!$A:$A,0)-1,MATCH(H50,Ottone!$F$1:$FF$1,0)-1)=TRUE),0,OFFSET(Ottone!$F$1,MATCH(G50,Ottone!$A:$A,0)-1,MATCH(H50,Ottone!$F$1:$FF$1,0)-1))*IF(D50="Ottone",1,0)</f>
        <v>0</v>
      </c>
      <c r="P50" s="126">
        <f ca="1">IF(ISERROR(OFFSET(Rame!$F$1,MATCH(G50,Rame!$F:$F,0)-1,MATCH(H50,Rame!$F$1:$FF$1,0)-1)=TRUE),0,OFFSET(Rame!$F$1,MATCH(G50,Rame!$F:$F,0)-1,MATCH(H50,Rame!$F$1:$FF$1,0)-1))*IF(D50="Rame",1,0)</f>
        <v>0</v>
      </c>
      <c r="Q50" s="126">
        <f t="shared" ca="1" si="8"/>
        <v>0</v>
      </c>
      <c r="R50" s="126">
        <f t="shared" si="7"/>
        <v>0</v>
      </c>
      <c r="S50" s="127"/>
      <c r="T50" s="128">
        <f t="shared" ca="1" si="3"/>
        <v>0</v>
      </c>
      <c r="U50" s="125">
        <f t="shared" si="4"/>
        <v>0</v>
      </c>
      <c r="V50" s="129"/>
      <c r="W50" s="130">
        <f t="shared" ca="1" si="5"/>
        <v>0</v>
      </c>
      <c r="X50" s="125">
        <f t="shared" ca="1" si="6"/>
        <v>0</v>
      </c>
      <c r="Y50" s="131"/>
      <c r="Z50" s="100"/>
    </row>
    <row r="51" spans="1:26" ht="15.75" thickBot="1" x14ac:dyDescent="0.3">
      <c r="A51" s="133"/>
      <c r="B51" s="134"/>
      <c r="C51" s="135"/>
      <c r="D51" s="136"/>
      <c r="E51" s="137"/>
      <c r="F51" s="138"/>
      <c r="G51" s="134"/>
      <c r="H51" s="134"/>
      <c r="I51" s="139"/>
      <c r="J51" s="115">
        <f ca="1">IF(ISERROR(OFFSET(Tabella!$A$1,MATCH(G51,Tabella!$A:$A,0)-1,MATCH(I51,Tabella!$A$1:$AC$1,0)-1)=TRUE),0,+OFFSET(Tabella!$A$1,MATCH(G51,Tabella!$A:$A,0)-1,MATCH(I51,Tabella!$A$1:$AC$1,0)-1))</f>
        <v>0</v>
      </c>
      <c r="K51" s="85">
        <f ca="1">IF(ISERROR(OFFSET(Ottone!$A$1,MATCH(G51,Ottone!$A:$A,0)-1,MATCH(I51,Ottone!$A$1:$Z$1,0)-1)=TRUE),0,OFFSET(Ottone!$A$1,MATCH(G51,Ottone!$A:$A,0)-1,MATCH(I51,Ottone!$A$1:$Z$1,0)-1))*IF(D51="Ottone",1,0)</f>
        <v>0</v>
      </c>
      <c r="L51" s="85">
        <f ca="1">IF(ISERROR(OFFSET(Rame!$A$1,MATCH(G51,Rame!$A:$A,0)-1,MATCH(I51,Rame!$A$1:$AA$1,0)-1)=TRUE),0,OFFSET(Rame!$A$1,MATCH(G51,Rame!$A:$A,0)-1,MATCH(I51,Rame!$A$1:$AA$1,0)-1))*IF(D51="Rame",1,0)</f>
        <v>0</v>
      </c>
      <c r="M51" s="140">
        <f t="shared" ca="1" si="0"/>
        <v>0</v>
      </c>
      <c r="N51" s="140">
        <f ca="1">+IF(ISERROR(OFFSET(Tabella!$G$1,MATCH(G51,Tabella!$G:$G,0)-1,MATCH(H51,Tabella!$G$1:$FG$1,0)-1)=TRUE),0,OFFSET(Tabella!$G$1,MATCH(G51,Tabella!$G:$G,0)-1,MATCH(H51,Tabella!$G$1:$AB$1,0)-1))</f>
        <v>0</v>
      </c>
      <c r="O51" s="140">
        <f ca="1">IF(ISERROR(OFFSET(Ottone!$F$1,MATCH(G51,Ottone!$A:$A,0)-1,MATCH(H51,Ottone!$F$1:$FF$1,0)-1)=TRUE),0,OFFSET(Ottone!$F$1,MATCH(G51,Ottone!$A:$A,0)-1,MATCH(H51,Ottone!$F$1:$FF$1,0)-1))*IF(D51="Ottone",1,0)</f>
        <v>0</v>
      </c>
      <c r="P51" s="140">
        <f ca="1">IF(ISERROR(OFFSET(Rame!$F$1,MATCH(G51,Rame!$F:$F,0)-1,MATCH(H51,Rame!$F$1:$FF$1,0)-1)=TRUE),0,OFFSET(Rame!$F$1,MATCH(G51,Rame!$F:$F,0)-1,MATCH(H51,Rame!$F$1:$FF$1,0)-1))*IF(D51="Rame",1,0)</f>
        <v>0</v>
      </c>
      <c r="Q51" s="140">
        <f t="shared" ca="1" si="8"/>
        <v>0</v>
      </c>
      <c r="R51" s="140">
        <f t="shared" si="7"/>
        <v>0</v>
      </c>
      <c r="S51" s="141"/>
      <c r="T51" s="142">
        <f t="shared" ca="1" si="3"/>
        <v>0</v>
      </c>
      <c r="U51" s="143">
        <f t="shared" si="4"/>
        <v>0</v>
      </c>
      <c r="V51" s="144"/>
      <c r="W51" s="145">
        <f t="shared" ca="1" si="5"/>
        <v>0</v>
      </c>
      <c r="X51" s="139">
        <f t="shared" ca="1" si="6"/>
        <v>0</v>
      </c>
      <c r="Y51" s="146"/>
      <c r="Z51" s="101"/>
    </row>
    <row r="52" spans="1:26" ht="15.75" thickBot="1" x14ac:dyDescent="0.3">
      <c r="C52" s="90">
        <f>SUM(C6:C51)</f>
        <v>4200</v>
      </c>
      <c r="R52" s="147"/>
      <c r="S52" s="148"/>
      <c r="U52" s="91">
        <f>SUM(U6:U51)</f>
        <v>756</v>
      </c>
      <c r="X52" s="82">
        <f ca="1">SUM(X6:X51)</f>
        <v>0</v>
      </c>
    </row>
    <row r="56" spans="1:26" ht="15.75" thickBot="1" x14ac:dyDescent="0.3"/>
    <row r="57" spans="1:26" ht="15.75" thickBot="1" x14ac:dyDescent="0.3">
      <c r="B57" s="92" t="s">
        <v>37</v>
      </c>
      <c r="C57" s="93" t="s">
        <v>38</v>
      </c>
      <c r="D57" s="94" t="s">
        <v>94</v>
      </c>
    </row>
    <row r="58" spans="1:26" x14ac:dyDescent="0.25">
      <c r="B58" s="149" t="s">
        <v>105</v>
      </c>
      <c r="C58" s="150">
        <f>SUMIF(B6:B51,"Alge",C6:C51)</f>
        <v>0</v>
      </c>
      <c r="D58" s="151">
        <f>SUMIF(B6:B51,"Alge",U6:U51)</f>
        <v>0</v>
      </c>
    </row>
    <row r="59" spans="1:26" x14ac:dyDescent="0.25">
      <c r="B59" s="103" t="s">
        <v>113</v>
      </c>
      <c r="C59" s="121">
        <f>SUMIF(B6:B51,"Amer",C6:C51)</f>
        <v>0</v>
      </c>
      <c r="D59" s="152">
        <f>SUMIF(B6:B51,"Amer",U6:U51)</f>
        <v>0</v>
      </c>
    </row>
    <row r="60" spans="1:26" x14ac:dyDescent="0.25">
      <c r="B60" s="103" t="s">
        <v>95</v>
      </c>
      <c r="C60" s="121">
        <f>SUMIF(B6:B51,"Braga",C6:C51)</f>
        <v>0</v>
      </c>
      <c r="D60" s="152">
        <f>SUMIF(B6:B51,"Braga",U6:U51)</f>
        <v>0</v>
      </c>
    </row>
    <row r="61" spans="1:26" x14ac:dyDescent="0.25">
      <c r="B61" s="103" t="s">
        <v>114</v>
      </c>
      <c r="C61" s="121">
        <f>SUMIF(B6:B51,"Colombo",C6:C51)</f>
        <v>0</v>
      </c>
      <c r="D61" s="152">
        <f ca="1">SUMIF(B5:B51,"Colombo",U6:U51)</f>
        <v>0</v>
      </c>
    </row>
    <row r="62" spans="1:26" x14ac:dyDescent="0.25">
      <c r="B62" s="103" t="s">
        <v>111</v>
      </c>
      <c r="C62" s="121">
        <f>SUMIF(B6:B51,"Elca",C6:C51)</f>
        <v>0</v>
      </c>
      <c r="D62" s="152">
        <f>SUMIF(B6:B51,"Elca",U6:U51)</f>
        <v>0</v>
      </c>
    </row>
    <row r="63" spans="1:26" x14ac:dyDescent="0.25">
      <c r="B63" s="103" t="s">
        <v>106</v>
      </c>
      <c r="C63" s="121">
        <f>SUMIF(B6:B51,"Eletrafo",C6:C51)</f>
        <v>0</v>
      </c>
      <c r="D63" s="152">
        <f>SUMIF(B6:B51,"Eletrafo",U6:U51)</f>
        <v>0</v>
      </c>
    </row>
    <row r="64" spans="1:26" x14ac:dyDescent="0.25">
      <c r="B64" s="103" t="s">
        <v>91</v>
      </c>
      <c r="C64" s="121">
        <f>SUMIF(B6:B51,"Elettroplastica",C6:C51)</f>
        <v>0</v>
      </c>
      <c r="D64" s="152">
        <f>SUMIF(B6:B51,"Elettroplastica",U6:U51)</f>
        <v>0</v>
      </c>
    </row>
    <row r="65" spans="2:4" x14ac:dyDescent="0.25">
      <c r="B65" s="103" t="s">
        <v>104</v>
      </c>
      <c r="C65" s="121">
        <f>SUMIF(B6:B51,"Elpi Castresin",C6:C51)</f>
        <v>0</v>
      </c>
      <c r="D65" s="152">
        <f>SUMIF(B6:B51,"Alge",U6:U51)</f>
        <v>0</v>
      </c>
    </row>
    <row r="66" spans="2:4" x14ac:dyDescent="0.25">
      <c r="B66" s="103" t="s">
        <v>97</v>
      </c>
      <c r="C66" s="121">
        <f>SUMIF(B6:B51,"Emg",C6:C51)</f>
        <v>0</v>
      </c>
      <c r="D66" s="152">
        <f>SUMIF(B6:B51,"Emg",U6:U51)</f>
        <v>0</v>
      </c>
    </row>
    <row r="67" spans="2:4" x14ac:dyDescent="0.25">
      <c r="B67" s="103" t="s">
        <v>100</v>
      </c>
      <c r="C67" s="121">
        <f>SUMIF(B6:B51,"FdueG",C1:C51)</f>
        <v>0</v>
      </c>
      <c r="D67" s="152">
        <f>SUMIF(B6:B51,"FdueG",U6:U51)</f>
        <v>0</v>
      </c>
    </row>
    <row r="68" spans="2:4" x14ac:dyDescent="0.25">
      <c r="B68" s="103" t="s">
        <v>118</v>
      </c>
      <c r="C68" s="121">
        <f>SUMIF(B6:B51,"Giussani",C6:C51)</f>
        <v>0</v>
      </c>
      <c r="D68" s="152">
        <f>SUMIF(B6:B51,"Giussani",U6:U51)</f>
        <v>0</v>
      </c>
    </row>
    <row r="69" spans="2:4" x14ac:dyDescent="0.25">
      <c r="B69" s="103" t="s">
        <v>93</v>
      </c>
      <c r="C69" s="121">
        <f>SUMIF(B6:B51,"ICAR",C6:C51)</f>
        <v>0</v>
      </c>
      <c r="D69" s="152">
        <f>SUMIF(B6:B51,"Icar",U6:U51)</f>
        <v>0</v>
      </c>
    </row>
    <row r="70" spans="2:4" x14ac:dyDescent="0.25">
      <c r="B70" s="103" t="s">
        <v>116</v>
      </c>
      <c r="C70" s="121">
        <f>SUMIF(B6:B51,"Mace",C6:C51)</f>
        <v>0</v>
      </c>
      <c r="D70" s="152">
        <f>SUMIF(B6:B51,"Mace",U6:U51)</f>
        <v>0</v>
      </c>
    </row>
    <row r="71" spans="2:4" x14ac:dyDescent="0.25">
      <c r="B71" s="103" t="s">
        <v>112</v>
      </c>
      <c r="C71" s="121">
        <f>SUMIF(B6:B51,"Marnate",C6:C51)</f>
        <v>0</v>
      </c>
      <c r="D71" s="152">
        <f>SUMIF(B6:B51,"Marnate",U6:U51)</f>
        <v>0</v>
      </c>
    </row>
    <row r="72" spans="2:4" x14ac:dyDescent="0.25">
      <c r="B72" s="103" t="s">
        <v>92</v>
      </c>
      <c r="C72" s="121">
        <f>SUMIF(B6:B51,"Meca",C6:C51)</f>
        <v>0</v>
      </c>
      <c r="D72" s="152">
        <f>SUMIF(B6:B51,"Meca",U6:U51)</f>
        <v>0</v>
      </c>
    </row>
    <row r="73" spans="2:4" x14ac:dyDescent="0.25">
      <c r="B73" s="103" t="s">
        <v>108</v>
      </c>
      <c r="C73" s="121">
        <f>SUMIF(B6:B51,"MF",C6:C51)</f>
        <v>0</v>
      </c>
      <c r="D73" s="152">
        <f>SUMIF(B6:B51,"MF",U6:U51)</f>
        <v>0</v>
      </c>
    </row>
    <row r="74" spans="2:4" x14ac:dyDescent="0.25">
      <c r="B74" s="103" t="s">
        <v>101</v>
      </c>
      <c r="C74" s="121">
        <f>SUMIF(B6:B51,"MP",C6:C51)</f>
        <v>0</v>
      </c>
      <c r="D74" s="152">
        <f>SUMIF(B6:B51,"MP",U6:U51)</f>
        <v>0</v>
      </c>
    </row>
    <row r="75" spans="2:4" x14ac:dyDescent="0.25">
      <c r="B75" s="103" t="s">
        <v>110</v>
      </c>
      <c r="C75" s="121">
        <f>SUMIF(B6:B51,"Neotrade",C6:C51)</f>
        <v>4200</v>
      </c>
      <c r="D75" s="152">
        <f>SUMIF(B6:B51,"Neotrae",U6:U51)</f>
        <v>0</v>
      </c>
    </row>
    <row r="76" spans="2:4" x14ac:dyDescent="0.25">
      <c r="B76" s="103" t="s">
        <v>102</v>
      </c>
      <c r="C76" s="121">
        <f>SUMIF(B6:B51,"Newton",C6:C51)</f>
        <v>0</v>
      </c>
      <c r="D76" s="152">
        <f>SUMIF(B6:B51,"Newton",U6:U51)</f>
        <v>0</v>
      </c>
    </row>
    <row r="77" spans="2:4" x14ac:dyDescent="0.25">
      <c r="B77" s="103" t="s">
        <v>98</v>
      </c>
      <c r="C77" s="121">
        <f>SUMIF(B6:B51,"Piola",C6:C51)</f>
        <v>0</v>
      </c>
      <c r="D77" s="152">
        <f>SUMIF(B6:B51,"Piola",U6:U51)</f>
        <v>0</v>
      </c>
    </row>
    <row r="78" spans="2:4" x14ac:dyDescent="0.25">
      <c r="B78" s="103" t="s">
        <v>103</v>
      </c>
      <c r="C78" s="121">
        <f>SUMIF(B6:B51,"Piossasco",C6:C51)</f>
        <v>0</v>
      </c>
      <c r="D78" s="152">
        <f>SUMIF(B6:B51,"Piossasco",U6:U51)</f>
        <v>0</v>
      </c>
    </row>
    <row r="79" spans="2:4" x14ac:dyDescent="0.25">
      <c r="B79" s="103" t="s">
        <v>115</v>
      </c>
      <c r="C79" s="121">
        <f>SUMIF(B6:B51,"project",C6:C51)</f>
        <v>0</v>
      </c>
      <c r="D79" s="152">
        <f>SUMIF(B6:B51,"Project",U6:U51)</f>
        <v>0</v>
      </c>
    </row>
    <row r="80" spans="2:4" x14ac:dyDescent="0.25">
      <c r="B80" s="103" t="s">
        <v>109</v>
      </c>
      <c r="C80" s="121">
        <f>SUMIF(B6:B51,"Sirmet",C6:C51)</f>
        <v>0</v>
      </c>
      <c r="D80" s="152">
        <f>SUMIF(B6:B51,"Alge",U6:U51)</f>
        <v>0</v>
      </c>
    </row>
    <row r="81" spans="2:4" x14ac:dyDescent="0.25">
      <c r="B81" s="103" t="s">
        <v>107</v>
      </c>
      <c r="C81" s="121">
        <f>SUMIF(B6:B51,"Tecnomintra",C6:C51)</f>
        <v>0</v>
      </c>
      <c r="D81" s="152">
        <f>SUMIF(B6:B51,"Tecnomintra",U6:U51)</f>
        <v>0</v>
      </c>
    </row>
    <row r="82" spans="2:4" x14ac:dyDescent="0.25">
      <c r="B82" s="103" t="s">
        <v>90</v>
      </c>
      <c r="C82" s="121">
        <f>SUMIF(B6:B51,"Trafomec",C6:C51)</f>
        <v>0</v>
      </c>
      <c r="D82" s="152">
        <f>SUMIF(B6:B51,"Trafomec",U6:U51)</f>
        <v>0</v>
      </c>
    </row>
    <row r="83" spans="2:4" x14ac:dyDescent="0.25">
      <c r="B83" s="103" t="s">
        <v>119</v>
      </c>
      <c r="C83" s="121">
        <f>SUMIF(B6:B51,"Trafomec SA",C6:C51)</f>
        <v>0</v>
      </c>
      <c r="D83" s="152">
        <f>SUMIF(B6:B51,"Trafomec SA",U6:U51)</f>
        <v>0</v>
      </c>
    </row>
    <row r="84" spans="2:4" x14ac:dyDescent="0.25">
      <c r="B84" s="103" t="s">
        <v>96</v>
      </c>
      <c r="C84" s="121">
        <f>SUMIF(B6:B51,"Wattsud",C6:C51)</f>
        <v>0</v>
      </c>
      <c r="D84" s="152">
        <f>SUMIF(B6:B51,"Wattsud",U6:U51)</f>
        <v>0</v>
      </c>
    </row>
    <row r="85" spans="2:4" x14ac:dyDescent="0.25">
      <c r="B85" s="103" t="s">
        <v>117</v>
      </c>
      <c r="C85" s="121">
        <f>SUMIF(B6:B51,"Wetter",C6:C51)</f>
        <v>0</v>
      </c>
      <c r="D85" s="152">
        <f>SUMIF(B6:B51,"Wetter",U6:U51)</f>
        <v>0</v>
      </c>
    </row>
    <row r="86" spans="2:4" x14ac:dyDescent="0.25">
      <c r="B86" s="153" t="s">
        <v>99</v>
      </c>
      <c r="C86" s="154">
        <f>SUMIF(B6:B51,"Zucchiatti",C6:C51)</f>
        <v>0</v>
      </c>
      <c r="D86" s="155">
        <f>SUMIF(B6:B51,"Zucchiatti",U6:U51)</f>
        <v>0</v>
      </c>
    </row>
    <row r="87" spans="2:4" ht="15.75" thickBot="1" x14ac:dyDescent="0.3">
      <c r="B87" s="133"/>
      <c r="C87" s="156">
        <v>0</v>
      </c>
      <c r="D87" s="157"/>
    </row>
    <row r="88" spans="2:4" ht="15.75" thickBot="1" x14ac:dyDescent="0.3">
      <c r="C88" s="96">
        <f>SUM(C58:C87)</f>
        <v>4200</v>
      </c>
      <c r="D88" s="97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5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8" t="s">
        <v>183</v>
      </c>
      <c r="B2" s="169"/>
      <c r="C2" s="169"/>
      <c r="D2" s="169"/>
      <c r="E2" s="169"/>
      <c r="F2" s="169"/>
      <c r="G2" s="169"/>
    </row>
    <row r="3" spans="1:7" x14ac:dyDescent="0.25">
      <c r="A3" s="168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8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8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8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71" t="s">
        <v>188</v>
      </c>
      <c r="B7" s="169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80"/>
      <c r="B1" s="80">
        <v>0.04</v>
      </c>
      <c r="C1" s="80">
        <v>7.0000000000000007E-2</v>
      </c>
      <c r="D1" s="80">
        <v>0.1</v>
      </c>
      <c r="E1" s="80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4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4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4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4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397" t="s">
        <v>0</v>
      </c>
      <c r="B1" s="397"/>
      <c r="C1" s="397"/>
      <c r="D1" s="397"/>
      <c r="E1" s="397"/>
      <c r="F1" s="397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398" t="s">
        <v>1</v>
      </c>
      <c r="B3" s="398"/>
      <c r="C3" s="398"/>
      <c r="D3" s="398"/>
      <c r="E3" s="398"/>
      <c r="F3" s="398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399" t="s">
        <v>2</v>
      </c>
      <c r="B5" s="401">
        <v>7.0000000000000007E-2</v>
      </c>
      <c r="C5" s="401">
        <v>0.1</v>
      </c>
      <c r="D5" s="401">
        <v>0.18</v>
      </c>
      <c r="E5" s="402" t="s">
        <v>3</v>
      </c>
      <c r="F5" s="402"/>
      <c r="H5" s="5" t="s">
        <v>9</v>
      </c>
      <c r="I5" s="5" t="s">
        <v>10</v>
      </c>
      <c r="J5" s="5" t="s">
        <v>10</v>
      </c>
      <c r="K5" s="172" t="s">
        <v>183</v>
      </c>
      <c r="L5" s="174"/>
      <c r="S5" s="5" t="s">
        <v>11</v>
      </c>
    </row>
    <row r="6" spans="1:19" x14ac:dyDescent="0.25">
      <c r="A6" s="400"/>
      <c r="B6" s="400"/>
      <c r="C6" s="400"/>
      <c r="D6" s="400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72" t="s">
        <v>184</v>
      </c>
      <c r="L6" s="174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72" t="s">
        <v>185</v>
      </c>
      <c r="L7" s="174"/>
      <c r="M7" s="175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72" t="s">
        <v>186</v>
      </c>
      <c r="L8" s="174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72" t="s">
        <v>187</v>
      </c>
      <c r="L9" s="174"/>
      <c r="M9" s="175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73" t="s">
        <v>188</v>
      </c>
      <c r="L10" s="174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5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298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298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298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298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298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298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298" t="s">
        <v>322</v>
      </c>
    </row>
    <row r="23" spans="1:19" x14ac:dyDescent="0.25">
      <c r="A23" s="7"/>
      <c r="B23" s="8"/>
      <c r="C23" s="8"/>
      <c r="D23" s="8"/>
      <c r="E23" s="8"/>
      <c r="F23" s="8"/>
      <c r="S23" s="298" t="s">
        <v>323</v>
      </c>
    </row>
    <row r="24" spans="1:19" ht="21" x14ac:dyDescent="0.35">
      <c r="A24" s="403" t="s">
        <v>31</v>
      </c>
      <c r="B24" s="403"/>
      <c r="C24" s="403"/>
      <c r="D24" s="403"/>
      <c r="E24" s="403"/>
      <c r="F24" s="403"/>
      <c r="J24" s="4"/>
      <c r="K24" s="4"/>
      <c r="L24" s="175"/>
      <c r="S24" s="5" t="s">
        <v>26</v>
      </c>
    </row>
    <row r="25" spans="1:19" x14ac:dyDescent="0.25">
      <c r="S25" s="298" t="s">
        <v>307</v>
      </c>
    </row>
    <row r="26" spans="1:19" x14ac:dyDescent="0.25">
      <c r="A26" s="399" t="s">
        <v>2</v>
      </c>
      <c r="B26" s="401">
        <v>0.1</v>
      </c>
      <c r="C26" s="401">
        <v>0.18</v>
      </c>
      <c r="D26" s="402" t="s">
        <v>3</v>
      </c>
      <c r="E26" s="402"/>
      <c r="F26" s="402"/>
      <c r="S26" s="298" t="s">
        <v>326</v>
      </c>
    </row>
    <row r="27" spans="1:19" x14ac:dyDescent="0.25">
      <c r="A27" s="400"/>
      <c r="B27" s="400"/>
      <c r="C27" s="400"/>
      <c r="D27" s="4" t="s">
        <v>7</v>
      </c>
      <c r="E27" s="4" t="s">
        <v>33</v>
      </c>
      <c r="F27" s="4" t="s">
        <v>32</v>
      </c>
      <c r="H27" s="401">
        <v>7.0000000000000007E-2</v>
      </c>
      <c r="I27" s="401">
        <v>0.1</v>
      </c>
      <c r="J27" s="401">
        <v>0.18</v>
      </c>
      <c r="S27" s="298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00"/>
      <c r="I28" s="400"/>
      <c r="J28" s="400"/>
      <c r="S28" s="298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298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298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6">
        <v>0</v>
      </c>
      <c r="S33" s="298" t="s">
        <v>317</v>
      </c>
    </row>
    <row r="34" spans="1:19" x14ac:dyDescent="0.25">
      <c r="S34" s="5" t="s">
        <v>309</v>
      </c>
    </row>
    <row r="35" spans="1:19" ht="21" x14ac:dyDescent="0.35">
      <c r="A35" s="411" t="s">
        <v>34</v>
      </c>
      <c r="B35" s="411"/>
      <c r="C35" s="411"/>
      <c r="D35" s="411"/>
      <c r="E35" s="411"/>
      <c r="F35" s="411"/>
      <c r="S35" s="298" t="s">
        <v>318</v>
      </c>
    </row>
    <row r="36" spans="1:19" x14ac:dyDescent="0.25">
      <c r="S36" s="5" t="s">
        <v>310</v>
      </c>
    </row>
    <row r="37" spans="1:19" x14ac:dyDescent="0.25">
      <c r="A37" s="399" t="s">
        <v>2</v>
      </c>
      <c r="B37" s="401">
        <v>0.1</v>
      </c>
      <c r="C37" s="401">
        <v>0.18</v>
      </c>
      <c r="D37" s="402" t="s">
        <v>3</v>
      </c>
      <c r="E37" s="402"/>
      <c r="F37" s="402"/>
      <c r="S37" s="298" t="s">
        <v>319</v>
      </c>
    </row>
    <row r="38" spans="1:19" x14ac:dyDescent="0.25">
      <c r="A38" s="400"/>
      <c r="B38" s="400"/>
      <c r="C38" s="400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298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08" t="s">
        <v>35</v>
      </c>
      <c r="B46" s="409"/>
      <c r="C46" s="409"/>
      <c r="D46" s="409"/>
      <c r="E46" s="409"/>
      <c r="F46" s="410"/>
    </row>
    <row r="50" spans="1:6" x14ac:dyDescent="0.25">
      <c r="B50" s="164" t="s">
        <v>174</v>
      </c>
      <c r="C50" s="404" t="s">
        <v>175</v>
      </c>
      <c r="D50" s="404"/>
      <c r="E50" s="405" t="s">
        <v>176</v>
      </c>
      <c r="F50" s="406"/>
    </row>
    <row r="51" spans="1:6" x14ac:dyDescent="0.25">
      <c r="B51" s="165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07" t="s">
        <v>182</v>
      </c>
      <c r="B52" s="407"/>
      <c r="F52" s="166"/>
    </row>
    <row r="53" spans="1:6" x14ac:dyDescent="0.25">
      <c r="A53" s="167"/>
      <c r="B53" s="168" t="s">
        <v>183</v>
      </c>
      <c r="C53" s="169"/>
      <c r="D53" s="169"/>
      <c r="E53" s="169"/>
      <c r="F53" s="169"/>
    </row>
    <row r="54" spans="1:6" x14ac:dyDescent="0.25">
      <c r="A54" s="167"/>
      <c r="B54" s="168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7"/>
      <c r="B55" s="168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7"/>
      <c r="B56" s="168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7"/>
      <c r="B57" s="168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70"/>
      <c r="B58" s="171" t="s">
        <v>188</v>
      </c>
      <c r="C58" s="169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 filterMode="1"/>
  <dimension ref="B1:AW1491"/>
  <sheetViews>
    <sheetView tabSelected="1" topLeftCell="D1" zoomScale="70" zoomScaleNormal="70" zoomScaleSheetLayoutView="100" workbookViewId="0">
      <pane xSplit="1" topLeftCell="AB1" activePane="topRight" state="frozen"/>
      <selection activeCell="D1" sqref="D1"/>
      <selection pane="topRight" activeCell="D39" sqref="A39:XFD41"/>
    </sheetView>
  </sheetViews>
  <sheetFormatPr defaultColWidth="36.42578125" defaultRowHeight="15" x14ac:dyDescent="0.25"/>
  <cols>
    <col min="3" max="3" width="36.42578125" style="244"/>
    <col min="35" max="36" width="36.42578125" style="367"/>
  </cols>
  <sheetData>
    <row r="1" spans="4:49" x14ac:dyDescent="0.25">
      <c r="F1" s="362"/>
    </row>
    <row r="2" spans="4:49" ht="28.5" x14ac:dyDescent="0.45">
      <c r="F2" s="55" t="s">
        <v>422</v>
      </c>
      <c r="G2" s="53"/>
      <c r="H2" s="53"/>
      <c r="I2" s="53"/>
      <c r="J2" s="53"/>
      <c r="K2" s="53"/>
      <c r="L2" s="53"/>
    </row>
    <row r="3" spans="4:49" ht="15.75" thickBot="1" x14ac:dyDescent="0.3">
      <c r="D3" s="362"/>
    </row>
    <row r="4" spans="4:49" ht="15.75" thickBot="1" x14ac:dyDescent="0.3">
      <c r="D4" s="11"/>
      <c r="E4" s="11"/>
      <c r="F4" s="11"/>
      <c r="G4" s="12"/>
      <c r="H4" s="24" t="s">
        <v>53</v>
      </c>
      <c r="I4" s="14"/>
      <c r="J4" s="11"/>
      <c r="K4" s="11"/>
      <c r="L4" s="11"/>
      <c r="M4" s="12"/>
      <c r="N4" s="13"/>
      <c r="O4" s="13"/>
      <c r="P4" s="13"/>
      <c r="Q4" s="13"/>
      <c r="R4" s="13"/>
      <c r="S4" s="13"/>
      <c r="T4" s="13"/>
      <c r="U4" s="13"/>
      <c r="V4" s="24" t="s">
        <v>49</v>
      </c>
      <c r="W4" s="13"/>
      <c r="X4" s="13"/>
      <c r="Y4" s="14"/>
      <c r="Z4" s="11"/>
      <c r="AA4" s="11"/>
      <c r="AB4" s="11"/>
      <c r="AC4" s="11"/>
      <c r="AD4" s="11"/>
      <c r="AG4" s="286" t="s">
        <v>328</v>
      </c>
      <c r="AH4" s="291" t="s">
        <v>302</v>
      </c>
      <c r="AI4" s="368"/>
      <c r="AJ4" s="368"/>
      <c r="AK4" s="291"/>
    </row>
    <row r="5" spans="4:49" ht="16.5" thickBot="1" x14ac:dyDescent="0.3">
      <c r="D5" s="191" t="s">
        <v>657</v>
      </c>
      <c r="E5" s="288" t="s">
        <v>37</v>
      </c>
      <c r="F5" s="360" t="str">
        <f>IF(F1292=F1458,"Kg","ERRORE KG")</f>
        <v>Kg</v>
      </c>
      <c r="G5" s="193" t="s">
        <v>39</v>
      </c>
      <c r="H5" s="194" t="s">
        <v>51</v>
      </c>
      <c r="I5" s="195" t="s">
        <v>52</v>
      </c>
      <c r="J5" s="192" t="s">
        <v>40</v>
      </c>
      <c r="K5" s="192" t="s">
        <v>41</v>
      </c>
      <c r="L5" s="192" t="s">
        <v>42</v>
      </c>
      <c r="M5" s="196" t="s">
        <v>4</v>
      </c>
      <c r="N5" s="197" t="s">
        <v>5</v>
      </c>
      <c r="O5" s="197" t="s">
        <v>6</v>
      </c>
      <c r="P5" s="197" t="s">
        <v>190</v>
      </c>
      <c r="Q5" s="193" t="s">
        <v>43</v>
      </c>
      <c r="R5" s="197" t="s">
        <v>4</v>
      </c>
      <c r="S5" s="197" t="s">
        <v>5</v>
      </c>
      <c r="T5" s="197" t="s">
        <v>6</v>
      </c>
      <c r="U5" s="197" t="s">
        <v>173</v>
      </c>
      <c r="V5" s="194" t="s">
        <v>44</v>
      </c>
      <c r="W5" s="194" t="s">
        <v>88</v>
      </c>
      <c r="X5" s="198" t="s">
        <v>89</v>
      </c>
      <c r="Y5" s="195" t="s">
        <v>45</v>
      </c>
      <c r="Z5" s="288" t="str">
        <f>IF(ROUND(Z1292,2)=ROUND(G1458,2),"Commissioni","ERRORE COMMISSIONI")</f>
        <v>Commissioni</v>
      </c>
      <c r="AA5" s="300" t="s">
        <v>46</v>
      </c>
      <c r="AB5" s="222" t="s">
        <v>50</v>
      </c>
      <c r="AC5" s="273" t="s">
        <v>292</v>
      </c>
      <c r="AD5" s="99" t="s">
        <v>47</v>
      </c>
      <c r="AE5" s="23" t="s">
        <v>120</v>
      </c>
      <c r="AF5" s="396" t="s">
        <v>658</v>
      </c>
      <c r="AG5" s="220">
        <f>SUMIF(AG6:AG1291,"OK",Z6:Z1291)</f>
        <v>14412.379999999996</v>
      </c>
      <c r="AH5" s="290">
        <f>SUMIF(AG6:AG1291,"OK",F6:F1291)</f>
        <v>216696</v>
      </c>
      <c r="AI5" s="369"/>
      <c r="AJ5" s="369"/>
      <c r="AK5" s="290"/>
      <c r="AP5" s="81">
        <f>+AG5</f>
        <v>14412.379999999996</v>
      </c>
      <c r="AQ5" s="81"/>
      <c r="AR5" s="81"/>
      <c r="AS5" s="81"/>
      <c r="AT5" s="81"/>
    </row>
    <row r="6" spans="4:49" ht="15.75" x14ac:dyDescent="0.25">
      <c r="D6" s="199" t="s">
        <v>527</v>
      </c>
      <c r="E6" s="378" t="s">
        <v>297</v>
      </c>
      <c r="F6" s="379">
        <v>657</v>
      </c>
      <c r="G6" s="201" t="s">
        <v>4</v>
      </c>
      <c r="H6" s="219">
        <v>2.4900000000000002</v>
      </c>
      <c r="I6" s="202">
        <v>45646</v>
      </c>
      <c r="J6" s="200" t="s">
        <v>21</v>
      </c>
      <c r="K6" s="200"/>
      <c r="L6" s="203">
        <v>0.05</v>
      </c>
      <c r="M6" s="204">
        <f ca="1">IF(ISERROR(OFFSET(Tabella!$A$1,MATCH(J6,Tabella!$A:$A,0)-1,MATCH(L6,Tabella!$A$1:$AC$1,0)-1)=TRUE),0,+OFFSET(Tabella!$A$1,MATCH(J6,Tabella!$A:$A,0)-1,MATCH(L6,Tabella!$A$1:$AC$1,0)-1))</f>
        <v>0</v>
      </c>
      <c r="N6" s="205">
        <f ca="1">IF(ISERROR(OFFSET(Ottone!$A$1,MATCH(J6,Ottone!$A:$A,0)-1,MATCH(L6,Ottone!$A$1:$Z$1,0)-1)=TRUE),0,OFFSET(Ottone!$A$1,MATCH(J6,Ottone!$A:$A,0)-1,MATCH(L6,Ottone!$A$1:$Z$1,0)-1))*IF(G6="Ottone",1,0)</f>
        <v>0</v>
      </c>
      <c r="O6" s="205">
        <f ca="1">IF(ISERROR(OFFSET(Rame!$A$1,MATCH(J6,Rame!$A:$A,0)-1,MATCH(L6,Rame!$A$1:$AA$1,0)-1)=TRUE),0,OFFSET(Rame!$A$1,MATCH(J6,Rame!$A:$A,0)-1,MATCH(L6,Rame!$A$1:$AA$1,0)-1))*IF(G6="Rame",1,0)</f>
        <v>0</v>
      </c>
      <c r="P6" s="205">
        <v>0</v>
      </c>
      <c r="Q6" s="205">
        <v>1.25</v>
      </c>
      <c r="R6" s="205">
        <f ca="1">+IF(ISERROR(OFFSET(Tabella!$G$1,MATCH(J6,Tabella!$G:$G,0)-1,MATCH(K6,Tabella!$G$1:$FG$1,0)-1)=TRUE),0,OFFSET(Tabella!$G$1,MATCH(J6,Tabella!$G:$G,0)-1,MATCH(K6,Tabella!$G$1:$AB$1,0)-1))</f>
        <v>0</v>
      </c>
      <c r="S6" s="205">
        <f ca="1">IF(ISERROR(OFFSET(Ottone!$F$1,MATCH(J6,Ottone!$A:$A,0)-1,MATCH(K6,Ottone!$F$1:$FF$1,0)-1)=TRUE),0,OFFSET(Ottone!$F$1,MATCH(J6,Ottone!$A:$A,0)-1,MATCH(K6,Ottone!$F$1:$FF$1,0)-1))*IF(G6="Ottone",1,0)</f>
        <v>0</v>
      </c>
      <c r="T6" s="205">
        <f ca="1">IF(ISERROR(OFFSET(Rame!$F$1,MATCH(J6,Rame!$F:$F,0)-1,MATCH(K6,Rame!$F$1:$FF$1,0)-1)=TRUE),0,OFFSET(Rame!$F$1,MATCH(J6,Rame!$F:$F,0)-1,MATCH(K6,Rame!$F$1:$FF$1,0)-1))*IF(G6="Rame",1,0)</f>
        <v>0</v>
      </c>
      <c r="U6" s="205">
        <f ca="1">IF(ISERROR(OFFSET(Bronzo!$A$1,MATCH(J6,Bronzo!$A:$A,0)-1,MATCH(K6,Bronzo!$A$1:$AA$1,0)-1)=TRUE),0,OFFSET(Bronzo!$A$1,MATCH(J6,Bronzo!$A:$A,0)-1,MATCH(K6,Bronzo!$A$1:$AA$1,0)-1))</f>
        <v>0</v>
      </c>
      <c r="V6" s="205">
        <f t="shared" ref="V6:V8" ca="1" si="0">SUM(R6:U6)</f>
        <v>0</v>
      </c>
      <c r="W6" s="204"/>
      <c r="X6" s="205">
        <v>0</v>
      </c>
      <c r="Y6" s="206">
        <f t="shared" ref="Y6:Y8" ca="1" si="1">+Q6+V6+W6+X6</f>
        <v>1.25</v>
      </c>
      <c r="Z6" s="380">
        <f t="shared" ref="Z6:Z8" si="2">+L6*F6</f>
        <v>32.85</v>
      </c>
      <c r="AA6" s="203">
        <v>3.9</v>
      </c>
      <c r="AB6" s="203">
        <f t="shared" ref="AB6:AB8" ca="1" si="3">+AA6-Y6-H6</f>
        <v>0.1599999999999997</v>
      </c>
      <c r="AC6" s="238"/>
      <c r="AF6" t="s">
        <v>404</v>
      </c>
      <c r="AG6" t="s">
        <v>404</v>
      </c>
      <c r="AI6" s="367">
        <f t="shared" ref="AI6:AI8" ca="1" si="4">TODAY()</f>
        <v>46092</v>
      </c>
      <c r="AJ6" s="367" t="b">
        <f t="shared" ref="AJ6:AJ8" si="5">ISBLANK(AC6)</f>
        <v>1</v>
      </c>
      <c r="AK6" s="370" t="str">
        <f t="shared" ref="AK6:AK8" si="6">IF(AJ6=FALSE,_xlfn.DAYS(AC6,AI6),"")</f>
        <v/>
      </c>
      <c r="AN6">
        <f t="shared" ref="AN6:AN8" si="7">WEEKNUM(AC6)</f>
        <v>0</v>
      </c>
      <c r="AO6">
        <f t="shared" ref="AO6:AO8" si="8">YEAR(AC6)</f>
        <v>1900</v>
      </c>
      <c r="AV6">
        <f t="shared" ref="AV6:AV8" si="9">IF(AC6="",0,MONTH(AC6))</f>
        <v>0</v>
      </c>
      <c r="AW6">
        <f t="shared" ref="AW6:AW8" si="10">IF(AC6="",0,YEAR(AC6))</f>
        <v>0</v>
      </c>
    </row>
    <row r="7" spans="4:49" ht="15.75" x14ac:dyDescent="0.25">
      <c r="D7" s="199" t="s">
        <v>526</v>
      </c>
      <c r="E7" s="378" t="s">
        <v>297</v>
      </c>
      <c r="F7" s="379">
        <v>970</v>
      </c>
      <c r="G7" s="201" t="s">
        <v>4</v>
      </c>
      <c r="H7" s="219">
        <v>2.2999999999999998</v>
      </c>
      <c r="I7" s="202">
        <v>45646</v>
      </c>
      <c r="J7" s="200" t="s">
        <v>26</v>
      </c>
      <c r="K7" s="200"/>
      <c r="L7" s="203">
        <v>0.05</v>
      </c>
      <c r="M7" s="204">
        <f ca="1">IF(ISERROR(OFFSET(Tabella!$A$1,MATCH(J7,Tabella!$A:$A,0)-1,MATCH(L7,Tabella!$A$1:$AC$1,0)-1)=TRUE),0,+OFFSET(Tabella!$A$1,MATCH(J7,Tabella!$A:$A,0)-1,MATCH(L7,Tabella!$A$1:$AC$1,0)-1))</f>
        <v>0</v>
      </c>
      <c r="N7" s="205">
        <f ca="1">IF(ISERROR(OFFSET(Ottone!$A$1,MATCH(J7,Ottone!$A:$A,0)-1,MATCH(L7,Ottone!$A$1:$Z$1,0)-1)=TRUE),0,OFFSET(Ottone!$A$1,MATCH(J7,Ottone!$A:$A,0)-1,MATCH(L7,Ottone!$A$1:$Z$1,0)-1))*IF(G7="Ottone",1,0)</f>
        <v>0</v>
      </c>
      <c r="O7" s="205">
        <f ca="1">IF(ISERROR(OFFSET(Rame!$A$1,MATCH(J7,Rame!$A:$A,0)-1,MATCH(L7,Rame!$A$1:$AA$1,0)-1)=TRUE),0,OFFSET(Rame!$A$1,MATCH(J7,Rame!$A:$A,0)-1,MATCH(L7,Rame!$A$1:$AA$1,0)-1))*IF(G7="Rame",1,0)</f>
        <v>0</v>
      </c>
      <c r="P7" s="205">
        <v>0</v>
      </c>
      <c r="Q7" s="205">
        <v>1.25</v>
      </c>
      <c r="R7" s="205">
        <f ca="1">+IF(ISERROR(OFFSET(Tabella!$G$1,MATCH(J7,Tabella!$G:$G,0)-1,MATCH(K7,Tabella!$G$1:$FG$1,0)-1)=TRUE),0,OFFSET(Tabella!$G$1,MATCH(J7,Tabella!$G:$G,0)-1,MATCH(K7,Tabella!$G$1:$AB$1,0)-1))</f>
        <v>0</v>
      </c>
      <c r="S7" s="205">
        <f ca="1">IF(ISERROR(OFFSET(Ottone!$F$1,MATCH(J7,Ottone!$A:$A,0)-1,MATCH(K7,Ottone!$F$1:$FF$1,0)-1)=TRUE),0,OFFSET(Ottone!$F$1,MATCH(J7,Ottone!$A:$A,0)-1,MATCH(K7,Ottone!$F$1:$FF$1,0)-1))*IF(G7="Ottone",1,0)</f>
        <v>0</v>
      </c>
      <c r="T7" s="205">
        <f ca="1">IF(ISERROR(OFFSET(Rame!$F$1,MATCH(J7,Rame!$F:$F,0)-1,MATCH(K7,Rame!$F$1:$FF$1,0)-1)=TRUE),0,OFFSET(Rame!$F$1,MATCH(J7,Rame!$F:$F,0)-1,MATCH(K7,Rame!$F$1:$FF$1,0)-1))*IF(G7="Rame",1,0)</f>
        <v>0</v>
      </c>
      <c r="U7" s="205">
        <f ca="1">IF(ISERROR(OFFSET(Bronzo!$A$1,MATCH(J7,Bronzo!$A:$A,0)-1,MATCH(K7,Bronzo!$A$1:$AA$1,0)-1)=TRUE),0,OFFSET(Bronzo!$A$1,MATCH(J7,Bronzo!$A:$A,0)-1,MATCH(K7,Bronzo!$A$1:$AA$1,0)-1))</f>
        <v>0</v>
      </c>
      <c r="V7" s="205">
        <f t="shared" ca="1" si="0"/>
        <v>0</v>
      </c>
      <c r="W7" s="204"/>
      <c r="X7" s="205">
        <v>0</v>
      </c>
      <c r="Y7" s="206">
        <f t="shared" ca="1" si="1"/>
        <v>1.25</v>
      </c>
      <c r="Z7" s="380">
        <f t="shared" si="2"/>
        <v>48.5</v>
      </c>
      <c r="AA7" s="203">
        <v>3.99</v>
      </c>
      <c r="AB7" s="203">
        <f t="shared" ca="1" si="3"/>
        <v>0.44000000000000039</v>
      </c>
      <c r="AC7" s="238"/>
      <c r="AF7" t="s">
        <v>404</v>
      </c>
      <c r="AG7" t="s">
        <v>404</v>
      </c>
      <c r="AI7" s="367">
        <f t="shared" ca="1" si="4"/>
        <v>46092</v>
      </c>
      <c r="AJ7" s="367" t="b">
        <f t="shared" si="5"/>
        <v>1</v>
      </c>
      <c r="AK7" s="370" t="str">
        <f t="shared" si="6"/>
        <v/>
      </c>
      <c r="AN7">
        <f t="shared" si="7"/>
        <v>0</v>
      </c>
      <c r="AO7">
        <f t="shared" si="8"/>
        <v>1900</v>
      </c>
      <c r="AV7">
        <f t="shared" si="9"/>
        <v>0</v>
      </c>
      <c r="AW7">
        <f t="shared" si="10"/>
        <v>0</v>
      </c>
    </row>
    <row r="8" spans="4:49" ht="15.75" x14ac:dyDescent="0.25">
      <c r="D8" s="199" t="s">
        <v>566</v>
      </c>
      <c r="E8" s="378" t="s">
        <v>297</v>
      </c>
      <c r="F8" s="379">
        <v>633</v>
      </c>
      <c r="G8" s="201" t="s">
        <v>4</v>
      </c>
      <c r="H8" s="219">
        <v>2.4900000000000002</v>
      </c>
      <c r="I8" s="202">
        <v>45646</v>
      </c>
      <c r="J8" s="200" t="s">
        <v>26</v>
      </c>
      <c r="K8" s="200"/>
      <c r="L8" s="203">
        <v>0.05</v>
      </c>
      <c r="M8" s="204">
        <f ca="1">IF(ISERROR(OFFSET(Tabella!$A$1,MATCH(J8,Tabella!$A:$A,0)-1,MATCH(L8,Tabella!$A$1:$AC$1,0)-1)=TRUE),0,+OFFSET(Tabella!$A$1,MATCH(J8,Tabella!$A:$A,0)-1,MATCH(L8,Tabella!$A$1:$AC$1,0)-1))</f>
        <v>0</v>
      </c>
      <c r="N8" s="205">
        <f ca="1">IF(ISERROR(OFFSET(Ottone!$A$1,MATCH(J8,Ottone!$A:$A,0)-1,MATCH(L8,Ottone!$A$1:$Z$1,0)-1)=TRUE),0,OFFSET(Ottone!$A$1,MATCH(J8,Ottone!$A:$A,0)-1,MATCH(L8,Ottone!$A$1:$Z$1,0)-1))*IF(G8="Ottone",1,0)</f>
        <v>0</v>
      </c>
      <c r="O8" s="205">
        <f ca="1">IF(ISERROR(OFFSET(Rame!$A$1,MATCH(J8,Rame!$A:$A,0)-1,MATCH(L8,Rame!$A$1:$AA$1,0)-1)=TRUE),0,OFFSET(Rame!$A$1,MATCH(J8,Rame!$A:$A,0)-1,MATCH(L8,Rame!$A$1:$AA$1,0)-1))*IF(G8="Rame",1,0)</f>
        <v>0</v>
      </c>
      <c r="P8" s="205">
        <v>0</v>
      </c>
      <c r="Q8" s="205">
        <v>1.25</v>
      </c>
      <c r="R8" s="205">
        <f ca="1">+IF(ISERROR(OFFSET(Tabella!$G$1,MATCH(J8,Tabella!$G:$G,0)-1,MATCH(K8,Tabella!$G$1:$FG$1,0)-1)=TRUE),0,OFFSET(Tabella!$G$1,MATCH(J8,Tabella!$G:$G,0)-1,MATCH(K8,Tabella!$G$1:$AB$1,0)-1))</f>
        <v>0</v>
      </c>
      <c r="S8" s="205">
        <f ca="1">IF(ISERROR(OFFSET(Ottone!$F$1,MATCH(J8,Ottone!$A:$A,0)-1,MATCH(K8,Ottone!$F$1:$FF$1,0)-1)=TRUE),0,OFFSET(Ottone!$F$1,MATCH(J8,Ottone!$A:$A,0)-1,MATCH(K8,Ottone!$F$1:$FF$1,0)-1))*IF(G8="Ottone",1,0)</f>
        <v>0</v>
      </c>
      <c r="T8" s="205">
        <f ca="1">IF(ISERROR(OFFSET(Rame!$F$1,MATCH(J8,Rame!$F:$F,0)-1,MATCH(K8,Rame!$F$1:$FF$1,0)-1)=TRUE),0,OFFSET(Rame!$F$1,MATCH(J8,Rame!$F:$F,0)-1,MATCH(K8,Rame!$F$1:$FF$1,0)-1))*IF(G8="Rame",1,0)</f>
        <v>0</v>
      </c>
      <c r="U8" s="205">
        <f ca="1">IF(ISERROR(OFFSET(Bronzo!$A$1,MATCH(J8,Bronzo!$A:$A,0)-1,MATCH(K8,Bronzo!$A$1:$AA$1,0)-1)=TRUE),0,OFFSET(Bronzo!$A$1,MATCH(J8,Bronzo!$A:$A,0)-1,MATCH(K8,Bronzo!$A$1:$AA$1,0)-1))</f>
        <v>0</v>
      </c>
      <c r="V8" s="205">
        <f t="shared" ca="1" si="0"/>
        <v>0</v>
      </c>
      <c r="W8" s="204"/>
      <c r="X8" s="205">
        <v>0</v>
      </c>
      <c r="Y8" s="206">
        <f t="shared" ca="1" si="1"/>
        <v>1.25</v>
      </c>
      <c r="Z8" s="380">
        <f t="shared" si="2"/>
        <v>31.650000000000002</v>
      </c>
      <c r="AA8" s="203">
        <v>3.9</v>
      </c>
      <c r="AB8" s="203">
        <f t="shared" ca="1" si="3"/>
        <v>0.1599999999999997</v>
      </c>
      <c r="AC8" s="238"/>
      <c r="AF8" t="s">
        <v>404</v>
      </c>
      <c r="AG8" t="s">
        <v>404</v>
      </c>
      <c r="AI8" s="367">
        <f t="shared" ca="1" si="4"/>
        <v>46092</v>
      </c>
      <c r="AJ8" s="367" t="b">
        <f t="shared" si="5"/>
        <v>1</v>
      </c>
      <c r="AK8" s="370" t="str">
        <f t="shared" si="6"/>
        <v/>
      </c>
      <c r="AN8">
        <f t="shared" si="7"/>
        <v>0</v>
      </c>
      <c r="AO8">
        <f t="shared" si="8"/>
        <v>1900</v>
      </c>
      <c r="AV8">
        <f t="shared" si="9"/>
        <v>0</v>
      </c>
      <c r="AW8">
        <f t="shared" si="10"/>
        <v>0</v>
      </c>
    </row>
    <row r="9" spans="4:49" ht="15.75" x14ac:dyDescent="0.25">
      <c r="D9" s="199" t="s">
        <v>420</v>
      </c>
      <c r="E9" s="383" t="s">
        <v>297</v>
      </c>
      <c r="F9" s="384">
        <v>550</v>
      </c>
      <c r="G9" s="201" t="s">
        <v>4</v>
      </c>
      <c r="H9" s="219">
        <v>2.4700000000000002</v>
      </c>
      <c r="I9" s="202">
        <v>45727</v>
      </c>
      <c r="J9" s="200" t="s">
        <v>23</v>
      </c>
      <c r="K9" s="200"/>
      <c r="L9" s="203">
        <v>7.0000000000000007E-2</v>
      </c>
      <c r="M9" s="204">
        <f ca="1">IF(ISERROR(OFFSET(Tabella!$A$1,MATCH(J9,Tabella!$A:$A,0)-1,MATCH(L9,Tabella!$A$1:$AC$1,0)-1)=TRUE),0,+OFFSET(Tabella!$A$1,MATCH(J9,Tabella!$A:$A,0)-1,MATCH(L9,Tabella!$A$1:$AC$1,0)-1))</f>
        <v>1.25</v>
      </c>
      <c r="N9" s="205">
        <f ca="1">IF(ISERROR(OFFSET(Ottone!$A$1,MATCH(J9,Ottone!$A:$A,0)-1,MATCH(L9,Ottone!$A$1:$Z$1,0)-1)=TRUE),0,OFFSET(Ottone!$A$1,MATCH(J9,Ottone!$A:$A,0)-1,MATCH(L9,Ottone!$A$1:$Z$1,0)-1))*IF(G9="Ottone",1,0)</f>
        <v>0</v>
      </c>
      <c r="O9" s="205">
        <f ca="1">IF(ISERROR(OFFSET(Rame!$A$1,MATCH(J9,Rame!$A:$A,0)-1,MATCH(L9,Rame!$A$1:$AA$1,0)-1)=TRUE),0,OFFSET(Rame!$A$1,MATCH(J9,Rame!$A:$A,0)-1,MATCH(L9,Rame!$A$1:$AA$1,0)-1))*IF(G9="Rame",1,0)</f>
        <v>0</v>
      </c>
      <c r="P9" s="205">
        <v>0</v>
      </c>
      <c r="Q9" s="205">
        <f t="shared" ref="Q9" ca="1" si="11">SUM(M9:P9)</f>
        <v>1.25</v>
      </c>
      <c r="R9" s="205">
        <f ca="1">+IF(ISERROR(OFFSET(Tabella!$G$1,MATCH(J9,Tabella!$G:$G,0)-1,MATCH(K9,Tabella!$G$1:$FG$1,0)-1)=TRUE),0,OFFSET(Tabella!$G$1,MATCH(J9,Tabella!$G:$G,0)-1,MATCH(K9,Tabella!$G$1:$AB$1,0)-1))</f>
        <v>0</v>
      </c>
      <c r="S9" s="205">
        <f ca="1">IF(ISERROR(OFFSET(Ottone!$F$1,MATCH(J9,Ottone!$A:$A,0)-1,MATCH(K9,Ottone!$F$1:$FF$1,0)-1)=TRUE),0,OFFSET(Ottone!$F$1,MATCH(J9,Ottone!$A:$A,0)-1,MATCH(K9,Ottone!$F$1:$FF$1,0)-1))*IF(G9="Ottone",1,0)</f>
        <v>0</v>
      </c>
      <c r="T9" s="205">
        <f ca="1">IF(ISERROR(OFFSET(Rame!$F$1,MATCH(J9,Rame!$F:$F,0)-1,MATCH(K9,Rame!$F$1:$FF$1,0)-1)=TRUE),0,OFFSET(Rame!$F$1,MATCH(J9,Rame!$F:$F,0)-1,MATCH(K9,Rame!$F$1:$FF$1,0)-1))*IF(G9="Rame",1,0)</f>
        <v>0</v>
      </c>
      <c r="U9" s="205">
        <f ca="1">IF(ISERROR(OFFSET(Bronzo!$A$1,MATCH(J9,Bronzo!$A:$A,0)-1,MATCH(K9,Bronzo!$A$1:$AA$1,0)-1)=TRUE),0,OFFSET(Bronzo!$A$1,MATCH(J9,Bronzo!$A:$A,0)-1,MATCH(K9,Bronzo!$A$1:$AA$1,0)-1))</f>
        <v>0</v>
      </c>
      <c r="V9" s="205">
        <f t="shared" ref="V9" ca="1" si="12">SUM(R9:U9)</f>
        <v>0</v>
      </c>
      <c r="W9" s="204"/>
      <c r="X9" s="205">
        <v>0</v>
      </c>
      <c r="Y9" s="206">
        <f t="shared" ref="Y9" ca="1" si="13">+Q9+V9+W9+X9</f>
        <v>1.25</v>
      </c>
      <c r="Z9" s="277">
        <f t="shared" ref="Z9" si="14">+L9*F9</f>
        <v>38.500000000000007</v>
      </c>
      <c r="AA9" s="203">
        <v>4</v>
      </c>
      <c r="AB9" s="203">
        <f t="shared" ref="AB9" ca="1" si="15">+AA9-Y9-H9</f>
        <v>0.2799999999999998</v>
      </c>
      <c r="AC9" s="238"/>
      <c r="AF9" t="s">
        <v>404</v>
      </c>
      <c r="AH9" t="s">
        <v>418</v>
      </c>
      <c r="AI9" s="367">
        <f t="shared" ref="AI9" ca="1" si="16">TODAY()</f>
        <v>46092</v>
      </c>
      <c r="AJ9" s="367" t="b">
        <f t="shared" ref="AJ9" si="17">ISBLANK(AC9)</f>
        <v>1</v>
      </c>
      <c r="AK9" s="370" t="str">
        <f t="shared" ref="AK9" si="18">IF(AJ9=FALSE,_xlfn.DAYS(AC9,AI9),"")</f>
        <v/>
      </c>
      <c r="AN9">
        <f t="shared" ref="AN9" si="19">WEEKNUM(AC9)</f>
        <v>0</v>
      </c>
      <c r="AO9">
        <f t="shared" ref="AO9" si="20">YEAR(AC9)</f>
        <v>1900</v>
      </c>
      <c r="AV9">
        <f t="shared" ref="AV9" si="21">IF(AC9="",0,MONTH(AC9))</f>
        <v>0</v>
      </c>
      <c r="AW9">
        <f t="shared" ref="AW9" si="22">IF(AC9="",0,YEAR(AC9))</f>
        <v>0</v>
      </c>
    </row>
    <row r="10" spans="4:49" ht="15.75" x14ac:dyDescent="0.25">
      <c r="D10" s="199" t="s">
        <v>514</v>
      </c>
      <c r="E10" s="378" t="s">
        <v>269</v>
      </c>
      <c r="F10" s="379">
        <v>772</v>
      </c>
      <c r="G10" s="201" t="s">
        <v>4</v>
      </c>
      <c r="H10" s="219">
        <v>2.4300000000000002</v>
      </c>
      <c r="I10" s="202">
        <v>45737</v>
      </c>
      <c r="J10" s="200" t="s">
        <v>25</v>
      </c>
      <c r="K10" s="200"/>
      <c r="L10" s="203">
        <v>0.1</v>
      </c>
      <c r="M10" s="204">
        <f ca="1">IF(ISERROR(OFFSET(Tabella!$A$1,MATCH(J10,Tabella!$A:$A,0)-1,MATCH(L10,Tabella!$A$1:$AC$1,0)-1)=TRUE),0,+OFFSET(Tabella!$A$1,MATCH(J10,Tabella!$A:$A,0)-1,MATCH(L10,Tabella!$A$1:$AC$1,0)-1))</f>
        <v>1.4</v>
      </c>
      <c r="N10" s="205">
        <f ca="1">IF(ISERROR(OFFSET(Ottone!$A$1,MATCH(J10,Ottone!$A:$A,0)-1,MATCH(L10,Ottone!$A$1:$Z$1,0)-1)=TRUE),0,OFFSET(Ottone!$A$1,MATCH(J10,Ottone!$A:$A,0)-1,MATCH(L10,Ottone!$A$1:$Z$1,0)-1))*IF(G10="Ottone",1,0)</f>
        <v>0</v>
      </c>
      <c r="O10" s="205">
        <f ca="1">IF(ISERROR(OFFSET(Rame!$A$1,MATCH(J10,Rame!$A:$A,0)-1,MATCH(L10,Rame!$A$1:$AA$1,0)-1)=TRUE),0,OFFSET(Rame!$A$1,MATCH(J10,Rame!$A:$A,0)-1,MATCH(L10,Rame!$A$1:$AA$1,0)-1))*IF(G10="Rame",1,0)</f>
        <v>0</v>
      </c>
      <c r="P10" s="205">
        <v>0</v>
      </c>
      <c r="Q10" s="205">
        <f t="shared" ref="Q10" ca="1" si="23">SUM(M10:P10)</f>
        <v>1.4</v>
      </c>
      <c r="R10" s="205">
        <f ca="1">+IF(ISERROR(OFFSET(Tabella!$G$1,MATCH(J10,Tabella!$G:$G,0)-1,MATCH(K10,Tabella!$G$1:$FG$1,0)-1)=TRUE),0,OFFSET(Tabella!$G$1,MATCH(J10,Tabella!$G:$G,0)-1,MATCH(K10,Tabella!$G$1:$AB$1,0)-1))</f>
        <v>0</v>
      </c>
      <c r="S10" s="205">
        <f ca="1">IF(ISERROR(OFFSET(Ottone!$F$1,MATCH(J10,Ottone!$A:$A,0)-1,MATCH(K10,Ottone!$F$1:$FF$1,0)-1)=TRUE),0,OFFSET(Ottone!$F$1,MATCH(J10,Ottone!$A:$A,0)-1,MATCH(K10,Ottone!$F$1:$FF$1,0)-1))*IF(G10="Ottone",1,0)</f>
        <v>0</v>
      </c>
      <c r="T10" s="205">
        <f ca="1">IF(ISERROR(OFFSET(Rame!$F$1,MATCH(J10,Rame!$F:$F,0)-1,MATCH(K10,Rame!$F$1:$FF$1,0)-1)=TRUE),0,OFFSET(Rame!$F$1,MATCH(J10,Rame!$F:$F,0)-1,MATCH(K10,Rame!$F$1:$FF$1,0)-1))*IF(G10="Rame",1,0)</f>
        <v>0</v>
      </c>
      <c r="U10" s="205">
        <f ca="1">IF(ISERROR(OFFSET(Bronzo!$A$1,MATCH(J10,Bronzo!$A:$A,0)-1,MATCH(K10,Bronzo!$A$1:$AA$1,0)-1)=TRUE),0,OFFSET(Bronzo!$A$1,MATCH(J10,Bronzo!$A:$A,0)-1,MATCH(K10,Bronzo!$A$1:$AA$1,0)-1))</f>
        <v>0</v>
      </c>
      <c r="V10" s="205">
        <f t="shared" ref="V10" ca="1" si="24">SUM(R10:U10)</f>
        <v>0</v>
      </c>
      <c r="W10" s="204"/>
      <c r="X10" s="205">
        <v>0</v>
      </c>
      <c r="Y10" s="206">
        <f t="shared" ref="Y10" ca="1" si="25">+Q10+V10+W10+X10</f>
        <v>1.4</v>
      </c>
      <c r="Z10" s="380">
        <f t="shared" ref="Z10" si="26">+L10*F10</f>
        <v>77.2</v>
      </c>
      <c r="AA10" s="203">
        <v>4.55</v>
      </c>
      <c r="AB10" s="203">
        <f t="shared" ref="AB10" ca="1" si="27">+AA10-Y10-H10</f>
        <v>0.71999999999999975</v>
      </c>
      <c r="AC10" s="238"/>
      <c r="AF10" t="s">
        <v>404</v>
      </c>
      <c r="AG10" t="s">
        <v>404</v>
      </c>
      <c r="AI10" s="367">
        <f t="shared" ref="AI10" ca="1" si="28">TODAY()</f>
        <v>46092</v>
      </c>
      <c r="AJ10" s="367" t="b">
        <f t="shared" ref="AJ10" si="29">ISBLANK(AC10)</f>
        <v>1</v>
      </c>
      <c r="AK10" s="370" t="str">
        <f t="shared" ref="AK10" si="30">IF(AJ10=FALSE,_xlfn.DAYS(AC10,AI10),"")</f>
        <v/>
      </c>
      <c r="AN10">
        <f t="shared" ref="AN10" si="31">WEEKNUM(AC10)</f>
        <v>0</v>
      </c>
      <c r="AO10">
        <f t="shared" ref="AO10" si="32">YEAR(AC10)</f>
        <v>1900</v>
      </c>
      <c r="AV10">
        <f t="shared" ref="AV10" si="33">IF(AC10="",0,MONTH(AC10))</f>
        <v>0</v>
      </c>
      <c r="AW10">
        <f t="shared" ref="AW10" si="34">IF(AC10="",0,YEAR(AC10))</f>
        <v>0</v>
      </c>
    </row>
    <row r="11" spans="4:49" ht="15.75" x14ac:dyDescent="0.25">
      <c r="D11" s="199" t="s">
        <v>424</v>
      </c>
      <c r="E11" s="200" t="s">
        <v>263</v>
      </c>
      <c r="F11" s="287">
        <v>450</v>
      </c>
      <c r="G11" s="201" t="s">
        <v>4</v>
      </c>
      <c r="H11" s="219">
        <v>2.16</v>
      </c>
      <c r="I11" s="202">
        <v>45818</v>
      </c>
      <c r="J11" s="200" t="s">
        <v>9</v>
      </c>
      <c r="K11" s="200"/>
      <c r="L11" s="203">
        <v>7.0000000000000007E-2</v>
      </c>
      <c r="M11" s="204">
        <f ca="1">IF(ISERROR(OFFSET(Tabella!$A$1,MATCH(J11,Tabella!$A:$A,0)-1,MATCH(L11,Tabella!$A$1:$AC$1,0)-1)=TRUE),0,+OFFSET(Tabella!$A$1,MATCH(J11,Tabella!$A:$A,0)-1,MATCH(L11,Tabella!$A$1:$AC$1,0)-1))</f>
        <v>1.6</v>
      </c>
      <c r="N11" s="205">
        <f ca="1">IF(ISERROR(OFFSET(Ottone!$A$1,MATCH(J11,Ottone!$A:$A,0)-1,MATCH(L11,Ottone!$A$1:$Z$1,0)-1)=TRUE),0,OFFSET(Ottone!$A$1,MATCH(J11,Ottone!$A:$A,0)-1,MATCH(L11,Ottone!$A$1:$Z$1,0)-1))*IF(G11="Ottone",1,0)</f>
        <v>0</v>
      </c>
      <c r="O11" s="205">
        <f ca="1">IF(ISERROR(OFFSET(Rame!$A$1,MATCH(J11,Rame!$A:$A,0)-1,MATCH(L11,Rame!$A$1:$AA$1,0)-1)=TRUE),0,OFFSET(Rame!$A$1,MATCH(J11,Rame!$A:$A,0)-1,MATCH(L11,Rame!$A$1:$AA$1,0)-1))*IF(G11="Rame",1,0)</f>
        <v>0</v>
      </c>
      <c r="P11" s="205">
        <v>0</v>
      </c>
      <c r="Q11" s="205">
        <f t="shared" ref="Q11" ca="1" si="35">SUM(M11:P11)</f>
        <v>1.6</v>
      </c>
      <c r="R11" s="205">
        <f ca="1">+IF(ISERROR(OFFSET(Tabella!$G$1,MATCH(J11,Tabella!$G:$G,0)-1,MATCH(K11,Tabella!$G$1:$FG$1,0)-1)=TRUE),0,OFFSET(Tabella!$G$1,MATCH(J11,Tabella!$G:$G,0)-1,MATCH(K11,Tabella!$G$1:$AB$1,0)-1))</f>
        <v>0</v>
      </c>
      <c r="S11" s="205">
        <f ca="1">IF(ISERROR(OFFSET(Ottone!$F$1,MATCH(J11,Ottone!$A:$A,0)-1,MATCH(K11,Ottone!$F$1:$FF$1,0)-1)=TRUE),0,OFFSET(Ottone!$F$1,MATCH(J11,Ottone!$A:$A,0)-1,MATCH(K11,Ottone!$F$1:$FF$1,0)-1))*IF(G11="Ottone",1,0)</f>
        <v>0</v>
      </c>
      <c r="T11" s="205">
        <f ca="1">IF(ISERROR(OFFSET(Rame!$F$1,MATCH(J11,Rame!$F:$F,0)-1,MATCH(K11,Rame!$F$1:$FF$1,0)-1)=TRUE),0,OFFSET(Rame!$F$1,MATCH(J11,Rame!$F:$F,0)-1,MATCH(K11,Rame!$F$1:$FF$1,0)-1))*IF(G11="Rame",1,0)</f>
        <v>0</v>
      </c>
      <c r="U11" s="205">
        <f ca="1">IF(ISERROR(OFFSET(Bronzo!$A$1,MATCH(J11,Bronzo!$A:$A,0)-1,MATCH(K11,Bronzo!$A$1:$AA$1,0)-1)=TRUE),0,OFFSET(Bronzo!$A$1,MATCH(J11,Bronzo!$A:$A,0)-1,MATCH(K11,Bronzo!$A$1:$AA$1,0)-1))</f>
        <v>0</v>
      </c>
      <c r="V11" s="205">
        <f t="shared" ref="V11" ca="1" si="36">SUM(R11:U11)</f>
        <v>0</v>
      </c>
      <c r="W11" s="204"/>
      <c r="X11" s="205">
        <v>0</v>
      </c>
      <c r="Y11" s="206">
        <f t="shared" ref="Y11" ca="1" si="37">+Q11+V11+W11+X11</f>
        <v>1.6</v>
      </c>
      <c r="Z11" s="277">
        <f t="shared" ref="Z11" si="38">+L11*F11</f>
        <v>31.500000000000004</v>
      </c>
      <c r="AA11" s="203">
        <v>4.18</v>
      </c>
      <c r="AB11" s="203">
        <f t="shared" ref="AB11" ca="1" si="39">+AA11-Y11-H11</f>
        <v>0.41999999999999948</v>
      </c>
      <c r="AC11" s="238"/>
      <c r="AF11" t="s">
        <v>404</v>
      </c>
      <c r="AH11" t="s">
        <v>446</v>
      </c>
      <c r="AI11" s="367">
        <f t="shared" ref="AI11:AI1290" ca="1" si="40">TODAY()</f>
        <v>46092</v>
      </c>
      <c r="AJ11" s="367" t="b">
        <f t="shared" ref="AJ11:AJ13" si="41">ISBLANK(AC11)</f>
        <v>1</v>
      </c>
      <c r="AK11" s="370" t="str">
        <f t="shared" ref="AK11:AK13" si="42">IF(AJ11=FALSE,_xlfn.DAYS(AC11,AI11),"")</f>
        <v/>
      </c>
      <c r="AN11">
        <f t="shared" ref="AN11:AN13" si="43">WEEKNUM(AC11)</f>
        <v>0</v>
      </c>
      <c r="AO11">
        <f t="shared" ref="AO11:AO13" si="44">YEAR(AC11)</f>
        <v>1900</v>
      </c>
      <c r="AV11">
        <f t="shared" ref="AV11:AV13" si="45">IF(AC11="",0,MONTH(AC11))</f>
        <v>0</v>
      </c>
      <c r="AW11">
        <f t="shared" ref="AW11:AW13" si="46">IF(AC11="",0,YEAR(AC11))</f>
        <v>0</v>
      </c>
    </row>
    <row r="12" spans="4:49" ht="15.75" x14ac:dyDescent="0.25">
      <c r="D12" s="199" t="s">
        <v>429</v>
      </c>
      <c r="E12" s="383" t="s">
        <v>263</v>
      </c>
      <c r="F12" s="384">
        <v>290</v>
      </c>
      <c r="G12" s="201" t="s">
        <v>4</v>
      </c>
      <c r="H12" s="219">
        <v>2.16</v>
      </c>
      <c r="I12" s="202">
        <v>45698</v>
      </c>
      <c r="J12" s="200" t="s">
        <v>9</v>
      </c>
      <c r="K12" s="200"/>
      <c r="L12" s="203">
        <v>7.0000000000000007E-2</v>
      </c>
      <c r="M12" s="204">
        <f ca="1">IF(ISERROR(OFFSET(Tabella!$A$1,MATCH(J12,Tabella!$A:$A,0)-1,MATCH(L12,Tabella!$A$1:$AC$1,0)-1)=TRUE),0,+OFFSET(Tabella!$A$1,MATCH(J12,Tabella!$A:$A,0)-1,MATCH(L12,Tabella!$A$1:$AC$1,0)-1))</f>
        <v>1.6</v>
      </c>
      <c r="N12" s="205">
        <f ca="1">IF(ISERROR(OFFSET(Ottone!$A$1,MATCH(J12,Ottone!$A:$A,0)-1,MATCH(L12,Ottone!$A$1:$Z$1,0)-1)=TRUE),0,OFFSET(Ottone!$A$1,MATCH(J12,Ottone!$A:$A,0)-1,MATCH(L12,Ottone!$A$1:$Z$1,0)-1))*IF(G12="Ottone",1,0)</f>
        <v>0</v>
      </c>
      <c r="O12" s="205">
        <f ca="1">IF(ISERROR(OFFSET(Rame!$A$1,MATCH(J12,Rame!$A:$A,0)-1,MATCH(L12,Rame!$A$1:$AA$1,0)-1)=TRUE),0,OFFSET(Rame!$A$1,MATCH(J12,Rame!$A:$A,0)-1,MATCH(L12,Rame!$A$1:$AA$1,0)-1))*IF(G12="Rame",1,0)</f>
        <v>0</v>
      </c>
      <c r="P12" s="205">
        <v>0</v>
      </c>
      <c r="Q12" s="205">
        <f t="shared" ref="Q12:Q13" ca="1" si="47">SUM(M12:P12)</f>
        <v>1.6</v>
      </c>
      <c r="R12" s="205">
        <f ca="1">+IF(ISERROR(OFFSET(Tabella!$G$1,MATCH(J12,Tabella!$G:$G,0)-1,MATCH(K12,Tabella!$G$1:$FG$1,0)-1)=TRUE),0,OFFSET(Tabella!$G$1,MATCH(J12,Tabella!$G:$G,0)-1,MATCH(K12,Tabella!$G$1:$AB$1,0)-1))</f>
        <v>0</v>
      </c>
      <c r="S12" s="205">
        <f ca="1">IF(ISERROR(OFFSET(Ottone!$F$1,MATCH(J12,Ottone!$A:$A,0)-1,MATCH(K12,Ottone!$F$1:$FF$1,0)-1)=TRUE),0,OFFSET(Ottone!$F$1,MATCH(J12,Ottone!$A:$A,0)-1,MATCH(K12,Ottone!$F$1:$FF$1,0)-1))*IF(G12="Ottone",1,0)</f>
        <v>0</v>
      </c>
      <c r="T12" s="205">
        <f ca="1">IF(ISERROR(OFFSET(Rame!$F$1,MATCH(J12,Rame!$F:$F,0)-1,MATCH(K12,Rame!$F$1:$FF$1,0)-1)=TRUE),0,OFFSET(Rame!$F$1,MATCH(J12,Rame!$F:$F,0)-1,MATCH(K12,Rame!$F$1:$FF$1,0)-1))*IF(G12="Rame",1,0)</f>
        <v>0</v>
      </c>
      <c r="U12" s="205">
        <f ca="1">IF(ISERROR(OFFSET(Bronzo!$A$1,MATCH(J12,Bronzo!$A:$A,0)-1,MATCH(K12,Bronzo!$A$1:$AA$1,0)-1)=TRUE),0,OFFSET(Bronzo!$A$1,MATCH(J12,Bronzo!$A:$A,0)-1,MATCH(K12,Bronzo!$A$1:$AA$1,0)-1))</f>
        <v>0</v>
      </c>
      <c r="V12" s="205">
        <f t="shared" ref="V12:V13" ca="1" si="48">SUM(R12:U12)</f>
        <v>0</v>
      </c>
      <c r="W12" s="204"/>
      <c r="X12" s="205">
        <v>0</v>
      </c>
      <c r="Y12" s="206">
        <f t="shared" ref="Y12:Y13" ca="1" si="49">+Q12+V12+W12+X12</f>
        <v>1.6</v>
      </c>
      <c r="Z12" s="277">
        <f t="shared" ref="Z12:Z13" si="50">+L12*F12</f>
        <v>20.3</v>
      </c>
      <c r="AA12" s="203">
        <v>4.18</v>
      </c>
      <c r="AB12" s="203">
        <f t="shared" ref="AB12:AB13" ca="1" si="51">+AA12-Y12-H12</f>
        <v>0.41999999999999948</v>
      </c>
      <c r="AC12" s="238"/>
      <c r="AF12" t="s">
        <v>404</v>
      </c>
      <c r="AH12" t="s">
        <v>447</v>
      </c>
      <c r="AI12" s="367">
        <f t="shared" ca="1" si="40"/>
        <v>46092</v>
      </c>
      <c r="AJ12" s="367" t="b">
        <f t="shared" si="41"/>
        <v>1</v>
      </c>
      <c r="AK12" s="370" t="str">
        <f t="shared" si="42"/>
        <v/>
      </c>
      <c r="AN12">
        <f t="shared" si="43"/>
        <v>0</v>
      </c>
      <c r="AO12">
        <f t="shared" si="44"/>
        <v>1900</v>
      </c>
      <c r="AV12">
        <f t="shared" si="45"/>
        <v>0</v>
      </c>
      <c r="AW12">
        <f t="shared" si="46"/>
        <v>0</v>
      </c>
    </row>
    <row r="13" spans="4:49" ht="15.75" x14ac:dyDescent="0.25">
      <c r="D13" s="199" t="s">
        <v>428</v>
      </c>
      <c r="E13" s="383" t="s">
        <v>108</v>
      </c>
      <c r="F13" s="384">
        <v>400</v>
      </c>
      <c r="G13" s="201" t="s">
        <v>4</v>
      </c>
      <c r="H13" s="219">
        <v>2.08</v>
      </c>
      <c r="I13" s="202">
        <v>45818</v>
      </c>
      <c r="J13" s="200" t="s">
        <v>29</v>
      </c>
      <c r="K13" s="200"/>
      <c r="L13" s="203">
        <v>7.0000000000000007E-2</v>
      </c>
      <c r="M13" s="204">
        <f ca="1">IF(ISERROR(OFFSET(Tabella!$A$1,MATCH(J13,Tabella!$A:$A,0)-1,MATCH(L13,Tabella!$A$1:$AC$1,0)-1)=TRUE),0,+OFFSET(Tabella!$A$1,MATCH(J13,Tabella!$A:$A,0)-1,MATCH(L13,Tabella!$A$1:$AC$1,0)-1))</f>
        <v>1.3</v>
      </c>
      <c r="N13" s="205">
        <f ca="1">IF(ISERROR(OFFSET(Ottone!$A$1,MATCH(J13,Ottone!$A:$A,0)-1,MATCH(L13,Ottone!$A$1:$Z$1,0)-1)=TRUE),0,OFFSET(Ottone!$A$1,MATCH(J13,Ottone!$A:$A,0)-1,MATCH(L13,Ottone!$A$1:$Z$1,0)-1))*IF(G13="Ottone",1,0)</f>
        <v>0</v>
      </c>
      <c r="O13" s="205">
        <f ca="1">IF(ISERROR(OFFSET(Rame!$A$1,MATCH(J13,Rame!$A:$A,0)-1,MATCH(L13,Rame!$A$1:$AA$1,0)-1)=TRUE),0,OFFSET(Rame!$A$1,MATCH(J13,Rame!$A:$A,0)-1,MATCH(L13,Rame!$A$1:$AA$1,0)-1))*IF(G13="Rame",1,0)</f>
        <v>0</v>
      </c>
      <c r="P13" s="205">
        <v>0</v>
      </c>
      <c r="Q13" s="205">
        <f t="shared" ca="1" si="47"/>
        <v>1.3</v>
      </c>
      <c r="R13" s="205">
        <f ca="1">+IF(ISERROR(OFFSET(Tabella!$G$1,MATCH(J13,Tabella!$G:$G,0)-1,MATCH(K13,Tabella!$G$1:$FG$1,0)-1)=TRUE),0,OFFSET(Tabella!$G$1,MATCH(J13,Tabella!$G:$G,0)-1,MATCH(K13,Tabella!$G$1:$AB$1,0)-1))</f>
        <v>0</v>
      </c>
      <c r="S13" s="205">
        <f ca="1">IF(ISERROR(OFFSET(Ottone!$F$1,MATCH(J13,Ottone!$A:$A,0)-1,MATCH(K13,Ottone!$F$1:$FF$1,0)-1)=TRUE),0,OFFSET(Ottone!$F$1,MATCH(J13,Ottone!$A:$A,0)-1,MATCH(K13,Ottone!$F$1:$FF$1,0)-1))*IF(G13="Ottone",1,0)</f>
        <v>0</v>
      </c>
      <c r="T13" s="205">
        <f ca="1">IF(ISERROR(OFFSET(Rame!$F$1,MATCH(J13,Rame!$F:$F,0)-1,MATCH(K13,Rame!$F$1:$FF$1,0)-1)=TRUE),0,OFFSET(Rame!$F$1,MATCH(J13,Rame!$F:$F,0)-1,MATCH(K13,Rame!$F$1:$FF$1,0)-1))*IF(G13="Rame",1,0)</f>
        <v>0</v>
      </c>
      <c r="U13" s="205">
        <f ca="1">IF(ISERROR(OFFSET(Bronzo!$A$1,MATCH(J13,Bronzo!$A:$A,0)-1,MATCH(K13,Bronzo!$A$1:$AA$1,0)-1)=TRUE),0,OFFSET(Bronzo!$A$1,MATCH(J13,Bronzo!$A:$A,0)-1,MATCH(K13,Bronzo!$A$1:$AA$1,0)-1))</f>
        <v>0</v>
      </c>
      <c r="V13" s="205">
        <f t="shared" ca="1" si="48"/>
        <v>0</v>
      </c>
      <c r="W13" s="204"/>
      <c r="X13" s="205">
        <v>0</v>
      </c>
      <c r="Y13" s="206">
        <f t="shared" ca="1" si="49"/>
        <v>1.3</v>
      </c>
      <c r="Z13" s="277">
        <f t="shared" si="50"/>
        <v>28.000000000000004</v>
      </c>
      <c r="AA13" s="203">
        <v>3.65</v>
      </c>
      <c r="AB13" s="203">
        <f t="shared" ca="1" si="51"/>
        <v>0.26999999999999957</v>
      </c>
      <c r="AC13" s="238"/>
      <c r="AF13" t="s">
        <v>404</v>
      </c>
      <c r="AH13" t="s">
        <v>418</v>
      </c>
      <c r="AI13" s="367">
        <f t="shared" ca="1" si="40"/>
        <v>46092</v>
      </c>
      <c r="AJ13" s="367" t="b">
        <f t="shared" si="41"/>
        <v>1</v>
      </c>
      <c r="AK13" s="370" t="str">
        <f t="shared" si="42"/>
        <v/>
      </c>
      <c r="AN13">
        <f t="shared" si="43"/>
        <v>0</v>
      </c>
      <c r="AO13">
        <f t="shared" si="44"/>
        <v>1900</v>
      </c>
      <c r="AV13">
        <f t="shared" si="45"/>
        <v>0</v>
      </c>
      <c r="AW13">
        <f t="shared" si="46"/>
        <v>0</v>
      </c>
    </row>
    <row r="14" spans="4:49" ht="15.75" x14ac:dyDescent="0.25">
      <c r="D14" s="199" t="s">
        <v>484</v>
      </c>
      <c r="E14" s="378" t="s">
        <v>212</v>
      </c>
      <c r="F14" s="379">
        <v>3065</v>
      </c>
      <c r="G14" s="201" t="s">
        <v>4</v>
      </c>
      <c r="H14" s="219">
        <v>2.19</v>
      </c>
      <c r="I14" s="202">
        <v>45842</v>
      </c>
      <c r="J14" s="200" t="s">
        <v>324</v>
      </c>
      <c r="K14" s="200"/>
      <c r="L14" s="203">
        <v>0.04</v>
      </c>
      <c r="M14" s="204"/>
      <c r="N14" s="205"/>
      <c r="O14" s="205"/>
      <c r="P14" s="205"/>
      <c r="Q14" s="205">
        <v>1.25</v>
      </c>
      <c r="R14" s="205"/>
      <c r="S14" s="205"/>
      <c r="T14" s="205"/>
      <c r="U14" s="205"/>
      <c r="V14" s="205"/>
      <c r="W14" s="204"/>
      <c r="X14" s="205"/>
      <c r="Y14" s="206">
        <f t="shared" ref="Y14" si="52">+Q14+V14+W14+X14</f>
        <v>1.25</v>
      </c>
      <c r="Z14" s="380">
        <f t="shared" ref="Z14" si="53">+L14*F14</f>
        <v>122.60000000000001</v>
      </c>
      <c r="AA14" s="203">
        <v>3.5</v>
      </c>
      <c r="AB14" s="203">
        <f t="shared" ref="AB14" si="54">+AA14-Y14-H14</f>
        <v>6.0000000000000053E-2</v>
      </c>
      <c r="AC14" s="238"/>
      <c r="AF14" t="s">
        <v>404</v>
      </c>
      <c r="AG14" t="s">
        <v>404</v>
      </c>
      <c r="AK14" s="370"/>
    </row>
    <row r="15" spans="4:49" ht="15.75" x14ac:dyDescent="0.25">
      <c r="D15" s="199" t="s">
        <v>454</v>
      </c>
      <c r="E15" s="378" t="s">
        <v>212</v>
      </c>
      <c r="F15" s="379">
        <v>1647</v>
      </c>
      <c r="G15" s="201" t="s">
        <v>6</v>
      </c>
      <c r="H15" s="219">
        <v>8.3000000000000007</v>
      </c>
      <c r="I15" s="202">
        <v>45856</v>
      </c>
      <c r="J15" s="200" t="s">
        <v>20</v>
      </c>
      <c r="K15" s="200"/>
      <c r="L15" s="203">
        <v>0.1</v>
      </c>
      <c r="M15" s="204">
        <f ca="1">IF(ISERROR(OFFSET(Tabella!$A$1,MATCH(J15,Tabella!$A:$A,0)-1,MATCH(L15,Tabella!$A$1:$AC$1,0)-1)=TRUE),0,+OFFSET(Tabella!$A$1,MATCH(J15,Tabella!$A:$A,0)-1,MATCH(L15,Tabella!$A$1:$AC$1,0)-1))</f>
        <v>0</v>
      </c>
      <c r="N15" s="205">
        <f ca="1">IF(ISERROR(OFFSET(Ottone!$A$1,MATCH(J15,Ottone!$A:$A,0)-1,MATCH(L15,Ottone!$A$1:$Z$1,0)-1)=TRUE),0,OFFSET(Ottone!$A$1,MATCH(J15,Ottone!$A:$A,0)-1,MATCH(L15,Ottone!$A$1:$Z$1,0)-1))*IF(G15="Ottone",1,0)</f>
        <v>0</v>
      </c>
      <c r="O15" s="205">
        <f ca="1">IF(ISERROR(OFFSET(Rame!$A$1,MATCH(J15,Rame!$A:$A,0)-1,MATCH(L15,Rame!$A$1:$AA$1,0)-1)=TRUE),0,OFFSET(Rame!$A$1,MATCH(J15,Rame!$A:$A,0)-1,MATCH(L15,Rame!$A$1:$AA$1,0)-1))*IF(G15="Rame",1,0)</f>
        <v>0.95</v>
      </c>
      <c r="P15" s="205">
        <v>0</v>
      </c>
      <c r="Q15" s="205">
        <f t="shared" ref="Q15" ca="1" si="55">SUM(M15:P15)</f>
        <v>0.95</v>
      </c>
      <c r="R15" s="205">
        <f ca="1">+IF(ISERROR(OFFSET(Tabella!$G$1,MATCH(J15,Tabella!$G:$G,0)-1,MATCH(K15,Tabella!$G$1:$FG$1,0)-1)=TRUE),0,OFFSET(Tabella!$G$1,MATCH(J15,Tabella!$G:$G,0)-1,MATCH(K15,Tabella!$G$1:$AB$1,0)-1))</f>
        <v>0</v>
      </c>
      <c r="S15" s="205">
        <f ca="1">IF(ISERROR(OFFSET(Ottone!$F$1,MATCH(J15,Ottone!$A:$A,0)-1,MATCH(K15,Ottone!$F$1:$FF$1,0)-1)=TRUE),0,OFFSET(Ottone!$F$1,MATCH(J15,Ottone!$A:$A,0)-1,MATCH(K15,Ottone!$F$1:$FF$1,0)-1))*IF(G15="Ottone",1,0)</f>
        <v>0</v>
      </c>
      <c r="T15" s="205">
        <f ca="1">IF(ISERROR(OFFSET(Rame!$F$1,MATCH(J15,Rame!$F:$F,0)-1,MATCH(K15,Rame!$F$1:$FF$1,0)-1)=TRUE),0,OFFSET(Rame!$F$1,MATCH(J15,Rame!$F:$F,0)-1,MATCH(K15,Rame!$F$1:$FF$1,0)-1))*IF(G15="Rame",1,0)</f>
        <v>0</v>
      </c>
      <c r="U15" s="205">
        <f ca="1">IF(ISERROR(OFFSET(Bronzo!$A$1,MATCH(J15,Bronzo!$A:$A,0)-1,MATCH(K15,Bronzo!$A$1:$AA$1,0)-1)=TRUE),0,OFFSET(Bronzo!$A$1,MATCH(J15,Bronzo!$A:$A,0)-1,MATCH(K15,Bronzo!$A$1:$AA$1,0)-1))</f>
        <v>0</v>
      </c>
      <c r="V15" s="205">
        <f t="shared" ref="V15" ca="1" si="56">SUM(R15:U15)</f>
        <v>0</v>
      </c>
      <c r="W15" s="204"/>
      <c r="X15" s="205">
        <v>0</v>
      </c>
      <c r="Y15" s="206">
        <f t="shared" ref="Y15" ca="1" si="57">+Q15+V15+W15+X15</f>
        <v>0.95</v>
      </c>
      <c r="Z15" s="380">
        <f t="shared" ref="Z15" si="58">+L15*F15</f>
        <v>164.70000000000002</v>
      </c>
      <c r="AA15" s="203">
        <v>11.55</v>
      </c>
      <c r="AB15" s="203">
        <f t="shared" ref="AB15" ca="1" si="59">+AA15-Y15-H15</f>
        <v>2.3000000000000007</v>
      </c>
      <c r="AC15" s="238"/>
      <c r="AF15" t="s">
        <v>404</v>
      </c>
      <c r="AG15" t="s">
        <v>404</v>
      </c>
      <c r="AI15" s="367">
        <f t="shared" ref="AI15" ca="1" si="60">TODAY()</f>
        <v>46092</v>
      </c>
      <c r="AJ15" s="367" t="b">
        <f t="shared" ref="AJ15" si="61">ISBLANK(AC15)</f>
        <v>1</v>
      </c>
      <c r="AK15" s="370" t="str">
        <f t="shared" ref="AK15" si="62">IF(AJ15=FALSE,_xlfn.DAYS(AC15,AI15),"")</f>
        <v/>
      </c>
      <c r="AN15">
        <f t="shared" ref="AN15" si="63">WEEKNUM(AC15)</f>
        <v>0</v>
      </c>
      <c r="AO15">
        <f t="shared" ref="AO15" si="64">YEAR(AC15)</f>
        <v>1900</v>
      </c>
      <c r="AV15">
        <f t="shared" ref="AV15" si="65">IF(AC15="",0,MONTH(AC15))</f>
        <v>0</v>
      </c>
      <c r="AW15">
        <f t="shared" ref="AW15" si="66">IF(AC15="",0,YEAR(AC15))</f>
        <v>0</v>
      </c>
    </row>
    <row r="16" spans="4:49" ht="15.75" x14ac:dyDescent="0.25">
      <c r="D16" s="199" t="s">
        <v>574</v>
      </c>
      <c r="E16" s="378" t="s">
        <v>330</v>
      </c>
      <c r="F16" s="379">
        <v>597</v>
      </c>
      <c r="G16" s="201" t="s">
        <v>4</v>
      </c>
      <c r="H16" s="381">
        <v>1.6</v>
      </c>
      <c r="I16" s="202">
        <v>45877</v>
      </c>
      <c r="J16" s="200" t="s">
        <v>21</v>
      </c>
      <c r="K16" s="200"/>
      <c r="L16" s="203">
        <v>7.0000000000000007E-2</v>
      </c>
      <c r="M16" s="204">
        <f ca="1">IF(ISERROR(OFFSET(Tabella!$A$1,MATCH(J16,Tabella!$A:$A,0)-1,MATCH(L16,Tabella!$A$1:$AC$1,0)-1)=TRUE),0,+OFFSET(Tabella!$A$1,MATCH(J16,Tabella!$A:$A,0)-1,MATCH(L16,Tabella!$A$1:$AC$1,0)-1))</f>
        <v>1.25</v>
      </c>
      <c r="N16" s="205">
        <f ca="1">IF(ISERROR(OFFSET(Ottone!$A$1,MATCH(J16,Ottone!$A:$A,0)-1,MATCH(L16,Ottone!$A$1:$Z$1,0)-1)=TRUE),0,OFFSET(Ottone!$A$1,MATCH(J16,Ottone!$A:$A,0)-1,MATCH(L16,Ottone!$A$1:$Z$1,0)-1))*IF(G16="Ottone",1,0)</f>
        <v>0</v>
      </c>
      <c r="O16" s="205">
        <f ca="1">IF(ISERROR(OFFSET(Rame!$A$1,MATCH(J16,Rame!$A:$A,0)-1,MATCH(L16,Rame!$A$1:$AA$1,0)-1)=TRUE),0,OFFSET(Rame!$A$1,MATCH(J16,Rame!$A:$A,0)-1,MATCH(L16,Rame!$A$1:$AA$1,0)-1))*IF(G16="Rame",1,0)</f>
        <v>0</v>
      </c>
      <c r="P16" s="205">
        <v>0</v>
      </c>
      <c r="Q16" s="205">
        <f t="shared" ref="Q16:Q17" ca="1" si="67">SUM(M16:P16)</f>
        <v>1.25</v>
      </c>
      <c r="R16" s="205">
        <f ca="1">+IF(ISERROR(OFFSET(Tabella!$G$1,MATCH(J16,Tabella!$G:$G,0)-1,MATCH(K16,Tabella!$G$1:$FG$1,0)-1)=TRUE),0,OFFSET(Tabella!$G$1,MATCH(J16,Tabella!$G:$G,0)-1,MATCH(K16,Tabella!$G$1:$AB$1,0)-1))</f>
        <v>0</v>
      </c>
      <c r="S16" s="205">
        <f ca="1">IF(ISERROR(OFFSET(Ottone!$F$1,MATCH(J16,Ottone!$A:$A,0)-1,MATCH(K16,Ottone!$F$1:$FF$1,0)-1)=TRUE),0,OFFSET(Ottone!$F$1,MATCH(J16,Ottone!$A:$A,0)-1,MATCH(K16,Ottone!$F$1:$FF$1,0)-1))*IF(G16="Ottone",1,0)</f>
        <v>0</v>
      </c>
      <c r="T16" s="205">
        <f ca="1">IF(ISERROR(OFFSET(Rame!$F$1,MATCH(J16,Rame!$F:$F,0)-1,MATCH(K16,Rame!$F$1:$FF$1,0)-1)=TRUE),0,OFFSET(Rame!$F$1,MATCH(J16,Rame!$F:$F,0)-1,MATCH(K16,Rame!$F$1:$FF$1,0)-1))*IF(G16="Rame",1,0)</f>
        <v>0</v>
      </c>
      <c r="U16" s="205">
        <f ca="1">IF(ISERROR(OFFSET(Bronzo!$A$1,MATCH(J16,Bronzo!$A:$A,0)-1,MATCH(K16,Bronzo!$A$1:$AA$1,0)-1)=TRUE),0,OFFSET(Bronzo!$A$1,MATCH(J16,Bronzo!$A:$A,0)-1,MATCH(K16,Bronzo!$A$1:$AA$1,0)-1))</f>
        <v>0</v>
      </c>
      <c r="V16" s="205">
        <f t="shared" ref="V16:V17" ca="1" si="68">SUM(R16:U16)</f>
        <v>0</v>
      </c>
      <c r="W16" s="204"/>
      <c r="X16" s="205">
        <v>0</v>
      </c>
      <c r="Y16" s="206">
        <f t="shared" ref="Y16:Y17" ca="1" si="69">+Q16+V16+W16+X16</f>
        <v>1.25</v>
      </c>
      <c r="Z16" s="380">
        <f t="shared" ref="Z16:Z17" si="70">+L16*F16</f>
        <v>41.790000000000006</v>
      </c>
      <c r="AA16" s="382">
        <v>1.6</v>
      </c>
      <c r="AB16" s="203">
        <f t="shared" ref="AB16:AB17" ca="1" si="71">+AA16-Y16-H16</f>
        <v>-1.25</v>
      </c>
      <c r="AC16" s="238"/>
      <c r="AF16" t="s">
        <v>404</v>
      </c>
      <c r="AG16" t="s">
        <v>404</v>
      </c>
      <c r="AI16" s="367">
        <f t="shared" ref="AI16:AI22" ca="1" si="72">TODAY()</f>
        <v>46092</v>
      </c>
      <c r="AJ16" s="367" t="b">
        <f t="shared" ref="AJ16:AJ19" si="73">ISBLANK(AC16)</f>
        <v>1</v>
      </c>
      <c r="AK16" s="370" t="str">
        <f t="shared" ref="AK16:AK19" si="74">IF(AJ16=FALSE,_xlfn.DAYS(AC16,AI16),"")</f>
        <v/>
      </c>
      <c r="AN16">
        <f t="shared" ref="AN16:AN19" si="75">WEEKNUM(AC16)</f>
        <v>0</v>
      </c>
      <c r="AO16">
        <f t="shared" ref="AO16:AO19" si="76">YEAR(AC16)</f>
        <v>1900</v>
      </c>
      <c r="AV16">
        <f t="shared" ref="AV16:AV19" si="77">IF(AC16="",0,MONTH(AC16))</f>
        <v>0</v>
      </c>
      <c r="AW16">
        <f t="shared" ref="AW16:AW19" si="78">IF(AC16="",0,YEAR(AC16))</f>
        <v>0</v>
      </c>
    </row>
    <row r="17" spans="4:49" ht="15.75" x14ac:dyDescent="0.25">
      <c r="D17" s="199" t="s">
        <v>582</v>
      </c>
      <c r="E17" s="378" t="s">
        <v>396</v>
      </c>
      <c r="F17" s="379">
        <v>1596</v>
      </c>
      <c r="G17" s="201" t="s">
        <v>4</v>
      </c>
      <c r="H17" s="219">
        <v>2.25</v>
      </c>
      <c r="I17" s="202">
        <v>45876</v>
      </c>
      <c r="J17" s="200" t="s">
        <v>308</v>
      </c>
      <c r="K17" s="200"/>
      <c r="L17" s="203">
        <v>0.1</v>
      </c>
      <c r="M17" s="204">
        <f ca="1">IF(ISERROR(OFFSET(Tabella!$A$1,MATCH(J17,Tabella!$A:$A,0)-1,MATCH(L17,Tabella!$A$1:$AC$1,0)-1)=TRUE),0,+OFFSET(Tabella!$A$1,MATCH(J17,Tabella!$A:$A,0)-1,MATCH(L17,Tabella!$A$1:$AC$1,0)-1))</f>
        <v>1.4</v>
      </c>
      <c r="N17" s="205">
        <f ca="1">IF(ISERROR(OFFSET(Ottone!$A$1,MATCH(J17,Ottone!$A:$A,0)-1,MATCH(L17,Ottone!$A$1:$Z$1,0)-1)=TRUE),0,OFFSET(Ottone!$A$1,MATCH(J17,Ottone!$A:$A,0)-1,MATCH(L17,Ottone!$A$1:$Z$1,0)-1))*IF(G17="Ottone",1,0)</f>
        <v>0</v>
      </c>
      <c r="O17" s="205">
        <f ca="1">IF(ISERROR(OFFSET(Rame!$A$1,MATCH(J17,Rame!$A:$A,0)-1,MATCH(L17,Rame!$A$1:$AA$1,0)-1)=TRUE),0,OFFSET(Rame!$A$1,MATCH(J17,Rame!$A:$A,0)-1,MATCH(L17,Rame!$A$1:$AA$1,0)-1))*IF(G17="Rame",1,0)</f>
        <v>0</v>
      </c>
      <c r="P17" s="205">
        <v>0</v>
      </c>
      <c r="Q17" s="205">
        <f t="shared" ca="1" si="67"/>
        <v>1.4</v>
      </c>
      <c r="R17" s="205">
        <f ca="1">+IF(ISERROR(OFFSET(Tabella!$G$1,MATCH(J17,Tabella!$G:$G,0)-1,MATCH(K17,Tabella!$G$1:$FG$1,0)-1)=TRUE),0,OFFSET(Tabella!$G$1,MATCH(J17,Tabella!$G:$G,0)-1,MATCH(K17,Tabella!$G$1:$AB$1,0)-1))</f>
        <v>0</v>
      </c>
      <c r="S17" s="205">
        <f ca="1">IF(ISERROR(OFFSET(Ottone!$F$1,MATCH(J17,Ottone!$A:$A,0)-1,MATCH(K17,Ottone!$F$1:$FF$1,0)-1)=TRUE),0,OFFSET(Ottone!$F$1,MATCH(J17,Ottone!$A:$A,0)-1,MATCH(K17,Ottone!$F$1:$FF$1,0)-1))*IF(G17="Ottone",1,0)</f>
        <v>0</v>
      </c>
      <c r="T17" s="205">
        <f ca="1">IF(ISERROR(OFFSET(Rame!$F$1,MATCH(J17,Rame!$F:$F,0)-1,MATCH(K17,Rame!$F$1:$FF$1,0)-1)=TRUE),0,OFFSET(Rame!$F$1,MATCH(J17,Rame!$F:$F,0)-1,MATCH(K17,Rame!$F$1:$FF$1,0)-1))*IF(G17="Rame",1,0)</f>
        <v>0</v>
      </c>
      <c r="U17" s="205">
        <f ca="1">IF(ISERROR(OFFSET(Bronzo!$A$1,MATCH(J17,Bronzo!$A:$A,0)-1,MATCH(K17,Bronzo!$A$1:$AA$1,0)-1)=TRUE),0,OFFSET(Bronzo!$A$1,MATCH(J17,Bronzo!$A:$A,0)-1,MATCH(K17,Bronzo!$A$1:$AA$1,0)-1))</f>
        <v>0</v>
      </c>
      <c r="V17" s="205">
        <f t="shared" ca="1" si="68"/>
        <v>0</v>
      </c>
      <c r="W17" s="204"/>
      <c r="X17" s="205">
        <v>0</v>
      </c>
      <c r="Y17" s="206">
        <f t="shared" ca="1" si="69"/>
        <v>1.4</v>
      </c>
      <c r="Z17" s="380">
        <f t="shared" si="70"/>
        <v>159.60000000000002</v>
      </c>
      <c r="AA17" s="203">
        <v>4.1500000000000004</v>
      </c>
      <c r="AB17" s="203">
        <f t="shared" ca="1" si="71"/>
        <v>0.50000000000000044</v>
      </c>
      <c r="AC17" s="238"/>
      <c r="AF17" t="s">
        <v>404</v>
      </c>
      <c r="AG17" t="s">
        <v>404</v>
      </c>
      <c r="AI17" s="367">
        <f t="shared" ca="1" si="72"/>
        <v>46092</v>
      </c>
      <c r="AJ17" s="367" t="b">
        <f t="shared" si="73"/>
        <v>1</v>
      </c>
      <c r="AK17" s="370" t="str">
        <f t="shared" si="74"/>
        <v/>
      </c>
      <c r="AN17">
        <f t="shared" si="75"/>
        <v>0</v>
      </c>
      <c r="AO17">
        <f t="shared" si="76"/>
        <v>1900</v>
      </c>
      <c r="AV17">
        <f t="shared" si="77"/>
        <v>0</v>
      </c>
      <c r="AW17">
        <f t="shared" si="78"/>
        <v>0</v>
      </c>
    </row>
    <row r="18" spans="4:49" ht="15.75" x14ac:dyDescent="0.25">
      <c r="D18" s="199" t="s">
        <v>583</v>
      </c>
      <c r="E18" s="378" t="s">
        <v>396</v>
      </c>
      <c r="F18" s="379">
        <v>1392</v>
      </c>
      <c r="G18" s="201" t="s">
        <v>4</v>
      </c>
      <c r="H18" s="219">
        <v>2.2200000000000002</v>
      </c>
      <c r="I18" s="202">
        <v>45881</v>
      </c>
      <c r="J18" s="200" t="s">
        <v>28</v>
      </c>
      <c r="K18" s="200"/>
      <c r="L18" s="203">
        <v>0.1</v>
      </c>
      <c r="M18" s="204">
        <f ca="1">IF(ISERROR(OFFSET(Tabella!$A$1,MATCH(J18,Tabella!$A:$A,0)-1,MATCH(L18,Tabella!$A$1:$AC$1,0)-1)=TRUE),0,+OFFSET(Tabella!$A$1,MATCH(J18,Tabella!$A:$A,0)-1,MATCH(L18,Tabella!$A$1:$AC$1,0)-1))</f>
        <v>1.4</v>
      </c>
      <c r="N18" s="205">
        <f ca="1">IF(ISERROR(OFFSET(Ottone!$A$1,MATCH(J18,Ottone!$A:$A,0)-1,MATCH(L18,Ottone!$A$1:$Z$1,0)-1)=TRUE),0,OFFSET(Ottone!$A$1,MATCH(J18,Ottone!$A:$A,0)-1,MATCH(L18,Ottone!$A$1:$Z$1,0)-1))*IF(G18="Ottone",1,0)</f>
        <v>0</v>
      </c>
      <c r="O18" s="205">
        <f ca="1">IF(ISERROR(OFFSET(Rame!$A$1,MATCH(J18,Rame!$A:$A,0)-1,MATCH(L18,Rame!$A$1:$AA$1,0)-1)=TRUE),0,OFFSET(Rame!$A$1,MATCH(J18,Rame!$A:$A,0)-1,MATCH(L18,Rame!$A$1:$AA$1,0)-1))*IF(G18="Rame",1,0)</f>
        <v>0</v>
      </c>
      <c r="P18" s="205">
        <v>0</v>
      </c>
      <c r="Q18" s="205">
        <f t="shared" ref="Q18:Q26" ca="1" si="79">SUM(M18:P18)</f>
        <v>1.4</v>
      </c>
      <c r="R18" s="205">
        <f ca="1">+IF(ISERROR(OFFSET(Tabella!$G$1,MATCH(J18,Tabella!$G:$G,0)-1,MATCH(K18,Tabella!$G$1:$FG$1,0)-1)=TRUE),0,OFFSET(Tabella!$G$1,MATCH(J18,Tabella!$G:$G,0)-1,MATCH(K18,Tabella!$G$1:$AB$1,0)-1))</f>
        <v>0</v>
      </c>
      <c r="S18" s="205">
        <f ca="1">IF(ISERROR(OFFSET(Ottone!$F$1,MATCH(J18,Ottone!$A:$A,0)-1,MATCH(K18,Ottone!$F$1:$FF$1,0)-1)=TRUE),0,OFFSET(Ottone!$F$1,MATCH(J18,Ottone!$A:$A,0)-1,MATCH(K18,Ottone!$F$1:$FF$1,0)-1))*IF(G18="Ottone",1,0)</f>
        <v>0</v>
      </c>
      <c r="T18" s="205">
        <f ca="1">IF(ISERROR(OFFSET(Rame!$F$1,MATCH(J18,Rame!$F:$F,0)-1,MATCH(K18,Rame!$F$1:$FF$1,0)-1)=TRUE),0,OFFSET(Rame!$F$1,MATCH(J18,Rame!$F:$F,0)-1,MATCH(K18,Rame!$F$1:$FF$1,0)-1))*IF(G18="Rame",1,0)</f>
        <v>0</v>
      </c>
      <c r="U18" s="205">
        <f ca="1">IF(ISERROR(OFFSET(Bronzo!$A$1,MATCH(J18,Bronzo!$A:$A,0)-1,MATCH(K18,Bronzo!$A$1:$AA$1,0)-1)=TRUE),0,OFFSET(Bronzo!$A$1,MATCH(J18,Bronzo!$A:$A,0)-1,MATCH(K18,Bronzo!$A$1:$AA$1,0)-1))</f>
        <v>0</v>
      </c>
      <c r="V18" s="205">
        <f t="shared" ref="V18:V28" ca="1" si="80">SUM(R18:U18)</f>
        <v>0</v>
      </c>
      <c r="W18" s="204"/>
      <c r="X18" s="205">
        <v>0</v>
      </c>
      <c r="Y18" s="206">
        <f t="shared" ref="Y18:Y28" ca="1" si="81">+Q18+V18+W18+X18</f>
        <v>1.4</v>
      </c>
      <c r="Z18" s="380">
        <f t="shared" ref="Z18:Z28" si="82">+L18*F18</f>
        <v>139.20000000000002</v>
      </c>
      <c r="AA18" s="203">
        <v>4.12</v>
      </c>
      <c r="AB18" s="203">
        <f t="shared" ref="AB18:AB28" ca="1" si="83">+AA18-Y18-H18</f>
        <v>0.5</v>
      </c>
      <c r="AC18" s="238"/>
      <c r="AF18" t="s">
        <v>404</v>
      </c>
      <c r="AG18" t="s">
        <v>404</v>
      </c>
      <c r="AI18" s="367">
        <f t="shared" ca="1" si="72"/>
        <v>46092</v>
      </c>
      <c r="AJ18" s="367" t="b">
        <f t="shared" si="73"/>
        <v>1</v>
      </c>
      <c r="AK18" s="370" t="str">
        <f t="shared" si="74"/>
        <v/>
      </c>
      <c r="AN18">
        <f t="shared" si="75"/>
        <v>0</v>
      </c>
      <c r="AO18">
        <f t="shared" si="76"/>
        <v>1900</v>
      </c>
      <c r="AV18">
        <f t="shared" si="77"/>
        <v>0</v>
      </c>
      <c r="AW18">
        <f t="shared" si="78"/>
        <v>0</v>
      </c>
    </row>
    <row r="19" spans="4:49" ht="15.75" x14ac:dyDescent="0.25">
      <c r="D19" s="199" t="s">
        <v>523</v>
      </c>
      <c r="E19" s="378" t="s">
        <v>92</v>
      </c>
      <c r="F19" s="379">
        <v>683</v>
      </c>
      <c r="G19" s="201" t="s">
        <v>6</v>
      </c>
      <c r="H19" s="219">
        <v>8.3000000000000007</v>
      </c>
      <c r="I19" s="202">
        <v>45894</v>
      </c>
      <c r="J19" s="200" t="s">
        <v>18</v>
      </c>
      <c r="K19" s="200"/>
      <c r="L19" s="203">
        <v>0.15</v>
      </c>
      <c r="M19" s="204">
        <f ca="1">IF(ISERROR(OFFSET(Tabella!$A$1,MATCH(J19,Tabella!$A:$A,0)-1,MATCH(L19,Tabella!$A$1:$AC$1,0)-1)=TRUE),0,+OFFSET(Tabella!$A$1,MATCH(J19,Tabella!$A:$A,0)-1,MATCH(L19,Tabella!$A$1:$AC$1,0)-1))</f>
        <v>0</v>
      </c>
      <c r="N19" s="205">
        <f ca="1">IF(ISERROR(OFFSET(Ottone!$A$1,MATCH(J19,Ottone!$A:$A,0)-1,MATCH(L19,Ottone!$A$1:$Z$1,0)-1)=TRUE),0,OFFSET(Ottone!$A$1,MATCH(J19,Ottone!$A:$A,0)-1,MATCH(L19,Ottone!$A$1:$Z$1,0)-1))*IF(G19="Ottone",1,0)</f>
        <v>0</v>
      </c>
      <c r="O19" s="205">
        <f ca="1">IF(ISERROR(OFFSET(Rame!$A$1,MATCH(J19,Rame!$A:$A,0)-1,MATCH(L19,Rame!$A$1:$AA$1,0)-1)=TRUE),0,OFFSET(Rame!$A$1,MATCH(J19,Rame!$A:$A,0)-1,MATCH(L19,Rame!$A$1:$AA$1,0)-1))*IF(G19="Rame",1,0)</f>
        <v>0.82</v>
      </c>
      <c r="P19" s="205">
        <v>0</v>
      </c>
      <c r="Q19" s="205">
        <f t="shared" ca="1" si="79"/>
        <v>0.82</v>
      </c>
      <c r="R19" s="205">
        <f ca="1">+IF(ISERROR(OFFSET(Tabella!$G$1,MATCH(J19,Tabella!$G:$G,0)-1,MATCH(K19,Tabella!$G$1:$FG$1,0)-1)=TRUE),0,OFFSET(Tabella!$G$1,MATCH(J19,Tabella!$G:$G,0)-1,MATCH(K19,Tabella!$G$1:$AB$1,0)-1))</f>
        <v>0</v>
      </c>
      <c r="S19" s="205">
        <f ca="1">IF(ISERROR(OFFSET(Ottone!$F$1,MATCH(J19,Ottone!$A:$A,0)-1,MATCH(K19,Ottone!$F$1:$FF$1,0)-1)=TRUE),0,OFFSET(Ottone!$F$1,MATCH(J19,Ottone!$A:$A,0)-1,MATCH(K19,Ottone!$F$1:$FF$1,0)-1))*IF(G19="Ottone",1,0)</f>
        <v>0</v>
      </c>
      <c r="T19" s="205">
        <f ca="1">IF(ISERROR(OFFSET(Rame!$F$1,MATCH(J19,Rame!$F:$F,0)-1,MATCH(K19,Rame!$F$1:$FF$1,0)-1)=TRUE),0,OFFSET(Rame!$F$1,MATCH(J19,Rame!$F:$F,0)-1,MATCH(K19,Rame!$F$1:$FF$1,0)-1))*IF(G19="Rame",1,0)</f>
        <v>0</v>
      </c>
      <c r="U19" s="205">
        <f ca="1">IF(ISERROR(OFFSET(Bronzo!$A$1,MATCH(J19,Bronzo!$A:$A,0)-1,MATCH(K19,Bronzo!$A$1:$AA$1,0)-1)=TRUE),0,OFFSET(Bronzo!$A$1,MATCH(J19,Bronzo!$A:$A,0)-1,MATCH(K19,Bronzo!$A$1:$AA$1,0)-1))</f>
        <v>0</v>
      </c>
      <c r="V19" s="205">
        <f t="shared" ca="1" si="80"/>
        <v>0</v>
      </c>
      <c r="W19" s="204"/>
      <c r="X19" s="205">
        <v>0</v>
      </c>
      <c r="Y19" s="206">
        <f t="shared" ca="1" si="81"/>
        <v>0.82</v>
      </c>
      <c r="Z19" s="380">
        <f t="shared" si="82"/>
        <v>102.45</v>
      </c>
      <c r="AA19" s="203">
        <v>11.9</v>
      </c>
      <c r="AB19" s="203">
        <f t="shared" ca="1" si="83"/>
        <v>2.7799999999999994</v>
      </c>
      <c r="AC19" s="238"/>
      <c r="AF19" t="s">
        <v>404</v>
      </c>
      <c r="AG19" t="s">
        <v>404</v>
      </c>
      <c r="AI19" s="367">
        <f t="shared" ca="1" si="72"/>
        <v>46092</v>
      </c>
      <c r="AJ19" s="367" t="b">
        <f t="shared" si="73"/>
        <v>1</v>
      </c>
      <c r="AK19" s="370" t="str">
        <f t="shared" si="74"/>
        <v/>
      </c>
      <c r="AN19">
        <f t="shared" si="75"/>
        <v>0</v>
      </c>
      <c r="AO19">
        <f t="shared" si="76"/>
        <v>1900</v>
      </c>
      <c r="AV19">
        <f t="shared" si="77"/>
        <v>0</v>
      </c>
      <c r="AW19">
        <f t="shared" si="78"/>
        <v>0</v>
      </c>
    </row>
    <row r="20" spans="4:49" ht="15.75" x14ac:dyDescent="0.25">
      <c r="D20" s="199" t="s">
        <v>459</v>
      </c>
      <c r="E20" s="378" t="s">
        <v>212</v>
      </c>
      <c r="F20" s="379">
        <v>665</v>
      </c>
      <c r="G20" s="201" t="s">
        <v>4</v>
      </c>
      <c r="H20" s="219">
        <v>2.19</v>
      </c>
      <c r="I20" s="202">
        <v>45876</v>
      </c>
      <c r="J20" s="200" t="s">
        <v>17</v>
      </c>
      <c r="K20" s="200"/>
      <c r="L20" s="203">
        <v>0.04</v>
      </c>
      <c r="M20" s="204"/>
      <c r="N20" s="205"/>
      <c r="O20" s="205"/>
      <c r="P20" s="205"/>
      <c r="Q20" s="205">
        <v>1.4</v>
      </c>
      <c r="R20" s="205"/>
      <c r="S20" s="205"/>
      <c r="T20" s="205"/>
      <c r="U20" s="205"/>
      <c r="V20" s="205"/>
      <c r="W20" s="204"/>
      <c r="X20" s="205"/>
      <c r="Y20" s="206">
        <v>1.4</v>
      </c>
      <c r="Z20" s="380">
        <f t="shared" si="82"/>
        <v>26.6</v>
      </c>
      <c r="AA20" s="203">
        <v>3.7</v>
      </c>
      <c r="AB20" s="203">
        <v>0.11</v>
      </c>
      <c r="AC20" s="238"/>
      <c r="AF20" t="s">
        <v>404</v>
      </c>
      <c r="AG20" t="s">
        <v>404</v>
      </c>
      <c r="AK20" s="370"/>
    </row>
    <row r="21" spans="4:49" ht="15.75" x14ac:dyDescent="0.25">
      <c r="D21" s="199" t="s">
        <v>513</v>
      </c>
      <c r="E21" s="378" t="s">
        <v>592</v>
      </c>
      <c r="F21" s="379">
        <v>244</v>
      </c>
      <c r="G21" s="201" t="s">
        <v>4</v>
      </c>
      <c r="H21" s="219">
        <v>2.2000000000000002</v>
      </c>
      <c r="I21" s="202">
        <v>45895</v>
      </c>
      <c r="J21" s="200" t="s">
        <v>28</v>
      </c>
      <c r="K21" s="200"/>
      <c r="L21" s="203">
        <v>0.13</v>
      </c>
      <c r="M21" s="204">
        <f ca="1">IF(ISERROR(OFFSET(Tabella!$A$1,MATCH(J21,Tabella!$A:$A,0)-1,MATCH(L21,Tabella!$A$1:$AC$1,0)-1)=TRUE),0,+OFFSET(Tabella!$A$1,MATCH(J21,Tabella!$A:$A,0)-1,MATCH(L21,Tabella!$A$1:$AC$1,0)-1))</f>
        <v>0</v>
      </c>
      <c r="N21" s="205">
        <f ca="1">IF(ISERROR(OFFSET(Ottone!$A$1,MATCH(J21,Ottone!$A:$A,0)-1,MATCH(L21,Ottone!$A$1:$Z$1,0)-1)=TRUE),0,OFFSET(Ottone!$A$1,MATCH(J21,Ottone!$A:$A,0)-1,MATCH(L21,Ottone!$A$1:$Z$1,0)-1))*IF(G21="Ottone",1,0)</f>
        <v>0</v>
      </c>
      <c r="O21" s="205">
        <f ca="1">IF(ISERROR(OFFSET(Rame!$A$1,MATCH(J21,Rame!$A:$A,0)-1,MATCH(L21,Rame!$A$1:$AA$1,0)-1)=TRUE),0,OFFSET(Rame!$A$1,MATCH(J21,Rame!$A:$A,0)-1,MATCH(L21,Rame!$A$1:$AA$1,0)-1))*IF(G21="Rame",1,0)</f>
        <v>0</v>
      </c>
      <c r="P21" s="205">
        <v>0</v>
      </c>
      <c r="Q21" s="205">
        <v>1.79</v>
      </c>
      <c r="R21" s="205">
        <f ca="1">+IF(ISERROR(OFFSET(Tabella!$G$1,MATCH(J21,Tabella!$G:$G,0)-1,MATCH(K21,Tabella!$G$1:$FG$1,0)-1)=TRUE),0,OFFSET(Tabella!$G$1,MATCH(J21,Tabella!$G:$G,0)-1,MATCH(K21,Tabella!$G$1:$AB$1,0)-1))</f>
        <v>0</v>
      </c>
      <c r="S21" s="205">
        <f ca="1">IF(ISERROR(OFFSET(Ottone!$F$1,MATCH(J21,Ottone!$A:$A,0)-1,MATCH(K21,Ottone!$F$1:$FF$1,0)-1)=TRUE),0,OFFSET(Ottone!$F$1,MATCH(J21,Ottone!$A:$A,0)-1,MATCH(K21,Ottone!$F$1:$FF$1,0)-1))*IF(G21="Ottone",1,0)</f>
        <v>0</v>
      </c>
      <c r="T21" s="205">
        <f ca="1">IF(ISERROR(OFFSET(Rame!$F$1,MATCH(J21,Rame!$F:$F,0)-1,MATCH(K21,Rame!$F$1:$FF$1,0)-1)=TRUE),0,OFFSET(Rame!$F$1,MATCH(J21,Rame!$F:$F,0)-1,MATCH(K21,Rame!$F$1:$FF$1,0)-1))*IF(G21="Rame",1,0)</f>
        <v>0</v>
      </c>
      <c r="U21" s="205">
        <f ca="1">IF(ISERROR(OFFSET(Bronzo!$A$1,MATCH(J21,Bronzo!$A:$A,0)-1,MATCH(K21,Bronzo!$A$1:$AA$1,0)-1)=TRUE),0,OFFSET(Bronzo!$A$1,MATCH(J21,Bronzo!$A:$A,0)-1,MATCH(K21,Bronzo!$A$1:$AA$1,0)-1))</f>
        <v>0</v>
      </c>
      <c r="V21" s="205">
        <f t="shared" ca="1" si="80"/>
        <v>0</v>
      </c>
      <c r="W21" s="204"/>
      <c r="X21" s="205">
        <v>0</v>
      </c>
      <c r="Y21" s="206">
        <f t="shared" ca="1" si="81"/>
        <v>1.79</v>
      </c>
      <c r="Z21" s="380">
        <f t="shared" si="82"/>
        <v>31.720000000000002</v>
      </c>
      <c r="AA21" s="203">
        <v>4.3</v>
      </c>
      <c r="AB21" s="203">
        <f t="shared" ca="1" si="83"/>
        <v>0.30999999999999961</v>
      </c>
      <c r="AC21" s="238"/>
      <c r="AF21" t="s">
        <v>404</v>
      </c>
      <c r="AG21" t="s">
        <v>404</v>
      </c>
      <c r="AI21" s="367">
        <f t="shared" ca="1" si="72"/>
        <v>46092</v>
      </c>
      <c r="AJ21" s="367" t="b">
        <f t="shared" ref="AJ21:AJ36" si="84">ISBLANK(AC21)</f>
        <v>1</v>
      </c>
      <c r="AK21" s="370" t="str">
        <f t="shared" ref="AK21:AK36" si="85">IF(AJ21=FALSE,_xlfn.DAYS(AC21,AI21),"")</f>
        <v/>
      </c>
      <c r="AN21">
        <f t="shared" ref="AN21:AN36" si="86">WEEKNUM(AC21)</f>
        <v>0</v>
      </c>
      <c r="AO21">
        <f t="shared" ref="AO21:AO36" si="87">YEAR(AC21)</f>
        <v>1900</v>
      </c>
      <c r="AV21">
        <f t="shared" ref="AV21:AV36" si="88">IF(AC21="",0,MONTH(AC21))</f>
        <v>0</v>
      </c>
      <c r="AW21">
        <f t="shared" ref="AW21:AW36" si="89">IF(AC21="",0,YEAR(AC21))</f>
        <v>0</v>
      </c>
    </row>
    <row r="22" spans="4:49" ht="15.75" x14ac:dyDescent="0.25">
      <c r="D22" s="199" t="s">
        <v>616</v>
      </c>
      <c r="E22" s="378" t="s">
        <v>396</v>
      </c>
      <c r="F22" s="379">
        <v>583</v>
      </c>
      <c r="G22" s="201" t="s">
        <v>4</v>
      </c>
      <c r="H22" s="219">
        <v>2.2400000000000002</v>
      </c>
      <c r="I22" s="202">
        <v>45896</v>
      </c>
      <c r="J22" s="200" t="s">
        <v>9</v>
      </c>
      <c r="K22" s="200"/>
      <c r="L22" s="203">
        <v>0.1</v>
      </c>
      <c r="M22" s="204">
        <f ca="1">IF(ISERROR(OFFSET(Tabella!$A$1,MATCH(J22,Tabella!$A:$A,0)-1,MATCH(L22,Tabella!$A$1:$AC$1,0)-1)=TRUE),0,+OFFSET(Tabella!$A$1,MATCH(J22,Tabella!$A:$A,0)-1,MATCH(L22,Tabella!$A$1:$AC$1,0)-1))</f>
        <v>1.75</v>
      </c>
      <c r="N22" s="205">
        <f ca="1">IF(ISERROR(OFFSET(Ottone!$A$1,MATCH(J22,Ottone!$A:$A,0)-1,MATCH(L22,Ottone!$A$1:$Z$1,0)-1)=TRUE),0,OFFSET(Ottone!$A$1,MATCH(J22,Ottone!$A:$A,0)-1,MATCH(L22,Ottone!$A$1:$Z$1,0)-1))*IF(G22="Ottone",1,0)</f>
        <v>0</v>
      </c>
      <c r="O22" s="205">
        <f ca="1">IF(ISERROR(OFFSET(Rame!$A$1,MATCH(J22,Rame!$A:$A,0)-1,MATCH(L22,Rame!$A$1:$AA$1,0)-1)=TRUE),0,OFFSET(Rame!$A$1,MATCH(J22,Rame!$A:$A,0)-1,MATCH(L22,Rame!$A$1:$AA$1,0)-1))*IF(G22="Rame",1,0)</f>
        <v>0</v>
      </c>
      <c r="P22" s="205">
        <v>0</v>
      </c>
      <c r="Q22" s="205">
        <f t="shared" ca="1" si="79"/>
        <v>1.75</v>
      </c>
      <c r="R22" s="205">
        <f ca="1">+IF(ISERROR(OFFSET(Tabella!$G$1,MATCH(J22,Tabella!$G:$G,0)-1,MATCH(K22,Tabella!$G$1:$FG$1,0)-1)=TRUE),0,OFFSET(Tabella!$G$1,MATCH(J22,Tabella!$G:$G,0)-1,MATCH(K22,Tabella!$G$1:$AB$1,0)-1))</f>
        <v>0</v>
      </c>
      <c r="S22" s="205">
        <f ca="1">IF(ISERROR(OFFSET(Ottone!$F$1,MATCH(J22,Ottone!$A:$A,0)-1,MATCH(K22,Ottone!$F$1:$FF$1,0)-1)=TRUE),0,OFFSET(Ottone!$F$1,MATCH(J22,Ottone!$A:$A,0)-1,MATCH(K22,Ottone!$F$1:$FF$1,0)-1))*IF(G22="Ottone",1,0)</f>
        <v>0</v>
      </c>
      <c r="T22" s="205">
        <f ca="1">IF(ISERROR(OFFSET(Rame!$F$1,MATCH(J22,Rame!$F:$F,0)-1,MATCH(K22,Rame!$F$1:$FF$1,0)-1)=TRUE),0,OFFSET(Rame!$F$1,MATCH(J22,Rame!$F:$F,0)-1,MATCH(K22,Rame!$F$1:$FF$1,0)-1))*IF(G22="Rame",1,0)</f>
        <v>0</v>
      </c>
      <c r="U22" s="205">
        <f ca="1">IF(ISERROR(OFFSET(Bronzo!$A$1,MATCH(J22,Bronzo!$A:$A,0)-1,MATCH(K22,Bronzo!$A$1:$AA$1,0)-1)=TRUE),0,OFFSET(Bronzo!$A$1,MATCH(J22,Bronzo!$A:$A,0)-1,MATCH(K22,Bronzo!$A$1:$AA$1,0)-1))</f>
        <v>0</v>
      </c>
      <c r="V22" s="205">
        <f t="shared" ca="1" si="80"/>
        <v>0</v>
      </c>
      <c r="W22" s="204"/>
      <c r="X22" s="205">
        <v>0</v>
      </c>
      <c r="Y22" s="206">
        <f t="shared" ca="1" si="81"/>
        <v>1.75</v>
      </c>
      <c r="Z22" s="380">
        <f t="shared" si="82"/>
        <v>58.300000000000004</v>
      </c>
      <c r="AA22" s="203">
        <v>4.55</v>
      </c>
      <c r="AB22" s="203">
        <f t="shared" ca="1" si="83"/>
        <v>0.55999999999999961</v>
      </c>
      <c r="AC22" s="238"/>
      <c r="AF22" t="s">
        <v>404</v>
      </c>
      <c r="AG22" t="s">
        <v>404</v>
      </c>
      <c r="AI22" s="367">
        <f t="shared" ca="1" si="72"/>
        <v>46092</v>
      </c>
      <c r="AJ22" s="367" t="b">
        <f t="shared" si="84"/>
        <v>1</v>
      </c>
      <c r="AK22" s="370" t="str">
        <f t="shared" si="85"/>
        <v/>
      </c>
      <c r="AN22">
        <f t="shared" si="86"/>
        <v>0</v>
      </c>
      <c r="AO22">
        <f t="shared" si="87"/>
        <v>1900</v>
      </c>
      <c r="AV22">
        <f t="shared" si="88"/>
        <v>0</v>
      </c>
      <c r="AW22">
        <f t="shared" si="89"/>
        <v>0</v>
      </c>
    </row>
    <row r="23" spans="4:49" ht="15.75" x14ac:dyDescent="0.25">
      <c r="D23" s="199" t="s">
        <v>443</v>
      </c>
      <c r="E23" s="383" t="s">
        <v>259</v>
      </c>
      <c r="F23" s="384">
        <v>110</v>
      </c>
      <c r="G23" s="201" t="s">
        <v>4</v>
      </c>
      <c r="H23" s="219">
        <v>2.2000000000000002</v>
      </c>
      <c r="I23" s="202">
        <v>45890</v>
      </c>
      <c r="J23" s="200" t="s">
        <v>305</v>
      </c>
      <c r="K23" s="200"/>
      <c r="L23" s="203">
        <v>7.0000000000000007E-2</v>
      </c>
      <c r="M23" s="204">
        <f ca="1">IF(ISERROR(OFFSET(Tabella!$A$1,MATCH(J23,Tabella!$A:$A,0)-1,MATCH(L23,Tabella!$A$1:$AC$1,0)-1)=TRUE),0,+OFFSET(Tabella!$A$1,MATCH(J23,Tabella!$A:$A,0)-1,MATCH(L23,Tabella!$A$1:$AC$1,0)-1))</f>
        <v>1.25</v>
      </c>
      <c r="N23" s="205">
        <f ca="1">IF(ISERROR(OFFSET(Ottone!$A$1,MATCH(J23,Ottone!$A:$A,0)-1,MATCH(L23,Ottone!$A$1:$Z$1,0)-1)=TRUE),0,OFFSET(Ottone!$A$1,MATCH(J23,Ottone!$A:$A,0)-1,MATCH(L23,Ottone!$A$1:$Z$1,0)-1))*IF(G23="Ottone",1,0)</f>
        <v>0</v>
      </c>
      <c r="O23" s="205">
        <f ca="1">IF(ISERROR(OFFSET(Rame!$A$1,MATCH(J23,Rame!$A:$A,0)-1,MATCH(L23,Rame!$A$1:$AA$1,0)-1)=TRUE),0,OFFSET(Rame!$A$1,MATCH(J23,Rame!$A:$A,0)-1,MATCH(L23,Rame!$A$1:$AA$1,0)-1))*IF(G23="Rame",1,0)</f>
        <v>0</v>
      </c>
      <c r="P23" s="205">
        <v>0</v>
      </c>
      <c r="Q23" s="205">
        <f t="shared" ca="1" si="79"/>
        <v>1.25</v>
      </c>
      <c r="R23" s="205">
        <f ca="1">+IF(ISERROR(OFFSET(Tabella!$G$1,MATCH(J23,Tabella!$G:$G,0)-1,MATCH(K23,Tabella!$G$1:$FG$1,0)-1)=TRUE),0,OFFSET(Tabella!$G$1,MATCH(J23,Tabella!$G:$G,0)-1,MATCH(K23,Tabella!$G$1:$AB$1,0)-1))</f>
        <v>0</v>
      </c>
      <c r="S23" s="205">
        <f ca="1">IF(ISERROR(OFFSET(Ottone!$F$1,MATCH(J23,Ottone!$A:$A,0)-1,MATCH(K23,Ottone!$F$1:$FF$1,0)-1)=TRUE),0,OFFSET(Ottone!$F$1,MATCH(J23,Ottone!$A:$A,0)-1,MATCH(K23,Ottone!$F$1:$FF$1,0)-1))*IF(G23="Ottone",1,0)</f>
        <v>0</v>
      </c>
      <c r="T23" s="205">
        <f ca="1">IF(ISERROR(OFFSET(Rame!$F$1,MATCH(J23,Rame!$F:$F,0)-1,MATCH(K23,Rame!$F$1:$FF$1,0)-1)=TRUE),0,OFFSET(Rame!$F$1,MATCH(J23,Rame!$F:$F,0)-1,MATCH(K23,Rame!$F$1:$FF$1,0)-1))*IF(G23="Rame",1,0)</f>
        <v>0</v>
      </c>
      <c r="U23" s="205">
        <f ca="1">IF(ISERROR(OFFSET(Bronzo!$A$1,MATCH(J23,Bronzo!$A:$A,0)-1,MATCH(K23,Bronzo!$A$1:$AA$1,0)-1)=TRUE),0,OFFSET(Bronzo!$A$1,MATCH(J23,Bronzo!$A:$A,0)-1,MATCH(K23,Bronzo!$A$1:$AA$1,0)-1))</f>
        <v>0</v>
      </c>
      <c r="V23" s="205">
        <f t="shared" ca="1" si="80"/>
        <v>0</v>
      </c>
      <c r="W23" s="204"/>
      <c r="X23" s="205">
        <v>0</v>
      </c>
      <c r="Y23" s="206">
        <f t="shared" ca="1" si="81"/>
        <v>1.25</v>
      </c>
      <c r="Z23" s="277">
        <f t="shared" si="82"/>
        <v>7.7000000000000011</v>
      </c>
      <c r="AA23" s="203">
        <v>3.53</v>
      </c>
      <c r="AB23" s="203">
        <f t="shared" ca="1" si="83"/>
        <v>7.9999999999999627E-2</v>
      </c>
      <c r="AC23" s="238"/>
      <c r="AF23" t="s">
        <v>404</v>
      </c>
      <c r="AH23" t="s">
        <v>418</v>
      </c>
      <c r="AI23" s="367">
        <f t="shared" ref="AI23:AI50" ca="1" si="90">TODAY()</f>
        <v>46092</v>
      </c>
      <c r="AJ23" s="367" t="b">
        <f t="shared" si="84"/>
        <v>1</v>
      </c>
      <c r="AK23" s="370" t="str">
        <f t="shared" si="85"/>
        <v/>
      </c>
      <c r="AN23">
        <f t="shared" si="86"/>
        <v>0</v>
      </c>
      <c r="AO23">
        <f t="shared" si="87"/>
        <v>1900</v>
      </c>
      <c r="AV23">
        <f t="shared" si="88"/>
        <v>0</v>
      </c>
      <c r="AW23">
        <f t="shared" si="89"/>
        <v>0</v>
      </c>
    </row>
    <row r="24" spans="4:49" ht="15.75" x14ac:dyDescent="0.25">
      <c r="D24" s="199" t="s">
        <v>443</v>
      </c>
      <c r="E24" s="200" t="s">
        <v>259</v>
      </c>
      <c r="F24" s="287">
        <v>350</v>
      </c>
      <c r="G24" s="201" t="s">
        <v>4</v>
      </c>
      <c r="H24" s="219">
        <v>2.2000000000000002</v>
      </c>
      <c r="I24" s="202">
        <v>45890</v>
      </c>
      <c r="J24" s="200" t="s">
        <v>305</v>
      </c>
      <c r="K24" s="200"/>
      <c r="L24" s="203">
        <v>7.0000000000000007E-2</v>
      </c>
      <c r="M24" s="204">
        <f ca="1">IF(ISERROR(OFFSET(Tabella!$A$1,MATCH(J24,Tabella!$A:$A,0)-1,MATCH(L24,Tabella!$A$1:$AC$1,0)-1)=TRUE),0,+OFFSET(Tabella!$A$1,MATCH(J24,Tabella!$A:$A,0)-1,MATCH(L24,Tabella!$A$1:$AC$1,0)-1))</f>
        <v>1.25</v>
      </c>
      <c r="N24" s="205">
        <f ca="1">IF(ISERROR(OFFSET(Ottone!$A$1,MATCH(J24,Ottone!$A:$A,0)-1,MATCH(L24,Ottone!$A$1:$Z$1,0)-1)=TRUE),0,OFFSET(Ottone!$A$1,MATCH(J24,Ottone!$A:$A,0)-1,MATCH(L24,Ottone!$A$1:$Z$1,0)-1))*IF(G24="Ottone",1,0)</f>
        <v>0</v>
      </c>
      <c r="O24" s="205">
        <f ca="1">IF(ISERROR(OFFSET(Rame!$A$1,MATCH(J24,Rame!$A:$A,0)-1,MATCH(L24,Rame!$A$1:$AA$1,0)-1)=TRUE),0,OFFSET(Rame!$A$1,MATCH(J24,Rame!$A:$A,0)-1,MATCH(L24,Rame!$A$1:$AA$1,0)-1))*IF(G24="Rame",1,0)</f>
        <v>0</v>
      </c>
      <c r="P24" s="205">
        <v>0</v>
      </c>
      <c r="Q24" s="205">
        <f t="shared" ca="1" si="79"/>
        <v>1.25</v>
      </c>
      <c r="R24" s="205">
        <f ca="1">+IF(ISERROR(OFFSET(Tabella!$G$1,MATCH(J24,Tabella!$G:$G,0)-1,MATCH(K24,Tabella!$G$1:$FG$1,0)-1)=TRUE),0,OFFSET(Tabella!$G$1,MATCH(J24,Tabella!$G:$G,0)-1,MATCH(K24,Tabella!$G$1:$AB$1,0)-1))</f>
        <v>0</v>
      </c>
      <c r="S24" s="205">
        <f ca="1">IF(ISERROR(OFFSET(Ottone!$F$1,MATCH(J24,Ottone!$A:$A,0)-1,MATCH(K24,Ottone!$F$1:$FF$1,0)-1)=TRUE),0,OFFSET(Ottone!$F$1,MATCH(J24,Ottone!$A:$A,0)-1,MATCH(K24,Ottone!$F$1:$FF$1,0)-1))*IF(G24="Ottone",1,0)</f>
        <v>0</v>
      </c>
      <c r="T24" s="205">
        <f ca="1">IF(ISERROR(OFFSET(Rame!$F$1,MATCH(J24,Rame!$F:$F,0)-1,MATCH(K24,Rame!$F$1:$FF$1,0)-1)=TRUE),0,OFFSET(Rame!$F$1,MATCH(J24,Rame!$F:$F,0)-1,MATCH(K24,Rame!$F$1:$FF$1,0)-1))*IF(G24="Rame",1,0)</f>
        <v>0</v>
      </c>
      <c r="U24" s="205">
        <f ca="1">IF(ISERROR(OFFSET(Bronzo!$A$1,MATCH(J24,Bronzo!$A:$A,0)-1,MATCH(K24,Bronzo!$A$1:$AA$1,0)-1)=TRUE),0,OFFSET(Bronzo!$A$1,MATCH(J24,Bronzo!$A:$A,0)-1,MATCH(K24,Bronzo!$A$1:$AA$1,0)-1))</f>
        <v>0</v>
      </c>
      <c r="V24" s="205">
        <f t="shared" ca="1" si="80"/>
        <v>0</v>
      </c>
      <c r="W24" s="204"/>
      <c r="X24" s="205">
        <v>0</v>
      </c>
      <c r="Y24" s="206">
        <f t="shared" ca="1" si="81"/>
        <v>1.25</v>
      </c>
      <c r="Z24" s="277">
        <f t="shared" si="82"/>
        <v>24.500000000000004</v>
      </c>
      <c r="AA24" s="203">
        <v>3.53</v>
      </c>
      <c r="AB24" s="203">
        <f t="shared" ca="1" si="83"/>
        <v>7.9999999999999627E-2</v>
      </c>
      <c r="AC24" s="238">
        <v>45947</v>
      </c>
      <c r="AF24" t="s">
        <v>404</v>
      </c>
      <c r="AI24" s="367">
        <f t="shared" ca="1" si="90"/>
        <v>46092</v>
      </c>
      <c r="AJ24" s="367" t="b">
        <f t="shared" si="84"/>
        <v>0</v>
      </c>
      <c r="AK24" s="370">
        <f t="shared" ca="1" si="85"/>
        <v>-145</v>
      </c>
      <c r="AN24">
        <f t="shared" si="86"/>
        <v>42</v>
      </c>
      <c r="AO24">
        <f t="shared" si="87"/>
        <v>2025</v>
      </c>
      <c r="AV24">
        <f t="shared" si="88"/>
        <v>10</v>
      </c>
      <c r="AW24">
        <f t="shared" si="89"/>
        <v>2025</v>
      </c>
    </row>
    <row r="25" spans="4:49" ht="15.75" x14ac:dyDescent="0.25">
      <c r="D25" s="199" t="s">
        <v>443</v>
      </c>
      <c r="E25" s="200" t="s">
        <v>259</v>
      </c>
      <c r="F25" s="287">
        <v>850</v>
      </c>
      <c r="G25" s="201" t="s">
        <v>4</v>
      </c>
      <c r="H25" s="219">
        <v>2.2000000000000002</v>
      </c>
      <c r="I25" s="202">
        <v>45890</v>
      </c>
      <c r="J25" s="200" t="s">
        <v>23</v>
      </c>
      <c r="K25" s="200"/>
      <c r="L25" s="203">
        <v>7.0000000000000007E-2</v>
      </c>
      <c r="M25" s="204">
        <f ca="1">IF(ISERROR(OFFSET(Tabella!$A$1,MATCH(J25,Tabella!$A:$A,0)-1,MATCH(L25,Tabella!$A$1:$AC$1,0)-1)=TRUE),0,+OFFSET(Tabella!$A$1,MATCH(J25,Tabella!$A:$A,0)-1,MATCH(L25,Tabella!$A$1:$AC$1,0)-1))</f>
        <v>1.25</v>
      </c>
      <c r="N25" s="205">
        <f ca="1">IF(ISERROR(OFFSET(Ottone!$A$1,MATCH(J25,Ottone!$A:$A,0)-1,MATCH(L25,Ottone!$A$1:$Z$1,0)-1)=TRUE),0,OFFSET(Ottone!$A$1,MATCH(J25,Ottone!$A:$A,0)-1,MATCH(L25,Ottone!$A$1:$Z$1,0)-1))*IF(G25="Ottone",1,0)</f>
        <v>0</v>
      </c>
      <c r="O25" s="205">
        <f ca="1">IF(ISERROR(OFFSET(Rame!$A$1,MATCH(J25,Rame!$A:$A,0)-1,MATCH(L25,Rame!$A$1:$AA$1,0)-1)=TRUE),0,OFFSET(Rame!$A$1,MATCH(J25,Rame!$A:$A,0)-1,MATCH(L25,Rame!$A$1:$AA$1,0)-1))*IF(G25="Rame",1,0)</f>
        <v>0</v>
      </c>
      <c r="P25" s="205">
        <v>0</v>
      </c>
      <c r="Q25" s="205">
        <f t="shared" ca="1" si="79"/>
        <v>1.25</v>
      </c>
      <c r="R25" s="205">
        <f ca="1">+IF(ISERROR(OFFSET(Tabella!$G$1,MATCH(J25,Tabella!$G:$G,0)-1,MATCH(K25,Tabella!$G$1:$FG$1,0)-1)=TRUE),0,OFFSET(Tabella!$G$1,MATCH(J25,Tabella!$G:$G,0)-1,MATCH(K25,Tabella!$G$1:$AB$1,0)-1))</f>
        <v>0</v>
      </c>
      <c r="S25" s="205">
        <f ca="1">IF(ISERROR(OFFSET(Ottone!$F$1,MATCH(J25,Ottone!$A:$A,0)-1,MATCH(K25,Ottone!$F$1:$FF$1,0)-1)=TRUE),0,OFFSET(Ottone!$F$1,MATCH(J25,Ottone!$A:$A,0)-1,MATCH(K25,Ottone!$F$1:$FF$1,0)-1))*IF(G25="Ottone",1,0)</f>
        <v>0</v>
      </c>
      <c r="T25" s="205">
        <f ca="1">IF(ISERROR(OFFSET(Rame!$F$1,MATCH(J25,Rame!$F:$F,0)-1,MATCH(K25,Rame!$F$1:$FF$1,0)-1)=TRUE),0,OFFSET(Rame!$F$1,MATCH(J25,Rame!$F:$F,0)-1,MATCH(K25,Rame!$F$1:$FF$1,0)-1))*IF(G25="Rame",1,0)</f>
        <v>0</v>
      </c>
      <c r="U25" s="205">
        <f ca="1">IF(ISERROR(OFFSET(Bronzo!$A$1,MATCH(J25,Bronzo!$A:$A,0)-1,MATCH(K25,Bronzo!$A$1:$AA$1,0)-1)=TRUE),0,OFFSET(Bronzo!$A$1,MATCH(J25,Bronzo!$A:$A,0)-1,MATCH(K25,Bronzo!$A$1:$AA$1,0)-1))</f>
        <v>0</v>
      </c>
      <c r="V25" s="205">
        <f t="shared" ca="1" si="80"/>
        <v>0</v>
      </c>
      <c r="W25" s="204"/>
      <c r="X25" s="205">
        <v>0</v>
      </c>
      <c r="Y25" s="206">
        <f t="shared" ca="1" si="81"/>
        <v>1.25</v>
      </c>
      <c r="Z25" s="277">
        <f t="shared" si="82"/>
        <v>59.500000000000007</v>
      </c>
      <c r="AA25" s="203">
        <v>3.53</v>
      </c>
      <c r="AB25" s="203">
        <f t="shared" ca="1" si="83"/>
        <v>7.9999999999999627E-2</v>
      </c>
      <c r="AC25" s="238">
        <v>45933</v>
      </c>
      <c r="AF25" t="s">
        <v>404</v>
      </c>
      <c r="AI25" s="367">
        <f t="shared" ca="1" si="90"/>
        <v>46092</v>
      </c>
      <c r="AJ25" s="367" t="b">
        <f t="shared" si="84"/>
        <v>0</v>
      </c>
      <c r="AK25" s="370">
        <f t="shared" ca="1" si="85"/>
        <v>-159</v>
      </c>
      <c r="AN25">
        <f t="shared" si="86"/>
        <v>40</v>
      </c>
      <c r="AO25">
        <f t="shared" si="87"/>
        <v>2025</v>
      </c>
      <c r="AV25">
        <f t="shared" si="88"/>
        <v>10</v>
      </c>
      <c r="AW25">
        <f t="shared" si="89"/>
        <v>2025</v>
      </c>
    </row>
    <row r="26" spans="4:49" ht="15.75" x14ac:dyDescent="0.25">
      <c r="D26" s="199" t="s">
        <v>575</v>
      </c>
      <c r="E26" s="378" t="s">
        <v>330</v>
      </c>
      <c r="F26" s="379">
        <v>6532</v>
      </c>
      <c r="G26" s="201" t="s">
        <v>4</v>
      </c>
      <c r="H26" s="391">
        <v>2.2599999999999998</v>
      </c>
      <c r="I26" s="202">
        <v>45895</v>
      </c>
      <c r="J26" s="200" t="s">
        <v>314</v>
      </c>
      <c r="K26" s="200"/>
      <c r="L26" s="203">
        <v>7.0000000000000007E-2</v>
      </c>
      <c r="M26" s="204">
        <f ca="1">IF(ISERROR(OFFSET(Tabella!$A$1,MATCH(J26,Tabella!$A:$A,0)-1,MATCH(L26,Tabella!$A$1:$AC$1,0)-1)=TRUE),0,+OFFSET(Tabella!$A$1,MATCH(J26,Tabella!$A:$A,0)-1,MATCH(L26,Tabella!$A$1:$AC$1,0)-1))</f>
        <v>1.25</v>
      </c>
      <c r="N26" s="205">
        <f ca="1">IF(ISERROR(OFFSET(Ottone!$A$1,MATCH(J26,Ottone!$A:$A,0)-1,MATCH(L26,Ottone!$A$1:$Z$1,0)-1)=TRUE),0,OFFSET(Ottone!$A$1,MATCH(J26,Ottone!$A:$A,0)-1,MATCH(L26,Ottone!$A$1:$Z$1,0)-1))*IF(G26="Ottone",1,0)</f>
        <v>0</v>
      </c>
      <c r="O26" s="205">
        <f ca="1">IF(ISERROR(OFFSET(Rame!$A$1,MATCH(J26,Rame!$A:$A,0)-1,MATCH(L26,Rame!$A$1:$AA$1,0)-1)=TRUE),0,OFFSET(Rame!$A$1,MATCH(J26,Rame!$A:$A,0)-1,MATCH(L26,Rame!$A$1:$AA$1,0)-1))*IF(G26="Rame",1,0)</f>
        <v>0</v>
      </c>
      <c r="P26" s="205">
        <v>0</v>
      </c>
      <c r="Q26" s="205">
        <f t="shared" ca="1" si="79"/>
        <v>1.25</v>
      </c>
      <c r="R26" s="205">
        <f ca="1">+IF(ISERROR(OFFSET(Tabella!$G$1,MATCH(J26,Tabella!$G:$G,0)-1,MATCH(K26,Tabella!$G$1:$FG$1,0)-1)=TRUE),0,OFFSET(Tabella!$G$1,MATCH(J26,Tabella!$G:$G,0)-1,MATCH(K26,Tabella!$G$1:$AB$1,0)-1))</f>
        <v>0</v>
      </c>
      <c r="S26" s="205">
        <f ca="1">IF(ISERROR(OFFSET(Ottone!$F$1,MATCH(J26,Ottone!$A:$A,0)-1,MATCH(K26,Ottone!$F$1:$FF$1,0)-1)=TRUE),0,OFFSET(Ottone!$F$1,MATCH(J26,Ottone!$A:$A,0)-1,MATCH(K26,Ottone!$F$1:$FF$1,0)-1))*IF(G26="Ottone",1,0)</f>
        <v>0</v>
      </c>
      <c r="T26" s="205">
        <f ca="1">IF(ISERROR(OFFSET(Rame!$F$1,MATCH(J26,Rame!$F:$F,0)-1,MATCH(K26,Rame!$F$1:$FF$1,0)-1)=TRUE),0,OFFSET(Rame!$F$1,MATCH(J26,Rame!$F:$F,0)-1,MATCH(K26,Rame!$F$1:$FF$1,0)-1))*IF(G26="Rame",1,0)</f>
        <v>0</v>
      </c>
      <c r="U26" s="205">
        <f ca="1">IF(ISERROR(OFFSET(Bronzo!$A$1,MATCH(J26,Bronzo!$A:$A,0)-1,MATCH(K26,Bronzo!$A$1:$AA$1,0)-1)=TRUE),0,OFFSET(Bronzo!$A$1,MATCH(J26,Bronzo!$A:$A,0)-1,MATCH(K26,Bronzo!$A$1:$AA$1,0)-1))</f>
        <v>0</v>
      </c>
      <c r="V26" s="205">
        <f t="shared" ca="1" si="80"/>
        <v>0</v>
      </c>
      <c r="W26" s="204"/>
      <c r="X26" s="205">
        <v>0</v>
      </c>
      <c r="Y26" s="206">
        <f t="shared" ca="1" si="81"/>
        <v>1.25</v>
      </c>
      <c r="Z26" s="380">
        <f t="shared" si="82"/>
        <v>457.24000000000007</v>
      </c>
      <c r="AA26" s="392">
        <v>3.86</v>
      </c>
      <c r="AB26" s="203">
        <f t="shared" ca="1" si="83"/>
        <v>0.35000000000000009</v>
      </c>
      <c r="AC26" s="238"/>
      <c r="AF26" t="s">
        <v>404</v>
      </c>
      <c r="AG26" t="s">
        <v>404</v>
      </c>
      <c r="AI26" s="367">
        <f t="shared" ca="1" si="90"/>
        <v>46092</v>
      </c>
      <c r="AJ26" s="367" t="b">
        <f t="shared" si="84"/>
        <v>1</v>
      </c>
      <c r="AK26" s="370" t="str">
        <f t="shared" si="85"/>
        <v/>
      </c>
      <c r="AN26">
        <f t="shared" si="86"/>
        <v>0</v>
      </c>
      <c r="AO26">
        <f t="shared" si="87"/>
        <v>1900</v>
      </c>
      <c r="AV26">
        <f t="shared" si="88"/>
        <v>0</v>
      </c>
      <c r="AW26">
        <f t="shared" si="89"/>
        <v>0</v>
      </c>
    </row>
    <row r="27" spans="4:49" ht="15.75" x14ac:dyDescent="0.25">
      <c r="D27" s="199" t="s">
        <v>460</v>
      </c>
      <c r="E27" s="378" t="s">
        <v>212</v>
      </c>
      <c r="F27" s="379">
        <v>5491</v>
      </c>
      <c r="G27" s="201" t="s">
        <v>4</v>
      </c>
      <c r="H27" s="219">
        <v>2.23</v>
      </c>
      <c r="I27" s="202">
        <v>45901</v>
      </c>
      <c r="J27" s="200" t="s">
        <v>314</v>
      </c>
      <c r="K27" s="200"/>
      <c r="L27" s="203">
        <v>0.05</v>
      </c>
      <c r="M27" s="204">
        <f ca="1">IF(ISERROR(OFFSET(Tabella!$A$1,MATCH(J27,Tabella!$A:$A,0)-1,MATCH(L27,Tabella!$A$1:$AC$1,0)-1)=TRUE),0,+OFFSET(Tabella!$A$1,MATCH(J27,Tabella!$A:$A,0)-1,MATCH(L27,Tabella!$A$1:$AC$1,0)-1))</f>
        <v>0</v>
      </c>
      <c r="N27" s="205">
        <f ca="1">IF(ISERROR(OFFSET(Ottone!$A$1,MATCH(J27,Ottone!$A:$A,0)-1,MATCH(L27,Ottone!$A$1:$Z$1,0)-1)=TRUE),0,OFFSET(Ottone!$A$1,MATCH(J27,Ottone!$A:$A,0)-1,MATCH(L27,Ottone!$A$1:$Z$1,0)-1))*IF(G27="Ottone",1,0)</f>
        <v>0</v>
      </c>
      <c r="O27" s="205">
        <f ca="1">IF(ISERROR(OFFSET(Rame!$A$1,MATCH(J27,Rame!$A:$A,0)-1,MATCH(L27,Rame!$A$1:$AA$1,0)-1)=TRUE),0,OFFSET(Rame!$A$1,MATCH(J27,Rame!$A:$A,0)-1,MATCH(L27,Rame!$A$1:$AA$1,0)-1))*IF(G27="Rame",1,0)</f>
        <v>0</v>
      </c>
      <c r="P27" s="205">
        <v>0</v>
      </c>
      <c r="Q27" s="205">
        <v>1.25</v>
      </c>
      <c r="R27" s="205">
        <f ca="1">+IF(ISERROR(OFFSET(Tabella!$G$1,MATCH(J27,Tabella!$G:$G,0)-1,MATCH(K27,Tabella!$G$1:$FG$1,0)-1)=TRUE),0,OFFSET(Tabella!$G$1,MATCH(J27,Tabella!$G:$G,0)-1,MATCH(K27,Tabella!$G$1:$AB$1,0)-1))</f>
        <v>0</v>
      </c>
      <c r="S27" s="205">
        <f ca="1">IF(ISERROR(OFFSET(Ottone!$F$1,MATCH(J27,Ottone!$A:$A,0)-1,MATCH(K27,Ottone!$F$1:$FF$1,0)-1)=TRUE),0,OFFSET(Ottone!$F$1,MATCH(J27,Ottone!$A:$A,0)-1,MATCH(K27,Ottone!$F$1:$FF$1,0)-1))*IF(G27="Ottone",1,0)</f>
        <v>0</v>
      </c>
      <c r="T27" s="205">
        <f ca="1">IF(ISERROR(OFFSET(Rame!$F$1,MATCH(J27,Rame!$F:$F,0)-1,MATCH(K27,Rame!$F$1:$FF$1,0)-1)=TRUE),0,OFFSET(Rame!$F$1,MATCH(J27,Rame!$F:$F,0)-1,MATCH(K27,Rame!$F$1:$FF$1,0)-1))*IF(G27="Rame",1,0)</f>
        <v>0</v>
      </c>
      <c r="U27" s="205">
        <f ca="1">IF(ISERROR(OFFSET(Bronzo!$A$1,MATCH(J27,Bronzo!$A:$A,0)-1,MATCH(K27,Bronzo!$A$1:$AA$1,0)-1)=TRUE),0,OFFSET(Bronzo!$A$1,MATCH(J27,Bronzo!$A:$A,0)-1,MATCH(K27,Bronzo!$A$1:$AA$1,0)-1))</f>
        <v>0</v>
      </c>
      <c r="V27" s="205">
        <f t="shared" ca="1" si="80"/>
        <v>0</v>
      </c>
      <c r="W27" s="204"/>
      <c r="X27" s="205">
        <v>0</v>
      </c>
      <c r="Y27" s="206">
        <f t="shared" ca="1" si="81"/>
        <v>1.25</v>
      </c>
      <c r="Z27" s="380">
        <f t="shared" si="82"/>
        <v>274.55</v>
      </c>
      <c r="AA27" s="203">
        <v>3.6</v>
      </c>
      <c r="AB27" s="203">
        <f t="shared" ca="1" si="83"/>
        <v>0.12000000000000011</v>
      </c>
      <c r="AC27" s="238"/>
      <c r="AF27" t="s">
        <v>404</v>
      </c>
      <c r="AG27" t="s">
        <v>404</v>
      </c>
      <c r="AI27" s="367">
        <f t="shared" ca="1" si="90"/>
        <v>46092</v>
      </c>
      <c r="AJ27" s="367" t="b">
        <f t="shared" si="84"/>
        <v>1</v>
      </c>
      <c r="AK27" s="370" t="str">
        <f t="shared" si="85"/>
        <v/>
      </c>
      <c r="AN27">
        <f t="shared" si="86"/>
        <v>0</v>
      </c>
      <c r="AO27">
        <f t="shared" si="87"/>
        <v>1900</v>
      </c>
      <c r="AV27">
        <f t="shared" si="88"/>
        <v>0</v>
      </c>
      <c r="AW27">
        <f t="shared" si="89"/>
        <v>0</v>
      </c>
    </row>
    <row r="28" spans="4:49" ht="15.75" x14ac:dyDescent="0.25">
      <c r="D28" s="199" t="s">
        <v>458</v>
      </c>
      <c r="E28" s="378" t="s">
        <v>212</v>
      </c>
      <c r="F28" s="379">
        <v>5050</v>
      </c>
      <c r="G28" s="201" t="s">
        <v>4</v>
      </c>
      <c r="H28" s="219">
        <v>2.23</v>
      </c>
      <c r="I28" s="202">
        <v>45901</v>
      </c>
      <c r="J28" s="200" t="s">
        <v>26</v>
      </c>
      <c r="K28" s="200"/>
      <c r="L28" s="203">
        <v>0.05</v>
      </c>
      <c r="M28" s="203">
        <v>0.05</v>
      </c>
      <c r="N28" s="203">
        <v>0.05</v>
      </c>
      <c r="O28" s="203">
        <v>0.05</v>
      </c>
      <c r="P28" s="203">
        <v>0.05</v>
      </c>
      <c r="Q28" s="203">
        <v>0.05</v>
      </c>
      <c r="R28" s="205">
        <f ca="1">+IF(ISERROR(OFFSET(Tabella!$G$1,MATCH(J28,Tabella!$G:$G,0)-1,MATCH(K28,Tabella!$G$1:$FG$1,0)-1)=TRUE),0,OFFSET(Tabella!$G$1,MATCH(J28,Tabella!$G:$G,0)-1,MATCH(K28,Tabella!$G$1:$AB$1,0)-1))</f>
        <v>0</v>
      </c>
      <c r="S28" s="205">
        <f ca="1">IF(ISERROR(OFFSET(Ottone!$F$1,MATCH(J28,Ottone!$A:$A,0)-1,MATCH(K28,Ottone!$F$1:$FF$1,0)-1)=TRUE),0,OFFSET(Ottone!$F$1,MATCH(J28,Ottone!$A:$A,0)-1,MATCH(K28,Ottone!$F$1:$FF$1,0)-1))*IF(G28="Ottone",1,0)</f>
        <v>0</v>
      </c>
      <c r="T28" s="205">
        <f ca="1">IF(ISERROR(OFFSET(Rame!$F$1,MATCH(J28,Rame!$F:$F,0)-1,MATCH(K28,Rame!$F$1:$FF$1,0)-1)=TRUE),0,OFFSET(Rame!$F$1,MATCH(J28,Rame!$F:$F,0)-1,MATCH(K28,Rame!$F$1:$FF$1,0)-1))*IF(G28="Rame",1,0)</f>
        <v>0</v>
      </c>
      <c r="U28" s="205">
        <f ca="1">IF(ISERROR(OFFSET(Bronzo!$A$1,MATCH(J28,Bronzo!$A:$A,0)-1,MATCH(K28,Bronzo!$A$1:$AA$1,0)-1)=TRUE),0,OFFSET(Bronzo!$A$1,MATCH(J28,Bronzo!$A:$A,0)-1,MATCH(K28,Bronzo!$A$1:$AA$1,0)-1))</f>
        <v>0</v>
      </c>
      <c r="V28" s="205">
        <f t="shared" ca="1" si="80"/>
        <v>0</v>
      </c>
      <c r="W28" s="204"/>
      <c r="X28" s="205">
        <v>0</v>
      </c>
      <c r="Y28" s="206">
        <f t="shared" ca="1" si="81"/>
        <v>0.05</v>
      </c>
      <c r="Z28" s="380">
        <f t="shared" si="82"/>
        <v>252.5</v>
      </c>
      <c r="AA28" s="203">
        <v>3.6</v>
      </c>
      <c r="AB28" s="203">
        <f t="shared" ca="1" si="83"/>
        <v>1.3200000000000003</v>
      </c>
      <c r="AC28" s="238"/>
      <c r="AF28" t="s">
        <v>404</v>
      </c>
      <c r="AG28" t="s">
        <v>404</v>
      </c>
      <c r="AI28" s="367">
        <f t="shared" ca="1" si="90"/>
        <v>46092</v>
      </c>
      <c r="AJ28" s="367" t="b">
        <f t="shared" si="84"/>
        <v>1</v>
      </c>
      <c r="AK28" s="370" t="str">
        <f t="shared" si="85"/>
        <v/>
      </c>
      <c r="AN28">
        <f t="shared" si="86"/>
        <v>0</v>
      </c>
      <c r="AO28">
        <f t="shared" si="87"/>
        <v>1900</v>
      </c>
      <c r="AV28">
        <f t="shared" si="88"/>
        <v>0</v>
      </c>
      <c r="AW28">
        <f t="shared" si="89"/>
        <v>0</v>
      </c>
    </row>
    <row r="29" spans="4:49" ht="15.75" x14ac:dyDescent="0.25">
      <c r="D29" s="199" t="s">
        <v>474</v>
      </c>
      <c r="E29" s="378" t="s">
        <v>212</v>
      </c>
      <c r="F29" s="379">
        <v>5766</v>
      </c>
      <c r="G29" s="201" t="s">
        <v>4</v>
      </c>
      <c r="H29" s="219">
        <v>2.23</v>
      </c>
      <c r="I29" s="202">
        <v>45901</v>
      </c>
      <c r="J29" s="200" t="s">
        <v>26</v>
      </c>
      <c r="K29" s="200"/>
      <c r="L29" s="203">
        <v>0.05</v>
      </c>
      <c r="M29" s="203">
        <v>0.05</v>
      </c>
      <c r="N29" s="203">
        <v>0.05</v>
      </c>
      <c r="O29" s="203">
        <v>0.05</v>
      </c>
      <c r="P29" s="203">
        <v>0.05</v>
      </c>
      <c r="Q29" s="203">
        <v>0.05</v>
      </c>
      <c r="R29" s="205">
        <f ca="1">+IF(ISERROR(OFFSET(Tabella!$G$1,MATCH(J29,Tabella!$G:$G,0)-1,MATCH(K29,Tabella!$G$1:$FG$1,0)-1)=TRUE),0,OFFSET(Tabella!$G$1,MATCH(J29,Tabella!$G:$G,0)-1,MATCH(K29,Tabella!$G$1:$AB$1,0)-1))</f>
        <v>0</v>
      </c>
      <c r="S29" s="205">
        <f ca="1">IF(ISERROR(OFFSET(Ottone!$F$1,MATCH(J29,Ottone!$A:$A,0)-1,MATCH(K29,Ottone!$F$1:$FF$1,0)-1)=TRUE),0,OFFSET(Ottone!$F$1,MATCH(J29,Ottone!$A:$A,0)-1,MATCH(K29,Ottone!$F$1:$FF$1,0)-1))*IF(G29="Ottone",1,0)</f>
        <v>0</v>
      </c>
      <c r="T29" s="205">
        <f ca="1">IF(ISERROR(OFFSET(Rame!$F$1,MATCH(J29,Rame!$F:$F,0)-1,MATCH(K29,Rame!$F$1:$FF$1,0)-1)=TRUE),0,OFFSET(Rame!$F$1,MATCH(J29,Rame!$F:$F,0)-1,MATCH(K29,Rame!$F$1:$FF$1,0)-1))*IF(G29="Rame",1,0)</f>
        <v>0</v>
      </c>
      <c r="U29" s="205">
        <f ca="1">IF(ISERROR(OFFSET(Bronzo!$A$1,MATCH(J29,Bronzo!$A:$A,0)-1,MATCH(K29,Bronzo!$A$1:$AA$1,0)-1)=TRUE),0,OFFSET(Bronzo!$A$1,MATCH(J29,Bronzo!$A:$A,0)-1,MATCH(K29,Bronzo!$A$1:$AA$1,0)-1))</f>
        <v>0</v>
      </c>
      <c r="V29" s="205">
        <f t="shared" ref="V29:V56" ca="1" si="91">SUM(R29:U29)</f>
        <v>0</v>
      </c>
      <c r="W29" s="204"/>
      <c r="X29" s="205">
        <v>0</v>
      </c>
      <c r="Y29" s="206">
        <f t="shared" ref="Y29:Y56" ca="1" si="92">+Q29+V29+W29+X29</f>
        <v>0.05</v>
      </c>
      <c r="Z29" s="380">
        <f t="shared" ref="Z29:Z56" si="93">+L29*F29</f>
        <v>288.3</v>
      </c>
      <c r="AA29" s="203">
        <v>3.6</v>
      </c>
      <c r="AB29" s="203">
        <f t="shared" ref="AB29:AB56" ca="1" si="94">+AA29-Y29-H29</f>
        <v>1.3200000000000003</v>
      </c>
      <c r="AC29" s="238"/>
      <c r="AF29" t="s">
        <v>404</v>
      </c>
      <c r="AG29" t="s">
        <v>404</v>
      </c>
      <c r="AI29" s="367">
        <f t="shared" ca="1" si="90"/>
        <v>46092</v>
      </c>
      <c r="AJ29" s="367" t="b">
        <f t="shared" si="84"/>
        <v>1</v>
      </c>
      <c r="AK29" s="370" t="str">
        <f t="shared" si="85"/>
        <v/>
      </c>
      <c r="AN29">
        <f t="shared" si="86"/>
        <v>0</v>
      </c>
      <c r="AO29">
        <f t="shared" si="87"/>
        <v>1900</v>
      </c>
      <c r="AV29">
        <f t="shared" si="88"/>
        <v>0</v>
      </c>
      <c r="AW29">
        <f t="shared" si="89"/>
        <v>0</v>
      </c>
    </row>
    <row r="30" spans="4:49" ht="15.75" x14ac:dyDescent="0.25">
      <c r="D30" s="199" t="s">
        <v>430</v>
      </c>
      <c r="E30" s="375" t="s">
        <v>259</v>
      </c>
      <c r="F30" s="376">
        <v>6450</v>
      </c>
      <c r="G30" s="201" t="s">
        <v>4</v>
      </c>
      <c r="H30" s="219">
        <v>2.2000000000000002</v>
      </c>
      <c r="I30" s="202">
        <v>45890</v>
      </c>
      <c r="J30" s="200" t="s">
        <v>21</v>
      </c>
      <c r="K30" s="200"/>
      <c r="L30" s="203">
        <v>0.05</v>
      </c>
      <c r="M30" s="204">
        <f ca="1">IF(ISERROR(OFFSET(Tabella!$A$1,MATCH(J30,Tabella!$A:$A,0)-1,MATCH(L30,Tabella!$A$1:$AC$1,0)-1)=TRUE),0,+OFFSET(Tabella!$A$1,MATCH(J30,Tabella!$A:$A,0)-1,MATCH(L30,Tabella!$A$1:$AC$1,0)-1))</f>
        <v>0</v>
      </c>
      <c r="N30" s="205">
        <f ca="1">IF(ISERROR(OFFSET(Ottone!$A$1,MATCH(J30,Ottone!$A:$A,0)-1,MATCH(L30,Ottone!$A$1:$Z$1,0)-1)=TRUE),0,OFFSET(Ottone!$A$1,MATCH(J30,Ottone!$A:$A,0)-1,MATCH(L30,Ottone!$A$1:$Z$1,0)-1))*IF(G30="Ottone",1,0)</f>
        <v>0</v>
      </c>
      <c r="O30" s="205">
        <f ca="1">IF(ISERROR(OFFSET(Rame!$A$1,MATCH(J30,Rame!$A:$A,0)-1,MATCH(L30,Rame!$A$1:$AA$1,0)-1)=TRUE),0,OFFSET(Rame!$A$1,MATCH(J30,Rame!$A:$A,0)-1,MATCH(L30,Rame!$A$1:$AA$1,0)-1))*IF(G30="Rame",1,0)</f>
        <v>0</v>
      </c>
      <c r="P30" s="205">
        <v>0</v>
      </c>
      <c r="Q30" s="205">
        <v>1.25</v>
      </c>
      <c r="R30" s="205">
        <f ca="1">+IF(ISERROR(OFFSET(Tabella!$G$1,MATCH(J30,Tabella!$G:$G,0)-1,MATCH(K30,Tabella!$G$1:$FG$1,0)-1)=TRUE),0,OFFSET(Tabella!$G$1,MATCH(J30,Tabella!$G:$G,0)-1,MATCH(K30,Tabella!$G$1:$AB$1,0)-1))</f>
        <v>0</v>
      </c>
      <c r="S30" s="205">
        <f ca="1">IF(ISERROR(OFFSET(Ottone!$F$1,MATCH(J30,Ottone!$A:$A,0)-1,MATCH(K30,Ottone!$F$1:$FF$1,0)-1)=TRUE),0,OFFSET(Ottone!$F$1,MATCH(J30,Ottone!$A:$A,0)-1,MATCH(K30,Ottone!$F$1:$FF$1,0)-1))*IF(G30="Ottone",1,0)</f>
        <v>0</v>
      </c>
      <c r="T30" s="205">
        <f ca="1">IF(ISERROR(OFFSET(Rame!$F$1,MATCH(J30,Rame!$F:$F,0)-1,MATCH(K30,Rame!$F$1:$FF$1,0)-1)=TRUE),0,OFFSET(Rame!$F$1,MATCH(J30,Rame!$F:$F,0)-1,MATCH(K30,Rame!$F$1:$FF$1,0)-1))*IF(G30="Rame",1,0)</f>
        <v>0</v>
      </c>
      <c r="U30" s="205">
        <f ca="1">IF(ISERROR(OFFSET(Bronzo!$A$1,MATCH(J30,Bronzo!$A:$A,0)-1,MATCH(K30,Bronzo!$A$1:$AA$1,0)-1)=TRUE),0,OFFSET(Bronzo!$A$1,MATCH(J30,Bronzo!$A:$A,0)-1,MATCH(K30,Bronzo!$A$1:$AA$1,0)-1))</f>
        <v>0</v>
      </c>
      <c r="V30" s="205">
        <f t="shared" ca="1" si="91"/>
        <v>0</v>
      </c>
      <c r="W30" s="204"/>
      <c r="X30" s="205">
        <v>0</v>
      </c>
      <c r="Y30" s="206">
        <f t="shared" ca="1" si="92"/>
        <v>1.25</v>
      </c>
      <c r="Z30" s="277">
        <f t="shared" si="93"/>
        <v>322.5</v>
      </c>
      <c r="AA30" s="203">
        <v>3.53</v>
      </c>
      <c r="AB30" s="203">
        <f t="shared" ca="1" si="94"/>
        <v>7.9999999999999627E-2</v>
      </c>
      <c r="AC30" s="238">
        <v>45991</v>
      </c>
      <c r="AF30" t="s">
        <v>404</v>
      </c>
      <c r="AI30" s="367">
        <f t="shared" ca="1" si="90"/>
        <v>46092</v>
      </c>
      <c r="AJ30" s="367" t="b">
        <f t="shared" si="84"/>
        <v>0</v>
      </c>
      <c r="AK30" s="370">
        <f t="shared" ca="1" si="85"/>
        <v>-101</v>
      </c>
      <c r="AN30">
        <f t="shared" si="86"/>
        <v>49</v>
      </c>
      <c r="AO30">
        <f t="shared" si="87"/>
        <v>2025</v>
      </c>
      <c r="AV30">
        <f t="shared" si="88"/>
        <v>11</v>
      </c>
      <c r="AW30">
        <f t="shared" si="89"/>
        <v>2025</v>
      </c>
    </row>
    <row r="31" spans="4:49" ht="15.75" x14ac:dyDescent="0.25">
      <c r="D31" s="199" t="s">
        <v>498</v>
      </c>
      <c r="E31" s="388" t="s">
        <v>212</v>
      </c>
      <c r="F31" s="389">
        <v>1823</v>
      </c>
      <c r="G31" s="201" t="s">
        <v>4</v>
      </c>
      <c r="H31" s="219">
        <v>3.23</v>
      </c>
      <c r="I31" s="202">
        <v>45901</v>
      </c>
      <c r="J31" s="200" t="s">
        <v>307</v>
      </c>
      <c r="K31" s="200"/>
      <c r="L31" s="203">
        <v>0.05</v>
      </c>
      <c r="M31" s="204"/>
      <c r="N31" s="205"/>
      <c r="O31" s="205"/>
      <c r="P31" s="205"/>
      <c r="Q31" s="205">
        <v>0.05</v>
      </c>
      <c r="R31" s="205"/>
      <c r="S31" s="205"/>
      <c r="T31" s="205"/>
      <c r="U31" s="205"/>
      <c r="V31" s="205"/>
      <c r="W31" s="204"/>
      <c r="X31" s="205"/>
      <c r="Y31" s="206">
        <v>0.05</v>
      </c>
      <c r="Z31" s="390">
        <f t="shared" si="93"/>
        <v>91.15</v>
      </c>
      <c r="AA31" s="203">
        <v>3.6</v>
      </c>
      <c r="AB31" s="203"/>
      <c r="AC31" s="238"/>
      <c r="AF31" t="s">
        <v>404</v>
      </c>
      <c r="AK31" s="370"/>
    </row>
    <row r="32" spans="4:49" ht="15.75" x14ac:dyDescent="0.25">
      <c r="D32" s="199" t="s">
        <v>473</v>
      </c>
      <c r="E32" s="378" t="s">
        <v>212</v>
      </c>
      <c r="F32" s="379">
        <v>1610</v>
      </c>
      <c r="G32" s="201" t="s">
        <v>4</v>
      </c>
      <c r="H32" s="219">
        <v>2.23</v>
      </c>
      <c r="I32" s="202">
        <v>45903</v>
      </c>
      <c r="J32" s="200" t="s">
        <v>21</v>
      </c>
      <c r="K32" s="200"/>
      <c r="L32" s="203">
        <v>0.05</v>
      </c>
      <c r="M32" s="204">
        <f ca="1">IF(ISERROR(OFFSET(Tabella!$A$1,MATCH(J32,Tabella!$A:$A,0)-1,MATCH(L32,Tabella!$A$1:$AC$1,0)-1)=TRUE),0,+OFFSET(Tabella!$A$1,MATCH(J32,Tabella!$A:$A,0)-1,MATCH(L32,Tabella!$A$1:$AC$1,0)-1))</f>
        <v>0</v>
      </c>
      <c r="N32" s="205">
        <f ca="1">IF(ISERROR(OFFSET(Ottone!$A$1,MATCH(J32,Ottone!$A:$A,0)-1,MATCH(L32,Ottone!$A$1:$Z$1,0)-1)=TRUE),0,OFFSET(Ottone!$A$1,MATCH(J32,Ottone!$A:$A,0)-1,MATCH(L32,Ottone!$A$1:$Z$1,0)-1))*IF(G32="Ottone",1,0)</f>
        <v>0</v>
      </c>
      <c r="O32" s="205">
        <f ca="1">IF(ISERROR(OFFSET(Rame!$A$1,MATCH(J32,Rame!$A:$A,0)-1,MATCH(L32,Rame!$A$1:$AA$1,0)-1)=TRUE),0,OFFSET(Rame!$A$1,MATCH(J32,Rame!$A:$A,0)-1,MATCH(L32,Rame!$A$1:$AA$1,0)-1))*IF(G32="Rame",1,0)</f>
        <v>0</v>
      </c>
      <c r="P32" s="205">
        <v>0</v>
      </c>
      <c r="Q32" s="205">
        <v>1.5</v>
      </c>
      <c r="R32" s="205">
        <f ca="1">+IF(ISERROR(OFFSET(Tabella!$G$1,MATCH(J32,Tabella!$G:$G,0)-1,MATCH(K32,Tabella!$G$1:$FG$1,0)-1)=TRUE),0,OFFSET(Tabella!$G$1,MATCH(J32,Tabella!$G:$G,0)-1,MATCH(K32,Tabella!$G$1:$AB$1,0)-1))</f>
        <v>0</v>
      </c>
      <c r="S32" s="205">
        <f ca="1">IF(ISERROR(OFFSET(Ottone!$F$1,MATCH(J32,Ottone!$A:$A,0)-1,MATCH(K32,Ottone!$F$1:$FF$1,0)-1)=TRUE),0,OFFSET(Ottone!$F$1,MATCH(J32,Ottone!$A:$A,0)-1,MATCH(K32,Ottone!$F$1:$FF$1,0)-1))*IF(G32="Ottone",1,0)</f>
        <v>0</v>
      </c>
      <c r="T32" s="205">
        <f ca="1">IF(ISERROR(OFFSET(Rame!$F$1,MATCH(J32,Rame!$F:$F,0)-1,MATCH(K32,Rame!$F$1:$FF$1,0)-1)=TRUE),0,OFFSET(Rame!$F$1,MATCH(J32,Rame!$F:$F,0)-1,MATCH(K32,Rame!$F$1:$FF$1,0)-1))*IF(G32="Rame",1,0)</f>
        <v>0</v>
      </c>
      <c r="U32" s="205">
        <f ca="1">IF(ISERROR(OFFSET(Bronzo!$A$1,MATCH(J32,Bronzo!$A:$A,0)-1,MATCH(K32,Bronzo!$A$1:$AA$1,0)-1)=TRUE),0,OFFSET(Bronzo!$A$1,MATCH(J32,Bronzo!$A:$A,0)-1,MATCH(K32,Bronzo!$A$1:$AA$1,0)-1))</f>
        <v>0</v>
      </c>
      <c r="V32" s="205">
        <f t="shared" ca="1" si="91"/>
        <v>0</v>
      </c>
      <c r="W32" s="204"/>
      <c r="X32" s="205">
        <v>0</v>
      </c>
      <c r="Y32" s="206">
        <f t="shared" ca="1" si="92"/>
        <v>1.5</v>
      </c>
      <c r="Z32" s="380">
        <f t="shared" si="93"/>
        <v>80.5</v>
      </c>
      <c r="AA32" s="203">
        <v>3.7</v>
      </c>
      <c r="AB32" s="203">
        <f t="shared" ca="1" si="94"/>
        <v>-2.9999999999999805E-2</v>
      </c>
      <c r="AC32" s="238"/>
      <c r="AF32" t="s">
        <v>404</v>
      </c>
      <c r="AG32" t="s">
        <v>404</v>
      </c>
      <c r="AI32" s="367">
        <f t="shared" ca="1" si="90"/>
        <v>46092</v>
      </c>
      <c r="AJ32" s="367" t="b">
        <f t="shared" si="84"/>
        <v>1</v>
      </c>
      <c r="AK32" s="370" t="str">
        <f t="shared" si="85"/>
        <v/>
      </c>
      <c r="AN32">
        <f t="shared" si="86"/>
        <v>0</v>
      </c>
      <c r="AO32">
        <f t="shared" si="87"/>
        <v>1900</v>
      </c>
      <c r="AV32">
        <f t="shared" si="88"/>
        <v>0</v>
      </c>
      <c r="AW32">
        <f t="shared" si="89"/>
        <v>0</v>
      </c>
    </row>
    <row r="33" spans="4:49" ht="15.75" x14ac:dyDescent="0.25">
      <c r="D33" s="199" t="s">
        <v>455</v>
      </c>
      <c r="E33" s="378" t="s">
        <v>212</v>
      </c>
      <c r="F33" s="379">
        <v>740</v>
      </c>
      <c r="G33" s="201" t="s">
        <v>4</v>
      </c>
      <c r="H33" s="219">
        <v>2.23</v>
      </c>
      <c r="I33" s="202">
        <v>45903</v>
      </c>
      <c r="J33" s="200" t="s">
        <v>308</v>
      </c>
      <c r="K33" s="200"/>
      <c r="L33" s="203">
        <v>0.05</v>
      </c>
      <c r="M33" s="204">
        <f ca="1">IF(ISERROR(OFFSET(Tabella!$A$1,MATCH(J33,Tabella!$A:$A,0)-1,MATCH(L33,Tabella!$A$1:$AC$1,0)-1)=TRUE),0,+OFFSET(Tabella!$A$1,MATCH(J33,Tabella!$A:$A,0)-1,MATCH(L33,Tabella!$A$1:$AC$1,0)-1))</f>
        <v>0</v>
      </c>
      <c r="N33" s="205">
        <f ca="1">IF(ISERROR(OFFSET(Ottone!$A$1,MATCH(J33,Ottone!$A:$A,0)-1,MATCH(L33,Ottone!$A$1:$Z$1,0)-1)=TRUE),0,OFFSET(Ottone!$A$1,MATCH(J33,Ottone!$A:$A,0)-1,MATCH(L33,Ottone!$A$1:$Z$1,0)-1))*IF(G33="Ottone",1,0)</f>
        <v>0</v>
      </c>
      <c r="O33" s="205">
        <f ca="1">IF(ISERROR(OFFSET(Rame!$A$1,MATCH(J33,Rame!$A:$A,0)-1,MATCH(L33,Rame!$A$1:$AA$1,0)-1)=TRUE),0,OFFSET(Rame!$A$1,MATCH(J33,Rame!$A:$A,0)-1,MATCH(L33,Rame!$A$1:$AA$1,0)-1))*IF(G33="Rame",1,0)</f>
        <v>0</v>
      </c>
      <c r="P33" s="205">
        <v>0</v>
      </c>
      <c r="Q33" s="205">
        <v>1.5</v>
      </c>
      <c r="R33" s="205">
        <f ca="1">+IF(ISERROR(OFFSET(Tabella!$G$1,MATCH(J33,Tabella!$G:$G,0)-1,MATCH(K33,Tabella!$G$1:$FG$1,0)-1)=TRUE),0,OFFSET(Tabella!$G$1,MATCH(J33,Tabella!$G:$G,0)-1,MATCH(K33,Tabella!$G$1:$AB$1,0)-1))</f>
        <v>0</v>
      </c>
      <c r="S33" s="205">
        <f ca="1">IF(ISERROR(OFFSET(Ottone!$F$1,MATCH(J33,Ottone!$A:$A,0)-1,MATCH(K33,Ottone!$F$1:$FF$1,0)-1)=TRUE),0,OFFSET(Ottone!$F$1,MATCH(J33,Ottone!$A:$A,0)-1,MATCH(K33,Ottone!$F$1:$FF$1,0)-1))*IF(G33="Ottone",1,0)</f>
        <v>0</v>
      </c>
      <c r="T33" s="205">
        <f ca="1">IF(ISERROR(OFFSET(Rame!$F$1,MATCH(J33,Rame!$F:$F,0)-1,MATCH(K33,Rame!$F$1:$FF$1,0)-1)=TRUE),0,OFFSET(Rame!$F$1,MATCH(J33,Rame!$F:$F,0)-1,MATCH(K33,Rame!$F$1:$FF$1,0)-1))*IF(G33="Rame",1,0)</f>
        <v>0</v>
      </c>
      <c r="U33" s="205">
        <f ca="1">IF(ISERROR(OFFSET(Bronzo!$A$1,MATCH(J33,Bronzo!$A:$A,0)-1,MATCH(K33,Bronzo!$A$1:$AA$1,0)-1)=TRUE),0,OFFSET(Bronzo!$A$1,MATCH(J33,Bronzo!$A:$A,0)-1,MATCH(K33,Bronzo!$A$1:$AA$1,0)-1))</f>
        <v>0</v>
      </c>
      <c r="V33" s="205">
        <f t="shared" ca="1" si="91"/>
        <v>0</v>
      </c>
      <c r="W33" s="204"/>
      <c r="X33" s="205">
        <v>0</v>
      </c>
      <c r="Y33" s="206">
        <f t="shared" ca="1" si="92"/>
        <v>1.5</v>
      </c>
      <c r="Z33" s="380">
        <f t="shared" si="93"/>
        <v>37</v>
      </c>
      <c r="AA33" s="203">
        <v>3.7</v>
      </c>
      <c r="AB33" s="203">
        <f t="shared" ca="1" si="94"/>
        <v>-2.9999999999999805E-2</v>
      </c>
      <c r="AC33" s="238"/>
      <c r="AF33" t="s">
        <v>404</v>
      </c>
      <c r="AG33" t="s">
        <v>404</v>
      </c>
      <c r="AI33" s="367">
        <f t="shared" ca="1" si="90"/>
        <v>46092</v>
      </c>
      <c r="AJ33" s="367" t="b">
        <f t="shared" si="84"/>
        <v>1</v>
      </c>
      <c r="AK33" s="370" t="str">
        <f t="shared" si="85"/>
        <v/>
      </c>
      <c r="AN33">
        <f t="shared" si="86"/>
        <v>0</v>
      </c>
      <c r="AO33">
        <f t="shared" si="87"/>
        <v>1900</v>
      </c>
      <c r="AV33">
        <f t="shared" si="88"/>
        <v>0</v>
      </c>
      <c r="AW33">
        <f t="shared" si="89"/>
        <v>0</v>
      </c>
    </row>
    <row r="34" spans="4:49" ht="15.75" x14ac:dyDescent="0.25">
      <c r="D34" s="199" t="s">
        <v>452</v>
      </c>
      <c r="E34" s="378" t="s">
        <v>212</v>
      </c>
      <c r="F34" s="379">
        <v>1513</v>
      </c>
      <c r="G34" s="201" t="s">
        <v>4</v>
      </c>
      <c r="H34" s="219">
        <v>2.23</v>
      </c>
      <c r="I34" s="202">
        <v>45903</v>
      </c>
      <c r="J34" s="200" t="s">
        <v>25</v>
      </c>
      <c r="K34" s="200"/>
      <c r="L34" s="203">
        <v>0.05</v>
      </c>
      <c r="M34" s="204">
        <f ca="1">IF(ISERROR(OFFSET(Tabella!$A$1,MATCH(J34,Tabella!$A:$A,0)-1,MATCH(L34,Tabella!$A$1:$AC$1,0)-1)=TRUE),0,+OFFSET(Tabella!$A$1,MATCH(J34,Tabella!$A:$A,0)-1,MATCH(L34,Tabella!$A$1:$AC$1,0)-1))</f>
        <v>0</v>
      </c>
      <c r="N34" s="205">
        <f ca="1">IF(ISERROR(OFFSET(Ottone!$A$1,MATCH(J34,Ottone!$A:$A,0)-1,MATCH(L34,Ottone!$A$1:$Z$1,0)-1)=TRUE),0,OFFSET(Ottone!$A$1,MATCH(J34,Ottone!$A:$A,0)-1,MATCH(L34,Ottone!$A$1:$Z$1,0)-1))*IF(G34="Ottone",1,0)</f>
        <v>0</v>
      </c>
      <c r="O34" s="205">
        <f ca="1">IF(ISERROR(OFFSET(Rame!$A$1,MATCH(J34,Rame!$A:$A,0)-1,MATCH(L34,Rame!$A$1:$AA$1,0)-1)=TRUE),0,OFFSET(Rame!$A$1,MATCH(J34,Rame!$A:$A,0)-1,MATCH(L34,Rame!$A$1:$AA$1,0)-1))*IF(G34="Rame",1,0)</f>
        <v>0</v>
      </c>
      <c r="P34" s="205">
        <v>0</v>
      </c>
      <c r="Q34" s="205">
        <v>1.5</v>
      </c>
      <c r="R34" s="205">
        <f ca="1">+IF(ISERROR(OFFSET(Tabella!$G$1,MATCH(J34,Tabella!$G:$G,0)-1,MATCH(K34,Tabella!$G$1:$FG$1,0)-1)=TRUE),0,OFFSET(Tabella!$G$1,MATCH(J34,Tabella!$G:$G,0)-1,MATCH(K34,Tabella!$G$1:$AB$1,0)-1))</f>
        <v>0</v>
      </c>
      <c r="S34" s="205">
        <f ca="1">IF(ISERROR(OFFSET(Ottone!$F$1,MATCH(J34,Ottone!$A:$A,0)-1,MATCH(K34,Ottone!$F$1:$FF$1,0)-1)=TRUE),0,OFFSET(Ottone!$F$1,MATCH(J34,Ottone!$A:$A,0)-1,MATCH(K34,Ottone!$F$1:$FF$1,0)-1))*IF(G34="Ottone",1,0)</f>
        <v>0</v>
      </c>
      <c r="T34" s="205">
        <f ca="1">IF(ISERROR(OFFSET(Rame!$F$1,MATCH(J34,Rame!$F:$F,0)-1,MATCH(K34,Rame!$F$1:$FF$1,0)-1)=TRUE),0,OFFSET(Rame!$F$1,MATCH(J34,Rame!$F:$F,0)-1,MATCH(K34,Rame!$F$1:$FF$1,0)-1))*IF(G34="Rame",1,0)</f>
        <v>0</v>
      </c>
      <c r="U34" s="205">
        <f ca="1">IF(ISERROR(OFFSET(Bronzo!$A$1,MATCH(J34,Bronzo!$A:$A,0)-1,MATCH(K34,Bronzo!$A$1:$AA$1,0)-1)=TRUE),0,OFFSET(Bronzo!$A$1,MATCH(J34,Bronzo!$A:$A,0)-1,MATCH(K34,Bronzo!$A$1:$AA$1,0)-1))</f>
        <v>0</v>
      </c>
      <c r="V34" s="205">
        <f t="shared" ca="1" si="91"/>
        <v>0</v>
      </c>
      <c r="W34" s="204"/>
      <c r="X34" s="205">
        <v>0</v>
      </c>
      <c r="Y34" s="206">
        <f t="shared" ca="1" si="92"/>
        <v>1.5</v>
      </c>
      <c r="Z34" s="380">
        <f t="shared" si="93"/>
        <v>75.650000000000006</v>
      </c>
      <c r="AA34" s="203">
        <v>3.7</v>
      </c>
      <c r="AB34" s="203">
        <f t="shared" ca="1" si="94"/>
        <v>-2.9999999999999805E-2</v>
      </c>
      <c r="AC34" s="238"/>
      <c r="AF34" t="s">
        <v>404</v>
      </c>
      <c r="AG34" t="s">
        <v>404</v>
      </c>
      <c r="AI34" s="367">
        <f t="shared" ca="1" si="90"/>
        <v>46092</v>
      </c>
      <c r="AJ34" s="367" t="b">
        <f t="shared" si="84"/>
        <v>1</v>
      </c>
      <c r="AK34" s="370" t="str">
        <f t="shared" si="85"/>
        <v/>
      </c>
      <c r="AN34">
        <f t="shared" si="86"/>
        <v>0</v>
      </c>
      <c r="AO34">
        <f t="shared" si="87"/>
        <v>1900</v>
      </c>
      <c r="AV34">
        <f t="shared" si="88"/>
        <v>0</v>
      </c>
      <c r="AW34">
        <f t="shared" si="89"/>
        <v>0</v>
      </c>
    </row>
    <row r="35" spans="4:49" ht="15.75" x14ac:dyDescent="0.25">
      <c r="D35" s="199" t="s">
        <v>452</v>
      </c>
      <c r="E35" s="378" t="s">
        <v>212</v>
      </c>
      <c r="F35" s="379">
        <v>6695</v>
      </c>
      <c r="G35" s="201" t="s">
        <v>4</v>
      </c>
      <c r="H35" s="219">
        <v>2.23</v>
      </c>
      <c r="I35" s="202">
        <v>45903</v>
      </c>
      <c r="J35" s="200" t="s">
        <v>326</v>
      </c>
      <c r="K35" s="200"/>
      <c r="L35" s="203">
        <v>0.05</v>
      </c>
      <c r="M35" s="204">
        <f ca="1">IF(ISERROR(OFFSET(Tabella!$A$1,MATCH(J35,Tabella!$A:$A,0)-1,MATCH(L35,Tabella!$A$1:$AC$1,0)-1)=TRUE),0,+OFFSET(Tabella!$A$1,MATCH(J35,Tabella!$A:$A,0)-1,MATCH(L35,Tabella!$A$1:$AC$1,0)-1))</f>
        <v>0</v>
      </c>
      <c r="N35" s="205">
        <f ca="1">IF(ISERROR(OFFSET(Ottone!$A$1,MATCH(J35,Ottone!$A:$A,0)-1,MATCH(L35,Ottone!$A$1:$Z$1,0)-1)=TRUE),0,OFFSET(Ottone!$A$1,MATCH(J35,Ottone!$A:$A,0)-1,MATCH(L35,Ottone!$A$1:$Z$1,0)-1))*IF(G35="Ottone",1,0)</f>
        <v>0</v>
      </c>
      <c r="O35" s="205">
        <f ca="1">IF(ISERROR(OFFSET(Rame!$A$1,MATCH(J35,Rame!$A:$A,0)-1,MATCH(L35,Rame!$A$1:$AA$1,0)-1)=TRUE),0,OFFSET(Rame!$A$1,MATCH(J35,Rame!$A:$A,0)-1,MATCH(L35,Rame!$A$1:$AA$1,0)-1))*IF(G35="Rame",1,0)</f>
        <v>0</v>
      </c>
      <c r="P35" s="205">
        <v>0</v>
      </c>
      <c r="Q35" s="205">
        <v>1.5</v>
      </c>
      <c r="R35" s="205">
        <f ca="1">+IF(ISERROR(OFFSET(Tabella!$G$1,MATCH(J35,Tabella!$G:$G,0)-1,MATCH(K35,Tabella!$G$1:$FG$1,0)-1)=TRUE),0,OFFSET(Tabella!$G$1,MATCH(J35,Tabella!$G:$G,0)-1,MATCH(K35,Tabella!$G$1:$AB$1,0)-1))</f>
        <v>0</v>
      </c>
      <c r="S35" s="205">
        <f ca="1">IF(ISERROR(OFFSET(Ottone!$F$1,MATCH(J35,Ottone!$A:$A,0)-1,MATCH(K35,Ottone!$F$1:$FF$1,0)-1)=TRUE),0,OFFSET(Ottone!$F$1,MATCH(J35,Ottone!$A:$A,0)-1,MATCH(K35,Ottone!$F$1:$FF$1,0)-1))*IF(G35="Ottone",1,0)</f>
        <v>0</v>
      </c>
      <c r="T35" s="205">
        <f ca="1">IF(ISERROR(OFFSET(Rame!$F$1,MATCH(J35,Rame!$F:$F,0)-1,MATCH(K35,Rame!$F$1:$FF$1,0)-1)=TRUE),0,OFFSET(Rame!$F$1,MATCH(J35,Rame!$F:$F,0)-1,MATCH(K35,Rame!$F$1:$FF$1,0)-1))*IF(G35="Rame",1,0)</f>
        <v>0</v>
      </c>
      <c r="U35" s="205">
        <f ca="1">IF(ISERROR(OFFSET(Bronzo!$A$1,MATCH(J35,Bronzo!$A:$A,0)-1,MATCH(K35,Bronzo!$A$1:$AA$1,0)-1)=TRUE),0,OFFSET(Bronzo!$A$1,MATCH(J35,Bronzo!$A:$A,0)-1,MATCH(K35,Bronzo!$A$1:$AA$1,0)-1))</f>
        <v>0</v>
      </c>
      <c r="V35" s="205">
        <f t="shared" ca="1" si="91"/>
        <v>0</v>
      </c>
      <c r="W35" s="204"/>
      <c r="X35" s="205">
        <v>0</v>
      </c>
      <c r="Y35" s="206">
        <f t="shared" ca="1" si="92"/>
        <v>1.5</v>
      </c>
      <c r="Z35" s="380">
        <f t="shared" si="93"/>
        <v>334.75</v>
      </c>
      <c r="AA35" s="203">
        <v>3.6</v>
      </c>
      <c r="AB35" s="203">
        <f t="shared" ca="1" si="94"/>
        <v>-0.12999999999999989</v>
      </c>
      <c r="AC35" s="238"/>
      <c r="AF35" t="s">
        <v>404</v>
      </c>
      <c r="AG35" t="s">
        <v>404</v>
      </c>
      <c r="AI35" s="367">
        <f t="shared" ca="1" si="90"/>
        <v>46092</v>
      </c>
      <c r="AJ35" s="367" t="b">
        <f t="shared" si="84"/>
        <v>1</v>
      </c>
      <c r="AK35" s="370" t="str">
        <f t="shared" si="85"/>
        <v/>
      </c>
      <c r="AN35">
        <f t="shared" si="86"/>
        <v>0</v>
      </c>
      <c r="AO35">
        <f t="shared" si="87"/>
        <v>1900</v>
      </c>
      <c r="AV35">
        <f t="shared" si="88"/>
        <v>0</v>
      </c>
      <c r="AW35">
        <f t="shared" si="89"/>
        <v>0</v>
      </c>
    </row>
    <row r="36" spans="4:49" ht="15.75" x14ac:dyDescent="0.25">
      <c r="D36" s="199" t="s">
        <v>476</v>
      </c>
      <c r="E36" s="378" t="s">
        <v>212</v>
      </c>
      <c r="F36" s="379">
        <v>851</v>
      </c>
      <c r="G36" s="201" t="s">
        <v>4</v>
      </c>
      <c r="H36" s="219">
        <v>2.23</v>
      </c>
      <c r="I36" s="202">
        <v>45903</v>
      </c>
      <c r="J36" s="200" t="s">
        <v>29</v>
      </c>
      <c r="K36" s="200"/>
      <c r="L36" s="203">
        <v>0.05</v>
      </c>
      <c r="M36" s="204">
        <f ca="1">IF(ISERROR(OFFSET(Tabella!$A$1,MATCH(J36,Tabella!$A:$A,0)-1,MATCH(L36,Tabella!$A$1:$AC$1,0)-1)=TRUE),0,+OFFSET(Tabella!$A$1,MATCH(J36,Tabella!$A:$A,0)-1,MATCH(L36,Tabella!$A$1:$AC$1,0)-1))</f>
        <v>0</v>
      </c>
      <c r="N36" s="205">
        <f ca="1">IF(ISERROR(OFFSET(Ottone!$A$1,MATCH(J36,Ottone!$A:$A,0)-1,MATCH(L36,Ottone!$A$1:$Z$1,0)-1)=TRUE),0,OFFSET(Ottone!$A$1,MATCH(J36,Ottone!$A:$A,0)-1,MATCH(L36,Ottone!$A$1:$Z$1,0)-1))*IF(G36="Ottone",1,0)</f>
        <v>0</v>
      </c>
      <c r="O36" s="205">
        <f ca="1">IF(ISERROR(OFFSET(Rame!$A$1,MATCH(J36,Rame!$A:$A,0)-1,MATCH(L36,Rame!$A$1:$AA$1,0)-1)=TRUE),0,OFFSET(Rame!$A$1,MATCH(J36,Rame!$A:$A,0)-1,MATCH(L36,Rame!$A$1:$AA$1,0)-1))*IF(G36="Rame",1,0)</f>
        <v>0</v>
      </c>
      <c r="P36" s="205">
        <v>0</v>
      </c>
      <c r="Q36" s="205">
        <v>1.5</v>
      </c>
      <c r="R36" s="205">
        <f ca="1">+IF(ISERROR(OFFSET(Tabella!$G$1,MATCH(J36,Tabella!$G:$G,0)-1,MATCH(K36,Tabella!$G$1:$FG$1,0)-1)=TRUE),0,OFFSET(Tabella!$G$1,MATCH(J36,Tabella!$G:$G,0)-1,MATCH(K36,Tabella!$G$1:$AB$1,0)-1))</f>
        <v>0</v>
      </c>
      <c r="S36" s="205">
        <f ca="1">IF(ISERROR(OFFSET(Ottone!$F$1,MATCH(J36,Ottone!$A:$A,0)-1,MATCH(K36,Ottone!$F$1:$FF$1,0)-1)=TRUE),0,OFFSET(Ottone!$F$1,MATCH(J36,Ottone!$A:$A,0)-1,MATCH(K36,Ottone!$F$1:$FF$1,0)-1))*IF(G36="Ottone",1,0)</f>
        <v>0</v>
      </c>
      <c r="T36" s="205">
        <f ca="1">IF(ISERROR(OFFSET(Rame!$F$1,MATCH(J36,Rame!$F:$F,0)-1,MATCH(K36,Rame!$F$1:$FF$1,0)-1)=TRUE),0,OFFSET(Rame!$F$1,MATCH(J36,Rame!$F:$F,0)-1,MATCH(K36,Rame!$F$1:$FF$1,0)-1))*IF(G36="Rame",1,0)</f>
        <v>0</v>
      </c>
      <c r="U36" s="205">
        <f ca="1">IF(ISERROR(OFFSET(Bronzo!$A$1,MATCH(J36,Bronzo!$A:$A,0)-1,MATCH(K36,Bronzo!$A$1:$AA$1,0)-1)=TRUE),0,OFFSET(Bronzo!$A$1,MATCH(J36,Bronzo!$A:$A,0)-1,MATCH(K36,Bronzo!$A$1:$AA$1,0)-1))</f>
        <v>0</v>
      </c>
      <c r="V36" s="205">
        <f t="shared" ca="1" si="91"/>
        <v>0</v>
      </c>
      <c r="W36" s="204"/>
      <c r="X36" s="205">
        <v>0</v>
      </c>
      <c r="Y36" s="206">
        <f t="shared" ca="1" si="92"/>
        <v>1.5</v>
      </c>
      <c r="Z36" s="380">
        <f t="shared" si="93"/>
        <v>42.550000000000004</v>
      </c>
      <c r="AA36" s="203">
        <v>3.7</v>
      </c>
      <c r="AB36" s="203">
        <f t="shared" ca="1" si="94"/>
        <v>-2.9999999999999805E-2</v>
      </c>
      <c r="AC36" s="238"/>
      <c r="AF36" t="s">
        <v>404</v>
      </c>
      <c r="AG36" t="s">
        <v>404</v>
      </c>
      <c r="AI36" s="367">
        <f t="shared" ca="1" si="90"/>
        <v>46092</v>
      </c>
      <c r="AJ36" s="367" t="b">
        <f t="shared" si="84"/>
        <v>1</v>
      </c>
      <c r="AK36" s="370" t="str">
        <f t="shared" si="85"/>
        <v/>
      </c>
      <c r="AN36">
        <f t="shared" si="86"/>
        <v>0</v>
      </c>
      <c r="AO36">
        <f t="shared" si="87"/>
        <v>1900</v>
      </c>
      <c r="AV36">
        <f t="shared" si="88"/>
        <v>0</v>
      </c>
      <c r="AW36">
        <f t="shared" si="89"/>
        <v>0</v>
      </c>
    </row>
    <row r="37" spans="4:49" ht="15.75" x14ac:dyDescent="0.25">
      <c r="D37" s="199"/>
      <c r="E37" s="378"/>
      <c r="F37" s="379"/>
      <c r="G37" s="201"/>
      <c r="H37" s="219"/>
      <c r="I37" s="202"/>
      <c r="J37" s="200"/>
      <c r="K37" s="200"/>
      <c r="L37" s="203"/>
      <c r="M37" s="204"/>
      <c r="N37" s="205"/>
      <c r="O37" s="205"/>
      <c r="P37" s="205"/>
      <c r="Q37" s="205"/>
      <c r="R37" s="205"/>
      <c r="S37" s="205"/>
      <c r="T37" s="205"/>
      <c r="U37" s="205"/>
      <c r="V37" s="205"/>
      <c r="W37" s="204"/>
      <c r="X37" s="205"/>
      <c r="Y37" s="206"/>
      <c r="Z37" s="380"/>
      <c r="AA37" s="203"/>
      <c r="AB37" s="203"/>
      <c r="AC37" s="238"/>
      <c r="AK37" s="370"/>
    </row>
    <row r="38" spans="4:49" ht="15.75" x14ac:dyDescent="0.25">
      <c r="D38" s="199" t="s">
        <v>452</v>
      </c>
      <c r="E38" s="378" t="s">
        <v>212</v>
      </c>
      <c r="F38" s="379">
        <v>463</v>
      </c>
      <c r="G38" s="201" t="s">
        <v>4</v>
      </c>
      <c r="H38" s="219">
        <v>2.23</v>
      </c>
      <c r="I38" s="202">
        <v>45903</v>
      </c>
      <c r="J38" s="200" t="s">
        <v>19</v>
      </c>
      <c r="K38" s="200"/>
      <c r="L38" s="203">
        <v>0.05</v>
      </c>
      <c r="M38" s="204">
        <f ca="1">IF(ISERROR(OFFSET(Tabella!$A$1,MATCH(J38,Tabella!$A:$A,0)-1,MATCH(L38,Tabella!$A$1:$AC$1,0)-1)=TRUE),0,+OFFSET(Tabella!$A$1,MATCH(J38,Tabella!$A:$A,0)-1,MATCH(L38,Tabella!$A$1:$AC$1,0)-1))</f>
        <v>0</v>
      </c>
      <c r="N38" s="205">
        <f ca="1">IF(ISERROR(OFFSET(Ottone!$A$1,MATCH(J38,Ottone!$A:$A,0)-1,MATCH(L38,Ottone!$A$1:$Z$1,0)-1)=TRUE),0,OFFSET(Ottone!$A$1,MATCH(J38,Ottone!$A:$A,0)-1,MATCH(L38,Ottone!$A$1:$Z$1,0)-1))*IF(G38="Ottone",1,0)</f>
        <v>0</v>
      </c>
      <c r="O38" s="205">
        <f ca="1">IF(ISERROR(OFFSET(Rame!$A$1,MATCH(J38,Rame!$A:$A,0)-1,MATCH(L38,Rame!$A$1:$AA$1,0)-1)=TRUE),0,OFFSET(Rame!$A$1,MATCH(J38,Rame!$A:$A,0)-1,MATCH(L38,Rame!$A$1:$AA$1,0)-1))*IF(G38="Rame",1,0)</f>
        <v>0</v>
      </c>
      <c r="P38" s="205">
        <v>0</v>
      </c>
      <c r="Q38" s="205">
        <v>1.5</v>
      </c>
      <c r="R38" s="205">
        <f ca="1">+IF(ISERROR(OFFSET(Tabella!$G$1,MATCH(J38,Tabella!$G:$G,0)-1,MATCH(K38,Tabella!$G$1:$FG$1,0)-1)=TRUE),0,OFFSET(Tabella!$G$1,MATCH(J38,Tabella!$G:$G,0)-1,MATCH(K38,Tabella!$G$1:$AB$1,0)-1))</f>
        <v>0</v>
      </c>
      <c r="S38" s="205">
        <f ca="1">IF(ISERROR(OFFSET(Ottone!$F$1,MATCH(J38,Ottone!$A:$A,0)-1,MATCH(K38,Ottone!$F$1:$FF$1,0)-1)=TRUE),0,OFFSET(Ottone!$F$1,MATCH(J38,Ottone!$A:$A,0)-1,MATCH(K38,Ottone!$F$1:$FF$1,0)-1))*IF(G38="Ottone",1,0)</f>
        <v>0</v>
      </c>
      <c r="T38" s="205">
        <f ca="1">IF(ISERROR(OFFSET(Rame!$F$1,MATCH(J38,Rame!$F:$F,0)-1,MATCH(K38,Rame!$F$1:$FF$1,0)-1)=TRUE),0,OFFSET(Rame!$F$1,MATCH(J38,Rame!$F:$F,0)-1,MATCH(K38,Rame!$F$1:$FF$1,0)-1))*IF(G38="Rame",1,0)</f>
        <v>0</v>
      </c>
      <c r="U38" s="205">
        <f ca="1">IF(ISERROR(OFFSET(Bronzo!$A$1,MATCH(J38,Bronzo!$A:$A,0)-1,MATCH(K38,Bronzo!$A$1:$AA$1,0)-1)=TRUE),0,OFFSET(Bronzo!$A$1,MATCH(J38,Bronzo!$A:$A,0)-1,MATCH(K38,Bronzo!$A$1:$AA$1,0)-1))</f>
        <v>0</v>
      </c>
      <c r="V38" s="205">
        <f t="shared" ca="1" si="91"/>
        <v>0</v>
      </c>
      <c r="W38" s="204"/>
      <c r="X38" s="205">
        <v>0</v>
      </c>
      <c r="Y38" s="206">
        <f t="shared" ca="1" si="92"/>
        <v>1.5</v>
      </c>
      <c r="Z38" s="380">
        <f t="shared" si="93"/>
        <v>23.150000000000002</v>
      </c>
      <c r="AA38" s="203">
        <v>3.7</v>
      </c>
      <c r="AB38" s="203">
        <f t="shared" ca="1" si="94"/>
        <v>-2.9999999999999805E-2</v>
      </c>
      <c r="AC38" s="238"/>
      <c r="AG38" t="s">
        <v>404</v>
      </c>
      <c r="AI38" s="367">
        <f t="shared" ca="1" si="90"/>
        <v>46092</v>
      </c>
      <c r="AJ38" s="367" t="b">
        <f t="shared" ref="AJ37:AJ61" si="95">ISBLANK(AC38)</f>
        <v>1</v>
      </c>
      <c r="AK38" s="370" t="str">
        <f t="shared" ref="AK37:AK61" si="96">IF(AJ38=FALSE,_xlfn.DAYS(AC38,AI38),"")</f>
        <v/>
      </c>
      <c r="AN38">
        <f t="shared" ref="AN37:AN61" si="97">WEEKNUM(AC38)</f>
        <v>0</v>
      </c>
      <c r="AO38">
        <f t="shared" ref="AO37:AO61" si="98">YEAR(AC38)</f>
        <v>1900</v>
      </c>
      <c r="AV38">
        <f t="shared" ref="AV37:AV61" si="99">IF(AC38="",0,MONTH(AC38))</f>
        <v>0</v>
      </c>
      <c r="AW38">
        <f t="shared" ref="AW37:AW61" si="100">IF(AC38="",0,YEAR(AC38))</f>
        <v>0</v>
      </c>
    </row>
    <row r="39" spans="4:49" ht="15.75" x14ac:dyDescent="0.25">
      <c r="D39" s="199" t="s">
        <v>486</v>
      </c>
      <c r="E39" s="378" t="s">
        <v>212</v>
      </c>
      <c r="F39" s="379">
        <v>691</v>
      </c>
      <c r="G39" s="201" t="s">
        <v>4</v>
      </c>
      <c r="H39" s="219">
        <v>2.23</v>
      </c>
      <c r="I39" s="202">
        <v>45903</v>
      </c>
      <c r="J39" s="200" t="s">
        <v>314</v>
      </c>
      <c r="K39" s="200"/>
      <c r="L39" s="203">
        <v>0.05</v>
      </c>
      <c r="M39" s="204">
        <f ca="1">IF(ISERROR(OFFSET(Tabella!$A$1,MATCH(J39,Tabella!$A:$A,0)-1,MATCH(L39,Tabella!$A$1:$AC$1,0)-1)=TRUE),0,+OFFSET(Tabella!$A$1,MATCH(J39,Tabella!$A:$A,0)-1,MATCH(L39,Tabella!$A$1:$AC$1,0)-1))</f>
        <v>0</v>
      </c>
      <c r="N39" s="205">
        <f ca="1">IF(ISERROR(OFFSET(Ottone!$A$1,MATCH(J39,Ottone!$A:$A,0)-1,MATCH(L39,Ottone!$A$1:$Z$1,0)-1)=TRUE),0,OFFSET(Ottone!$A$1,MATCH(J39,Ottone!$A:$A,0)-1,MATCH(L39,Ottone!$A$1:$Z$1,0)-1))*IF(G39="Ottone",1,0)</f>
        <v>0</v>
      </c>
      <c r="O39" s="205">
        <f ca="1">IF(ISERROR(OFFSET(Rame!$A$1,MATCH(J39,Rame!$A:$A,0)-1,MATCH(L39,Rame!$A$1:$AA$1,0)-1)=TRUE),0,OFFSET(Rame!$A$1,MATCH(J39,Rame!$A:$A,0)-1,MATCH(L39,Rame!$A$1:$AA$1,0)-1))*IF(G39="Rame",1,0)</f>
        <v>0</v>
      </c>
      <c r="P39" s="205">
        <v>0</v>
      </c>
      <c r="Q39" s="205">
        <v>1.5</v>
      </c>
      <c r="R39" s="205">
        <f ca="1">+IF(ISERROR(OFFSET(Tabella!$G$1,MATCH(J39,Tabella!$G:$G,0)-1,MATCH(K39,Tabella!$G$1:$FG$1,0)-1)=TRUE),0,OFFSET(Tabella!$G$1,MATCH(J39,Tabella!$G:$G,0)-1,MATCH(K39,Tabella!$G$1:$AB$1,0)-1))</f>
        <v>0</v>
      </c>
      <c r="S39" s="205">
        <f ca="1">IF(ISERROR(OFFSET(Ottone!$F$1,MATCH(J39,Ottone!$A:$A,0)-1,MATCH(K39,Ottone!$F$1:$FF$1,0)-1)=TRUE),0,OFFSET(Ottone!$F$1,MATCH(J39,Ottone!$A:$A,0)-1,MATCH(K39,Ottone!$F$1:$FF$1,0)-1))*IF(G39="Ottone",1,0)</f>
        <v>0</v>
      </c>
      <c r="T39" s="205">
        <f ca="1">IF(ISERROR(OFFSET(Rame!$F$1,MATCH(J39,Rame!$F:$F,0)-1,MATCH(K39,Rame!$F$1:$FF$1,0)-1)=TRUE),0,OFFSET(Rame!$F$1,MATCH(J39,Rame!$F:$F,0)-1,MATCH(K39,Rame!$F$1:$FF$1,0)-1))*IF(G39="Rame",1,0)</f>
        <v>0</v>
      </c>
      <c r="U39" s="205">
        <f ca="1">IF(ISERROR(OFFSET(Bronzo!$A$1,MATCH(J39,Bronzo!$A:$A,0)-1,MATCH(K39,Bronzo!$A$1:$AA$1,0)-1)=TRUE),0,OFFSET(Bronzo!$A$1,MATCH(J39,Bronzo!$A:$A,0)-1,MATCH(K39,Bronzo!$A$1:$AA$1,0)-1))</f>
        <v>0</v>
      </c>
      <c r="V39" s="205">
        <f t="shared" ca="1" si="91"/>
        <v>0</v>
      </c>
      <c r="W39" s="204"/>
      <c r="X39" s="205">
        <v>0</v>
      </c>
      <c r="Y39" s="206">
        <f t="shared" ca="1" si="92"/>
        <v>1.5</v>
      </c>
      <c r="Z39" s="380">
        <f t="shared" si="93"/>
        <v>34.550000000000004</v>
      </c>
      <c r="AA39" s="203">
        <v>3.7</v>
      </c>
      <c r="AB39" s="203">
        <f t="shared" ca="1" si="94"/>
        <v>-2.9999999999999805E-2</v>
      </c>
      <c r="AC39" s="238"/>
      <c r="AF39" t="s">
        <v>404</v>
      </c>
      <c r="AG39" t="s">
        <v>404</v>
      </c>
      <c r="AI39" s="367">
        <f t="shared" ca="1" si="90"/>
        <v>46092</v>
      </c>
      <c r="AJ39" s="367" t="b">
        <f t="shared" si="95"/>
        <v>1</v>
      </c>
      <c r="AK39" s="370" t="str">
        <f t="shared" si="96"/>
        <v/>
      </c>
      <c r="AN39">
        <f t="shared" si="97"/>
        <v>0</v>
      </c>
      <c r="AO39">
        <f t="shared" si="98"/>
        <v>1900</v>
      </c>
      <c r="AV39">
        <f t="shared" si="99"/>
        <v>0</v>
      </c>
      <c r="AW39">
        <f t="shared" si="100"/>
        <v>0</v>
      </c>
    </row>
    <row r="40" spans="4:49" ht="15.75" x14ac:dyDescent="0.25">
      <c r="D40" s="199" t="s">
        <v>452</v>
      </c>
      <c r="E40" s="378" t="s">
        <v>212</v>
      </c>
      <c r="F40" s="379">
        <v>884</v>
      </c>
      <c r="G40" s="201" t="s">
        <v>4</v>
      </c>
      <c r="H40" s="219">
        <v>2.23</v>
      </c>
      <c r="I40" s="202">
        <v>45903</v>
      </c>
      <c r="J40" s="200" t="s">
        <v>19</v>
      </c>
      <c r="K40" s="200"/>
      <c r="L40" s="203">
        <v>0.05</v>
      </c>
      <c r="M40" s="204">
        <f ca="1">IF(ISERROR(OFFSET(Tabella!$A$1,MATCH(J40,Tabella!$A:$A,0)-1,MATCH(L40,Tabella!$A$1:$AC$1,0)-1)=TRUE),0,+OFFSET(Tabella!$A$1,MATCH(J40,Tabella!$A:$A,0)-1,MATCH(L40,Tabella!$A$1:$AC$1,0)-1))</f>
        <v>0</v>
      </c>
      <c r="N40" s="205">
        <f ca="1">IF(ISERROR(OFFSET(Ottone!$A$1,MATCH(J40,Ottone!$A:$A,0)-1,MATCH(L40,Ottone!$A$1:$Z$1,0)-1)=TRUE),0,OFFSET(Ottone!$A$1,MATCH(J40,Ottone!$A:$A,0)-1,MATCH(L40,Ottone!$A$1:$Z$1,0)-1))*IF(G40="Ottone",1,0)</f>
        <v>0</v>
      </c>
      <c r="O40" s="205">
        <f ca="1">IF(ISERROR(OFFSET(Rame!$A$1,MATCH(J40,Rame!$A:$A,0)-1,MATCH(L40,Rame!$A$1:$AA$1,0)-1)=TRUE),0,OFFSET(Rame!$A$1,MATCH(J40,Rame!$A:$A,0)-1,MATCH(L40,Rame!$A$1:$AA$1,0)-1))*IF(G40="Rame",1,0)</f>
        <v>0</v>
      </c>
      <c r="P40" s="205">
        <v>0</v>
      </c>
      <c r="Q40" s="205">
        <v>1.55</v>
      </c>
      <c r="R40" s="205">
        <f ca="1">+IF(ISERROR(OFFSET(Tabella!$G$1,MATCH(J40,Tabella!$G:$G,0)-1,MATCH(K40,Tabella!$G$1:$FG$1,0)-1)=TRUE),0,OFFSET(Tabella!$G$1,MATCH(J40,Tabella!$G:$G,0)-1,MATCH(K40,Tabella!$G$1:$AB$1,0)-1))</f>
        <v>0</v>
      </c>
      <c r="S40" s="205">
        <f ca="1">IF(ISERROR(OFFSET(Ottone!$F$1,MATCH(J40,Ottone!$A:$A,0)-1,MATCH(K40,Ottone!$F$1:$FF$1,0)-1)=TRUE),0,OFFSET(Ottone!$F$1,MATCH(J40,Ottone!$A:$A,0)-1,MATCH(K40,Ottone!$F$1:$FF$1,0)-1))*IF(G40="Ottone",1,0)</f>
        <v>0</v>
      </c>
      <c r="T40" s="205">
        <f ca="1">IF(ISERROR(OFFSET(Rame!$F$1,MATCH(J40,Rame!$F:$F,0)-1,MATCH(K40,Rame!$F$1:$FF$1,0)-1)=TRUE),0,OFFSET(Rame!$F$1,MATCH(J40,Rame!$F:$F,0)-1,MATCH(K40,Rame!$F$1:$FF$1,0)-1))*IF(G40="Rame",1,0)</f>
        <v>0</v>
      </c>
      <c r="U40" s="205">
        <f ca="1">IF(ISERROR(OFFSET(Bronzo!$A$1,MATCH(J40,Bronzo!$A:$A,0)-1,MATCH(K40,Bronzo!$A$1:$AA$1,0)-1)=TRUE),0,OFFSET(Bronzo!$A$1,MATCH(J40,Bronzo!$A:$A,0)-1,MATCH(K40,Bronzo!$A$1:$AA$1,0)-1))</f>
        <v>0</v>
      </c>
      <c r="V40" s="205">
        <f t="shared" ca="1" si="91"/>
        <v>0</v>
      </c>
      <c r="W40" s="204"/>
      <c r="X40" s="205">
        <v>0</v>
      </c>
      <c r="Y40" s="206">
        <f t="shared" ca="1" si="92"/>
        <v>1.55</v>
      </c>
      <c r="Z40" s="380">
        <f t="shared" si="93"/>
        <v>44.2</v>
      </c>
      <c r="AA40" s="203">
        <v>3.7</v>
      </c>
      <c r="AB40" s="203">
        <f t="shared" ca="1" si="94"/>
        <v>-7.9999999999999627E-2</v>
      </c>
      <c r="AC40" s="238"/>
      <c r="AF40" t="s">
        <v>404</v>
      </c>
      <c r="AG40" t="s">
        <v>404</v>
      </c>
      <c r="AI40" s="367">
        <f t="shared" ca="1" si="90"/>
        <v>46092</v>
      </c>
      <c r="AJ40" s="367" t="b">
        <f t="shared" si="95"/>
        <v>1</v>
      </c>
      <c r="AK40" s="370" t="str">
        <f t="shared" si="96"/>
        <v/>
      </c>
      <c r="AN40">
        <f t="shared" si="97"/>
        <v>0</v>
      </c>
      <c r="AO40">
        <f t="shared" si="98"/>
        <v>1900</v>
      </c>
      <c r="AV40">
        <f t="shared" si="99"/>
        <v>0</v>
      </c>
      <c r="AW40">
        <f t="shared" si="100"/>
        <v>0</v>
      </c>
    </row>
    <row r="41" spans="4:49" ht="15.75" x14ac:dyDescent="0.25">
      <c r="D41" s="199" t="s">
        <v>486</v>
      </c>
      <c r="E41" s="378" t="s">
        <v>212</v>
      </c>
      <c r="F41" s="379">
        <v>1426</v>
      </c>
      <c r="G41" s="201" t="s">
        <v>4</v>
      </c>
      <c r="H41" s="219">
        <v>2.23</v>
      </c>
      <c r="I41" s="202">
        <v>45903</v>
      </c>
      <c r="J41" s="200" t="s">
        <v>28</v>
      </c>
      <c r="K41" s="200"/>
      <c r="L41" s="203">
        <v>0.05</v>
      </c>
      <c r="M41" s="204">
        <f ca="1">IF(ISERROR(OFFSET(Tabella!$A$1,MATCH(J41,Tabella!$A:$A,0)-1,MATCH(L41,Tabella!$A$1:$AC$1,0)-1)=TRUE),0,+OFFSET(Tabella!$A$1,MATCH(J41,Tabella!$A:$A,0)-1,MATCH(L41,Tabella!$A$1:$AC$1,0)-1))</f>
        <v>0</v>
      </c>
      <c r="N41" s="205">
        <f ca="1">IF(ISERROR(OFFSET(Ottone!$A$1,MATCH(J41,Ottone!$A:$A,0)-1,MATCH(L41,Ottone!$A$1:$Z$1,0)-1)=TRUE),0,OFFSET(Ottone!$A$1,MATCH(J41,Ottone!$A:$A,0)-1,MATCH(L41,Ottone!$A$1:$Z$1,0)-1))*IF(G41="Ottone",1,0)</f>
        <v>0</v>
      </c>
      <c r="O41" s="205">
        <f ca="1">IF(ISERROR(OFFSET(Rame!$A$1,MATCH(J41,Rame!$A:$A,0)-1,MATCH(L41,Rame!$A$1:$AA$1,0)-1)=TRUE),0,OFFSET(Rame!$A$1,MATCH(J41,Rame!$A:$A,0)-1,MATCH(L41,Rame!$A$1:$AA$1,0)-1))*IF(G41="Rame",1,0)</f>
        <v>0</v>
      </c>
      <c r="P41" s="205">
        <v>0</v>
      </c>
      <c r="Q41" s="205">
        <v>1.5</v>
      </c>
      <c r="R41" s="205">
        <f ca="1">+IF(ISERROR(OFFSET(Tabella!$G$1,MATCH(J41,Tabella!$G:$G,0)-1,MATCH(K41,Tabella!$G$1:$FG$1,0)-1)=TRUE),0,OFFSET(Tabella!$G$1,MATCH(J41,Tabella!$G:$G,0)-1,MATCH(K41,Tabella!$G$1:$AB$1,0)-1))</f>
        <v>0</v>
      </c>
      <c r="S41" s="205">
        <f ca="1">IF(ISERROR(OFFSET(Ottone!$F$1,MATCH(J41,Ottone!$A:$A,0)-1,MATCH(K41,Ottone!$F$1:$FF$1,0)-1)=TRUE),0,OFFSET(Ottone!$F$1,MATCH(J41,Ottone!$A:$A,0)-1,MATCH(K41,Ottone!$F$1:$FF$1,0)-1))*IF(G41="Ottone",1,0)</f>
        <v>0</v>
      </c>
      <c r="T41" s="205">
        <f ca="1">IF(ISERROR(OFFSET(Rame!$F$1,MATCH(J41,Rame!$F:$F,0)-1,MATCH(K41,Rame!$F$1:$FF$1,0)-1)=TRUE),0,OFFSET(Rame!$F$1,MATCH(J41,Rame!$F:$F,0)-1,MATCH(K41,Rame!$F$1:$FF$1,0)-1))*IF(G41="Rame",1,0)</f>
        <v>0</v>
      </c>
      <c r="U41" s="205">
        <f ca="1">IF(ISERROR(OFFSET(Bronzo!$A$1,MATCH(J41,Bronzo!$A:$A,0)-1,MATCH(K41,Bronzo!$A$1:$AA$1,0)-1)=TRUE),0,OFFSET(Bronzo!$A$1,MATCH(J41,Bronzo!$A:$A,0)-1,MATCH(K41,Bronzo!$A$1:$AA$1,0)-1))</f>
        <v>0</v>
      </c>
      <c r="V41" s="205">
        <f t="shared" ca="1" si="91"/>
        <v>0</v>
      </c>
      <c r="W41" s="204"/>
      <c r="X41" s="205">
        <v>0</v>
      </c>
      <c r="Y41" s="206">
        <f t="shared" ca="1" si="92"/>
        <v>1.5</v>
      </c>
      <c r="Z41" s="380">
        <f t="shared" si="93"/>
        <v>71.3</v>
      </c>
      <c r="AA41" s="203">
        <v>3.7</v>
      </c>
      <c r="AB41" s="203">
        <f t="shared" ca="1" si="94"/>
        <v>-2.9999999999999805E-2</v>
      </c>
      <c r="AC41" s="238"/>
      <c r="AF41" t="s">
        <v>404</v>
      </c>
      <c r="AG41" t="s">
        <v>404</v>
      </c>
      <c r="AI41" s="367">
        <f t="shared" ca="1" si="90"/>
        <v>46092</v>
      </c>
      <c r="AJ41" s="367" t="b">
        <f t="shared" si="95"/>
        <v>1</v>
      </c>
      <c r="AK41" s="370" t="str">
        <f t="shared" si="96"/>
        <v/>
      </c>
      <c r="AN41">
        <f t="shared" si="97"/>
        <v>0</v>
      </c>
      <c r="AO41">
        <f t="shared" si="98"/>
        <v>1900</v>
      </c>
      <c r="AV41">
        <f t="shared" si="99"/>
        <v>0</v>
      </c>
      <c r="AW41">
        <f t="shared" si="100"/>
        <v>0</v>
      </c>
    </row>
    <row r="42" spans="4:49" ht="15.75" x14ac:dyDescent="0.25">
      <c r="D42" s="199" t="s">
        <v>467</v>
      </c>
      <c r="E42" s="378" t="s">
        <v>212</v>
      </c>
      <c r="F42" s="379">
        <v>2033</v>
      </c>
      <c r="G42" s="201" t="s">
        <v>4</v>
      </c>
      <c r="H42" s="219">
        <v>2.23</v>
      </c>
      <c r="I42" s="202">
        <v>45904</v>
      </c>
      <c r="J42" s="200" t="s">
        <v>23</v>
      </c>
      <c r="K42" s="200"/>
      <c r="L42" s="203">
        <v>0.05</v>
      </c>
      <c r="M42" s="204">
        <f ca="1">IF(ISERROR(OFFSET(Tabella!$A$1,MATCH(J42,Tabella!$A:$A,0)-1,MATCH(L42,Tabella!$A$1:$AC$1,0)-1)=TRUE),0,+OFFSET(Tabella!$A$1,MATCH(J42,Tabella!$A:$A,0)-1,MATCH(L42,Tabella!$A$1:$AC$1,0)-1))</f>
        <v>0</v>
      </c>
      <c r="N42" s="205">
        <f ca="1">IF(ISERROR(OFFSET(Ottone!$A$1,MATCH(J42,Ottone!$A:$A,0)-1,MATCH(L42,Ottone!$A$1:$Z$1,0)-1)=TRUE),0,OFFSET(Ottone!$A$1,MATCH(J42,Ottone!$A:$A,0)-1,MATCH(L42,Ottone!$A$1:$Z$1,0)-1))*IF(G42="Ottone",1,0)</f>
        <v>0</v>
      </c>
      <c r="O42" s="205">
        <f ca="1">IF(ISERROR(OFFSET(Rame!$A$1,MATCH(J42,Rame!$A:$A,0)-1,MATCH(L42,Rame!$A$1:$AA$1,0)-1)=TRUE),0,OFFSET(Rame!$A$1,MATCH(J42,Rame!$A:$A,0)-1,MATCH(L42,Rame!$A$1:$AA$1,0)-1))*IF(G42="Rame",1,0)</f>
        <v>0</v>
      </c>
      <c r="P42" s="205">
        <v>0</v>
      </c>
      <c r="Q42" s="205">
        <v>1.5</v>
      </c>
      <c r="R42" s="205">
        <f ca="1">+IF(ISERROR(OFFSET(Tabella!$G$1,MATCH(J42,Tabella!$G:$G,0)-1,MATCH(K42,Tabella!$G$1:$FG$1,0)-1)=TRUE),0,OFFSET(Tabella!$G$1,MATCH(J42,Tabella!$G:$G,0)-1,MATCH(K42,Tabella!$G$1:$AB$1,0)-1))</f>
        <v>0</v>
      </c>
      <c r="S42" s="205">
        <f ca="1">IF(ISERROR(OFFSET(Ottone!$F$1,MATCH(J42,Ottone!$A:$A,0)-1,MATCH(K42,Ottone!$F$1:$FF$1,0)-1)=TRUE),0,OFFSET(Ottone!$F$1,MATCH(J42,Ottone!$A:$A,0)-1,MATCH(K42,Ottone!$F$1:$FF$1,0)-1))*IF(G42="Ottone",1,0)</f>
        <v>0</v>
      </c>
      <c r="T42" s="205">
        <f ca="1">IF(ISERROR(OFFSET(Rame!$F$1,MATCH(J42,Rame!$F:$F,0)-1,MATCH(K42,Rame!$F$1:$FF$1,0)-1)=TRUE),0,OFFSET(Rame!$F$1,MATCH(J42,Rame!$F:$F,0)-1,MATCH(K42,Rame!$F$1:$FF$1,0)-1))*IF(G42="Rame",1,0)</f>
        <v>0</v>
      </c>
      <c r="U42" s="205">
        <f ca="1">IF(ISERROR(OFFSET(Bronzo!$A$1,MATCH(J42,Bronzo!$A:$A,0)-1,MATCH(K42,Bronzo!$A$1:$AA$1,0)-1)=TRUE),0,OFFSET(Bronzo!$A$1,MATCH(J42,Bronzo!$A:$A,0)-1,MATCH(K42,Bronzo!$A$1:$AA$1,0)-1))</f>
        <v>0</v>
      </c>
      <c r="V42" s="205">
        <f t="shared" ca="1" si="91"/>
        <v>0</v>
      </c>
      <c r="W42" s="204"/>
      <c r="X42" s="205">
        <v>0</v>
      </c>
      <c r="Y42" s="206">
        <f t="shared" ca="1" si="92"/>
        <v>1.5</v>
      </c>
      <c r="Z42" s="380">
        <f t="shared" si="93"/>
        <v>101.65</v>
      </c>
      <c r="AA42" s="203">
        <v>3.7</v>
      </c>
      <c r="AB42" s="203">
        <f t="shared" ca="1" si="94"/>
        <v>-2.9999999999999805E-2</v>
      </c>
      <c r="AC42" s="238"/>
      <c r="AG42" t="s">
        <v>404</v>
      </c>
      <c r="AI42" s="367">
        <f t="shared" ca="1" si="90"/>
        <v>46092</v>
      </c>
      <c r="AJ42" s="367" t="b">
        <f t="shared" si="95"/>
        <v>1</v>
      </c>
      <c r="AK42" s="370" t="str">
        <f t="shared" si="96"/>
        <v/>
      </c>
      <c r="AN42">
        <f t="shared" si="97"/>
        <v>0</v>
      </c>
      <c r="AO42">
        <f t="shared" si="98"/>
        <v>1900</v>
      </c>
      <c r="AV42">
        <f t="shared" si="99"/>
        <v>0</v>
      </c>
      <c r="AW42">
        <f t="shared" si="100"/>
        <v>0</v>
      </c>
    </row>
    <row r="43" spans="4:49" ht="15.75" x14ac:dyDescent="0.25">
      <c r="D43" s="199" t="s">
        <v>451</v>
      </c>
      <c r="E43" s="378" t="s">
        <v>212</v>
      </c>
      <c r="F43" s="379">
        <v>5271</v>
      </c>
      <c r="G43" s="201" t="s">
        <v>4</v>
      </c>
      <c r="H43" s="219">
        <v>2.23</v>
      </c>
      <c r="I43" s="202">
        <v>45904</v>
      </c>
      <c r="J43" s="200" t="s">
        <v>17</v>
      </c>
      <c r="K43" s="200"/>
      <c r="L43" s="203">
        <v>0.05</v>
      </c>
      <c r="M43" s="204">
        <f ca="1">IF(ISERROR(OFFSET(Tabella!$A$1,MATCH(J43,Tabella!$A:$A,0)-1,MATCH(L43,Tabella!$A$1:$AC$1,0)-1)=TRUE),0,+OFFSET(Tabella!$A$1,MATCH(J43,Tabella!$A:$A,0)-1,MATCH(L43,Tabella!$A$1:$AC$1,0)-1))</f>
        <v>0</v>
      </c>
      <c r="N43" s="205">
        <f ca="1">IF(ISERROR(OFFSET(Ottone!$A$1,MATCH(J43,Ottone!$A:$A,0)-1,MATCH(L43,Ottone!$A$1:$Z$1,0)-1)=TRUE),0,OFFSET(Ottone!$A$1,MATCH(J43,Ottone!$A:$A,0)-1,MATCH(L43,Ottone!$A$1:$Z$1,0)-1))*IF(G43="Ottone",1,0)</f>
        <v>0</v>
      </c>
      <c r="O43" s="205">
        <f ca="1">IF(ISERROR(OFFSET(Rame!$A$1,MATCH(J43,Rame!$A:$A,0)-1,MATCH(L43,Rame!$A$1:$AA$1,0)-1)=TRUE),0,OFFSET(Rame!$A$1,MATCH(J43,Rame!$A:$A,0)-1,MATCH(L43,Rame!$A$1:$AA$1,0)-1))*IF(G43="Rame",1,0)</f>
        <v>0</v>
      </c>
      <c r="P43" s="205">
        <v>0</v>
      </c>
      <c r="Q43" s="205">
        <v>1.6</v>
      </c>
      <c r="R43" s="205">
        <f ca="1">+IF(ISERROR(OFFSET(Tabella!$G$1,MATCH(J43,Tabella!$G:$G,0)-1,MATCH(K43,Tabella!$G$1:$FG$1,0)-1)=TRUE),0,OFFSET(Tabella!$G$1,MATCH(J43,Tabella!$G:$G,0)-1,MATCH(K43,Tabella!$G$1:$AB$1,0)-1))</f>
        <v>0</v>
      </c>
      <c r="S43" s="205">
        <f ca="1">IF(ISERROR(OFFSET(Ottone!$F$1,MATCH(J43,Ottone!$A:$A,0)-1,MATCH(K43,Ottone!$F$1:$FF$1,0)-1)=TRUE),0,OFFSET(Ottone!$F$1,MATCH(J43,Ottone!$A:$A,0)-1,MATCH(K43,Ottone!$F$1:$FF$1,0)-1))*IF(G43="Ottone",1,0)</f>
        <v>0</v>
      </c>
      <c r="T43" s="205">
        <f ca="1">IF(ISERROR(OFFSET(Rame!$F$1,MATCH(J43,Rame!$F:$F,0)-1,MATCH(K43,Rame!$F$1:$FF$1,0)-1)=TRUE),0,OFFSET(Rame!$F$1,MATCH(J43,Rame!$F:$F,0)-1,MATCH(K43,Rame!$F$1:$FF$1,0)-1))*IF(G43="Rame",1,0)</f>
        <v>0</v>
      </c>
      <c r="U43" s="205">
        <f ca="1">IF(ISERROR(OFFSET(Bronzo!$A$1,MATCH(J43,Bronzo!$A:$A,0)-1,MATCH(K43,Bronzo!$A$1:$AA$1,0)-1)=TRUE),0,OFFSET(Bronzo!$A$1,MATCH(J43,Bronzo!$A:$A,0)-1,MATCH(K43,Bronzo!$A$1:$AA$1,0)-1))</f>
        <v>0</v>
      </c>
      <c r="V43" s="205">
        <f t="shared" ca="1" si="91"/>
        <v>0</v>
      </c>
      <c r="W43" s="204"/>
      <c r="X43" s="205">
        <v>0</v>
      </c>
      <c r="Y43" s="206">
        <f t="shared" ca="1" si="92"/>
        <v>1.6</v>
      </c>
      <c r="Z43" s="380">
        <f t="shared" si="93"/>
        <v>263.55</v>
      </c>
      <c r="AA43" s="203">
        <v>3.65</v>
      </c>
      <c r="AB43" s="203">
        <f t="shared" ca="1" si="94"/>
        <v>-0.18000000000000016</v>
      </c>
      <c r="AC43" s="238"/>
      <c r="AG43" t="s">
        <v>404</v>
      </c>
      <c r="AI43" s="367">
        <f t="shared" ca="1" si="90"/>
        <v>46092</v>
      </c>
      <c r="AJ43" s="367" t="b">
        <f t="shared" si="95"/>
        <v>1</v>
      </c>
      <c r="AK43" s="370" t="str">
        <f t="shared" si="96"/>
        <v/>
      </c>
      <c r="AN43">
        <f t="shared" si="97"/>
        <v>0</v>
      </c>
      <c r="AO43">
        <f t="shared" si="98"/>
        <v>1900</v>
      </c>
      <c r="AV43">
        <f t="shared" si="99"/>
        <v>0</v>
      </c>
      <c r="AW43">
        <f t="shared" si="100"/>
        <v>0</v>
      </c>
    </row>
    <row r="44" spans="4:49" ht="15.75" x14ac:dyDescent="0.25">
      <c r="D44" s="199" t="s">
        <v>475</v>
      </c>
      <c r="E44" s="378" t="s">
        <v>212</v>
      </c>
      <c r="F44" s="379">
        <v>2670</v>
      </c>
      <c r="G44" s="201" t="s">
        <v>4</v>
      </c>
      <c r="H44" s="219">
        <v>2.23</v>
      </c>
      <c r="I44" s="202">
        <v>45904</v>
      </c>
      <c r="J44" s="200" t="s">
        <v>23</v>
      </c>
      <c r="K44" s="200"/>
      <c r="L44" s="203">
        <v>0.05</v>
      </c>
      <c r="M44" s="204">
        <f ca="1">IF(ISERROR(OFFSET(Tabella!$A$1,MATCH(J44,Tabella!$A:$A,0)-1,MATCH(L44,Tabella!$A$1:$AC$1,0)-1)=TRUE),0,+OFFSET(Tabella!$A$1,MATCH(J44,Tabella!$A:$A,0)-1,MATCH(L44,Tabella!$A$1:$AC$1,0)-1))</f>
        <v>0</v>
      </c>
      <c r="N44" s="205">
        <f ca="1">IF(ISERROR(OFFSET(Ottone!$A$1,MATCH(J44,Ottone!$A:$A,0)-1,MATCH(L44,Ottone!$A$1:$Z$1,0)-1)=TRUE),0,OFFSET(Ottone!$A$1,MATCH(J44,Ottone!$A:$A,0)-1,MATCH(L44,Ottone!$A$1:$Z$1,0)-1))*IF(G44="Ottone",1,0)</f>
        <v>0</v>
      </c>
      <c r="O44" s="205">
        <f ca="1">IF(ISERROR(OFFSET(Rame!$A$1,MATCH(J44,Rame!$A:$A,0)-1,MATCH(L44,Rame!$A$1:$AA$1,0)-1)=TRUE),0,OFFSET(Rame!$A$1,MATCH(J44,Rame!$A:$A,0)-1,MATCH(L44,Rame!$A$1:$AA$1,0)-1))*IF(G44="Rame",1,0)</f>
        <v>0</v>
      </c>
      <c r="P44" s="205">
        <v>0</v>
      </c>
      <c r="Q44" s="205">
        <v>1.5</v>
      </c>
      <c r="R44" s="205">
        <f ca="1">+IF(ISERROR(OFFSET(Tabella!$G$1,MATCH(J44,Tabella!$G:$G,0)-1,MATCH(K44,Tabella!$G$1:$FG$1,0)-1)=TRUE),0,OFFSET(Tabella!$G$1,MATCH(J44,Tabella!$G:$G,0)-1,MATCH(K44,Tabella!$G$1:$AB$1,0)-1))</f>
        <v>0</v>
      </c>
      <c r="S44" s="205">
        <f ca="1">IF(ISERROR(OFFSET(Ottone!$F$1,MATCH(J44,Ottone!$A:$A,0)-1,MATCH(K44,Ottone!$F$1:$FF$1,0)-1)=TRUE),0,OFFSET(Ottone!$F$1,MATCH(J44,Ottone!$A:$A,0)-1,MATCH(K44,Ottone!$F$1:$FF$1,0)-1))*IF(G44="Ottone",1,0)</f>
        <v>0</v>
      </c>
      <c r="T44" s="205">
        <f ca="1">IF(ISERROR(OFFSET(Rame!$F$1,MATCH(J44,Rame!$F:$F,0)-1,MATCH(K44,Rame!$F$1:$FF$1,0)-1)=TRUE),0,OFFSET(Rame!$F$1,MATCH(J44,Rame!$F:$F,0)-1,MATCH(K44,Rame!$F$1:$FF$1,0)-1))*IF(G44="Rame",1,0)</f>
        <v>0</v>
      </c>
      <c r="U44" s="205">
        <f ca="1">IF(ISERROR(OFFSET(Bronzo!$A$1,MATCH(J44,Bronzo!$A:$A,0)-1,MATCH(K44,Bronzo!$A$1:$AA$1,0)-1)=TRUE),0,OFFSET(Bronzo!$A$1,MATCH(J44,Bronzo!$A:$A,0)-1,MATCH(K44,Bronzo!$A$1:$AA$1,0)-1))</f>
        <v>0</v>
      </c>
      <c r="V44" s="205">
        <f t="shared" ca="1" si="91"/>
        <v>0</v>
      </c>
      <c r="W44" s="204"/>
      <c r="X44" s="205">
        <v>0</v>
      </c>
      <c r="Y44" s="206">
        <f t="shared" ca="1" si="92"/>
        <v>1.5</v>
      </c>
      <c r="Z44" s="380">
        <f t="shared" si="93"/>
        <v>133.5</v>
      </c>
      <c r="AA44" s="203">
        <v>3.7</v>
      </c>
      <c r="AB44" s="203">
        <f t="shared" ca="1" si="94"/>
        <v>-2.9999999999999805E-2</v>
      </c>
      <c r="AC44" s="238"/>
      <c r="AG44" t="s">
        <v>404</v>
      </c>
      <c r="AI44" s="367">
        <f t="shared" ca="1" si="90"/>
        <v>46092</v>
      </c>
      <c r="AJ44" s="367" t="b">
        <f t="shared" si="95"/>
        <v>1</v>
      </c>
      <c r="AK44" s="370" t="str">
        <f t="shared" si="96"/>
        <v/>
      </c>
      <c r="AN44">
        <f t="shared" si="97"/>
        <v>0</v>
      </c>
      <c r="AO44">
        <f t="shared" si="98"/>
        <v>1900</v>
      </c>
      <c r="AV44">
        <f t="shared" si="99"/>
        <v>0</v>
      </c>
      <c r="AW44">
        <f t="shared" si="100"/>
        <v>0</v>
      </c>
    </row>
    <row r="45" spans="4:49" ht="15.75" x14ac:dyDescent="0.25">
      <c r="D45" s="199" t="s">
        <v>492</v>
      </c>
      <c r="E45" s="378" t="s">
        <v>212</v>
      </c>
      <c r="F45" s="379">
        <v>369</v>
      </c>
      <c r="G45" s="201" t="s">
        <v>4</v>
      </c>
      <c r="H45" s="219">
        <v>2.23</v>
      </c>
      <c r="I45" s="202">
        <v>45904</v>
      </c>
      <c r="J45" s="200" t="s">
        <v>26</v>
      </c>
      <c r="K45" s="200"/>
      <c r="L45" s="203">
        <v>0.05</v>
      </c>
      <c r="M45" s="204">
        <f ca="1">IF(ISERROR(OFFSET(Tabella!$A$1,MATCH(J45,Tabella!$A:$A,0)-1,MATCH(L45,Tabella!$A$1:$AC$1,0)-1)=TRUE),0,+OFFSET(Tabella!$A$1,MATCH(J45,Tabella!$A:$A,0)-1,MATCH(L45,Tabella!$A$1:$AC$1,0)-1))</f>
        <v>0</v>
      </c>
      <c r="N45" s="205">
        <f ca="1">IF(ISERROR(OFFSET(Ottone!$A$1,MATCH(J45,Ottone!$A:$A,0)-1,MATCH(L45,Ottone!$A$1:$Z$1,0)-1)=TRUE),0,OFFSET(Ottone!$A$1,MATCH(J45,Ottone!$A:$A,0)-1,MATCH(L45,Ottone!$A$1:$Z$1,0)-1))*IF(G45="Ottone",1,0)</f>
        <v>0</v>
      </c>
      <c r="O45" s="205">
        <f ca="1">IF(ISERROR(OFFSET(Rame!$A$1,MATCH(J45,Rame!$A:$A,0)-1,MATCH(L45,Rame!$A$1:$AA$1,0)-1)=TRUE),0,OFFSET(Rame!$A$1,MATCH(J45,Rame!$A:$A,0)-1,MATCH(L45,Rame!$A$1:$AA$1,0)-1))*IF(G45="Rame",1,0)</f>
        <v>0</v>
      </c>
      <c r="P45" s="205">
        <v>0</v>
      </c>
      <c r="Q45" s="205">
        <v>1.5</v>
      </c>
      <c r="R45" s="205">
        <f ca="1">+IF(ISERROR(OFFSET(Tabella!$G$1,MATCH(J45,Tabella!$G:$G,0)-1,MATCH(K45,Tabella!$G$1:$FG$1,0)-1)=TRUE),0,OFFSET(Tabella!$G$1,MATCH(J45,Tabella!$G:$G,0)-1,MATCH(K45,Tabella!$G$1:$AB$1,0)-1))</f>
        <v>0</v>
      </c>
      <c r="S45" s="205">
        <f ca="1">IF(ISERROR(OFFSET(Ottone!$F$1,MATCH(J45,Ottone!$A:$A,0)-1,MATCH(K45,Ottone!$F$1:$FF$1,0)-1)=TRUE),0,OFFSET(Ottone!$F$1,MATCH(J45,Ottone!$A:$A,0)-1,MATCH(K45,Ottone!$F$1:$FF$1,0)-1))*IF(G45="Ottone",1,0)</f>
        <v>0</v>
      </c>
      <c r="T45" s="205">
        <f ca="1">IF(ISERROR(OFFSET(Rame!$F$1,MATCH(J45,Rame!$F:$F,0)-1,MATCH(K45,Rame!$F$1:$FF$1,0)-1)=TRUE),0,OFFSET(Rame!$F$1,MATCH(J45,Rame!$F:$F,0)-1,MATCH(K45,Rame!$F$1:$FF$1,0)-1))*IF(G45="Rame",1,0)</f>
        <v>0</v>
      </c>
      <c r="U45" s="205">
        <f ca="1">IF(ISERROR(OFFSET(Bronzo!$A$1,MATCH(J45,Bronzo!$A:$A,0)-1,MATCH(K45,Bronzo!$A$1:$AA$1,0)-1)=TRUE),0,OFFSET(Bronzo!$A$1,MATCH(J45,Bronzo!$A:$A,0)-1,MATCH(K45,Bronzo!$A$1:$AA$1,0)-1))</f>
        <v>0</v>
      </c>
      <c r="V45" s="205">
        <f t="shared" ca="1" si="91"/>
        <v>0</v>
      </c>
      <c r="W45" s="204"/>
      <c r="X45" s="205">
        <v>0</v>
      </c>
      <c r="Y45" s="206">
        <f t="shared" ca="1" si="92"/>
        <v>1.5</v>
      </c>
      <c r="Z45" s="380">
        <f t="shared" si="93"/>
        <v>18.45</v>
      </c>
      <c r="AA45" s="203">
        <v>3.7</v>
      </c>
      <c r="AB45" s="203">
        <f t="shared" ca="1" si="94"/>
        <v>-2.9999999999999805E-2</v>
      </c>
      <c r="AC45" s="238"/>
      <c r="AG45" t="s">
        <v>404</v>
      </c>
      <c r="AI45" s="367">
        <f t="shared" ca="1" si="90"/>
        <v>46092</v>
      </c>
      <c r="AJ45" s="367" t="b">
        <f t="shared" si="95"/>
        <v>1</v>
      </c>
      <c r="AK45" s="370" t="str">
        <f t="shared" si="96"/>
        <v/>
      </c>
      <c r="AN45">
        <f t="shared" si="97"/>
        <v>0</v>
      </c>
      <c r="AO45">
        <f t="shared" si="98"/>
        <v>1900</v>
      </c>
      <c r="AV45">
        <f t="shared" si="99"/>
        <v>0</v>
      </c>
      <c r="AW45">
        <f t="shared" si="100"/>
        <v>0</v>
      </c>
    </row>
    <row r="46" spans="4:49" ht="15.75" x14ac:dyDescent="0.25">
      <c r="D46" s="199" t="s">
        <v>485</v>
      </c>
      <c r="E46" s="378" t="s">
        <v>212</v>
      </c>
      <c r="F46" s="379">
        <v>883</v>
      </c>
      <c r="G46" s="201" t="s">
        <v>4</v>
      </c>
      <c r="H46" s="219">
        <v>2.23</v>
      </c>
      <c r="I46" s="202">
        <v>45904</v>
      </c>
      <c r="J46" s="200" t="s">
        <v>26</v>
      </c>
      <c r="K46" s="200"/>
      <c r="L46" s="203">
        <v>0.05</v>
      </c>
      <c r="M46" s="204">
        <f ca="1">IF(ISERROR(OFFSET(Tabella!$A$1,MATCH(J46,Tabella!$A:$A,0)-1,MATCH(L46,Tabella!$A$1:$AC$1,0)-1)=TRUE),0,+OFFSET(Tabella!$A$1,MATCH(J46,Tabella!$A:$A,0)-1,MATCH(L46,Tabella!$A$1:$AC$1,0)-1))</f>
        <v>0</v>
      </c>
      <c r="N46" s="205">
        <f ca="1">IF(ISERROR(OFFSET(Ottone!$A$1,MATCH(J46,Ottone!$A:$A,0)-1,MATCH(L46,Ottone!$A$1:$Z$1,0)-1)=TRUE),0,OFFSET(Ottone!$A$1,MATCH(J46,Ottone!$A:$A,0)-1,MATCH(L46,Ottone!$A$1:$Z$1,0)-1))*IF(G46="Ottone",1,0)</f>
        <v>0</v>
      </c>
      <c r="O46" s="205">
        <f ca="1">IF(ISERROR(OFFSET(Rame!$A$1,MATCH(J46,Rame!$A:$A,0)-1,MATCH(L46,Rame!$A$1:$AA$1,0)-1)=TRUE),0,OFFSET(Rame!$A$1,MATCH(J46,Rame!$A:$A,0)-1,MATCH(L46,Rame!$A$1:$AA$1,0)-1))*IF(G46="Rame",1,0)</f>
        <v>0</v>
      </c>
      <c r="P46" s="205">
        <v>0</v>
      </c>
      <c r="Q46" s="205">
        <v>1.5</v>
      </c>
      <c r="R46" s="205">
        <f ca="1">+IF(ISERROR(OFFSET(Tabella!$G$1,MATCH(J46,Tabella!$G:$G,0)-1,MATCH(K46,Tabella!$G$1:$FG$1,0)-1)=TRUE),0,OFFSET(Tabella!$G$1,MATCH(J46,Tabella!$G:$G,0)-1,MATCH(K46,Tabella!$G$1:$AB$1,0)-1))</f>
        <v>0</v>
      </c>
      <c r="S46" s="205">
        <f ca="1">IF(ISERROR(OFFSET(Ottone!$F$1,MATCH(J46,Ottone!$A:$A,0)-1,MATCH(K46,Ottone!$F$1:$FF$1,0)-1)=TRUE),0,OFFSET(Ottone!$F$1,MATCH(J46,Ottone!$A:$A,0)-1,MATCH(K46,Ottone!$F$1:$FF$1,0)-1))*IF(G46="Ottone",1,0)</f>
        <v>0</v>
      </c>
      <c r="T46" s="205">
        <f ca="1">IF(ISERROR(OFFSET(Rame!$F$1,MATCH(J46,Rame!$F:$F,0)-1,MATCH(K46,Rame!$F$1:$FF$1,0)-1)=TRUE),0,OFFSET(Rame!$F$1,MATCH(J46,Rame!$F:$F,0)-1,MATCH(K46,Rame!$F$1:$FF$1,0)-1))*IF(G46="Rame",1,0)</f>
        <v>0</v>
      </c>
      <c r="U46" s="205">
        <f ca="1">IF(ISERROR(OFFSET(Bronzo!$A$1,MATCH(J46,Bronzo!$A:$A,0)-1,MATCH(K46,Bronzo!$A$1:$AA$1,0)-1)=TRUE),0,OFFSET(Bronzo!$A$1,MATCH(J46,Bronzo!$A:$A,0)-1,MATCH(K46,Bronzo!$A$1:$AA$1,0)-1))</f>
        <v>0</v>
      </c>
      <c r="V46" s="205">
        <f t="shared" ca="1" si="91"/>
        <v>0</v>
      </c>
      <c r="W46" s="204"/>
      <c r="X46" s="205">
        <v>0</v>
      </c>
      <c r="Y46" s="206">
        <f t="shared" ca="1" si="92"/>
        <v>1.5</v>
      </c>
      <c r="Z46" s="380">
        <f t="shared" si="93"/>
        <v>44.150000000000006</v>
      </c>
      <c r="AA46" s="203">
        <v>3.7</v>
      </c>
      <c r="AB46" s="203">
        <f t="shared" ca="1" si="94"/>
        <v>-2.9999999999999805E-2</v>
      </c>
      <c r="AC46" s="238"/>
      <c r="AG46" t="s">
        <v>404</v>
      </c>
      <c r="AI46" s="367">
        <f t="shared" ca="1" si="90"/>
        <v>46092</v>
      </c>
      <c r="AJ46" s="367" t="b">
        <f t="shared" si="95"/>
        <v>1</v>
      </c>
      <c r="AK46" s="370" t="str">
        <f t="shared" si="96"/>
        <v/>
      </c>
      <c r="AN46">
        <f t="shared" si="97"/>
        <v>0</v>
      </c>
      <c r="AO46">
        <f t="shared" si="98"/>
        <v>1900</v>
      </c>
      <c r="AV46">
        <f t="shared" si="99"/>
        <v>0</v>
      </c>
      <c r="AW46">
        <f t="shared" si="100"/>
        <v>0</v>
      </c>
    </row>
    <row r="47" spans="4:49" ht="15.75" x14ac:dyDescent="0.25">
      <c r="D47" s="199" t="s">
        <v>468</v>
      </c>
      <c r="E47" s="378" t="s">
        <v>212</v>
      </c>
      <c r="F47" s="379">
        <v>665</v>
      </c>
      <c r="G47" s="201" t="s">
        <v>4</v>
      </c>
      <c r="H47" s="219">
        <v>2.23</v>
      </c>
      <c r="I47" s="202">
        <v>45904</v>
      </c>
      <c r="J47" s="200" t="s">
        <v>23</v>
      </c>
      <c r="K47" s="200"/>
      <c r="L47" s="203">
        <v>0.05</v>
      </c>
      <c r="M47" s="204">
        <f ca="1">IF(ISERROR(OFFSET(Tabella!$A$1,MATCH(J47,Tabella!$A:$A,0)-1,MATCH(L47,Tabella!$A$1:$AC$1,0)-1)=TRUE),0,+OFFSET(Tabella!$A$1,MATCH(J47,Tabella!$A:$A,0)-1,MATCH(L47,Tabella!$A$1:$AC$1,0)-1))</f>
        <v>0</v>
      </c>
      <c r="N47" s="205">
        <f ca="1">IF(ISERROR(OFFSET(Ottone!$A$1,MATCH(J47,Ottone!$A:$A,0)-1,MATCH(L47,Ottone!$A$1:$Z$1,0)-1)=TRUE),0,OFFSET(Ottone!$A$1,MATCH(J47,Ottone!$A:$A,0)-1,MATCH(L47,Ottone!$A$1:$Z$1,0)-1))*IF(G47="Ottone",1,0)</f>
        <v>0</v>
      </c>
      <c r="O47" s="205">
        <f ca="1">IF(ISERROR(OFFSET(Rame!$A$1,MATCH(J47,Rame!$A:$A,0)-1,MATCH(L47,Rame!$A$1:$AA$1,0)-1)=TRUE),0,OFFSET(Rame!$A$1,MATCH(J47,Rame!$A:$A,0)-1,MATCH(L47,Rame!$A$1:$AA$1,0)-1))*IF(G47="Rame",1,0)</f>
        <v>0</v>
      </c>
      <c r="P47" s="205">
        <v>0</v>
      </c>
      <c r="Q47" s="205">
        <v>1.5</v>
      </c>
      <c r="R47" s="205">
        <f ca="1">+IF(ISERROR(OFFSET(Tabella!$G$1,MATCH(J47,Tabella!$G:$G,0)-1,MATCH(K47,Tabella!$G$1:$FG$1,0)-1)=TRUE),0,OFFSET(Tabella!$G$1,MATCH(J47,Tabella!$G:$G,0)-1,MATCH(K47,Tabella!$G$1:$AB$1,0)-1))</f>
        <v>0</v>
      </c>
      <c r="S47" s="205">
        <f ca="1">IF(ISERROR(OFFSET(Ottone!$F$1,MATCH(J47,Ottone!$A:$A,0)-1,MATCH(K47,Ottone!$F$1:$FF$1,0)-1)=TRUE),0,OFFSET(Ottone!$F$1,MATCH(J47,Ottone!$A:$A,0)-1,MATCH(K47,Ottone!$F$1:$FF$1,0)-1))*IF(G47="Ottone",1,0)</f>
        <v>0</v>
      </c>
      <c r="T47" s="205">
        <f ca="1">IF(ISERROR(OFFSET(Rame!$F$1,MATCH(J47,Rame!$F:$F,0)-1,MATCH(K47,Rame!$F$1:$FF$1,0)-1)=TRUE),0,OFFSET(Rame!$F$1,MATCH(J47,Rame!$F:$F,0)-1,MATCH(K47,Rame!$F$1:$FF$1,0)-1))*IF(G47="Rame",1,0)</f>
        <v>0</v>
      </c>
      <c r="U47" s="205">
        <f ca="1">IF(ISERROR(OFFSET(Bronzo!$A$1,MATCH(J47,Bronzo!$A:$A,0)-1,MATCH(K47,Bronzo!$A$1:$AA$1,0)-1)=TRUE),0,OFFSET(Bronzo!$A$1,MATCH(J47,Bronzo!$A:$A,0)-1,MATCH(K47,Bronzo!$A$1:$AA$1,0)-1))</f>
        <v>0</v>
      </c>
      <c r="V47" s="205">
        <f t="shared" ca="1" si="91"/>
        <v>0</v>
      </c>
      <c r="W47" s="204"/>
      <c r="X47" s="205">
        <v>0</v>
      </c>
      <c r="Y47" s="206">
        <f t="shared" ca="1" si="92"/>
        <v>1.5</v>
      </c>
      <c r="Z47" s="380">
        <f t="shared" si="93"/>
        <v>33.25</v>
      </c>
      <c r="AA47" s="203">
        <v>3.7</v>
      </c>
      <c r="AB47" s="203">
        <f t="shared" ca="1" si="94"/>
        <v>-2.9999999999999805E-2</v>
      </c>
      <c r="AC47" s="238"/>
      <c r="AG47" t="s">
        <v>404</v>
      </c>
      <c r="AI47" s="367">
        <f t="shared" ca="1" si="90"/>
        <v>46092</v>
      </c>
      <c r="AJ47" s="367" t="b">
        <f t="shared" si="95"/>
        <v>1</v>
      </c>
      <c r="AK47" s="370" t="str">
        <f t="shared" si="96"/>
        <v/>
      </c>
      <c r="AN47">
        <f t="shared" si="97"/>
        <v>0</v>
      </c>
      <c r="AO47">
        <f t="shared" si="98"/>
        <v>1900</v>
      </c>
      <c r="AV47">
        <f t="shared" si="99"/>
        <v>0</v>
      </c>
      <c r="AW47">
        <f t="shared" si="100"/>
        <v>0</v>
      </c>
    </row>
    <row r="48" spans="4:49" ht="15.75" x14ac:dyDescent="0.25">
      <c r="D48" s="199" t="s">
        <v>456</v>
      </c>
      <c r="E48" s="378" t="s">
        <v>212</v>
      </c>
      <c r="F48" s="379">
        <v>398</v>
      </c>
      <c r="G48" s="201" t="s">
        <v>4</v>
      </c>
      <c r="H48" s="219">
        <v>2.23</v>
      </c>
      <c r="I48" s="202">
        <v>45904</v>
      </c>
      <c r="J48" s="200" t="s">
        <v>25</v>
      </c>
      <c r="K48" s="200"/>
      <c r="L48" s="203">
        <v>0.05</v>
      </c>
      <c r="M48" s="204">
        <f ca="1">IF(ISERROR(OFFSET(Tabella!$A$1,MATCH(J48,Tabella!$A:$A,0)-1,MATCH(L48,Tabella!$A$1:$AC$1,0)-1)=TRUE),0,+OFFSET(Tabella!$A$1,MATCH(J48,Tabella!$A:$A,0)-1,MATCH(L48,Tabella!$A$1:$AC$1,0)-1))</f>
        <v>0</v>
      </c>
      <c r="N48" s="205">
        <f ca="1">IF(ISERROR(OFFSET(Ottone!$A$1,MATCH(J48,Ottone!$A:$A,0)-1,MATCH(L48,Ottone!$A$1:$Z$1,0)-1)=TRUE),0,OFFSET(Ottone!$A$1,MATCH(J48,Ottone!$A:$A,0)-1,MATCH(L48,Ottone!$A$1:$Z$1,0)-1))*IF(G48="Ottone",1,0)</f>
        <v>0</v>
      </c>
      <c r="O48" s="205">
        <f ca="1">IF(ISERROR(OFFSET(Rame!$A$1,MATCH(J48,Rame!$A:$A,0)-1,MATCH(L48,Rame!$A$1:$AA$1,0)-1)=TRUE),0,OFFSET(Rame!$A$1,MATCH(J48,Rame!$A:$A,0)-1,MATCH(L48,Rame!$A$1:$AA$1,0)-1))*IF(G48="Rame",1,0)</f>
        <v>0</v>
      </c>
      <c r="P48" s="205">
        <v>0</v>
      </c>
      <c r="Q48" s="205">
        <v>1.5</v>
      </c>
      <c r="R48" s="205">
        <f ca="1">+IF(ISERROR(OFFSET(Tabella!$G$1,MATCH(J48,Tabella!$G:$G,0)-1,MATCH(K48,Tabella!$G$1:$FG$1,0)-1)=TRUE),0,OFFSET(Tabella!$G$1,MATCH(J48,Tabella!$G:$G,0)-1,MATCH(K48,Tabella!$G$1:$AB$1,0)-1))</f>
        <v>0</v>
      </c>
      <c r="S48" s="205">
        <f ca="1">IF(ISERROR(OFFSET(Ottone!$F$1,MATCH(J48,Ottone!$A:$A,0)-1,MATCH(K48,Ottone!$F$1:$FF$1,0)-1)=TRUE),0,OFFSET(Ottone!$F$1,MATCH(J48,Ottone!$A:$A,0)-1,MATCH(K48,Ottone!$F$1:$FF$1,0)-1))*IF(G48="Ottone",1,0)</f>
        <v>0</v>
      </c>
      <c r="T48" s="205">
        <f ca="1">IF(ISERROR(OFFSET(Rame!$F$1,MATCH(J48,Rame!$F:$F,0)-1,MATCH(K48,Rame!$F$1:$FF$1,0)-1)=TRUE),0,OFFSET(Rame!$F$1,MATCH(J48,Rame!$F:$F,0)-1,MATCH(K48,Rame!$F$1:$FF$1,0)-1))*IF(G48="Rame",1,0)</f>
        <v>0</v>
      </c>
      <c r="U48" s="205">
        <f ca="1">IF(ISERROR(OFFSET(Bronzo!$A$1,MATCH(J48,Bronzo!$A:$A,0)-1,MATCH(K48,Bronzo!$A$1:$AA$1,0)-1)=TRUE),0,OFFSET(Bronzo!$A$1,MATCH(J48,Bronzo!$A:$A,0)-1,MATCH(K48,Bronzo!$A$1:$AA$1,0)-1))</f>
        <v>0</v>
      </c>
      <c r="V48" s="205">
        <f t="shared" ca="1" si="91"/>
        <v>0</v>
      </c>
      <c r="W48" s="204"/>
      <c r="X48" s="205">
        <v>0</v>
      </c>
      <c r="Y48" s="206">
        <f t="shared" ca="1" si="92"/>
        <v>1.5</v>
      </c>
      <c r="Z48" s="380">
        <f t="shared" si="93"/>
        <v>19.900000000000002</v>
      </c>
      <c r="AA48" s="203">
        <v>3.7</v>
      </c>
      <c r="AB48" s="203">
        <f t="shared" ca="1" si="94"/>
        <v>-2.9999999999999805E-2</v>
      </c>
      <c r="AC48" s="238"/>
      <c r="AG48" t="s">
        <v>404</v>
      </c>
      <c r="AI48" s="367">
        <f t="shared" ca="1" si="90"/>
        <v>46092</v>
      </c>
      <c r="AJ48" s="367" t="b">
        <f t="shared" si="95"/>
        <v>1</v>
      </c>
      <c r="AK48" s="370" t="str">
        <f t="shared" si="96"/>
        <v/>
      </c>
      <c r="AN48">
        <f t="shared" si="97"/>
        <v>0</v>
      </c>
      <c r="AO48">
        <f t="shared" si="98"/>
        <v>1900</v>
      </c>
      <c r="AV48">
        <f t="shared" si="99"/>
        <v>0</v>
      </c>
      <c r="AW48">
        <f t="shared" si="100"/>
        <v>0</v>
      </c>
    </row>
    <row r="49" spans="4:49" ht="15.75" x14ac:dyDescent="0.25">
      <c r="D49" s="199" t="s">
        <v>444</v>
      </c>
      <c r="E49" s="200" t="s">
        <v>421</v>
      </c>
      <c r="F49" s="287">
        <v>1350</v>
      </c>
      <c r="G49" s="201" t="s">
        <v>6</v>
      </c>
      <c r="H49" s="219">
        <v>8.42</v>
      </c>
      <c r="I49" s="202">
        <v>45905</v>
      </c>
      <c r="J49" s="200" t="s">
        <v>16</v>
      </c>
      <c r="K49" s="200"/>
      <c r="L49" s="203">
        <v>0.1</v>
      </c>
      <c r="M49" s="204">
        <f ca="1">IF(ISERROR(OFFSET(Tabella!$A$1,MATCH(J49,Tabella!$A:$A,0)-1,MATCH(L49,Tabella!$A$1:$AC$1,0)-1)=TRUE),0,+OFFSET(Tabella!$A$1,MATCH(J49,Tabella!$A:$A,0)-1,MATCH(L49,Tabella!$A$1:$AC$1,0)-1))</f>
        <v>0</v>
      </c>
      <c r="N49" s="205">
        <f ca="1">IF(ISERROR(OFFSET(Ottone!$A$1,MATCH(J49,Ottone!$A:$A,0)-1,MATCH(L49,Ottone!$A$1:$Z$1,0)-1)=TRUE),0,OFFSET(Ottone!$A$1,MATCH(J49,Ottone!$A:$A,0)-1,MATCH(L49,Ottone!$A$1:$Z$1,0)-1))*IF(G49="Ottone",1,0)</f>
        <v>0</v>
      </c>
      <c r="O49" s="205">
        <f ca="1">IF(ISERROR(OFFSET(Rame!$A$1,MATCH(J49,Rame!$A:$A,0)-1,MATCH(L49,Rame!$A$1:$AA$1,0)-1)=TRUE),0,OFFSET(Rame!$A$1,MATCH(J49,Rame!$A:$A,0)-1,MATCH(L49,Rame!$A$1:$AA$1,0)-1))*IF(G49="Rame",1,0)</f>
        <v>0.82</v>
      </c>
      <c r="P49" s="205">
        <v>0</v>
      </c>
      <c r="Q49" s="205">
        <v>3.35</v>
      </c>
      <c r="R49" s="205">
        <f ca="1">+IF(ISERROR(OFFSET(Tabella!$G$1,MATCH(J49,Tabella!$G:$G,0)-1,MATCH(K49,Tabella!$G$1:$FG$1,0)-1)=TRUE),0,OFFSET(Tabella!$G$1,MATCH(J49,Tabella!$G:$G,0)-1,MATCH(K49,Tabella!$G$1:$AB$1,0)-1))</f>
        <v>0</v>
      </c>
      <c r="S49" s="205">
        <f ca="1">IF(ISERROR(OFFSET(Ottone!$F$1,MATCH(J49,Ottone!$A:$A,0)-1,MATCH(K49,Ottone!$F$1:$FF$1,0)-1)=TRUE),0,OFFSET(Ottone!$F$1,MATCH(J49,Ottone!$A:$A,0)-1,MATCH(K49,Ottone!$F$1:$FF$1,0)-1))*IF(G49="Ottone",1,0)</f>
        <v>0</v>
      </c>
      <c r="T49" s="205">
        <f ca="1">IF(ISERROR(OFFSET(Rame!$F$1,MATCH(J49,Rame!$F:$F,0)-1,MATCH(K49,Rame!$F$1:$FF$1,0)-1)=TRUE),0,OFFSET(Rame!$F$1,MATCH(J49,Rame!$F:$F,0)-1,MATCH(K49,Rame!$F$1:$FF$1,0)-1))*IF(G49="Rame",1,0)</f>
        <v>0</v>
      </c>
      <c r="U49" s="205">
        <f ca="1">IF(ISERROR(OFFSET(Bronzo!$A$1,MATCH(J49,Bronzo!$A:$A,0)-1,MATCH(K49,Bronzo!$A$1:$AA$1,0)-1)=TRUE),0,OFFSET(Bronzo!$A$1,MATCH(J49,Bronzo!$A:$A,0)-1,MATCH(K49,Bronzo!$A$1:$AA$1,0)-1))</f>
        <v>0</v>
      </c>
      <c r="V49" s="205">
        <f t="shared" ca="1" si="91"/>
        <v>0</v>
      </c>
      <c r="W49" s="204"/>
      <c r="X49" s="205">
        <v>0</v>
      </c>
      <c r="Y49" s="206">
        <f t="shared" ca="1" si="92"/>
        <v>3.35</v>
      </c>
      <c r="Z49" s="277">
        <f t="shared" si="93"/>
        <v>135</v>
      </c>
      <c r="AA49" s="203">
        <v>11.9</v>
      </c>
      <c r="AB49" s="203">
        <f t="shared" ca="1" si="94"/>
        <v>0.13000000000000078</v>
      </c>
      <c r="AC49" s="238">
        <v>46029</v>
      </c>
      <c r="AI49" s="367">
        <f t="shared" ca="1" si="90"/>
        <v>46092</v>
      </c>
      <c r="AJ49" s="367" t="b">
        <f t="shared" si="95"/>
        <v>0</v>
      </c>
      <c r="AK49" s="370">
        <f t="shared" ca="1" si="96"/>
        <v>-63</v>
      </c>
      <c r="AN49">
        <f t="shared" si="97"/>
        <v>2</v>
      </c>
      <c r="AO49">
        <f t="shared" si="98"/>
        <v>2026</v>
      </c>
      <c r="AV49">
        <f t="shared" si="99"/>
        <v>1</v>
      </c>
      <c r="AW49">
        <f t="shared" si="100"/>
        <v>2026</v>
      </c>
    </row>
    <row r="50" spans="4:49" ht="15.75" x14ac:dyDescent="0.25">
      <c r="D50" s="199" t="s">
        <v>553</v>
      </c>
      <c r="E50" s="378" t="s">
        <v>259</v>
      </c>
      <c r="F50" s="379">
        <v>11122</v>
      </c>
      <c r="G50" s="201" t="s">
        <v>4</v>
      </c>
      <c r="H50" s="219">
        <v>2.2000000000000002</v>
      </c>
      <c r="I50" s="202">
        <v>45890</v>
      </c>
      <c r="J50" s="200" t="s">
        <v>29</v>
      </c>
      <c r="K50" s="200"/>
      <c r="L50" s="203">
        <v>0.05</v>
      </c>
      <c r="M50" s="204">
        <f ca="1">IF(ISERROR(OFFSET(Tabella!$A$1,MATCH(J50,Tabella!$A:$A,0)-1,MATCH(L50,Tabella!$A$1:$AC$1,0)-1)=TRUE),0,+OFFSET(Tabella!$A$1,MATCH(J50,Tabella!$A:$A,0)-1,MATCH(L50,Tabella!$A$1:$AC$1,0)-1))</f>
        <v>0</v>
      </c>
      <c r="N50" s="205">
        <f ca="1">IF(ISERROR(OFFSET(Ottone!$A$1,MATCH(J50,Ottone!$A:$A,0)-1,MATCH(L50,Ottone!$A$1:$Z$1,0)-1)=TRUE),0,OFFSET(Ottone!$A$1,MATCH(J50,Ottone!$A:$A,0)-1,MATCH(L50,Ottone!$A$1:$Z$1,0)-1))*IF(G50="Ottone",1,0)</f>
        <v>0</v>
      </c>
      <c r="O50" s="205">
        <f ca="1">IF(ISERROR(OFFSET(Rame!$A$1,MATCH(J50,Rame!$A:$A,0)-1,MATCH(L50,Rame!$A$1:$AA$1,0)-1)=TRUE),0,OFFSET(Rame!$A$1,MATCH(J50,Rame!$A:$A,0)-1,MATCH(L50,Rame!$A$1:$AA$1,0)-1))*IF(G50="Rame",1,0)</f>
        <v>0</v>
      </c>
      <c r="P50" s="205">
        <v>0</v>
      </c>
      <c r="Q50" s="205">
        <v>2.5</v>
      </c>
      <c r="R50" s="205">
        <f ca="1">+IF(ISERROR(OFFSET(Tabella!$G$1,MATCH(J50,Tabella!$G:$G,0)-1,MATCH(K50,Tabella!$G$1:$FG$1,0)-1)=TRUE),0,OFFSET(Tabella!$G$1,MATCH(J50,Tabella!$G:$G,0)-1,MATCH(K50,Tabella!$G$1:$AB$1,0)-1))</f>
        <v>0</v>
      </c>
      <c r="S50" s="205">
        <f ca="1">IF(ISERROR(OFFSET(Ottone!$F$1,MATCH(J50,Ottone!$A:$A,0)-1,MATCH(K50,Ottone!$F$1:$FF$1,0)-1)=TRUE),0,OFFSET(Ottone!$F$1,MATCH(J50,Ottone!$A:$A,0)-1,MATCH(K50,Ottone!$F$1:$FF$1,0)-1))*IF(G50="Ottone",1,0)</f>
        <v>0</v>
      </c>
      <c r="T50" s="205">
        <f ca="1">IF(ISERROR(OFFSET(Rame!$F$1,MATCH(J50,Rame!$F:$F,0)-1,MATCH(K50,Rame!$F$1:$FF$1,0)-1)=TRUE),0,OFFSET(Rame!$F$1,MATCH(J50,Rame!$F:$F,0)-1,MATCH(K50,Rame!$F$1:$FF$1,0)-1))*IF(G50="Rame",1,0)</f>
        <v>0</v>
      </c>
      <c r="U50" s="205">
        <f ca="1">IF(ISERROR(OFFSET(Bronzo!$A$1,MATCH(J50,Bronzo!$A:$A,0)-1,MATCH(K50,Bronzo!$A$1:$AA$1,0)-1)=TRUE),0,OFFSET(Bronzo!$A$1,MATCH(J50,Bronzo!$A:$A,0)-1,MATCH(K50,Bronzo!$A$1:$AA$1,0)-1))</f>
        <v>0</v>
      </c>
      <c r="V50" s="205">
        <f t="shared" ca="1" si="91"/>
        <v>0</v>
      </c>
      <c r="W50" s="204"/>
      <c r="X50" s="205">
        <v>0</v>
      </c>
      <c r="Y50" s="206">
        <f t="shared" ca="1" si="92"/>
        <v>2.5</v>
      </c>
      <c r="Z50" s="380">
        <f t="shared" si="93"/>
        <v>556.1</v>
      </c>
      <c r="AA50" s="203">
        <v>3.53</v>
      </c>
      <c r="AB50" s="203">
        <f t="shared" ca="1" si="94"/>
        <v>-1.1700000000000004</v>
      </c>
      <c r="AC50" s="238"/>
      <c r="AG50" t="s">
        <v>404</v>
      </c>
      <c r="AI50" s="367">
        <f t="shared" ca="1" si="90"/>
        <v>46092</v>
      </c>
      <c r="AJ50" s="367" t="b">
        <f t="shared" si="95"/>
        <v>1</v>
      </c>
      <c r="AK50" s="370" t="str">
        <f t="shared" si="96"/>
        <v/>
      </c>
      <c r="AN50">
        <f t="shared" si="97"/>
        <v>0</v>
      </c>
      <c r="AO50">
        <f t="shared" si="98"/>
        <v>1900</v>
      </c>
      <c r="AV50">
        <f t="shared" si="99"/>
        <v>0</v>
      </c>
      <c r="AW50">
        <f t="shared" si="100"/>
        <v>0</v>
      </c>
    </row>
    <row r="51" spans="4:49" ht="15.75" x14ac:dyDescent="0.25">
      <c r="D51" s="199" t="s">
        <v>655</v>
      </c>
      <c r="E51" s="393" t="s">
        <v>259</v>
      </c>
      <c r="F51" s="394">
        <v>5495</v>
      </c>
      <c r="G51" s="201" t="s">
        <v>4</v>
      </c>
      <c r="H51" s="219">
        <v>2.2000000000000002</v>
      </c>
      <c r="I51" s="202">
        <v>45890</v>
      </c>
      <c r="J51" s="200" t="s">
        <v>307</v>
      </c>
      <c r="K51" s="200"/>
      <c r="L51" s="203">
        <v>0.05</v>
      </c>
      <c r="M51" s="204">
        <f ca="1">IF(ISERROR(OFFSET(Tabella!$A$1,MATCH(J51,Tabella!$A:$A,0)-1,MATCH(L51,Tabella!$A$1:$AC$1,0)-1)=TRUE),0,+OFFSET(Tabella!$A$1,MATCH(J51,Tabella!$A:$A,0)-1,MATCH(L51,Tabella!$A$1:$AC$1,0)-1))</f>
        <v>0</v>
      </c>
      <c r="N51" s="205">
        <f ca="1">IF(ISERROR(OFFSET(Ottone!$A$1,MATCH(J51,Ottone!$A:$A,0)-1,MATCH(L51,Ottone!$A$1:$Z$1,0)-1)=TRUE),0,OFFSET(Ottone!$A$1,MATCH(J51,Ottone!$A:$A,0)-1,MATCH(L51,Ottone!$A$1:$Z$1,0)-1))*IF(G51="Ottone",1,0)</f>
        <v>0</v>
      </c>
      <c r="O51" s="205">
        <f ca="1">IF(ISERROR(OFFSET(Rame!$A$1,MATCH(J51,Rame!$A:$A,0)-1,MATCH(L51,Rame!$A$1:$AA$1,0)-1)=TRUE),0,OFFSET(Rame!$A$1,MATCH(J51,Rame!$A:$A,0)-1,MATCH(L51,Rame!$A$1:$AA$1,0)-1))*IF(G51="Rame",1,0)</f>
        <v>0</v>
      </c>
      <c r="P51" s="205">
        <v>0</v>
      </c>
      <c r="Q51" s="205">
        <v>1.5</v>
      </c>
      <c r="R51" s="205">
        <f ca="1">+IF(ISERROR(OFFSET(Tabella!$G$1,MATCH(J51,Tabella!$G:$G,0)-1,MATCH(K51,Tabella!$G$1:$FG$1,0)-1)=TRUE),0,OFFSET(Tabella!$G$1,MATCH(J51,Tabella!$G:$G,0)-1,MATCH(K51,Tabella!$G$1:$AB$1,0)-1))</f>
        <v>0</v>
      </c>
      <c r="S51" s="205">
        <f ca="1">IF(ISERROR(OFFSET(Ottone!$F$1,MATCH(J51,Ottone!$A:$A,0)-1,MATCH(K51,Ottone!$F$1:$FF$1,0)-1)=TRUE),0,OFFSET(Ottone!$F$1,MATCH(J51,Ottone!$A:$A,0)-1,MATCH(K51,Ottone!$F$1:$FF$1,0)-1))*IF(G51="Ottone",1,0)</f>
        <v>0</v>
      </c>
      <c r="T51" s="205">
        <f ca="1">IF(ISERROR(OFFSET(Rame!$F$1,MATCH(J51,Rame!$F:$F,0)-1,MATCH(K51,Rame!$F$1:$FF$1,0)-1)=TRUE),0,OFFSET(Rame!$F$1,MATCH(J51,Rame!$F:$F,0)-1,MATCH(K51,Rame!$F$1:$FF$1,0)-1))*IF(G51="Rame",1,0)</f>
        <v>0</v>
      </c>
      <c r="U51" s="205">
        <f ca="1">IF(ISERROR(OFFSET(Bronzo!$A$1,MATCH(J51,Bronzo!$A:$A,0)-1,MATCH(K51,Bronzo!$A$1:$AA$1,0)-1)=TRUE),0,OFFSET(Bronzo!$A$1,MATCH(J51,Bronzo!$A:$A,0)-1,MATCH(K51,Bronzo!$A$1:$AA$1,0)-1))</f>
        <v>0</v>
      </c>
      <c r="V51" s="205">
        <f t="shared" ca="1" si="91"/>
        <v>0</v>
      </c>
      <c r="W51" s="204"/>
      <c r="X51" s="205">
        <v>0</v>
      </c>
      <c r="Y51" s="206">
        <f t="shared" ca="1" si="92"/>
        <v>1.5</v>
      </c>
      <c r="Z51" s="395">
        <f t="shared" si="93"/>
        <v>274.75</v>
      </c>
      <c r="AA51" s="203">
        <v>3.53</v>
      </c>
      <c r="AB51" s="203">
        <f t="shared" ca="1" si="94"/>
        <v>-0.17000000000000037</v>
      </c>
      <c r="AC51" s="238"/>
      <c r="AG51" t="s">
        <v>404</v>
      </c>
      <c r="AH51" t="s">
        <v>656</v>
      </c>
      <c r="AI51" s="367">
        <f t="shared" ref="AI51:AI68" ca="1" si="101">TODAY()</f>
        <v>46092</v>
      </c>
      <c r="AJ51" s="367" t="b">
        <f t="shared" si="95"/>
        <v>1</v>
      </c>
      <c r="AK51" s="370" t="str">
        <f t="shared" si="96"/>
        <v/>
      </c>
      <c r="AN51">
        <f t="shared" si="97"/>
        <v>0</v>
      </c>
      <c r="AO51">
        <f t="shared" si="98"/>
        <v>1900</v>
      </c>
      <c r="AV51">
        <f t="shared" si="99"/>
        <v>0</v>
      </c>
      <c r="AW51">
        <f t="shared" si="100"/>
        <v>0</v>
      </c>
    </row>
    <row r="52" spans="4:49" ht="15.75" x14ac:dyDescent="0.25">
      <c r="D52" s="199" t="s">
        <v>554</v>
      </c>
      <c r="E52" s="378" t="s">
        <v>259</v>
      </c>
      <c r="F52" s="379">
        <v>1988</v>
      </c>
      <c r="G52" s="201" t="s">
        <v>4</v>
      </c>
      <c r="H52" s="219">
        <v>2.2000000000000002</v>
      </c>
      <c r="I52" s="202">
        <v>45890</v>
      </c>
      <c r="J52" s="200" t="s">
        <v>29</v>
      </c>
      <c r="K52" s="200"/>
      <c r="L52" s="203">
        <v>0.05</v>
      </c>
      <c r="M52" s="204">
        <f ca="1">IF(ISERROR(OFFSET(Tabella!$A$1,MATCH(J52,Tabella!$A:$A,0)-1,MATCH(L52,Tabella!$A$1:$AC$1,0)-1)=TRUE),0,+OFFSET(Tabella!$A$1,MATCH(J52,Tabella!$A:$A,0)-1,MATCH(L52,Tabella!$A$1:$AC$1,0)-1))</f>
        <v>0</v>
      </c>
      <c r="N52" s="205">
        <f ca="1">IF(ISERROR(OFFSET(Ottone!$A$1,MATCH(J52,Ottone!$A:$A,0)-1,MATCH(L52,Ottone!$A$1:$Z$1,0)-1)=TRUE),0,OFFSET(Ottone!$A$1,MATCH(J52,Ottone!$A:$A,0)-1,MATCH(L52,Ottone!$A$1:$Z$1,0)-1))*IF(G52="Ottone",1,0)</f>
        <v>0</v>
      </c>
      <c r="O52" s="205">
        <f ca="1">IF(ISERROR(OFFSET(Rame!$A$1,MATCH(J52,Rame!$A:$A,0)-1,MATCH(L52,Rame!$A$1:$AA$1,0)-1)=TRUE),0,OFFSET(Rame!$A$1,MATCH(J52,Rame!$A:$A,0)-1,MATCH(L52,Rame!$A$1:$AA$1,0)-1))*IF(G52="Rame",1,0)</f>
        <v>0</v>
      </c>
      <c r="P52" s="205">
        <v>0</v>
      </c>
      <c r="Q52" s="205">
        <v>1.5</v>
      </c>
      <c r="R52" s="205">
        <f ca="1">+IF(ISERROR(OFFSET(Tabella!$G$1,MATCH(J52,Tabella!$G:$G,0)-1,MATCH(K52,Tabella!$G$1:$FG$1,0)-1)=TRUE),0,OFFSET(Tabella!$G$1,MATCH(J52,Tabella!$G:$G,0)-1,MATCH(K52,Tabella!$G$1:$AB$1,0)-1))</f>
        <v>0</v>
      </c>
      <c r="S52" s="205">
        <f ca="1">IF(ISERROR(OFFSET(Ottone!$F$1,MATCH(J52,Ottone!$A:$A,0)-1,MATCH(K52,Ottone!$F$1:$FF$1,0)-1)=TRUE),0,OFFSET(Ottone!$F$1,MATCH(J52,Ottone!$A:$A,0)-1,MATCH(K52,Ottone!$F$1:$FF$1,0)-1))*IF(G52="Ottone",1,0)</f>
        <v>0</v>
      </c>
      <c r="T52" s="205">
        <f ca="1">IF(ISERROR(OFFSET(Rame!$F$1,MATCH(J52,Rame!$F:$F,0)-1,MATCH(K52,Rame!$F$1:$FF$1,0)-1)=TRUE),0,OFFSET(Rame!$F$1,MATCH(J52,Rame!$F:$F,0)-1,MATCH(K52,Rame!$F$1:$FF$1,0)-1))*IF(G52="Rame",1,0)</f>
        <v>0</v>
      </c>
      <c r="U52" s="205">
        <f ca="1">IF(ISERROR(OFFSET(Bronzo!$A$1,MATCH(J52,Bronzo!$A:$A,0)-1,MATCH(K52,Bronzo!$A$1:$AA$1,0)-1)=TRUE),0,OFFSET(Bronzo!$A$1,MATCH(J52,Bronzo!$A:$A,0)-1,MATCH(K52,Bronzo!$A$1:$AA$1,0)-1))</f>
        <v>0</v>
      </c>
      <c r="V52" s="205">
        <f t="shared" ca="1" si="91"/>
        <v>0</v>
      </c>
      <c r="W52" s="204"/>
      <c r="X52" s="205">
        <v>0</v>
      </c>
      <c r="Y52" s="206">
        <f t="shared" ca="1" si="92"/>
        <v>1.5</v>
      </c>
      <c r="Z52" s="380">
        <f t="shared" si="93"/>
        <v>99.4</v>
      </c>
      <c r="AA52" s="203">
        <v>3.53</v>
      </c>
      <c r="AB52" s="203">
        <f t="shared" ca="1" si="94"/>
        <v>-0.17000000000000037</v>
      </c>
      <c r="AC52" s="238"/>
      <c r="AG52" t="s">
        <v>404</v>
      </c>
      <c r="AI52" s="367">
        <f t="shared" ca="1" si="101"/>
        <v>46092</v>
      </c>
      <c r="AJ52" s="367" t="b">
        <f t="shared" si="95"/>
        <v>1</v>
      </c>
      <c r="AK52" s="370" t="str">
        <f t="shared" si="96"/>
        <v/>
      </c>
      <c r="AN52">
        <f t="shared" si="97"/>
        <v>0</v>
      </c>
      <c r="AO52">
        <f t="shared" si="98"/>
        <v>1900</v>
      </c>
      <c r="AV52">
        <f t="shared" si="99"/>
        <v>0</v>
      </c>
      <c r="AW52">
        <f t="shared" si="100"/>
        <v>0</v>
      </c>
    </row>
    <row r="53" spans="4:49" ht="15.75" x14ac:dyDescent="0.25">
      <c r="D53" s="199" t="s">
        <v>623</v>
      </c>
      <c r="E53" s="378" t="s">
        <v>102</v>
      </c>
      <c r="F53" s="379">
        <v>1545</v>
      </c>
      <c r="G53" s="201" t="s">
        <v>4</v>
      </c>
      <c r="H53" s="219">
        <v>2.2000000000000002</v>
      </c>
      <c r="I53" s="202">
        <v>45824</v>
      </c>
      <c r="J53" s="200" t="s">
        <v>22</v>
      </c>
      <c r="K53" s="200"/>
      <c r="L53" s="203">
        <v>7.0000000000000007E-2</v>
      </c>
      <c r="M53" s="204">
        <f ca="1">IF(ISERROR(OFFSET(Tabella!$A$1,MATCH(J53,Tabella!$A:$A,0)-1,MATCH(L53,Tabella!$A$1:$AC$1,0)-1)=TRUE),0,+OFFSET(Tabella!$A$1,MATCH(J53,Tabella!$A:$A,0)-1,MATCH(L53,Tabella!$A$1:$AC$1,0)-1))</f>
        <v>1.25</v>
      </c>
      <c r="N53" s="205">
        <f ca="1">IF(ISERROR(OFFSET(Ottone!$A$1,MATCH(J53,Ottone!$A:$A,0)-1,MATCH(L53,Ottone!$A$1:$Z$1,0)-1)=TRUE),0,OFFSET(Ottone!$A$1,MATCH(J53,Ottone!$A:$A,0)-1,MATCH(L53,Ottone!$A$1:$Z$1,0)-1))*IF(G53="Ottone",1,0)</f>
        <v>0</v>
      </c>
      <c r="O53" s="205">
        <f ca="1">IF(ISERROR(OFFSET(Rame!$A$1,MATCH(J53,Rame!$A:$A,0)-1,MATCH(L53,Rame!$A$1:$AA$1,0)-1)=TRUE),0,OFFSET(Rame!$A$1,MATCH(J53,Rame!$A:$A,0)-1,MATCH(L53,Rame!$A$1:$AA$1,0)-1))*IF(G53="Rame",1,0)</f>
        <v>0</v>
      </c>
      <c r="P53" s="205">
        <v>0</v>
      </c>
      <c r="Q53" s="205">
        <f t="shared" ref="Q53:Q54" ca="1" si="102">SUM(M53:P53)</f>
        <v>1.25</v>
      </c>
      <c r="R53" s="205">
        <f ca="1">+IF(ISERROR(OFFSET(Tabella!$G$1,MATCH(J53,Tabella!$G:$G,0)-1,MATCH(K53,Tabella!$G$1:$FG$1,0)-1)=TRUE),0,OFFSET(Tabella!$G$1,MATCH(J53,Tabella!$G:$G,0)-1,MATCH(K53,Tabella!$G$1:$AB$1,0)-1))</f>
        <v>0</v>
      </c>
      <c r="S53" s="205">
        <f ca="1">IF(ISERROR(OFFSET(Ottone!$F$1,MATCH(J53,Ottone!$A:$A,0)-1,MATCH(K53,Ottone!$F$1:$FF$1,0)-1)=TRUE),0,OFFSET(Ottone!$F$1,MATCH(J53,Ottone!$A:$A,0)-1,MATCH(K53,Ottone!$F$1:$FF$1,0)-1))*IF(G53="Ottone",1,0)</f>
        <v>0</v>
      </c>
      <c r="T53" s="205">
        <f ca="1">IF(ISERROR(OFFSET(Rame!$F$1,MATCH(J53,Rame!$F:$F,0)-1,MATCH(K53,Rame!$F$1:$FF$1,0)-1)=TRUE),0,OFFSET(Rame!$F$1,MATCH(J53,Rame!$F:$F,0)-1,MATCH(K53,Rame!$F$1:$FF$1,0)-1))*IF(G53="Rame",1,0)</f>
        <v>0</v>
      </c>
      <c r="U53" s="205">
        <f ca="1">IF(ISERROR(OFFSET(Bronzo!$A$1,MATCH(J53,Bronzo!$A:$A,0)-1,MATCH(K53,Bronzo!$A$1:$AA$1,0)-1)=TRUE),0,OFFSET(Bronzo!$A$1,MATCH(J53,Bronzo!$A:$A,0)-1,MATCH(K53,Bronzo!$A$1:$AA$1,0)-1))</f>
        <v>0</v>
      </c>
      <c r="V53" s="205">
        <f t="shared" ca="1" si="91"/>
        <v>0</v>
      </c>
      <c r="W53" s="204"/>
      <c r="X53" s="205">
        <v>0</v>
      </c>
      <c r="Y53" s="206">
        <f t="shared" ca="1" si="92"/>
        <v>1.25</v>
      </c>
      <c r="Z53" s="380">
        <f t="shared" si="93"/>
        <v>108.15</v>
      </c>
      <c r="AA53" s="203">
        <v>3.75</v>
      </c>
      <c r="AB53" s="203">
        <f t="shared" ca="1" si="94"/>
        <v>0.29999999999999982</v>
      </c>
      <c r="AC53" s="238"/>
      <c r="AG53" t="s">
        <v>404</v>
      </c>
      <c r="AH53" t="s">
        <v>621</v>
      </c>
      <c r="AI53" s="367">
        <f t="shared" ca="1" si="101"/>
        <v>46092</v>
      </c>
      <c r="AJ53" s="367" t="b">
        <f t="shared" si="95"/>
        <v>1</v>
      </c>
      <c r="AK53" s="370" t="str">
        <f t="shared" si="96"/>
        <v/>
      </c>
      <c r="AN53">
        <f t="shared" si="97"/>
        <v>0</v>
      </c>
      <c r="AO53">
        <f t="shared" si="98"/>
        <v>1900</v>
      </c>
      <c r="AV53">
        <f t="shared" si="99"/>
        <v>0</v>
      </c>
      <c r="AW53">
        <f t="shared" si="100"/>
        <v>0</v>
      </c>
    </row>
    <row r="54" spans="4:49" ht="15.75" x14ac:dyDescent="0.25">
      <c r="D54" s="199" t="s">
        <v>623</v>
      </c>
      <c r="E54" s="378" t="s">
        <v>102</v>
      </c>
      <c r="F54" s="379">
        <v>2623</v>
      </c>
      <c r="G54" s="201" t="s">
        <v>4</v>
      </c>
      <c r="H54" s="219">
        <v>2.2000000000000002</v>
      </c>
      <c r="I54" s="202">
        <v>45824</v>
      </c>
      <c r="J54" s="200" t="s">
        <v>27</v>
      </c>
      <c r="K54" s="200"/>
      <c r="L54" s="203">
        <v>7.0000000000000007E-2</v>
      </c>
      <c r="M54" s="204">
        <f ca="1">IF(ISERROR(OFFSET(Tabella!$A$1,MATCH(J54,Tabella!$A:$A,0)-1,MATCH(L54,Tabella!$A$1:$AC$1,0)-1)=TRUE),0,+OFFSET(Tabella!$A$1,MATCH(J54,Tabella!$A:$A,0)-1,MATCH(L54,Tabella!$A$1:$AC$1,0)-1))</f>
        <v>1.25</v>
      </c>
      <c r="N54" s="205">
        <f ca="1">IF(ISERROR(OFFSET(Ottone!$A$1,MATCH(J54,Ottone!$A:$A,0)-1,MATCH(L54,Ottone!$A$1:$Z$1,0)-1)=TRUE),0,OFFSET(Ottone!$A$1,MATCH(J54,Ottone!$A:$A,0)-1,MATCH(L54,Ottone!$A$1:$Z$1,0)-1))*IF(G54="Ottone",1,0)</f>
        <v>0</v>
      </c>
      <c r="O54" s="205">
        <f ca="1">IF(ISERROR(OFFSET(Rame!$A$1,MATCH(J54,Rame!$A:$A,0)-1,MATCH(L54,Rame!$A$1:$AA$1,0)-1)=TRUE),0,OFFSET(Rame!$A$1,MATCH(J54,Rame!$A:$A,0)-1,MATCH(L54,Rame!$A$1:$AA$1,0)-1))*IF(G54="Rame",1,0)</f>
        <v>0</v>
      </c>
      <c r="P54" s="205">
        <v>0</v>
      </c>
      <c r="Q54" s="205">
        <f t="shared" ca="1" si="102"/>
        <v>1.25</v>
      </c>
      <c r="R54" s="205">
        <f ca="1">+IF(ISERROR(OFFSET(Tabella!$G$1,MATCH(J54,Tabella!$G:$G,0)-1,MATCH(K54,Tabella!$G$1:$FG$1,0)-1)=TRUE),0,OFFSET(Tabella!$G$1,MATCH(J54,Tabella!$G:$G,0)-1,MATCH(K54,Tabella!$G$1:$AB$1,0)-1))</f>
        <v>0</v>
      </c>
      <c r="S54" s="205">
        <f ca="1">IF(ISERROR(OFFSET(Ottone!$F$1,MATCH(J54,Ottone!$A:$A,0)-1,MATCH(K54,Ottone!$F$1:$FF$1,0)-1)=TRUE),0,OFFSET(Ottone!$F$1,MATCH(J54,Ottone!$A:$A,0)-1,MATCH(K54,Ottone!$F$1:$FF$1,0)-1))*IF(G54="Ottone",1,0)</f>
        <v>0</v>
      </c>
      <c r="T54" s="205">
        <f ca="1">IF(ISERROR(OFFSET(Rame!$F$1,MATCH(J54,Rame!$F:$F,0)-1,MATCH(K54,Rame!$F$1:$FF$1,0)-1)=TRUE),0,OFFSET(Rame!$F$1,MATCH(J54,Rame!$F:$F,0)-1,MATCH(K54,Rame!$F$1:$FF$1,0)-1))*IF(G54="Rame",1,0)</f>
        <v>0</v>
      </c>
      <c r="U54" s="205">
        <f ca="1">IF(ISERROR(OFFSET(Bronzo!$A$1,MATCH(J54,Bronzo!$A:$A,0)-1,MATCH(K54,Bronzo!$A$1:$AA$1,0)-1)=TRUE),0,OFFSET(Bronzo!$A$1,MATCH(J54,Bronzo!$A:$A,0)-1,MATCH(K54,Bronzo!$A$1:$AA$1,0)-1))</f>
        <v>0</v>
      </c>
      <c r="V54" s="205">
        <f t="shared" ca="1" si="91"/>
        <v>0</v>
      </c>
      <c r="W54" s="204"/>
      <c r="X54" s="205">
        <v>0</v>
      </c>
      <c r="Y54" s="206">
        <f t="shared" ca="1" si="92"/>
        <v>1.25</v>
      </c>
      <c r="Z54" s="380">
        <f t="shared" si="93"/>
        <v>183.61</v>
      </c>
      <c r="AA54" s="203">
        <v>3.75</v>
      </c>
      <c r="AB54" s="203">
        <f t="shared" ca="1" si="94"/>
        <v>0.29999999999999982</v>
      </c>
      <c r="AC54" s="238"/>
      <c r="AG54" t="s">
        <v>404</v>
      </c>
      <c r="AH54" t="s">
        <v>622</v>
      </c>
      <c r="AI54" s="367">
        <f t="shared" ca="1" si="101"/>
        <v>46092</v>
      </c>
      <c r="AJ54" s="367" t="b">
        <f t="shared" si="95"/>
        <v>1</v>
      </c>
      <c r="AK54" s="370" t="str">
        <f t="shared" si="96"/>
        <v/>
      </c>
      <c r="AN54">
        <f t="shared" si="97"/>
        <v>0</v>
      </c>
      <c r="AO54">
        <f t="shared" si="98"/>
        <v>1900</v>
      </c>
      <c r="AV54">
        <f t="shared" si="99"/>
        <v>0</v>
      </c>
      <c r="AW54">
        <f t="shared" si="100"/>
        <v>0</v>
      </c>
    </row>
    <row r="55" spans="4:49" ht="15.75" x14ac:dyDescent="0.25">
      <c r="D55" s="199" t="s">
        <v>504</v>
      </c>
      <c r="E55" s="378" t="s">
        <v>421</v>
      </c>
      <c r="F55" s="379">
        <v>144</v>
      </c>
      <c r="G55" s="201" t="s">
        <v>4</v>
      </c>
      <c r="H55" s="219">
        <v>2.2400000000000002</v>
      </c>
      <c r="I55" s="202">
        <v>45824</v>
      </c>
      <c r="J55" s="200" t="s">
        <v>307</v>
      </c>
      <c r="K55" s="200"/>
      <c r="L55" s="203">
        <v>7.0000000000000007E-2</v>
      </c>
      <c r="M55" s="204"/>
      <c r="N55" s="205"/>
      <c r="O55" s="205"/>
      <c r="P55" s="205"/>
      <c r="Q55" s="205">
        <v>1.25</v>
      </c>
      <c r="R55" s="205"/>
      <c r="S55" s="205"/>
      <c r="T55" s="205"/>
      <c r="U55" s="205"/>
      <c r="V55" s="205"/>
      <c r="W55" s="204"/>
      <c r="X55" s="205"/>
      <c r="Y55" s="206">
        <v>1.25</v>
      </c>
      <c r="Z55" s="380">
        <f t="shared" si="93"/>
        <v>10.080000000000002</v>
      </c>
      <c r="AA55" s="203">
        <v>3.75</v>
      </c>
      <c r="AB55" s="203"/>
      <c r="AC55" s="238"/>
      <c r="AG55" t="s">
        <v>404</v>
      </c>
      <c r="AK55" s="370"/>
    </row>
    <row r="56" spans="4:49" ht="15.75" x14ac:dyDescent="0.25">
      <c r="D56" s="199" t="s">
        <v>504</v>
      </c>
      <c r="E56" s="378" t="s">
        <v>421</v>
      </c>
      <c r="F56" s="379">
        <v>226</v>
      </c>
      <c r="G56" s="201" t="s">
        <v>4</v>
      </c>
      <c r="H56" s="219">
        <v>2.2400000000000002</v>
      </c>
      <c r="I56" s="202">
        <v>45912</v>
      </c>
      <c r="J56" s="200" t="s">
        <v>19</v>
      </c>
      <c r="K56" s="200"/>
      <c r="L56" s="203">
        <v>7.0000000000000007E-2</v>
      </c>
      <c r="M56" s="204">
        <f ca="1">IF(ISERROR(OFFSET(Tabella!$A$1,MATCH(J56,Tabella!$A:$A,0)-1,MATCH(L56,Tabella!$A$1:$AC$1,0)-1)=TRUE),0,+OFFSET(Tabella!$A$1,MATCH(J56,Tabella!$A:$A,0)-1,MATCH(L56,Tabella!$A$1:$AC$1,0)-1))</f>
        <v>1.35</v>
      </c>
      <c r="N56" s="205">
        <f ca="1">IF(ISERROR(OFFSET(Ottone!$A$1,MATCH(J56,Ottone!$A:$A,0)-1,MATCH(L56,Ottone!$A$1:$Z$1,0)-1)=TRUE),0,OFFSET(Ottone!$A$1,MATCH(J56,Ottone!$A:$A,0)-1,MATCH(L56,Ottone!$A$1:$Z$1,0)-1))*IF(G56="Ottone",1,0)</f>
        <v>0</v>
      </c>
      <c r="O56" s="205">
        <f ca="1">IF(ISERROR(OFFSET(Rame!$A$1,MATCH(J56,Rame!$A:$A,0)-1,MATCH(L56,Rame!$A$1:$AA$1,0)-1)=TRUE),0,OFFSET(Rame!$A$1,MATCH(J56,Rame!$A:$A,0)-1,MATCH(L56,Rame!$A$1:$AA$1,0)-1))*IF(G56="Rame",1,0)</f>
        <v>0</v>
      </c>
      <c r="P56" s="205">
        <v>0</v>
      </c>
      <c r="Q56" s="205">
        <v>1.55</v>
      </c>
      <c r="R56" s="205">
        <f ca="1">+IF(ISERROR(OFFSET(Tabella!$G$1,MATCH(J56,Tabella!$G:$G,0)-1,MATCH(K56,Tabella!$G$1:$FG$1,0)-1)=TRUE),0,OFFSET(Tabella!$G$1,MATCH(J56,Tabella!$G:$G,0)-1,MATCH(K56,Tabella!$G$1:$AB$1,0)-1))</f>
        <v>0</v>
      </c>
      <c r="S56" s="205">
        <f ca="1">IF(ISERROR(OFFSET(Ottone!$F$1,MATCH(J56,Ottone!$A:$A,0)-1,MATCH(K56,Ottone!$F$1:$FF$1,0)-1)=TRUE),0,OFFSET(Ottone!$F$1,MATCH(J56,Ottone!$A:$A,0)-1,MATCH(K56,Ottone!$F$1:$FF$1,0)-1))*IF(G56="Ottone",1,0)</f>
        <v>0</v>
      </c>
      <c r="T56" s="205">
        <f ca="1">IF(ISERROR(OFFSET(Rame!$F$1,MATCH(J56,Rame!$F:$F,0)-1,MATCH(K56,Rame!$F$1:$FF$1,0)-1)=TRUE),0,OFFSET(Rame!$F$1,MATCH(J56,Rame!$F:$F,0)-1,MATCH(K56,Rame!$F$1:$FF$1,0)-1))*IF(G56="Rame",1,0)</f>
        <v>0</v>
      </c>
      <c r="U56" s="205">
        <f ca="1">IF(ISERROR(OFFSET(Bronzo!$A$1,MATCH(J56,Bronzo!$A:$A,0)-1,MATCH(K56,Bronzo!$A$1:$AA$1,0)-1)=TRUE),0,OFFSET(Bronzo!$A$1,MATCH(J56,Bronzo!$A:$A,0)-1,MATCH(K56,Bronzo!$A$1:$AA$1,0)-1))</f>
        <v>0</v>
      </c>
      <c r="V56" s="205">
        <f t="shared" ca="1" si="91"/>
        <v>0</v>
      </c>
      <c r="W56" s="204"/>
      <c r="X56" s="205">
        <v>0</v>
      </c>
      <c r="Y56" s="206">
        <f t="shared" ca="1" si="92"/>
        <v>1.55</v>
      </c>
      <c r="Z56" s="380">
        <f t="shared" si="93"/>
        <v>15.820000000000002</v>
      </c>
      <c r="AA56" s="203">
        <v>3.8</v>
      </c>
      <c r="AB56" s="203">
        <f t="shared" ca="1" si="94"/>
        <v>9.9999999999997868E-3</v>
      </c>
      <c r="AC56" s="238"/>
      <c r="AG56" t="s">
        <v>404</v>
      </c>
      <c r="AI56" s="367">
        <f t="shared" ca="1" si="101"/>
        <v>46092</v>
      </c>
      <c r="AJ56" s="367" t="b">
        <f t="shared" si="95"/>
        <v>1</v>
      </c>
      <c r="AK56" s="370" t="str">
        <f t="shared" si="96"/>
        <v/>
      </c>
      <c r="AN56">
        <f t="shared" si="97"/>
        <v>0</v>
      </c>
      <c r="AO56">
        <f t="shared" si="98"/>
        <v>1900</v>
      </c>
      <c r="AV56">
        <f t="shared" si="99"/>
        <v>0</v>
      </c>
      <c r="AW56">
        <f t="shared" si="100"/>
        <v>0</v>
      </c>
    </row>
    <row r="57" spans="4:49" ht="15.75" x14ac:dyDescent="0.25">
      <c r="D57" s="199" t="s">
        <v>445</v>
      </c>
      <c r="E57" s="375" t="s">
        <v>102</v>
      </c>
      <c r="F57" s="376">
        <v>10750</v>
      </c>
      <c r="G57" s="201" t="s">
        <v>4</v>
      </c>
      <c r="H57" s="219">
        <v>2.2400000000000002</v>
      </c>
      <c r="I57" s="202">
        <v>45911</v>
      </c>
      <c r="J57" s="200" t="s">
        <v>21</v>
      </c>
      <c r="K57" s="200"/>
      <c r="L57" s="203">
        <v>7.0000000000000007E-2</v>
      </c>
      <c r="M57" s="204">
        <f ca="1">IF(ISERROR(OFFSET(Tabella!$A$1,MATCH(J57,Tabella!$A:$A,0)-1,MATCH(L57,Tabella!$A$1:$AC$1,0)-1)=TRUE),0,+OFFSET(Tabella!$A$1,MATCH(J57,Tabella!$A:$A,0)-1,MATCH(L57,Tabella!$A$1:$AC$1,0)-1))</f>
        <v>1.25</v>
      </c>
      <c r="N57" s="205">
        <f ca="1">IF(ISERROR(OFFSET(Ottone!$A$1,MATCH(J57,Ottone!$A:$A,0)-1,MATCH(L57,Ottone!$A$1:$Z$1,0)-1)=TRUE),0,OFFSET(Ottone!$A$1,MATCH(J57,Ottone!$A:$A,0)-1,MATCH(L57,Ottone!$A$1:$Z$1,0)-1))*IF(G57="Ottone",1,0)</f>
        <v>0</v>
      </c>
      <c r="O57" s="205">
        <f ca="1">IF(ISERROR(OFFSET(Rame!$A$1,MATCH(J57,Rame!$A:$A,0)-1,MATCH(L57,Rame!$A$1:$AA$1,0)-1)=TRUE),0,OFFSET(Rame!$A$1,MATCH(J57,Rame!$A:$A,0)-1,MATCH(L57,Rame!$A$1:$AA$1,0)-1))*IF(G57="Rame",1,0)</f>
        <v>0</v>
      </c>
      <c r="P57" s="205">
        <v>0</v>
      </c>
      <c r="Q57" s="205">
        <f t="shared" ref="Q57:Q70" ca="1" si="103">SUM(M57:P57)</f>
        <v>1.25</v>
      </c>
      <c r="R57" s="205">
        <f ca="1">+IF(ISERROR(OFFSET(Tabella!$G$1,MATCH(J57,Tabella!$G:$G,0)-1,MATCH(K57,Tabella!$G$1:$FG$1,0)-1)=TRUE),0,OFFSET(Tabella!$G$1,MATCH(J57,Tabella!$G:$G,0)-1,MATCH(K57,Tabella!$G$1:$AB$1,0)-1))</f>
        <v>0</v>
      </c>
      <c r="S57" s="205">
        <f ca="1">IF(ISERROR(OFFSET(Ottone!$F$1,MATCH(J57,Ottone!$A:$A,0)-1,MATCH(K57,Ottone!$F$1:$FF$1,0)-1)=TRUE),0,OFFSET(Ottone!$F$1,MATCH(J57,Ottone!$A:$A,0)-1,MATCH(K57,Ottone!$F$1:$FF$1,0)-1))*IF(G57="Ottone",1,0)</f>
        <v>0</v>
      </c>
      <c r="T57" s="205">
        <f ca="1">IF(ISERROR(OFFSET(Rame!$F$1,MATCH(J57,Rame!$F:$F,0)-1,MATCH(K57,Rame!$F$1:$FF$1,0)-1)=TRUE),0,OFFSET(Rame!$F$1,MATCH(J57,Rame!$F:$F,0)-1,MATCH(K57,Rame!$F$1:$FF$1,0)-1))*IF(G57="Rame",1,0)</f>
        <v>0</v>
      </c>
      <c r="U57" s="205">
        <f ca="1">IF(ISERROR(OFFSET(Bronzo!$A$1,MATCH(J57,Bronzo!$A:$A,0)-1,MATCH(K57,Bronzo!$A$1:$AA$1,0)-1)=TRUE),0,OFFSET(Bronzo!$A$1,MATCH(J57,Bronzo!$A:$A,0)-1,MATCH(K57,Bronzo!$A$1:$AA$1,0)-1))</f>
        <v>0</v>
      </c>
      <c r="V57" s="205">
        <f t="shared" ref="V57:V71" ca="1" si="104">SUM(R57:U57)</f>
        <v>0</v>
      </c>
      <c r="W57" s="204"/>
      <c r="X57" s="205">
        <v>0</v>
      </c>
      <c r="Y57" s="206">
        <f t="shared" ref="Y57:Y71" ca="1" si="105">+Q57+V57+W57+X57</f>
        <v>1.25</v>
      </c>
      <c r="Z57" s="377">
        <f t="shared" ref="Z57:Z71" si="106">+L57*F57</f>
        <v>752.50000000000011</v>
      </c>
      <c r="AA57" s="203">
        <v>3.75</v>
      </c>
      <c r="AB57" s="203">
        <f t="shared" ref="AB57:AB71" ca="1" si="107">+AA57-Y57-H57</f>
        <v>0.25999999999999979</v>
      </c>
      <c r="AC57" s="238">
        <v>46183</v>
      </c>
      <c r="AI57" s="367">
        <f t="shared" ca="1" si="101"/>
        <v>46092</v>
      </c>
      <c r="AJ57" s="367" t="b">
        <f t="shared" si="95"/>
        <v>0</v>
      </c>
      <c r="AK57" s="370">
        <f t="shared" ca="1" si="96"/>
        <v>91</v>
      </c>
      <c r="AN57">
        <f t="shared" si="97"/>
        <v>24</v>
      </c>
      <c r="AO57">
        <f t="shared" si="98"/>
        <v>2026</v>
      </c>
      <c r="AV57">
        <f t="shared" si="99"/>
        <v>6</v>
      </c>
      <c r="AW57">
        <f t="shared" si="100"/>
        <v>2026</v>
      </c>
    </row>
    <row r="58" spans="4:49" ht="15.75" x14ac:dyDescent="0.25">
      <c r="D58" s="199" t="s">
        <v>453</v>
      </c>
      <c r="E58" s="378" t="s">
        <v>212</v>
      </c>
      <c r="F58" s="379">
        <v>1425</v>
      </c>
      <c r="G58" s="201" t="s">
        <v>4</v>
      </c>
      <c r="H58" s="219">
        <v>2.23</v>
      </c>
      <c r="I58" s="202">
        <v>45915</v>
      </c>
      <c r="J58" s="200" t="s">
        <v>13</v>
      </c>
      <c r="K58" s="200"/>
      <c r="L58" s="203">
        <v>0.05</v>
      </c>
      <c r="M58" s="204">
        <f ca="1">IF(ISERROR(OFFSET(Tabella!$A$1,MATCH(J58,Tabella!$A:$A,0)-1,MATCH(L58,Tabella!$A$1:$AC$1,0)-1)=TRUE),0,+OFFSET(Tabella!$A$1,MATCH(J58,Tabella!$A:$A,0)-1,MATCH(L58,Tabella!$A$1:$AC$1,0)-1))</f>
        <v>0</v>
      </c>
      <c r="N58" s="205">
        <f ca="1">IF(ISERROR(OFFSET(Ottone!$A$1,MATCH(J58,Ottone!$A:$A,0)-1,MATCH(L58,Ottone!$A$1:$Z$1,0)-1)=TRUE),0,OFFSET(Ottone!$A$1,MATCH(J58,Ottone!$A:$A,0)-1,MATCH(L58,Ottone!$A$1:$Z$1,0)-1))*IF(G58="Ottone",1,0)</f>
        <v>0</v>
      </c>
      <c r="O58" s="205">
        <f ca="1">IF(ISERROR(OFFSET(Rame!$A$1,MATCH(J58,Rame!$A:$A,0)-1,MATCH(L58,Rame!$A$1:$AA$1,0)-1)=TRUE),0,OFFSET(Rame!$A$1,MATCH(J58,Rame!$A:$A,0)-1,MATCH(L58,Rame!$A$1:$AA$1,0)-1))*IF(G58="Rame",1,0)</f>
        <v>0</v>
      </c>
      <c r="P58" s="205">
        <v>0</v>
      </c>
      <c r="Q58" s="205">
        <v>1.65</v>
      </c>
      <c r="R58" s="205">
        <f ca="1">+IF(ISERROR(OFFSET(Tabella!$G$1,MATCH(J58,Tabella!$G:$G,0)-1,MATCH(K58,Tabella!$G$1:$FG$1,0)-1)=TRUE),0,OFFSET(Tabella!$G$1,MATCH(J58,Tabella!$G:$G,0)-1,MATCH(K58,Tabella!$G$1:$AB$1,0)-1))</f>
        <v>0</v>
      </c>
      <c r="S58" s="205">
        <f ca="1">IF(ISERROR(OFFSET(Ottone!$F$1,MATCH(J58,Ottone!$A:$A,0)-1,MATCH(K58,Ottone!$F$1:$FF$1,0)-1)=TRUE),0,OFFSET(Ottone!$F$1,MATCH(J58,Ottone!$A:$A,0)-1,MATCH(K58,Ottone!$F$1:$FF$1,0)-1))*IF(G58="Ottone",1,0)</f>
        <v>0</v>
      </c>
      <c r="T58" s="205">
        <f ca="1">IF(ISERROR(OFFSET(Rame!$F$1,MATCH(J58,Rame!$F:$F,0)-1,MATCH(K58,Rame!$F$1:$FF$1,0)-1)=TRUE),0,OFFSET(Rame!$F$1,MATCH(J58,Rame!$F:$F,0)-1,MATCH(K58,Rame!$F$1:$FF$1,0)-1))*IF(G58="Rame",1,0)</f>
        <v>0</v>
      </c>
      <c r="U58" s="205">
        <f ca="1">IF(ISERROR(OFFSET(Bronzo!$A$1,MATCH(J58,Bronzo!$A:$A,0)-1,MATCH(K58,Bronzo!$A$1:$AA$1,0)-1)=TRUE),0,OFFSET(Bronzo!$A$1,MATCH(J58,Bronzo!$A:$A,0)-1,MATCH(K58,Bronzo!$A$1:$AA$1,0)-1))</f>
        <v>0</v>
      </c>
      <c r="V58" s="205">
        <f t="shared" ca="1" si="104"/>
        <v>0</v>
      </c>
      <c r="W58" s="204"/>
      <c r="X58" s="205">
        <v>0</v>
      </c>
      <c r="Y58" s="206">
        <f t="shared" ca="1" si="105"/>
        <v>1.65</v>
      </c>
      <c r="Z58" s="380">
        <f t="shared" si="106"/>
        <v>71.25</v>
      </c>
      <c r="AA58" s="203">
        <v>3.83</v>
      </c>
      <c r="AB58" s="203">
        <f t="shared" ca="1" si="107"/>
        <v>-4.9999999999999822E-2</v>
      </c>
      <c r="AC58" s="238"/>
      <c r="AG58" t="s">
        <v>404</v>
      </c>
      <c r="AI58" s="367">
        <f t="shared" ca="1" si="101"/>
        <v>46092</v>
      </c>
      <c r="AJ58" s="367" t="b">
        <f t="shared" si="95"/>
        <v>1</v>
      </c>
      <c r="AK58" s="370" t="str">
        <f t="shared" si="96"/>
        <v/>
      </c>
      <c r="AN58">
        <f t="shared" si="97"/>
        <v>0</v>
      </c>
      <c r="AO58">
        <f t="shared" si="98"/>
        <v>1900</v>
      </c>
      <c r="AV58">
        <f t="shared" si="99"/>
        <v>0</v>
      </c>
      <c r="AW58">
        <f t="shared" si="100"/>
        <v>0</v>
      </c>
    </row>
    <row r="59" spans="4:49" ht="15.75" x14ac:dyDescent="0.25">
      <c r="D59" s="199" t="s">
        <v>479</v>
      </c>
      <c r="E59" s="378" t="s">
        <v>212</v>
      </c>
      <c r="F59" s="379">
        <v>3904</v>
      </c>
      <c r="G59" s="201" t="s">
        <v>4</v>
      </c>
      <c r="H59" s="219">
        <v>2.23</v>
      </c>
      <c r="I59" s="202">
        <v>45915</v>
      </c>
      <c r="J59" s="200" t="s">
        <v>23</v>
      </c>
      <c r="K59" s="200"/>
      <c r="L59" s="203">
        <v>0.05</v>
      </c>
      <c r="M59" s="204">
        <f ca="1">IF(ISERROR(OFFSET(Tabella!$A$1,MATCH(J59,Tabella!$A:$A,0)-1,MATCH(L59,Tabella!$A$1:$AC$1,0)-1)=TRUE),0,+OFFSET(Tabella!$A$1,MATCH(J59,Tabella!$A:$A,0)-1,MATCH(L59,Tabella!$A$1:$AC$1,0)-1))</f>
        <v>0</v>
      </c>
      <c r="N59" s="205">
        <f ca="1">IF(ISERROR(OFFSET(Ottone!$A$1,MATCH(J59,Ottone!$A:$A,0)-1,MATCH(L59,Ottone!$A$1:$Z$1,0)-1)=TRUE),0,OFFSET(Ottone!$A$1,MATCH(J59,Ottone!$A:$A,0)-1,MATCH(L59,Ottone!$A$1:$Z$1,0)-1))*IF(G59="Ottone",1,0)</f>
        <v>0</v>
      </c>
      <c r="O59" s="205">
        <f ca="1">IF(ISERROR(OFFSET(Rame!$A$1,MATCH(J59,Rame!$A:$A,0)-1,MATCH(L59,Rame!$A$1:$AA$1,0)-1)=TRUE),0,OFFSET(Rame!$A$1,MATCH(J59,Rame!$A:$A,0)-1,MATCH(L59,Rame!$A$1:$AA$1,0)-1))*IF(G59="Rame",1,0)</f>
        <v>0</v>
      </c>
      <c r="P59" s="205">
        <v>0</v>
      </c>
      <c r="Q59" s="205">
        <v>1.5</v>
      </c>
      <c r="R59" s="205">
        <f ca="1">+IF(ISERROR(OFFSET(Tabella!$G$1,MATCH(J59,Tabella!$G:$G,0)-1,MATCH(K59,Tabella!$G$1:$FG$1,0)-1)=TRUE),0,OFFSET(Tabella!$G$1,MATCH(J59,Tabella!$G:$G,0)-1,MATCH(K59,Tabella!$G$1:$AB$1,0)-1))</f>
        <v>0</v>
      </c>
      <c r="S59" s="205">
        <f ca="1">IF(ISERROR(OFFSET(Ottone!$F$1,MATCH(J59,Ottone!$A:$A,0)-1,MATCH(K59,Ottone!$F$1:$FF$1,0)-1)=TRUE),0,OFFSET(Ottone!$F$1,MATCH(J59,Ottone!$A:$A,0)-1,MATCH(K59,Ottone!$F$1:$FF$1,0)-1))*IF(G59="Ottone",1,0)</f>
        <v>0</v>
      </c>
      <c r="T59" s="205">
        <f ca="1">IF(ISERROR(OFFSET(Rame!$F$1,MATCH(J59,Rame!$F:$F,0)-1,MATCH(K59,Rame!$F$1:$FF$1,0)-1)=TRUE),0,OFFSET(Rame!$F$1,MATCH(J59,Rame!$F:$F,0)-1,MATCH(K59,Rame!$F$1:$FF$1,0)-1))*IF(G59="Rame",1,0)</f>
        <v>0</v>
      </c>
      <c r="U59" s="205">
        <f ca="1">IF(ISERROR(OFFSET(Bronzo!$A$1,MATCH(J59,Bronzo!$A:$A,0)-1,MATCH(K59,Bronzo!$A$1:$AA$1,0)-1)=TRUE),0,OFFSET(Bronzo!$A$1,MATCH(J59,Bronzo!$A:$A,0)-1,MATCH(K59,Bronzo!$A$1:$AA$1,0)-1))</f>
        <v>0</v>
      </c>
      <c r="V59" s="205">
        <f t="shared" ca="1" si="104"/>
        <v>0</v>
      </c>
      <c r="W59" s="204"/>
      <c r="X59" s="205">
        <v>0</v>
      </c>
      <c r="Y59" s="206">
        <f t="shared" ca="1" si="105"/>
        <v>1.5</v>
      </c>
      <c r="Z59" s="380">
        <f t="shared" si="106"/>
        <v>195.20000000000002</v>
      </c>
      <c r="AA59" s="203">
        <v>3.7</v>
      </c>
      <c r="AB59" s="203">
        <f t="shared" ca="1" si="107"/>
        <v>-2.9999999999999805E-2</v>
      </c>
      <c r="AC59" s="238"/>
      <c r="AG59" t="s">
        <v>404</v>
      </c>
      <c r="AI59" s="367">
        <f t="shared" ca="1" si="101"/>
        <v>46092</v>
      </c>
      <c r="AJ59" s="367" t="b">
        <f t="shared" si="95"/>
        <v>1</v>
      </c>
      <c r="AK59" s="370" t="str">
        <f t="shared" si="96"/>
        <v/>
      </c>
      <c r="AN59">
        <f t="shared" si="97"/>
        <v>0</v>
      </c>
      <c r="AO59">
        <f t="shared" si="98"/>
        <v>1900</v>
      </c>
      <c r="AV59">
        <f t="shared" si="99"/>
        <v>0</v>
      </c>
      <c r="AW59">
        <f t="shared" si="100"/>
        <v>0</v>
      </c>
    </row>
    <row r="60" spans="4:49" ht="15.75" x14ac:dyDescent="0.25">
      <c r="D60" s="199" t="s">
        <v>487</v>
      </c>
      <c r="E60" s="378" t="s">
        <v>212</v>
      </c>
      <c r="F60" s="379">
        <v>3916</v>
      </c>
      <c r="G60" s="201" t="s">
        <v>4</v>
      </c>
      <c r="H60" s="219">
        <v>2.23</v>
      </c>
      <c r="I60" s="202">
        <v>45915</v>
      </c>
      <c r="J60" s="200" t="s">
        <v>314</v>
      </c>
      <c r="K60" s="200"/>
      <c r="L60" s="203">
        <v>0.05</v>
      </c>
      <c r="M60" s="204">
        <f ca="1">IF(ISERROR(OFFSET(Tabella!$A$1,MATCH(J60,Tabella!$A:$A,0)-1,MATCH(L60,Tabella!$A$1:$AC$1,0)-1)=TRUE),0,+OFFSET(Tabella!$A$1,MATCH(J60,Tabella!$A:$A,0)-1,MATCH(L60,Tabella!$A$1:$AC$1,0)-1))</f>
        <v>0</v>
      </c>
      <c r="N60" s="205">
        <f ca="1">IF(ISERROR(OFFSET(Ottone!$A$1,MATCH(J60,Ottone!$A:$A,0)-1,MATCH(L60,Ottone!$A$1:$Z$1,0)-1)=TRUE),0,OFFSET(Ottone!$A$1,MATCH(J60,Ottone!$A:$A,0)-1,MATCH(L60,Ottone!$A$1:$Z$1,0)-1))*IF(G60="Ottone",1,0)</f>
        <v>0</v>
      </c>
      <c r="O60" s="205">
        <f ca="1">IF(ISERROR(OFFSET(Rame!$A$1,MATCH(J60,Rame!$A:$A,0)-1,MATCH(L60,Rame!$A$1:$AA$1,0)-1)=TRUE),0,OFFSET(Rame!$A$1,MATCH(J60,Rame!$A:$A,0)-1,MATCH(L60,Rame!$A$1:$AA$1,0)-1))*IF(G60="Rame",1,0)</f>
        <v>0</v>
      </c>
      <c r="P60" s="205">
        <v>0</v>
      </c>
      <c r="Q60" s="205">
        <v>1.5</v>
      </c>
      <c r="R60" s="205">
        <f ca="1">+IF(ISERROR(OFFSET(Tabella!$G$1,MATCH(J60,Tabella!$G:$G,0)-1,MATCH(K60,Tabella!$G$1:$FG$1,0)-1)=TRUE),0,OFFSET(Tabella!$G$1,MATCH(J60,Tabella!$G:$G,0)-1,MATCH(K60,Tabella!$G$1:$AB$1,0)-1))</f>
        <v>0</v>
      </c>
      <c r="S60" s="205">
        <f ca="1">IF(ISERROR(OFFSET(Ottone!$F$1,MATCH(J60,Ottone!$A:$A,0)-1,MATCH(K60,Ottone!$F$1:$FF$1,0)-1)=TRUE),0,OFFSET(Ottone!$F$1,MATCH(J60,Ottone!$A:$A,0)-1,MATCH(K60,Ottone!$F$1:$FF$1,0)-1))*IF(G60="Ottone",1,0)</f>
        <v>0</v>
      </c>
      <c r="T60" s="205">
        <f ca="1">IF(ISERROR(OFFSET(Rame!$F$1,MATCH(J60,Rame!$F:$F,0)-1,MATCH(K60,Rame!$F$1:$FF$1,0)-1)=TRUE),0,OFFSET(Rame!$F$1,MATCH(J60,Rame!$F:$F,0)-1,MATCH(K60,Rame!$F$1:$FF$1,0)-1))*IF(G60="Rame",1,0)</f>
        <v>0</v>
      </c>
      <c r="U60" s="205">
        <f ca="1">IF(ISERROR(OFFSET(Bronzo!$A$1,MATCH(J60,Bronzo!$A:$A,0)-1,MATCH(K60,Bronzo!$A$1:$AA$1,0)-1)=TRUE),0,OFFSET(Bronzo!$A$1,MATCH(J60,Bronzo!$A:$A,0)-1,MATCH(K60,Bronzo!$A$1:$AA$1,0)-1))</f>
        <v>0</v>
      </c>
      <c r="V60" s="205">
        <f t="shared" ca="1" si="104"/>
        <v>0</v>
      </c>
      <c r="W60" s="204"/>
      <c r="X60" s="205">
        <v>0</v>
      </c>
      <c r="Y60" s="206">
        <f t="shared" ca="1" si="105"/>
        <v>1.5</v>
      </c>
      <c r="Z60" s="380">
        <f t="shared" si="106"/>
        <v>195.8</v>
      </c>
      <c r="AA60" s="203">
        <v>3.7</v>
      </c>
      <c r="AB60" s="203">
        <f t="shared" ca="1" si="107"/>
        <v>-2.9999999999999805E-2</v>
      </c>
      <c r="AC60" s="238"/>
      <c r="AG60" t="s">
        <v>404</v>
      </c>
      <c r="AI60" s="367">
        <f t="shared" ca="1" si="101"/>
        <v>46092</v>
      </c>
      <c r="AJ60" s="367" t="b">
        <f t="shared" si="95"/>
        <v>1</v>
      </c>
      <c r="AK60" s="370" t="str">
        <f t="shared" si="96"/>
        <v/>
      </c>
      <c r="AN60">
        <f t="shared" si="97"/>
        <v>0</v>
      </c>
      <c r="AO60">
        <f t="shared" si="98"/>
        <v>1900</v>
      </c>
      <c r="AV60">
        <f t="shared" si="99"/>
        <v>0</v>
      </c>
      <c r="AW60">
        <f t="shared" si="100"/>
        <v>0</v>
      </c>
    </row>
    <row r="61" spans="4:49" ht="15.75" x14ac:dyDescent="0.25">
      <c r="D61" s="199" t="s">
        <v>591</v>
      </c>
      <c r="E61" s="388" t="s">
        <v>212</v>
      </c>
      <c r="F61" s="389">
        <v>5490</v>
      </c>
      <c r="G61" s="201" t="s">
        <v>4</v>
      </c>
      <c r="H61" s="219">
        <v>2.23</v>
      </c>
      <c r="I61" s="202">
        <v>45915</v>
      </c>
      <c r="J61" s="200" t="s">
        <v>29</v>
      </c>
      <c r="K61" s="200"/>
      <c r="L61" s="203">
        <v>0.05</v>
      </c>
      <c r="M61" s="204">
        <f ca="1">IF(ISERROR(OFFSET(Tabella!$A$1,MATCH(J61,Tabella!$A:$A,0)-1,MATCH(L61,Tabella!$A$1:$AC$1,0)-1)=TRUE),0,+OFFSET(Tabella!$A$1,MATCH(J61,Tabella!$A:$A,0)-1,MATCH(L61,Tabella!$A$1:$AC$1,0)-1))</f>
        <v>0</v>
      </c>
      <c r="N61" s="205">
        <f ca="1">IF(ISERROR(OFFSET(Ottone!$A$1,MATCH(J61,Ottone!$A:$A,0)-1,MATCH(L61,Ottone!$A$1:$Z$1,0)-1)=TRUE),0,OFFSET(Ottone!$A$1,MATCH(J61,Ottone!$A:$A,0)-1,MATCH(L61,Ottone!$A$1:$Z$1,0)-1))*IF(G61="Ottone",1,0)</f>
        <v>0</v>
      </c>
      <c r="O61" s="205">
        <f ca="1">IF(ISERROR(OFFSET(Rame!$A$1,MATCH(J61,Rame!$A:$A,0)-1,MATCH(L61,Rame!$A$1:$AA$1,0)-1)=TRUE),0,OFFSET(Rame!$A$1,MATCH(J61,Rame!$A:$A,0)-1,MATCH(L61,Rame!$A$1:$AA$1,0)-1))*IF(G61="Rame",1,0)</f>
        <v>0</v>
      </c>
      <c r="P61" s="205">
        <v>0</v>
      </c>
      <c r="Q61" s="205">
        <v>1.5</v>
      </c>
      <c r="R61" s="205">
        <f ca="1">+IF(ISERROR(OFFSET(Tabella!$G$1,MATCH(J61,Tabella!$G:$G,0)-1,MATCH(K61,Tabella!$G$1:$FG$1,0)-1)=TRUE),0,OFFSET(Tabella!$G$1,MATCH(J61,Tabella!$G:$G,0)-1,MATCH(K61,Tabella!$G$1:$AB$1,0)-1))</f>
        <v>0</v>
      </c>
      <c r="S61" s="205">
        <f ca="1">IF(ISERROR(OFFSET(Ottone!$F$1,MATCH(J61,Ottone!$A:$A,0)-1,MATCH(K61,Ottone!$F$1:$FF$1,0)-1)=TRUE),0,OFFSET(Ottone!$F$1,MATCH(J61,Ottone!$A:$A,0)-1,MATCH(K61,Ottone!$F$1:$FF$1,0)-1))*IF(G61="Ottone",1,0)</f>
        <v>0</v>
      </c>
      <c r="T61" s="205">
        <f ca="1">IF(ISERROR(OFFSET(Rame!$F$1,MATCH(J61,Rame!$F:$F,0)-1,MATCH(K61,Rame!$F$1:$FF$1,0)-1)=TRUE),0,OFFSET(Rame!$F$1,MATCH(J61,Rame!$F:$F,0)-1,MATCH(K61,Rame!$F$1:$FF$1,0)-1))*IF(G61="Rame",1,0)</f>
        <v>0</v>
      </c>
      <c r="U61" s="205">
        <f ca="1">IF(ISERROR(OFFSET(Bronzo!$A$1,MATCH(J61,Bronzo!$A:$A,0)-1,MATCH(K61,Bronzo!$A$1:$AA$1,0)-1)=TRUE),0,OFFSET(Bronzo!$A$1,MATCH(J61,Bronzo!$A:$A,0)-1,MATCH(K61,Bronzo!$A$1:$AA$1,0)-1))</f>
        <v>0</v>
      </c>
      <c r="V61" s="205">
        <f t="shared" ca="1" si="104"/>
        <v>0</v>
      </c>
      <c r="W61" s="204"/>
      <c r="X61" s="205">
        <v>0</v>
      </c>
      <c r="Y61" s="206">
        <f t="shared" ca="1" si="105"/>
        <v>1.5</v>
      </c>
      <c r="Z61" s="390">
        <f t="shared" si="106"/>
        <v>274.5</v>
      </c>
      <c r="AA61" s="203">
        <v>3.7</v>
      </c>
      <c r="AB61" s="203">
        <f t="shared" ca="1" si="107"/>
        <v>-2.9999999999999805E-2</v>
      </c>
      <c r="AC61" s="238"/>
      <c r="AI61" s="367">
        <f t="shared" ca="1" si="101"/>
        <v>46092</v>
      </c>
      <c r="AJ61" s="367" t="b">
        <f t="shared" si="95"/>
        <v>1</v>
      </c>
      <c r="AK61" s="370" t="str">
        <f t="shared" si="96"/>
        <v/>
      </c>
      <c r="AN61">
        <f t="shared" si="97"/>
        <v>0</v>
      </c>
      <c r="AO61">
        <f t="shared" si="98"/>
        <v>1900</v>
      </c>
      <c r="AV61">
        <f t="shared" si="99"/>
        <v>0</v>
      </c>
      <c r="AW61">
        <f t="shared" si="100"/>
        <v>0</v>
      </c>
    </row>
    <row r="62" spans="4:49" ht="15.75" x14ac:dyDescent="0.25">
      <c r="D62" s="199" t="s">
        <v>557</v>
      </c>
      <c r="E62" s="378" t="s">
        <v>95</v>
      </c>
      <c r="F62" s="379">
        <v>606</v>
      </c>
      <c r="G62" s="201" t="s">
        <v>4</v>
      </c>
      <c r="H62" s="219">
        <v>2.27</v>
      </c>
      <c r="I62" s="202">
        <v>45918</v>
      </c>
      <c r="J62" s="200" t="s">
        <v>23</v>
      </c>
      <c r="K62" s="200"/>
      <c r="L62" s="203">
        <v>7.0000000000000007E-2</v>
      </c>
      <c r="M62" s="204">
        <f ca="1">IF(ISERROR(OFFSET(Tabella!$A$1,MATCH(J62,Tabella!$A:$A,0)-1,MATCH(L62,Tabella!$A$1:$AC$1,0)-1)=TRUE),0,+OFFSET(Tabella!$A$1,MATCH(J62,Tabella!$A:$A,0)-1,MATCH(L62,Tabella!$A$1:$AC$1,0)-1))</f>
        <v>1.25</v>
      </c>
      <c r="N62" s="205">
        <f ca="1">IF(ISERROR(OFFSET(Ottone!$A$1,MATCH(J62,Ottone!$A:$A,0)-1,MATCH(L62,Ottone!$A$1:$Z$1,0)-1)=TRUE),0,OFFSET(Ottone!$A$1,MATCH(J62,Ottone!$A:$A,0)-1,MATCH(L62,Ottone!$A$1:$Z$1,0)-1))*IF(G62="Ottone",1,0)</f>
        <v>0</v>
      </c>
      <c r="O62" s="205">
        <f ca="1">IF(ISERROR(OFFSET(Rame!$A$1,MATCH(J62,Rame!$A:$A,0)-1,MATCH(L62,Rame!$A$1:$AA$1,0)-1)=TRUE),0,OFFSET(Rame!$A$1,MATCH(J62,Rame!$A:$A,0)-1,MATCH(L62,Rame!$A$1:$AA$1,0)-1))*IF(G62="Rame",1,0)</f>
        <v>0</v>
      </c>
      <c r="P62" s="205">
        <v>0</v>
      </c>
      <c r="Q62" s="205">
        <f t="shared" ca="1" si="103"/>
        <v>1.25</v>
      </c>
      <c r="R62" s="205">
        <f ca="1">+IF(ISERROR(OFFSET(Tabella!$G$1,MATCH(J62,Tabella!$G:$G,0)-1,MATCH(K62,Tabella!$G$1:$FG$1,0)-1)=TRUE),0,OFFSET(Tabella!$G$1,MATCH(J62,Tabella!$G:$G,0)-1,MATCH(K62,Tabella!$G$1:$AB$1,0)-1))</f>
        <v>0</v>
      </c>
      <c r="S62" s="205">
        <f ca="1">IF(ISERROR(OFFSET(Ottone!$F$1,MATCH(J62,Ottone!$A:$A,0)-1,MATCH(K62,Ottone!$F$1:$FF$1,0)-1)=TRUE),0,OFFSET(Ottone!$F$1,MATCH(J62,Ottone!$A:$A,0)-1,MATCH(K62,Ottone!$F$1:$FF$1,0)-1))*IF(G62="Ottone",1,0)</f>
        <v>0</v>
      </c>
      <c r="T62" s="205">
        <f ca="1">IF(ISERROR(OFFSET(Rame!$F$1,MATCH(J62,Rame!$F:$F,0)-1,MATCH(K62,Rame!$F$1:$FF$1,0)-1)=TRUE),0,OFFSET(Rame!$F$1,MATCH(J62,Rame!$F:$F,0)-1,MATCH(K62,Rame!$F$1:$FF$1,0)-1))*IF(G62="Rame",1,0)</f>
        <v>0</v>
      </c>
      <c r="U62" s="205">
        <f ca="1">IF(ISERROR(OFFSET(Bronzo!$A$1,MATCH(J62,Bronzo!$A:$A,0)-1,MATCH(K62,Bronzo!$A$1:$AA$1,0)-1)=TRUE),0,OFFSET(Bronzo!$A$1,MATCH(J62,Bronzo!$A:$A,0)-1,MATCH(K62,Bronzo!$A$1:$AA$1,0)-1))</f>
        <v>0</v>
      </c>
      <c r="V62" s="205">
        <f t="shared" ca="1" si="104"/>
        <v>0</v>
      </c>
      <c r="W62" s="204"/>
      <c r="X62" s="205">
        <v>0</v>
      </c>
      <c r="Y62" s="206">
        <f t="shared" ca="1" si="105"/>
        <v>1.25</v>
      </c>
      <c r="Z62" s="380">
        <f t="shared" si="106"/>
        <v>42.42</v>
      </c>
      <c r="AA62" s="203">
        <v>3.77</v>
      </c>
      <c r="AB62" s="203">
        <f t="shared" ca="1" si="107"/>
        <v>0.25</v>
      </c>
      <c r="AC62" s="238"/>
      <c r="AG62" t="s">
        <v>404</v>
      </c>
      <c r="AI62" s="367">
        <f t="shared" ca="1" si="101"/>
        <v>46092</v>
      </c>
      <c r="AJ62" s="367" t="b">
        <f t="shared" ref="AJ62:AJ76" si="108">ISBLANK(AC62)</f>
        <v>1</v>
      </c>
      <c r="AK62" s="370" t="str">
        <f t="shared" ref="AK62:AK76" si="109">IF(AJ62=FALSE,_xlfn.DAYS(AC62,AI62),"")</f>
        <v/>
      </c>
      <c r="AN62">
        <f t="shared" ref="AN62:AN76" si="110">WEEKNUM(AC62)</f>
        <v>0</v>
      </c>
      <c r="AO62">
        <f t="shared" ref="AO62:AO76" si="111">YEAR(AC62)</f>
        <v>1900</v>
      </c>
      <c r="AV62">
        <f t="shared" ref="AV62:AV76" si="112">IF(AC62="",0,MONTH(AC62))</f>
        <v>0</v>
      </c>
      <c r="AW62">
        <f t="shared" ref="AW62:AW76" si="113">IF(AC62="",0,YEAR(AC62))</f>
        <v>0</v>
      </c>
    </row>
    <row r="63" spans="4:49" ht="15.75" x14ac:dyDescent="0.25">
      <c r="D63" s="199" t="s">
        <v>617</v>
      </c>
      <c r="E63" s="378" t="s">
        <v>396</v>
      </c>
      <c r="F63" s="379">
        <v>868</v>
      </c>
      <c r="G63" s="201" t="s">
        <v>4</v>
      </c>
      <c r="H63" s="219">
        <v>2.2599999999999998</v>
      </c>
      <c r="I63" s="202">
        <v>45922</v>
      </c>
      <c r="J63" s="200" t="s">
        <v>23</v>
      </c>
      <c r="K63" s="200"/>
      <c r="L63" s="203">
        <v>0.1</v>
      </c>
      <c r="M63" s="204">
        <f ca="1">IF(ISERROR(OFFSET(Tabella!$A$1,MATCH(J63,Tabella!$A:$A,0)-1,MATCH(L63,Tabella!$A$1:$AC$1,0)-1)=TRUE),0,+OFFSET(Tabella!$A$1,MATCH(J63,Tabella!$A:$A,0)-1,MATCH(L63,Tabella!$A$1:$AC$1,0)-1))</f>
        <v>1.4</v>
      </c>
      <c r="N63" s="205">
        <f ca="1">IF(ISERROR(OFFSET(Ottone!$A$1,MATCH(J63,Ottone!$A:$A,0)-1,MATCH(L63,Ottone!$A$1:$Z$1,0)-1)=TRUE),0,OFFSET(Ottone!$A$1,MATCH(J63,Ottone!$A:$A,0)-1,MATCH(L63,Ottone!$A$1:$Z$1,0)-1))*IF(G63="Ottone",1,0)</f>
        <v>0</v>
      </c>
      <c r="O63" s="205">
        <f ca="1">IF(ISERROR(OFFSET(Rame!$A$1,MATCH(J63,Rame!$A:$A,0)-1,MATCH(L63,Rame!$A$1:$AA$1,0)-1)=TRUE),0,OFFSET(Rame!$A$1,MATCH(J63,Rame!$A:$A,0)-1,MATCH(L63,Rame!$A$1:$AA$1,0)-1))*IF(G63="Rame",1,0)</f>
        <v>0</v>
      </c>
      <c r="P63" s="205">
        <v>0</v>
      </c>
      <c r="Q63" s="205">
        <v>1.5</v>
      </c>
      <c r="R63" s="205">
        <f ca="1">+IF(ISERROR(OFFSET(Tabella!$G$1,MATCH(J63,Tabella!$G:$G,0)-1,MATCH(K63,Tabella!$G$1:$FG$1,0)-1)=TRUE),0,OFFSET(Tabella!$G$1,MATCH(J63,Tabella!$G:$G,0)-1,MATCH(K63,Tabella!$G$1:$AB$1,0)-1))</f>
        <v>0</v>
      </c>
      <c r="S63" s="205">
        <f ca="1">IF(ISERROR(OFFSET(Ottone!$F$1,MATCH(J63,Ottone!$A:$A,0)-1,MATCH(K63,Ottone!$F$1:$FF$1,0)-1)=TRUE),0,OFFSET(Ottone!$F$1,MATCH(J63,Ottone!$A:$A,0)-1,MATCH(K63,Ottone!$F$1:$FF$1,0)-1))*IF(G63="Ottone",1,0)</f>
        <v>0</v>
      </c>
      <c r="T63" s="205">
        <f ca="1">IF(ISERROR(OFFSET(Rame!$F$1,MATCH(J63,Rame!$F:$F,0)-1,MATCH(K63,Rame!$F$1:$FF$1,0)-1)=TRUE),0,OFFSET(Rame!$F$1,MATCH(J63,Rame!$F:$F,0)-1,MATCH(K63,Rame!$F$1:$FF$1,0)-1))*IF(G63="Rame",1,0)</f>
        <v>0</v>
      </c>
      <c r="U63" s="205">
        <f ca="1">IF(ISERROR(OFFSET(Bronzo!$A$1,MATCH(J63,Bronzo!$A:$A,0)-1,MATCH(K63,Bronzo!$A$1:$AA$1,0)-1)=TRUE),0,OFFSET(Bronzo!$A$1,MATCH(J63,Bronzo!$A:$A,0)-1,MATCH(K63,Bronzo!$A$1:$AA$1,0)-1))</f>
        <v>0</v>
      </c>
      <c r="V63" s="205">
        <f t="shared" ca="1" si="104"/>
        <v>0</v>
      </c>
      <c r="W63" s="204"/>
      <c r="X63" s="205">
        <v>0</v>
      </c>
      <c r="Y63" s="206">
        <f t="shared" ca="1" si="105"/>
        <v>1.5</v>
      </c>
      <c r="Z63" s="380">
        <f t="shared" si="106"/>
        <v>86.800000000000011</v>
      </c>
      <c r="AA63" s="203">
        <v>4.37</v>
      </c>
      <c r="AB63" s="203">
        <f t="shared" ca="1" si="107"/>
        <v>0.61000000000000032</v>
      </c>
      <c r="AC63" s="238"/>
      <c r="AG63" t="s">
        <v>404</v>
      </c>
      <c r="AI63" s="367">
        <f t="shared" ca="1" si="101"/>
        <v>46092</v>
      </c>
      <c r="AJ63" s="367" t="b">
        <f t="shared" si="108"/>
        <v>1</v>
      </c>
      <c r="AK63" s="370" t="str">
        <f t="shared" si="109"/>
        <v/>
      </c>
      <c r="AN63">
        <f t="shared" si="110"/>
        <v>0</v>
      </c>
      <c r="AO63">
        <f t="shared" si="111"/>
        <v>1900</v>
      </c>
      <c r="AV63">
        <f t="shared" si="112"/>
        <v>0</v>
      </c>
      <c r="AW63">
        <f t="shared" si="113"/>
        <v>0</v>
      </c>
    </row>
    <row r="64" spans="4:49" ht="15.75" x14ac:dyDescent="0.25">
      <c r="D64" s="199" t="s">
        <v>507</v>
      </c>
      <c r="E64" s="378" t="s">
        <v>108</v>
      </c>
      <c r="F64" s="379">
        <v>1521</v>
      </c>
      <c r="G64" s="201" t="s">
        <v>4</v>
      </c>
      <c r="H64" s="219">
        <v>2.2599999999999998</v>
      </c>
      <c r="I64" s="202">
        <v>45918</v>
      </c>
      <c r="J64" s="200" t="s">
        <v>26</v>
      </c>
      <c r="K64" s="200"/>
      <c r="L64" s="203">
        <v>7.0000000000000007E-2</v>
      </c>
      <c r="M64" s="204">
        <f ca="1">IF(ISERROR(OFFSET(Tabella!$A$1,MATCH(J64,Tabella!$A:$A,0)-1,MATCH(L64,Tabella!$A$1:$AC$1,0)-1)=TRUE),0,+OFFSET(Tabella!$A$1,MATCH(J64,Tabella!$A:$A,0)-1,MATCH(L64,Tabella!$A$1:$AC$1,0)-1))</f>
        <v>1.25</v>
      </c>
      <c r="N64" s="205">
        <f ca="1">IF(ISERROR(OFFSET(Ottone!$A$1,MATCH(J64,Ottone!$A:$A,0)-1,MATCH(L64,Ottone!$A$1:$Z$1,0)-1)=TRUE),0,OFFSET(Ottone!$A$1,MATCH(J64,Ottone!$A:$A,0)-1,MATCH(L64,Ottone!$A$1:$Z$1,0)-1))*IF(G64="Ottone",1,0)</f>
        <v>0</v>
      </c>
      <c r="O64" s="205">
        <f ca="1">IF(ISERROR(OFFSET(Rame!$A$1,MATCH(J64,Rame!$A:$A,0)-1,MATCH(L64,Rame!$A$1:$AA$1,0)-1)=TRUE),0,OFFSET(Rame!$A$1,MATCH(J64,Rame!$A:$A,0)-1,MATCH(L64,Rame!$A$1:$AA$1,0)-1))*IF(G64="Rame",1,0)</f>
        <v>0</v>
      </c>
      <c r="P64" s="205">
        <v>0</v>
      </c>
      <c r="Q64" s="205">
        <v>1.5</v>
      </c>
      <c r="R64" s="205">
        <f ca="1">+IF(ISERROR(OFFSET(Tabella!$G$1,MATCH(J64,Tabella!$G:$G,0)-1,MATCH(K64,Tabella!$G$1:$FG$1,0)-1)=TRUE),0,OFFSET(Tabella!$G$1,MATCH(J64,Tabella!$G:$G,0)-1,MATCH(K64,Tabella!$G$1:$AB$1,0)-1))</f>
        <v>0</v>
      </c>
      <c r="S64" s="205">
        <f ca="1">IF(ISERROR(OFFSET(Ottone!$F$1,MATCH(J64,Ottone!$A:$A,0)-1,MATCH(K64,Ottone!$F$1:$FF$1,0)-1)=TRUE),0,OFFSET(Ottone!$F$1,MATCH(J64,Ottone!$A:$A,0)-1,MATCH(K64,Ottone!$F$1:$FF$1,0)-1))*IF(G64="Ottone",1,0)</f>
        <v>0</v>
      </c>
      <c r="T64" s="205">
        <f ca="1">IF(ISERROR(OFFSET(Rame!$F$1,MATCH(J64,Rame!$F:$F,0)-1,MATCH(K64,Rame!$F$1:$FF$1,0)-1)=TRUE),0,OFFSET(Rame!$F$1,MATCH(J64,Rame!$F:$F,0)-1,MATCH(K64,Rame!$F$1:$FF$1,0)-1))*IF(G64="Rame",1,0)</f>
        <v>0</v>
      </c>
      <c r="U64" s="205">
        <f ca="1">IF(ISERROR(OFFSET(Bronzo!$A$1,MATCH(J64,Bronzo!$A:$A,0)-1,MATCH(K64,Bronzo!$A$1:$AA$1,0)-1)=TRUE),0,OFFSET(Bronzo!$A$1,MATCH(J64,Bronzo!$A:$A,0)-1,MATCH(K64,Bronzo!$A$1:$AA$1,0)-1))</f>
        <v>0</v>
      </c>
      <c r="V64" s="205">
        <f t="shared" ca="1" si="104"/>
        <v>0</v>
      </c>
      <c r="W64" s="204"/>
      <c r="X64" s="205">
        <v>0</v>
      </c>
      <c r="Y64" s="206">
        <f t="shared" ca="1" si="105"/>
        <v>1.5</v>
      </c>
      <c r="Z64" s="380">
        <f t="shared" si="106"/>
        <v>106.47000000000001</v>
      </c>
      <c r="AA64" s="203">
        <v>3.76</v>
      </c>
      <c r="AB64" s="203">
        <f t="shared" ca="1" si="107"/>
        <v>0</v>
      </c>
      <c r="AC64" s="238"/>
      <c r="AG64" t="s">
        <v>404</v>
      </c>
      <c r="AI64" s="367">
        <f t="shared" ca="1" si="101"/>
        <v>46092</v>
      </c>
      <c r="AJ64" s="367" t="b">
        <f t="shared" si="108"/>
        <v>1</v>
      </c>
      <c r="AK64" s="370" t="str">
        <f t="shared" si="109"/>
        <v/>
      </c>
      <c r="AN64">
        <f t="shared" si="110"/>
        <v>0</v>
      </c>
      <c r="AO64">
        <f t="shared" si="111"/>
        <v>1900</v>
      </c>
      <c r="AV64">
        <f t="shared" si="112"/>
        <v>0</v>
      </c>
      <c r="AW64">
        <f t="shared" si="113"/>
        <v>0</v>
      </c>
    </row>
    <row r="65" spans="4:49" ht="15.75" x14ac:dyDescent="0.25">
      <c r="D65" s="199" t="s">
        <v>516</v>
      </c>
      <c r="E65" s="378" t="s">
        <v>108</v>
      </c>
      <c r="F65" s="379">
        <v>544</v>
      </c>
      <c r="G65" s="201" t="s">
        <v>4</v>
      </c>
      <c r="H65" s="219">
        <v>2.2599999999999998</v>
      </c>
      <c r="I65" s="202">
        <v>45918</v>
      </c>
      <c r="J65" s="200" t="s">
        <v>29</v>
      </c>
      <c r="K65" s="200"/>
      <c r="L65" s="203">
        <v>7.0000000000000007E-2</v>
      </c>
      <c r="M65" s="204">
        <f ca="1">IF(ISERROR(OFFSET(Tabella!$A$1,MATCH(J65,Tabella!$A:$A,0)-1,MATCH(L65,Tabella!$A$1:$AC$1,0)-1)=TRUE),0,+OFFSET(Tabella!$A$1,MATCH(J65,Tabella!$A:$A,0)-1,MATCH(L65,Tabella!$A$1:$AC$1,0)-1))</f>
        <v>1.3</v>
      </c>
      <c r="N65" s="205">
        <f ca="1">IF(ISERROR(OFFSET(Ottone!$A$1,MATCH(J65,Ottone!$A:$A,0)-1,MATCH(L65,Ottone!$A$1:$Z$1,0)-1)=TRUE),0,OFFSET(Ottone!$A$1,MATCH(J65,Ottone!$A:$A,0)-1,MATCH(L65,Ottone!$A$1:$Z$1,0)-1))*IF(G65="Ottone",1,0)</f>
        <v>0</v>
      </c>
      <c r="O65" s="205">
        <f ca="1">IF(ISERROR(OFFSET(Rame!$A$1,MATCH(J65,Rame!$A:$A,0)-1,MATCH(L65,Rame!$A$1:$AA$1,0)-1)=TRUE),0,OFFSET(Rame!$A$1,MATCH(J65,Rame!$A:$A,0)-1,MATCH(L65,Rame!$A$1:$AA$1,0)-1))*IF(G65="Rame",1,0)</f>
        <v>0</v>
      </c>
      <c r="P65" s="205">
        <v>0</v>
      </c>
      <c r="Q65" s="205">
        <v>1.5</v>
      </c>
      <c r="R65" s="205">
        <f ca="1">+IF(ISERROR(OFFSET(Tabella!$G$1,MATCH(J65,Tabella!$G:$G,0)-1,MATCH(K65,Tabella!$G$1:$FG$1,0)-1)=TRUE),0,OFFSET(Tabella!$G$1,MATCH(J65,Tabella!$G:$G,0)-1,MATCH(K65,Tabella!$G$1:$AB$1,0)-1))</f>
        <v>0</v>
      </c>
      <c r="S65" s="205">
        <f ca="1">IF(ISERROR(OFFSET(Ottone!$F$1,MATCH(J65,Ottone!$A:$A,0)-1,MATCH(K65,Ottone!$F$1:$FF$1,0)-1)=TRUE),0,OFFSET(Ottone!$F$1,MATCH(J65,Ottone!$A:$A,0)-1,MATCH(K65,Ottone!$F$1:$FF$1,0)-1))*IF(G65="Ottone",1,0)</f>
        <v>0</v>
      </c>
      <c r="T65" s="205">
        <f ca="1">IF(ISERROR(OFFSET(Rame!$F$1,MATCH(J65,Rame!$F:$F,0)-1,MATCH(K65,Rame!$F$1:$FF$1,0)-1)=TRUE),0,OFFSET(Rame!$F$1,MATCH(J65,Rame!$F:$F,0)-1,MATCH(K65,Rame!$F$1:$FF$1,0)-1))*IF(G65="Rame",1,0)</f>
        <v>0</v>
      </c>
      <c r="U65" s="205">
        <f ca="1">IF(ISERROR(OFFSET(Bronzo!$A$1,MATCH(J65,Bronzo!$A:$A,0)-1,MATCH(K65,Bronzo!$A$1:$AA$1,0)-1)=TRUE),0,OFFSET(Bronzo!$A$1,MATCH(J65,Bronzo!$A:$A,0)-1,MATCH(K65,Bronzo!$A$1:$AA$1,0)-1))</f>
        <v>0</v>
      </c>
      <c r="V65" s="205">
        <f t="shared" ca="1" si="104"/>
        <v>0</v>
      </c>
      <c r="W65" s="204"/>
      <c r="X65" s="205">
        <v>0</v>
      </c>
      <c r="Y65" s="206">
        <f t="shared" ca="1" si="105"/>
        <v>1.5</v>
      </c>
      <c r="Z65" s="380">
        <f t="shared" si="106"/>
        <v>38.080000000000005</v>
      </c>
      <c r="AA65" s="203">
        <v>3.76</v>
      </c>
      <c r="AB65" s="203">
        <f t="shared" ca="1" si="107"/>
        <v>0</v>
      </c>
      <c r="AC65" s="238"/>
      <c r="AG65" t="s">
        <v>404</v>
      </c>
      <c r="AI65" s="367">
        <f t="shared" ca="1" si="101"/>
        <v>46092</v>
      </c>
      <c r="AJ65" s="367" t="b">
        <f t="shared" si="108"/>
        <v>1</v>
      </c>
      <c r="AK65" s="370" t="str">
        <f t="shared" si="109"/>
        <v/>
      </c>
      <c r="AN65">
        <f t="shared" si="110"/>
        <v>0</v>
      </c>
      <c r="AO65">
        <f t="shared" si="111"/>
        <v>1900</v>
      </c>
      <c r="AV65">
        <f t="shared" si="112"/>
        <v>0</v>
      </c>
      <c r="AW65">
        <f t="shared" si="113"/>
        <v>0</v>
      </c>
    </row>
    <row r="66" spans="4:49" ht="15.75" x14ac:dyDescent="0.25">
      <c r="D66" s="199" t="s">
        <v>448</v>
      </c>
      <c r="E66" s="383" t="s">
        <v>108</v>
      </c>
      <c r="F66" s="384">
        <v>1300</v>
      </c>
      <c r="G66" s="201" t="s">
        <v>4</v>
      </c>
      <c r="H66" s="219">
        <v>2.2599999999999998</v>
      </c>
      <c r="I66" s="202">
        <v>45918</v>
      </c>
      <c r="J66" s="200" t="s">
        <v>314</v>
      </c>
      <c r="K66" s="200"/>
      <c r="L66" s="203">
        <v>7.0000000000000007E-2</v>
      </c>
      <c r="M66" s="204">
        <f ca="1">IF(ISERROR(OFFSET(Tabella!$A$1,MATCH(J66,Tabella!$A:$A,0)-1,MATCH(L66,Tabella!$A$1:$AC$1,0)-1)=TRUE),0,+OFFSET(Tabella!$A$1,MATCH(J66,Tabella!$A:$A,0)-1,MATCH(L66,Tabella!$A$1:$AC$1,0)-1))</f>
        <v>1.25</v>
      </c>
      <c r="N66" s="205">
        <f ca="1">IF(ISERROR(OFFSET(Ottone!$A$1,MATCH(J66,Ottone!$A:$A,0)-1,MATCH(L66,Ottone!$A$1:$Z$1,0)-1)=TRUE),0,OFFSET(Ottone!$A$1,MATCH(J66,Ottone!$A:$A,0)-1,MATCH(L66,Ottone!$A$1:$Z$1,0)-1))*IF(G66="Ottone",1,0)</f>
        <v>0</v>
      </c>
      <c r="O66" s="205">
        <f ca="1">IF(ISERROR(OFFSET(Rame!$A$1,MATCH(J66,Rame!$A:$A,0)-1,MATCH(L66,Rame!$A$1:$AA$1,0)-1)=TRUE),0,OFFSET(Rame!$A$1,MATCH(J66,Rame!$A:$A,0)-1,MATCH(L66,Rame!$A$1:$AA$1,0)-1))*IF(G66="Rame",1,0)</f>
        <v>0</v>
      </c>
      <c r="P66" s="205">
        <v>0</v>
      </c>
      <c r="Q66" s="205">
        <v>1.5</v>
      </c>
      <c r="R66" s="205">
        <f ca="1">+IF(ISERROR(OFFSET(Tabella!$G$1,MATCH(J66,Tabella!$G:$G,0)-1,MATCH(K66,Tabella!$G$1:$FG$1,0)-1)=TRUE),0,OFFSET(Tabella!$G$1,MATCH(J66,Tabella!$G:$G,0)-1,MATCH(K66,Tabella!$G$1:$AB$1,0)-1))</f>
        <v>0</v>
      </c>
      <c r="S66" s="205">
        <f ca="1">IF(ISERROR(OFFSET(Ottone!$F$1,MATCH(J66,Ottone!$A:$A,0)-1,MATCH(K66,Ottone!$F$1:$FF$1,0)-1)=TRUE),0,OFFSET(Ottone!$F$1,MATCH(J66,Ottone!$A:$A,0)-1,MATCH(K66,Ottone!$F$1:$FF$1,0)-1))*IF(G66="Ottone",1,0)</f>
        <v>0</v>
      </c>
      <c r="T66" s="205">
        <f ca="1">IF(ISERROR(OFFSET(Rame!$F$1,MATCH(J66,Rame!$F:$F,0)-1,MATCH(K66,Rame!$F$1:$FF$1,0)-1)=TRUE),0,OFFSET(Rame!$F$1,MATCH(J66,Rame!$F:$F,0)-1,MATCH(K66,Rame!$F$1:$FF$1,0)-1))*IF(G66="Rame",1,0)</f>
        <v>0</v>
      </c>
      <c r="U66" s="205">
        <f ca="1">IF(ISERROR(OFFSET(Bronzo!$A$1,MATCH(J66,Bronzo!$A:$A,0)-1,MATCH(K66,Bronzo!$A$1:$AA$1,0)-1)=TRUE),0,OFFSET(Bronzo!$A$1,MATCH(J66,Bronzo!$A:$A,0)-1,MATCH(K66,Bronzo!$A$1:$AA$1,0)-1))</f>
        <v>0</v>
      </c>
      <c r="V66" s="205">
        <f t="shared" ca="1" si="104"/>
        <v>0</v>
      </c>
      <c r="W66" s="204"/>
      <c r="X66" s="205">
        <v>0</v>
      </c>
      <c r="Y66" s="206">
        <f t="shared" ca="1" si="105"/>
        <v>1.5</v>
      </c>
      <c r="Z66" s="277">
        <f t="shared" si="106"/>
        <v>91.000000000000014</v>
      </c>
      <c r="AA66" s="203">
        <v>3.76</v>
      </c>
      <c r="AB66" s="203">
        <f t="shared" ca="1" si="107"/>
        <v>0</v>
      </c>
      <c r="AC66" s="238"/>
      <c r="AH66" t="s">
        <v>418</v>
      </c>
      <c r="AI66" s="367">
        <f t="shared" ca="1" si="101"/>
        <v>46092</v>
      </c>
      <c r="AJ66" s="367" t="b">
        <f t="shared" si="108"/>
        <v>1</v>
      </c>
      <c r="AK66" s="370" t="str">
        <f t="shared" si="109"/>
        <v/>
      </c>
      <c r="AN66">
        <f t="shared" si="110"/>
        <v>0</v>
      </c>
      <c r="AO66">
        <f t="shared" si="111"/>
        <v>1900</v>
      </c>
      <c r="AV66">
        <f t="shared" si="112"/>
        <v>0</v>
      </c>
      <c r="AW66">
        <f t="shared" si="113"/>
        <v>0</v>
      </c>
    </row>
    <row r="67" spans="4:49" ht="15.75" x14ac:dyDescent="0.25">
      <c r="D67" s="199" t="s">
        <v>449</v>
      </c>
      <c r="E67" s="200" t="s">
        <v>210</v>
      </c>
      <c r="F67" s="287">
        <v>11000</v>
      </c>
      <c r="G67" s="201" t="s">
        <v>4</v>
      </c>
      <c r="H67" s="219">
        <v>3.56</v>
      </c>
      <c r="I67" s="202">
        <v>45674</v>
      </c>
      <c r="J67" s="200" t="s">
        <v>310</v>
      </c>
      <c r="K67" s="200"/>
      <c r="L67" s="203">
        <v>0.05</v>
      </c>
      <c r="M67" s="204">
        <f ca="1">IF(ISERROR(OFFSET(Tabella!$A$1,MATCH(J67,Tabella!$A:$A,0)-1,MATCH(L67,Tabella!$A$1:$AC$1,0)-1)=TRUE),0,+OFFSET(Tabella!$A$1,MATCH(J67,Tabella!$A:$A,0)-1,MATCH(L67,Tabella!$A$1:$AC$1,0)-1))</f>
        <v>0</v>
      </c>
      <c r="N67" s="205">
        <f ca="1">IF(ISERROR(OFFSET(Ottone!$A$1,MATCH(J67,Ottone!$A:$A,0)-1,MATCH(L67,Ottone!$A$1:$Z$1,0)-1)=TRUE),0,OFFSET(Ottone!$A$1,MATCH(J67,Ottone!$A:$A,0)-1,MATCH(L67,Ottone!$A$1:$Z$1,0)-1))*IF(G67="Ottone",1,0)</f>
        <v>0</v>
      </c>
      <c r="O67" s="205">
        <f ca="1">IF(ISERROR(OFFSET(Rame!$A$1,MATCH(J67,Rame!$A:$A,0)-1,MATCH(L67,Rame!$A$1:$AA$1,0)-1)=TRUE),0,OFFSET(Rame!$A$1,MATCH(J67,Rame!$A:$A,0)-1,MATCH(L67,Rame!$A$1:$AA$1,0)-1))*IF(G67="Rame",1,0)</f>
        <v>0</v>
      </c>
      <c r="P67" s="205">
        <v>0</v>
      </c>
      <c r="Q67" s="205">
        <v>1.5</v>
      </c>
      <c r="R67" s="205">
        <f ca="1">+IF(ISERROR(OFFSET(Tabella!$G$1,MATCH(J67,Tabella!$G:$G,0)-1,MATCH(K67,Tabella!$G$1:$FG$1,0)-1)=TRUE),0,OFFSET(Tabella!$G$1,MATCH(J67,Tabella!$G:$G,0)-1,MATCH(K67,Tabella!$G$1:$AB$1,0)-1))</f>
        <v>0</v>
      </c>
      <c r="S67" s="205">
        <f ca="1">IF(ISERROR(OFFSET(Ottone!$F$1,MATCH(J67,Ottone!$A:$A,0)-1,MATCH(K67,Ottone!$F$1:$FF$1,0)-1)=TRUE),0,OFFSET(Ottone!$F$1,MATCH(J67,Ottone!$A:$A,0)-1,MATCH(K67,Ottone!$F$1:$FF$1,0)-1))*IF(G67="Ottone",1,0)</f>
        <v>0</v>
      </c>
      <c r="T67" s="205">
        <f ca="1">IF(ISERROR(OFFSET(Rame!$F$1,MATCH(J67,Rame!$F:$F,0)-1,MATCH(K67,Rame!$F$1:$FF$1,0)-1)=TRUE),0,OFFSET(Rame!$F$1,MATCH(J67,Rame!$F:$F,0)-1,MATCH(K67,Rame!$F$1:$FF$1,0)-1))*IF(G67="Rame",1,0)</f>
        <v>0</v>
      </c>
      <c r="U67" s="205">
        <f ca="1">IF(ISERROR(OFFSET(Bronzo!$A$1,MATCH(J67,Bronzo!$A:$A,0)-1,MATCH(K67,Bronzo!$A$1:$AA$1,0)-1)=TRUE),0,OFFSET(Bronzo!$A$1,MATCH(J67,Bronzo!$A:$A,0)-1,MATCH(K67,Bronzo!$A$1:$AA$1,0)-1))</f>
        <v>0</v>
      </c>
      <c r="V67" s="205">
        <f t="shared" ca="1" si="104"/>
        <v>0</v>
      </c>
      <c r="W67" s="204"/>
      <c r="X67" s="205">
        <v>0</v>
      </c>
      <c r="Y67" s="206">
        <f t="shared" ca="1" si="105"/>
        <v>1.5</v>
      </c>
      <c r="Z67" s="277">
        <f t="shared" si="106"/>
        <v>550</v>
      </c>
      <c r="AA67" s="203">
        <v>3.86</v>
      </c>
      <c r="AB67" s="203">
        <f t="shared" ca="1" si="107"/>
        <v>-1.2000000000000002</v>
      </c>
      <c r="AC67" s="238">
        <v>45996</v>
      </c>
      <c r="AI67" s="367">
        <f t="shared" ca="1" si="101"/>
        <v>46092</v>
      </c>
      <c r="AJ67" s="367" t="b">
        <f t="shared" si="108"/>
        <v>0</v>
      </c>
      <c r="AK67" s="370">
        <f t="shared" ca="1" si="109"/>
        <v>-96</v>
      </c>
      <c r="AN67">
        <f t="shared" si="110"/>
        <v>49</v>
      </c>
      <c r="AO67">
        <f t="shared" si="111"/>
        <v>2025</v>
      </c>
      <c r="AV67">
        <f t="shared" si="112"/>
        <v>12</v>
      </c>
      <c r="AW67">
        <f t="shared" si="113"/>
        <v>2025</v>
      </c>
    </row>
    <row r="68" spans="4:49" ht="15.75" x14ac:dyDescent="0.25">
      <c r="D68" s="199" t="s">
        <v>449</v>
      </c>
      <c r="E68" s="200" t="s">
        <v>210</v>
      </c>
      <c r="F68" s="287">
        <v>20000</v>
      </c>
      <c r="G68" s="201" t="s">
        <v>4</v>
      </c>
      <c r="H68" s="219">
        <v>3.56</v>
      </c>
      <c r="I68" s="202">
        <v>45674</v>
      </c>
      <c r="J68" s="200" t="s">
        <v>24</v>
      </c>
      <c r="K68" s="200"/>
      <c r="L68" s="203">
        <v>0.05</v>
      </c>
      <c r="M68" s="204">
        <f ca="1">IF(ISERROR(OFFSET(Tabella!$A$1,MATCH(J68,Tabella!$A:$A,0)-1,MATCH(L68,Tabella!$A$1:$AC$1,0)-1)=TRUE),0,+OFFSET(Tabella!$A$1,MATCH(J68,Tabella!$A:$A,0)-1,MATCH(L68,Tabella!$A$1:$AC$1,0)-1))</f>
        <v>0</v>
      </c>
      <c r="N68" s="205">
        <f ca="1">IF(ISERROR(OFFSET(Ottone!$A$1,MATCH(J68,Ottone!$A:$A,0)-1,MATCH(L68,Ottone!$A$1:$Z$1,0)-1)=TRUE),0,OFFSET(Ottone!$A$1,MATCH(J68,Ottone!$A:$A,0)-1,MATCH(L68,Ottone!$A$1:$Z$1,0)-1))*IF(G68="Ottone",1,0)</f>
        <v>0</v>
      </c>
      <c r="O68" s="205">
        <f ca="1">IF(ISERROR(OFFSET(Rame!$A$1,MATCH(J68,Rame!$A:$A,0)-1,MATCH(L68,Rame!$A$1:$AA$1,0)-1)=TRUE),0,OFFSET(Rame!$A$1,MATCH(J68,Rame!$A:$A,0)-1,MATCH(L68,Rame!$A$1:$AA$1,0)-1))*IF(G68="Rame",1,0)</f>
        <v>0</v>
      </c>
      <c r="P68" s="205">
        <v>0</v>
      </c>
      <c r="Q68" s="205">
        <v>1.5</v>
      </c>
      <c r="R68" s="205">
        <f ca="1">+IF(ISERROR(OFFSET(Tabella!$G$1,MATCH(J68,Tabella!$G:$G,0)-1,MATCH(K68,Tabella!$G$1:$FG$1,0)-1)=TRUE),0,OFFSET(Tabella!$G$1,MATCH(J68,Tabella!$G:$G,0)-1,MATCH(K68,Tabella!$G$1:$AB$1,0)-1))</f>
        <v>0</v>
      </c>
      <c r="S68" s="205">
        <f ca="1">IF(ISERROR(OFFSET(Ottone!$F$1,MATCH(J68,Ottone!$A:$A,0)-1,MATCH(K68,Ottone!$F$1:$FF$1,0)-1)=TRUE),0,OFFSET(Ottone!$F$1,MATCH(J68,Ottone!$A:$A,0)-1,MATCH(K68,Ottone!$F$1:$FF$1,0)-1))*IF(G68="Ottone",1,0)</f>
        <v>0</v>
      </c>
      <c r="T68" s="205">
        <f ca="1">IF(ISERROR(OFFSET(Rame!$F$1,MATCH(J68,Rame!$F:$F,0)-1,MATCH(K68,Rame!$F$1:$FF$1,0)-1)=TRUE),0,OFFSET(Rame!$F$1,MATCH(J68,Rame!$F:$F,0)-1,MATCH(K68,Rame!$F$1:$FF$1,0)-1))*IF(G68="Rame",1,0)</f>
        <v>0</v>
      </c>
      <c r="U68" s="205">
        <f ca="1">IF(ISERROR(OFFSET(Bronzo!$A$1,MATCH(J68,Bronzo!$A:$A,0)-1,MATCH(K68,Bronzo!$A$1:$AA$1,0)-1)=TRUE),0,OFFSET(Bronzo!$A$1,MATCH(J68,Bronzo!$A:$A,0)-1,MATCH(K68,Bronzo!$A$1:$AA$1,0)-1))</f>
        <v>0</v>
      </c>
      <c r="V68" s="205">
        <f t="shared" ca="1" si="104"/>
        <v>0</v>
      </c>
      <c r="W68" s="204"/>
      <c r="X68" s="205">
        <v>0</v>
      </c>
      <c r="Y68" s="206">
        <f t="shared" ca="1" si="105"/>
        <v>1.5</v>
      </c>
      <c r="Z68" s="277">
        <f t="shared" si="106"/>
        <v>1000</v>
      </c>
      <c r="AA68" s="203">
        <v>3.86</v>
      </c>
      <c r="AB68" s="203">
        <f t="shared" ca="1" si="107"/>
        <v>-1.2000000000000002</v>
      </c>
      <c r="AC68" s="238">
        <v>45996</v>
      </c>
      <c r="AI68" s="367">
        <f t="shared" ca="1" si="101"/>
        <v>46092</v>
      </c>
      <c r="AJ68" s="367" t="b">
        <f t="shared" si="108"/>
        <v>0</v>
      </c>
      <c r="AK68" s="370">
        <f t="shared" ca="1" si="109"/>
        <v>-96</v>
      </c>
      <c r="AN68">
        <f t="shared" si="110"/>
        <v>49</v>
      </c>
      <c r="AO68">
        <f t="shared" si="111"/>
        <v>2025</v>
      </c>
      <c r="AV68">
        <f t="shared" si="112"/>
        <v>12</v>
      </c>
      <c r="AW68">
        <f t="shared" si="113"/>
        <v>2025</v>
      </c>
    </row>
    <row r="69" spans="4:49" ht="15.75" x14ac:dyDescent="0.25">
      <c r="D69" s="199" t="s">
        <v>517</v>
      </c>
      <c r="E69" s="378" t="s">
        <v>108</v>
      </c>
      <c r="F69" s="379">
        <v>1647</v>
      </c>
      <c r="G69" s="201" t="s">
        <v>4</v>
      </c>
      <c r="H69" s="219">
        <v>2.2599999999999998</v>
      </c>
      <c r="I69" s="202">
        <v>45918</v>
      </c>
      <c r="J69" s="200" t="s">
        <v>322</v>
      </c>
      <c r="K69" s="200"/>
      <c r="L69" s="203">
        <v>7.0000000000000007E-2</v>
      </c>
      <c r="M69" s="204">
        <f ca="1">IF(ISERROR(OFFSET(Tabella!$A$1,MATCH(J69,Tabella!$A:$A,0)-1,MATCH(L69,Tabella!$A$1:$AC$1,0)-1)=TRUE),0,+OFFSET(Tabella!$A$1,MATCH(J69,Tabella!$A:$A,0)-1,MATCH(L69,Tabella!$A$1:$AC$1,0)-1))</f>
        <v>1.25</v>
      </c>
      <c r="N69" s="205">
        <f ca="1">IF(ISERROR(OFFSET(Ottone!$A$1,MATCH(J69,Ottone!$A:$A,0)-1,MATCH(L69,Ottone!$A$1:$Z$1,0)-1)=TRUE),0,OFFSET(Ottone!$A$1,MATCH(J69,Ottone!$A:$A,0)-1,MATCH(L69,Ottone!$A$1:$Z$1,0)-1))*IF(G69="Ottone",1,0)</f>
        <v>0</v>
      </c>
      <c r="O69" s="205">
        <f ca="1">IF(ISERROR(OFFSET(Rame!$A$1,MATCH(J69,Rame!$A:$A,0)-1,MATCH(L69,Rame!$A$1:$AA$1,0)-1)=TRUE),0,OFFSET(Rame!$A$1,MATCH(J69,Rame!$A:$A,0)-1,MATCH(L69,Rame!$A$1:$AA$1,0)-1))*IF(G69="Rame",1,0)</f>
        <v>0</v>
      </c>
      <c r="P69" s="205">
        <v>0</v>
      </c>
      <c r="Q69" s="205">
        <f t="shared" ca="1" si="103"/>
        <v>1.25</v>
      </c>
      <c r="R69" s="205">
        <f ca="1">+IF(ISERROR(OFFSET(Tabella!$G$1,MATCH(J69,Tabella!$G:$G,0)-1,MATCH(K69,Tabella!$G$1:$FG$1,0)-1)=TRUE),0,OFFSET(Tabella!$G$1,MATCH(J69,Tabella!$G:$G,0)-1,MATCH(K69,Tabella!$G$1:$AB$1,0)-1))</f>
        <v>0</v>
      </c>
      <c r="S69" s="205">
        <f ca="1">IF(ISERROR(OFFSET(Ottone!$F$1,MATCH(J69,Ottone!$A:$A,0)-1,MATCH(K69,Ottone!$F$1:$FF$1,0)-1)=TRUE),0,OFFSET(Ottone!$F$1,MATCH(J69,Ottone!$A:$A,0)-1,MATCH(K69,Ottone!$F$1:$FF$1,0)-1))*IF(G69="Ottone",1,0)</f>
        <v>0</v>
      </c>
      <c r="T69" s="205">
        <f ca="1">IF(ISERROR(OFFSET(Rame!$F$1,MATCH(J69,Rame!$F:$F,0)-1,MATCH(K69,Rame!$F$1:$FF$1,0)-1)=TRUE),0,OFFSET(Rame!$F$1,MATCH(J69,Rame!$F:$F,0)-1,MATCH(K69,Rame!$F$1:$FF$1,0)-1))*IF(G69="Rame",1,0)</f>
        <v>0</v>
      </c>
      <c r="U69" s="205">
        <f ca="1">IF(ISERROR(OFFSET(Bronzo!$A$1,MATCH(J69,Bronzo!$A:$A,0)-1,MATCH(K69,Bronzo!$A$1:$AA$1,0)-1)=TRUE),0,OFFSET(Bronzo!$A$1,MATCH(J69,Bronzo!$A:$A,0)-1,MATCH(K69,Bronzo!$A$1:$AA$1,0)-1))</f>
        <v>0</v>
      </c>
      <c r="V69" s="205">
        <f t="shared" ca="1" si="104"/>
        <v>0</v>
      </c>
      <c r="W69" s="204"/>
      <c r="X69" s="205">
        <v>0</v>
      </c>
      <c r="Y69" s="206">
        <f t="shared" ca="1" si="105"/>
        <v>1.25</v>
      </c>
      <c r="Z69" s="380">
        <f t="shared" si="106"/>
        <v>115.29</v>
      </c>
      <c r="AA69" s="203">
        <v>3.76</v>
      </c>
      <c r="AB69" s="203">
        <f t="shared" ca="1" si="107"/>
        <v>0.25</v>
      </c>
      <c r="AC69" s="238"/>
      <c r="AG69" t="s">
        <v>404</v>
      </c>
      <c r="AI69" s="367">
        <f t="shared" ref="AI69:AI87" ca="1" si="114">TODAY()</f>
        <v>46092</v>
      </c>
      <c r="AJ69" s="367" t="b">
        <f t="shared" si="108"/>
        <v>1</v>
      </c>
      <c r="AK69" s="370" t="str">
        <f t="shared" si="109"/>
        <v/>
      </c>
      <c r="AN69">
        <f t="shared" si="110"/>
        <v>0</v>
      </c>
      <c r="AO69">
        <f t="shared" si="111"/>
        <v>1900</v>
      </c>
      <c r="AV69">
        <f t="shared" si="112"/>
        <v>0</v>
      </c>
      <c r="AW69">
        <f t="shared" si="113"/>
        <v>0</v>
      </c>
    </row>
    <row r="70" spans="4:49" ht="15.75" x14ac:dyDescent="0.25">
      <c r="D70" s="199" t="s">
        <v>508</v>
      </c>
      <c r="E70" s="378" t="s">
        <v>108</v>
      </c>
      <c r="F70" s="379">
        <v>1075</v>
      </c>
      <c r="G70" s="201" t="s">
        <v>4</v>
      </c>
      <c r="H70" s="219">
        <v>2.2599999999999998</v>
      </c>
      <c r="I70" s="202">
        <v>45918</v>
      </c>
      <c r="J70" s="200" t="s">
        <v>24</v>
      </c>
      <c r="K70" s="200"/>
      <c r="L70" s="203">
        <v>7.0000000000000007E-2</v>
      </c>
      <c r="M70" s="204">
        <f ca="1">IF(ISERROR(OFFSET(Tabella!$A$1,MATCH(J70,Tabella!$A:$A,0)-1,MATCH(L70,Tabella!$A$1:$AC$1,0)-1)=TRUE),0,+OFFSET(Tabella!$A$1,MATCH(J70,Tabella!$A:$A,0)-1,MATCH(L70,Tabella!$A$1:$AC$1,0)-1))</f>
        <v>1.25</v>
      </c>
      <c r="N70" s="205">
        <f ca="1">IF(ISERROR(OFFSET(Ottone!$A$1,MATCH(J70,Ottone!$A:$A,0)-1,MATCH(L70,Ottone!$A$1:$Z$1,0)-1)=TRUE),0,OFFSET(Ottone!$A$1,MATCH(J70,Ottone!$A:$A,0)-1,MATCH(L70,Ottone!$A$1:$Z$1,0)-1))*IF(G70="Ottone",1,0)</f>
        <v>0</v>
      </c>
      <c r="O70" s="205">
        <f ca="1">IF(ISERROR(OFFSET(Rame!$A$1,MATCH(J70,Rame!$A:$A,0)-1,MATCH(L70,Rame!$A$1:$AA$1,0)-1)=TRUE),0,OFFSET(Rame!$A$1,MATCH(J70,Rame!$A:$A,0)-1,MATCH(L70,Rame!$A$1:$AA$1,0)-1))*IF(G70="Rame",1,0)</f>
        <v>0</v>
      </c>
      <c r="P70" s="205">
        <v>0</v>
      </c>
      <c r="Q70" s="205">
        <f t="shared" ca="1" si="103"/>
        <v>1.25</v>
      </c>
      <c r="R70" s="205">
        <f ca="1">+IF(ISERROR(OFFSET(Tabella!$G$1,MATCH(J70,Tabella!$G:$G,0)-1,MATCH(K70,Tabella!$G$1:$FG$1,0)-1)=TRUE),0,OFFSET(Tabella!$G$1,MATCH(J70,Tabella!$G:$G,0)-1,MATCH(K70,Tabella!$G$1:$AB$1,0)-1))</f>
        <v>0</v>
      </c>
      <c r="S70" s="205">
        <f ca="1">IF(ISERROR(OFFSET(Ottone!$F$1,MATCH(J70,Ottone!$A:$A,0)-1,MATCH(K70,Ottone!$F$1:$FF$1,0)-1)=TRUE),0,OFFSET(Ottone!$F$1,MATCH(J70,Ottone!$A:$A,0)-1,MATCH(K70,Ottone!$F$1:$FF$1,0)-1))*IF(G70="Ottone",1,0)</f>
        <v>0</v>
      </c>
      <c r="T70" s="205">
        <f ca="1">IF(ISERROR(OFFSET(Rame!$F$1,MATCH(J70,Rame!$F:$F,0)-1,MATCH(K70,Rame!$F$1:$FF$1,0)-1)=TRUE),0,OFFSET(Rame!$F$1,MATCH(J70,Rame!$F:$F,0)-1,MATCH(K70,Rame!$F$1:$FF$1,0)-1))*IF(G70="Rame",1,0)</f>
        <v>0</v>
      </c>
      <c r="U70" s="205">
        <f ca="1">IF(ISERROR(OFFSET(Bronzo!$A$1,MATCH(J70,Bronzo!$A:$A,0)-1,MATCH(K70,Bronzo!$A$1:$AA$1,0)-1)=TRUE),0,OFFSET(Bronzo!$A$1,MATCH(J70,Bronzo!$A:$A,0)-1,MATCH(K70,Bronzo!$A$1:$AA$1,0)-1))</f>
        <v>0</v>
      </c>
      <c r="V70" s="205">
        <f t="shared" ca="1" si="104"/>
        <v>0</v>
      </c>
      <c r="W70" s="204"/>
      <c r="X70" s="205">
        <v>0</v>
      </c>
      <c r="Y70" s="206">
        <f t="shared" ca="1" si="105"/>
        <v>1.25</v>
      </c>
      <c r="Z70" s="380">
        <f t="shared" si="106"/>
        <v>75.250000000000014</v>
      </c>
      <c r="AA70" s="203">
        <v>3.76</v>
      </c>
      <c r="AB70" s="203">
        <f t="shared" ca="1" si="107"/>
        <v>0.25</v>
      </c>
      <c r="AC70" s="238"/>
      <c r="AG70" t="s">
        <v>404</v>
      </c>
      <c r="AI70" s="367">
        <f t="shared" ca="1" si="114"/>
        <v>46092</v>
      </c>
      <c r="AJ70" s="367" t="b">
        <f t="shared" si="108"/>
        <v>1</v>
      </c>
      <c r="AK70" s="370" t="str">
        <f t="shared" si="109"/>
        <v/>
      </c>
      <c r="AN70">
        <f t="shared" si="110"/>
        <v>0</v>
      </c>
      <c r="AO70">
        <f t="shared" si="111"/>
        <v>1900</v>
      </c>
      <c r="AV70">
        <f t="shared" si="112"/>
        <v>0</v>
      </c>
      <c r="AW70">
        <f t="shared" si="113"/>
        <v>0</v>
      </c>
    </row>
    <row r="71" spans="4:49" ht="15.75" x14ac:dyDescent="0.25">
      <c r="D71" s="199" t="s">
        <v>450</v>
      </c>
      <c r="E71" s="200" t="s">
        <v>259</v>
      </c>
      <c r="F71" s="287">
        <v>5000</v>
      </c>
      <c r="G71" s="201" t="s">
        <v>4</v>
      </c>
      <c r="H71" s="219">
        <v>2.2000000000000002</v>
      </c>
      <c r="I71" s="202">
        <v>45890</v>
      </c>
      <c r="J71" s="200" t="s">
        <v>307</v>
      </c>
      <c r="K71" s="200"/>
      <c r="L71" s="203">
        <v>0.05</v>
      </c>
      <c r="M71" s="204">
        <f ca="1">IF(ISERROR(OFFSET(Tabella!$A$1,MATCH(J71,Tabella!$A:$A,0)-1,MATCH(L71,Tabella!$A$1:$AC$1,0)-1)=TRUE),0,+OFFSET(Tabella!$A$1,MATCH(J71,Tabella!$A:$A,0)-1,MATCH(L71,Tabella!$A$1:$AC$1,0)-1))</f>
        <v>0</v>
      </c>
      <c r="N71" s="205">
        <f ca="1">IF(ISERROR(OFFSET(Ottone!$A$1,MATCH(J71,Ottone!$A:$A,0)-1,MATCH(L71,Ottone!$A$1:$Z$1,0)-1)=TRUE),0,OFFSET(Ottone!$A$1,MATCH(J71,Ottone!$A:$A,0)-1,MATCH(L71,Ottone!$A$1:$Z$1,0)-1))*IF(G71="Ottone",1,0)</f>
        <v>0</v>
      </c>
      <c r="O71" s="205">
        <f ca="1">IF(ISERROR(OFFSET(Rame!$A$1,MATCH(J71,Rame!$A:$A,0)-1,MATCH(L71,Rame!$A$1:$AA$1,0)-1)=TRUE),0,OFFSET(Rame!$A$1,MATCH(J71,Rame!$A:$A,0)-1,MATCH(L71,Rame!$A$1:$AA$1,0)-1))*IF(G71="Rame",1,0)</f>
        <v>0</v>
      </c>
      <c r="P71" s="205">
        <v>0</v>
      </c>
      <c r="Q71" s="205">
        <v>1.5</v>
      </c>
      <c r="R71" s="205">
        <f ca="1">+IF(ISERROR(OFFSET(Tabella!$G$1,MATCH(J71,Tabella!$G:$G,0)-1,MATCH(K71,Tabella!$G$1:$FG$1,0)-1)=TRUE),0,OFFSET(Tabella!$G$1,MATCH(J71,Tabella!$G:$G,0)-1,MATCH(K71,Tabella!$G$1:$AB$1,0)-1))</f>
        <v>0</v>
      </c>
      <c r="S71" s="205">
        <f ca="1">IF(ISERROR(OFFSET(Ottone!$F$1,MATCH(J71,Ottone!$A:$A,0)-1,MATCH(K71,Ottone!$F$1:$FF$1,0)-1)=TRUE),0,OFFSET(Ottone!$F$1,MATCH(J71,Ottone!$A:$A,0)-1,MATCH(K71,Ottone!$F$1:$FF$1,0)-1))*IF(G71="Ottone",1,0)</f>
        <v>0</v>
      </c>
      <c r="T71" s="205">
        <f ca="1">IF(ISERROR(OFFSET(Rame!$F$1,MATCH(J71,Rame!$F:$F,0)-1,MATCH(K71,Rame!$F$1:$FF$1,0)-1)=TRUE),0,OFFSET(Rame!$F$1,MATCH(J71,Rame!$F:$F,0)-1,MATCH(K71,Rame!$F$1:$FF$1,0)-1))*IF(G71="Rame",1,0)</f>
        <v>0</v>
      </c>
      <c r="U71" s="205">
        <f ca="1">IF(ISERROR(OFFSET(Bronzo!$A$1,MATCH(J71,Bronzo!$A:$A,0)-1,MATCH(K71,Bronzo!$A$1:$AA$1,0)-1)=TRUE),0,OFFSET(Bronzo!$A$1,MATCH(J71,Bronzo!$A:$A,0)-1,MATCH(K71,Bronzo!$A$1:$AA$1,0)-1))</f>
        <v>0</v>
      </c>
      <c r="V71" s="205">
        <f t="shared" ca="1" si="104"/>
        <v>0</v>
      </c>
      <c r="W71" s="204"/>
      <c r="X71" s="205">
        <v>0</v>
      </c>
      <c r="Y71" s="206">
        <f t="shared" ca="1" si="105"/>
        <v>1.5</v>
      </c>
      <c r="Z71" s="277">
        <f t="shared" si="106"/>
        <v>250</v>
      </c>
      <c r="AA71" s="203">
        <v>3.53</v>
      </c>
      <c r="AB71" s="203">
        <f t="shared" ca="1" si="107"/>
        <v>-0.17000000000000037</v>
      </c>
      <c r="AC71" s="238">
        <v>45996</v>
      </c>
      <c r="AI71" s="367">
        <f t="shared" ca="1" si="114"/>
        <v>46092</v>
      </c>
      <c r="AJ71" s="367" t="b">
        <f t="shared" si="108"/>
        <v>0</v>
      </c>
      <c r="AK71" s="370">
        <f t="shared" ca="1" si="109"/>
        <v>-96</v>
      </c>
      <c r="AN71">
        <f t="shared" si="110"/>
        <v>49</v>
      </c>
      <c r="AO71">
        <f t="shared" si="111"/>
        <v>2025</v>
      </c>
      <c r="AV71">
        <f t="shared" si="112"/>
        <v>12</v>
      </c>
      <c r="AW71">
        <f t="shared" si="113"/>
        <v>2025</v>
      </c>
    </row>
    <row r="72" spans="4:49" ht="15.75" x14ac:dyDescent="0.25">
      <c r="D72" s="199" t="s">
        <v>562</v>
      </c>
      <c r="E72" s="378" t="s">
        <v>102</v>
      </c>
      <c r="F72" s="379">
        <v>1701</v>
      </c>
      <c r="G72" s="201" t="s">
        <v>4</v>
      </c>
      <c r="H72" s="219">
        <v>2.16</v>
      </c>
      <c r="I72" s="202">
        <v>45824</v>
      </c>
      <c r="J72" s="200" t="s">
        <v>22</v>
      </c>
      <c r="K72" s="200"/>
      <c r="L72" s="203">
        <v>7.0000000000000007E-2</v>
      </c>
      <c r="M72" s="204">
        <f ca="1">IF(ISERROR(OFFSET(Tabella!$A$1,MATCH(J72,Tabella!$A:$A,0)-1,MATCH(L72,Tabella!$A$1:$AC$1,0)-1)=TRUE),0,+OFFSET(Tabella!$A$1,MATCH(J72,Tabella!$A:$A,0)-1,MATCH(L72,Tabella!$A$1:$AC$1,0)-1))</f>
        <v>1.25</v>
      </c>
      <c r="N72" s="205">
        <f ca="1">IF(ISERROR(OFFSET(Ottone!$A$1,MATCH(J72,Ottone!$A:$A,0)-1,MATCH(L72,Ottone!$A$1:$Z$1,0)-1)=TRUE),0,OFFSET(Ottone!$A$1,MATCH(J72,Ottone!$A:$A,0)-1,MATCH(L72,Ottone!$A$1:$Z$1,0)-1))*IF(G72="Ottone",1,0)</f>
        <v>0</v>
      </c>
      <c r="O72" s="205">
        <f ca="1">IF(ISERROR(OFFSET(Rame!$A$1,MATCH(J72,Rame!$A:$A,0)-1,MATCH(L72,Rame!$A$1:$AA$1,0)-1)=TRUE),0,OFFSET(Rame!$A$1,MATCH(J72,Rame!$A:$A,0)-1,MATCH(L72,Rame!$A$1:$AA$1,0)-1))*IF(G72="Rame",1,0)</f>
        <v>0</v>
      </c>
      <c r="P72" s="205">
        <v>0</v>
      </c>
      <c r="Q72" s="205">
        <v>1.5</v>
      </c>
      <c r="R72" s="205">
        <f ca="1">+IF(ISERROR(OFFSET(Tabella!$G$1,MATCH(J72,Tabella!$G:$G,0)-1,MATCH(K72,Tabella!$G$1:$FG$1,0)-1)=TRUE),0,OFFSET(Tabella!$G$1,MATCH(J72,Tabella!$G:$G,0)-1,MATCH(K72,Tabella!$G$1:$AB$1,0)-1))</f>
        <v>0</v>
      </c>
      <c r="S72" s="205">
        <f ca="1">IF(ISERROR(OFFSET(Ottone!$F$1,MATCH(J72,Ottone!$A:$A,0)-1,MATCH(K72,Ottone!$F$1:$FF$1,0)-1)=TRUE),0,OFFSET(Ottone!$F$1,MATCH(J72,Ottone!$A:$A,0)-1,MATCH(K72,Ottone!$F$1:$FF$1,0)-1))*IF(G72="Ottone",1,0)</f>
        <v>0</v>
      </c>
      <c r="T72" s="205">
        <f ca="1">IF(ISERROR(OFFSET(Rame!$F$1,MATCH(J72,Rame!$F:$F,0)-1,MATCH(K72,Rame!$F$1:$FF$1,0)-1)=TRUE),0,OFFSET(Rame!$F$1,MATCH(J72,Rame!$F:$F,0)-1,MATCH(K72,Rame!$F$1:$FF$1,0)-1))*IF(G72="Rame",1,0)</f>
        <v>0</v>
      </c>
      <c r="U72" s="205">
        <f ca="1">IF(ISERROR(OFFSET(Bronzo!$A$1,MATCH(J72,Bronzo!$A:$A,0)-1,MATCH(K72,Bronzo!$A$1:$AA$1,0)-1)=TRUE),0,OFFSET(Bronzo!$A$1,MATCH(J72,Bronzo!$A:$A,0)-1,MATCH(K72,Bronzo!$A$1:$AA$1,0)-1))</f>
        <v>0</v>
      </c>
      <c r="V72" s="205">
        <f t="shared" ref="V72:V96" ca="1" si="115">SUM(R72:U72)</f>
        <v>0</v>
      </c>
      <c r="W72" s="204"/>
      <c r="X72" s="205">
        <v>0</v>
      </c>
      <c r="Y72" s="206">
        <f t="shared" ref="Y72:Y96" ca="1" si="116">+Q72+V72+W72+X72</f>
        <v>1.5</v>
      </c>
      <c r="Z72" s="380">
        <f t="shared" ref="Z72:Z96" si="117">+L72*F72</f>
        <v>119.07000000000001</v>
      </c>
      <c r="AA72" s="203">
        <v>3.75</v>
      </c>
      <c r="AB72" s="203">
        <f t="shared" ref="AB72:AB96" ca="1" si="118">+AA72-Y72-H72</f>
        <v>8.9999999999999858E-2</v>
      </c>
      <c r="AC72" s="238"/>
      <c r="AG72" t="s">
        <v>404</v>
      </c>
      <c r="AI72" s="367">
        <f t="shared" ca="1" si="114"/>
        <v>46092</v>
      </c>
      <c r="AJ72" s="367" t="b">
        <f t="shared" si="108"/>
        <v>1</v>
      </c>
      <c r="AK72" s="370" t="str">
        <f t="shared" si="109"/>
        <v/>
      </c>
      <c r="AN72">
        <f t="shared" si="110"/>
        <v>0</v>
      </c>
      <c r="AO72">
        <f t="shared" si="111"/>
        <v>1900</v>
      </c>
      <c r="AV72">
        <f t="shared" si="112"/>
        <v>0</v>
      </c>
      <c r="AW72">
        <f t="shared" si="113"/>
        <v>0</v>
      </c>
    </row>
    <row r="73" spans="4:49" ht="15.75" x14ac:dyDescent="0.25">
      <c r="D73" s="199" t="s">
        <v>562</v>
      </c>
      <c r="E73" s="378" t="s">
        <v>102</v>
      </c>
      <c r="F73" s="379">
        <v>1318</v>
      </c>
      <c r="G73" s="201" t="s">
        <v>4</v>
      </c>
      <c r="H73" s="219">
        <v>2.2400000000000002</v>
      </c>
      <c r="I73" s="202">
        <v>45911</v>
      </c>
      <c r="J73" s="200" t="s">
        <v>26</v>
      </c>
      <c r="K73" s="200"/>
      <c r="L73" s="203">
        <v>7.0000000000000007E-2</v>
      </c>
      <c r="M73" s="204">
        <f ca="1">IF(ISERROR(OFFSET(Tabella!$A$1,MATCH(J73,Tabella!$A:$A,0)-1,MATCH(L73,Tabella!$A$1:$AC$1,0)-1)=TRUE),0,+OFFSET(Tabella!$A$1,MATCH(J73,Tabella!$A:$A,0)-1,MATCH(L73,Tabella!$A$1:$AC$1,0)-1))</f>
        <v>1.25</v>
      </c>
      <c r="N73" s="205">
        <f ca="1">IF(ISERROR(OFFSET(Ottone!$A$1,MATCH(J73,Ottone!$A:$A,0)-1,MATCH(L73,Ottone!$A$1:$Z$1,0)-1)=TRUE),0,OFFSET(Ottone!$A$1,MATCH(J73,Ottone!$A:$A,0)-1,MATCH(L73,Ottone!$A$1:$Z$1,0)-1))*IF(G73="Ottone",1,0)</f>
        <v>0</v>
      </c>
      <c r="O73" s="205">
        <f ca="1">IF(ISERROR(OFFSET(Rame!$A$1,MATCH(J73,Rame!$A:$A,0)-1,MATCH(L73,Rame!$A$1:$AA$1,0)-1)=TRUE),0,OFFSET(Rame!$A$1,MATCH(J73,Rame!$A:$A,0)-1,MATCH(L73,Rame!$A$1:$AA$1,0)-1))*IF(G73="Rame",1,0)</f>
        <v>0</v>
      </c>
      <c r="P73" s="205">
        <v>0</v>
      </c>
      <c r="Q73" s="205">
        <v>1.5</v>
      </c>
      <c r="R73" s="205">
        <f ca="1">+IF(ISERROR(OFFSET(Tabella!$G$1,MATCH(J73,Tabella!$G:$G,0)-1,MATCH(K73,Tabella!$G$1:$FG$1,0)-1)=TRUE),0,OFFSET(Tabella!$G$1,MATCH(J73,Tabella!$G:$G,0)-1,MATCH(K73,Tabella!$G$1:$AB$1,0)-1))</f>
        <v>0</v>
      </c>
      <c r="S73" s="205">
        <f ca="1">IF(ISERROR(OFFSET(Ottone!$F$1,MATCH(J73,Ottone!$A:$A,0)-1,MATCH(K73,Ottone!$F$1:$FF$1,0)-1)=TRUE),0,OFFSET(Ottone!$F$1,MATCH(J73,Ottone!$A:$A,0)-1,MATCH(K73,Ottone!$F$1:$FF$1,0)-1))*IF(G73="Ottone",1,0)</f>
        <v>0</v>
      </c>
      <c r="T73" s="205">
        <f ca="1">IF(ISERROR(OFFSET(Rame!$F$1,MATCH(J73,Rame!$F:$F,0)-1,MATCH(K73,Rame!$F$1:$FF$1,0)-1)=TRUE),0,OFFSET(Rame!$F$1,MATCH(J73,Rame!$F:$F,0)-1,MATCH(K73,Rame!$F$1:$FF$1,0)-1))*IF(G73="Rame",1,0)</f>
        <v>0</v>
      </c>
      <c r="U73" s="205">
        <f ca="1">IF(ISERROR(OFFSET(Bronzo!$A$1,MATCH(J73,Bronzo!$A:$A,0)-1,MATCH(K73,Bronzo!$A$1:$AA$1,0)-1)=TRUE),0,OFFSET(Bronzo!$A$1,MATCH(J73,Bronzo!$A:$A,0)-1,MATCH(K73,Bronzo!$A$1:$AA$1,0)-1))</f>
        <v>0</v>
      </c>
      <c r="V73" s="205">
        <f t="shared" ca="1" si="115"/>
        <v>0</v>
      </c>
      <c r="W73" s="204"/>
      <c r="X73" s="205">
        <v>0</v>
      </c>
      <c r="Y73" s="206">
        <f t="shared" ca="1" si="116"/>
        <v>1.5</v>
      </c>
      <c r="Z73" s="380">
        <f t="shared" si="117"/>
        <v>92.26</v>
      </c>
      <c r="AA73" s="203">
        <v>3.75</v>
      </c>
      <c r="AB73" s="203">
        <f t="shared" ca="1" si="118"/>
        <v>9.9999999999997868E-3</v>
      </c>
      <c r="AC73" s="238"/>
      <c r="AG73" t="s">
        <v>404</v>
      </c>
      <c r="AI73" s="367">
        <f t="shared" ca="1" si="114"/>
        <v>46092</v>
      </c>
      <c r="AJ73" s="367" t="b">
        <f t="shared" si="108"/>
        <v>1</v>
      </c>
      <c r="AK73" s="370" t="str">
        <f t="shared" si="109"/>
        <v/>
      </c>
      <c r="AN73">
        <f t="shared" si="110"/>
        <v>0</v>
      </c>
      <c r="AO73">
        <f t="shared" si="111"/>
        <v>1900</v>
      </c>
      <c r="AV73">
        <f t="shared" si="112"/>
        <v>0</v>
      </c>
      <c r="AW73">
        <f t="shared" si="113"/>
        <v>0</v>
      </c>
    </row>
    <row r="74" spans="4:49" ht="15.75" x14ac:dyDescent="0.25">
      <c r="D74" s="199" t="s">
        <v>624</v>
      </c>
      <c r="E74" s="378" t="s">
        <v>102</v>
      </c>
      <c r="F74" s="379">
        <v>1092</v>
      </c>
      <c r="G74" s="201" t="s">
        <v>4</v>
      </c>
      <c r="H74" s="219">
        <v>2.2400000000000002</v>
      </c>
      <c r="I74" s="202">
        <v>45911</v>
      </c>
      <c r="J74" s="200" t="s">
        <v>310</v>
      </c>
      <c r="K74" s="200"/>
      <c r="L74" s="203">
        <v>7.0000000000000007E-2</v>
      </c>
      <c r="M74" s="204">
        <f ca="1">IF(ISERROR(OFFSET(Tabella!$A$1,MATCH(J74,Tabella!$A:$A,0)-1,MATCH(L74,Tabella!$A$1:$AC$1,0)-1)=TRUE),0,+OFFSET(Tabella!$A$1,MATCH(J74,Tabella!$A:$A,0)-1,MATCH(L74,Tabella!$A$1:$AC$1,0)-1))</f>
        <v>1.25</v>
      </c>
      <c r="N74" s="205">
        <f ca="1">IF(ISERROR(OFFSET(Ottone!$A$1,MATCH(J74,Ottone!$A:$A,0)-1,MATCH(L74,Ottone!$A$1:$Z$1,0)-1)=TRUE),0,OFFSET(Ottone!$A$1,MATCH(J74,Ottone!$A:$A,0)-1,MATCH(L74,Ottone!$A$1:$Z$1,0)-1))*IF(G74="Ottone",1,0)</f>
        <v>0</v>
      </c>
      <c r="O74" s="205">
        <f ca="1">IF(ISERROR(OFFSET(Rame!$A$1,MATCH(J74,Rame!$A:$A,0)-1,MATCH(L74,Rame!$A$1:$AA$1,0)-1)=TRUE),0,OFFSET(Rame!$A$1,MATCH(J74,Rame!$A:$A,0)-1,MATCH(L74,Rame!$A$1:$AA$1,0)-1))*IF(G74="Rame",1,0)</f>
        <v>0</v>
      </c>
      <c r="P74" s="205">
        <v>0</v>
      </c>
      <c r="Q74" s="205">
        <v>1.5</v>
      </c>
      <c r="R74" s="205">
        <f ca="1">+IF(ISERROR(OFFSET(Tabella!$G$1,MATCH(J74,Tabella!$G:$G,0)-1,MATCH(K74,Tabella!$G$1:$FG$1,0)-1)=TRUE),0,OFFSET(Tabella!$G$1,MATCH(J74,Tabella!$G:$G,0)-1,MATCH(K74,Tabella!$G$1:$AB$1,0)-1))</f>
        <v>0</v>
      </c>
      <c r="S74" s="205">
        <f ca="1">IF(ISERROR(OFFSET(Ottone!$F$1,MATCH(J74,Ottone!$A:$A,0)-1,MATCH(K74,Ottone!$F$1:$FF$1,0)-1)=TRUE),0,OFFSET(Ottone!$F$1,MATCH(J74,Ottone!$A:$A,0)-1,MATCH(K74,Ottone!$F$1:$FF$1,0)-1))*IF(G74="Ottone",1,0)</f>
        <v>0</v>
      </c>
      <c r="T74" s="205">
        <f ca="1">IF(ISERROR(OFFSET(Rame!$F$1,MATCH(J74,Rame!$F:$F,0)-1,MATCH(K74,Rame!$F$1:$FF$1,0)-1)=TRUE),0,OFFSET(Rame!$F$1,MATCH(J74,Rame!$F:$F,0)-1,MATCH(K74,Rame!$F$1:$FF$1,0)-1))*IF(G74="Rame",1,0)</f>
        <v>0</v>
      </c>
      <c r="U74" s="205">
        <f ca="1">IF(ISERROR(OFFSET(Bronzo!$A$1,MATCH(J74,Bronzo!$A:$A,0)-1,MATCH(K74,Bronzo!$A$1:$AA$1,0)-1)=TRUE),0,OFFSET(Bronzo!$A$1,MATCH(J74,Bronzo!$A:$A,0)-1,MATCH(K74,Bronzo!$A$1:$AA$1,0)-1))</f>
        <v>0</v>
      </c>
      <c r="V74" s="205">
        <f t="shared" ca="1" si="115"/>
        <v>0</v>
      </c>
      <c r="W74" s="204"/>
      <c r="X74" s="205">
        <v>0</v>
      </c>
      <c r="Y74" s="206">
        <f t="shared" ca="1" si="116"/>
        <v>1.5</v>
      </c>
      <c r="Z74" s="380">
        <f t="shared" si="117"/>
        <v>76.440000000000012</v>
      </c>
      <c r="AA74" s="203">
        <v>3.75</v>
      </c>
      <c r="AB74" s="203">
        <f t="shared" ca="1" si="118"/>
        <v>9.9999999999997868E-3</v>
      </c>
      <c r="AC74" s="238"/>
      <c r="AG74" t="s">
        <v>404</v>
      </c>
      <c r="AI74" s="367">
        <f t="shared" ca="1" si="114"/>
        <v>46092</v>
      </c>
      <c r="AJ74" s="367" t="b">
        <f t="shared" si="108"/>
        <v>1</v>
      </c>
      <c r="AK74" s="370" t="str">
        <f t="shared" si="109"/>
        <v/>
      </c>
      <c r="AN74">
        <f t="shared" si="110"/>
        <v>0</v>
      </c>
      <c r="AO74">
        <f t="shared" si="111"/>
        <v>1900</v>
      </c>
      <c r="AV74">
        <f t="shared" si="112"/>
        <v>0</v>
      </c>
      <c r="AW74">
        <f t="shared" si="113"/>
        <v>0</v>
      </c>
    </row>
    <row r="75" spans="4:49" ht="15.75" x14ac:dyDescent="0.25">
      <c r="D75" s="199" t="s">
        <v>652</v>
      </c>
      <c r="E75" s="378" t="s">
        <v>92</v>
      </c>
      <c r="F75" s="379">
        <v>578</v>
      </c>
      <c r="G75" s="201" t="s">
        <v>4</v>
      </c>
      <c r="H75" s="219">
        <v>2.27</v>
      </c>
      <c r="I75" s="202">
        <v>45929</v>
      </c>
      <c r="J75" s="200" t="s">
        <v>19</v>
      </c>
      <c r="K75" s="200"/>
      <c r="L75" s="203">
        <v>7.0000000000000007E-2</v>
      </c>
      <c r="M75" s="204">
        <f ca="1">IF(ISERROR(OFFSET(Tabella!$A$1,MATCH(J75,Tabella!$A:$A,0)-1,MATCH(L75,Tabella!$A$1:$AC$1,0)-1)=TRUE),0,+OFFSET(Tabella!$A$1,MATCH(J75,Tabella!$A:$A,0)-1,MATCH(L75,Tabella!$A$1:$AC$1,0)-1))</f>
        <v>1.35</v>
      </c>
      <c r="N75" s="205">
        <f ca="1">IF(ISERROR(OFFSET(Ottone!$A$1,MATCH(J75,Ottone!$A:$A,0)-1,MATCH(L75,Ottone!$A$1:$Z$1,0)-1)=TRUE),0,OFFSET(Ottone!$A$1,MATCH(J75,Ottone!$A:$A,0)-1,MATCH(L75,Ottone!$A$1:$Z$1,0)-1))*IF(G75="Ottone",1,0)</f>
        <v>0</v>
      </c>
      <c r="O75" s="205">
        <f ca="1">IF(ISERROR(OFFSET(Rame!$A$1,MATCH(J75,Rame!$A:$A,0)-1,MATCH(L75,Rame!$A$1:$AA$1,0)-1)=TRUE),0,OFFSET(Rame!$A$1,MATCH(J75,Rame!$A:$A,0)-1,MATCH(L75,Rame!$A$1:$AA$1,0)-1))*IF(G75="Rame",1,0)</f>
        <v>0</v>
      </c>
      <c r="P75" s="205">
        <v>0</v>
      </c>
      <c r="Q75" s="205">
        <f t="shared" ref="Q75:Q96" ca="1" si="119">SUM(M75:P75)</f>
        <v>1.35</v>
      </c>
      <c r="R75" s="205">
        <f ca="1">+IF(ISERROR(OFFSET(Tabella!$G$1,MATCH(J75,Tabella!$G:$G,0)-1,MATCH(K75,Tabella!$G$1:$FG$1,0)-1)=TRUE),0,OFFSET(Tabella!$G$1,MATCH(J75,Tabella!$G:$G,0)-1,MATCH(K75,Tabella!$G$1:$AB$1,0)-1))</f>
        <v>0</v>
      </c>
      <c r="S75" s="205">
        <f ca="1">IF(ISERROR(OFFSET(Ottone!$F$1,MATCH(J75,Ottone!$A:$A,0)-1,MATCH(K75,Ottone!$F$1:$FF$1,0)-1)=TRUE),0,OFFSET(Ottone!$F$1,MATCH(J75,Ottone!$A:$A,0)-1,MATCH(K75,Ottone!$F$1:$FF$1,0)-1))*IF(G75="Ottone",1,0)</f>
        <v>0</v>
      </c>
      <c r="T75" s="205">
        <f ca="1">IF(ISERROR(OFFSET(Rame!$F$1,MATCH(J75,Rame!$F:$F,0)-1,MATCH(K75,Rame!$F$1:$FF$1,0)-1)=TRUE),0,OFFSET(Rame!$F$1,MATCH(J75,Rame!$F:$F,0)-1,MATCH(K75,Rame!$F$1:$FF$1,0)-1))*IF(G75="Rame",1,0)</f>
        <v>0</v>
      </c>
      <c r="U75" s="205">
        <f ca="1">IF(ISERROR(OFFSET(Bronzo!$A$1,MATCH(J75,Bronzo!$A:$A,0)-1,MATCH(K75,Bronzo!$A$1:$AA$1,0)-1)=TRUE),0,OFFSET(Bronzo!$A$1,MATCH(J75,Bronzo!$A:$A,0)-1,MATCH(K75,Bronzo!$A$1:$AA$1,0)-1))</f>
        <v>0</v>
      </c>
      <c r="V75" s="205">
        <f t="shared" ca="1" si="115"/>
        <v>0</v>
      </c>
      <c r="W75" s="204"/>
      <c r="X75" s="205">
        <v>0</v>
      </c>
      <c r="Y75" s="206">
        <f t="shared" ca="1" si="116"/>
        <v>1.35</v>
      </c>
      <c r="Z75" s="380">
        <f t="shared" si="117"/>
        <v>40.46</v>
      </c>
      <c r="AA75" s="203">
        <v>3.82</v>
      </c>
      <c r="AB75" s="203">
        <f t="shared" ca="1" si="118"/>
        <v>0.19999999999999973</v>
      </c>
      <c r="AC75" s="238"/>
      <c r="AG75" t="s">
        <v>404</v>
      </c>
      <c r="AI75" s="367">
        <f t="shared" ca="1" si="114"/>
        <v>46092</v>
      </c>
      <c r="AJ75" s="367" t="b">
        <f t="shared" si="108"/>
        <v>1</v>
      </c>
      <c r="AK75" s="370" t="str">
        <f t="shared" si="109"/>
        <v/>
      </c>
      <c r="AN75">
        <f t="shared" si="110"/>
        <v>0</v>
      </c>
      <c r="AO75">
        <f t="shared" si="111"/>
        <v>1900</v>
      </c>
      <c r="AV75">
        <f t="shared" si="112"/>
        <v>0</v>
      </c>
      <c r="AW75">
        <f t="shared" si="113"/>
        <v>0</v>
      </c>
    </row>
    <row r="76" spans="4:49" ht="15.75" x14ac:dyDescent="0.25">
      <c r="D76" s="199" t="s">
        <v>525</v>
      </c>
      <c r="E76" s="378" t="s">
        <v>92</v>
      </c>
      <c r="F76" s="379">
        <v>743</v>
      </c>
      <c r="G76" s="201" t="s">
        <v>4</v>
      </c>
      <c r="H76" s="219">
        <v>2.27</v>
      </c>
      <c r="I76" s="202">
        <v>45929</v>
      </c>
      <c r="J76" s="200" t="s">
        <v>21</v>
      </c>
      <c r="K76" s="200"/>
      <c r="L76" s="203">
        <v>7.0000000000000007E-2</v>
      </c>
      <c r="M76" s="204">
        <f ca="1">IF(ISERROR(OFFSET(Tabella!$A$1,MATCH(J76,Tabella!$A:$A,0)-1,MATCH(L76,Tabella!$A$1:$AC$1,0)-1)=TRUE),0,+OFFSET(Tabella!$A$1,MATCH(J76,Tabella!$A:$A,0)-1,MATCH(L76,Tabella!$A$1:$AC$1,0)-1))</f>
        <v>1.25</v>
      </c>
      <c r="N76" s="205">
        <f ca="1">IF(ISERROR(OFFSET(Ottone!$A$1,MATCH(J76,Ottone!$A:$A,0)-1,MATCH(L76,Ottone!$A$1:$Z$1,0)-1)=TRUE),0,OFFSET(Ottone!$A$1,MATCH(J76,Ottone!$A:$A,0)-1,MATCH(L76,Ottone!$A$1:$Z$1,0)-1))*IF(G76="Ottone",1,0)</f>
        <v>0</v>
      </c>
      <c r="O76" s="205">
        <f ca="1">IF(ISERROR(OFFSET(Rame!$A$1,MATCH(J76,Rame!$A:$A,0)-1,MATCH(L76,Rame!$A$1:$AA$1,0)-1)=TRUE),0,OFFSET(Rame!$A$1,MATCH(J76,Rame!$A:$A,0)-1,MATCH(L76,Rame!$A$1:$AA$1,0)-1))*IF(G76="Rame",1,0)</f>
        <v>0</v>
      </c>
      <c r="P76" s="205">
        <v>0</v>
      </c>
      <c r="Q76" s="205">
        <f t="shared" ca="1" si="119"/>
        <v>1.25</v>
      </c>
      <c r="R76" s="205">
        <f ca="1">+IF(ISERROR(OFFSET(Tabella!$G$1,MATCH(J76,Tabella!$G:$G,0)-1,MATCH(K76,Tabella!$G$1:$FG$1,0)-1)=TRUE),0,OFFSET(Tabella!$G$1,MATCH(J76,Tabella!$G:$G,0)-1,MATCH(K76,Tabella!$G$1:$AB$1,0)-1))</f>
        <v>0</v>
      </c>
      <c r="S76" s="205">
        <f ca="1">IF(ISERROR(OFFSET(Ottone!$F$1,MATCH(J76,Ottone!$A:$A,0)-1,MATCH(K76,Ottone!$F$1:$FF$1,0)-1)=TRUE),0,OFFSET(Ottone!$F$1,MATCH(J76,Ottone!$A:$A,0)-1,MATCH(K76,Ottone!$F$1:$FF$1,0)-1))*IF(G76="Ottone",1,0)</f>
        <v>0</v>
      </c>
      <c r="T76" s="205">
        <f ca="1">IF(ISERROR(OFFSET(Rame!$F$1,MATCH(J76,Rame!$F:$F,0)-1,MATCH(K76,Rame!$F$1:$FF$1,0)-1)=TRUE),0,OFFSET(Rame!$F$1,MATCH(J76,Rame!$F:$F,0)-1,MATCH(K76,Rame!$F$1:$FF$1,0)-1))*IF(G76="Rame",1,0)</f>
        <v>0</v>
      </c>
      <c r="U76" s="205">
        <f ca="1">IF(ISERROR(OFFSET(Bronzo!$A$1,MATCH(J76,Bronzo!$A:$A,0)-1,MATCH(K76,Bronzo!$A$1:$AA$1,0)-1)=TRUE),0,OFFSET(Bronzo!$A$1,MATCH(J76,Bronzo!$A:$A,0)-1,MATCH(K76,Bronzo!$A$1:$AA$1,0)-1))</f>
        <v>0</v>
      </c>
      <c r="V76" s="205">
        <f t="shared" ca="1" si="115"/>
        <v>0</v>
      </c>
      <c r="W76" s="204"/>
      <c r="X76" s="205">
        <v>0</v>
      </c>
      <c r="Y76" s="206">
        <f ca="1">+Q76+V76+W76+X76</f>
        <v>1.25</v>
      </c>
      <c r="Z76" s="380">
        <f t="shared" si="117"/>
        <v>52.010000000000005</v>
      </c>
      <c r="AA76" s="203">
        <v>3.77</v>
      </c>
      <c r="AB76" s="203">
        <f t="shared" ca="1" si="118"/>
        <v>0.25</v>
      </c>
      <c r="AC76" s="238"/>
      <c r="AG76" t="s">
        <v>404</v>
      </c>
      <c r="AI76" s="367">
        <f t="shared" ca="1" si="114"/>
        <v>46092</v>
      </c>
      <c r="AJ76" s="367" t="b">
        <f t="shared" si="108"/>
        <v>1</v>
      </c>
      <c r="AK76" s="370" t="str">
        <f t="shared" si="109"/>
        <v/>
      </c>
      <c r="AN76">
        <f t="shared" si="110"/>
        <v>0</v>
      </c>
      <c r="AO76">
        <f t="shared" si="111"/>
        <v>1900</v>
      </c>
      <c r="AV76">
        <f t="shared" si="112"/>
        <v>0</v>
      </c>
      <c r="AW76">
        <f t="shared" si="113"/>
        <v>0</v>
      </c>
    </row>
    <row r="77" spans="4:49" ht="15.75" x14ac:dyDescent="0.25">
      <c r="D77" s="199" t="s">
        <v>652</v>
      </c>
      <c r="E77" s="378" t="s">
        <v>92</v>
      </c>
      <c r="F77" s="379">
        <v>971</v>
      </c>
      <c r="G77" s="201" t="s">
        <v>4</v>
      </c>
      <c r="H77" s="219">
        <v>2.27</v>
      </c>
      <c r="I77" s="202">
        <v>45929</v>
      </c>
      <c r="J77" s="200" t="s">
        <v>21</v>
      </c>
      <c r="K77" s="200"/>
      <c r="L77" s="203">
        <v>7.0000000000000007E-2</v>
      </c>
      <c r="M77" s="204"/>
      <c r="N77" s="205"/>
      <c r="O77" s="205"/>
      <c r="P77" s="205"/>
      <c r="Q77" s="205">
        <v>1.25</v>
      </c>
      <c r="R77" s="205"/>
      <c r="S77" s="205"/>
      <c r="T77" s="205"/>
      <c r="U77" s="205"/>
      <c r="V77" s="205"/>
      <c r="W77" s="204"/>
      <c r="X77" s="205"/>
      <c r="Y77" s="206">
        <v>1.25</v>
      </c>
      <c r="Z77" s="380">
        <f t="shared" si="117"/>
        <v>67.970000000000013</v>
      </c>
      <c r="AA77" s="203">
        <v>3.77</v>
      </c>
      <c r="AB77" s="203"/>
      <c r="AC77" s="238"/>
      <c r="AG77" t="s">
        <v>404</v>
      </c>
      <c r="AK77" s="370"/>
    </row>
    <row r="78" spans="4:49" ht="15.75" x14ac:dyDescent="0.25">
      <c r="D78" s="199" t="s">
        <v>466</v>
      </c>
      <c r="E78" s="200" t="s">
        <v>259</v>
      </c>
      <c r="F78" s="287">
        <v>350</v>
      </c>
      <c r="G78" s="201" t="s">
        <v>4</v>
      </c>
      <c r="H78" s="219">
        <v>2.2000000000000002</v>
      </c>
      <c r="I78" s="202">
        <v>45890</v>
      </c>
      <c r="J78" s="200" t="s">
        <v>23</v>
      </c>
      <c r="K78" s="200"/>
      <c r="L78" s="203">
        <v>0.05</v>
      </c>
      <c r="M78" s="204">
        <f ca="1">IF(ISERROR(OFFSET(Tabella!$A$1,MATCH(J78,Tabella!$A:$A,0)-1,MATCH(L78,Tabella!$A$1:$AC$1,0)-1)=TRUE),0,+OFFSET(Tabella!$A$1,MATCH(J78,Tabella!$A:$A,0)-1,MATCH(L78,Tabella!$A$1:$AC$1,0)-1))</f>
        <v>0</v>
      </c>
      <c r="N78" s="205">
        <f ca="1">IF(ISERROR(OFFSET(Ottone!$A$1,MATCH(J78,Ottone!$A:$A,0)-1,MATCH(L78,Ottone!$A$1:$Z$1,0)-1)=TRUE),0,OFFSET(Ottone!$A$1,MATCH(J78,Ottone!$A:$A,0)-1,MATCH(L78,Ottone!$A$1:$Z$1,0)-1))*IF(G78="Ottone",1,0)</f>
        <v>0</v>
      </c>
      <c r="O78" s="205">
        <f ca="1">IF(ISERROR(OFFSET(Rame!$A$1,MATCH(J78,Rame!$A:$A,0)-1,MATCH(L78,Rame!$A$1:$AA$1,0)-1)=TRUE),0,OFFSET(Rame!$A$1,MATCH(J78,Rame!$A:$A,0)-1,MATCH(L78,Rame!$A$1:$AA$1,0)-1))*IF(G78="Rame",1,0)</f>
        <v>0</v>
      </c>
      <c r="P78" s="205">
        <v>0</v>
      </c>
      <c r="Q78" s="205">
        <v>1.5</v>
      </c>
      <c r="R78" s="205">
        <f ca="1">+IF(ISERROR(OFFSET(Tabella!$G$1,MATCH(J78,Tabella!$G:$G,0)-1,MATCH(K78,Tabella!$G$1:$FG$1,0)-1)=TRUE),0,OFFSET(Tabella!$G$1,MATCH(J78,Tabella!$G:$G,0)-1,MATCH(K78,Tabella!$G$1:$AB$1,0)-1))</f>
        <v>0</v>
      </c>
      <c r="S78" s="205">
        <f ca="1">IF(ISERROR(OFFSET(Ottone!$F$1,MATCH(J78,Ottone!$A:$A,0)-1,MATCH(K78,Ottone!$F$1:$FF$1,0)-1)=TRUE),0,OFFSET(Ottone!$F$1,MATCH(J78,Ottone!$A:$A,0)-1,MATCH(K78,Ottone!$F$1:$FF$1,0)-1))*IF(G78="Ottone",1,0)</f>
        <v>0</v>
      </c>
      <c r="T78" s="205">
        <f ca="1">IF(ISERROR(OFFSET(Rame!$F$1,MATCH(J78,Rame!$F:$F,0)-1,MATCH(K78,Rame!$F$1:$FF$1,0)-1)=TRUE),0,OFFSET(Rame!$F$1,MATCH(J78,Rame!$F:$F,0)-1,MATCH(K78,Rame!$F$1:$FF$1,0)-1))*IF(G78="Rame",1,0)</f>
        <v>0</v>
      </c>
      <c r="U78" s="205">
        <f ca="1">IF(ISERROR(OFFSET(Bronzo!$A$1,MATCH(J78,Bronzo!$A:$A,0)-1,MATCH(K78,Bronzo!$A$1:$AA$1,0)-1)=TRUE),0,OFFSET(Bronzo!$A$1,MATCH(J78,Bronzo!$A:$A,0)-1,MATCH(K78,Bronzo!$A$1:$AA$1,0)-1))</f>
        <v>0</v>
      </c>
      <c r="V78" s="205">
        <f t="shared" ca="1" si="115"/>
        <v>0</v>
      </c>
      <c r="W78" s="204"/>
      <c r="X78" s="205">
        <v>0</v>
      </c>
      <c r="Y78" s="206">
        <f t="shared" ca="1" si="116"/>
        <v>1.5</v>
      </c>
      <c r="Z78" s="277">
        <f t="shared" si="117"/>
        <v>17.5</v>
      </c>
      <c r="AA78" s="203">
        <v>3.53</v>
      </c>
      <c r="AB78" s="203">
        <f t="shared" ca="1" si="118"/>
        <v>-0.17000000000000037</v>
      </c>
      <c r="AC78" s="238">
        <v>45961</v>
      </c>
      <c r="AI78" s="367">
        <f t="shared" ca="1" si="114"/>
        <v>46092</v>
      </c>
      <c r="AJ78" s="367" t="b">
        <f t="shared" ref="AJ78:AJ102" si="120">ISBLANK(AC78)</f>
        <v>0</v>
      </c>
      <c r="AK78" s="370">
        <f t="shared" ref="AK78:AK102" ca="1" si="121">IF(AJ78=FALSE,_xlfn.DAYS(AC78,AI78),"")</f>
        <v>-131</v>
      </c>
      <c r="AN78">
        <f t="shared" ref="AN78:AN102" si="122">WEEKNUM(AC78)</f>
        <v>44</v>
      </c>
      <c r="AO78">
        <f t="shared" ref="AO78:AO102" si="123">YEAR(AC78)</f>
        <v>2025</v>
      </c>
      <c r="AV78">
        <f t="shared" ref="AV78:AV102" si="124">IF(AC78="",0,MONTH(AC78))</f>
        <v>10</v>
      </c>
      <c r="AW78">
        <f t="shared" ref="AW78:AW102" si="125">IF(AC78="",0,YEAR(AC78))</f>
        <v>2025</v>
      </c>
    </row>
    <row r="79" spans="4:49" ht="15.75" x14ac:dyDescent="0.25">
      <c r="D79" s="199" t="s">
        <v>466</v>
      </c>
      <c r="E79" s="200" t="s">
        <v>259</v>
      </c>
      <c r="F79" s="287">
        <v>300</v>
      </c>
      <c r="G79" s="201" t="s">
        <v>4</v>
      </c>
      <c r="H79" s="219">
        <v>2.2000000000000002</v>
      </c>
      <c r="I79" s="202">
        <v>45890</v>
      </c>
      <c r="J79" s="200" t="s">
        <v>307</v>
      </c>
      <c r="K79" s="200"/>
      <c r="L79" s="203">
        <v>0.05</v>
      </c>
      <c r="M79" s="204">
        <f ca="1">IF(ISERROR(OFFSET(Tabella!$A$1,MATCH(J79,Tabella!$A:$A,0)-1,MATCH(L79,Tabella!$A$1:$AC$1,0)-1)=TRUE),0,+OFFSET(Tabella!$A$1,MATCH(J79,Tabella!$A:$A,0)-1,MATCH(L79,Tabella!$A$1:$AC$1,0)-1))</f>
        <v>0</v>
      </c>
      <c r="N79" s="205">
        <f ca="1">IF(ISERROR(OFFSET(Ottone!$A$1,MATCH(J79,Ottone!$A:$A,0)-1,MATCH(L79,Ottone!$A$1:$Z$1,0)-1)=TRUE),0,OFFSET(Ottone!$A$1,MATCH(J79,Ottone!$A:$A,0)-1,MATCH(L79,Ottone!$A$1:$Z$1,0)-1))*IF(G79="Ottone",1,0)</f>
        <v>0</v>
      </c>
      <c r="O79" s="205">
        <f ca="1">IF(ISERROR(OFFSET(Rame!$A$1,MATCH(J79,Rame!$A:$A,0)-1,MATCH(L79,Rame!$A$1:$AA$1,0)-1)=TRUE),0,OFFSET(Rame!$A$1,MATCH(J79,Rame!$A:$A,0)-1,MATCH(L79,Rame!$A$1:$AA$1,0)-1))*IF(G79="Rame",1,0)</f>
        <v>0</v>
      </c>
      <c r="P79" s="205">
        <v>0</v>
      </c>
      <c r="Q79" s="205">
        <v>1.5</v>
      </c>
      <c r="R79" s="205">
        <f ca="1">+IF(ISERROR(OFFSET(Tabella!$G$1,MATCH(J79,Tabella!$G:$G,0)-1,MATCH(K79,Tabella!$G$1:$FG$1,0)-1)=TRUE),0,OFFSET(Tabella!$G$1,MATCH(J79,Tabella!$G:$G,0)-1,MATCH(K79,Tabella!$G$1:$AB$1,0)-1))</f>
        <v>0</v>
      </c>
      <c r="S79" s="205">
        <f ca="1">IF(ISERROR(OFFSET(Ottone!$F$1,MATCH(J79,Ottone!$A:$A,0)-1,MATCH(K79,Ottone!$F$1:$FF$1,0)-1)=TRUE),0,OFFSET(Ottone!$F$1,MATCH(J79,Ottone!$A:$A,0)-1,MATCH(K79,Ottone!$F$1:$FF$1,0)-1))*IF(G79="Ottone",1,0)</f>
        <v>0</v>
      </c>
      <c r="T79" s="205">
        <f ca="1">IF(ISERROR(OFFSET(Rame!$F$1,MATCH(J79,Rame!$F:$F,0)-1,MATCH(K79,Rame!$F$1:$FF$1,0)-1)=TRUE),0,OFFSET(Rame!$F$1,MATCH(J79,Rame!$F:$F,0)-1,MATCH(K79,Rame!$F$1:$FF$1,0)-1))*IF(G79="Rame",1,0)</f>
        <v>0</v>
      </c>
      <c r="U79" s="205">
        <f ca="1">IF(ISERROR(OFFSET(Bronzo!$A$1,MATCH(J79,Bronzo!$A:$A,0)-1,MATCH(K79,Bronzo!$A$1:$AA$1,0)-1)=TRUE),0,OFFSET(Bronzo!$A$1,MATCH(J79,Bronzo!$A:$A,0)-1,MATCH(K79,Bronzo!$A$1:$AA$1,0)-1))</f>
        <v>0</v>
      </c>
      <c r="V79" s="205">
        <f t="shared" ca="1" si="115"/>
        <v>0</v>
      </c>
      <c r="W79" s="204"/>
      <c r="X79" s="205">
        <v>0</v>
      </c>
      <c r="Y79" s="206">
        <f t="shared" ca="1" si="116"/>
        <v>1.5</v>
      </c>
      <c r="Z79" s="277">
        <f t="shared" si="117"/>
        <v>15</v>
      </c>
      <c r="AA79" s="203">
        <v>3.53</v>
      </c>
      <c r="AB79" s="203">
        <f t="shared" ca="1" si="118"/>
        <v>-0.17000000000000037</v>
      </c>
      <c r="AC79" s="238">
        <v>45968</v>
      </c>
      <c r="AI79" s="367">
        <f t="shared" ca="1" si="114"/>
        <v>46092</v>
      </c>
      <c r="AJ79" s="367" t="b">
        <f t="shared" si="120"/>
        <v>0</v>
      </c>
      <c r="AK79" s="370">
        <f t="shared" ca="1" si="121"/>
        <v>-124</v>
      </c>
      <c r="AN79">
        <f t="shared" si="122"/>
        <v>45</v>
      </c>
      <c r="AO79">
        <f t="shared" si="123"/>
        <v>2025</v>
      </c>
      <c r="AV79">
        <f t="shared" si="124"/>
        <v>11</v>
      </c>
      <c r="AW79">
        <f t="shared" si="125"/>
        <v>2025</v>
      </c>
    </row>
    <row r="80" spans="4:49" ht="15.75" x14ac:dyDescent="0.25">
      <c r="D80" s="199" t="s">
        <v>478</v>
      </c>
      <c r="E80" s="378" t="s">
        <v>212</v>
      </c>
      <c r="F80" s="379">
        <v>2181</v>
      </c>
      <c r="G80" s="201" t="s">
        <v>4</v>
      </c>
      <c r="H80" s="219">
        <v>2.2599999999999998</v>
      </c>
      <c r="I80" s="202">
        <v>45931</v>
      </c>
      <c r="J80" s="200" t="s">
        <v>309</v>
      </c>
      <c r="K80" s="200"/>
      <c r="L80" s="203">
        <v>0.05</v>
      </c>
      <c r="M80" s="204">
        <f ca="1">IF(ISERROR(OFFSET(Tabella!$A$1,MATCH(J80,Tabella!$A:$A,0)-1,MATCH(L80,Tabella!$A$1:$AC$1,0)-1)=TRUE),0,+OFFSET(Tabella!$A$1,MATCH(J80,Tabella!$A:$A,0)-1,MATCH(L80,Tabella!$A$1:$AC$1,0)-1))</f>
        <v>0</v>
      </c>
      <c r="N80" s="205">
        <f ca="1">IF(ISERROR(OFFSET(Ottone!$A$1,MATCH(J80,Ottone!$A:$A,0)-1,MATCH(L80,Ottone!$A$1:$Z$1,0)-1)=TRUE),0,OFFSET(Ottone!$A$1,MATCH(J80,Ottone!$A:$A,0)-1,MATCH(L80,Ottone!$A$1:$Z$1,0)-1))*IF(G80="Ottone",1,0)</f>
        <v>0</v>
      </c>
      <c r="O80" s="205">
        <f ca="1">IF(ISERROR(OFFSET(Rame!$A$1,MATCH(J80,Rame!$A:$A,0)-1,MATCH(L80,Rame!$A$1:$AA$1,0)-1)=TRUE),0,OFFSET(Rame!$A$1,MATCH(J80,Rame!$A:$A,0)-1,MATCH(L80,Rame!$A$1:$AA$1,0)-1))*IF(G80="Rame",1,0)</f>
        <v>0</v>
      </c>
      <c r="P80" s="205">
        <v>0</v>
      </c>
      <c r="Q80" s="205">
        <v>1.5</v>
      </c>
      <c r="R80" s="205">
        <f ca="1">+IF(ISERROR(OFFSET(Tabella!$G$1,MATCH(J80,Tabella!$G:$G,0)-1,MATCH(K80,Tabella!$G$1:$FG$1,0)-1)=TRUE),0,OFFSET(Tabella!$G$1,MATCH(J80,Tabella!$G:$G,0)-1,MATCH(K80,Tabella!$G$1:$AB$1,0)-1))</f>
        <v>0</v>
      </c>
      <c r="S80" s="205">
        <f ca="1">IF(ISERROR(OFFSET(Ottone!$F$1,MATCH(J80,Ottone!$A:$A,0)-1,MATCH(K80,Ottone!$F$1:$FF$1,0)-1)=TRUE),0,OFFSET(Ottone!$F$1,MATCH(J80,Ottone!$A:$A,0)-1,MATCH(K80,Ottone!$F$1:$FF$1,0)-1))*IF(G80="Ottone",1,0)</f>
        <v>0</v>
      </c>
      <c r="T80" s="205">
        <f ca="1">IF(ISERROR(OFFSET(Rame!$F$1,MATCH(J80,Rame!$F:$F,0)-1,MATCH(K80,Rame!$F$1:$FF$1,0)-1)=TRUE),0,OFFSET(Rame!$F$1,MATCH(J80,Rame!$F:$F,0)-1,MATCH(K80,Rame!$F$1:$FF$1,0)-1))*IF(G80="Rame",1,0)</f>
        <v>0</v>
      </c>
      <c r="U80" s="205">
        <f ca="1">IF(ISERROR(OFFSET(Bronzo!$A$1,MATCH(J80,Bronzo!$A:$A,0)-1,MATCH(K80,Bronzo!$A$1:$AA$1,0)-1)=TRUE),0,OFFSET(Bronzo!$A$1,MATCH(J80,Bronzo!$A:$A,0)-1,MATCH(K80,Bronzo!$A$1:$AA$1,0)-1))</f>
        <v>0</v>
      </c>
      <c r="V80" s="205">
        <f t="shared" ca="1" si="115"/>
        <v>0</v>
      </c>
      <c r="W80" s="204"/>
      <c r="X80" s="205">
        <v>0</v>
      </c>
      <c r="Y80" s="206">
        <f t="shared" ca="1" si="116"/>
        <v>1.5</v>
      </c>
      <c r="Z80" s="380">
        <f t="shared" si="117"/>
        <v>109.05000000000001</v>
      </c>
      <c r="AA80" s="203">
        <v>3.73</v>
      </c>
      <c r="AB80" s="203">
        <f t="shared" ca="1" si="118"/>
        <v>-2.9999999999999805E-2</v>
      </c>
      <c r="AC80" s="238"/>
      <c r="AG80" t="s">
        <v>404</v>
      </c>
      <c r="AH80" t="s">
        <v>469</v>
      </c>
      <c r="AI80" s="367">
        <f t="shared" ca="1" si="114"/>
        <v>46092</v>
      </c>
      <c r="AJ80" s="367" t="b">
        <f t="shared" si="120"/>
        <v>1</v>
      </c>
      <c r="AK80" s="370" t="str">
        <f t="shared" si="121"/>
        <v/>
      </c>
      <c r="AN80">
        <f t="shared" si="122"/>
        <v>0</v>
      </c>
      <c r="AO80">
        <f t="shared" si="123"/>
        <v>1900</v>
      </c>
      <c r="AV80">
        <f t="shared" si="124"/>
        <v>0</v>
      </c>
      <c r="AW80">
        <f t="shared" si="125"/>
        <v>0</v>
      </c>
    </row>
    <row r="81" spans="4:49" ht="15.75" x14ac:dyDescent="0.25">
      <c r="D81" s="199" t="s">
        <v>495</v>
      </c>
      <c r="E81" s="378" t="s">
        <v>212</v>
      </c>
      <c r="F81" s="379">
        <v>2013</v>
      </c>
      <c r="G81" s="201" t="s">
        <v>4</v>
      </c>
      <c r="H81" s="219">
        <v>2.2599999999999998</v>
      </c>
      <c r="I81" s="202">
        <v>45931</v>
      </c>
      <c r="J81" s="200" t="s">
        <v>308</v>
      </c>
      <c r="K81" s="200"/>
      <c r="L81" s="203">
        <v>0.05</v>
      </c>
      <c r="M81" s="204">
        <f ca="1">IF(ISERROR(OFFSET(Tabella!$A$1,MATCH(J81,Tabella!$A:$A,0)-1,MATCH(L81,Tabella!$A$1:$AC$1,0)-1)=TRUE),0,+OFFSET(Tabella!$A$1,MATCH(J81,Tabella!$A:$A,0)-1,MATCH(L81,Tabella!$A$1:$AC$1,0)-1))</f>
        <v>0</v>
      </c>
      <c r="N81" s="205">
        <f ca="1">IF(ISERROR(OFFSET(Ottone!$A$1,MATCH(J81,Ottone!$A:$A,0)-1,MATCH(L81,Ottone!$A$1:$Z$1,0)-1)=TRUE),0,OFFSET(Ottone!$A$1,MATCH(J81,Ottone!$A:$A,0)-1,MATCH(L81,Ottone!$A$1:$Z$1,0)-1))*IF(G81="Ottone",1,0)</f>
        <v>0</v>
      </c>
      <c r="O81" s="205">
        <f ca="1">IF(ISERROR(OFFSET(Rame!$A$1,MATCH(J81,Rame!$A:$A,0)-1,MATCH(L81,Rame!$A$1:$AA$1,0)-1)=TRUE),0,OFFSET(Rame!$A$1,MATCH(J81,Rame!$A:$A,0)-1,MATCH(L81,Rame!$A$1:$AA$1,0)-1))*IF(G81="Rame",1,0)</f>
        <v>0</v>
      </c>
      <c r="P81" s="205">
        <v>0</v>
      </c>
      <c r="Q81" s="205">
        <v>1.5</v>
      </c>
      <c r="R81" s="205">
        <f ca="1">+IF(ISERROR(OFFSET(Tabella!$G$1,MATCH(J81,Tabella!$G:$G,0)-1,MATCH(K81,Tabella!$G$1:$FG$1,0)-1)=TRUE),0,OFFSET(Tabella!$G$1,MATCH(J81,Tabella!$G:$G,0)-1,MATCH(K81,Tabella!$G$1:$AB$1,0)-1))</f>
        <v>0</v>
      </c>
      <c r="S81" s="205">
        <f ca="1">IF(ISERROR(OFFSET(Ottone!$F$1,MATCH(J81,Ottone!$A:$A,0)-1,MATCH(K81,Ottone!$F$1:$FF$1,0)-1)=TRUE),0,OFFSET(Ottone!$F$1,MATCH(J81,Ottone!$A:$A,0)-1,MATCH(K81,Ottone!$F$1:$FF$1,0)-1))*IF(G81="Ottone",1,0)</f>
        <v>0</v>
      </c>
      <c r="T81" s="205">
        <f ca="1">IF(ISERROR(OFFSET(Rame!$F$1,MATCH(J81,Rame!$F:$F,0)-1,MATCH(K81,Rame!$F$1:$FF$1,0)-1)=TRUE),0,OFFSET(Rame!$F$1,MATCH(J81,Rame!$F:$F,0)-1,MATCH(K81,Rame!$F$1:$FF$1,0)-1))*IF(G81="Rame",1,0)</f>
        <v>0</v>
      </c>
      <c r="U81" s="205">
        <f ca="1">IF(ISERROR(OFFSET(Bronzo!$A$1,MATCH(J81,Bronzo!$A:$A,0)-1,MATCH(K81,Bronzo!$A$1:$AA$1,0)-1)=TRUE),0,OFFSET(Bronzo!$A$1,MATCH(J81,Bronzo!$A:$A,0)-1,MATCH(K81,Bronzo!$A$1:$AA$1,0)-1))</f>
        <v>0</v>
      </c>
      <c r="V81" s="205">
        <f t="shared" ca="1" si="115"/>
        <v>0</v>
      </c>
      <c r="W81" s="204"/>
      <c r="X81" s="205">
        <v>0</v>
      </c>
      <c r="Y81" s="206">
        <f t="shared" ca="1" si="116"/>
        <v>1.5</v>
      </c>
      <c r="Z81" s="380">
        <f t="shared" si="117"/>
        <v>100.65</v>
      </c>
      <c r="AA81" s="203">
        <v>3.73</v>
      </c>
      <c r="AB81" s="203">
        <f t="shared" ca="1" si="118"/>
        <v>-2.9999999999999805E-2</v>
      </c>
      <c r="AC81" s="238"/>
      <c r="AG81" t="s">
        <v>404</v>
      </c>
      <c r="AI81" s="367">
        <f t="shared" ca="1" si="114"/>
        <v>46092</v>
      </c>
      <c r="AJ81" s="367" t="b">
        <f t="shared" si="120"/>
        <v>1</v>
      </c>
      <c r="AK81" s="370" t="str">
        <f t="shared" si="121"/>
        <v/>
      </c>
      <c r="AN81">
        <f t="shared" si="122"/>
        <v>0</v>
      </c>
      <c r="AO81">
        <f t="shared" si="123"/>
        <v>1900</v>
      </c>
      <c r="AV81">
        <f t="shared" si="124"/>
        <v>0</v>
      </c>
      <c r="AW81">
        <f t="shared" si="125"/>
        <v>0</v>
      </c>
    </row>
    <row r="82" spans="4:49" ht="15.75" x14ac:dyDescent="0.25">
      <c r="D82" s="199" t="s">
        <v>464</v>
      </c>
      <c r="E82" s="200" t="s">
        <v>219</v>
      </c>
      <c r="F82" s="287">
        <v>1000</v>
      </c>
      <c r="G82" s="201" t="s">
        <v>6</v>
      </c>
      <c r="H82" s="219">
        <v>8.74</v>
      </c>
      <c r="I82" s="202">
        <v>45931</v>
      </c>
      <c r="J82" s="200" t="s">
        <v>12</v>
      </c>
      <c r="K82" s="200"/>
      <c r="L82" s="203">
        <v>0.1</v>
      </c>
      <c r="M82" s="204">
        <f ca="1">IF(ISERROR(OFFSET(Tabella!$A$1,MATCH(J82,Tabella!$A:$A,0)-1,MATCH(L82,Tabella!$A$1:$AC$1,0)-1)=TRUE),0,+OFFSET(Tabella!$A$1,MATCH(J82,Tabella!$A:$A,0)-1,MATCH(L82,Tabella!$A$1:$AC$1,0)-1))</f>
        <v>0</v>
      </c>
      <c r="N82" s="205">
        <f ca="1">IF(ISERROR(OFFSET(Ottone!$A$1,MATCH(J82,Ottone!$A:$A,0)-1,MATCH(L82,Ottone!$A$1:$Z$1,0)-1)=TRUE),0,OFFSET(Ottone!$A$1,MATCH(J82,Ottone!$A:$A,0)-1,MATCH(L82,Ottone!$A$1:$Z$1,0)-1))*IF(G82="Ottone",1,0)</f>
        <v>0</v>
      </c>
      <c r="O82" s="205">
        <f ca="1">IF(ISERROR(OFFSET(Rame!$A$1,MATCH(J82,Rame!$A:$A,0)-1,MATCH(L82,Rame!$A$1:$AA$1,0)-1)=TRUE),0,OFFSET(Rame!$A$1,MATCH(J82,Rame!$A:$A,0)-1,MATCH(L82,Rame!$A$1:$AA$1,0)-1))*IF(G82="Rame",1,0)</f>
        <v>1.1000000000000001</v>
      </c>
      <c r="P82" s="205">
        <v>0</v>
      </c>
      <c r="Q82" s="205">
        <f t="shared" ca="1" si="119"/>
        <v>1.1000000000000001</v>
      </c>
      <c r="R82" s="205">
        <f ca="1">+IF(ISERROR(OFFSET(Tabella!$G$1,MATCH(J82,Tabella!$G:$G,0)-1,MATCH(K82,Tabella!$G$1:$FG$1,0)-1)=TRUE),0,OFFSET(Tabella!$G$1,MATCH(J82,Tabella!$G:$G,0)-1,MATCH(K82,Tabella!$G$1:$AB$1,0)-1))</f>
        <v>0</v>
      </c>
      <c r="S82" s="205">
        <f ca="1">IF(ISERROR(OFFSET(Ottone!$F$1,MATCH(J82,Ottone!$A:$A,0)-1,MATCH(K82,Ottone!$F$1:$FF$1,0)-1)=TRUE),0,OFFSET(Ottone!$F$1,MATCH(J82,Ottone!$A:$A,0)-1,MATCH(K82,Ottone!$F$1:$FF$1,0)-1))*IF(G82="Ottone",1,0)</f>
        <v>0</v>
      </c>
      <c r="T82" s="205">
        <f ca="1">IF(ISERROR(OFFSET(Rame!$F$1,MATCH(J82,Rame!$F:$F,0)-1,MATCH(K82,Rame!$F$1:$FF$1,0)-1)=TRUE),0,OFFSET(Rame!$F$1,MATCH(J82,Rame!$F:$F,0)-1,MATCH(K82,Rame!$F$1:$FF$1,0)-1))*IF(G82="Rame",1,0)</f>
        <v>0</v>
      </c>
      <c r="U82" s="205">
        <f ca="1">IF(ISERROR(OFFSET(Bronzo!$A$1,MATCH(J82,Bronzo!$A:$A,0)-1,MATCH(K82,Bronzo!$A$1:$AA$1,0)-1)=TRUE),0,OFFSET(Bronzo!$A$1,MATCH(J82,Bronzo!$A:$A,0)-1,MATCH(K82,Bronzo!$A$1:$AA$1,0)-1))</f>
        <v>0</v>
      </c>
      <c r="V82" s="205">
        <f t="shared" ca="1" si="115"/>
        <v>0</v>
      </c>
      <c r="W82" s="204"/>
      <c r="X82" s="205">
        <v>0</v>
      </c>
      <c r="Y82" s="206">
        <f t="shared" ca="1" si="116"/>
        <v>1.1000000000000001</v>
      </c>
      <c r="Z82" s="277">
        <f t="shared" si="117"/>
        <v>100</v>
      </c>
      <c r="AA82" s="203">
        <v>8.74</v>
      </c>
      <c r="AB82" s="203">
        <f t="shared" ca="1" si="118"/>
        <v>-1.0999999999999996</v>
      </c>
      <c r="AC82" s="238">
        <v>46038</v>
      </c>
      <c r="AI82" s="367">
        <f t="shared" ca="1" si="114"/>
        <v>46092</v>
      </c>
      <c r="AJ82" s="367" t="b">
        <f t="shared" si="120"/>
        <v>0</v>
      </c>
      <c r="AK82" s="370">
        <f t="shared" ca="1" si="121"/>
        <v>-54</v>
      </c>
      <c r="AN82">
        <f t="shared" si="122"/>
        <v>3</v>
      </c>
      <c r="AO82">
        <f t="shared" si="123"/>
        <v>2026</v>
      </c>
      <c r="AV82">
        <f t="shared" si="124"/>
        <v>1</v>
      </c>
      <c r="AW82">
        <f t="shared" si="125"/>
        <v>2026</v>
      </c>
    </row>
    <row r="83" spans="4:49" ht="15.75" x14ac:dyDescent="0.25">
      <c r="D83" s="199" t="s">
        <v>510</v>
      </c>
      <c r="E83" s="378" t="s">
        <v>208</v>
      </c>
      <c r="F83" s="379">
        <v>884</v>
      </c>
      <c r="G83" s="201" t="s">
        <v>4</v>
      </c>
      <c r="H83" s="219">
        <v>2.14</v>
      </c>
      <c r="I83" s="202">
        <v>45814</v>
      </c>
      <c r="J83" s="200" t="s">
        <v>305</v>
      </c>
      <c r="K83" s="200"/>
      <c r="L83" s="203">
        <v>7.0000000000000007E-2</v>
      </c>
      <c r="M83" s="204">
        <f ca="1">IF(ISERROR(OFFSET(Tabella!$A$1,MATCH(J83,Tabella!$A:$A,0)-1,MATCH(L83,Tabella!$A$1:$AC$1,0)-1)=TRUE),0,+OFFSET(Tabella!$A$1,MATCH(J83,Tabella!$A:$A,0)-1,MATCH(L83,Tabella!$A$1:$AC$1,0)-1))</f>
        <v>1.25</v>
      </c>
      <c r="N83" s="205">
        <f ca="1">IF(ISERROR(OFFSET(Ottone!$A$1,MATCH(J83,Ottone!$A:$A,0)-1,MATCH(L83,Ottone!$A$1:$Z$1,0)-1)=TRUE),0,OFFSET(Ottone!$A$1,MATCH(J83,Ottone!$A:$A,0)-1,MATCH(L83,Ottone!$A$1:$Z$1,0)-1))*IF(G83="Ottone",1,0)</f>
        <v>0</v>
      </c>
      <c r="O83" s="205">
        <f ca="1">IF(ISERROR(OFFSET(Rame!$A$1,MATCH(J83,Rame!$A:$A,0)-1,MATCH(L83,Rame!$A$1:$AA$1,0)-1)=TRUE),0,OFFSET(Rame!$A$1,MATCH(J83,Rame!$A:$A,0)-1,MATCH(L83,Rame!$A$1:$AA$1,0)-1))*IF(G83="Rame",1,0)</f>
        <v>0</v>
      </c>
      <c r="P83" s="205">
        <v>0</v>
      </c>
      <c r="Q83" s="205">
        <v>1.5</v>
      </c>
      <c r="R83" s="205">
        <f ca="1">+IF(ISERROR(OFFSET(Tabella!$G$1,MATCH(J83,Tabella!$G:$G,0)-1,MATCH(K83,Tabella!$G$1:$FG$1,0)-1)=TRUE),0,OFFSET(Tabella!$G$1,MATCH(J83,Tabella!$G:$G,0)-1,MATCH(K83,Tabella!$G$1:$AB$1,0)-1))</f>
        <v>0</v>
      </c>
      <c r="S83" s="205">
        <f ca="1">IF(ISERROR(OFFSET(Ottone!$F$1,MATCH(J83,Ottone!$A:$A,0)-1,MATCH(K83,Ottone!$F$1:$FF$1,0)-1)=TRUE),0,OFFSET(Ottone!$F$1,MATCH(J83,Ottone!$A:$A,0)-1,MATCH(K83,Ottone!$F$1:$FF$1,0)-1))*IF(G83="Ottone",1,0)</f>
        <v>0</v>
      </c>
      <c r="T83" s="205">
        <f ca="1">IF(ISERROR(OFFSET(Rame!$F$1,MATCH(J83,Rame!$F:$F,0)-1,MATCH(K83,Rame!$F$1:$FF$1,0)-1)=TRUE),0,OFFSET(Rame!$F$1,MATCH(J83,Rame!$F:$F,0)-1,MATCH(K83,Rame!$F$1:$FF$1,0)-1))*IF(G83="Rame",1,0)</f>
        <v>0</v>
      </c>
      <c r="U83" s="205">
        <f ca="1">IF(ISERROR(OFFSET(Bronzo!$A$1,MATCH(J83,Bronzo!$A:$A,0)-1,MATCH(K83,Bronzo!$A$1:$AA$1,0)-1)=TRUE),0,OFFSET(Bronzo!$A$1,MATCH(J83,Bronzo!$A:$A,0)-1,MATCH(K83,Bronzo!$A$1:$AA$1,0)-1))</f>
        <v>0</v>
      </c>
      <c r="V83" s="205">
        <f t="shared" ca="1" si="115"/>
        <v>0</v>
      </c>
      <c r="W83" s="204"/>
      <c r="X83" s="205">
        <v>0</v>
      </c>
      <c r="Y83" s="206">
        <f t="shared" ca="1" si="116"/>
        <v>1.5</v>
      </c>
      <c r="Z83" s="380">
        <f t="shared" si="117"/>
        <v>61.88</v>
      </c>
      <c r="AA83" s="203">
        <v>3.69</v>
      </c>
      <c r="AB83" s="203">
        <f t="shared" ca="1" si="118"/>
        <v>4.9999999999999822E-2</v>
      </c>
      <c r="AC83" s="238"/>
      <c r="AG83" t="s">
        <v>404</v>
      </c>
      <c r="AI83" s="367">
        <f t="shared" ca="1" si="114"/>
        <v>46092</v>
      </c>
      <c r="AJ83" s="367" t="b">
        <f t="shared" si="120"/>
        <v>1</v>
      </c>
      <c r="AK83" s="370" t="str">
        <f t="shared" si="121"/>
        <v/>
      </c>
      <c r="AN83">
        <f t="shared" si="122"/>
        <v>0</v>
      </c>
      <c r="AO83">
        <f t="shared" si="123"/>
        <v>1900</v>
      </c>
      <c r="AV83">
        <f t="shared" si="124"/>
        <v>0</v>
      </c>
      <c r="AW83">
        <f t="shared" si="125"/>
        <v>0</v>
      </c>
    </row>
    <row r="84" spans="4:49" ht="15.75" x14ac:dyDescent="0.25">
      <c r="D84" s="199" t="s">
        <v>457</v>
      </c>
      <c r="E84" s="375" t="s">
        <v>108</v>
      </c>
      <c r="F84" s="376">
        <v>5300</v>
      </c>
      <c r="G84" s="201" t="s">
        <v>4</v>
      </c>
      <c r="H84" s="219">
        <v>2.2799999999999998</v>
      </c>
      <c r="I84" s="202">
        <v>45930</v>
      </c>
      <c r="J84" s="200" t="s">
        <v>21</v>
      </c>
      <c r="K84" s="200"/>
      <c r="L84" s="203">
        <v>7.0000000000000007E-2</v>
      </c>
      <c r="M84" s="204">
        <f ca="1">IF(ISERROR(OFFSET(Tabella!$A$1,MATCH(J84,Tabella!$A:$A,0)-1,MATCH(L84,Tabella!$A$1:$AC$1,0)-1)=TRUE),0,+OFFSET(Tabella!$A$1,MATCH(J84,Tabella!$A:$A,0)-1,MATCH(L84,Tabella!$A$1:$AC$1,0)-1))</f>
        <v>1.25</v>
      </c>
      <c r="N84" s="205">
        <f ca="1">IF(ISERROR(OFFSET(Ottone!$A$1,MATCH(J84,Ottone!$A:$A,0)-1,MATCH(L84,Ottone!$A$1:$Z$1,0)-1)=TRUE),0,OFFSET(Ottone!$A$1,MATCH(J84,Ottone!$A:$A,0)-1,MATCH(L84,Ottone!$A$1:$Z$1,0)-1))*IF(G84="Ottone",1,0)</f>
        <v>0</v>
      </c>
      <c r="O84" s="205">
        <f ca="1">IF(ISERROR(OFFSET(Rame!$A$1,MATCH(J84,Rame!$A:$A,0)-1,MATCH(L84,Rame!$A$1:$AA$1,0)-1)=TRUE),0,OFFSET(Rame!$A$1,MATCH(J84,Rame!$A:$A,0)-1,MATCH(L84,Rame!$A$1:$AA$1,0)-1))*IF(G84="Rame",1,0)</f>
        <v>0</v>
      </c>
      <c r="P84" s="205">
        <v>0</v>
      </c>
      <c r="Q84" s="205">
        <f t="shared" ca="1" si="119"/>
        <v>1.25</v>
      </c>
      <c r="R84" s="205">
        <f ca="1">+IF(ISERROR(OFFSET(Tabella!$G$1,MATCH(J84,Tabella!$G:$G,0)-1,MATCH(K84,Tabella!$G$1:$FG$1,0)-1)=TRUE),0,OFFSET(Tabella!$G$1,MATCH(J84,Tabella!$G:$G,0)-1,MATCH(K84,Tabella!$G$1:$AB$1,0)-1))</f>
        <v>0</v>
      </c>
      <c r="S84" s="205">
        <f ca="1">IF(ISERROR(OFFSET(Ottone!$F$1,MATCH(J84,Ottone!$A:$A,0)-1,MATCH(K84,Ottone!$F$1:$FF$1,0)-1)=TRUE),0,OFFSET(Ottone!$F$1,MATCH(J84,Ottone!$A:$A,0)-1,MATCH(K84,Ottone!$F$1:$FF$1,0)-1))*IF(G84="Ottone",1,0)</f>
        <v>0</v>
      </c>
      <c r="T84" s="205">
        <f ca="1">IF(ISERROR(OFFSET(Rame!$F$1,MATCH(J84,Rame!$F:$F,0)-1,MATCH(K84,Rame!$F$1:$FF$1,0)-1)=TRUE),0,OFFSET(Rame!$F$1,MATCH(J84,Rame!$F:$F,0)-1,MATCH(K84,Rame!$F$1:$FF$1,0)-1))*IF(G84="Rame",1,0)</f>
        <v>0</v>
      </c>
      <c r="U84" s="205">
        <f ca="1">IF(ISERROR(OFFSET(Bronzo!$A$1,MATCH(J84,Bronzo!$A:$A,0)-1,MATCH(K84,Bronzo!$A$1:$AA$1,0)-1)=TRUE),0,OFFSET(Bronzo!$A$1,MATCH(J84,Bronzo!$A:$A,0)-1,MATCH(K84,Bronzo!$A$1:$AA$1,0)-1))</f>
        <v>0</v>
      </c>
      <c r="V84" s="205">
        <f t="shared" ca="1" si="115"/>
        <v>0</v>
      </c>
      <c r="W84" s="204"/>
      <c r="X84" s="205">
        <v>0</v>
      </c>
      <c r="Y84" s="206">
        <f t="shared" ca="1" si="116"/>
        <v>1.25</v>
      </c>
      <c r="Z84" s="377">
        <f t="shared" si="117"/>
        <v>371.00000000000006</v>
      </c>
      <c r="AA84" s="203">
        <v>3.78</v>
      </c>
      <c r="AB84" s="203">
        <f t="shared" ca="1" si="118"/>
        <v>0.25</v>
      </c>
      <c r="AC84" s="238">
        <v>46055</v>
      </c>
      <c r="AI84" s="367">
        <f t="shared" ca="1" si="114"/>
        <v>46092</v>
      </c>
      <c r="AJ84" s="367" t="b">
        <f t="shared" si="120"/>
        <v>0</v>
      </c>
      <c r="AK84" s="370">
        <f t="shared" ca="1" si="121"/>
        <v>-37</v>
      </c>
      <c r="AN84">
        <f t="shared" si="122"/>
        <v>6</v>
      </c>
      <c r="AO84">
        <f t="shared" si="123"/>
        <v>2026</v>
      </c>
      <c r="AV84">
        <f t="shared" si="124"/>
        <v>2</v>
      </c>
      <c r="AW84">
        <f t="shared" si="125"/>
        <v>2026</v>
      </c>
    </row>
    <row r="85" spans="4:49" ht="15.75" x14ac:dyDescent="0.25">
      <c r="D85" s="199" t="s">
        <v>576</v>
      </c>
      <c r="E85" s="378" t="s">
        <v>330</v>
      </c>
      <c r="F85" s="379">
        <v>12641</v>
      </c>
      <c r="G85" s="201" t="s">
        <v>4</v>
      </c>
      <c r="H85" s="381">
        <v>1.6</v>
      </c>
      <c r="I85" s="202">
        <v>45932</v>
      </c>
      <c r="J85" s="200" t="s">
        <v>314</v>
      </c>
      <c r="K85" s="200"/>
      <c r="L85" s="203">
        <v>7.0000000000000007E-2</v>
      </c>
      <c r="M85" s="204">
        <f ca="1">IF(ISERROR(OFFSET(Tabella!$A$1,MATCH(J85,Tabella!$A:$A,0)-1,MATCH(L85,Tabella!$A$1:$AC$1,0)-1)=TRUE),0,+OFFSET(Tabella!$A$1,MATCH(J85,Tabella!$A:$A,0)-1,MATCH(L85,Tabella!$A$1:$AC$1,0)-1))</f>
        <v>1.25</v>
      </c>
      <c r="N85" s="205">
        <f ca="1">IF(ISERROR(OFFSET(Ottone!$A$1,MATCH(J85,Ottone!$A:$A,0)-1,MATCH(L85,Ottone!$A$1:$Z$1,0)-1)=TRUE),0,OFFSET(Ottone!$A$1,MATCH(J85,Ottone!$A:$A,0)-1,MATCH(L85,Ottone!$A$1:$Z$1,0)-1))*IF(G85="Ottone",1,0)</f>
        <v>0</v>
      </c>
      <c r="O85" s="205">
        <f ca="1">IF(ISERROR(OFFSET(Rame!$A$1,MATCH(J85,Rame!$A:$A,0)-1,MATCH(L85,Rame!$A$1:$AA$1,0)-1)=TRUE),0,OFFSET(Rame!$A$1,MATCH(J85,Rame!$A:$A,0)-1,MATCH(L85,Rame!$A$1:$AA$1,0)-1))*IF(G85="Rame",1,0)</f>
        <v>0</v>
      </c>
      <c r="P85" s="205">
        <v>0</v>
      </c>
      <c r="Q85" s="205">
        <f t="shared" ca="1" si="119"/>
        <v>1.25</v>
      </c>
      <c r="R85" s="205">
        <f ca="1">+IF(ISERROR(OFFSET(Tabella!$G$1,MATCH(J85,Tabella!$G:$G,0)-1,MATCH(K85,Tabella!$G$1:$FG$1,0)-1)=TRUE),0,OFFSET(Tabella!$G$1,MATCH(J85,Tabella!$G:$G,0)-1,MATCH(K85,Tabella!$G$1:$AB$1,0)-1))</f>
        <v>0</v>
      </c>
      <c r="S85" s="205">
        <f ca="1">IF(ISERROR(OFFSET(Ottone!$F$1,MATCH(J85,Ottone!$A:$A,0)-1,MATCH(K85,Ottone!$F$1:$FF$1,0)-1)=TRUE),0,OFFSET(Ottone!$F$1,MATCH(J85,Ottone!$A:$A,0)-1,MATCH(K85,Ottone!$F$1:$FF$1,0)-1))*IF(G85="Ottone",1,0)</f>
        <v>0</v>
      </c>
      <c r="T85" s="205">
        <f ca="1">IF(ISERROR(OFFSET(Rame!$F$1,MATCH(J85,Rame!$F:$F,0)-1,MATCH(K85,Rame!$F$1:$FF$1,0)-1)=TRUE),0,OFFSET(Rame!$F$1,MATCH(J85,Rame!$F:$F,0)-1,MATCH(K85,Rame!$F$1:$FF$1,0)-1))*IF(G85="Rame",1,0)</f>
        <v>0</v>
      </c>
      <c r="U85" s="205">
        <f ca="1">IF(ISERROR(OFFSET(Bronzo!$A$1,MATCH(J85,Bronzo!$A:$A,0)-1,MATCH(K85,Bronzo!$A$1:$AA$1,0)-1)=TRUE),0,OFFSET(Bronzo!$A$1,MATCH(J85,Bronzo!$A:$A,0)-1,MATCH(K85,Bronzo!$A$1:$AA$1,0)-1))</f>
        <v>0</v>
      </c>
      <c r="V85" s="205">
        <f t="shared" ca="1" si="115"/>
        <v>0</v>
      </c>
      <c r="W85" s="204"/>
      <c r="X85" s="205">
        <v>0</v>
      </c>
      <c r="Y85" s="206">
        <f t="shared" ca="1" si="116"/>
        <v>1.25</v>
      </c>
      <c r="Z85" s="380">
        <f t="shared" si="117"/>
        <v>884.87000000000012</v>
      </c>
      <c r="AA85" s="382">
        <v>1.6</v>
      </c>
      <c r="AB85" s="203">
        <f t="shared" ca="1" si="118"/>
        <v>-1.25</v>
      </c>
      <c r="AC85" s="238"/>
      <c r="AG85" t="s">
        <v>404</v>
      </c>
      <c r="AH85" t="s">
        <v>573</v>
      </c>
      <c r="AI85" s="367">
        <f t="shared" ca="1" si="114"/>
        <v>46092</v>
      </c>
      <c r="AJ85" s="367" t="b">
        <f t="shared" si="120"/>
        <v>1</v>
      </c>
      <c r="AK85" s="370" t="str">
        <f t="shared" si="121"/>
        <v/>
      </c>
      <c r="AN85">
        <f t="shared" si="122"/>
        <v>0</v>
      </c>
      <c r="AO85">
        <f t="shared" si="123"/>
        <v>1900</v>
      </c>
      <c r="AV85">
        <f t="shared" si="124"/>
        <v>0</v>
      </c>
      <c r="AW85">
        <f t="shared" si="125"/>
        <v>0</v>
      </c>
    </row>
    <row r="86" spans="4:49" ht="15.75" x14ac:dyDescent="0.25">
      <c r="D86" s="199" t="s">
        <v>649</v>
      </c>
      <c r="E86" s="378" t="s">
        <v>330</v>
      </c>
      <c r="F86" s="379">
        <v>564</v>
      </c>
      <c r="G86" s="201" t="s">
        <v>4</v>
      </c>
      <c r="H86" s="391">
        <v>2.39</v>
      </c>
      <c r="I86" s="202">
        <v>45932</v>
      </c>
      <c r="J86" s="200" t="s">
        <v>24</v>
      </c>
      <c r="K86" s="200"/>
      <c r="L86" s="203">
        <v>7.0000000000000007E-2</v>
      </c>
      <c r="M86" s="204">
        <f ca="1">IF(ISERROR(OFFSET(Tabella!$A$1,MATCH(J86,Tabella!$A:$A,0)-1,MATCH(L86,Tabella!$A$1:$AC$1,0)-1)=TRUE),0,+OFFSET(Tabella!$A$1,MATCH(J86,Tabella!$A:$A,0)-1,MATCH(L86,Tabella!$A$1:$AC$1,0)-1))</f>
        <v>1.25</v>
      </c>
      <c r="N86" s="205">
        <f ca="1">IF(ISERROR(OFFSET(Ottone!$A$1,MATCH(J86,Ottone!$A:$A,0)-1,MATCH(L86,Ottone!$A$1:$Z$1,0)-1)=TRUE),0,OFFSET(Ottone!$A$1,MATCH(J86,Ottone!$A:$A,0)-1,MATCH(L86,Ottone!$A$1:$Z$1,0)-1))*IF(G86="Ottone",1,0)</f>
        <v>0</v>
      </c>
      <c r="O86" s="205">
        <f ca="1">IF(ISERROR(OFFSET(Rame!$A$1,MATCH(J86,Rame!$A:$A,0)-1,MATCH(L86,Rame!$A$1:$AA$1,0)-1)=TRUE),0,OFFSET(Rame!$A$1,MATCH(J86,Rame!$A:$A,0)-1,MATCH(L86,Rame!$A$1:$AA$1,0)-1))*IF(G86="Rame",1,0)</f>
        <v>0</v>
      </c>
      <c r="P86" s="205">
        <v>0</v>
      </c>
      <c r="Q86" s="205">
        <f t="shared" ca="1" si="119"/>
        <v>1.25</v>
      </c>
      <c r="R86" s="205">
        <f ca="1">+IF(ISERROR(OFFSET(Tabella!$G$1,MATCH(J86,Tabella!$G:$G,0)-1,MATCH(K86,Tabella!$G$1:$FG$1,0)-1)=TRUE),0,OFFSET(Tabella!$G$1,MATCH(J86,Tabella!$G:$G,0)-1,MATCH(K86,Tabella!$G$1:$AB$1,0)-1))</f>
        <v>0</v>
      </c>
      <c r="S86" s="205">
        <f ca="1">IF(ISERROR(OFFSET(Ottone!$F$1,MATCH(J86,Ottone!$A:$A,0)-1,MATCH(K86,Ottone!$F$1:$FF$1,0)-1)=TRUE),0,OFFSET(Ottone!$F$1,MATCH(J86,Ottone!$A:$A,0)-1,MATCH(K86,Ottone!$F$1:$FF$1,0)-1))*IF(G86="Ottone",1,0)</f>
        <v>0</v>
      </c>
      <c r="T86" s="205">
        <f ca="1">IF(ISERROR(OFFSET(Rame!$F$1,MATCH(J86,Rame!$F:$F,0)-1,MATCH(K86,Rame!$F$1:$FF$1,0)-1)=TRUE),0,OFFSET(Rame!$F$1,MATCH(J86,Rame!$F:$F,0)-1,MATCH(K86,Rame!$F$1:$FF$1,0)-1))*IF(G86="Rame",1,0)</f>
        <v>0</v>
      </c>
      <c r="U86" s="205">
        <f ca="1">IF(ISERROR(OFFSET(Bronzo!$A$1,MATCH(J86,Bronzo!$A:$A,0)-1,MATCH(K86,Bronzo!$A$1:$AA$1,0)-1)=TRUE),0,OFFSET(Bronzo!$A$1,MATCH(J86,Bronzo!$A:$A,0)-1,MATCH(K86,Bronzo!$A$1:$AA$1,0)-1))</f>
        <v>0</v>
      </c>
      <c r="V86" s="205">
        <f t="shared" ca="1" si="115"/>
        <v>0</v>
      </c>
      <c r="W86" s="204"/>
      <c r="X86" s="205">
        <v>0</v>
      </c>
      <c r="Y86" s="206">
        <f t="shared" ca="1" si="116"/>
        <v>1.25</v>
      </c>
      <c r="Z86" s="380">
        <f t="shared" si="117"/>
        <v>39.480000000000004</v>
      </c>
      <c r="AA86" s="392">
        <v>3.99</v>
      </c>
      <c r="AB86" s="203">
        <f t="shared" ca="1" si="118"/>
        <v>0.35000000000000009</v>
      </c>
      <c r="AC86" s="238"/>
      <c r="AG86" t="s">
        <v>404</v>
      </c>
      <c r="AI86" s="367">
        <f t="shared" ca="1" si="114"/>
        <v>46092</v>
      </c>
      <c r="AJ86" s="367" t="b">
        <f t="shared" si="120"/>
        <v>1</v>
      </c>
      <c r="AK86" s="370" t="str">
        <f t="shared" si="121"/>
        <v/>
      </c>
      <c r="AN86">
        <f t="shared" si="122"/>
        <v>0</v>
      </c>
      <c r="AO86">
        <f t="shared" si="123"/>
        <v>1900</v>
      </c>
      <c r="AV86">
        <f t="shared" si="124"/>
        <v>0</v>
      </c>
      <c r="AW86">
        <f t="shared" si="125"/>
        <v>0</v>
      </c>
    </row>
    <row r="87" spans="4:49" ht="15.75" x14ac:dyDescent="0.25">
      <c r="D87" s="199" t="s">
        <v>529</v>
      </c>
      <c r="E87" s="378" t="s">
        <v>402</v>
      </c>
      <c r="F87" s="379">
        <v>479</v>
      </c>
      <c r="G87" s="201" t="s">
        <v>6</v>
      </c>
      <c r="H87" s="219">
        <v>8.75</v>
      </c>
      <c r="I87" s="202">
        <v>45933</v>
      </c>
      <c r="J87" s="200" t="s">
        <v>14</v>
      </c>
      <c r="K87" s="200"/>
      <c r="L87" s="203">
        <v>0.2</v>
      </c>
      <c r="M87" s="204">
        <f ca="1">IF(ISERROR(OFFSET(Tabella!$A$1,MATCH(J87,Tabella!$A:$A,0)-1,MATCH(L87,Tabella!$A$1:$AC$1,0)-1)=TRUE),0,+OFFSET(Tabella!$A$1,MATCH(J87,Tabella!$A:$A,0)-1,MATCH(L87,Tabella!$A$1:$AC$1,0)-1))</f>
        <v>0</v>
      </c>
      <c r="N87" s="205">
        <f ca="1">IF(ISERROR(OFFSET(Ottone!$A$1,MATCH(J87,Ottone!$A:$A,0)-1,MATCH(L87,Ottone!$A$1:$Z$1,0)-1)=TRUE),0,OFFSET(Ottone!$A$1,MATCH(J87,Ottone!$A:$A,0)-1,MATCH(L87,Ottone!$A$1:$Z$1,0)-1))*IF(G87="Ottone",1,0)</f>
        <v>0</v>
      </c>
      <c r="O87" s="205">
        <f ca="1">IF(ISERROR(OFFSET(Rame!$A$1,MATCH(J87,Rame!$A:$A,0)-1,MATCH(L87,Rame!$A$1:$AA$1,0)-1)=TRUE),0,OFFSET(Rame!$A$1,MATCH(J87,Rame!$A:$A,0)-1,MATCH(L87,Rame!$A$1:$AA$1,0)-1))*IF(G87="Rame",1,0)</f>
        <v>0</v>
      </c>
      <c r="P87" s="205">
        <v>0</v>
      </c>
      <c r="Q87" s="205">
        <v>3.6</v>
      </c>
      <c r="R87" s="205">
        <f ca="1">+IF(ISERROR(OFFSET(Tabella!$G$1,MATCH(J87,Tabella!$G:$G,0)-1,MATCH(K87,Tabella!$G$1:$FG$1,0)-1)=TRUE),0,OFFSET(Tabella!$G$1,MATCH(J87,Tabella!$G:$G,0)-1,MATCH(K87,Tabella!$G$1:$AB$1,0)-1))</f>
        <v>0</v>
      </c>
      <c r="S87" s="205">
        <f ca="1">IF(ISERROR(OFFSET(Ottone!$F$1,MATCH(J87,Ottone!$A:$A,0)-1,MATCH(K87,Ottone!$F$1:$FF$1,0)-1)=TRUE),0,OFFSET(Ottone!$F$1,MATCH(J87,Ottone!$A:$A,0)-1,MATCH(K87,Ottone!$F$1:$FF$1,0)-1))*IF(G87="Ottone",1,0)</f>
        <v>0</v>
      </c>
      <c r="T87" s="205">
        <f ca="1">IF(ISERROR(OFFSET(Rame!$F$1,MATCH(J87,Rame!$F:$F,0)-1,MATCH(K87,Rame!$F$1:$FF$1,0)-1)=TRUE),0,OFFSET(Rame!$F$1,MATCH(J87,Rame!$F:$F,0)-1,MATCH(K87,Rame!$F$1:$FF$1,0)-1))*IF(G87="Rame",1,0)</f>
        <v>0</v>
      </c>
      <c r="U87" s="205">
        <f ca="1">IF(ISERROR(OFFSET(Bronzo!$A$1,MATCH(J87,Bronzo!$A:$A,0)-1,MATCH(K87,Bronzo!$A$1:$AA$1,0)-1)=TRUE),0,OFFSET(Bronzo!$A$1,MATCH(J87,Bronzo!$A:$A,0)-1,MATCH(K87,Bronzo!$A$1:$AA$1,0)-1))</f>
        <v>0</v>
      </c>
      <c r="V87" s="205">
        <f t="shared" ca="1" si="115"/>
        <v>0</v>
      </c>
      <c r="W87" s="204"/>
      <c r="X87" s="205">
        <v>0</v>
      </c>
      <c r="Y87" s="206">
        <f t="shared" ca="1" si="116"/>
        <v>3.6</v>
      </c>
      <c r="Z87" s="380">
        <f t="shared" si="117"/>
        <v>95.800000000000011</v>
      </c>
      <c r="AA87" s="203">
        <v>12.55</v>
      </c>
      <c r="AB87" s="203">
        <f t="shared" ca="1" si="118"/>
        <v>0.20000000000000107</v>
      </c>
      <c r="AC87" s="238"/>
      <c r="AG87" t="s">
        <v>404</v>
      </c>
      <c r="AI87" s="367">
        <f t="shared" ca="1" si="114"/>
        <v>46092</v>
      </c>
      <c r="AJ87" s="367" t="b">
        <f t="shared" si="120"/>
        <v>1</v>
      </c>
      <c r="AK87" s="370" t="str">
        <f t="shared" si="121"/>
        <v/>
      </c>
      <c r="AN87">
        <f t="shared" si="122"/>
        <v>0</v>
      </c>
      <c r="AO87">
        <f t="shared" si="123"/>
        <v>1900</v>
      </c>
      <c r="AV87">
        <f t="shared" si="124"/>
        <v>0</v>
      </c>
      <c r="AW87">
        <f t="shared" si="125"/>
        <v>0</v>
      </c>
    </row>
    <row r="88" spans="4:49" ht="15.75" x14ac:dyDescent="0.25">
      <c r="D88" s="199" t="s">
        <v>564</v>
      </c>
      <c r="E88" s="378" t="s">
        <v>102</v>
      </c>
      <c r="F88" s="379">
        <v>450</v>
      </c>
      <c r="G88" s="201" t="s">
        <v>4</v>
      </c>
      <c r="H88" s="219">
        <v>2.2799999999999998</v>
      </c>
      <c r="I88" s="202">
        <v>45933</v>
      </c>
      <c r="J88" s="200" t="s">
        <v>30</v>
      </c>
      <c r="K88" s="200"/>
      <c r="L88" s="203">
        <v>0.1</v>
      </c>
      <c r="M88" s="204">
        <f ca="1">IF(ISERROR(OFFSET(Tabella!$A$1,MATCH(J88,Tabella!$A:$A,0)-1,MATCH(L88,Tabella!$A$1:$AC$1,0)-1)=TRUE),0,+OFFSET(Tabella!$A$1,MATCH(J88,Tabella!$A:$A,0)-1,MATCH(L88,Tabella!$A$1:$AC$1,0)-1))</f>
        <v>1.5</v>
      </c>
      <c r="N88" s="205">
        <f ca="1">IF(ISERROR(OFFSET(Ottone!$A$1,MATCH(J88,Ottone!$A:$A,0)-1,MATCH(L88,Ottone!$A$1:$Z$1,0)-1)=TRUE),0,OFFSET(Ottone!$A$1,MATCH(J88,Ottone!$A:$A,0)-1,MATCH(L88,Ottone!$A$1:$Z$1,0)-1))*IF(G88="Ottone",1,0)</f>
        <v>0</v>
      </c>
      <c r="O88" s="205">
        <f ca="1">IF(ISERROR(OFFSET(Rame!$A$1,MATCH(J88,Rame!$A:$A,0)-1,MATCH(L88,Rame!$A$1:$AA$1,0)-1)=TRUE),0,OFFSET(Rame!$A$1,MATCH(J88,Rame!$A:$A,0)-1,MATCH(L88,Rame!$A$1:$AA$1,0)-1))*IF(G88="Rame",1,0)</f>
        <v>0</v>
      </c>
      <c r="P88" s="205">
        <v>0</v>
      </c>
      <c r="Q88" s="205">
        <f t="shared" ca="1" si="119"/>
        <v>1.5</v>
      </c>
      <c r="R88" s="205">
        <f ca="1">+IF(ISERROR(OFFSET(Tabella!$G$1,MATCH(J88,Tabella!$G:$G,0)-1,MATCH(K88,Tabella!$G$1:$FG$1,0)-1)=TRUE),0,OFFSET(Tabella!$G$1,MATCH(J88,Tabella!$G:$G,0)-1,MATCH(K88,Tabella!$G$1:$AB$1,0)-1))</f>
        <v>0</v>
      </c>
      <c r="S88" s="205">
        <f ca="1">IF(ISERROR(OFFSET(Ottone!$F$1,MATCH(J88,Ottone!$A:$A,0)-1,MATCH(K88,Ottone!$F$1:$FF$1,0)-1)=TRUE),0,OFFSET(Ottone!$F$1,MATCH(J88,Ottone!$A:$A,0)-1,MATCH(K88,Ottone!$F$1:$FF$1,0)-1))*IF(G88="Ottone",1,0)</f>
        <v>0</v>
      </c>
      <c r="T88" s="205">
        <f ca="1">IF(ISERROR(OFFSET(Rame!$F$1,MATCH(J88,Rame!$F:$F,0)-1,MATCH(K88,Rame!$F$1:$FF$1,0)-1)=TRUE),0,OFFSET(Rame!$F$1,MATCH(J88,Rame!$F:$F,0)-1,MATCH(K88,Rame!$F$1:$FF$1,0)-1))*IF(G88="Rame",1,0)</f>
        <v>0</v>
      </c>
      <c r="U88" s="205">
        <f ca="1">IF(ISERROR(OFFSET(Bronzo!$A$1,MATCH(J88,Bronzo!$A:$A,0)-1,MATCH(K88,Bronzo!$A$1:$AA$1,0)-1)=TRUE),0,OFFSET(Bronzo!$A$1,MATCH(J88,Bronzo!$A:$A,0)-1,MATCH(K88,Bronzo!$A$1:$AA$1,0)-1))</f>
        <v>0</v>
      </c>
      <c r="V88" s="205">
        <f t="shared" ca="1" si="115"/>
        <v>0</v>
      </c>
      <c r="W88" s="204"/>
      <c r="X88" s="205">
        <v>0</v>
      </c>
      <c r="Y88" s="206">
        <f t="shared" ca="1" si="116"/>
        <v>1.5</v>
      </c>
      <c r="Z88" s="380">
        <f t="shared" si="117"/>
        <v>45</v>
      </c>
      <c r="AA88" s="203">
        <v>4.2</v>
      </c>
      <c r="AB88" s="203">
        <f t="shared" ca="1" si="118"/>
        <v>0.42000000000000037</v>
      </c>
      <c r="AC88" s="238"/>
      <c r="AG88" t="s">
        <v>404</v>
      </c>
      <c r="AI88" s="367">
        <f t="shared" ref="AI88:AI127" ca="1" si="126">TODAY()</f>
        <v>46092</v>
      </c>
      <c r="AJ88" s="367" t="b">
        <f t="shared" si="120"/>
        <v>1</v>
      </c>
      <c r="AK88" s="370" t="str">
        <f t="shared" si="121"/>
        <v/>
      </c>
      <c r="AN88">
        <f t="shared" si="122"/>
        <v>0</v>
      </c>
      <c r="AO88">
        <f t="shared" si="123"/>
        <v>1900</v>
      </c>
      <c r="AV88">
        <f t="shared" si="124"/>
        <v>0</v>
      </c>
      <c r="AW88">
        <f t="shared" si="125"/>
        <v>0</v>
      </c>
    </row>
    <row r="89" spans="4:49" ht="15.75" x14ac:dyDescent="0.25">
      <c r="D89" s="199" t="s">
        <v>564</v>
      </c>
      <c r="E89" s="378" t="s">
        <v>102</v>
      </c>
      <c r="F89" s="379">
        <v>562</v>
      </c>
      <c r="G89" s="201" t="s">
        <v>4</v>
      </c>
      <c r="H89" s="219">
        <v>2.2799999999999998</v>
      </c>
      <c r="I89" s="202">
        <v>45933</v>
      </c>
      <c r="J89" s="200" t="s">
        <v>30</v>
      </c>
      <c r="K89" s="200"/>
      <c r="L89" s="203">
        <v>0.1</v>
      </c>
      <c r="M89" s="204">
        <f ca="1">IF(ISERROR(OFFSET(Tabella!$A$1,MATCH(J89,Tabella!$A:$A,0)-1,MATCH(L89,Tabella!$A$1:$AC$1,0)-1)=TRUE),0,+OFFSET(Tabella!$A$1,MATCH(J89,Tabella!$A:$A,0)-1,MATCH(L89,Tabella!$A$1:$AC$1,0)-1))</f>
        <v>1.5</v>
      </c>
      <c r="N89" s="205">
        <f ca="1">IF(ISERROR(OFFSET(Ottone!$A$1,MATCH(J89,Ottone!$A:$A,0)-1,MATCH(L89,Ottone!$A$1:$Z$1,0)-1)=TRUE),0,OFFSET(Ottone!$A$1,MATCH(J89,Ottone!$A:$A,0)-1,MATCH(L89,Ottone!$A$1:$Z$1,0)-1))*IF(G89="Ottone",1,0)</f>
        <v>0</v>
      </c>
      <c r="O89" s="205">
        <f ca="1">IF(ISERROR(OFFSET(Rame!$A$1,MATCH(J89,Rame!$A:$A,0)-1,MATCH(L89,Rame!$A$1:$AA$1,0)-1)=TRUE),0,OFFSET(Rame!$A$1,MATCH(J89,Rame!$A:$A,0)-1,MATCH(L89,Rame!$A$1:$AA$1,0)-1))*IF(G89="Rame",1,0)</f>
        <v>0</v>
      </c>
      <c r="P89" s="205">
        <v>0</v>
      </c>
      <c r="Q89" s="205">
        <f t="shared" ca="1" si="119"/>
        <v>1.5</v>
      </c>
      <c r="R89" s="205">
        <f ca="1">+IF(ISERROR(OFFSET(Tabella!$G$1,MATCH(J89,Tabella!$G:$G,0)-1,MATCH(K89,Tabella!$G$1:$FG$1,0)-1)=TRUE),0,OFFSET(Tabella!$G$1,MATCH(J89,Tabella!$G:$G,0)-1,MATCH(K89,Tabella!$G$1:$AB$1,0)-1))</f>
        <v>0</v>
      </c>
      <c r="S89" s="205">
        <f ca="1">IF(ISERROR(OFFSET(Ottone!$F$1,MATCH(J89,Ottone!$A:$A,0)-1,MATCH(K89,Ottone!$F$1:$FF$1,0)-1)=TRUE),0,OFFSET(Ottone!$F$1,MATCH(J89,Ottone!$A:$A,0)-1,MATCH(K89,Ottone!$F$1:$FF$1,0)-1))*IF(G89="Ottone",1,0)</f>
        <v>0</v>
      </c>
      <c r="T89" s="205">
        <f ca="1">IF(ISERROR(OFFSET(Rame!$F$1,MATCH(J89,Rame!$F:$F,0)-1,MATCH(K89,Rame!$F$1:$FF$1,0)-1)=TRUE),0,OFFSET(Rame!$F$1,MATCH(J89,Rame!$F:$F,0)-1,MATCH(K89,Rame!$F$1:$FF$1,0)-1))*IF(G89="Rame",1,0)</f>
        <v>0</v>
      </c>
      <c r="U89" s="205">
        <f ca="1">IF(ISERROR(OFFSET(Bronzo!$A$1,MATCH(J89,Bronzo!$A:$A,0)-1,MATCH(K89,Bronzo!$A$1:$AA$1,0)-1)=TRUE),0,OFFSET(Bronzo!$A$1,MATCH(J89,Bronzo!$A:$A,0)-1,MATCH(K89,Bronzo!$A$1:$AA$1,0)-1))</f>
        <v>0</v>
      </c>
      <c r="V89" s="205">
        <f t="shared" ca="1" si="115"/>
        <v>0</v>
      </c>
      <c r="W89" s="204"/>
      <c r="X89" s="205">
        <v>0</v>
      </c>
      <c r="Y89" s="206">
        <f t="shared" ca="1" si="116"/>
        <v>1.5</v>
      </c>
      <c r="Z89" s="380">
        <f t="shared" si="117"/>
        <v>56.2</v>
      </c>
      <c r="AA89" s="203">
        <v>4.2</v>
      </c>
      <c r="AB89" s="203">
        <f t="shared" ca="1" si="118"/>
        <v>0.42000000000000037</v>
      </c>
      <c r="AC89" s="238"/>
      <c r="AG89" t="s">
        <v>404</v>
      </c>
      <c r="AI89" s="367">
        <f t="shared" ca="1" si="126"/>
        <v>46092</v>
      </c>
      <c r="AJ89" s="367" t="b">
        <f t="shared" si="120"/>
        <v>1</v>
      </c>
      <c r="AK89" s="370" t="str">
        <f t="shared" si="121"/>
        <v/>
      </c>
      <c r="AN89">
        <f t="shared" si="122"/>
        <v>0</v>
      </c>
      <c r="AO89">
        <f t="shared" si="123"/>
        <v>1900</v>
      </c>
      <c r="AV89">
        <f t="shared" si="124"/>
        <v>0</v>
      </c>
      <c r="AW89">
        <f t="shared" si="125"/>
        <v>0</v>
      </c>
    </row>
    <row r="90" spans="4:49" ht="15.75" x14ac:dyDescent="0.25">
      <c r="D90" s="199" t="s">
        <v>620</v>
      </c>
      <c r="E90" s="378" t="s">
        <v>102</v>
      </c>
      <c r="F90" s="379">
        <v>450</v>
      </c>
      <c r="G90" s="201" t="s">
        <v>4</v>
      </c>
      <c r="H90" s="219">
        <v>2.2799999999999998</v>
      </c>
      <c r="I90" s="202">
        <v>45933</v>
      </c>
      <c r="J90" s="200" t="s">
        <v>30</v>
      </c>
      <c r="K90" s="200"/>
      <c r="L90" s="203">
        <v>0.1</v>
      </c>
      <c r="M90" s="204">
        <f ca="1">IF(ISERROR(OFFSET(Tabella!$A$1,MATCH(J90,Tabella!$A:$A,0)-1,MATCH(L90,Tabella!$A$1:$AC$1,0)-1)=TRUE),0,+OFFSET(Tabella!$A$1,MATCH(J90,Tabella!$A:$A,0)-1,MATCH(L90,Tabella!$A$1:$AC$1,0)-1))</f>
        <v>1.5</v>
      </c>
      <c r="N90" s="205">
        <f ca="1">IF(ISERROR(OFFSET(Ottone!$A$1,MATCH(J90,Ottone!$A:$A,0)-1,MATCH(L90,Ottone!$A$1:$Z$1,0)-1)=TRUE),0,OFFSET(Ottone!$A$1,MATCH(J90,Ottone!$A:$A,0)-1,MATCH(L90,Ottone!$A$1:$Z$1,0)-1))*IF(G90="Ottone",1,0)</f>
        <v>0</v>
      </c>
      <c r="O90" s="205">
        <f ca="1">IF(ISERROR(OFFSET(Rame!$A$1,MATCH(J90,Rame!$A:$A,0)-1,MATCH(L90,Rame!$A$1:$AA$1,0)-1)=TRUE),0,OFFSET(Rame!$A$1,MATCH(J90,Rame!$A:$A,0)-1,MATCH(L90,Rame!$A$1:$AA$1,0)-1))*IF(G90="Rame",1,0)</f>
        <v>0</v>
      </c>
      <c r="P90" s="205">
        <v>0</v>
      </c>
      <c r="Q90" s="205">
        <f t="shared" ca="1" si="119"/>
        <v>1.5</v>
      </c>
      <c r="R90" s="205">
        <f ca="1">+IF(ISERROR(OFFSET(Tabella!$G$1,MATCH(J90,Tabella!$G:$G,0)-1,MATCH(K90,Tabella!$G$1:$FG$1,0)-1)=TRUE),0,OFFSET(Tabella!$G$1,MATCH(J90,Tabella!$G:$G,0)-1,MATCH(K90,Tabella!$G$1:$AB$1,0)-1))</f>
        <v>0</v>
      </c>
      <c r="S90" s="205">
        <f ca="1">IF(ISERROR(OFFSET(Ottone!$F$1,MATCH(J90,Ottone!$A:$A,0)-1,MATCH(K90,Ottone!$F$1:$FF$1,0)-1)=TRUE),0,OFFSET(Ottone!$F$1,MATCH(J90,Ottone!$A:$A,0)-1,MATCH(K90,Ottone!$F$1:$FF$1,0)-1))*IF(G90="Ottone",1,0)</f>
        <v>0</v>
      </c>
      <c r="T90" s="205">
        <f ca="1">IF(ISERROR(OFFSET(Rame!$F$1,MATCH(J90,Rame!$F:$F,0)-1,MATCH(K90,Rame!$F$1:$FF$1,0)-1)=TRUE),0,OFFSET(Rame!$F$1,MATCH(J90,Rame!$F:$F,0)-1,MATCH(K90,Rame!$F$1:$FF$1,0)-1))*IF(G90="Rame",1,0)</f>
        <v>0</v>
      </c>
      <c r="U90" s="205">
        <f ca="1">IF(ISERROR(OFFSET(Bronzo!$A$1,MATCH(J90,Bronzo!$A:$A,0)-1,MATCH(K90,Bronzo!$A$1:$AA$1,0)-1)=TRUE),0,OFFSET(Bronzo!$A$1,MATCH(J90,Bronzo!$A:$A,0)-1,MATCH(K90,Bronzo!$A$1:$AA$1,0)-1))</f>
        <v>0</v>
      </c>
      <c r="V90" s="205">
        <f t="shared" ca="1" si="115"/>
        <v>0</v>
      </c>
      <c r="W90" s="204"/>
      <c r="X90" s="205">
        <v>0</v>
      </c>
      <c r="Y90" s="206">
        <f t="shared" ca="1" si="116"/>
        <v>1.5</v>
      </c>
      <c r="Z90" s="380">
        <f t="shared" si="117"/>
        <v>45</v>
      </c>
      <c r="AA90" s="203">
        <v>4.2</v>
      </c>
      <c r="AB90" s="203">
        <f t="shared" ca="1" si="118"/>
        <v>0.42000000000000037</v>
      </c>
      <c r="AC90" s="238"/>
      <c r="AG90" t="s">
        <v>404</v>
      </c>
      <c r="AI90" s="367">
        <f t="shared" ca="1" si="126"/>
        <v>46092</v>
      </c>
      <c r="AJ90" s="367" t="b">
        <f t="shared" si="120"/>
        <v>1</v>
      </c>
      <c r="AK90" s="370" t="str">
        <f t="shared" si="121"/>
        <v/>
      </c>
      <c r="AN90">
        <f t="shared" si="122"/>
        <v>0</v>
      </c>
      <c r="AO90">
        <f t="shared" si="123"/>
        <v>1900</v>
      </c>
      <c r="AV90">
        <f t="shared" si="124"/>
        <v>0</v>
      </c>
      <c r="AW90">
        <f t="shared" si="125"/>
        <v>0</v>
      </c>
    </row>
    <row r="91" spans="4:49" ht="15.75" x14ac:dyDescent="0.25">
      <c r="D91" s="199" t="s">
        <v>620</v>
      </c>
      <c r="E91" s="378" t="s">
        <v>102</v>
      </c>
      <c r="F91" s="379">
        <v>535</v>
      </c>
      <c r="G91" s="201" t="s">
        <v>4</v>
      </c>
      <c r="H91" s="219">
        <v>2.2799999999999998</v>
      </c>
      <c r="I91" s="202">
        <v>45933</v>
      </c>
      <c r="J91" s="200" t="s">
        <v>30</v>
      </c>
      <c r="K91" s="200"/>
      <c r="L91" s="203">
        <v>0.1</v>
      </c>
      <c r="M91" s="204">
        <f ca="1">IF(ISERROR(OFFSET(Tabella!$A$1,MATCH(J91,Tabella!$A:$A,0)-1,MATCH(L91,Tabella!$A$1:$AC$1,0)-1)=TRUE),0,+OFFSET(Tabella!$A$1,MATCH(J91,Tabella!$A:$A,0)-1,MATCH(L91,Tabella!$A$1:$AC$1,0)-1))</f>
        <v>1.5</v>
      </c>
      <c r="N91" s="205">
        <f ca="1">IF(ISERROR(OFFSET(Ottone!$A$1,MATCH(J91,Ottone!$A:$A,0)-1,MATCH(L91,Ottone!$A$1:$Z$1,0)-1)=TRUE),0,OFFSET(Ottone!$A$1,MATCH(J91,Ottone!$A:$A,0)-1,MATCH(L91,Ottone!$A$1:$Z$1,0)-1))*IF(G91="Ottone",1,0)</f>
        <v>0</v>
      </c>
      <c r="O91" s="205">
        <f ca="1">IF(ISERROR(OFFSET(Rame!$A$1,MATCH(J91,Rame!$A:$A,0)-1,MATCH(L91,Rame!$A$1:$AA$1,0)-1)=TRUE),0,OFFSET(Rame!$A$1,MATCH(J91,Rame!$A:$A,0)-1,MATCH(L91,Rame!$A$1:$AA$1,0)-1))*IF(G91="Rame",1,0)</f>
        <v>0</v>
      </c>
      <c r="P91" s="205">
        <v>0</v>
      </c>
      <c r="Q91" s="205">
        <f t="shared" ca="1" si="119"/>
        <v>1.5</v>
      </c>
      <c r="R91" s="205">
        <f ca="1">+IF(ISERROR(OFFSET(Tabella!$G$1,MATCH(J91,Tabella!$G:$G,0)-1,MATCH(K91,Tabella!$G$1:$FG$1,0)-1)=TRUE),0,OFFSET(Tabella!$G$1,MATCH(J91,Tabella!$G:$G,0)-1,MATCH(K91,Tabella!$G$1:$AB$1,0)-1))</f>
        <v>0</v>
      </c>
      <c r="S91" s="205">
        <f ca="1">IF(ISERROR(OFFSET(Ottone!$F$1,MATCH(J91,Ottone!$A:$A,0)-1,MATCH(K91,Ottone!$F$1:$FF$1,0)-1)=TRUE),0,OFFSET(Ottone!$F$1,MATCH(J91,Ottone!$A:$A,0)-1,MATCH(K91,Ottone!$F$1:$FF$1,0)-1))*IF(G91="Ottone",1,0)</f>
        <v>0</v>
      </c>
      <c r="T91" s="205">
        <f ca="1">IF(ISERROR(OFFSET(Rame!$F$1,MATCH(J91,Rame!$F:$F,0)-1,MATCH(K91,Rame!$F$1:$FF$1,0)-1)=TRUE),0,OFFSET(Rame!$F$1,MATCH(J91,Rame!$F:$F,0)-1,MATCH(K91,Rame!$F$1:$FF$1,0)-1))*IF(G91="Rame",1,0)</f>
        <v>0</v>
      </c>
      <c r="U91" s="205">
        <f ca="1">IF(ISERROR(OFFSET(Bronzo!$A$1,MATCH(J91,Bronzo!$A:$A,0)-1,MATCH(K91,Bronzo!$A$1:$AA$1,0)-1)=TRUE),0,OFFSET(Bronzo!$A$1,MATCH(J91,Bronzo!$A:$A,0)-1,MATCH(K91,Bronzo!$A$1:$AA$1,0)-1))</f>
        <v>0</v>
      </c>
      <c r="V91" s="205">
        <f t="shared" ca="1" si="115"/>
        <v>0</v>
      </c>
      <c r="W91" s="204"/>
      <c r="X91" s="205">
        <v>0</v>
      </c>
      <c r="Y91" s="206">
        <f t="shared" ca="1" si="116"/>
        <v>1.5</v>
      </c>
      <c r="Z91" s="380">
        <f t="shared" si="117"/>
        <v>53.5</v>
      </c>
      <c r="AA91" s="203">
        <v>4.2</v>
      </c>
      <c r="AB91" s="203">
        <f t="shared" ca="1" si="118"/>
        <v>0.42000000000000037</v>
      </c>
      <c r="AC91" s="238"/>
      <c r="AG91" t="s">
        <v>404</v>
      </c>
      <c r="AI91" s="367">
        <f t="shared" ca="1" si="126"/>
        <v>46092</v>
      </c>
      <c r="AJ91" s="367" t="b">
        <f t="shared" si="120"/>
        <v>1</v>
      </c>
      <c r="AK91" s="370" t="str">
        <f t="shared" si="121"/>
        <v/>
      </c>
      <c r="AN91">
        <f t="shared" si="122"/>
        <v>0</v>
      </c>
      <c r="AO91">
        <f t="shared" si="123"/>
        <v>1900</v>
      </c>
      <c r="AV91">
        <f t="shared" si="124"/>
        <v>0</v>
      </c>
      <c r="AW91">
        <f t="shared" si="125"/>
        <v>0</v>
      </c>
    </row>
    <row r="92" spans="4:49" ht="15.75" x14ac:dyDescent="0.25">
      <c r="D92" s="199" t="s">
        <v>648</v>
      </c>
      <c r="E92" s="378" t="s">
        <v>113</v>
      </c>
      <c r="F92" s="379">
        <v>1120</v>
      </c>
      <c r="G92" s="201" t="s">
        <v>5</v>
      </c>
      <c r="H92" s="219">
        <v>8.1199999999999992</v>
      </c>
      <c r="I92" s="202">
        <v>45933</v>
      </c>
      <c r="J92" s="200" t="s">
        <v>18</v>
      </c>
      <c r="K92" s="200"/>
      <c r="L92" s="203">
        <v>0.1</v>
      </c>
      <c r="M92" s="204">
        <f ca="1">IF(ISERROR(OFFSET(Tabella!$A$1,MATCH(J92,Tabella!$A:$A,0)-1,MATCH(L92,Tabella!$A$1:$AC$1,0)-1)=TRUE),0,+OFFSET(Tabella!$A$1,MATCH(J92,Tabella!$A:$A,0)-1,MATCH(L92,Tabella!$A$1:$AC$1,0)-1))</f>
        <v>0</v>
      </c>
      <c r="N92" s="205">
        <f ca="1">IF(ISERROR(OFFSET(Ottone!$A$1,MATCH(J92,Ottone!$A:$A,0)-1,MATCH(L92,Ottone!$A$1:$Z$1,0)-1)=TRUE),0,OFFSET(Ottone!$A$1,MATCH(J92,Ottone!$A:$A,0)-1,MATCH(L92,Ottone!$A$1:$Z$1,0)-1))*IF(G92="Ottone",1,0)</f>
        <v>0.6</v>
      </c>
      <c r="O92" s="205">
        <f ca="1">IF(ISERROR(OFFSET(Rame!$A$1,MATCH(J92,Rame!$A:$A,0)-1,MATCH(L92,Rame!$A$1:$AA$1,0)-1)=TRUE),0,OFFSET(Rame!$A$1,MATCH(J92,Rame!$A:$A,0)-1,MATCH(L92,Rame!$A$1:$AA$1,0)-1))*IF(G92="Rame",1,0)</f>
        <v>0</v>
      </c>
      <c r="P92" s="205">
        <v>0</v>
      </c>
      <c r="Q92" s="205">
        <f t="shared" ca="1" si="119"/>
        <v>0.6</v>
      </c>
      <c r="R92" s="205">
        <f ca="1">+IF(ISERROR(OFFSET(Tabella!$G$1,MATCH(J92,Tabella!$G:$G,0)-1,MATCH(K92,Tabella!$G$1:$FG$1,0)-1)=TRUE),0,OFFSET(Tabella!$G$1,MATCH(J92,Tabella!$G:$G,0)-1,MATCH(K92,Tabella!$G$1:$AB$1,0)-1))</f>
        <v>0</v>
      </c>
      <c r="S92" s="205">
        <f ca="1">IF(ISERROR(OFFSET(Ottone!$F$1,MATCH(J92,Ottone!$A:$A,0)-1,MATCH(K92,Ottone!$F$1:$FF$1,0)-1)=TRUE),0,OFFSET(Ottone!$F$1,MATCH(J92,Ottone!$A:$A,0)-1,MATCH(K92,Ottone!$F$1:$FF$1,0)-1))*IF(G92="Ottone",1,0)</f>
        <v>0</v>
      </c>
      <c r="T92" s="205">
        <f ca="1">IF(ISERROR(OFFSET(Rame!$F$1,MATCH(J92,Rame!$F:$F,0)-1,MATCH(K92,Rame!$F$1:$FF$1,0)-1)=TRUE),0,OFFSET(Rame!$F$1,MATCH(J92,Rame!$F:$F,0)-1,MATCH(K92,Rame!$F$1:$FF$1,0)-1))*IF(G92="Rame",1,0)</f>
        <v>0</v>
      </c>
      <c r="U92" s="205">
        <f ca="1">IF(ISERROR(OFFSET(Bronzo!$A$1,MATCH(J92,Bronzo!$A:$A,0)-1,MATCH(K92,Bronzo!$A$1:$AA$1,0)-1)=TRUE),0,OFFSET(Bronzo!$A$1,MATCH(J92,Bronzo!$A:$A,0)-1,MATCH(K92,Bronzo!$A$1:$AA$1,0)-1))</f>
        <v>0</v>
      </c>
      <c r="V92" s="205">
        <f t="shared" ca="1" si="115"/>
        <v>0</v>
      </c>
      <c r="W92" s="204"/>
      <c r="X92" s="205">
        <v>0</v>
      </c>
      <c r="Y92" s="206">
        <f t="shared" ca="1" si="116"/>
        <v>0.6</v>
      </c>
      <c r="Z92" s="380">
        <f t="shared" si="117"/>
        <v>112</v>
      </c>
      <c r="AA92" s="203">
        <v>8.75</v>
      </c>
      <c r="AB92" s="203">
        <f t="shared" ca="1" si="118"/>
        <v>3.0000000000001137E-2</v>
      </c>
      <c r="AC92" s="238"/>
      <c r="AG92" t="s">
        <v>404</v>
      </c>
      <c r="AI92" s="367">
        <f t="shared" ca="1" si="126"/>
        <v>46092</v>
      </c>
      <c r="AJ92" s="367" t="b">
        <f t="shared" si="120"/>
        <v>1</v>
      </c>
      <c r="AK92" s="370" t="str">
        <f t="shared" si="121"/>
        <v/>
      </c>
      <c r="AN92">
        <f t="shared" si="122"/>
        <v>0</v>
      </c>
      <c r="AO92">
        <f t="shared" si="123"/>
        <v>1900</v>
      </c>
      <c r="AV92">
        <f t="shared" si="124"/>
        <v>0</v>
      </c>
      <c r="AW92">
        <f t="shared" si="125"/>
        <v>0</v>
      </c>
    </row>
    <row r="93" spans="4:49" ht="15.75" x14ac:dyDescent="0.25">
      <c r="D93" s="199" t="s">
        <v>463</v>
      </c>
      <c r="E93" s="200" t="s">
        <v>269</v>
      </c>
      <c r="F93" s="287">
        <v>1000</v>
      </c>
      <c r="G93" s="201" t="s">
        <v>4</v>
      </c>
      <c r="H93" s="219">
        <v>2.2999999999999998</v>
      </c>
      <c r="I93" s="202">
        <v>45936</v>
      </c>
      <c r="J93" s="200" t="s">
        <v>26</v>
      </c>
      <c r="K93" s="200"/>
      <c r="L93" s="203">
        <v>0.13</v>
      </c>
      <c r="M93" s="204">
        <f ca="1">IF(ISERROR(OFFSET(Tabella!$A$1,MATCH(J93,Tabella!$A:$A,0)-1,MATCH(L93,Tabella!$A$1:$AC$1,0)-1)=TRUE),0,+OFFSET(Tabella!$A$1,MATCH(J93,Tabella!$A:$A,0)-1,MATCH(L93,Tabella!$A$1:$AC$1,0)-1))</f>
        <v>0</v>
      </c>
      <c r="N93" s="205">
        <f ca="1">IF(ISERROR(OFFSET(Ottone!$A$1,MATCH(J93,Ottone!$A:$A,0)-1,MATCH(L93,Ottone!$A$1:$Z$1,0)-1)=TRUE),0,OFFSET(Ottone!$A$1,MATCH(J93,Ottone!$A:$A,0)-1,MATCH(L93,Ottone!$A$1:$Z$1,0)-1))*IF(G93="Ottone",1,0)</f>
        <v>0</v>
      </c>
      <c r="O93" s="205">
        <f ca="1">IF(ISERROR(OFFSET(Rame!$A$1,MATCH(J93,Rame!$A:$A,0)-1,MATCH(L93,Rame!$A$1:$AA$1,0)-1)=TRUE),0,OFFSET(Rame!$A$1,MATCH(J93,Rame!$A:$A,0)-1,MATCH(L93,Rame!$A$1:$AA$1,0)-1))*IF(G93="Rame",1,0)</f>
        <v>0</v>
      </c>
      <c r="P93" s="205">
        <v>0</v>
      </c>
      <c r="Q93" s="205">
        <v>1.79</v>
      </c>
      <c r="R93" s="205">
        <f ca="1">+IF(ISERROR(OFFSET(Tabella!$G$1,MATCH(J93,Tabella!$G:$G,0)-1,MATCH(K93,Tabella!$G$1:$FG$1,0)-1)=TRUE),0,OFFSET(Tabella!$G$1,MATCH(J93,Tabella!$G:$G,0)-1,MATCH(K93,Tabella!$G$1:$AB$1,0)-1))</f>
        <v>0</v>
      </c>
      <c r="S93" s="205">
        <f ca="1">IF(ISERROR(OFFSET(Ottone!$F$1,MATCH(J93,Ottone!$A:$A,0)-1,MATCH(K93,Ottone!$F$1:$FF$1,0)-1)=TRUE),0,OFFSET(Ottone!$F$1,MATCH(J93,Ottone!$A:$A,0)-1,MATCH(K93,Ottone!$F$1:$FF$1,0)-1))*IF(G93="Ottone",1,0)</f>
        <v>0</v>
      </c>
      <c r="T93" s="205">
        <f ca="1">IF(ISERROR(OFFSET(Rame!$F$1,MATCH(J93,Rame!$F:$F,0)-1,MATCH(K93,Rame!$F$1:$FF$1,0)-1)=TRUE),0,OFFSET(Rame!$F$1,MATCH(J93,Rame!$F:$F,0)-1,MATCH(K93,Rame!$F$1:$FF$1,0)-1))*IF(G93="Rame",1,0)</f>
        <v>0</v>
      </c>
      <c r="U93" s="205">
        <f ca="1">IF(ISERROR(OFFSET(Bronzo!$A$1,MATCH(J93,Bronzo!$A:$A,0)-1,MATCH(K93,Bronzo!$A$1:$AA$1,0)-1)=TRUE),0,OFFSET(Bronzo!$A$1,MATCH(J93,Bronzo!$A:$A,0)-1,MATCH(K93,Bronzo!$A$1:$AA$1,0)-1))</f>
        <v>0</v>
      </c>
      <c r="V93" s="205">
        <f t="shared" ca="1" si="115"/>
        <v>0</v>
      </c>
      <c r="W93" s="204"/>
      <c r="X93" s="205">
        <v>0</v>
      </c>
      <c r="Y93" s="206">
        <f t="shared" ca="1" si="116"/>
        <v>1.79</v>
      </c>
      <c r="Z93" s="277">
        <f t="shared" si="117"/>
        <v>130</v>
      </c>
      <c r="AA93" s="203">
        <v>4.3</v>
      </c>
      <c r="AB93" s="203">
        <f t="shared" ca="1" si="118"/>
        <v>0.20999999999999996</v>
      </c>
      <c r="AC93" s="238">
        <v>45999</v>
      </c>
      <c r="AI93" s="367">
        <f t="shared" ca="1" si="126"/>
        <v>46092</v>
      </c>
      <c r="AJ93" s="367" t="b">
        <f t="shared" si="120"/>
        <v>0</v>
      </c>
      <c r="AK93" s="370">
        <f t="shared" ca="1" si="121"/>
        <v>-93</v>
      </c>
      <c r="AN93">
        <f t="shared" si="122"/>
        <v>50</v>
      </c>
      <c r="AO93">
        <f t="shared" si="123"/>
        <v>2025</v>
      </c>
      <c r="AV93">
        <f t="shared" si="124"/>
        <v>12</v>
      </c>
      <c r="AW93">
        <f t="shared" si="125"/>
        <v>2025</v>
      </c>
    </row>
    <row r="94" spans="4:49" ht="15.75" x14ac:dyDescent="0.25">
      <c r="D94" s="199" t="s">
        <v>515</v>
      </c>
      <c r="E94" s="378" t="s">
        <v>269</v>
      </c>
      <c r="F94" s="379">
        <v>2884</v>
      </c>
      <c r="G94" s="201" t="s">
        <v>4</v>
      </c>
      <c r="H94" s="219">
        <v>2.2999999999999998</v>
      </c>
      <c r="I94" s="202">
        <v>45936</v>
      </c>
      <c r="J94" s="200" t="s">
        <v>26</v>
      </c>
      <c r="K94" s="200"/>
      <c r="L94" s="203">
        <v>0.13</v>
      </c>
      <c r="M94" s="204">
        <f ca="1">IF(ISERROR(OFFSET(Tabella!$A$1,MATCH(J94,Tabella!$A:$A,0)-1,MATCH(L94,Tabella!$A$1:$AC$1,0)-1)=TRUE),0,+OFFSET(Tabella!$A$1,MATCH(J94,Tabella!$A:$A,0)-1,MATCH(L94,Tabella!$A$1:$AC$1,0)-1))</f>
        <v>0</v>
      </c>
      <c r="N94" s="205">
        <f ca="1">IF(ISERROR(OFFSET(Ottone!$A$1,MATCH(J94,Ottone!$A:$A,0)-1,MATCH(L94,Ottone!$A$1:$Z$1,0)-1)=TRUE),0,OFFSET(Ottone!$A$1,MATCH(J94,Ottone!$A:$A,0)-1,MATCH(L94,Ottone!$A$1:$Z$1,0)-1))*IF(G94="Ottone",1,0)</f>
        <v>0</v>
      </c>
      <c r="O94" s="205">
        <f ca="1">IF(ISERROR(OFFSET(Rame!$A$1,MATCH(J94,Rame!$A:$A,0)-1,MATCH(L94,Rame!$A$1:$AA$1,0)-1)=TRUE),0,OFFSET(Rame!$A$1,MATCH(J94,Rame!$A:$A,0)-1,MATCH(L94,Rame!$A$1:$AA$1,0)-1))*IF(G94="Rame",1,0)</f>
        <v>0</v>
      </c>
      <c r="P94" s="205">
        <v>0</v>
      </c>
      <c r="Q94" s="205">
        <v>1.79</v>
      </c>
      <c r="R94" s="205">
        <f ca="1">+IF(ISERROR(OFFSET(Tabella!$G$1,MATCH(J94,Tabella!$G:$G,0)-1,MATCH(K94,Tabella!$G$1:$FG$1,0)-1)=TRUE),0,OFFSET(Tabella!$G$1,MATCH(J94,Tabella!$G:$G,0)-1,MATCH(K94,Tabella!$G$1:$AB$1,0)-1))</f>
        <v>0</v>
      </c>
      <c r="S94" s="205">
        <f ca="1">IF(ISERROR(OFFSET(Ottone!$F$1,MATCH(J94,Ottone!$A:$A,0)-1,MATCH(K94,Ottone!$F$1:$FF$1,0)-1)=TRUE),0,OFFSET(Ottone!$F$1,MATCH(J94,Ottone!$A:$A,0)-1,MATCH(K94,Ottone!$F$1:$FF$1,0)-1))*IF(G94="Ottone",1,0)</f>
        <v>0</v>
      </c>
      <c r="T94" s="205">
        <f ca="1">IF(ISERROR(OFFSET(Rame!$F$1,MATCH(J94,Rame!$F:$F,0)-1,MATCH(K94,Rame!$F$1:$FF$1,0)-1)=TRUE),0,OFFSET(Rame!$F$1,MATCH(J94,Rame!$F:$F,0)-1,MATCH(K94,Rame!$F$1:$FF$1,0)-1))*IF(G94="Rame",1,0)</f>
        <v>0</v>
      </c>
      <c r="U94" s="205">
        <f ca="1">IF(ISERROR(OFFSET(Bronzo!$A$1,MATCH(J94,Bronzo!$A:$A,0)-1,MATCH(K94,Bronzo!$A$1:$AA$1,0)-1)=TRUE),0,OFFSET(Bronzo!$A$1,MATCH(J94,Bronzo!$A:$A,0)-1,MATCH(K94,Bronzo!$A$1:$AA$1,0)-1))</f>
        <v>0</v>
      </c>
      <c r="V94" s="205">
        <f t="shared" ca="1" si="115"/>
        <v>0</v>
      </c>
      <c r="W94" s="204"/>
      <c r="X94" s="205">
        <v>0</v>
      </c>
      <c r="Y94" s="206">
        <f t="shared" ca="1" si="116"/>
        <v>1.79</v>
      </c>
      <c r="Z94" s="380">
        <f t="shared" si="117"/>
        <v>374.92</v>
      </c>
      <c r="AA94" s="203">
        <v>4.3</v>
      </c>
      <c r="AB94" s="203">
        <f t="shared" ca="1" si="118"/>
        <v>0.20999999999999996</v>
      </c>
      <c r="AC94" s="238"/>
      <c r="AG94" t="s">
        <v>404</v>
      </c>
      <c r="AI94" s="367">
        <f t="shared" ca="1" si="126"/>
        <v>46092</v>
      </c>
      <c r="AJ94" s="367" t="b">
        <f t="shared" si="120"/>
        <v>1</v>
      </c>
      <c r="AK94" s="370" t="str">
        <f t="shared" si="121"/>
        <v/>
      </c>
      <c r="AN94">
        <f t="shared" si="122"/>
        <v>0</v>
      </c>
      <c r="AO94">
        <f t="shared" si="123"/>
        <v>1900</v>
      </c>
      <c r="AV94">
        <f t="shared" si="124"/>
        <v>0</v>
      </c>
      <c r="AW94">
        <f t="shared" si="125"/>
        <v>0</v>
      </c>
    </row>
    <row r="95" spans="4:49" ht="15.75" x14ac:dyDescent="0.25">
      <c r="D95" s="199" t="s">
        <v>463</v>
      </c>
      <c r="E95" s="200" t="s">
        <v>269</v>
      </c>
      <c r="F95" s="287">
        <v>2100</v>
      </c>
      <c r="G95" s="201" t="s">
        <v>4</v>
      </c>
      <c r="H95" s="219">
        <v>2.2999999999999998</v>
      </c>
      <c r="I95" s="202">
        <v>45936</v>
      </c>
      <c r="J95" s="200" t="s">
        <v>26</v>
      </c>
      <c r="K95" s="200"/>
      <c r="L95" s="203">
        <v>0.13</v>
      </c>
      <c r="M95" s="204">
        <f ca="1">IF(ISERROR(OFFSET(Tabella!$A$1,MATCH(J95,Tabella!$A:$A,0)-1,MATCH(L95,Tabella!$A$1:$AC$1,0)-1)=TRUE),0,+OFFSET(Tabella!$A$1,MATCH(J95,Tabella!$A:$A,0)-1,MATCH(L95,Tabella!$A$1:$AC$1,0)-1))</f>
        <v>0</v>
      </c>
      <c r="N95" s="205">
        <f ca="1">IF(ISERROR(OFFSET(Ottone!$A$1,MATCH(J95,Ottone!$A:$A,0)-1,MATCH(L95,Ottone!$A$1:$Z$1,0)-1)=TRUE),0,OFFSET(Ottone!$A$1,MATCH(J95,Ottone!$A:$A,0)-1,MATCH(L95,Ottone!$A$1:$Z$1,0)-1))*IF(G95="Ottone",1,0)</f>
        <v>0</v>
      </c>
      <c r="O95" s="205">
        <f ca="1">IF(ISERROR(OFFSET(Rame!$A$1,MATCH(J95,Rame!$A:$A,0)-1,MATCH(L95,Rame!$A$1:$AA$1,0)-1)=TRUE),0,OFFSET(Rame!$A$1,MATCH(J95,Rame!$A:$A,0)-1,MATCH(L95,Rame!$A$1:$AA$1,0)-1))*IF(G95="Rame",1,0)</f>
        <v>0</v>
      </c>
      <c r="P95" s="205">
        <v>0</v>
      </c>
      <c r="Q95" s="205">
        <v>1.79</v>
      </c>
      <c r="R95" s="205">
        <f ca="1">+IF(ISERROR(OFFSET(Tabella!$G$1,MATCH(J95,Tabella!$G:$G,0)-1,MATCH(K95,Tabella!$G$1:$FG$1,0)-1)=TRUE),0,OFFSET(Tabella!$G$1,MATCH(J95,Tabella!$G:$G,0)-1,MATCH(K95,Tabella!$G$1:$AB$1,0)-1))</f>
        <v>0</v>
      </c>
      <c r="S95" s="205">
        <f ca="1">IF(ISERROR(OFFSET(Ottone!$F$1,MATCH(J95,Ottone!$A:$A,0)-1,MATCH(K95,Ottone!$F$1:$FF$1,0)-1)=TRUE),0,OFFSET(Ottone!$F$1,MATCH(J95,Ottone!$A:$A,0)-1,MATCH(K95,Ottone!$F$1:$FF$1,0)-1))*IF(G95="Ottone",1,0)</f>
        <v>0</v>
      </c>
      <c r="T95" s="205">
        <f ca="1">IF(ISERROR(OFFSET(Rame!$F$1,MATCH(J95,Rame!$F:$F,0)-1,MATCH(K95,Rame!$F$1:$FF$1,0)-1)=TRUE),0,OFFSET(Rame!$F$1,MATCH(J95,Rame!$F:$F,0)-1,MATCH(K95,Rame!$F$1:$FF$1,0)-1))*IF(G95="Rame",1,0)</f>
        <v>0</v>
      </c>
      <c r="U95" s="205">
        <f ca="1">IF(ISERROR(OFFSET(Bronzo!$A$1,MATCH(J95,Bronzo!$A:$A,0)-1,MATCH(K95,Bronzo!$A$1:$AA$1,0)-1)=TRUE),0,OFFSET(Bronzo!$A$1,MATCH(J95,Bronzo!$A:$A,0)-1,MATCH(K95,Bronzo!$A$1:$AA$1,0)-1))</f>
        <v>0</v>
      </c>
      <c r="V95" s="205">
        <f t="shared" ca="1" si="115"/>
        <v>0</v>
      </c>
      <c r="W95" s="204"/>
      <c r="X95" s="205">
        <v>0</v>
      </c>
      <c r="Y95" s="206">
        <f t="shared" ca="1" si="116"/>
        <v>1.79</v>
      </c>
      <c r="Z95" s="277">
        <f t="shared" si="117"/>
        <v>273</v>
      </c>
      <c r="AA95" s="203">
        <v>4.3</v>
      </c>
      <c r="AB95" s="203">
        <f t="shared" ca="1" si="118"/>
        <v>0.20999999999999996</v>
      </c>
      <c r="AC95" s="238">
        <v>45988</v>
      </c>
      <c r="AI95" s="367">
        <f t="shared" ca="1" si="126"/>
        <v>46092</v>
      </c>
      <c r="AJ95" s="367" t="b">
        <f t="shared" si="120"/>
        <v>0</v>
      </c>
      <c r="AK95" s="370">
        <f t="shared" ca="1" si="121"/>
        <v>-104</v>
      </c>
      <c r="AN95">
        <f t="shared" si="122"/>
        <v>48</v>
      </c>
      <c r="AO95">
        <f t="shared" si="123"/>
        <v>2025</v>
      </c>
      <c r="AV95">
        <f t="shared" si="124"/>
        <v>11</v>
      </c>
      <c r="AW95">
        <f t="shared" si="125"/>
        <v>2025</v>
      </c>
    </row>
    <row r="96" spans="4:49" ht="15.75" x14ac:dyDescent="0.25">
      <c r="D96" s="199" t="s">
        <v>584</v>
      </c>
      <c r="E96" s="378" t="s">
        <v>396</v>
      </c>
      <c r="F96" s="379">
        <v>399</v>
      </c>
      <c r="G96" s="201" t="s">
        <v>4</v>
      </c>
      <c r="H96" s="219">
        <v>2.3199999999999998</v>
      </c>
      <c r="I96" s="202">
        <v>45936</v>
      </c>
      <c r="J96" s="200" t="s">
        <v>13</v>
      </c>
      <c r="K96" s="200"/>
      <c r="L96" s="203">
        <v>0.1</v>
      </c>
      <c r="M96" s="204">
        <f ca="1">IF(ISERROR(OFFSET(Tabella!$A$1,MATCH(J96,Tabella!$A:$A,0)-1,MATCH(L96,Tabella!$A$1:$AC$1,0)-1)=TRUE),0,+OFFSET(Tabella!$A$1,MATCH(J96,Tabella!$A:$A,0)-1,MATCH(L96,Tabella!$A$1:$AC$1,0)-1))</f>
        <v>1.6</v>
      </c>
      <c r="N96" s="205">
        <f ca="1">IF(ISERROR(OFFSET(Ottone!$A$1,MATCH(J96,Ottone!$A:$A,0)-1,MATCH(L96,Ottone!$A$1:$Z$1,0)-1)=TRUE),0,OFFSET(Ottone!$A$1,MATCH(J96,Ottone!$A:$A,0)-1,MATCH(L96,Ottone!$A$1:$Z$1,0)-1))*IF(G96="Ottone",1,0)</f>
        <v>0</v>
      </c>
      <c r="O96" s="205">
        <f ca="1">IF(ISERROR(OFFSET(Rame!$A$1,MATCH(J96,Rame!$A:$A,0)-1,MATCH(L96,Rame!$A$1:$AA$1,0)-1)=TRUE),0,OFFSET(Rame!$A$1,MATCH(J96,Rame!$A:$A,0)-1,MATCH(L96,Rame!$A$1:$AA$1,0)-1))*IF(G96="Rame",1,0)</f>
        <v>0</v>
      </c>
      <c r="P96" s="205">
        <v>0</v>
      </c>
      <c r="Q96" s="205">
        <f t="shared" ca="1" si="119"/>
        <v>1.6</v>
      </c>
      <c r="R96" s="205">
        <f ca="1">+IF(ISERROR(OFFSET(Tabella!$G$1,MATCH(J96,Tabella!$G:$G,0)-1,MATCH(K96,Tabella!$G$1:$FG$1,0)-1)=TRUE),0,OFFSET(Tabella!$G$1,MATCH(J96,Tabella!$G:$G,0)-1,MATCH(K96,Tabella!$G$1:$AB$1,0)-1))</f>
        <v>0</v>
      </c>
      <c r="S96" s="205">
        <f ca="1">IF(ISERROR(OFFSET(Ottone!$F$1,MATCH(J96,Ottone!$A:$A,0)-1,MATCH(K96,Ottone!$F$1:$FF$1,0)-1)=TRUE),0,OFFSET(Ottone!$F$1,MATCH(J96,Ottone!$A:$A,0)-1,MATCH(K96,Ottone!$F$1:$FF$1,0)-1))*IF(G96="Ottone",1,0)</f>
        <v>0</v>
      </c>
      <c r="T96" s="205">
        <f ca="1">IF(ISERROR(OFFSET(Rame!$F$1,MATCH(J96,Rame!$F:$F,0)-1,MATCH(K96,Rame!$F$1:$FF$1,0)-1)=TRUE),0,OFFSET(Rame!$F$1,MATCH(J96,Rame!$F:$F,0)-1,MATCH(K96,Rame!$F$1:$FF$1,0)-1))*IF(G96="Rame",1,0)</f>
        <v>0</v>
      </c>
      <c r="U96" s="205">
        <f ca="1">IF(ISERROR(OFFSET(Bronzo!$A$1,MATCH(J96,Bronzo!$A:$A,0)-1,MATCH(K96,Bronzo!$A$1:$AA$1,0)-1)=TRUE),0,OFFSET(Bronzo!$A$1,MATCH(J96,Bronzo!$A:$A,0)-1,MATCH(K96,Bronzo!$A$1:$AA$1,0)-1))</f>
        <v>0</v>
      </c>
      <c r="V96" s="205">
        <f t="shared" ca="1" si="115"/>
        <v>0</v>
      </c>
      <c r="W96" s="204"/>
      <c r="X96" s="205">
        <v>0</v>
      </c>
      <c r="Y96" s="206">
        <f t="shared" ca="1" si="116"/>
        <v>1.6</v>
      </c>
      <c r="Z96" s="380">
        <f t="shared" si="117"/>
        <v>39.900000000000006</v>
      </c>
      <c r="AA96" s="203">
        <v>4.4800000000000004</v>
      </c>
      <c r="AB96" s="203">
        <f t="shared" ca="1" si="118"/>
        <v>0.5600000000000005</v>
      </c>
      <c r="AC96" s="238"/>
      <c r="AG96" t="s">
        <v>404</v>
      </c>
      <c r="AI96" s="367">
        <f t="shared" ca="1" si="126"/>
        <v>46092</v>
      </c>
      <c r="AJ96" s="367" t="b">
        <f t="shared" si="120"/>
        <v>1</v>
      </c>
      <c r="AK96" s="370" t="str">
        <f t="shared" si="121"/>
        <v/>
      </c>
      <c r="AN96">
        <f t="shared" si="122"/>
        <v>0</v>
      </c>
      <c r="AO96">
        <f t="shared" si="123"/>
        <v>1900</v>
      </c>
      <c r="AV96">
        <f t="shared" si="124"/>
        <v>0</v>
      </c>
      <c r="AW96">
        <f t="shared" si="125"/>
        <v>0</v>
      </c>
    </row>
    <row r="97" spans="4:49" ht="15.75" x14ac:dyDescent="0.25">
      <c r="D97" s="199" t="s">
        <v>625</v>
      </c>
      <c r="E97" s="378" t="s">
        <v>102</v>
      </c>
      <c r="F97" s="379">
        <v>1328</v>
      </c>
      <c r="G97" s="201" t="s">
        <v>4</v>
      </c>
      <c r="H97" s="219">
        <v>2.2400000000000002</v>
      </c>
      <c r="I97" s="202">
        <v>45911</v>
      </c>
      <c r="J97" s="200" t="s">
        <v>310</v>
      </c>
      <c r="K97" s="200"/>
      <c r="L97" s="203">
        <v>7.0000000000000007E-2</v>
      </c>
      <c r="M97" s="204">
        <f ca="1">IF(ISERROR(OFFSET(Tabella!$A$1,MATCH(J97,Tabella!$A:$A,0)-1,MATCH(L97,Tabella!$A$1:$AC$1,0)-1)=TRUE),0,+OFFSET(Tabella!$A$1,MATCH(J97,Tabella!$A:$A,0)-1,MATCH(L97,Tabella!$A$1:$AC$1,0)-1))</f>
        <v>1.25</v>
      </c>
      <c r="N97" s="205">
        <f ca="1">IF(ISERROR(OFFSET(Ottone!$A$1,MATCH(J97,Ottone!$A:$A,0)-1,MATCH(L97,Ottone!$A$1:$Z$1,0)-1)=TRUE),0,OFFSET(Ottone!$A$1,MATCH(J97,Ottone!$A:$A,0)-1,MATCH(L97,Ottone!$A$1:$Z$1,0)-1))*IF(G97="Ottone",1,0)</f>
        <v>0</v>
      </c>
      <c r="O97" s="205">
        <f ca="1">IF(ISERROR(OFFSET(Rame!$A$1,MATCH(J97,Rame!$A:$A,0)-1,MATCH(L97,Rame!$A$1:$AA$1,0)-1)=TRUE),0,OFFSET(Rame!$A$1,MATCH(J97,Rame!$A:$A,0)-1,MATCH(L97,Rame!$A$1:$AA$1,0)-1))*IF(G97="Rame",1,0)</f>
        <v>0</v>
      </c>
      <c r="P97" s="205">
        <v>0</v>
      </c>
      <c r="Q97" s="205">
        <f t="shared" ref="Q97:Q140" ca="1" si="127">SUM(M97:P97)</f>
        <v>1.25</v>
      </c>
      <c r="R97" s="205">
        <f ca="1">+IF(ISERROR(OFFSET(Tabella!$G$1,MATCH(J97,Tabella!$G:$G,0)-1,MATCH(K97,Tabella!$G$1:$FG$1,0)-1)=TRUE),0,OFFSET(Tabella!$G$1,MATCH(J97,Tabella!$G:$G,0)-1,MATCH(K97,Tabella!$G$1:$AB$1,0)-1))</f>
        <v>0</v>
      </c>
      <c r="S97" s="205">
        <f ca="1">IF(ISERROR(OFFSET(Ottone!$F$1,MATCH(J97,Ottone!$A:$A,0)-1,MATCH(K97,Ottone!$F$1:$FF$1,0)-1)=TRUE),0,OFFSET(Ottone!$F$1,MATCH(J97,Ottone!$A:$A,0)-1,MATCH(K97,Ottone!$F$1:$FF$1,0)-1))*IF(G97="Ottone",1,0)</f>
        <v>0</v>
      </c>
      <c r="T97" s="205">
        <f ca="1">IF(ISERROR(OFFSET(Rame!$F$1,MATCH(J97,Rame!$F:$F,0)-1,MATCH(K97,Rame!$F$1:$FF$1,0)-1)=TRUE),0,OFFSET(Rame!$F$1,MATCH(J97,Rame!$F:$F,0)-1,MATCH(K97,Rame!$F$1:$FF$1,0)-1))*IF(G97="Rame",1,0)</f>
        <v>0</v>
      </c>
      <c r="U97" s="205">
        <f ca="1">IF(ISERROR(OFFSET(Bronzo!$A$1,MATCH(J97,Bronzo!$A:$A,0)-1,MATCH(K97,Bronzo!$A$1:$AA$1,0)-1)=TRUE),0,OFFSET(Bronzo!$A$1,MATCH(J97,Bronzo!$A:$A,0)-1,MATCH(K97,Bronzo!$A$1:$AA$1,0)-1))</f>
        <v>0</v>
      </c>
      <c r="V97" s="205">
        <f t="shared" ref="V97:V140" ca="1" si="128">SUM(R97:U97)</f>
        <v>0</v>
      </c>
      <c r="W97" s="204"/>
      <c r="X97" s="205">
        <v>0</v>
      </c>
      <c r="Y97" s="206">
        <f t="shared" ref="Y97:Y140" ca="1" si="129">+Q97+V97+W97+X97</f>
        <v>1.25</v>
      </c>
      <c r="Z97" s="380">
        <f t="shared" ref="Z97:Z140" si="130">+L97*F97</f>
        <v>92.960000000000008</v>
      </c>
      <c r="AA97" s="203">
        <v>3.75</v>
      </c>
      <c r="AB97" s="203">
        <f t="shared" ref="AB97:AB140" ca="1" si="131">+AA97-Y97-H97</f>
        <v>0.25999999999999979</v>
      </c>
      <c r="AC97" s="238"/>
      <c r="AG97" t="s">
        <v>404</v>
      </c>
      <c r="AI97" s="367">
        <f t="shared" ca="1" si="126"/>
        <v>46092</v>
      </c>
      <c r="AJ97" s="367" t="b">
        <f t="shared" si="120"/>
        <v>1</v>
      </c>
      <c r="AK97" s="370" t="str">
        <f t="shared" si="121"/>
        <v/>
      </c>
      <c r="AN97">
        <f t="shared" si="122"/>
        <v>0</v>
      </c>
      <c r="AO97">
        <f t="shared" si="123"/>
        <v>1900</v>
      </c>
      <c r="AV97">
        <f t="shared" si="124"/>
        <v>0</v>
      </c>
      <c r="AW97">
        <f t="shared" si="125"/>
        <v>0</v>
      </c>
    </row>
    <row r="98" spans="4:49" ht="15.75" x14ac:dyDescent="0.25">
      <c r="D98" s="199" t="s">
        <v>461</v>
      </c>
      <c r="E98" s="200" t="s">
        <v>102</v>
      </c>
      <c r="F98" s="287">
        <v>3000</v>
      </c>
      <c r="G98" s="201" t="s">
        <v>4</v>
      </c>
      <c r="H98" s="219">
        <v>2.2400000000000002</v>
      </c>
      <c r="I98" s="202">
        <v>45911</v>
      </c>
      <c r="J98" s="200" t="s">
        <v>19</v>
      </c>
      <c r="K98" s="200"/>
      <c r="L98" s="203">
        <v>7.0000000000000007E-2</v>
      </c>
      <c r="M98" s="204">
        <f ca="1">IF(ISERROR(OFFSET(Tabella!$A$1,MATCH(J98,Tabella!$A:$A,0)-1,MATCH(L98,Tabella!$A$1:$AC$1,0)-1)=TRUE),0,+OFFSET(Tabella!$A$1,MATCH(J98,Tabella!$A:$A,0)-1,MATCH(L98,Tabella!$A$1:$AC$1,0)-1))</f>
        <v>1.35</v>
      </c>
      <c r="N98" s="205">
        <f ca="1">IF(ISERROR(OFFSET(Ottone!$A$1,MATCH(J98,Ottone!$A:$A,0)-1,MATCH(L98,Ottone!$A$1:$Z$1,0)-1)=TRUE),0,OFFSET(Ottone!$A$1,MATCH(J98,Ottone!$A:$A,0)-1,MATCH(L98,Ottone!$A$1:$Z$1,0)-1))*IF(G98="Ottone",1,0)</f>
        <v>0</v>
      </c>
      <c r="O98" s="205">
        <f ca="1">IF(ISERROR(OFFSET(Rame!$A$1,MATCH(J98,Rame!$A:$A,0)-1,MATCH(L98,Rame!$A$1:$AA$1,0)-1)=TRUE),0,OFFSET(Rame!$A$1,MATCH(J98,Rame!$A:$A,0)-1,MATCH(L98,Rame!$A$1:$AA$1,0)-1))*IF(G98="Rame",1,0)</f>
        <v>0</v>
      </c>
      <c r="P98" s="205">
        <v>0</v>
      </c>
      <c r="Q98" s="205">
        <f t="shared" ca="1" si="127"/>
        <v>1.35</v>
      </c>
      <c r="R98" s="205">
        <f ca="1">+IF(ISERROR(OFFSET(Tabella!$G$1,MATCH(J98,Tabella!$G:$G,0)-1,MATCH(K98,Tabella!$G$1:$FG$1,0)-1)=TRUE),0,OFFSET(Tabella!$G$1,MATCH(J98,Tabella!$G:$G,0)-1,MATCH(K98,Tabella!$G$1:$AB$1,0)-1))</f>
        <v>0</v>
      </c>
      <c r="S98" s="205">
        <f ca="1">IF(ISERROR(OFFSET(Ottone!$F$1,MATCH(J98,Ottone!$A:$A,0)-1,MATCH(K98,Ottone!$F$1:$FF$1,0)-1)=TRUE),0,OFFSET(Ottone!$F$1,MATCH(J98,Ottone!$A:$A,0)-1,MATCH(K98,Ottone!$F$1:$FF$1,0)-1))*IF(G98="Ottone",1,0)</f>
        <v>0</v>
      </c>
      <c r="T98" s="205">
        <f ca="1">IF(ISERROR(OFFSET(Rame!$F$1,MATCH(J98,Rame!$F:$F,0)-1,MATCH(K98,Rame!$F$1:$FF$1,0)-1)=TRUE),0,OFFSET(Rame!$F$1,MATCH(J98,Rame!$F:$F,0)-1,MATCH(K98,Rame!$F$1:$FF$1,0)-1))*IF(G98="Rame",1,0)</f>
        <v>0</v>
      </c>
      <c r="U98" s="205">
        <f ca="1">IF(ISERROR(OFFSET(Bronzo!$A$1,MATCH(J98,Bronzo!$A:$A,0)-1,MATCH(K98,Bronzo!$A$1:$AA$1,0)-1)=TRUE),0,OFFSET(Bronzo!$A$1,MATCH(J98,Bronzo!$A:$A,0)-1,MATCH(K98,Bronzo!$A$1:$AA$1,0)-1))</f>
        <v>0</v>
      </c>
      <c r="V98" s="205">
        <f t="shared" ca="1" si="128"/>
        <v>0</v>
      </c>
      <c r="W98" s="204"/>
      <c r="X98" s="205">
        <v>0</v>
      </c>
      <c r="Y98" s="206">
        <f t="shared" ca="1" si="129"/>
        <v>1.35</v>
      </c>
      <c r="Z98" s="277">
        <f t="shared" si="130"/>
        <v>210.00000000000003</v>
      </c>
      <c r="AA98" s="203">
        <v>3.8</v>
      </c>
      <c r="AB98" s="203">
        <f t="shared" ca="1" si="131"/>
        <v>0.20999999999999952</v>
      </c>
      <c r="AC98" s="238">
        <v>46030</v>
      </c>
      <c r="AI98" s="367">
        <f t="shared" ca="1" si="126"/>
        <v>46092</v>
      </c>
      <c r="AJ98" s="367" t="b">
        <f t="shared" si="120"/>
        <v>0</v>
      </c>
      <c r="AK98" s="370">
        <f t="shared" ca="1" si="121"/>
        <v>-62</v>
      </c>
      <c r="AN98">
        <f t="shared" si="122"/>
        <v>2</v>
      </c>
      <c r="AO98">
        <f t="shared" si="123"/>
        <v>2026</v>
      </c>
      <c r="AV98">
        <f t="shared" si="124"/>
        <v>1</v>
      </c>
      <c r="AW98">
        <f t="shared" si="125"/>
        <v>2026</v>
      </c>
    </row>
    <row r="99" spans="4:49" ht="15.75" x14ac:dyDescent="0.25">
      <c r="D99" s="199" t="s">
        <v>465</v>
      </c>
      <c r="E99" s="200" t="s">
        <v>330</v>
      </c>
      <c r="F99" s="287">
        <v>400</v>
      </c>
      <c r="G99" s="201" t="s">
        <v>4</v>
      </c>
      <c r="H99" s="381">
        <v>1.6</v>
      </c>
      <c r="I99" s="202">
        <v>45937</v>
      </c>
      <c r="J99" s="200" t="s">
        <v>22</v>
      </c>
      <c r="K99" s="200"/>
      <c r="L99" s="203">
        <v>7.0000000000000007E-2</v>
      </c>
      <c r="M99" s="204">
        <f ca="1">IF(ISERROR(OFFSET(Tabella!$A$1,MATCH(J99,Tabella!$A:$A,0)-1,MATCH(L99,Tabella!$A$1:$AC$1,0)-1)=TRUE),0,+OFFSET(Tabella!$A$1,MATCH(J99,Tabella!$A:$A,0)-1,MATCH(L99,Tabella!$A$1:$AC$1,0)-1))</f>
        <v>1.25</v>
      </c>
      <c r="N99" s="205">
        <f ca="1">IF(ISERROR(OFFSET(Ottone!$A$1,MATCH(J99,Ottone!$A:$A,0)-1,MATCH(L99,Ottone!$A$1:$Z$1,0)-1)=TRUE),0,OFFSET(Ottone!$A$1,MATCH(J99,Ottone!$A:$A,0)-1,MATCH(L99,Ottone!$A$1:$Z$1,0)-1))*IF(G99="Ottone",1,0)</f>
        <v>0</v>
      </c>
      <c r="O99" s="205">
        <f ca="1">IF(ISERROR(OFFSET(Rame!$A$1,MATCH(J99,Rame!$A:$A,0)-1,MATCH(L99,Rame!$A$1:$AA$1,0)-1)=TRUE),0,OFFSET(Rame!$A$1,MATCH(J99,Rame!$A:$A,0)-1,MATCH(L99,Rame!$A$1:$AA$1,0)-1))*IF(G99="Rame",1,0)</f>
        <v>0</v>
      </c>
      <c r="P99" s="205">
        <v>0</v>
      </c>
      <c r="Q99" s="205">
        <f t="shared" ca="1" si="127"/>
        <v>1.25</v>
      </c>
      <c r="R99" s="205">
        <f ca="1">+IF(ISERROR(OFFSET(Tabella!$G$1,MATCH(J99,Tabella!$G:$G,0)-1,MATCH(K99,Tabella!$G$1:$FG$1,0)-1)=TRUE),0,OFFSET(Tabella!$G$1,MATCH(J99,Tabella!$G:$G,0)-1,MATCH(K99,Tabella!$G$1:$AB$1,0)-1))</f>
        <v>0</v>
      </c>
      <c r="S99" s="205">
        <f ca="1">IF(ISERROR(OFFSET(Ottone!$F$1,MATCH(J99,Ottone!$A:$A,0)-1,MATCH(K99,Ottone!$F$1:$FF$1,0)-1)=TRUE),0,OFFSET(Ottone!$F$1,MATCH(J99,Ottone!$A:$A,0)-1,MATCH(K99,Ottone!$F$1:$FF$1,0)-1))*IF(G99="Ottone",1,0)</f>
        <v>0</v>
      </c>
      <c r="T99" s="205">
        <f ca="1">IF(ISERROR(OFFSET(Rame!$F$1,MATCH(J99,Rame!$F:$F,0)-1,MATCH(K99,Rame!$F$1:$FF$1,0)-1)=TRUE),0,OFFSET(Rame!$F$1,MATCH(J99,Rame!$F:$F,0)-1,MATCH(K99,Rame!$F$1:$FF$1,0)-1))*IF(G99="Rame",1,0)</f>
        <v>0</v>
      </c>
      <c r="U99" s="205">
        <f ca="1">IF(ISERROR(OFFSET(Bronzo!$A$1,MATCH(J99,Bronzo!$A:$A,0)-1,MATCH(K99,Bronzo!$A$1:$AA$1,0)-1)=TRUE),0,OFFSET(Bronzo!$A$1,MATCH(J99,Bronzo!$A:$A,0)-1,MATCH(K99,Bronzo!$A$1:$AA$1,0)-1))</f>
        <v>0</v>
      </c>
      <c r="V99" s="205">
        <f t="shared" ca="1" si="128"/>
        <v>0</v>
      </c>
      <c r="W99" s="204"/>
      <c r="X99" s="205">
        <v>0</v>
      </c>
      <c r="Y99" s="206">
        <f t="shared" ca="1" si="129"/>
        <v>1.25</v>
      </c>
      <c r="Z99" s="277">
        <f t="shared" si="130"/>
        <v>28.000000000000004</v>
      </c>
      <c r="AA99" s="382">
        <v>1.6</v>
      </c>
      <c r="AB99" s="203">
        <f t="shared" ca="1" si="131"/>
        <v>-1.25</v>
      </c>
      <c r="AC99" s="238">
        <v>45989</v>
      </c>
      <c r="AI99" s="367">
        <f t="shared" ca="1" si="126"/>
        <v>46092</v>
      </c>
      <c r="AJ99" s="367" t="b">
        <f t="shared" si="120"/>
        <v>0</v>
      </c>
      <c r="AK99" s="370">
        <f t="shared" ca="1" si="121"/>
        <v>-103</v>
      </c>
      <c r="AN99">
        <f t="shared" si="122"/>
        <v>48</v>
      </c>
      <c r="AO99">
        <f t="shared" si="123"/>
        <v>2025</v>
      </c>
      <c r="AV99">
        <f t="shared" si="124"/>
        <v>11</v>
      </c>
      <c r="AW99">
        <f t="shared" si="125"/>
        <v>2025</v>
      </c>
    </row>
    <row r="100" spans="4:49" ht="15.75" x14ac:dyDescent="0.25">
      <c r="D100" s="199" t="s">
        <v>506</v>
      </c>
      <c r="E100" s="378" t="s">
        <v>162</v>
      </c>
      <c r="F100" s="379">
        <v>239</v>
      </c>
      <c r="G100" s="201" t="s">
        <v>4</v>
      </c>
      <c r="H100" s="219">
        <v>2.36</v>
      </c>
      <c r="I100" s="202">
        <v>45938</v>
      </c>
      <c r="J100" s="200" t="s">
        <v>9</v>
      </c>
      <c r="K100" s="200"/>
      <c r="L100" s="203">
        <v>0.2</v>
      </c>
      <c r="M100" s="204">
        <f ca="1">IF(ISERROR(OFFSET(Tabella!$A$1,MATCH(J100,Tabella!$A:$A,0)-1,MATCH(L100,Tabella!$A$1:$AC$1,0)-1)=TRUE),0,+OFFSET(Tabella!$A$1,MATCH(J100,Tabella!$A:$A,0)-1,MATCH(L100,Tabella!$A$1:$AC$1,0)-1))</f>
        <v>0</v>
      </c>
      <c r="N100" s="205">
        <f ca="1">IF(ISERROR(OFFSET(Ottone!$A$1,MATCH(J100,Ottone!$A:$A,0)-1,MATCH(L100,Ottone!$A$1:$Z$1,0)-1)=TRUE),0,OFFSET(Ottone!$A$1,MATCH(J100,Ottone!$A:$A,0)-1,MATCH(L100,Ottone!$A$1:$Z$1,0)-1))*IF(G100="Ottone",1,0)</f>
        <v>0</v>
      </c>
      <c r="O100" s="205">
        <f ca="1">IF(ISERROR(OFFSET(Rame!$A$1,MATCH(J100,Rame!$A:$A,0)-1,MATCH(L100,Rame!$A$1:$AA$1,0)-1)=TRUE),0,OFFSET(Rame!$A$1,MATCH(J100,Rame!$A:$A,0)-1,MATCH(L100,Rame!$A$1:$AA$1,0)-1))*IF(G100="Rame",1,0)</f>
        <v>0</v>
      </c>
      <c r="P100" s="205">
        <v>0</v>
      </c>
      <c r="Q100" s="205">
        <v>1.98</v>
      </c>
      <c r="R100" s="205">
        <f ca="1">+IF(ISERROR(OFFSET(Tabella!$G$1,MATCH(J100,Tabella!$G:$G,0)-1,MATCH(K100,Tabella!$G$1:$FG$1,0)-1)=TRUE),0,OFFSET(Tabella!$G$1,MATCH(J100,Tabella!$G:$G,0)-1,MATCH(K100,Tabella!$G$1:$AB$1,0)-1))</f>
        <v>0</v>
      </c>
      <c r="S100" s="205">
        <f ca="1">IF(ISERROR(OFFSET(Ottone!$F$1,MATCH(J100,Ottone!$A:$A,0)-1,MATCH(K100,Ottone!$F$1:$FF$1,0)-1)=TRUE),0,OFFSET(Ottone!$F$1,MATCH(J100,Ottone!$A:$A,0)-1,MATCH(K100,Ottone!$F$1:$FF$1,0)-1))*IF(G100="Ottone",1,0)</f>
        <v>0</v>
      </c>
      <c r="T100" s="205">
        <f ca="1">IF(ISERROR(OFFSET(Rame!$F$1,MATCH(J100,Rame!$F:$F,0)-1,MATCH(K100,Rame!$F$1:$FF$1,0)-1)=TRUE),0,OFFSET(Rame!$F$1,MATCH(J100,Rame!$F:$F,0)-1,MATCH(K100,Rame!$F$1:$FF$1,0)-1))*IF(G100="Rame",1,0)</f>
        <v>0</v>
      </c>
      <c r="U100" s="205">
        <f ca="1">IF(ISERROR(OFFSET(Bronzo!$A$1,MATCH(J100,Bronzo!$A:$A,0)-1,MATCH(K100,Bronzo!$A$1:$AA$1,0)-1)=TRUE),0,OFFSET(Bronzo!$A$1,MATCH(J100,Bronzo!$A:$A,0)-1,MATCH(K100,Bronzo!$A$1:$AA$1,0)-1))</f>
        <v>0</v>
      </c>
      <c r="V100" s="205">
        <f t="shared" ca="1" si="128"/>
        <v>0</v>
      </c>
      <c r="W100" s="204"/>
      <c r="X100" s="205">
        <v>0</v>
      </c>
      <c r="Y100" s="206">
        <f t="shared" ca="1" si="129"/>
        <v>1.98</v>
      </c>
      <c r="Z100" s="380">
        <f t="shared" si="130"/>
        <v>47.800000000000004</v>
      </c>
      <c r="AA100" s="203">
        <v>5.0999999999999996</v>
      </c>
      <c r="AB100" s="203">
        <f t="shared" ca="1" si="131"/>
        <v>0.75999999999999979</v>
      </c>
      <c r="AC100" s="238"/>
      <c r="AG100" t="s">
        <v>404</v>
      </c>
      <c r="AI100" s="367">
        <f t="shared" ca="1" si="126"/>
        <v>46092</v>
      </c>
      <c r="AJ100" s="367" t="b">
        <f t="shared" si="120"/>
        <v>1</v>
      </c>
      <c r="AK100" s="370" t="str">
        <f t="shared" si="121"/>
        <v/>
      </c>
      <c r="AN100">
        <f t="shared" si="122"/>
        <v>0</v>
      </c>
      <c r="AO100">
        <f t="shared" si="123"/>
        <v>1900</v>
      </c>
      <c r="AV100">
        <f t="shared" si="124"/>
        <v>0</v>
      </c>
      <c r="AW100">
        <f t="shared" si="125"/>
        <v>0</v>
      </c>
    </row>
    <row r="101" spans="4:49" ht="15.75" x14ac:dyDescent="0.25">
      <c r="D101" s="199" t="s">
        <v>470</v>
      </c>
      <c r="E101" s="200" t="s">
        <v>269</v>
      </c>
      <c r="F101" s="287">
        <v>1000</v>
      </c>
      <c r="G101" s="201" t="s">
        <v>6</v>
      </c>
      <c r="H101" s="219">
        <v>9.1199999999999992</v>
      </c>
      <c r="I101" s="202">
        <v>45937</v>
      </c>
      <c r="J101" s="200" t="s">
        <v>18</v>
      </c>
      <c r="K101" s="200"/>
      <c r="L101" s="203">
        <v>0.15</v>
      </c>
      <c r="M101" s="204">
        <f ca="1">IF(ISERROR(OFFSET(Tabella!$A$1,MATCH(J101,Tabella!$A:$A,0)-1,MATCH(L101,Tabella!$A$1:$AC$1,0)-1)=TRUE),0,+OFFSET(Tabella!$A$1,MATCH(J101,Tabella!$A:$A,0)-1,MATCH(L101,Tabella!$A$1:$AC$1,0)-1))</f>
        <v>0</v>
      </c>
      <c r="N101" s="205">
        <f ca="1">IF(ISERROR(OFFSET(Ottone!$A$1,MATCH(J101,Ottone!$A:$A,0)-1,MATCH(L101,Ottone!$A$1:$Z$1,0)-1)=TRUE),0,OFFSET(Ottone!$A$1,MATCH(J101,Ottone!$A:$A,0)-1,MATCH(L101,Ottone!$A$1:$Z$1,0)-1))*IF(G101="Ottone",1,0)</f>
        <v>0</v>
      </c>
      <c r="O101" s="205">
        <f ca="1">IF(ISERROR(OFFSET(Rame!$A$1,MATCH(J101,Rame!$A:$A,0)-1,MATCH(L101,Rame!$A$1:$AA$1,0)-1)=TRUE),0,OFFSET(Rame!$A$1,MATCH(J101,Rame!$A:$A,0)-1,MATCH(L101,Rame!$A$1:$AA$1,0)-1))*IF(G101="Rame",1,0)</f>
        <v>0.82</v>
      </c>
      <c r="P101" s="205">
        <v>0</v>
      </c>
      <c r="Q101" s="205">
        <f t="shared" ca="1" si="127"/>
        <v>0.82</v>
      </c>
      <c r="R101" s="205">
        <f ca="1">+IF(ISERROR(OFFSET(Tabella!$G$1,MATCH(J101,Tabella!$G:$G,0)-1,MATCH(K101,Tabella!$G$1:$FG$1,0)-1)=TRUE),0,OFFSET(Tabella!$G$1,MATCH(J101,Tabella!$G:$G,0)-1,MATCH(K101,Tabella!$G$1:$AB$1,0)-1))</f>
        <v>0</v>
      </c>
      <c r="S101" s="205">
        <f ca="1">IF(ISERROR(OFFSET(Ottone!$F$1,MATCH(J101,Ottone!$A:$A,0)-1,MATCH(K101,Ottone!$F$1:$FF$1,0)-1)=TRUE),0,OFFSET(Ottone!$F$1,MATCH(J101,Ottone!$A:$A,0)-1,MATCH(K101,Ottone!$F$1:$FF$1,0)-1))*IF(G101="Ottone",1,0)</f>
        <v>0</v>
      </c>
      <c r="T101" s="205">
        <f ca="1">IF(ISERROR(OFFSET(Rame!$F$1,MATCH(J101,Rame!$F:$F,0)-1,MATCH(K101,Rame!$F$1:$FF$1,0)-1)=TRUE),0,OFFSET(Rame!$F$1,MATCH(J101,Rame!$F:$F,0)-1,MATCH(K101,Rame!$F$1:$FF$1,0)-1))*IF(G101="Rame",1,0)</f>
        <v>0</v>
      </c>
      <c r="U101" s="205">
        <f ca="1">IF(ISERROR(OFFSET(Bronzo!$A$1,MATCH(J101,Bronzo!$A:$A,0)-1,MATCH(K101,Bronzo!$A$1:$AA$1,0)-1)=TRUE),0,OFFSET(Bronzo!$A$1,MATCH(J101,Bronzo!$A:$A,0)-1,MATCH(K101,Bronzo!$A$1:$AA$1,0)-1))</f>
        <v>0</v>
      </c>
      <c r="V101" s="205">
        <f t="shared" ca="1" si="128"/>
        <v>0</v>
      </c>
      <c r="W101" s="204"/>
      <c r="X101" s="205">
        <v>0</v>
      </c>
      <c r="Y101" s="206">
        <f t="shared" ca="1" si="129"/>
        <v>0.82</v>
      </c>
      <c r="Z101" s="277">
        <f t="shared" si="130"/>
        <v>150</v>
      </c>
      <c r="AA101" s="203">
        <v>14.4</v>
      </c>
      <c r="AB101" s="203">
        <f t="shared" ca="1" si="131"/>
        <v>4.4600000000000009</v>
      </c>
      <c r="AC101" s="238">
        <v>46031</v>
      </c>
      <c r="AI101" s="367">
        <f t="shared" ca="1" si="126"/>
        <v>46092</v>
      </c>
      <c r="AJ101" s="367" t="b">
        <f t="shared" si="120"/>
        <v>0</v>
      </c>
      <c r="AK101" s="370">
        <f t="shared" ca="1" si="121"/>
        <v>-61</v>
      </c>
      <c r="AN101">
        <f t="shared" si="122"/>
        <v>2</v>
      </c>
      <c r="AO101">
        <f t="shared" si="123"/>
        <v>2026</v>
      </c>
      <c r="AV101">
        <f t="shared" si="124"/>
        <v>1</v>
      </c>
      <c r="AW101">
        <f t="shared" si="125"/>
        <v>2026</v>
      </c>
    </row>
    <row r="102" spans="4:49" ht="15.75" x14ac:dyDescent="0.25">
      <c r="D102" s="199" t="s">
        <v>499</v>
      </c>
      <c r="E102" s="378" t="s">
        <v>212</v>
      </c>
      <c r="F102" s="379">
        <v>3191</v>
      </c>
      <c r="G102" s="201" t="s">
        <v>4</v>
      </c>
      <c r="H102" s="219">
        <v>2.2599999999999998</v>
      </c>
      <c r="I102" s="202">
        <v>45937</v>
      </c>
      <c r="J102" s="200" t="s">
        <v>17</v>
      </c>
      <c r="K102" s="200"/>
      <c r="L102" s="203">
        <v>0.05</v>
      </c>
      <c r="M102" s="204">
        <f ca="1">IF(ISERROR(OFFSET(Tabella!$A$1,MATCH(J102,Tabella!$A:$A,0)-1,MATCH(L102,Tabella!$A$1:$AC$1,0)-1)=TRUE),0,+OFFSET(Tabella!$A$1,MATCH(J102,Tabella!$A:$A,0)-1,MATCH(L102,Tabella!$A$1:$AC$1,0)-1))</f>
        <v>0</v>
      </c>
      <c r="N102" s="205">
        <f ca="1">IF(ISERROR(OFFSET(Ottone!$A$1,MATCH(J102,Ottone!$A:$A,0)-1,MATCH(L102,Ottone!$A$1:$Z$1,0)-1)=TRUE),0,OFFSET(Ottone!$A$1,MATCH(J102,Ottone!$A:$A,0)-1,MATCH(L102,Ottone!$A$1:$Z$1,0)-1))*IF(G102="Ottone",1,0)</f>
        <v>0</v>
      </c>
      <c r="O102" s="205">
        <f ca="1">IF(ISERROR(OFFSET(Rame!$A$1,MATCH(J102,Rame!$A:$A,0)-1,MATCH(L102,Rame!$A$1:$AA$1,0)-1)=TRUE),0,OFFSET(Rame!$A$1,MATCH(J102,Rame!$A:$A,0)-1,MATCH(L102,Rame!$A$1:$AA$1,0)-1))*IF(G102="Rame",1,0)</f>
        <v>0</v>
      </c>
      <c r="P102" s="205">
        <v>0</v>
      </c>
      <c r="Q102" s="205">
        <v>1.5</v>
      </c>
      <c r="R102" s="205">
        <f ca="1">+IF(ISERROR(OFFSET(Tabella!$G$1,MATCH(J102,Tabella!$G:$G,0)-1,MATCH(K102,Tabella!$G$1:$FG$1,0)-1)=TRUE),0,OFFSET(Tabella!$G$1,MATCH(J102,Tabella!$G:$G,0)-1,MATCH(K102,Tabella!$G$1:$AB$1,0)-1))</f>
        <v>0</v>
      </c>
      <c r="S102" s="205">
        <f ca="1">IF(ISERROR(OFFSET(Ottone!$F$1,MATCH(J102,Ottone!$A:$A,0)-1,MATCH(K102,Ottone!$F$1:$FF$1,0)-1)=TRUE),0,OFFSET(Ottone!$F$1,MATCH(J102,Ottone!$A:$A,0)-1,MATCH(K102,Ottone!$F$1:$FF$1,0)-1))*IF(G102="Ottone",1,0)</f>
        <v>0</v>
      </c>
      <c r="T102" s="205">
        <f ca="1">IF(ISERROR(OFFSET(Rame!$F$1,MATCH(J102,Rame!$F:$F,0)-1,MATCH(K102,Rame!$F$1:$FF$1,0)-1)=TRUE),0,OFFSET(Rame!$F$1,MATCH(J102,Rame!$F:$F,0)-1,MATCH(K102,Rame!$F$1:$FF$1,0)-1))*IF(G102="Rame",1,0)</f>
        <v>0</v>
      </c>
      <c r="U102" s="205">
        <f ca="1">IF(ISERROR(OFFSET(Bronzo!$A$1,MATCH(J102,Bronzo!$A:$A,0)-1,MATCH(K102,Bronzo!$A$1:$AA$1,0)-1)=TRUE),0,OFFSET(Bronzo!$A$1,MATCH(J102,Bronzo!$A:$A,0)-1,MATCH(K102,Bronzo!$A$1:$AA$1,0)-1))</f>
        <v>0</v>
      </c>
      <c r="V102" s="205">
        <f t="shared" ca="1" si="128"/>
        <v>0</v>
      </c>
      <c r="W102" s="204"/>
      <c r="X102" s="205">
        <v>0</v>
      </c>
      <c r="Y102" s="206">
        <f t="shared" ca="1" si="129"/>
        <v>1.5</v>
      </c>
      <c r="Z102" s="380">
        <f t="shared" si="130"/>
        <v>159.55000000000001</v>
      </c>
      <c r="AA102" s="203">
        <v>3.78</v>
      </c>
      <c r="AB102" s="203">
        <f t="shared" ca="1" si="131"/>
        <v>2.0000000000000018E-2</v>
      </c>
      <c r="AC102" s="238"/>
      <c r="AG102" t="s">
        <v>404</v>
      </c>
      <c r="AI102" s="367">
        <f t="shared" ca="1" si="126"/>
        <v>46092</v>
      </c>
      <c r="AJ102" s="367" t="b">
        <f t="shared" si="120"/>
        <v>1</v>
      </c>
      <c r="AK102" s="370" t="str">
        <f t="shared" si="121"/>
        <v/>
      </c>
      <c r="AN102">
        <f t="shared" si="122"/>
        <v>0</v>
      </c>
      <c r="AO102">
        <f t="shared" si="123"/>
        <v>1900</v>
      </c>
      <c r="AV102">
        <f t="shared" si="124"/>
        <v>0</v>
      </c>
      <c r="AW102">
        <f t="shared" si="125"/>
        <v>0</v>
      </c>
    </row>
    <row r="103" spans="4:49" ht="15.75" x14ac:dyDescent="0.25">
      <c r="D103" s="199" t="s">
        <v>519</v>
      </c>
      <c r="E103" s="378" t="s">
        <v>108</v>
      </c>
      <c r="F103" s="379">
        <v>644</v>
      </c>
      <c r="G103" s="201" t="s">
        <v>4</v>
      </c>
      <c r="H103" s="219">
        <v>2.2799999999999998</v>
      </c>
      <c r="I103" s="202">
        <v>45930</v>
      </c>
      <c r="J103" s="200" t="s">
        <v>309</v>
      </c>
      <c r="K103" s="200"/>
      <c r="L103" s="203">
        <v>7.0000000000000007E-2</v>
      </c>
      <c r="M103" s="204">
        <f ca="1">IF(ISERROR(OFFSET(Tabella!$A$1,MATCH(J103,Tabella!$A:$A,0)-1,MATCH(L103,Tabella!$A$1:$AC$1,0)-1)=TRUE),0,+OFFSET(Tabella!$A$1,MATCH(J103,Tabella!$A:$A,0)-1,MATCH(L103,Tabella!$A$1:$AC$1,0)-1))</f>
        <v>1.25</v>
      </c>
      <c r="N103" s="205">
        <f ca="1">IF(ISERROR(OFFSET(Ottone!$A$1,MATCH(J103,Ottone!$A:$A,0)-1,MATCH(L103,Ottone!$A$1:$Z$1,0)-1)=TRUE),0,OFFSET(Ottone!$A$1,MATCH(J103,Ottone!$A:$A,0)-1,MATCH(L103,Ottone!$A$1:$Z$1,0)-1))*IF(G103="Ottone",1,0)</f>
        <v>0</v>
      </c>
      <c r="O103" s="205">
        <f ca="1">IF(ISERROR(OFFSET(Rame!$A$1,MATCH(J103,Rame!$A:$A,0)-1,MATCH(L103,Rame!$A$1:$AA$1,0)-1)=TRUE),0,OFFSET(Rame!$A$1,MATCH(J103,Rame!$A:$A,0)-1,MATCH(L103,Rame!$A$1:$AA$1,0)-1))*IF(G103="Rame",1,0)</f>
        <v>0</v>
      </c>
      <c r="P103" s="205">
        <v>0</v>
      </c>
      <c r="Q103" s="205">
        <f t="shared" ca="1" si="127"/>
        <v>1.25</v>
      </c>
      <c r="R103" s="205">
        <f ca="1">+IF(ISERROR(OFFSET(Tabella!$G$1,MATCH(J103,Tabella!$G:$G,0)-1,MATCH(K103,Tabella!$G$1:$FG$1,0)-1)=TRUE),0,OFFSET(Tabella!$G$1,MATCH(J103,Tabella!$G:$G,0)-1,MATCH(K103,Tabella!$G$1:$AB$1,0)-1))</f>
        <v>0</v>
      </c>
      <c r="S103" s="205">
        <f ca="1">IF(ISERROR(OFFSET(Ottone!$F$1,MATCH(J103,Ottone!$A:$A,0)-1,MATCH(K103,Ottone!$F$1:$FF$1,0)-1)=TRUE),0,OFFSET(Ottone!$F$1,MATCH(J103,Ottone!$A:$A,0)-1,MATCH(K103,Ottone!$F$1:$FF$1,0)-1))*IF(G103="Ottone",1,0)</f>
        <v>0</v>
      </c>
      <c r="T103" s="205">
        <f ca="1">IF(ISERROR(OFFSET(Rame!$F$1,MATCH(J103,Rame!$F:$F,0)-1,MATCH(K103,Rame!$F$1:$FF$1,0)-1)=TRUE),0,OFFSET(Rame!$F$1,MATCH(J103,Rame!$F:$F,0)-1,MATCH(K103,Rame!$F$1:$FF$1,0)-1))*IF(G103="Rame",1,0)</f>
        <v>0</v>
      </c>
      <c r="U103" s="205">
        <f ca="1">IF(ISERROR(OFFSET(Bronzo!$A$1,MATCH(J103,Bronzo!$A:$A,0)-1,MATCH(K103,Bronzo!$A$1:$AA$1,0)-1)=TRUE),0,OFFSET(Bronzo!$A$1,MATCH(J103,Bronzo!$A:$A,0)-1,MATCH(K103,Bronzo!$A$1:$AA$1,0)-1))</f>
        <v>0</v>
      </c>
      <c r="V103" s="205">
        <f t="shared" ca="1" si="128"/>
        <v>0</v>
      </c>
      <c r="W103" s="204"/>
      <c r="X103" s="205">
        <v>0</v>
      </c>
      <c r="Y103" s="206">
        <f t="shared" ca="1" si="129"/>
        <v>1.25</v>
      </c>
      <c r="Z103" s="380">
        <f t="shared" si="130"/>
        <v>45.080000000000005</v>
      </c>
      <c r="AA103" s="203">
        <v>3.78</v>
      </c>
      <c r="AB103" s="203">
        <f t="shared" ca="1" si="131"/>
        <v>0.25</v>
      </c>
      <c r="AC103" s="238"/>
      <c r="AG103" t="s">
        <v>404</v>
      </c>
      <c r="AI103" s="367">
        <f t="shared" ca="1" si="126"/>
        <v>46092</v>
      </c>
      <c r="AJ103" s="367" t="b">
        <f t="shared" ref="AJ103:AJ156" si="132">ISBLANK(AC103)</f>
        <v>1</v>
      </c>
      <c r="AK103" s="370" t="str">
        <f t="shared" ref="AK103:AK156" si="133">IF(AJ103=FALSE,_xlfn.DAYS(AC103,AI103),"")</f>
        <v/>
      </c>
      <c r="AN103">
        <f t="shared" ref="AN103:AN156" si="134">WEEKNUM(AC103)</f>
        <v>0</v>
      </c>
      <c r="AO103">
        <f t="shared" ref="AO103:AO156" si="135">YEAR(AC103)</f>
        <v>1900</v>
      </c>
      <c r="AV103">
        <f t="shared" ref="AV103:AV156" si="136">IF(AC103="",0,MONTH(AC103))</f>
        <v>0</v>
      </c>
      <c r="AW103">
        <f t="shared" ref="AW103:AW156" si="137">IF(AC103="",0,YEAR(AC103))</f>
        <v>0</v>
      </c>
    </row>
    <row r="104" spans="4:49" ht="15.75" x14ac:dyDescent="0.25">
      <c r="D104" s="199" t="s">
        <v>509</v>
      </c>
      <c r="E104" s="378" t="s">
        <v>108</v>
      </c>
      <c r="F104" s="379">
        <v>648</v>
      </c>
      <c r="G104" s="201" t="s">
        <v>4</v>
      </c>
      <c r="H104" s="219">
        <v>2.2799999999999998</v>
      </c>
      <c r="I104" s="202">
        <v>45930</v>
      </c>
      <c r="J104" s="200" t="s">
        <v>30</v>
      </c>
      <c r="K104" s="200"/>
      <c r="L104" s="203">
        <v>7.0000000000000007E-2</v>
      </c>
      <c r="M104" s="204">
        <f ca="1">IF(ISERROR(OFFSET(Tabella!$A$1,MATCH(J104,Tabella!$A:$A,0)-1,MATCH(L104,Tabella!$A$1:$AC$1,0)-1)=TRUE),0,+OFFSET(Tabella!$A$1,MATCH(J104,Tabella!$A:$A,0)-1,MATCH(L104,Tabella!$A$1:$AC$1,0)-1))</f>
        <v>1.3</v>
      </c>
      <c r="N104" s="205">
        <f ca="1">IF(ISERROR(OFFSET(Ottone!$A$1,MATCH(J104,Ottone!$A:$A,0)-1,MATCH(L104,Ottone!$A$1:$Z$1,0)-1)=TRUE),0,OFFSET(Ottone!$A$1,MATCH(J104,Ottone!$A:$A,0)-1,MATCH(L104,Ottone!$A$1:$Z$1,0)-1))*IF(G104="Ottone",1,0)</f>
        <v>0</v>
      </c>
      <c r="O104" s="205">
        <f ca="1">IF(ISERROR(OFFSET(Rame!$A$1,MATCH(J104,Rame!$A:$A,0)-1,MATCH(L104,Rame!$A$1:$AA$1,0)-1)=TRUE),0,OFFSET(Rame!$A$1,MATCH(J104,Rame!$A:$A,0)-1,MATCH(L104,Rame!$A$1:$AA$1,0)-1))*IF(G104="Rame",1,0)</f>
        <v>0</v>
      </c>
      <c r="P104" s="205">
        <v>0</v>
      </c>
      <c r="Q104" s="205">
        <f t="shared" ca="1" si="127"/>
        <v>1.3</v>
      </c>
      <c r="R104" s="205">
        <f ca="1">+IF(ISERROR(OFFSET(Tabella!$G$1,MATCH(J104,Tabella!$G:$G,0)-1,MATCH(K104,Tabella!$G$1:$FG$1,0)-1)=TRUE),0,OFFSET(Tabella!$G$1,MATCH(J104,Tabella!$G:$G,0)-1,MATCH(K104,Tabella!$G$1:$AB$1,0)-1))</f>
        <v>0</v>
      </c>
      <c r="S104" s="205">
        <f ca="1">IF(ISERROR(OFFSET(Ottone!$F$1,MATCH(J104,Ottone!$A:$A,0)-1,MATCH(K104,Ottone!$F$1:$FF$1,0)-1)=TRUE),0,OFFSET(Ottone!$F$1,MATCH(J104,Ottone!$A:$A,0)-1,MATCH(K104,Ottone!$F$1:$FF$1,0)-1))*IF(G104="Ottone",1,0)</f>
        <v>0</v>
      </c>
      <c r="T104" s="205">
        <f ca="1">IF(ISERROR(OFFSET(Rame!$F$1,MATCH(J104,Rame!$F:$F,0)-1,MATCH(K104,Rame!$F$1:$FF$1,0)-1)=TRUE),0,OFFSET(Rame!$F$1,MATCH(J104,Rame!$F:$F,0)-1,MATCH(K104,Rame!$F$1:$FF$1,0)-1))*IF(G104="Rame",1,0)</f>
        <v>0</v>
      </c>
      <c r="U104" s="205">
        <f ca="1">IF(ISERROR(OFFSET(Bronzo!$A$1,MATCH(J104,Bronzo!$A:$A,0)-1,MATCH(K104,Bronzo!$A$1:$AA$1,0)-1)=TRUE),0,OFFSET(Bronzo!$A$1,MATCH(J104,Bronzo!$A:$A,0)-1,MATCH(K104,Bronzo!$A$1:$AA$1,0)-1))</f>
        <v>0</v>
      </c>
      <c r="V104" s="205">
        <f t="shared" ca="1" si="128"/>
        <v>0</v>
      </c>
      <c r="W104" s="204"/>
      <c r="X104" s="205">
        <v>0</v>
      </c>
      <c r="Y104" s="206">
        <f t="shared" ca="1" si="129"/>
        <v>1.3</v>
      </c>
      <c r="Z104" s="380">
        <f t="shared" si="130"/>
        <v>45.360000000000007</v>
      </c>
      <c r="AA104" s="203">
        <v>3.78</v>
      </c>
      <c r="AB104" s="203">
        <f t="shared" ca="1" si="131"/>
        <v>0.19999999999999973</v>
      </c>
      <c r="AC104" s="238"/>
      <c r="AG104" t="s">
        <v>404</v>
      </c>
      <c r="AI104" s="367">
        <f t="shared" ca="1" si="126"/>
        <v>46092</v>
      </c>
      <c r="AJ104" s="367" t="b">
        <f t="shared" si="132"/>
        <v>1</v>
      </c>
      <c r="AK104" s="370" t="str">
        <f t="shared" si="133"/>
        <v/>
      </c>
      <c r="AN104">
        <f t="shared" si="134"/>
        <v>0</v>
      </c>
      <c r="AO104">
        <f t="shared" si="135"/>
        <v>1900</v>
      </c>
      <c r="AV104">
        <f t="shared" si="136"/>
        <v>0</v>
      </c>
      <c r="AW104">
        <f t="shared" si="137"/>
        <v>0</v>
      </c>
    </row>
    <row r="105" spans="4:49" ht="15.75" x14ac:dyDescent="0.25">
      <c r="D105" s="199" t="s">
        <v>585</v>
      </c>
      <c r="E105" s="378" t="s">
        <v>396</v>
      </c>
      <c r="F105" s="379">
        <v>268</v>
      </c>
      <c r="G105" s="201" t="s">
        <v>4</v>
      </c>
      <c r="H105" s="219">
        <v>2.41</v>
      </c>
      <c r="I105" s="202">
        <v>45939</v>
      </c>
      <c r="J105" s="200" t="s">
        <v>23</v>
      </c>
      <c r="K105" s="200"/>
      <c r="L105" s="203">
        <v>0.1</v>
      </c>
      <c r="M105" s="204">
        <f ca="1">IF(ISERROR(OFFSET(Tabella!$A$1,MATCH(J105,Tabella!$A:$A,0)-1,MATCH(L105,Tabella!$A$1:$AC$1,0)-1)=TRUE),0,+OFFSET(Tabella!$A$1,MATCH(J105,Tabella!$A:$A,0)-1,MATCH(L105,Tabella!$A$1:$AC$1,0)-1))</f>
        <v>1.4</v>
      </c>
      <c r="N105" s="205">
        <f ca="1">IF(ISERROR(OFFSET(Ottone!$A$1,MATCH(J105,Ottone!$A:$A,0)-1,MATCH(L105,Ottone!$A$1:$Z$1,0)-1)=TRUE),0,OFFSET(Ottone!$A$1,MATCH(J105,Ottone!$A:$A,0)-1,MATCH(L105,Ottone!$A$1:$Z$1,0)-1))*IF(G105="Ottone",1,0)</f>
        <v>0</v>
      </c>
      <c r="O105" s="205">
        <f ca="1">IF(ISERROR(OFFSET(Rame!$A$1,MATCH(J105,Rame!$A:$A,0)-1,MATCH(L105,Rame!$A$1:$AA$1,0)-1)=TRUE),0,OFFSET(Rame!$A$1,MATCH(J105,Rame!$A:$A,0)-1,MATCH(L105,Rame!$A$1:$AA$1,0)-1))*IF(G105="Rame",1,0)</f>
        <v>0</v>
      </c>
      <c r="P105" s="205">
        <v>0</v>
      </c>
      <c r="Q105" s="205">
        <f t="shared" ca="1" si="127"/>
        <v>1.4</v>
      </c>
      <c r="R105" s="205">
        <f ca="1">+IF(ISERROR(OFFSET(Tabella!$G$1,MATCH(J105,Tabella!$G:$G,0)-1,MATCH(K105,Tabella!$G$1:$FG$1,0)-1)=TRUE),0,OFFSET(Tabella!$G$1,MATCH(J105,Tabella!$G:$G,0)-1,MATCH(K105,Tabella!$G$1:$AB$1,0)-1))</f>
        <v>0</v>
      </c>
      <c r="S105" s="205">
        <f ca="1">IF(ISERROR(OFFSET(Ottone!$F$1,MATCH(J105,Ottone!$A:$A,0)-1,MATCH(K105,Ottone!$F$1:$FF$1,0)-1)=TRUE),0,OFFSET(Ottone!$F$1,MATCH(J105,Ottone!$A:$A,0)-1,MATCH(K105,Ottone!$F$1:$FF$1,0)-1))*IF(G105="Ottone",1,0)</f>
        <v>0</v>
      </c>
      <c r="T105" s="205">
        <f ca="1">IF(ISERROR(OFFSET(Rame!$F$1,MATCH(J105,Rame!$F:$F,0)-1,MATCH(K105,Rame!$F$1:$FF$1,0)-1)=TRUE),0,OFFSET(Rame!$F$1,MATCH(J105,Rame!$F:$F,0)-1,MATCH(K105,Rame!$F$1:$FF$1,0)-1))*IF(G105="Rame",1,0)</f>
        <v>0</v>
      </c>
      <c r="U105" s="205">
        <f ca="1">IF(ISERROR(OFFSET(Bronzo!$A$1,MATCH(J105,Bronzo!$A:$A,0)-1,MATCH(K105,Bronzo!$A$1:$AA$1,0)-1)=TRUE),0,OFFSET(Bronzo!$A$1,MATCH(J105,Bronzo!$A:$A,0)-1,MATCH(K105,Bronzo!$A$1:$AA$1,0)-1))</f>
        <v>0</v>
      </c>
      <c r="V105" s="205">
        <f t="shared" ca="1" si="128"/>
        <v>0</v>
      </c>
      <c r="W105" s="204"/>
      <c r="X105" s="205">
        <v>0</v>
      </c>
      <c r="Y105" s="206">
        <f t="shared" ca="1" si="129"/>
        <v>1.4</v>
      </c>
      <c r="Z105" s="380">
        <f t="shared" si="130"/>
        <v>26.8</v>
      </c>
      <c r="AA105" s="203">
        <v>4.41</v>
      </c>
      <c r="AB105" s="203">
        <f t="shared" ca="1" si="131"/>
        <v>0.60000000000000009</v>
      </c>
      <c r="AC105" s="238"/>
      <c r="AG105" t="s">
        <v>404</v>
      </c>
      <c r="AI105" s="367">
        <f t="shared" ca="1" si="126"/>
        <v>46092</v>
      </c>
      <c r="AJ105" s="367" t="b">
        <f t="shared" si="132"/>
        <v>1</v>
      </c>
      <c r="AK105" s="370" t="str">
        <f t="shared" si="133"/>
        <v/>
      </c>
      <c r="AN105">
        <f t="shared" si="134"/>
        <v>0</v>
      </c>
      <c r="AO105">
        <f t="shared" si="135"/>
        <v>1900</v>
      </c>
      <c r="AV105">
        <f t="shared" si="136"/>
        <v>0</v>
      </c>
      <c r="AW105">
        <f t="shared" si="137"/>
        <v>0</v>
      </c>
    </row>
    <row r="106" spans="4:49" ht="15.75" x14ac:dyDescent="0.25">
      <c r="D106" s="199" t="s">
        <v>540</v>
      </c>
      <c r="E106" s="378" t="s">
        <v>228</v>
      </c>
      <c r="F106" s="379">
        <v>241</v>
      </c>
      <c r="G106" s="201" t="s">
        <v>4</v>
      </c>
      <c r="H106" s="219">
        <v>2.41</v>
      </c>
      <c r="I106" s="202">
        <v>45939</v>
      </c>
      <c r="J106" s="200" t="s">
        <v>9</v>
      </c>
      <c r="K106" s="200"/>
      <c r="L106" s="203">
        <v>0.3</v>
      </c>
      <c r="M106" s="204">
        <f ca="1">IF(ISERROR(OFFSET(Tabella!$A$1,MATCH(J106,Tabella!$A:$A,0)-1,MATCH(L106,Tabella!$A$1:$AC$1,0)-1)=TRUE),0,+OFFSET(Tabella!$A$1,MATCH(J106,Tabella!$A:$A,0)-1,MATCH(L106,Tabella!$A$1:$AC$1,0)-1))</f>
        <v>0</v>
      </c>
      <c r="N106" s="205">
        <f ca="1">IF(ISERROR(OFFSET(Ottone!$A$1,MATCH(J106,Ottone!$A:$A,0)-1,MATCH(L106,Ottone!$A$1:$Z$1,0)-1)=TRUE),0,OFFSET(Ottone!$A$1,MATCH(J106,Ottone!$A:$A,0)-1,MATCH(L106,Ottone!$A$1:$Z$1,0)-1))*IF(G106="Ottone",1,0)</f>
        <v>0</v>
      </c>
      <c r="O106" s="205">
        <f ca="1">IF(ISERROR(OFFSET(Rame!$A$1,MATCH(J106,Rame!$A:$A,0)-1,MATCH(L106,Rame!$A$1:$AA$1,0)-1)=TRUE),0,OFFSET(Rame!$A$1,MATCH(J106,Rame!$A:$A,0)-1,MATCH(L106,Rame!$A$1:$AA$1,0)-1))*IF(G106="Rame",1,0)</f>
        <v>0</v>
      </c>
      <c r="P106" s="205">
        <v>0</v>
      </c>
      <c r="Q106" s="205">
        <v>2.09</v>
      </c>
      <c r="R106" s="205">
        <f ca="1">+IF(ISERROR(OFFSET(Tabella!$G$1,MATCH(J106,Tabella!$G:$G,0)-1,MATCH(K106,Tabella!$G$1:$FG$1,0)-1)=TRUE),0,OFFSET(Tabella!$G$1,MATCH(J106,Tabella!$G:$G,0)-1,MATCH(K106,Tabella!$G$1:$AB$1,0)-1))</f>
        <v>0</v>
      </c>
      <c r="S106" s="205">
        <f ca="1">IF(ISERROR(OFFSET(Ottone!$F$1,MATCH(J106,Ottone!$A:$A,0)-1,MATCH(K106,Ottone!$F$1:$FF$1,0)-1)=TRUE),0,OFFSET(Ottone!$F$1,MATCH(J106,Ottone!$A:$A,0)-1,MATCH(K106,Ottone!$F$1:$FF$1,0)-1))*IF(G106="Ottone",1,0)</f>
        <v>0</v>
      </c>
      <c r="T106" s="205">
        <f ca="1">IF(ISERROR(OFFSET(Rame!$F$1,MATCH(J106,Rame!$F:$F,0)-1,MATCH(K106,Rame!$F$1:$FF$1,0)-1)=TRUE),0,OFFSET(Rame!$F$1,MATCH(J106,Rame!$F:$F,0)-1,MATCH(K106,Rame!$F$1:$FF$1,0)-1))*IF(G106="Rame",1,0)</f>
        <v>0</v>
      </c>
      <c r="U106" s="205">
        <f ca="1">IF(ISERROR(OFFSET(Bronzo!$A$1,MATCH(J106,Bronzo!$A:$A,0)-1,MATCH(K106,Bronzo!$A$1:$AA$1,0)-1)=TRUE),0,OFFSET(Bronzo!$A$1,MATCH(J106,Bronzo!$A:$A,0)-1,MATCH(K106,Bronzo!$A$1:$AA$1,0)-1))</f>
        <v>0</v>
      </c>
      <c r="V106" s="205">
        <f t="shared" ca="1" si="128"/>
        <v>0</v>
      </c>
      <c r="W106" s="204"/>
      <c r="X106" s="205">
        <v>0</v>
      </c>
      <c r="Y106" s="206">
        <f t="shared" ca="1" si="129"/>
        <v>2.09</v>
      </c>
      <c r="Z106" s="380">
        <f t="shared" si="130"/>
        <v>72.3</v>
      </c>
      <c r="AA106" s="203">
        <v>5.8</v>
      </c>
      <c r="AB106" s="203">
        <f t="shared" ca="1" si="131"/>
        <v>1.2999999999999998</v>
      </c>
      <c r="AC106" s="238"/>
      <c r="AG106" t="s">
        <v>404</v>
      </c>
      <c r="AI106" s="367">
        <f t="shared" ca="1" si="126"/>
        <v>46092</v>
      </c>
      <c r="AJ106" s="367" t="b">
        <f t="shared" si="132"/>
        <v>1</v>
      </c>
      <c r="AK106" s="370" t="str">
        <f t="shared" si="133"/>
        <v/>
      </c>
      <c r="AN106">
        <f t="shared" si="134"/>
        <v>0</v>
      </c>
      <c r="AO106">
        <f t="shared" si="135"/>
        <v>1900</v>
      </c>
      <c r="AV106">
        <f t="shared" si="136"/>
        <v>0</v>
      </c>
      <c r="AW106">
        <f t="shared" si="137"/>
        <v>0</v>
      </c>
    </row>
    <row r="107" spans="4:49" ht="15.75" x14ac:dyDescent="0.25">
      <c r="D107" s="199" t="s">
        <v>500</v>
      </c>
      <c r="E107" s="378" t="s">
        <v>212</v>
      </c>
      <c r="F107" s="379">
        <v>9289</v>
      </c>
      <c r="G107" s="201" t="s">
        <v>4</v>
      </c>
      <c r="H107" s="219">
        <v>2.2599999999999998</v>
      </c>
      <c r="I107" s="202">
        <v>45939</v>
      </c>
      <c r="J107" s="200" t="s">
        <v>324</v>
      </c>
      <c r="K107" s="200"/>
      <c r="L107" s="203">
        <v>0.05</v>
      </c>
      <c r="M107" s="204">
        <f ca="1">IF(ISERROR(OFFSET(Tabella!$A$1,MATCH(J107,Tabella!$A:$A,0)-1,MATCH(L107,Tabella!$A$1:$AC$1,0)-1)=TRUE),0,+OFFSET(Tabella!$A$1,MATCH(J107,Tabella!$A:$A,0)-1,MATCH(L107,Tabella!$A$1:$AC$1,0)-1))</f>
        <v>0</v>
      </c>
      <c r="N107" s="205">
        <f ca="1">IF(ISERROR(OFFSET(Ottone!$A$1,MATCH(J107,Ottone!$A:$A,0)-1,MATCH(L107,Ottone!$A$1:$Z$1,0)-1)=TRUE),0,OFFSET(Ottone!$A$1,MATCH(J107,Ottone!$A:$A,0)-1,MATCH(L107,Ottone!$A$1:$Z$1,0)-1))*IF(G107="Ottone",1,0)</f>
        <v>0</v>
      </c>
      <c r="O107" s="205">
        <f ca="1">IF(ISERROR(OFFSET(Rame!$A$1,MATCH(J107,Rame!$A:$A,0)-1,MATCH(L107,Rame!$A$1:$AA$1,0)-1)=TRUE),0,OFFSET(Rame!$A$1,MATCH(J107,Rame!$A:$A,0)-1,MATCH(L107,Rame!$A$1:$AA$1,0)-1))*IF(G107="Rame",1,0)</f>
        <v>0</v>
      </c>
      <c r="P107" s="205">
        <v>0</v>
      </c>
      <c r="Q107" s="205">
        <v>1.37</v>
      </c>
      <c r="R107" s="205">
        <f ca="1">+IF(ISERROR(OFFSET(Tabella!$G$1,MATCH(J107,Tabella!$G:$G,0)-1,MATCH(K107,Tabella!$G$1:$FG$1,0)-1)=TRUE),0,OFFSET(Tabella!$G$1,MATCH(J107,Tabella!$G:$G,0)-1,MATCH(K107,Tabella!$G$1:$AB$1,0)-1))</f>
        <v>0</v>
      </c>
      <c r="S107" s="205">
        <f ca="1">IF(ISERROR(OFFSET(Ottone!$F$1,MATCH(J107,Ottone!$A:$A,0)-1,MATCH(K107,Ottone!$F$1:$FF$1,0)-1)=TRUE),0,OFFSET(Ottone!$F$1,MATCH(J107,Ottone!$A:$A,0)-1,MATCH(K107,Ottone!$F$1:$FF$1,0)-1))*IF(G107="Ottone",1,0)</f>
        <v>0</v>
      </c>
      <c r="T107" s="205">
        <f ca="1">IF(ISERROR(OFFSET(Rame!$F$1,MATCH(J107,Rame!$F:$F,0)-1,MATCH(K107,Rame!$F$1:$FF$1,0)-1)=TRUE),0,OFFSET(Rame!$F$1,MATCH(J107,Rame!$F:$F,0)-1,MATCH(K107,Rame!$F$1:$FF$1,0)-1))*IF(G107="Rame",1,0)</f>
        <v>0</v>
      </c>
      <c r="U107" s="205">
        <f ca="1">IF(ISERROR(OFFSET(Bronzo!$A$1,MATCH(J107,Bronzo!$A:$A,0)-1,MATCH(K107,Bronzo!$A$1:$AA$1,0)-1)=TRUE),0,OFFSET(Bronzo!$A$1,MATCH(J107,Bronzo!$A:$A,0)-1,MATCH(K107,Bronzo!$A$1:$AA$1,0)-1))</f>
        <v>0</v>
      </c>
      <c r="V107" s="205">
        <f t="shared" ca="1" si="128"/>
        <v>0</v>
      </c>
      <c r="W107" s="204"/>
      <c r="X107" s="205">
        <v>0</v>
      </c>
      <c r="Y107" s="206">
        <f t="shared" ca="1" si="129"/>
        <v>1.37</v>
      </c>
      <c r="Z107" s="380">
        <f t="shared" si="130"/>
        <v>464.45000000000005</v>
      </c>
      <c r="AA107" s="203">
        <v>3.63</v>
      </c>
      <c r="AB107" s="203">
        <f t="shared" ca="1" si="131"/>
        <v>0</v>
      </c>
      <c r="AC107" s="238"/>
      <c r="AG107" t="s">
        <v>404</v>
      </c>
      <c r="AI107" s="367">
        <f t="shared" ca="1" si="126"/>
        <v>46092</v>
      </c>
      <c r="AJ107" s="367" t="b">
        <f t="shared" si="132"/>
        <v>1</v>
      </c>
      <c r="AK107" s="370" t="str">
        <f t="shared" si="133"/>
        <v/>
      </c>
      <c r="AN107">
        <f t="shared" si="134"/>
        <v>0</v>
      </c>
      <c r="AO107">
        <f t="shared" si="135"/>
        <v>1900</v>
      </c>
      <c r="AV107">
        <f t="shared" si="136"/>
        <v>0</v>
      </c>
      <c r="AW107">
        <f t="shared" si="137"/>
        <v>0</v>
      </c>
    </row>
    <row r="108" spans="4:49" ht="15.75" x14ac:dyDescent="0.25">
      <c r="D108" s="199" t="s">
        <v>524</v>
      </c>
      <c r="E108" s="378" t="s">
        <v>297</v>
      </c>
      <c r="F108" s="379">
        <v>1000</v>
      </c>
      <c r="G108" s="201" t="s">
        <v>4</v>
      </c>
      <c r="H108" s="219">
        <v>2.39</v>
      </c>
      <c r="I108" s="202">
        <v>45940</v>
      </c>
      <c r="J108" s="200" t="s">
        <v>17</v>
      </c>
      <c r="K108" s="200"/>
      <c r="L108" s="203">
        <v>7.0000000000000007E-2</v>
      </c>
      <c r="M108" s="204">
        <f ca="1">IF(ISERROR(OFFSET(Tabella!$A$1,MATCH(J108,Tabella!$A:$A,0)-1,MATCH(L108,Tabella!$A$1:$AC$1,0)-1)=TRUE),0,+OFFSET(Tabella!$A$1,MATCH(J108,Tabella!$A:$A,0)-1,MATCH(L108,Tabella!$A$1:$AC$1,0)-1))</f>
        <v>1.4</v>
      </c>
      <c r="N108" s="205">
        <f ca="1">IF(ISERROR(OFFSET(Ottone!$A$1,MATCH(J108,Ottone!$A:$A,0)-1,MATCH(L108,Ottone!$A$1:$Z$1,0)-1)=TRUE),0,OFFSET(Ottone!$A$1,MATCH(J108,Ottone!$A:$A,0)-1,MATCH(L108,Ottone!$A$1:$Z$1,0)-1))*IF(G108="Ottone",1,0)</f>
        <v>0</v>
      </c>
      <c r="O108" s="205">
        <f ca="1">IF(ISERROR(OFFSET(Rame!$A$1,MATCH(J108,Rame!$A:$A,0)-1,MATCH(L108,Rame!$A$1:$AA$1,0)-1)=TRUE),0,OFFSET(Rame!$A$1,MATCH(J108,Rame!$A:$A,0)-1,MATCH(L108,Rame!$A$1:$AA$1,0)-1))*IF(G108="Rame",1,0)</f>
        <v>0</v>
      </c>
      <c r="P108" s="205">
        <v>0</v>
      </c>
      <c r="Q108" s="205">
        <f t="shared" ca="1" si="127"/>
        <v>1.4</v>
      </c>
      <c r="R108" s="205">
        <f ca="1">+IF(ISERROR(OFFSET(Tabella!$G$1,MATCH(J108,Tabella!$G:$G,0)-1,MATCH(K108,Tabella!$G$1:$FG$1,0)-1)=TRUE),0,OFFSET(Tabella!$G$1,MATCH(J108,Tabella!$G:$G,0)-1,MATCH(K108,Tabella!$G$1:$AB$1,0)-1))</f>
        <v>0</v>
      </c>
      <c r="S108" s="205">
        <f ca="1">IF(ISERROR(OFFSET(Ottone!$F$1,MATCH(J108,Ottone!$A:$A,0)-1,MATCH(K108,Ottone!$F$1:$FF$1,0)-1)=TRUE),0,OFFSET(Ottone!$F$1,MATCH(J108,Ottone!$A:$A,0)-1,MATCH(K108,Ottone!$F$1:$FF$1,0)-1))*IF(G108="Ottone",1,0)</f>
        <v>0</v>
      </c>
      <c r="T108" s="205">
        <f ca="1">IF(ISERROR(OFFSET(Rame!$F$1,MATCH(J108,Rame!$F:$F,0)-1,MATCH(K108,Rame!$F$1:$FF$1,0)-1)=TRUE),0,OFFSET(Rame!$F$1,MATCH(J108,Rame!$F:$F,0)-1,MATCH(K108,Rame!$F$1:$FF$1,0)-1))*IF(G108="Rame",1,0)</f>
        <v>0</v>
      </c>
      <c r="U108" s="205">
        <f ca="1">IF(ISERROR(OFFSET(Bronzo!$A$1,MATCH(J108,Bronzo!$A:$A,0)-1,MATCH(K108,Bronzo!$A$1:$AA$1,0)-1)=TRUE),0,OFFSET(Bronzo!$A$1,MATCH(J108,Bronzo!$A:$A,0)-1,MATCH(K108,Bronzo!$A$1:$AA$1,0)-1))</f>
        <v>0</v>
      </c>
      <c r="V108" s="205">
        <f t="shared" ca="1" si="128"/>
        <v>0</v>
      </c>
      <c r="W108" s="204"/>
      <c r="X108" s="205">
        <v>0</v>
      </c>
      <c r="Y108" s="206">
        <f t="shared" ca="1" si="129"/>
        <v>1.4</v>
      </c>
      <c r="Z108" s="380">
        <f t="shared" si="130"/>
        <v>70</v>
      </c>
      <c r="AA108" s="203">
        <v>3.99</v>
      </c>
      <c r="AB108" s="203">
        <f t="shared" ca="1" si="131"/>
        <v>0.20000000000000018</v>
      </c>
      <c r="AC108" s="238"/>
      <c r="AG108" t="s">
        <v>404</v>
      </c>
      <c r="AI108" s="367">
        <f t="shared" ca="1" si="126"/>
        <v>46092</v>
      </c>
      <c r="AJ108" s="367" t="b">
        <f t="shared" si="132"/>
        <v>1</v>
      </c>
      <c r="AK108" s="370" t="str">
        <f t="shared" si="133"/>
        <v/>
      </c>
      <c r="AN108">
        <f t="shared" si="134"/>
        <v>0</v>
      </c>
      <c r="AO108">
        <f t="shared" si="135"/>
        <v>1900</v>
      </c>
      <c r="AV108">
        <f t="shared" si="136"/>
        <v>0</v>
      </c>
      <c r="AW108">
        <f t="shared" si="137"/>
        <v>0</v>
      </c>
    </row>
    <row r="109" spans="4:49" ht="15.75" x14ac:dyDescent="0.25">
      <c r="D109" s="199" t="s">
        <v>528</v>
      </c>
      <c r="E109" s="378" t="s">
        <v>297</v>
      </c>
      <c r="F109" s="379">
        <v>758</v>
      </c>
      <c r="G109" s="201" t="s">
        <v>4</v>
      </c>
      <c r="H109" s="219">
        <v>2.39</v>
      </c>
      <c r="I109" s="202">
        <v>45940</v>
      </c>
      <c r="J109" s="200" t="s">
        <v>13</v>
      </c>
      <c r="K109" s="200"/>
      <c r="L109" s="203">
        <v>7.0000000000000007E-2</v>
      </c>
      <c r="M109" s="204">
        <f ca="1">IF(ISERROR(OFFSET(Tabella!$A$1,MATCH(J109,Tabella!$A:$A,0)-1,MATCH(L109,Tabella!$A$1:$AC$1,0)-1)=TRUE),0,+OFFSET(Tabella!$A$1,MATCH(J109,Tabella!$A:$A,0)-1,MATCH(L109,Tabella!$A$1:$AC$1,0)-1))</f>
        <v>1.4</v>
      </c>
      <c r="N109" s="205">
        <f ca="1">IF(ISERROR(OFFSET(Ottone!$A$1,MATCH(J109,Ottone!$A:$A,0)-1,MATCH(L109,Ottone!$A$1:$Z$1,0)-1)=TRUE),0,OFFSET(Ottone!$A$1,MATCH(J109,Ottone!$A:$A,0)-1,MATCH(L109,Ottone!$A$1:$Z$1,0)-1))*IF(G109="Ottone",1,0)</f>
        <v>0</v>
      </c>
      <c r="O109" s="205">
        <f ca="1">IF(ISERROR(OFFSET(Rame!$A$1,MATCH(J109,Rame!$A:$A,0)-1,MATCH(L109,Rame!$A$1:$AA$1,0)-1)=TRUE),0,OFFSET(Rame!$A$1,MATCH(J109,Rame!$A:$A,0)-1,MATCH(L109,Rame!$A$1:$AA$1,0)-1))*IF(G109="Rame",1,0)</f>
        <v>0</v>
      </c>
      <c r="P109" s="205">
        <v>0</v>
      </c>
      <c r="Q109" s="205">
        <f t="shared" ca="1" si="127"/>
        <v>1.4</v>
      </c>
      <c r="R109" s="205">
        <f ca="1">+IF(ISERROR(OFFSET(Tabella!$G$1,MATCH(J109,Tabella!$G:$G,0)-1,MATCH(K109,Tabella!$G$1:$FG$1,0)-1)=TRUE),0,OFFSET(Tabella!$G$1,MATCH(J109,Tabella!$G:$G,0)-1,MATCH(K109,Tabella!$G$1:$AB$1,0)-1))</f>
        <v>0</v>
      </c>
      <c r="S109" s="205">
        <f ca="1">IF(ISERROR(OFFSET(Ottone!$F$1,MATCH(J109,Ottone!$A:$A,0)-1,MATCH(K109,Ottone!$F$1:$FF$1,0)-1)=TRUE),0,OFFSET(Ottone!$F$1,MATCH(J109,Ottone!$A:$A,0)-1,MATCH(K109,Ottone!$F$1:$FF$1,0)-1))*IF(G109="Ottone",1,0)</f>
        <v>0</v>
      </c>
      <c r="T109" s="205">
        <f ca="1">IF(ISERROR(OFFSET(Rame!$F$1,MATCH(J109,Rame!$F:$F,0)-1,MATCH(K109,Rame!$F$1:$FF$1,0)-1)=TRUE),0,OFFSET(Rame!$F$1,MATCH(J109,Rame!$F:$F,0)-1,MATCH(K109,Rame!$F$1:$FF$1,0)-1))*IF(G109="Rame",1,0)</f>
        <v>0</v>
      </c>
      <c r="U109" s="205">
        <f ca="1">IF(ISERROR(OFFSET(Bronzo!$A$1,MATCH(J109,Bronzo!$A:$A,0)-1,MATCH(K109,Bronzo!$A$1:$AA$1,0)-1)=TRUE),0,OFFSET(Bronzo!$A$1,MATCH(J109,Bronzo!$A:$A,0)-1,MATCH(K109,Bronzo!$A$1:$AA$1,0)-1))</f>
        <v>0</v>
      </c>
      <c r="V109" s="205">
        <f t="shared" ca="1" si="128"/>
        <v>0</v>
      </c>
      <c r="W109" s="204"/>
      <c r="X109" s="205">
        <v>0</v>
      </c>
      <c r="Y109" s="206">
        <f t="shared" ca="1" si="129"/>
        <v>1.4</v>
      </c>
      <c r="Z109" s="380">
        <f t="shared" si="130"/>
        <v>53.06</v>
      </c>
      <c r="AA109" s="203">
        <v>4.04</v>
      </c>
      <c r="AB109" s="203">
        <f t="shared" ca="1" si="131"/>
        <v>0.25</v>
      </c>
      <c r="AC109" s="238"/>
      <c r="AG109" t="s">
        <v>404</v>
      </c>
      <c r="AI109" s="367">
        <f t="shared" ca="1" si="126"/>
        <v>46092</v>
      </c>
      <c r="AJ109" s="367" t="b">
        <f t="shared" si="132"/>
        <v>1</v>
      </c>
      <c r="AK109" s="370" t="str">
        <f t="shared" si="133"/>
        <v/>
      </c>
      <c r="AN109">
        <f t="shared" si="134"/>
        <v>0</v>
      </c>
      <c r="AO109">
        <f t="shared" si="135"/>
        <v>1900</v>
      </c>
      <c r="AV109">
        <f t="shared" si="136"/>
        <v>0</v>
      </c>
      <c r="AW109">
        <f t="shared" si="137"/>
        <v>0</v>
      </c>
    </row>
    <row r="110" spans="4:49" ht="15.75" x14ac:dyDescent="0.25">
      <c r="D110" s="199" t="s">
        <v>528</v>
      </c>
      <c r="E110" s="378" t="s">
        <v>297</v>
      </c>
      <c r="F110" s="379">
        <v>577</v>
      </c>
      <c r="G110" s="201" t="s">
        <v>4</v>
      </c>
      <c r="H110" s="219">
        <v>2.39</v>
      </c>
      <c r="I110" s="202">
        <v>45940</v>
      </c>
      <c r="J110" s="200" t="s">
        <v>9</v>
      </c>
      <c r="K110" s="200"/>
      <c r="L110" s="203">
        <v>7.0000000000000007E-2</v>
      </c>
      <c r="M110" s="204">
        <f ca="1">IF(ISERROR(OFFSET(Tabella!$A$1,MATCH(J110,Tabella!$A:$A,0)-1,MATCH(L110,Tabella!$A$1:$AC$1,0)-1)=TRUE),0,+OFFSET(Tabella!$A$1,MATCH(J110,Tabella!$A:$A,0)-1,MATCH(L110,Tabella!$A$1:$AC$1,0)-1))</f>
        <v>1.6</v>
      </c>
      <c r="N110" s="205">
        <f ca="1">IF(ISERROR(OFFSET(Ottone!$A$1,MATCH(J110,Ottone!$A:$A,0)-1,MATCH(L110,Ottone!$A$1:$Z$1,0)-1)=TRUE),0,OFFSET(Ottone!$A$1,MATCH(J110,Ottone!$A:$A,0)-1,MATCH(L110,Ottone!$A$1:$Z$1,0)-1))*IF(G110="Ottone",1,0)</f>
        <v>0</v>
      </c>
      <c r="O110" s="205">
        <f ca="1">IF(ISERROR(OFFSET(Rame!$A$1,MATCH(J110,Rame!$A:$A,0)-1,MATCH(L110,Rame!$A$1:$AA$1,0)-1)=TRUE),0,OFFSET(Rame!$A$1,MATCH(J110,Rame!$A:$A,0)-1,MATCH(L110,Rame!$A$1:$AA$1,0)-1))*IF(G110="Rame",1,0)</f>
        <v>0</v>
      </c>
      <c r="P110" s="205">
        <v>0</v>
      </c>
      <c r="Q110" s="205">
        <f t="shared" ca="1" si="127"/>
        <v>1.6</v>
      </c>
      <c r="R110" s="205">
        <f ca="1">+IF(ISERROR(OFFSET(Tabella!$G$1,MATCH(J110,Tabella!$G:$G,0)-1,MATCH(K110,Tabella!$G$1:$FG$1,0)-1)=TRUE),0,OFFSET(Tabella!$G$1,MATCH(J110,Tabella!$G:$G,0)-1,MATCH(K110,Tabella!$G$1:$AB$1,0)-1))</f>
        <v>0</v>
      </c>
      <c r="S110" s="205">
        <f ca="1">IF(ISERROR(OFFSET(Ottone!$F$1,MATCH(J110,Ottone!$A:$A,0)-1,MATCH(K110,Ottone!$F$1:$FF$1,0)-1)=TRUE),0,OFFSET(Ottone!$F$1,MATCH(J110,Ottone!$A:$A,0)-1,MATCH(K110,Ottone!$F$1:$FF$1,0)-1))*IF(G110="Ottone",1,0)</f>
        <v>0</v>
      </c>
      <c r="T110" s="205">
        <f ca="1">IF(ISERROR(OFFSET(Rame!$F$1,MATCH(J110,Rame!$F:$F,0)-1,MATCH(K110,Rame!$F$1:$FF$1,0)-1)=TRUE),0,OFFSET(Rame!$F$1,MATCH(J110,Rame!$F:$F,0)-1,MATCH(K110,Rame!$F$1:$FF$1,0)-1))*IF(G110="Rame",1,0)</f>
        <v>0</v>
      </c>
      <c r="U110" s="205">
        <f ca="1">IF(ISERROR(OFFSET(Bronzo!$A$1,MATCH(J110,Bronzo!$A:$A,0)-1,MATCH(K110,Bronzo!$A$1:$AA$1,0)-1)=TRUE),0,OFFSET(Bronzo!$A$1,MATCH(J110,Bronzo!$A:$A,0)-1,MATCH(K110,Bronzo!$A$1:$AA$1,0)-1))</f>
        <v>0</v>
      </c>
      <c r="V110" s="205">
        <f t="shared" ca="1" si="128"/>
        <v>0</v>
      </c>
      <c r="W110" s="204"/>
      <c r="X110" s="205">
        <v>0</v>
      </c>
      <c r="Y110" s="206">
        <f t="shared" ca="1" si="129"/>
        <v>1.6</v>
      </c>
      <c r="Z110" s="380">
        <f t="shared" si="130"/>
        <v>40.39</v>
      </c>
      <c r="AA110" s="203">
        <v>4.1900000000000004</v>
      </c>
      <c r="AB110" s="203">
        <f t="shared" ca="1" si="131"/>
        <v>0.20000000000000018</v>
      </c>
      <c r="AC110" s="238"/>
      <c r="AG110" t="s">
        <v>404</v>
      </c>
      <c r="AI110" s="367">
        <f t="shared" ca="1" si="126"/>
        <v>46092</v>
      </c>
      <c r="AJ110" s="367" t="b">
        <f t="shared" si="132"/>
        <v>1</v>
      </c>
      <c r="AK110" s="370" t="str">
        <f t="shared" si="133"/>
        <v/>
      </c>
      <c r="AN110">
        <f t="shared" si="134"/>
        <v>0</v>
      </c>
      <c r="AO110">
        <f t="shared" si="135"/>
        <v>1900</v>
      </c>
      <c r="AV110">
        <f t="shared" si="136"/>
        <v>0</v>
      </c>
      <c r="AW110">
        <f t="shared" si="137"/>
        <v>0</v>
      </c>
    </row>
    <row r="111" spans="4:49" ht="15.75" x14ac:dyDescent="0.25">
      <c r="D111" s="199" t="s">
        <v>530</v>
      </c>
      <c r="E111" s="378" t="s">
        <v>402</v>
      </c>
      <c r="F111" s="379">
        <v>388</v>
      </c>
      <c r="G111" s="201" t="s">
        <v>6</v>
      </c>
      <c r="H111" s="219">
        <v>9.35</v>
      </c>
      <c r="I111" s="202">
        <v>45940</v>
      </c>
      <c r="J111" s="200" t="s">
        <v>14</v>
      </c>
      <c r="K111" s="200"/>
      <c r="L111" s="203">
        <v>0.15</v>
      </c>
      <c r="M111" s="204">
        <f ca="1">IF(ISERROR(OFFSET(Tabella!$A$1,MATCH(J111,Tabella!$A:$A,0)-1,MATCH(L111,Tabella!$A$1:$AC$1,0)-1)=TRUE),0,+OFFSET(Tabella!$A$1,MATCH(J111,Tabella!$A:$A,0)-1,MATCH(L111,Tabella!$A$1:$AC$1,0)-1))</f>
        <v>0</v>
      </c>
      <c r="N111" s="205">
        <f ca="1">IF(ISERROR(OFFSET(Ottone!$A$1,MATCH(J111,Ottone!$A:$A,0)-1,MATCH(L111,Ottone!$A$1:$Z$1,0)-1)=TRUE),0,OFFSET(Ottone!$A$1,MATCH(J111,Ottone!$A:$A,0)-1,MATCH(L111,Ottone!$A$1:$Z$1,0)-1))*IF(G111="Ottone",1,0)</f>
        <v>0</v>
      </c>
      <c r="O111" s="205">
        <f ca="1">IF(ISERROR(OFFSET(Rame!$A$1,MATCH(J111,Rame!$A:$A,0)-1,MATCH(L111,Rame!$A$1:$AA$1,0)-1)=TRUE),0,OFFSET(Rame!$A$1,MATCH(J111,Rame!$A:$A,0)-1,MATCH(L111,Rame!$A$1:$AA$1,0)-1))*IF(G111="Rame",1,0)</f>
        <v>1</v>
      </c>
      <c r="P111" s="205">
        <v>0</v>
      </c>
      <c r="Q111" s="205">
        <f t="shared" ca="1" si="127"/>
        <v>1</v>
      </c>
      <c r="R111" s="205">
        <f ca="1">+IF(ISERROR(OFFSET(Tabella!$G$1,MATCH(J111,Tabella!$G:$G,0)-1,MATCH(K111,Tabella!$G$1:$FG$1,0)-1)=TRUE),0,OFFSET(Tabella!$G$1,MATCH(J111,Tabella!$G:$G,0)-1,MATCH(K111,Tabella!$G$1:$AB$1,0)-1))</f>
        <v>0</v>
      </c>
      <c r="S111" s="205">
        <f ca="1">IF(ISERROR(OFFSET(Ottone!$F$1,MATCH(J111,Ottone!$A:$A,0)-1,MATCH(K111,Ottone!$F$1:$FF$1,0)-1)=TRUE),0,OFFSET(Ottone!$F$1,MATCH(J111,Ottone!$A:$A,0)-1,MATCH(K111,Ottone!$F$1:$FF$1,0)-1))*IF(G111="Ottone",1,0)</f>
        <v>0</v>
      </c>
      <c r="T111" s="205">
        <f ca="1">IF(ISERROR(OFFSET(Rame!$F$1,MATCH(J111,Rame!$F:$F,0)-1,MATCH(K111,Rame!$F$1:$FF$1,0)-1)=TRUE),0,OFFSET(Rame!$F$1,MATCH(J111,Rame!$F:$F,0)-1,MATCH(K111,Rame!$F$1:$FF$1,0)-1))*IF(G111="Rame",1,0)</f>
        <v>0</v>
      </c>
      <c r="U111" s="205">
        <f ca="1">IF(ISERROR(OFFSET(Bronzo!$A$1,MATCH(J111,Bronzo!$A:$A,0)-1,MATCH(K111,Bronzo!$A$1:$AA$1,0)-1)=TRUE),0,OFFSET(Bronzo!$A$1,MATCH(J111,Bronzo!$A:$A,0)-1,MATCH(K111,Bronzo!$A$1:$AA$1,0)-1))</f>
        <v>0</v>
      </c>
      <c r="V111" s="205">
        <f t="shared" ca="1" si="128"/>
        <v>0</v>
      </c>
      <c r="W111" s="204"/>
      <c r="X111" s="205">
        <v>0</v>
      </c>
      <c r="Y111" s="206">
        <f t="shared" ca="1" si="129"/>
        <v>1</v>
      </c>
      <c r="Z111" s="380">
        <f t="shared" si="130"/>
        <v>58.199999999999996</v>
      </c>
      <c r="AA111" s="203">
        <v>12.95</v>
      </c>
      <c r="AB111" s="203">
        <f t="shared" ca="1" si="131"/>
        <v>2.5999999999999996</v>
      </c>
      <c r="AC111" s="238"/>
      <c r="AG111" t="s">
        <v>404</v>
      </c>
      <c r="AI111" s="367">
        <f t="shared" ca="1" si="126"/>
        <v>46092</v>
      </c>
      <c r="AJ111" s="367" t="b">
        <f t="shared" si="132"/>
        <v>1</v>
      </c>
      <c r="AK111" s="370" t="str">
        <f t="shared" si="133"/>
        <v/>
      </c>
      <c r="AN111">
        <f t="shared" si="134"/>
        <v>0</v>
      </c>
      <c r="AO111">
        <f t="shared" si="135"/>
        <v>1900</v>
      </c>
      <c r="AV111">
        <f t="shared" si="136"/>
        <v>0</v>
      </c>
      <c r="AW111">
        <f t="shared" si="137"/>
        <v>0</v>
      </c>
    </row>
    <row r="112" spans="4:49" ht="15.75" x14ac:dyDescent="0.25">
      <c r="D112" s="199" t="s">
        <v>537</v>
      </c>
      <c r="E112" s="378" t="s">
        <v>401</v>
      </c>
      <c r="F112" s="379">
        <v>645</v>
      </c>
      <c r="G112" s="201" t="s">
        <v>6</v>
      </c>
      <c r="H112" s="219">
        <v>9.23</v>
      </c>
      <c r="I112" s="202">
        <v>45940</v>
      </c>
      <c r="J112" s="200" t="s">
        <v>18</v>
      </c>
      <c r="K112" s="200"/>
      <c r="L112" s="203">
        <v>0.15</v>
      </c>
      <c r="M112" s="204">
        <f ca="1">IF(ISERROR(OFFSET(Tabella!$A$1,MATCH(J112,Tabella!$A:$A,0)-1,MATCH(L112,Tabella!$A$1:$AC$1,0)-1)=TRUE),0,+OFFSET(Tabella!$A$1,MATCH(J112,Tabella!$A:$A,0)-1,MATCH(L112,Tabella!$A$1:$AC$1,0)-1))</f>
        <v>0</v>
      </c>
      <c r="N112" s="205">
        <f ca="1">IF(ISERROR(OFFSET(Ottone!$A$1,MATCH(J112,Ottone!$A:$A,0)-1,MATCH(L112,Ottone!$A$1:$Z$1,0)-1)=TRUE),0,OFFSET(Ottone!$A$1,MATCH(J112,Ottone!$A:$A,0)-1,MATCH(L112,Ottone!$A$1:$Z$1,0)-1))*IF(G112="Ottone",1,0)</f>
        <v>0</v>
      </c>
      <c r="O112" s="205">
        <f ca="1">IF(ISERROR(OFFSET(Rame!$A$1,MATCH(J112,Rame!$A:$A,0)-1,MATCH(L112,Rame!$A$1:$AA$1,0)-1)=TRUE),0,OFFSET(Rame!$A$1,MATCH(J112,Rame!$A:$A,0)-1,MATCH(L112,Rame!$A$1:$AA$1,0)-1))*IF(G112="Rame",1,0)</f>
        <v>0.82</v>
      </c>
      <c r="P112" s="205">
        <v>0</v>
      </c>
      <c r="Q112" s="205">
        <f t="shared" ca="1" si="127"/>
        <v>0.82</v>
      </c>
      <c r="R112" s="205">
        <f ca="1">+IF(ISERROR(OFFSET(Tabella!$G$1,MATCH(J112,Tabella!$G:$G,0)-1,MATCH(K112,Tabella!$G$1:$FG$1,0)-1)=TRUE),0,OFFSET(Tabella!$G$1,MATCH(J112,Tabella!$G:$G,0)-1,MATCH(K112,Tabella!$G$1:$AB$1,0)-1))</f>
        <v>0</v>
      </c>
      <c r="S112" s="205">
        <f ca="1">IF(ISERROR(OFFSET(Ottone!$F$1,MATCH(J112,Ottone!$A:$A,0)-1,MATCH(K112,Ottone!$F$1:$FF$1,0)-1)=TRUE),0,OFFSET(Ottone!$F$1,MATCH(J112,Ottone!$A:$A,0)-1,MATCH(K112,Ottone!$F$1:$FF$1,0)-1))*IF(G112="Ottone",1,0)</f>
        <v>0</v>
      </c>
      <c r="T112" s="205">
        <f ca="1">IF(ISERROR(OFFSET(Rame!$F$1,MATCH(J112,Rame!$F:$F,0)-1,MATCH(K112,Rame!$F$1:$FF$1,0)-1)=TRUE),0,OFFSET(Rame!$F$1,MATCH(J112,Rame!$F:$F,0)-1,MATCH(K112,Rame!$F$1:$FF$1,0)-1))*IF(G112="Rame",1,0)</f>
        <v>0</v>
      </c>
      <c r="U112" s="205">
        <f ca="1">IF(ISERROR(OFFSET(Bronzo!$A$1,MATCH(J112,Bronzo!$A:$A,0)-1,MATCH(K112,Bronzo!$A$1:$AA$1,0)-1)=TRUE),0,OFFSET(Bronzo!$A$1,MATCH(J112,Bronzo!$A:$A,0)-1,MATCH(K112,Bronzo!$A$1:$AA$1,0)-1))</f>
        <v>0</v>
      </c>
      <c r="V112" s="205">
        <f t="shared" ca="1" si="128"/>
        <v>0</v>
      </c>
      <c r="W112" s="204"/>
      <c r="X112" s="205">
        <v>0</v>
      </c>
      <c r="Y112" s="206">
        <f t="shared" ca="1" si="129"/>
        <v>0.82</v>
      </c>
      <c r="Z112" s="380">
        <f t="shared" si="130"/>
        <v>96.75</v>
      </c>
      <c r="AA112" s="203">
        <v>12.81</v>
      </c>
      <c r="AB112" s="203">
        <f t="shared" ca="1" si="131"/>
        <v>2.76</v>
      </c>
      <c r="AC112" s="238"/>
      <c r="AG112" t="s">
        <v>404</v>
      </c>
      <c r="AI112" s="367">
        <f t="shared" ca="1" si="126"/>
        <v>46092</v>
      </c>
      <c r="AJ112" s="367" t="b">
        <f t="shared" si="132"/>
        <v>1</v>
      </c>
      <c r="AK112" s="370" t="str">
        <f t="shared" si="133"/>
        <v/>
      </c>
      <c r="AN112">
        <f t="shared" si="134"/>
        <v>0</v>
      </c>
      <c r="AO112">
        <f t="shared" si="135"/>
        <v>1900</v>
      </c>
      <c r="AV112">
        <f t="shared" si="136"/>
        <v>0</v>
      </c>
      <c r="AW112">
        <f t="shared" si="137"/>
        <v>0</v>
      </c>
    </row>
    <row r="113" spans="4:49" ht="15.75" x14ac:dyDescent="0.25">
      <c r="D113" s="199" t="s">
        <v>588</v>
      </c>
      <c r="E113" s="378" t="s">
        <v>246</v>
      </c>
      <c r="F113" s="379">
        <v>800</v>
      </c>
      <c r="G113" s="201" t="s">
        <v>4</v>
      </c>
      <c r="H113" s="219">
        <v>2.36</v>
      </c>
      <c r="I113" s="202">
        <v>45939</v>
      </c>
      <c r="J113" s="200" t="s">
        <v>29</v>
      </c>
      <c r="K113" s="200"/>
      <c r="L113" s="203">
        <v>0.1</v>
      </c>
      <c r="M113" s="204">
        <f ca="1">IF(ISERROR(OFFSET(Tabella!$A$1,MATCH(J113,Tabella!$A:$A,0)-1,MATCH(L113,Tabella!$A$1:$AC$1,0)-1)=TRUE),0,+OFFSET(Tabella!$A$1,MATCH(J113,Tabella!$A:$A,0)-1,MATCH(L113,Tabella!$A$1:$AC$1,0)-1))</f>
        <v>1.5</v>
      </c>
      <c r="N113" s="205">
        <f ca="1">IF(ISERROR(OFFSET(Ottone!$A$1,MATCH(J113,Ottone!$A:$A,0)-1,MATCH(L113,Ottone!$A$1:$Z$1,0)-1)=TRUE),0,OFFSET(Ottone!$A$1,MATCH(J113,Ottone!$A:$A,0)-1,MATCH(L113,Ottone!$A$1:$Z$1,0)-1))*IF(G113="Ottone",1,0)</f>
        <v>0</v>
      </c>
      <c r="O113" s="205">
        <f ca="1">IF(ISERROR(OFFSET(Rame!$A$1,MATCH(J113,Rame!$A:$A,0)-1,MATCH(L113,Rame!$A$1:$AA$1,0)-1)=TRUE),0,OFFSET(Rame!$A$1,MATCH(J113,Rame!$A:$A,0)-1,MATCH(L113,Rame!$A$1:$AA$1,0)-1))*IF(G113="Rame",1,0)</f>
        <v>0</v>
      </c>
      <c r="P113" s="205">
        <v>0</v>
      </c>
      <c r="Q113" s="205">
        <f t="shared" ca="1" si="127"/>
        <v>1.5</v>
      </c>
      <c r="R113" s="205">
        <f ca="1">+IF(ISERROR(OFFSET(Tabella!$G$1,MATCH(J113,Tabella!$G:$G,0)-1,MATCH(K113,Tabella!$G$1:$FG$1,0)-1)=TRUE),0,OFFSET(Tabella!$G$1,MATCH(J113,Tabella!$G:$G,0)-1,MATCH(K113,Tabella!$G$1:$AB$1,0)-1))</f>
        <v>0</v>
      </c>
      <c r="S113" s="205">
        <f ca="1">IF(ISERROR(OFFSET(Ottone!$F$1,MATCH(J113,Ottone!$A:$A,0)-1,MATCH(K113,Ottone!$F$1:$FF$1,0)-1)=TRUE),0,OFFSET(Ottone!$F$1,MATCH(J113,Ottone!$A:$A,0)-1,MATCH(K113,Ottone!$F$1:$FF$1,0)-1))*IF(G113="Ottone",1,0)</f>
        <v>0</v>
      </c>
      <c r="T113" s="205">
        <f ca="1">IF(ISERROR(OFFSET(Rame!$F$1,MATCH(J113,Rame!$F:$F,0)-1,MATCH(K113,Rame!$F$1:$FF$1,0)-1)=TRUE),0,OFFSET(Rame!$F$1,MATCH(J113,Rame!$F:$F,0)-1,MATCH(K113,Rame!$F$1:$FF$1,0)-1))*IF(G113="Rame",1,0)</f>
        <v>0</v>
      </c>
      <c r="U113" s="205">
        <f ca="1">IF(ISERROR(OFFSET(Bronzo!$A$1,MATCH(J113,Bronzo!$A:$A,0)-1,MATCH(K113,Bronzo!$A$1:$AA$1,0)-1)=TRUE),0,OFFSET(Bronzo!$A$1,MATCH(J113,Bronzo!$A:$A,0)-1,MATCH(K113,Bronzo!$A$1:$AA$1,0)-1))</f>
        <v>0</v>
      </c>
      <c r="V113" s="205">
        <f t="shared" ca="1" si="128"/>
        <v>0</v>
      </c>
      <c r="W113" s="204"/>
      <c r="X113" s="205">
        <v>0</v>
      </c>
      <c r="Y113" s="206">
        <f t="shared" ca="1" si="129"/>
        <v>1.5</v>
      </c>
      <c r="Z113" s="380">
        <f t="shared" si="130"/>
        <v>80</v>
      </c>
      <c r="AA113" s="203">
        <v>3.95</v>
      </c>
      <c r="AB113" s="203">
        <f t="shared" ca="1" si="131"/>
        <v>9.0000000000000302E-2</v>
      </c>
      <c r="AC113" s="238"/>
      <c r="AG113" t="s">
        <v>404</v>
      </c>
      <c r="AI113" s="367">
        <f t="shared" ca="1" si="126"/>
        <v>46092</v>
      </c>
      <c r="AJ113" s="367" t="b">
        <f t="shared" si="132"/>
        <v>1</v>
      </c>
      <c r="AK113" s="370" t="str">
        <f t="shared" si="133"/>
        <v/>
      </c>
      <c r="AN113">
        <f t="shared" si="134"/>
        <v>0</v>
      </c>
      <c r="AO113">
        <f t="shared" si="135"/>
        <v>1900</v>
      </c>
      <c r="AV113">
        <f t="shared" si="136"/>
        <v>0</v>
      </c>
      <c r="AW113">
        <f t="shared" si="137"/>
        <v>0</v>
      </c>
    </row>
    <row r="114" spans="4:49" ht="15.75" x14ac:dyDescent="0.25">
      <c r="D114" s="199" t="s">
        <v>505</v>
      </c>
      <c r="E114" s="378" t="s">
        <v>421</v>
      </c>
      <c r="F114" s="379">
        <v>572</v>
      </c>
      <c r="G114" s="201" t="s">
        <v>4</v>
      </c>
      <c r="H114" s="219">
        <v>2.36</v>
      </c>
      <c r="I114" s="202">
        <v>45940</v>
      </c>
      <c r="J114" s="200" t="s">
        <v>23</v>
      </c>
      <c r="K114" s="200"/>
      <c r="L114" s="203">
        <v>7.0000000000000007E-2</v>
      </c>
      <c r="M114" s="204">
        <f ca="1">IF(ISERROR(OFFSET(Tabella!$A$1,MATCH(J114,Tabella!$A:$A,0)-1,MATCH(L114,Tabella!$A$1:$AC$1,0)-1)=TRUE),0,+OFFSET(Tabella!$A$1,MATCH(J114,Tabella!$A:$A,0)-1,MATCH(L114,Tabella!$A$1:$AC$1,0)-1))</f>
        <v>1.25</v>
      </c>
      <c r="N114" s="205">
        <f ca="1">IF(ISERROR(OFFSET(Ottone!$A$1,MATCH(J114,Ottone!$A:$A,0)-1,MATCH(L114,Ottone!$A$1:$Z$1,0)-1)=TRUE),0,OFFSET(Ottone!$A$1,MATCH(J114,Ottone!$A:$A,0)-1,MATCH(L114,Ottone!$A$1:$Z$1,0)-1))*IF(G114="Ottone",1,0)</f>
        <v>0</v>
      </c>
      <c r="O114" s="205">
        <f ca="1">IF(ISERROR(OFFSET(Rame!$A$1,MATCH(J114,Rame!$A:$A,0)-1,MATCH(L114,Rame!$A$1:$AA$1,0)-1)=TRUE),0,OFFSET(Rame!$A$1,MATCH(J114,Rame!$A:$A,0)-1,MATCH(L114,Rame!$A$1:$AA$1,0)-1))*IF(G114="Rame",1,0)</f>
        <v>0</v>
      </c>
      <c r="P114" s="205">
        <v>0</v>
      </c>
      <c r="Q114" s="205">
        <f t="shared" ca="1" si="127"/>
        <v>1.25</v>
      </c>
      <c r="R114" s="205">
        <f ca="1">+IF(ISERROR(OFFSET(Tabella!$G$1,MATCH(J114,Tabella!$G:$G,0)-1,MATCH(K114,Tabella!$G$1:$FG$1,0)-1)=TRUE),0,OFFSET(Tabella!$G$1,MATCH(J114,Tabella!$G:$G,0)-1,MATCH(K114,Tabella!$G$1:$AB$1,0)-1))</f>
        <v>0</v>
      </c>
      <c r="S114" s="205">
        <f ca="1">IF(ISERROR(OFFSET(Ottone!$F$1,MATCH(J114,Ottone!$A:$A,0)-1,MATCH(K114,Ottone!$F$1:$FF$1,0)-1)=TRUE),0,OFFSET(Ottone!$F$1,MATCH(J114,Ottone!$A:$A,0)-1,MATCH(K114,Ottone!$F$1:$FF$1,0)-1))*IF(G114="Ottone",1,0)</f>
        <v>0</v>
      </c>
      <c r="T114" s="205">
        <f ca="1">IF(ISERROR(OFFSET(Rame!$F$1,MATCH(J114,Rame!$F:$F,0)-1,MATCH(K114,Rame!$F$1:$FF$1,0)-1)=TRUE),0,OFFSET(Rame!$F$1,MATCH(J114,Rame!$F:$F,0)-1,MATCH(K114,Rame!$F$1:$FF$1,0)-1))*IF(G114="Rame",1,0)</f>
        <v>0</v>
      </c>
      <c r="U114" s="205">
        <f ca="1">IF(ISERROR(OFFSET(Bronzo!$A$1,MATCH(J114,Bronzo!$A:$A,0)-1,MATCH(K114,Bronzo!$A$1:$AA$1,0)-1)=TRUE),0,OFFSET(Bronzo!$A$1,MATCH(J114,Bronzo!$A:$A,0)-1,MATCH(K114,Bronzo!$A$1:$AA$1,0)-1))</f>
        <v>0</v>
      </c>
      <c r="V114" s="205">
        <f t="shared" ca="1" si="128"/>
        <v>0</v>
      </c>
      <c r="W114" s="204"/>
      <c r="X114" s="205">
        <v>0</v>
      </c>
      <c r="Y114" s="206">
        <f t="shared" ca="1" si="129"/>
        <v>1.25</v>
      </c>
      <c r="Z114" s="380">
        <f t="shared" si="130"/>
        <v>40.040000000000006</v>
      </c>
      <c r="AA114" s="203">
        <v>3.86</v>
      </c>
      <c r="AB114" s="203">
        <f t="shared" ca="1" si="131"/>
        <v>0.25</v>
      </c>
      <c r="AC114" s="238"/>
      <c r="AG114" t="s">
        <v>404</v>
      </c>
      <c r="AI114" s="367">
        <f t="shared" ca="1" si="126"/>
        <v>46092</v>
      </c>
      <c r="AJ114" s="367" t="b">
        <f t="shared" si="132"/>
        <v>1</v>
      </c>
      <c r="AK114" s="370" t="str">
        <f t="shared" si="133"/>
        <v/>
      </c>
      <c r="AN114">
        <f t="shared" si="134"/>
        <v>0</v>
      </c>
      <c r="AO114">
        <f t="shared" si="135"/>
        <v>1900</v>
      </c>
      <c r="AV114">
        <f t="shared" si="136"/>
        <v>0</v>
      </c>
      <c r="AW114">
        <f t="shared" si="137"/>
        <v>0</v>
      </c>
    </row>
    <row r="115" spans="4:49" ht="15.75" x14ac:dyDescent="0.25">
      <c r="D115" s="199" t="s">
        <v>618</v>
      </c>
      <c r="E115" s="378" t="s">
        <v>396</v>
      </c>
      <c r="F115" s="379">
        <v>343</v>
      </c>
      <c r="G115" s="201" t="s">
        <v>4</v>
      </c>
      <c r="H115" s="219">
        <v>2.38</v>
      </c>
      <c r="I115" s="202">
        <v>45944</v>
      </c>
      <c r="J115" s="200" t="s">
        <v>13</v>
      </c>
      <c r="K115" s="200"/>
      <c r="L115" s="203">
        <v>0.1</v>
      </c>
      <c r="M115" s="204">
        <f ca="1">IF(ISERROR(OFFSET(Tabella!$A$1,MATCH(J115,Tabella!$A:$A,0)-1,MATCH(L115,Tabella!$A$1:$AC$1,0)-1)=TRUE),0,+OFFSET(Tabella!$A$1,MATCH(J115,Tabella!$A:$A,0)-1,MATCH(L115,Tabella!$A$1:$AC$1,0)-1))</f>
        <v>1.6</v>
      </c>
      <c r="N115" s="205">
        <f ca="1">IF(ISERROR(OFFSET(Ottone!$A$1,MATCH(J115,Ottone!$A:$A,0)-1,MATCH(L115,Ottone!$A$1:$Z$1,0)-1)=TRUE),0,OFFSET(Ottone!$A$1,MATCH(J115,Ottone!$A:$A,0)-1,MATCH(L115,Ottone!$A$1:$Z$1,0)-1))*IF(G115="Ottone",1,0)</f>
        <v>0</v>
      </c>
      <c r="O115" s="205">
        <f ca="1">IF(ISERROR(OFFSET(Rame!$A$1,MATCH(J115,Rame!$A:$A,0)-1,MATCH(L115,Rame!$A$1:$AA$1,0)-1)=TRUE),0,OFFSET(Rame!$A$1,MATCH(J115,Rame!$A:$A,0)-1,MATCH(L115,Rame!$A$1:$AA$1,0)-1))*IF(G115="Rame",1,0)</f>
        <v>0</v>
      </c>
      <c r="P115" s="205">
        <v>0</v>
      </c>
      <c r="Q115" s="205">
        <f t="shared" ca="1" si="127"/>
        <v>1.6</v>
      </c>
      <c r="R115" s="205">
        <f ca="1">+IF(ISERROR(OFFSET(Tabella!$G$1,MATCH(J115,Tabella!$G:$G,0)-1,MATCH(K115,Tabella!$G$1:$FG$1,0)-1)=TRUE),0,OFFSET(Tabella!$G$1,MATCH(J115,Tabella!$G:$G,0)-1,MATCH(K115,Tabella!$G$1:$AB$1,0)-1))</f>
        <v>0</v>
      </c>
      <c r="S115" s="205">
        <f ca="1">IF(ISERROR(OFFSET(Ottone!$F$1,MATCH(J115,Ottone!$A:$A,0)-1,MATCH(K115,Ottone!$F$1:$FF$1,0)-1)=TRUE),0,OFFSET(Ottone!$F$1,MATCH(J115,Ottone!$A:$A,0)-1,MATCH(K115,Ottone!$F$1:$FF$1,0)-1))*IF(G115="Ottone",1,0)</f>
        <v>0</v>
      </c>
      <c r="T115" s="205">
        <f ca="1">IF(ISERROR(OFFSET(Rame!$F$1,MATCH(J115,Rame!$F:$F,0)-1,MATCH(K115,Rame!$F$1:$FF$1,0)-1)=TRUE),0,OFFSET(Rame!$F$1,MATCH(J115,Rame!$F:$F,0)-1,MATCH(K115,Rame!$F$1:$FF$1,0)-1))*IF(G115="Rame",1,0)</f>
        <v>0</v>
      </c>
      <c r="U115" s="205">
        <f ca="1">IF(ISERROR(OFFSET(Bronzo!$A$1,MATCH(J115,Bronzo!$A:$A,0)-1,MATCH(K115,Bronzo!$A$1:$AA$1,0)-1)=TRUE),0,OFFSET(Bronzo!$A$1,MATCH(J115,Bronzo!$A:$A,0)-1,MATCH(K115,Bronzo!$A$1:$AA$1,0)-1))</f>
        <v>0</v>
      </c>
      <c r="V115" s="205">
        <f t="shared" ca="1" si="128"/>
        <v>0</v>
      </c>
      <c r="W115" s="204"/>
      <c r="X115" s="205">
        <v>0</v>
      </c>
      <c r="Y115" s="206">
        <f t="shared" ca="1" si="129"/>
        <v>1.6</v>
      </c>
      <c r="Z115" s="380">
        <f t="shared" si="130"/>
        <v>34.300000000000004</v>
      </c>
      <c r="AA115" s="203">
        <v>4.53</v>
      </c>
      <c r="AB115" s="203">
        <f t="shared" ca="1" si="131"/>
        <v>0.55000000000000027</v>
      </c>
      <c r="AC115" s="238"/>
      <c r="AG115" t="s">
        <v>404</v>
      </c>
      <c r="AI115" s="367">
        <f t="shared" ca="1" si="126"/>
        <v>46092</v>
      </c>
      <c r="AJ115" s="367" t="b">
        <f t="shared" si="132"/>
        <v>1</v>
      </c>
      <c r="AK115" s="370" t="str">
        <f t="shared" si="133"/>
        <v/>
      </c>
      <c r="AN115">
        <f t="shared" si="134"/>
        <v>0</v>
      </c>
      <c r="AO115">
        <f t="shared" si="135"/>
        <v>1900</v>
      </c>
      <c r="AV115">
        <f t="shared" si="136"/>
        <v>0</v>
      </c>
      <c r="AW115">
        <f t="shared" si="137"/>
        <v>0</v>
      </c>
    </row>
    <row r="116" spans="4:49" ht="15.75" x14ac:dyDescent="0.25">
      <c r="D116" s="199" t="s">
        <v>619</v>
      </c>
      <c r="E116" s="378" t="s">
        <v>396</v>
      </c>
      <c r="F116" s="379">
        <v>607</v>
      </c>
      <c r="G116" s="201" t="s">
        <v>4</v>
      </c>
      <c r="H116" s="219">
        <v>2.38</v>
      </c>
      <c r="I116" s="202">
        <v>45940</v>
      </c>
      <c r="J116" s="200" t="s">
        <v>19</v>
      </c>
      <c r="K116" s="200"/>
      <c r="L116" s="203">
        <v>0.1</v>
      </c>
      <c r="M116" s="204">
        <f ca="1">IF(ISERROR(OFFSET(Tabella!$A$1,MATCH(J116,Tabella!$A:$A,0)-1,MATCH(L116,Tabella!$A$1:$AC$1,0)-1)=TRUE),0,+OFFSET(Tabella!$A$1,MATCH(J116,Tabella!$A:$A,0)-1,MATCH(L116,Tabella!$A$1:$AC$1,0)-1))</f>
        <v>1.6</v>
      </c>
      <c r="N116" s="205">
        <f ca="1">IF(ISERROR(OFFSET(Ottone!$A$1,MATCH(J116,Ottone!$A:$A,0)-1,MATCH(L116,Ottone!$A$1:$Z$1,0)-1)=TRUE),0,OFFSET(Ottone!$A$1,MATCH(J116,Ottone!$A:$A,0)-1,MATCH(L116,Ottone!$A$1:$Z$1,0)-1))*IF(G116="Ottone",1,0)</f>
        <v>0</v>
      </c>
      <c r="O116" s="205">
        <f ca="1">IF(ISERROR(OFFSET(Rame!$A$1,MATCH(J116,Rame!$A:$A,0)-1,MATCH(L116,Rame!$A$1:$AA$1,0)-1)=TRUE),0,OFFSET(Rame!$A$1,MATCH(J116,Rame!$A:$A,0)-1,MATCH(L116,Rame!$A$1:$AA$1,0)-1))*IF(G116="Rame",1,0)</f>
        <v>0</v>
      </c>
      <c r="P116" s="205">
        <v>0</v>
      </c>
      <c r="Q116" s="205">
        <f t="shared" ca="1" si="127"/>
        <v>1.6</v>
      </c>
      <c r="R116" s="205">
        <f ca="1">+IF(ISERROR(OFFSET(Tabella!$G$1,MATCH(J116,Tabella!$G:$G,0)-1,MATCH(K116,Tabella!$G$1:$FG$1,0)-1)=TRUE),0,OFFSET(Tabella!$G$1,MATCH(J116,Tabella!$G:$G,0)-1,MATCH(K116,Tabella!$G$1:$AB$1,0)-1))</f>
        <v>0</v>
      </c>
      <c r="S116" s="205">
        <f ca="1">IF(ISERROR(OFFSET(Ottone!$F$1,MATCH(J116,Ottone!$A:$A,0)-1,MATCH(K116,Ottone!$F$1:$FF$1,0)-1)=TRUE),0,OFFSET(Ottone!$F$1,MATCH(J116,Ottone!$A:$A,0)-1,MATCH(K116,Ottone!$F$1:$FF$1,0)-1))*IF(G116="Ottone",1,0)</f>
        <v>0</v>
      </c>
      <c r="T116" s="205">
        <f ca="1">IF(ISERROR(OFFSET(Rame!$F$1,MATCH(J116,Rame!$F:$F,0)-1,MATCH(K116,Rame!$F$1:$FF$1,0)-1)=TRUE),0,OFFSET(Rame!$F$1,MATCH(J116,Rame!$F:$F,0)-1,MATCH(K116,Rame!$F$1:$FF$1,0)-1))*IF(G116="Rame",1,0)</f>
        <v>0</v>
      </c>
      <c r="U116" s="205">
        <f ca="1">IF(ISERROR(OFFSET(Bronzo!$A$1,MATCH(J116,Bronzo!$A:$A,0)-1,MATCH(K116,Bronzo!$A$1:$AA$1,0)-1)=TRUE),0,OFFSET(Bronzo!$A$1,MATCH(J116,Bronzo!$A:$A,0)-1,MATCH(K116,Bronzo!$A$1:$AA$1,0)-1))</f>
        <v>0</v>
      </c>
      <c r="V116" s="205">
        <f t="shared" ca="1" si="128"/>
        <v>0</v>
      </c>
      <c r="W116" s="204"/>
      <c r="X116" s="205">
        <v>0</v>
      </c>
      <c r="Y116" s="206">
        <f t="shared" ca="1" si="129"/>
        <v>1.6</v>
      </c>
      <c r="Z116" s="380">
        <f t="shared" si="130"/>
        <v>60.7</v>
      </c>
      <c r="AA116" s="203">
        <v>4.45</v>
      </c>
      <c r="AB116" s="203">
        <f t="shared" ca="1" si="131"/>
        <v>0.4700000000000002</v>
      </c>
      <c r="AC116" s="238"/>
      <c r="AG116" t="s">
        <v>404</v>
      </c>
      <c r="AI116" s="367">
        <f t="shared" ca="1" si="126"/>
        <v>46092</v>
      </c>
      <c r="AJ116" s="367" t="b">
        <f t="shared" si="132"/>
        <v>1</v>
      </c>
      <c r="AK116" s="370" t="str">
        <f t="shared" si="133"/>
        <v/>
      </c>
      <c r="AN116">
        <f t="shared" si="134"/>
        <v>0</v>
      </c>
      <c r="AO116">
        <f t="shared" si="135"/>
        <v>1900</v>
      </c>
      <c r="AV116">
        <f t="shared" si="136"/>
        <v>0</v>
      </c>
      <c r="AW116">
        <f t="shared" si="137"/>
        <v>0</v>
      </c>
    </row>
    <row r="117" spans="4:49" ht="15.75" x14ac:dyDescent="0.25">
      <c r="D117" s="199" t="s">
        <v>580</v>
      </c>
      <c r="E117" s="378" t="s">
        <v>108</v>
      </c>
      <c r="F117" s="379">
        <v>609</v>
      </c>
      <c r="G117" s="201" t="s">
        <v>4</v>
      </c>
      <c r="H117" s="219">
        <v>2.2799999999999998</v>
      </c>
      <c r="I117" s="202">
        <v>45930</v>
      </c>
      <c r="J117" s="200" t="s">
        <v>26</v>
      </c>
      <c r="K117" s="200"/>
      <c r="L117" s="203">
        <v>7.0000000000000007E-2</v>
      </c>
      <c r="M117" s="204">
        <f ca="1">IF(ISERROR(OFFSET(Tabella!$A$1,MATCH(J117,Tabella!$A:$A,0)-1,MATCH(L117,Tabella!$A$1:$AC$1,0)-1)=TRUE),0,+OFFSET(Tabella!$A$1,MATCH(J117,Tabella!$A:$A,0)-1,MATCH(L117,Tabella!$A$1:$AC$1,0)-1))</f>
        <v>1.25</v>
      </c>
      <c r="N117" s="205">
        <f ca="1">IF(ISERROR(OFFSET(Ottone!$A$1,MATCH(J117,Ottone!$A:$A,0)-1,MATCH(L117,Ottone!$A$1:$Z$1,0)-1)=TRUE),0,OFFSET(Ottone!$A$1,MATCH(J117,Ottone!$A:$A,0)-1,MATCH(L117,Ottone!$A$1:$Z$1,0)-1))*IF(G117="Ottone",1,0)</f>
        <v>0</v>
      </c>
      <c r="O117" s="205">
        <f ca="1">IF(ISERROR(OFFSET(Rame!$A$1,MATCH(J117,Rame!$A:$A,0)-1,MATCH(L117,Rame!$A$1:$AA$1,0)-1)=TRUE),0,OFFSET(Rame!$A$1,MATCH(J117,Rame!$A:$A,0)-1,MATCH(L117,Rame!$A$1:$AA$1,0)-1))*IF(G117="Rame",1,0)</f>
        <v>0</v>
      </c>
      <c r="P117" s="205">
        <v>0</v>
      </c>
      <c r="Q117" s="205">
        <f t="shared" ca="1" si="127"/>
        <v>1.25</v>
      </c>
      <c r="R117" s="205">
        <f ca="1">+IF(ISERROR(OFFSET(Tabella!$G$1,MATCH(J117,Tabella!$G:$G,0)-1,MATCH(K117,Tabella!$G$1:$FG$1,0)-1)=TRUE),0,OFFSET(Tabella!$G$1,MATCH(J117,Tabella!$G:$G,0)-1,MATCH(K117,Tabella!$G$1:$AB$1,0)-1))</f>
        <v>0</v>
      </c>
      <c r="S117" s="205">
        <f ca="1">IF(ISERROR(OFFSET(Ottone!$F$1,MATCH(J117,Ottone!$A:$A,0)-1,MATCH(K117,Ottone!$F$1:$FF$1,0)-1)=TRUE),0,OFFSET(Ottone!$F$1,MATCH(J117,Ottone!$A:$A,0)-1,MATCH(K117,Ottone!$F$1:$FF$1,0)-1))*IF(G117="Ottone",1,0)</f>
        <v>0</v>
      </c>
      <c r="T117" s="205">
        <f ca="1">IF(ISERROR(OFFSET(Rame!$F$1,MATCH(J117,Rame!$F:$F,0)-1,MATCH(K117,Rame!$F$1:$FF$1,0)-1)=TRUE),0,OFFSET(Rame!$F$1,MATCH(J117,Rame!$F:$F,0)-1,MATCH(K117,Rame!$F$1:$FF$1,0)-1))*IF(G117="Rame",1,0)</f>
        <v>0</v>
      </c>
      <c r="U117" s="205">
        <f ca="1">IF(ISERROR(OFFSET(Bronzo!$A$1,MATCH(J117,Bronzo!$A:$A,0)-1,MATCH(K117,Bronzo!$A$1:$AA$1,0)-1)=TRUE),0,OFFSET(Bronzo!$A$1,MATCH(J117,Bronzo!$A:$A,0)-1,MATCH(K117,Bronzo!$A$1:$AA$1,0)-1))</f>
        <v>0</v>
      </c>
      <c r="V117" s="205">
        <f t="shared" ca="1" si="128"/>
        <v>0</v>
      </c>
      <c r="W117" s="204"/>
      <c r="X117" s="205">
        <v>0</v>
      </c>
      <c r="Y117" s="206">
        <f t="shared" ca="1" si="129"/>
        <v>1.25</v>
      </c>
      <c r="Z117" s="380">
        <f t="shared" si="130"/>
        <v>42.63</v>
      </c>
      <c r="AA117" s="203">
        <v>3.78</v>
      </c>
      <c r="AB117" s="203">
        <f t="shared" ca="1" si="131"/>
        <v>0.25</v>
      </c>
      <c r="AC117" s="238"/>
      <c r="AG117" t="s">
        <v>404</v>
      </c>
      <c r="AI117" s="367">
        <f t="shared" ca="1" si="126"/>
        <v>46092</v>
      </c>
      <c r="AJ117" s="367" t="b">
        <f t="shared" si="132"/>
        <v>1</v>
      </c>
      <c r="AK117" s="370" t="str">
        <f t="shared" si="133"/>
        <v/>
      </c>
      <c r="AN117">
        <f t="shared" si="134"/>
        <v>0</v>
      </c>
      <c r="AO117">
        <f t="shared" si="135"/>
        <v>1900</v>
      </c>
      <c r="AV117">
        <f t="shared" si="136"/>
        <v>0</v>
      </c>
      <c r="AW117">
        <f t="shared" si="137"/>
        <v>0</v>
      </c>
    </row>
    <row r="118" spans="4:49" ht="15.75" x14ac:dyDescent="0.25">
      <c r="D118" s="199" t="s">
        <v>568</v>
      </c>
      <c r="E118" s="378" t="s">
        <v>108</v>
      </c>
      <c r="F118" s="379">
        <v>713</v>
      </c>
      <c r="G118" s="201" t="s">
        <v>4</v>
      </c>
      <c r="H118" s="219">
        <v>2.2799999999999998</v>
      </c>
      <c r="I118" s="202">
        <v>45930</v>
      </c>
      <c r="J118" s="200" t="s">
        <v>26</v>
      </c>
      <c r="K118" s="200"/>
      <c r="L118" s="203">
        <v>7.0000000000000007E-2</v>
      </c>
      <c r="M118" s="204">
        <f ca="1">IF(ISERROR(OFFSET(Tabella!$A$1,MATCH(J118,Tabella!$A:$A,0)-1,MATCH(L118,Tabella!$A$1:$AC$1,0)-1)=TRUE),0,+OFFSET(Tabella!$A$1,MATCH(J118,Tabella!$A:$A,0)-1,MATCH(L118,Tabella!$A$1:$AC$1,0)-1))</f>
        <v>1.25</v>
      </c>
      <c r="N118" s="205">
        <f ca="1">IF(ISERROR(OFFSET(Ottone!$A$1,MATCH(J118,Ottone!$A:$A,0)-1,MATCH(L118,Ottone!$A$1:$Z$1,0)-1)=TRUE),0,OFFSET(Ottone!$A$1,MATCH(J118,Ottone!$A:$A,0)-1,MATCH(L118,Ottone!$A$1:$Z$1,0)-1))*IF(G118="Ottone",1,0)</f>
        <v>0</v>
      </c>
      <c r="O118" s="205">
        <f ca="1">IF(ISERROR(OFFSET(Rame!$A$1,MATCH(J118,Rame!$A:$A,0)-1,MATCH(L118,Rame!$A$1:$AA$1,0)-1)=TRUE),0,OFFSET(Rame!$A$1,MATCH(J118,Rame!$A:$A,0)-1,MATCH(L118,Rame!$A$1:$AA$1,0)-1))*IF(G118="Rame",1,0)</f>
        <v>0</v>
      </c>
      <c r="P118" s="205">
        <v>0</v>
      </c>
      <c r="Q118" s="205">
        <f t="shared" ca="1" si="127"/>
        <v>1.25</v>
      </c>
      <c r="R118" s="205">
        <f ca="1">+IF(ISERROR(OFFSET(Tabella!$G$1,MATCH(J118,Tabella!$G:$G,0)-1,MATCH(K118,Tabella!$G$1:$FG$1,0)-1)=TRUE),0,OFFSET(Tabella!$G$1,MATCH(J118,Tabella!$G:$G,0)-1,MATCH(K118,Tabella!$G$1:$AB$1,0)-1))</f>
        <v>0</v>
      </c>
      <c r="S118" s="205">
        <f ca="1">IF(ISERROR(OFFSET(Ottone!$F$1,MATCH(J118,Ottone!$A:$A,0)-1,MATCH(K118,Ottone!$F$1:$FF$1,0)-1)=TRUE),0,OFFSET(Ottone!$F$1,MATCH(J118,Ottone!$A:$A,0)-1,MATCH(K118,Ottone!$F$1:$FF$1,0)-1))*IF(G118="Ottone",1,0)</f>
        <v>0</v>
      </c>
      <c r="T118" s="205">
        <f ca="1">IF(ISERROR(OFFSET(Rame!$F$1,MATCH(J118,Rame!$F:$F,0)-1,MATCH(K118,Rame!$F$1:$FF$1,0)-1)=TRUE),0,OFFSET(Rame!$F$1,MATCH(J118,Rame!$F:$F,0)-1,MATCH(K118,Rame!$F$1:$FF$1,0)-1))*IF(G118="Rame",1,0)</f>
        <v>0</v>
      </c>
      <c r="U118" s="205">
        <f ca="1">IF(ISERROR(OFFSET(Bronzo!$A$1,MATCH(J118,Bronzo!$A:$A,0)-1,MATCH(K118,Bronzo!$A$1:$AA$1,0)-1)=TRUE),0,OFFSET(Bronzo!$A$1,MATCH(J118,Bronzo!$A:$A,0)-1,MATCH(K118,Bronzo!$A$1:$AA$1,0)-1))</f>
        <v>0</v>
      </c>
      <c r="V118" s="205">
        <f t="shared" ca="1" si="128"/>
        <v>0</v>
      </c>
      <c r="W118" s="204"/>
      <c r="X118" s="205">
        <v>0</v>
      </c>
      <c r="Y118" s="206">
        <f t="shared" ca="1" si="129"/>
        <v>1.25</v>
      </c>
      <c r="Z118" s="380">
        <f t="shared" si="130"/>
        <v>49.910000000000004</v>
      </c>
      <c r="AA118" s="203">
        <v>3.78</v>
      </c>
      <c r="AB118" s="203">
        <f t="shared" ca="1" si="131"/>
        <v>0.25</v>
      </c>
      <c r="AC118" s="238"/>
      <c r="AG118" t="s">
        <v>404</v>
      </c>
      <c r="AI118" s="367">
        <f t="shared" ca="1" si="126"/>
        <v>46092</v>
      </c>
      <c r="AJ118" s="367" t="b">
        <f t="shared" si="132"/>
        <v>1</v>
      </c>
      <c r="AK118" s="370" t="str">
        <f t="shared" si="133"/>
        <v/>
      </c>
      <c r="AN118">
        <f t="shared" si="134"/>
        <v>0</v>
      </c>
      <c r="AO118">
        <f t="shared" si="135"/>
        <v>1900</v>
      </c>
      <c r="AV118">
        <f t="shared" si="136"/>
        <v>0</v>
      </c>
      <c r="AW118">
        <f t="shared" si="137"/>
        <v>0</v>
      </c>
    </row>
    <row r="119" spans="4:49" ht="15.75" x14ac:dyDescent="0.25">
      <c r="D119" s="199" t="s">
        <v>520</v>
      </c>
      <c r="E119" s="378" t="s">
        <v>108</v>
      </c>
      <c r="F119" s="379">
        <v>1062</v>
      </c>
      <c r="G119" s="201" t="s">
        <v>4</v>
      </c>
      <c r="H119" s="219">
        <v>2.2799999999999998</v>
      </c>
      <c r="I119" s="202">
        <v>45930</v>
      </c>
      <c r="J119" s="200" t="s">
        <v>25</v>
      </c>
      <c r="K119" s="200"/>
      <c r="L119" s="203">
        <v>7.0000000000000007E-2</v>
      </c>
      <c r="M119" s="204">
        <f ca="1">IF(ISERROR(OFFSET(Tabella!$A$1,MATCH(J119,Tabella!$A:$A,0)-1,MATCH(L119,Tabella!$A$1:$AC$1,0)-1)=TRUE),0,+OFFSET(Tabella!$A$1,MATCH(J119,Tabella!$A:$A,0)-1,MATCH(L119,Tabella!$A$1:$AC$1,0)-1))</f>
        <v>1.25</v>
      </c>
      <c r="N119" s="205">
        <f ca="1">IF(ISERROR(OFFSET(Ottone!$A$1,MATCH(J119,Ottone!$A:$A,0)-1,MATCH(L119,Ottone!$A$1:$Z$1,0)-1)=TRUE),0,OFFSET(Ottone!$A$1,MATCH(J119,Ottone!$A:$A,0)-1,MATCH(L119,Ottone!$A$1:$Z$1,0)-1))*IF(G119="Ottone",1,0)</f>
        <v>0</v>
      </c>
      <c r="O119" s="205">
        <f ca="1">IF(ISERROR(OFFSET(Rame!$A$1,MATCH(J119,Rame!$A:$A,0)-1,MATCH(L119,Rame!$A$1:$AA$1,0)-1)=TRUE),0,OFFSET(Rame!$A$1,MATCH(J119,Rame!$A:$A,0)-1,MATCH(L119,Rame!$A$1:$AA$1,0)-1))*IF(G119="Rame",1,0)</f>
        <v>0</v>
      </c>
      <c r="P119" s="205">
        <v>0</v>
      </c>
      <c r="Q119" s="205">
        <f t="shared" ca="1" si="127"/>
        <v>1.25</v>
      </c>
      <c r="R119" s="205">
        <f ca="1">+IF(ISERROR(OFFSET(Tabella!$G$1,MATCH(J119,Tabella!$G:$G,0)-1,MATCH(K119,Tabella!$G$1:$FG$1,0)-1)=TRUE),0,OFFSET(Tabella!$G$1,MATCH(J119,Tabella!$G:$G,0)-1,MATCH(K119,Tabella!$G$1:$AB$1,0)-1))</f>
        <v>0</v>
      </c>
      <c r="S119" s="205">
        <f ca="1">IF(ISERROR(OFFSET(Ottone!$F$1,MATCH(J119,Ottone!$A:$A,0)-1,MATCH(K119,Ottone!$F$1:$FF$1,0)-1)=TRUE),0,OFFSET(Ottone!$F$1,MATCH(J119,Ottone!$A:$A,0)-1,MATCH(K119,Ottone!$F$1:$FF$1,0)-1))*IF(G119="Ottone",1,0)</f>
        <v>0</v>
      </c>
      <c r="T119" s="205">
        <f ca="1">IF(ISERROR(OFFSET(Rame!$F$1,MATCH(J119,Rame!$F:$F,0)-1,MATCH(K119,Rame!$F$1:$FF$1,0)-1)=TRUE),0,OFFSET(Rame!$F$1,MATCH(J119,Rame!$F:$F,0)-1,MATCH(K119,Rame!$F$1:$FF$1,0)-1))*IF(G119="Rame",1,0)</f>
        <v>0</v>
      </c>
      <c r="U119" s="205">
        <f ca="1">IF(ISERROR(OFFSET(Bronzo!$A$1,MATCH(J119,Bronzo!$A:$A,0)-1,MATCH(K119,Bronzo!$A$1:$AA$1,0)-1)=TRUE),0,OFFSET(Bronzo!$A$1,MATCH(J119,Bronzo!$A:$A,0)-1,MATCH(K119,Bronzo!$A$1:$AA$1,0)-1))</f>
        <v>0</v>
      </c>
      <c r="V119" s="205">
        <f t="shared" ca="1" si="128"/>
        <v>0</v>
      </c>
      <c r="W119" s="204"/>
      <c r="X119" s="205">
        <v>0</v>
      </c>
      <c r="Y119" s="206">
        <f t="shared" ca="1" si="129"/>
        <v>1.25</v>
      </c>
      <c r="Z119" s="380">
        <f t="shared" si="130"/>
        <v>74.34</v>
      </c>
      <c r="AA119" s="203">
        <v>3.78</v>
      </c>
      <c r="AB119" s="203">
        <f t="shared" ca="1" si="131"/>
        <v>0.25</v>
      </c>
      <c r="AC119" s="238"/>
      <c r="AG119" t="s">
        <v>404</v>
      </c>
      <c r="AI119" s="367">
        <f t="shared" ca="1" si="126"/>
        <v>46092</v>
      </c>
      <c r="AJ119" s="367" t="b">
        <f t="shared" si="132"/>
        <v>1</v>
      </c>
      <c r="AK119" s="370" t="str">
        <f t="shared" si="133"/>
        <v/>
      </c>
      <c r="AN119">
        <f t="shared" si="134"/>
        <v>0</v>
      </c>
      <c r="AO119">
        <f t="shared" si="135"/>
        <v>1900</v>
      </c>
      <c r="AV119">
        <f t="shared" si="136"/>
        <v>0</v>
      </c>
      <c r="AW119">
        <f t="shared" si="137"/>
        <v>0</v>
      </c>
    </row>
    <row r="120" spans="4:49" ht="15.75" x14ac:dyDescent="0.25">
      <c r="D120" s="199" t="s">
        <v>568</v>
      </c>
      <c r="E120" s="378" t="s">
        <v>108</v>
      </c>
      <c r="F120" s="379">
        <v>1132</v>
      </c>
      <c r="G120" s="201" t="s">
        <v>4</v>
      </c>
      <c r="H120" s="219">
        <v>2.2799999999999998</v>
      </c>
      <c r="I120" s="202">
        <v>45930</v>
      </c>
      <c r="J120" s="200" t="s">
        <v>26</v>
      </c>
      <c r="K120" s="200"/>
      <c r="L120" s="203">
        <v>7.0000000000000007E-2</v>
      </c>
      <c r="M120" s="204">
        <f ca="1">IF(ISERROR(OFFSET(Tabella!$A$1,MATCH(J120,Tabella!$A:$A,0)-1,MATCH(L120,Tabella!$A$1:$AC$1,0)-1)=TRUE),0,+OFFSET(Tabella!$A$1,MATCH(J120,Tabella!$A:$A,0)-1,MATCH(L120,Tabella!$A$1:$AC$1,0)-1))</f>
        <v>1.25</v>
      </c>
      <c r="N120" s="205">
        <f ca="1">IF(ISERROR(OFFSET(Ottone!$A$1,MATCH(J120,Ottone!$A:$A,0)-1,MATCH(L120,Ottone!$A$1:$Z$1,0)-1)=TRUE),0,OFFSET(Ottone!$A$1,MATCH(J120,Ottone!$A:$A,0)-1,MATCH(L120,Ottone!$A$1:$Z$1,0)-1))*IF(G120="Ottone",1,0)</f>
        <v>0</v>
      </c>
      <c r="O120" s="205">
        <f ca="1">IF(ISERROR(OFFSET(Rame!$A$1,MATCH(J120,Rame!$A:$A,0)-1,MATCH(L120,Rame!$A$1:$AA$1,0)-1)=TRUE),0,OFFSET(Rame!$A$1,MATCH(J120,Rame!$A:$A,0)-1,MATCH(L120,Rame!$A$1:$AA$1,0)-1))*IF(G120="Rame",1,0)</f>
        <v>0</v>
      </c>
      <c r="P120" s="205">
        <v>0</v>
      </c>
      <c r="Q120" s="205">
        <f t="shared" ca="1" si="127"/>
        <v>1.25</v>
      </c>
      <c r="R120" s="205">
        <f ca="1">+IF(ISERROR(OFFSET(Tabella!$G$1,MATCH(J120,Tabella!$G:$G,0)-1,MATCH(K120,Tabella!$G$1:$FG$1,0)-1)=TRUE),0,OFFSET(Tabella!$G$1,MATCH(J120,Tabella!$G:$G,0)-1,MATCH(K120,Tabella!$G$1:$AB$1,0)-1))</f>
        <v>0</v>
      </c>
      <c r="S120" s="205">
        <f ca="1">IF(ISERROR(OFFSET(Ottone!$F$1,MATCH(J120,Ottone!$A:$A,0)-1,MATCH(K120,Ottone!$F$1:$FF$1,0)-1)=TRUE),0,OFFSET(Ottone!$F$1,MATCH(J120,Ottone!$A:$A,0)-1,MATCH(K120,Ottone!$F$1:$FF$1,0)-1))*IF(G120="Ottone",1,0)</f>
        <v>0</v>
      </c>
      <c r="T120" s="205">
        <f ca="1">IF(ISERROR(OFFSET(Rame!$F$1,MATCH(J120,Rame!$F:$F,0)-1,MATCH(K120,Rame!$F$1:$FF$1,0)-1)=TRUE),0,OFFSET(Rame!$F$1,MATCH(J120,Rame!$F:$F,0)-1,MATCH(K120,Rame!$F$1:$FF$1,0)-1))*IF(G120="Rame",1,0)</f>
        <v>0</v>
      </c>
      <c r="U120" s="205">
        <f ca="1">IF(ISERROR(OFFSET(Bronzo!$A$1,MATCH(J120,Bronzo!$A:$A,0)-1,MATCH(K120,Bronzo!$A$1:$AA$1,0)-1)=TRUE),0,OFFSET(Bronzo!$A$1,MATCH(J120,Bronzo!$A:$A,0)-1,MATCH(K120,Bronzo!$A$1:$AA$1,0)-1))</f>
        <v>0</v>
      </c>
      <c r="V120" s="205">
        <f t="shared" ca="1" si="128"/>
        <v>0</v>
      </c>
      <c r="W120" s="204"/>
      <c r="X120" s="205">
        <v>0</v>
      </c>
      <c r="Y120" s="206">
        <f t="shared" ca="1" si="129"/>
        <v>1.25</v>
      </c>
      <c r="Z120" s="380">
        <f t="shared" si="130"/>
        <v>79.240000000000009</v>
      </c>
      <c r="AA120" s="203">
        <v>3.78</v>
      </c>
      <c r="AB120" s="203">
        <f t="shared" ca="1" si="131"/>
        <v>0.25</v>
      </c>
      <c r="AC120" s="238"/>
      <c r="AG120" t="s">
        <v>404</v>
      </c>
      <c r="AI120" s="367">
        <f t="shared" ca="1" si="126"/>
        <v>46092</v>
      </c>
      <c r="AJ120" s="367" t="b">
        <f t="shared" si="132"/>
        <v>1</v>
      </c>
      <c r="AK120" s="370" t="str">
        <f t="shared" si="133"/>
        <v/>
      </c>
      <c r="AN120">
        <f t="shared" si="134"/>
        <v>0</v>
      </c>
      <c r="AO120">
        <f t="shared" si="135"/>
        <v>1900</v>
      </c>
      <c r="AV120">
        <f t="shared" si="136"/>
        <v>0</v>
      </c>
      <c r="AW120">
        <f t="shared" si="137"/>
        <v>0</v>
      </c>
    </row>
    <row r="121" spans="4:49" ht="15.75" x14ac:dyDescent="0.25">
      <c r="D121" s="199" t="s">
        <v>471</v>
      </c>
      <c r="E121" s="200" t="s">
        <v>102</v>
      </c>
      <c r="F121" s="287">
        <v>3000</v>
      </c>
      <c r="G121" s="201" t="s">
        <v>4</v>
      </c>
      <c r="H121" s="219">
        <v>2.36</v>
      </c>
      <c r="I121" s="202">
        <v>45943</v>
      </c>
      <c r="J121" s="200" t="s">
        <v>30</v>
      </c>
      <c r="K121" s="200"/>
      <c r="L121" s="203">
        <v>0.1</v>
      </c>
      <c r="M121" s="204">
        <f ca="1">IF(ISERROR(OFFSET(Tabella!$A$1,MATCH(J121,Tabella!$A:$A,0)-1,MATCH(L121,Tabella!$A$1:$AC$1,0)-1)=TRUE),0,+OFFSET(Tabella!$A$1,MATCH(J121,Tabella!$A:$A,0)-1,MATCH(L121,Tabella!$A$1:$AC$1,0)-1))</f>
        <v>1.5</v>
      </c>
      <c r="N121" s="205">
        <f ca="1">IF(ISERROR(OFFSET(Ottone!$A$1,MATCH(J121,Ottone!$A:$A,0)-1,MATCH(L121,Ottone!$A$1:$Z$1,0)-1)=TRUE),0,OFFSET(Ottone!$A$1,MATCH(J121,Ottone!$A:$A,0)-1,MATCH(L121,Ottone!$A$1:$Z$1,0)-1))*IF(G121="Ottone",1,0)</f>
        <v>0</v>
      </c>
      <c r="O121" s="205">
        <f ca="1">IF(ISERROR(OFFSET(Rame!$A$1,MATCH(J121,Rame!$A:$A,0)-1,MATCH(L121,Rame!$A$1:$AA$1,0)-1)=TRUE),0,OFFSET(Rame!$A$1,MATCH(J121,Rame!$A:$A,0)-1,MATCH(L121,Rame!$A$1:$AA$1,0)-1))*IF(G121="Rame",1,0)</f>
        <v>0</v>
      </c>
      <c r="P121" s="205">
        <v>0</v>
      </c>
      <c r="Q121" s="205">
        <f t="shared" ca="1" si="127"/>
        <v>1.5</v>
      </c>
      <c r="R121" s="205">
        <f ca="1">+IF(ISERROR(OFFSET(Tabella!$G$1,MATCH(J121,Tabella!$G:$G,0)-1,MATCH(K121,Tabella!$G$1:$FG$1,0)-1)=TRUE),0,OFFSET(Tabella!$G$1,MATCH(J121,Tabella!$G:$G,0)-1,MATCH(K121,Tabella!$G$1:$AB$1,0)-1))</f>
        <v>0</v>
      </c>
      <c r="S121" s="205">
        <f ca="1">IF(ISERROR(OFFSET(Ottone!$F$1,MATCH(J121,Ottone!$A:$A,0)-1,MATCH(K121,Ottone!$F$1:$FF$1,0)-1)=TRUE),0,OFFSET(Ottone!$F$1,MATCH(J121,Ottone!$A:$A,0)-1,MATCH(K121,Ottone!$F$1:$FF$1,0)-1))*IF(G121="Ottone",1,0)</f>
        <v>0</v>
      </c>
      <c r="T121" s="205">
        <f ca="1">IF(ISERROR(OFFSET(Rame!$F$1,MATCH(J121,Rame!$F:$F,0)-1,MATCH(K121,Rame!$F$1:$FF$1,0)-1)=TRUE),0,OFFSET(Rame!$F$1,MATCH(J121,Rame!$F:$F,0)-1,MATCH(K121,Rame!$F$1:$FF$1,0)-1))*IF(G121="Rame",1,0)</f>
        <v>0</v>
      </c>
      <c r="U121" s="205">
        <f ca="1">IF(ISERROR(OFFSET(Bronzo!$A$1,MATCH(J121,Bronzo!$A:$A,0)-1,MATCH(K121,Bronzo!$A$1:$AA$1,0)-1)=TRUE),0,OFFSET(Bronzo!$A$1,MATCH(J121,Bronzo!$A:$A,0)-1,MATCH(K121,Bronzo!$A$1:$AA$1,0)-1))</f>
        <v>0</v>
      </c>
      <c r="V121" s="205">
        <f t="shared" ca="1" si="128"/>
        <v>0</v>
      </c>
      <c r="W121" s="204"/>
      <c r="X121" s="205">
        <v>0</v>
      </c>
      <c r="Y121" s="206">
        <f t="shared" ca="1" si="129"/>
        <v>1.5</v>
      </c>
      <c r="Z121" s="277">
        <f t="shared" si="130"/>
        <v>300</v>
      </c>
      <c r="AA121" s="203">
        <v>4.3</v>
      </c>
      <c r="AB121" s="203">
        <f t="shared" ca="1" si="131"/>
        <v>0.43999999999999995</v>
      </c>
      <c r="AC121" s="238">
        <v>45985</v>
      </c>
      <c r="AI121" s="367">
        <f t="shared" ca="1" si="126"/>
        <v>46092</v>
      </c>
      <c r="AJ121" s="367" t="b">
        <f t="shared" si="132"/>
        <v>0</v>
      </c>
      <c r="AK121" s="370">
        <f t="shared" ca="1" si="133"/>
        <v>-107</v>
      </c>
      <c r="AN121">
        <f t="shared" si="134"/>
        <v>48</v>
      </c>
      <c r="AO121">
        <f t="shared" si="135"/>
        <v>2025</v>
      </c>
      <c r="AV121">
        <f t="shared" si="136"/>
        <v>11</v>
      </c>
      <c r="AW121">
        <f t="shared" si="137"/>
        <v>2025</v>
      </c>
    </row>
    <row r="122" spans="4:49" ht="15.75" x14ac:dyDescent="0.25">
      <c r="D122" s="199" t="s">
        <v>511</v>
      </c>
      <c r="E122" s="378" t="s">
        <v>208</v>
      </c>
      <c r="F122" s="379">
        <v>512</v>
      </c>
      <c r="G122" s="201" t="s">
        <v>4</v>
      </c>
      <c r="H122" s="219">
        <v>2.14</v>
      </c>
      <c r="I122" s="202">
        <v>45814</v>
      </c>
      <c r="J122" s="200" t="s">
        <v>13</v>
      </c>
      <c r="K122" s="200"/>
      <c r="L122" s="203">
        <v>7.0000000000000007E-2</v>
      </c>
      <c r="M122" s="204">
        <f ca="1">IF(ISERROR(OFFSET(Tabella!$A$1,MATCH(J122,Tabella!$A:$A,0)-1,MATCH(L122,Tabella!$A$1:$AC$1,0)-1)=TRUE),0,+OFFSET(Tabella!$A$1,MATCH(J122,Tabella!$A:$A,0)-1,MATCH(L122,Tabella!$A$1:$AC$1,0)-1))</f>
        <v>1.4</v>
      </c>
      <c r="N122" s="205">
        <f ca="1">IF(ISERROR(OFFSET(Ottone!$A$1,MATCH(J122,Ottone!$A:$A,0)-1,MATCH(L122,Ottone!$A$1:$Z$1,0)-1)=TRUE),0,OFFSET(Ottone!$A$1,MATCH(J122,Ottone!$A:$A,0)-1,MATCH(L122,Ottone!$A$1:$Z$1,0)-1))*IF(G122="Ottone",1,0)</f>
        <v>0</v>
      </c>
      <c r="O122" s="205">
        <f ca="1">IF(ISERROR(OFFSET(Rame!$A$1,MATCH(J122,Rame!$A:$A,0)-1,MATCH(L122,Rame!$A$1:$AA$1,0)-1)=TRUE),0,OFFSET(Rame!$A$1,MATCH(J122,Rame!$A:$A,0)-1,MATCH(L122,Rame!$A$1:$AA$1,0)-1))*IF(G122="Rame",1,0)</f>
        <v>0</v>
      </c>
      <c r="P122" s="205">
        <v>0</v>
      </c>
      <c r="Q122" s="205">
        <f t="shared" ca="1" si="127"/>
        <v>1.4</v>
      </c>
      <c r="R122" s="205">
        <f ca="1">+IF(ISERROR(OFFSET(Tabella!$G$1,MATCH(J122,Tabella!$G:$G,0)-1,MATCH(K122,Tabella!$G$1:$FG$1,0)-1)=TRUE),0,OFFSET(Tabella!$G$1,MATCH(J122,Tabella!$G:$G,0)-1,MATCH(K122,Tabella!$G$1:$AB$1,0)-1))</f>
        <v>0</v>
      </c>
      <c r="S122" s="205">
        <f ca="1">IF(ISERROR(OFFSET(Ottone!$F$1,MATCH(J122,Ottone!$A:$A,0)-1,MATCH(K122,Ottone!$F$1:$FF$1,0)-1)=TRUE),0,OFFSET(Ottone!$F$1,MATCH(J122,Ottone!$A:$A,0)-1,MATCH(K122,Ottone!$F$1:$FF$1,0)-1))*IF(G122="Ottone",1,0)</f>
        <v>0</v>
      </c>
      <c r="T122" s="205">
        <f ca="1">IF(ISERROR(OFFSET(Rame!$F$1,MATCH(J122,Rame!$F:$F,0)-1,MATCH(K122,Rame!$F$1:$FF$1,0)-1)=TRUE),0,OFFSET(Rame!$F$1,MATCH(J122,Rame!$F:$F,0)-1,MATCH(K122,Rame!$F$1:$FF$1,0)-1))*IF(G122="Rame",1,0)</f>
        <v>0</v>
      </c>
      <c r="U122" s="205">
        <f ca="1">IF(ISERROR(OFFSET(Bronzo!$A$1,MATCH(J122,Bronzo!$A:$A,0)-1,MATCH(K122,Bronzo!$A$1:$AA$1,0)-1)=TRUE),0,OFFSET(Bronzo!$A$1,MATCH(J122,Bronzo!$A:$A,0)-1,MATCH(K122,Bronzo!$A$1:$AA$1,0)-1))</f>
        <v>0</v>
      </c>
      <c r="V122" s="205">
        <f t="shared" ca="1" si="128"/>
        <v>0</v>
      </c>
      <c r="W122" s="204"/>
      <c r="X122" s="205">
        <v>0</v>
      </c>
      <c r="Y122" s="206">
        <f t="shared" ca="1" si="129"/>
        <v>1.4</v>
      </c>
      <c r="Z122" s="380">
        <f t="shared" si="130"/>
        <v>35.840000000000003</v>
      </c>
      <c r="AA122" s="203">
        <v>3.89</v>
      </c>
      <c r="AB122" s="203">
        <f t="shared" ca="1" si="131"/>
        <v>0.35000000000000009</v>
      </c>
      <c r="AC122" s="238"/>
      <c r="AG122" t="s">
        <v>404</v>
      </c>
      <c r="AI122" s="367">
        <f t="shared" ca="1" si="126"/>
        <v>46092</v>
      </c>
      <c r="AJ122" s="367" t="b">
        <f t="shared" si="132"/>
        <v>1</v>
      </c>
      <c r="AK122" s="370" t="str">
        <f t="shared" si="133"/>
        <v/>
      </c>
      <c r="AN122">
        <f t="shared" si="134"/>
        <v>0</v>
      </c>
      <c r="AO122">
        <f t="shared" si="135"/>
        <v>1900</v>
      </c>
      <c r="AV122">
        <f t="shared" si="136"/>
        <v>0</v>
      </c>
      <c r="AW122">
        <f t="shared" si="137"/>
        <v>0</v>
      </c>
    </row>
    <row r="123" spans="4:49" ht="15.75" x14ac:dyDescent="0.25">
      <c r="D123" s="199" t="s">
        <v>587</v>
      </c>
      <c r="E123" s="378" t="s">
        <v>208</v>
      </c>
      <c r="F123" s="379">
        <v>966</v>
      </c>
      <c r="G123" s="201" t="s">
        <v>4</v>
      </c>
      <c r="H123" s="219">
        <v>2.14</v>
      </c>
      <c r="I123" s="202">
        <v>45814</v>
      </c>
      <c r="J123" s="200" t="s">
        <v>309</v>
      </c>
      <c r="K123" s="200"/>
      <c r="L123" s="203">
        <v>7.0000000000000007E-2</v>
      </c>
      <c r="M123" s="204">
        <f ca="1">IF(ISERROR(OFFSET(Tabella!$A$1,MATCH(J123,Tabella!$A:$A,0)-1,MATCH(L123,Tabella!$A$1:$AC$1,0)-1)=TRUE),0,+OFFSET(Tabella!$A$1,MATCH(J123,Tabella!$A:$A,0)-1,MATCH(L123,Tabella!$A$1:$AC$1,0)-1))</f>
        <v>1.25</v>
      </c>
      <c r="N123" s="205">
        <f ca="1">IF(ISERROR(OFFSET(Ottone!$A$1,MATCH(J123,Ottone!$A:$A,0)-1,MATCH(L123,Ottone!$A$1:$Z$1,0)-1)=TRUE),0,OFFSET(Ottone!$A$1,MATCH(J123,Ottone!$A:$A,0)-1,MATCH(L123,Ottone!$A$1:$Z$1,0)-1))*IF(G123="Ottone",1,0)</f>
        <v>0</v>
      </c>
      <c r="O123" s="205">
        <f ca="1">IF(ISERROR(OFFSET(Rame!$A$1,MATCH(J123,Rame!$A:$A,0)-1,MATCH(L123,Rame!$A$1:$AA$1,0)-1)=TRUE),0,OFFSET(Rame!$A$1,MATCH(J123,Rame!$A:$A,0)-1,MATCH(L123,Rame!$A$1:$AA$1,0)-1))*IF(G123="Rame",1,0)</f>
        <v>0</v>
      </c>
      <c r="P123" s="205">
        <v>0</v>
      </c>
      <c r="Q123" s="205">
        <f t="shared" ca="1" si="127"/>
        <v>1.25</v>
      </c>
      <c r="R123" s="205">
        <f ca="1">+IF(ISERROR(OFFSET(Tabella!$G$1,MATCH(J123,Tabella!$G:$G,0)-1,MATCH(K123,Tabella!$G$1:$FG$1,0)-1)=TRUE),0,OFFSET(Tabella!$G$1,MATCH(J123,Tabella!$G:$G,0)-1,MATCH(K123,Tabella!$G$1:$AB$1,0)-1))</f>
        <v>0</v>
      </c>
      <c r="S123" s="205">
        <f ca="1">IF(ISERROR(OFFSET(Ottone!$F$1,MATCH(J123,Ottone!$A:$A,0)-1,MATCH(K123,Ottone!$F$1:$FF$1,0)-1)=TRUE),0,OFFSET(Ottone!$F$1,MATCH(J123,Ottone!$A:$A,0)-1,MATCH(K123,Ottone!$F$1:$FF$1,0)-1))*IF(G123="Ottone",1,0)</f>
        <v>0</v>
      </c>
      <c r="T123" s="205">
        <f ca="1">IF(ISERROR(OFFSET(Rame!$F$1,MATCH(J123,Rame!$F:$F,0)-1,MATCH(K123,Rame!$F$1:$FF$1,0)-1)=TRUE),0,OFFSET(Rame!$F$1,MATCH(J123,Rame!$F:$F,0)-1,MATCH(K123,Rame!$F$1:$FF$1,0)-1))*IF(G123="Rame",1,0)</f>
        <v>0</v>
      </c>
      <c r="U123" s="205">
        <f ca="1">IF(ISERROR(OFFSET(Bronzo!$A$1,MATCH(J123,Bronzo!$A:$A,0)-1,MATCH(K123,Bronzo!$A$1:$AA$1,0)-1)=TRUE),0,OFFSET(Bronzo!$A$1,MATCH(J123,Bronzo!$A:$A,0)-1,MATCH(K123,Bronzo!$A$1:$AA$1,0)-1))</f>
        <v>0</v>
      </c>
      <c r="V123" s="205">
        <f t="shared" ca="1" si="128"/>
        <v>0</v>
      </c>
      <c r="W123" s="204"/>
      <c r="X123" s="205">
        <v>0</v>
      </c>
      <c r="Y123" s="206">
        <f t="shared" ca="1" si="129"/>
        <v>1.25</v>
      </c>
      <c r="Z123" s="380">
        <f t="shared" si="130"/>
        <v>67.62</v>
      </c>
      <c r="AA123" s="203">
        <v>3.69</v>
      </c>
      <c r="AB123" s="203">
        <f t="shared" ca="1" si="131"/>
        <v>0.29999999999999982</v>
      </c>
      <c r="AC123" s="238"/>
      <c r="AG123" t="s">
        <v>404</v>
      </c>
      <c r="AI123" s="367">
        <f t="shared" ca="1" si="126"/>
        <v>46092</v>
      </c>
      <c r="AJ123" s="367" t="b">
        <f t="shared" si="132"/>
        <v>1</v>
      </c>
      <c r="AK123" s="370" t="str">
        <f t="shared" si="133"/>
        <v/>
      </c>
      <c r="AN123">
        <f t="shared" si="134"/>
        <v>0</v>
      </c>
      <c r="AO123">
        <f t="shared" si="135"/>
        <v>1900</v>
      </c>
      <c r="AV123">
        <f t="shared" si="136"/>
        <v>0</v>
      </c>
      <c r="AW123">
        <f t="shared" si="137"/>
        <v>0</v>
      </c>
    </row>
    <row r="124" spans="4:49" ht="15.75" x14ac:dyDescent="0.25">
      <c r="D124" s="199" t="s">
        <v>610</v>
      </c>
      <c r="E124" s="378" t="s">
        <v>208</v>
      </c>
      <c r="F124" s="379">
        <v>802</v>
      </c>
      <c r="G124" s="201" t="s">
        <v>4</v>
      </c>
      <c r="H124" s="219">
        <v>2.33</v>
      </c>
      <c r="I124" s="202">
        <v>45938</v>
      </c>
      <c r="J124" s="200" t="s">
        <v>314</v>
      </c>
      <c r="K124" s="200"/>
      <c r="L124" s="203">
        <v>7.0000000000000007E-2</v>
      </c>
      <c r="M124" s="204">
        <f ca="1">IF(ISERROR(OFFSET(Tabella!$A$1,MATCH(J124,Tabella!$A:$A,0)-1,MATCH(L124,Tabella!$A$1:$AC$1,0)-1)=TRUE),0,+OFFSET(Tabella!$A$1,MATCH(J124,Tabella!$A:$A,0)-1,MATCH(L124,Tabella!$A$1:$AC$1,0)-1))</f>
        <v>1.25</v>
      </c>
      <c r="N124" s="205">
        <f ca="1">IF(ISERROR(OFFSET(Ottone!$A$1,MATCH(J124,Ottone!$A:$A,0)-1,MATCH(L124,Ottone!$A$1:$Z$1,0)-1)=TRUE),0,OFFSET(Ottone!$A$1,MATCH(J124,Ottone!$A:$A,0)-1,MATCH(L124,Ottone!$A$1:$Z$1,0)-1))*IF(G124="Ottone",1,0)</f>
        <v>0</v>
      </c>
      <c r="O124" s="205">
        <f ca="1">IF(ISERROR(OFFSET(Rame!$A$1,MATCH(J124,Rame!$A:$A,0)-1,MATCH(L124,Rame!$A$1:$AA$1,0)-1)=TRUE),0,OFFSET(Rame!$A$1,MATCH(J124,Rame!$A:$A,0)-1,MATCH(L124,Rame!$A$1:$AA$1,0)-1))*IF(G124="Rame",1,0)</f>
        <v>0</v>
      </c>
      <c r="P124" s="205">
        <v>0</v>
      </c>
      <c r="Q124" s="205">
        <f t="shared" ca="1" si="127"/>
        <v>1.25</v>
      </c>
      <c r="R124" s="205">
        <f ca="1">+IF(ISERROR(OFFSET(Tabella!$G$1,MATCH(J124,Tabella!$G:$G,0)-1,MATCH(K124,Tabella!$G$1:$FG$1,0)-1)=TRUE),0,OFFSET(Tabella!$G$1,MATCH(J124,Tabella!$G:$G,0)-1,MATCH(K124,Tabella!$G$1:$AB$1,0)-1))</f>
        <v>0</v>
      </c>
      <c r="S124" s="205">
        <f ca="1">IF(ISERROR(OFFSET(Ottone!$F$1,MATCH(J124,Ottone!$A:$A,0)-1,MATCH(K124,Ottone!$F$1:$FF$1,0)-1)=TRUE),0,OFFSET(Ottone!$F$1,MATCH(J124,Ottone!$A:$A,0)-1,MATCH(K124,Ottone!$F$1:$FF$1,0)-1))*IF(G124="Ottone",1,0)</f>
        <v>0</v>
      </c>
      <c r="T124" s="205">
        <f ca="1">IF(ISERROR(OFFSET(Rame!$F$1,MATCH(J124,Rame!$F:$F,0)-1,MATCH(K124,Rame!$F$1:$FF$1,0)-1)=TRUE),0,OFFSET(Rame!$F$1,MATCH(J124,Rame!$F:$F,0)-1,MATCH(K124,Rame!$F$1:$FF$1,0)-1))*IF(G124="Rame",1,0)</f>
        <v>0</v>
      </c>
      <c r="U124" s="205">
        <f ca="1">IF(ISERROR(OFFSET(Bronzo!$A$1,MATCH(J124,Bronzo!$A:$A,0)-1,MATCH(K124,Bronzo!$A$1:$AA$1,0)-1)=TRUE),0,OFFSET(Bronzo!$A$1,MATCH(J124,Bronzo!$A:$A,0)-1,MATCH(K124,Bronzo!$A$1:$AA$1,0)-1))</f>
        <v>0</v>
      </c>
      <c r="V124" s="205">
        <f t="shared" ca="1" si="128"/>
        <v>0</v>
      </c>
      <c r="W124" s="204"/>
      <c r="X124" s="205">
        <v>0</v>
      </c>
      <c r="Y124" s="206">
        <f t="shared" ca="1" si="129"/>
        <v>1.25</v>
      </c>
      <c r="Z124" s="380">
        <f t="shared" si="130"/>
        <v>56.140000000000008</v>
      </c>
      <c r="AA124" s="203">
        <v>3.83</v>
      </c>
      <c r="AB124" s="203">
        <f t="shared" ca="1" si="131"/>
        <v>0.25</v>
      </c>
      <c r="AC124" s="238"/>
      <c r="AG124" t="s">
        <v>404</v>
      </c>
      <c r="AI124" s="367">
        <f t="shared" ca="1" si="126"/>
        <v>46092</v>
      </c>
      <c r="AJ124" s="367" t="b">
        <f t="shared" si="132"/>
        <v>1</v>
      </c>
      <c r="AK124" s="370" t="str">
        <f t="shared" si="133"/>
        <v/>
      </c>
      <c r="AN124">
        <f t="shared" si="134"/>
        <v>0</v>
      </c>
      <c r="AO124">
        <f t="shared" si="135"/>
        <v>1900</v>
      </c>
      <c r="AV124">
        <f t="shared" si="136"/>
        <v>0</v>
      </c>
      <c r="AW124">
        <f t="shared" si="137"/>
        <v>0</v>
      </c>
    </row>
    <row r="125" spans="4:49" ht="15.75" x14ac:dyDescent="0.25">
      <c r="D125" s="199" t="s">
        <v>571</v>
      </c>
      <c r="E125" s="378" t="s">
        <v>208</v>
      </c>
      <c r="F125" s="379">
        <v>927</v>
      </c>
      <c r="G125" s="201" t="s">
        <v>4</v>
      </c>
      <c r="H125" s="219">
        <v>2.33</v>
      </c>
      <c r="I125" s="202">
        <v>45938</v>
      </c>
      <c r="J125" s="200" t="s">
        <v>25</v>
      </c>
      <c r="K125" s="200"/>
      <c r="L125" s="203">
        <v>7.0000000000000007E-2</v>
      </c>
      <c r="M125" s="204">
        <f ca="1">IF(ISERROR(OFFSET(Tabella!$A$1,MATCH(J125,Tabella!$A:$A,0)-1,MATCH(L125,Tabella!$A$1:$AC$1,0)-1)=TRUE),0,+OFFSET(Tabella!$A$1,MATCH(J125,Tabella!$A:$A,0)-1,MATCH(L125,Tabella!$A$1:$AC$1,0)-1))</f>
        <v>1.25</v>
      </c>
      <c r="N125" s="205">
        <f ca="1">IF(ISERROR(OFFSET(Ottone!$A$1,MATCH(J125,Ottone!$A:$A,0)-1,MATCH(L125,Ottone!$A$1:$Z$1,0)-1)=TRUE),0,OFFSET(Ottone!$A$1,MATCH(J125,Ottone!$A:$A,0)-1,MATCH(L125,Ottone!$A$1:$Z$1,0)-1))*IF(G125="Ottone",1,0)</f>
        <v>0</v>
      </c>
      <c r="O125" s="205">
        <f ca="1">IF(ISERROR(OFFSET(Rame!$A$1,MATCH(J125,Rame!$A:$A,0)-1,MATCH(L125,Rame!$A$1:$AA$1,0)-1)=TRUE),0,OFFSET(Rame!$A$1,MATCH(J125,Rame!$A:$A,0)-1,MATCH(L125,Rame!$A$1:$AA$1,0)-1))*IF(G125="Rame",1,0)</f>
        <v>0</v>
      </c>
      <c r="P125" s="205">
        <v>0</v>
      </c>
      <c r="Q125" s="205">
        <f t="shared" ca="1" si="127"/>
        <v>1.25</v>
      </c>
      <c r="R125" s="205">
        <f ca="1">+IF(ISERROR(OFFSET(Tabella!$G$1,MATCH(J125,Tabella!$G:$G,0)-1,MATCH(K125,Tabella!$G$1:$FG$1,0)-1)=TRUE),0,OFFSET(Tabella!$G$1,MATCH(J125,Tabella!$G:$G,0)-1,MATCH(K125,Tabella!$G$1:$AB$1,0)-1))</f>
        <v>0</v>
      </c>
      <c r="S125" s="205">
        <f ca="1">IF(ISERROR(OFFSET(Ottone!$F$1,MATCH(J125,Ottone!$A:$A,0)-1,MATCH(K125,Ottone!$F$1:$FF$1,0)-1)=TRUE),0,OFFSET(Ottone!$F$1,MATCH(J125,Ottone!$A:$A,0)-1,MATCH(K125,Ottone!$F$1:$FF$1,0)-1))*IF(G125="Ottone",1,0)</f>
        <v>0</v>
      </c>
      <c r="T125" s="205">
        <f ca="1">IF(ISERROR(OFFSET(Rame!$F$1,MATCH(J125,Rame!$F:$F,0)-1,MATCH(K125,Rame!$F$1:$FF$1,0)-1)=TRUE),0,OFFSET(Rame!$F$1,MATCH(J125,Rame!$F:$F,0)-1,MATCH(K125,Rame!$F$1:$FF$1,0)-1))*IF(G125="Rame",1,0)</f>
        <v>0</v>
      </c>
      <c r="U125" s="205">
        <f ca="1">IF(ISERROR(OFFSET(Bronzo!$A$1,MATCH(J125,Bronzo!$A:$A,0)-1,MATCH(K125,Bronzo!$A$1:$AA$1,0)-1)=TRUE),0,OFFSET(Bronzo!$A$1,MATCH(J125,Bronzo!$A:$A,0)-1,MATCH(K125,Bronzo!$A$1:$AA$1,0)-1))</f>
        <v>0</v>
      </c>
      <c r="V125" s="205">
        <f t="shared" ca="1" si="128"/>
        <v>0</v>
      </c>
      <c r="W125" s="204"/>
      <c r="X125" s="205">
        <v>0</v>
      </c>
      <c r="Y125" s="206">
        <f t="shared" ca="1" si="129"/>
        <v>1.25</v>
      </c>
      <c r="Z125" s="380">
        <f t="shared" si="130"/>
        <v>64.89</v>
      </c>
      <c r="AA125" s="203">
        <v>3.83</v>
      </c>
      <c r="AB125" s="203">
        <f t="shared" ca="1" si="131"/>
        <v>0.25</v>
      </c>
      <c r="AC125" s="238"/>
      <c r="AG125" t="s">
        <v>404</v>
      </c>
      <c r="AI125" s="367">
        <f t="shared" ca="1" si="126"/>
        <v>46092</v>
      </c>
      <c r="AJ125" s="367" t="b">
        <f t="shared" si="132"/>
        <v>1</v>
      </c>
      <c r="AK125" s="370" t="str">
        <f t="shared" si="133"/>
        <v/>
      </c>
      <c r="AN125">
        <f t="shared" si="134"/>
        <v>0</v>
      </c>
      <c r="AO125">
        <f t="shared" si="135"/>
        <v>1900</v>
      </c>
      <c r="AV125">
        <f t="shared" si="136"/>
        <v>0</v>
      </c>
      <c r="AW125">
        <f t="shared" si="137"/>
        <v>0</v>
      </c>
    </row>
    <row r="126" spans="4:49" ht="15.75" x14ac:dyDescent="0.25">
      <c r="D126" s="199" t="s">
        <v>555</v>
      </c>
      <c r="E126" s="378" t="s">
        <v>208</v>
      </c>
      <c r="F126" s="379">
        <v>609</v>
      </c>
      <c r="G126" s="201" t="s">
        <v>4</v>
      </c>
      <c r="H126" s="219">
        <v>2.33</v>
      </c>
      <c r="I126" s="202">
        <v>45938</v>
      </c>
      <c r="J126" s="200" t="s">
        <v>25</v>
      </c>
      <c r="K126" s="200"/>
      <c r="L126" s="203">
        <v>7.0000000000000007E-2</v>
      </c>
      <c r="M126" s="204">
        <f ca="1">IF(ISERROR(OFFSET(Tabella!$A$1,MATCH(J126,Tabella!$A:$A,0)-1,MATCH(L126,Tabella!$A$1:$AC$1,0)-1)=TRUE),0,+OFFSET(Tabella!$A$1,MATCH(J126,Tabella!$A:$A,0)-1,MATCH(L126,Tabella!$A$1:$AC$1,0)-1))</f>
        <v>1.25</v>
      </c>
      <c r="N126" s="205">
        <f ca="1">IF(ISERROR(OFFSET(Ottone!$A$1,MATCH(J126,Ottone!$A:$A,0)-1,MATCH(L126,Ottone!$A$1:$Z$1,0)-1)=TRUE),0,OFFSET(Ottone!$A$1,MATCH(J126,Ottone!$A:$A,0)-1,MATCH(L126,Ottone!$A$1:$Z$1,0)-1))*IF(G126="Ottone",1,0)</f>
        <v>0</v>
      </c>
      <c r="O126" s="205">
        <f ca="1">IF(ISERROR(OFFSET(Rame!$A$1,MATCH(J126,Rame!$A:$A,0)-1,MATCH(L126,Rame!$A$1:$AA$1,0)-1)=TRUE),0,OFFSET(Rame!$A$1,MATCH(J126,Rame!$A:$A,0)-1,MATCH(L126,Rame!$A$1:$AA$1,0)-1))*IF(G126="Rame",1,0)</f>
        <v>0</v>
      </c>
      <c r="P126" s="205">
        <v>0</v>
      </c>
      <c r="Q126" s="205">
        <f t="shared" ca="1" si="127"/>
        <v>1.25</v>
      </c>
      <c r="R126" s="205">
        <f ca="1">+IF(ISERROR(OFFSET(Tabella!$G$1,MATCH(J126,Tabella!$G:$G,0)-1,MATCH(K126,Tabella!$G$1:$FG$1,0)-1)=TRUE),0,OFFSET(Tabella!$G$1,MATCH(J126,Tabella!$G:$G,0)-1,MATCH(K126,Tabella!$G$1:$AB$1,0)-1))</f>
        <v>0</v>
      </c>
      <c r="S126" s="205">
        <f ca="1">IF(ISERROR(OFFSET(Ottone!$F$1,MATCH(J126,Ottone!$A:$A,0)-1,MATCH(K126,Ottone!$F$1:$FF$1,0)-1)=TRUE),0,OFFSET(Ottone!$F$1,MATCH(J126,Ottone!$A:$A,0)-1,MATCH(K126,Ottone!$F$1:$FF$1,0)-1))*IF(G126="Ottone",1,0)</f>
        <v>0</v>
      </c>
      <c r="T126" s="205">
        <f ca="1">IF(ISERROR(OFFSET(Rame!$F$1,MATCH(J126,Rame!$F:$F,0)-1,MATCH(K126,Rame!$F$1:$FF$1,0)-1)=TRUE),0,OFFSET(Rame!$F$1,MATCH(J126,Rame!$F:$F,0)-1,MATCH(K126,Rame!$F$1:$FF$1,0)-1))*IF(G126="Rame",1,0)</f>
        <v>0</v>
      </c>
      <c r="U126" s="205">
        <f ca="1">IF(ISERROR(OFFSET(Bronzo!$A$1,MATCH(J126,Bronzo!$A:$A,0)-1,MATCH(K126,Bronzo!$A$1:$AA$1,0)-1)=TRUE),0,OFFSET(Bronzo!$A$1,MATCH(J126,Bronzo!$A:$A,0)-1,MATCH(K126,Bronzo!$A$1:$AA$1,0)-1))</f>
        <v>0</v>
      </c>
      <c r="V126" s="205">
        <f t="shared" ca="1" si="128"/>
        <v>0</v>
      </c>
      <c r="W126" s="204"/>
      <c r="X126" s="205">
        <v>0</v>
      </c>
      <c r="Y126" s="206">
        <f t="shared" ca="1" si="129"/>
        <v>1.25</v>
      </c>
      <c r="Z126" s="380">
        <f t="shared" si="130"/>
        <v>42.63</v>
      </c>
      <c r="AA126" s="203">
        <v>3.83</v>
      </c>
      <c r="AB126" s="203">
        <f t="shared" ca="1" si="131"/>
        <v>0.25</v>
      </c>
      <c r="AC126" s="238"/>
      <c r="AG126" t="s">
        <v>404</v>
      </c>
      <c r="AI126" s="367">
        <f t="shared" ca="1" si="126"/>
        <v>46092</v>
      </c>
      <c r="AJ126" s="367" t="b">
        <f t="shared" si="132"/>
        <v>1</v>
      </c>
      <c r="AK126" s="370" t="str">
        <f t="shared" si="133"/>
        <v/>
      </c>
      <c r="AN126">
        <f t="shared" si="134"/>
        <v>0</v>
      </c>
      <c r="AO126">
        <f t="shared" si="135"/>
        <v>1900</v>
      </c>
      <c r="AV126">
        <f t="shared" si="136"/>
        <v>0</v>
      </c>
      <c r="AW126">
        <f t="shared" si="137"/>
        <v>0</v>
      </c>
    </row>
    <row r="127" spans="4:49" ht="15.75" x14ac:dyDescent="0.25">
      <c r="D127" s="199" t="s">
        <v>561</v>
      </c>
      <c r="E127" s="378" t="s">
        <v>102</v>
      </c>
      <c r="F127" s="379">
        <v>1118</v>
      </c>
      <c r="G127" s="201" t="s">
        <v>4</v>
      </c>
      <c r="H127" s="219">
        <v>2.2400000000000002</v>
      </c>
      <c r="I127" s="202">
        <v>45911</v>
      </c>
      <c r="J127" s="200" t="s">
        <v>27</v>
      </c>
      <c r="K127" s="200"/>
      <c r="L127" s="203">
        <v>7.0000000000000007E-2</v>
      </c>
      <c r="M127" s="204">
        <f ca="1">IF(ISERROR(OFFSET(Tabella!$A$1,MATCH(J127,Tabella!$A:$A,0)-1,MATCH(L127,Tabella!$A$1:$AC$1,0)-1)=TRUE),0,+OFFSET(Tabella!$A$1,MATCH(J127,Tabella!$A:$A,0)-1,MATCH(L127,Tabella!$A$1:$AC$1,0)-1))</f>
        <v>1.25</v>
      </c>
      <c r="N127" s="205">
        <f ca="1">IF(ISERROR(OFFSET(Ottone!$A$1,MATCH(J127,Ottone!$A:$A,0)-1,MATCH(L127,Ottone!$A$1:$Z$1,0)-1)=TRUE),0,OFFSET(Ottone!$A$1,MATCH(J127,Ottone!$A:$A,0)-1,MATCH(L127,Ottone!$A$1:$Z$1,0)-1))*IF(G127="Ottone",1,0)</f>
        <v>0</v>
      </c>
      <c r="O127" s="205">
        <f ca="1">IF(ISERROR(OFFSET(Rame!$A$1,MATCH(J127,Rame!$A:$A,0)-1,MATCH(L127,Rame!$A$1:$AA$1,0)-1)=TRUE),0,OFFSET(Rame!$A$1,MATCH(J127,Rame!$A:$A,0)-1,MATCH(L127,Rame!$A$1:$AA$1,0)-1))*IF(G127="Rame",1,0)</f>
        <v>0</v>
      </c>
      <c r="P127" s="205">
        <v>0</v>
      </c>
      <c r="Q127" s="205">
        <f t="shared" ca="1" si="127"/>
        <v>1.25</v>
      </c>
      <c r="R127" s="205">
        <f ca="1">+IF(ISERROR(OFFSET(Tabella!$G$1,MATCH(J127,Tabella!$G:$G,0)-1,MATCH(K127,Tabella!$G$1:$FG$1,0)-1)=TRUE),0,OFFSET(Tabella!$G$1,MATCH(J127,Tabella!$G:$G,0)-1,MATCH(K127,Tabella!$G$1:$AB$1,0)-1))</f>
        <v>0</v>
      </c>
      <c r="S127" s="205">
        <f ca="1">IF(ISERROR(OFFSET(Ottone!$F$1,MATCH(J127,Ottone!$A:$A,0)-1,MATCH(K127,Ottone!$F$1:$FF$1,0)-1)=TRUE),0,OFFSET(Ottone!$F$1,MATCH(J127,Ottone!$A:$A,0)-1,MATCH(K127,Ottone!$F$1:$FF$1,0)-1))*IF(G127="Ottone",1,0)</f>
        <v>0</v>
      </c>
      <c r="T127" s="205">
        <f ca="1">IF(ISERROR(OFFSET(Rame!$F$1,MATCH(J127,Rame!$F:$F,0)-1,MATCH(K127,Rame!$F$1:$FF$1,0)-1)=TRUE),0,OFFSET(Rame!$F$1,MATCH(J127,Rame!$F:$F,0)-1,MATCH(K127,Rame!$F$1:$FF$1,0)-1))*IF(G127="Rame",1,0)</f>
        <v>0</v>
      </c>
      <c r="U127" s="205">
        <f ca="1">IF(ISERROR(OFFSET(Bronzo!$A$1,MATCH(J127,Bronzo!$A:$A,0)-1,MATCH(K127,Bronzo!$A$1:$AA$1,0)-1)=TRUE),0,OFFSET(Bronzo!$A$1,MATCH(J127,Bronzo!$A:$A,0)-1,MATCH(K127,Bronzo!$A$1:$AA$1,0)-1))</f>
        <v>0</v>
      </c>
      <c r="V127" s="205">
        <f t="shared" ca="1" si="128"/>
        <v>0</v>
      </c>
      <c r="W127" s="204"/>
      <c r="X127" s="205">
        <v>0</v>
      </c>
      <c r="Y127" s="206">
        <f t="shared" ca="1" si="129"/>
        <v>1.25</v>
      </c>
      <c r="Z127" s="380">
        <f t="shared" si="130"/>
        <v>78.260000000000005</v>
      </c>
      <c r="AA127" s="203">
        <v>3.75</v>
      </c>
      <c r="AB127" s="203">
        <f t="shared" ca="1" si="131"/>
        <v>0.25999999999999979</v>
      </c>
      <c r="AC127" s="238"/>
      <c r="AG127" t="s">
        <v>404</v>
      </c>
      <c r="AI127" s="367">
        <f t="shared" ca="1" si="126"/>
        <v>46092</v>
      </c>
      <c r="AJ127" s="367" t="b">
        <f t="shared" si="132"/>
        <v>1</v>
      </c>
      <c r="AK127" s="370" t="str">
        <f t="shared" si="133"/>
        <v/>
      </c>
      <c r="AN127">
        <f t="shared" si="134"/>
        <v>0</v>
      </c>
      <c r="AO127">
        <f t="shared" si="135"/>
        <v>1900</v>
      </c>
      <c r="AV127">
        <f t="shared" si="136"/>
        <v>0</v>
      </c>
      <c r="AW127">
        <f t="shared" si="137"/>
        <v>0</v>
      </c>
    </row>
    <row r="128" spans="4:49" ht="15.75" x14ac:dyDescent="0.25">
      <c r="D128" s="199" t="s">
        <v>472</v>
      </c>
      <c r="E128" s="200" t="s">
        <v>102</v>
      </c>
      <c r="F128" s="287">
        <v>1600</v>
      </c>
      <c r="G128" s="201" t="s">
        <v>4</v>
      </c>
      <c r="H128" s="219">
        <v>2.2400000000000002</v>
      </c>
      <c r="I128" s="202">
        <v>45911</v>
      </c>
      <c r="J128" s="200" t="s">
        <v>325</v>
      </c>
      <c r="K128" s="200"/>
      <c r="L128" s="203">
        <v>7.0000000000000007E-2</v>
      </c>
      <c r="M128" s="204">
        <f ca="1">IF(ISERROR(OFFSET(Tabella!$A$1,MATCH(J128,Tabella!$A:$A,0)-1,MATCH(L128,Tabella!$A$1:$AC$1,0)-1)=TRUE),0,+OFFSET(Tabella!$A$1,MATCH(J128,Tabella!$A:$A,0)-1,MATCH(L128,Tabella!$A$1:$AC$1,0)-1))</f>
        <v>1.25</v>
      </c>
      <c r="N128" s="205">
        <f ca="1">IF(ISERROR(OFFSET(Ottone!$A$1,MATCH(J128,Ottone!$A:$A,0)-1,MATCH(L128,Ottone!$A$1:$Z$1,0)-1)=TRUE),0,OFFSET(Ottone!$A$1,MATCH(J128,Ottone!$A:$A,0)-1,MATCH(L128,Ottone!$A$1:$Z$1,0)-1))*IF(G128="Ottone",1,0)</f>
        <v>0</v>
      </c>
      <c r="O128" s="205">
        <f ca="1">IF(ISERROR(OFFSET(Rame!$A$1,MATCH(J128,Rame!$A:$A,0)-1,MATCH(L128,Rame!$A$1:$AA$1,0)-1)=TRUE),0,OFFSET(Rame!$A$1,MATCH(J128,Rame!$A:$A,0)-1,MATCH(L128,Rame!$A$1:$AA$1,0)-1))*IF(G128="Rame",1,0)</f>
        <v>0</v>
      </c>
      <c r="P128" s="205">
        <v>0</v>
      </c>
      <c r="Q128" s="205">
        <f t="shared" ca="1" si="127"/>
        <v>1.25</v>
      </c>
      <c r="R128" s="205">
        <f ca="1">+IF(ISERROR(OFFSET(Tabella!$G$1,MATCH(J128,Tabella!$G:$G,0)-1,MATCH(K128,Tabella!$G$1:$FG$1,0)-1)=TRUE),0,OFFSET(Tabella!$G$1,MATCH(J128,Tabella!$G:$G,0)-1,MATCH(K128,Tabella!$G$1:$AB$1,0)-1))</f>
        <v>0</v>
      </c>
      <c r="S128" s="205">
        <f ca="1">IF(ISERROR(OFFSET(Ottone!$F$1,MATCH(J128,Ottone!$A:$A,0)-1,MATCH(K128,Ottone!$F$1:$FF$1,0)-1)=TRUE),0,OFFSET(Ottone!$F$1,MATCH(J128,Ottone!$A:$A,0)-1,MATCH(K128,Ottone!$F$1:$FF$1,0)-1))*IF(G128="Ottone",1,0)</f>
        <v>0</v>
      </c>
      <c r="T128" s="205">
        <f ca="1">IF(ISERROR(OFFSET(Rame!$F$1,MATCH(J128,Rame!$F:$F,0)-1,MATCH(K128,Rame!$F$1:$FF$1,0)-1)=TRUE),0,OFFSET(Rame!$F$1,MATCH(J128,Rame!$F:$F,0)-1,MATCH(K128,Rame!$F$1:$FF$1,0)-1))*IF(G128="Rame",1,0)</f>
        <v>0</v>
      </c>
      <c r="U128" s="205">
        <f ca="1">IF(ISERROR(OFFSET(Bronzo!$A$1,MATCH(J128,Bronzo!$A:$A,0)-1,MATCH(K128,Bronzo!$A$1:$AA$1,0)-1)=TRUE),0,OFFSET(Bronzo!$A$1,MATCH(J128,Bronzo!$A:$A,0)-1,MATCH(K128,Bronzo!$A$1:$AA$1,0)-1))</f>
        <v>0</v>
      </c>
      <c r="V128" s="205">
        <f t="shared" ca="1" si="128"/>
        <v>0</v>
      </c>
      <c r="W128" s="204"/>
      <c r="X128" s="205">
        <v>0</v>
      </c>
      <c r="Y128" s="206">
        <f t="shared" ca="1" si="129"/>
        <v>1.25</v>
      </c>
      <c r="Z128" s="277">
        <f t="shared" si="130"/>
        <v>112.00000000000001</v>
      </c>
      <c r="AA128" s="203">
        <v>3.75</v>
      </c>
      <c r="AB128" s="203">
        <f t="shared" ca="1" si="131"/>
        <v>0.25999999999999979</v>
      </c>
      <c r="AC128" s="238">
        <v>46031</v>
      </c>
      <c r="AI128" s="367">
        <f t="shared" ref="AI128:AI189" ca="1" si="138">TODAY()</f>
        <v>46092</v>
      </c>
      <c r="AJ128" s="367" t="b">
        <f t="shared" si="132"/>
        <v>0</v>
      </c>
      <c r="AK128" s="370">
        <f t="shared" ca="1" si="133"/>
        <v>-61</v>
      </c>
      <c r="AN128">
        <f t="shared" si="134"/>
        <v>2</v>
      </c>
      <c r="AO128">
        <f t="shared" si="135"/>
        <v>2026</v>
      </c>
      <c r="AV128">
        <f t="shared" si="136"/>
        <v>1</v>
      </c>
      <c r="AW128">
        <f t="shared" si="137"/>
        <v>2026</v>
      </c>
    </row>
    <row r="129" spans="4:49" ht="15.75" x14ac:dyDescent="0.25">
      <c r="D129" s="199" t="s">
        <v>556</v>
      </c>
      <c r="E129" s="378" t="s">
        <v>219</v>
      </c>
      <c r="F129" s="379">
        <v>1340</v>
      </c>
      <c r="G129" s="201" t="s">
        <v>4</v>
      </c>
      <c r="H129" s="219">
        <v>2.36</v>
      </c>
      <c r="I129" s="202">
        <v>45946</v>
      </c>
      <c r="J129" s="200" t="s">
        <v>28</v>
      </c>
      <c r="K129" s="200"/>
      <c r="L129" s="203">
        <v>0.05</v>
      </c>
      <c r="M129" s="204">
        <f ca="1">IF(ISERROR(OFFSET(Tabella!$A$1,MATCH(J129,Tabella!$A:$A,0)-1,MATCH(L129,Tabella!$A$1:$AC$1,0)-1)=TRUE),0,+OFFSET(Tabella!$A$1,MATCH(J129,Tabella!$A:$A,0)-1,MATCH(L129,Tabella!$A$1:$AC$1,0)-1))</f>
        <v>0</v>
      </c>
      <c r="N129" s="205">
        <f ca="1">IF(ISERROR(OFFSET(Ottone!$A$1,MATCH(J129,Ottone!$A:$A,0)-1,MATCH(L129,Ottone!$A$1:$Z$1,0)-1)=TRUE),0,OFFSET(Ottone!$A$1,MATCH(J129,Ottone!$A:$A,0)-1,MATCH(L129,Ottone!$A$1:$Z$1,0)-1))*IF(G129="Ottone",1,0)</f>
        <v>0</v>
      </c>
      <c r="O129" s="205">
        <f ca="1">IF(ISERROR(OFFSET(Rame!$A$1,MATCH(J129,Rame!$A:$A,0)-1,MATCH(L129,Rame!$A$1:$AA$1,0)-1)=TRUE),0,OFFSET(Rame!$A$1,MATCH(J129,Rame!$A:$A,0)-1,MATCH(L129,Rame!$A$1:$AA$1,0)-1))*IF(G129="Rame",1,0)</f>
        <v>0</v>
      </c>
      <c r="P129" s="205">
        <v>0</v>
      </c>
      <c r="Q129" s="205">
        <v>1.25</v>
      </c>
      <c r="R129" s="205">
        <f ca="1">+IF(ISERROR(OFFSET(Tabella!$G$1,MATCH(J129,Tabella!$G:$G,0)-1,MATCH(K129,Tabella!$G$1:$FG$1,0)-1)=TRUE),0,OFFSET(Tabella!$G$1,MATCH(J129,Tabella!$G:$G,0)-1,MATCH(K129,Tabella!$G$1:$AB$1,0)-1))</f>
        <v>0</v>
      </c>
      <c r="S129" s="205">
        <f ca="1">IF(ISERROR(OFFSET(Ottone!$F$1,MATCH(J129,Ottone!$A:$A,0)-1,MATCH(K129,Ottone!$F$1:$FF$1,0)-1)=TRUE),0,OFFSET(Ottone!$F$1,MATCH(J129,Ottone!$A:$A,0)-1,MATCH(K129,Ottone!$F$1:$FF$1,0)-1))*IF(G129="Ottone",1,0)</f>
        <v>0</v>
      </c>
      <c r="T129" s="205">
        <f ca="1">IF(ISERROR(OFFSET(Rame!$F$1,MATCH(J129,Rame!$F:$F,0)-1,MATCH(K129,Rame!$F$1:$FF$1,0)-1)=TRUE),0,OFFSET(Rame!$F$1,MATCH(J129,Rame!$F:$F,0)-1,MATCH(K129,Rame!$F$1:$FF$1,0)-1))*IF(G129="Rame",1,0)</f>
        <v>0</v>
      </c>
      <c r="U129" s="205">
        <f ca="1">IF(ISERROR(OFFSET(Bronzo!$A$1,MATCH(J129,Bronzo!$A:$A,0)-1,MATCH(K129,Bronzo!$A$1:$AA$1,0)-1)=TRUE),0,OFFSET(Bronzo!$A$1,MATCH(J129,Bronzo!$A:$A,0)-1,MATCH(K129,Bronzo!$A$1:$AA$1,0)-1))</f>
        <v>0</v>
      </c>
      <c r="V129" s="205">
        <f t="shared" ca="1" si="128"/>
        <v>0</v>
      </c>
      <c r="W129" s="204"/>
      <c r="X129" s="205">
        <v>0</v>
      </c>
      <c r="Y129" s="206">
        <f t="shared" ca="1" si="129"/>
        <v>1.25</v>
      </c>
      <c r="Z129" s="380">
        <f t="shared" si="130"/>
        <v>67</v>
      </c>
      <c r="AA129" s="203">
        <v>3.82</v>
      </c>
      <c r="AB129" s="203">
        <f t="shared" ca="1" si="131"/>
        <v>0.20999999999999996</v>
      </c>
      <c r="AC129" s="238"/>
      <c r="AG129" t="s">
        <v>404</v>
      </c>
      <c r="AI129" s="367">
        <f t="shared" ca="1" si="138"/>
        <v>46092</v>
      </c>
      <c r="AJ129" s="367" t="b">
        <f t="shared" si="132"/>
        <v>1</v>
      </c>
      <c r="AK129" s="370" t="str">
        <f t="shared" si="133"/>
        <v/>
      </c>
      <c r="AN129">
        <f t="shared" si="134"/>
        <v>0</v>
      </c>
      <c r="AO129">
        <f t="shared" si="135"/>
        <v>1900</v>
      </c>
      <c r="AV129">
        <f t="shared" si="136"/>
        <v>0</v>
      </c>
      <c r="AW129">
        <f t="shared" si="137"/>
        <v>0</v>
      </c>
    </row>
    <row r="130" spans="4:49" ht="15.75" x14ac:dyDescent="0.25">
      <c r="D130" s="199" t="s">
        <v>480</v>
      </c>
      <c r="E130" s="200" t="s">
        <v>330</v>
      </c>
      <c r="F130" s="287">
        <v>1000</v>
      </c>
      <c r="G130" s="201" t="s">
        <v>4</v>
      </c>
      <c r="H130" s="381">
        <v>1.6</v>
      </c>
      <c r="I130" s="202">
        <v>45944</v>
      </c>
      <c r="J130" s="200" t="s">
        <v>314</v>
      </c>
      <c r="K130" s="200"/>
      <c r="L130" s="203">
        <v>7.0000000000000007E-2</v>
      </c>
      <c r="M130" s="204">
        <f ca="1">IF(ISERROR(OFFSET(Tabella!$A$1,MATCH(J130,Tabella!$A:$A,0)-1,MATCH(L130,Tabella!$A$1:$AC$1,0)-1)=TRUE),0,+OFFSET(Tabella!$A$1,MATCH(J130,Tabella!$A:$A,0)-1,MATCH(L130,Tabella!$A$1:$AC$1,0)-1))</f>
        <v>1.25</v>
      </c>
      <c r="N130" s="205">
        <f ca="1">IF(ISERROR(OFFSET(Ottone!$A$1,MATCH(J130,Ottone!$A:$A,0)-1,MATCH(L130,Ottone!$A$1:$Z$1,0)-1)=TRUE),0,OFFSET(Ottone!$A$1,MATCH(J130,Ottone!$A:$A,0)-1,MATCH(L130,Ottone!$A$1:$Z$1,0)-1))*IF(G130="Ottone",1,0)</f>
        <v>0</v>
      </c>
      <c r="O130" s="205">
        <f ca="1">IF(ISERROR(OFFSET(Rame!$A$1,MATCH(J130,Rame!$A:$A,0)-1,MATCH(L130,Rame!$A$1:$AA$1,0)-1)=TRUE),0,OFFSET(Rame!$A$1,MATCH(J130,Rame!$A:$A,0)-1,MATCH(L130,Rame!$A$1:$AA$1,0)-1))*IF(G130="Rame",1,0)</f>
        <v>0</v>
      </c>
      <c r="P130" s="205">
        <v>0</v>
      </c>
      <c r="Q130" s="205">
        <f t="shared" ca="1" si="127"/>
        <v>1.25</v>
      </c>
      <c r="R130" s="205">
        <f ca="1">+IF(ISERROR(OFFSET(Tabella!$G$1,MATCH(J130,Tabella!$G:$G,0)-1,MATCH(K130,Tabella!$G$1:$FG$1,0)-1)=TRUE),0,OFFSET(Tabella!$G$1,MATCH(J130,Tabella!$G:$G,0)-1,MATCH(K130,Tabella!$G$1:$AB$1,0)-1))</f>
        <v>0</v>
      </c>
      <c r="S130" s="205">
        <f ca="1">IF(ISERROR(OFFSET(Ottone!$F$1,MATCH(J130,Ottone!$A:$A,0)-1,MATCH(K130,Ottone!$F$1:$FF$1,0)-1)=TRUE),0,OFFSET(Ottone!$F$1,MATCH(J130,Ottone!$A:$A,0)-1,MATCH(K130,Ottone!$F$1:$FF$1,0)-1))*IF(G130="Ottone",1,0)</f>
        <v>0</v>
      </c>
      <c r="T130" s="205">
        <f ca="1">IF(ISERROR(OFFSET(Rame!$F$1,MATCH(J130,Rame!$F:$F,0)-1,MATCH(K130,Rame!$F$1:$FF$1,0)-1)=TRUE),0,OFFSET(Rame!$F$1,MATCH(J130,Rame!$F:$F,0)-1,MATCH(K130,Rame!$F$1:$FF$1,0)-1))*IF(G130="Rame",1,0)</f>
        <v>0</v>
      </c>
      <c r="U130" s="205">
        <f ca="1">IF(ISERROR(OFFSET(Bronzo!$A$1,MATCH(J130,Bronzo!$A:$A,0)-1,MATCH(K130,Bronzo!$A$1:$AA$1,0)-1)=TRUE),0,OFFSET(Bronzo!$A$1,MATCH(J130,Bronzo!$A:$A,0)-1,MATCH(K130,Bronzo!$A$1:$AA$1,0)-1))</f>
        <v>0</v>
      </c>
      <c r="V130" s="205">
        <f t="shared" ca="1" si="128"/>
        <v>0</v>
      </c>
      <c r="W130" s="204"/>
      <c r="X130" s="205">
        <v>0</v>
      </c>
      <c r="Y130" s="206">
        <f t="shared" ca="1" si="129"/>
        <v>1.25</v>
      </c>
      <c r="Z130" s="277">
        <f t="shared" si="130"/>
        <v>70</v>
      </c>
      <c r="AA130" s="382">
        <v>1.6</v>
      </c>
      <c r="AB130" s="203">
        <f t="shared" ca="1" si="131"/>
        <v>-1.25</v>
      </c>
      <c r="AC130" s="238">
        <v>46003</v>
      </c>
      <c r="AI130" s="367">
        <f t="shared" ca="1" si="138"/>
        <v>46092</v>
      </c>
      <c r="AJ130" s="367" t="b">
        <f t="shared" si="132"/>
        <v>0</v>
      </c>
      <c r="AK130" s="370">
        <f t="shared" ca="1" si="133"/>
        <v>-89</v>
      </c>
      <c r="AN130">
        <f t="shared" si="134"/>
        <v>50</v>
      </c>
      <c r="AO130">
        <f t="shared" si="135"/>
        <v>2025</v>
      </c>
      <c r="AV130">
        <f t="shared" si="136"/>
        <v>12</v>
      </c>
      <c r="AW130">
        <f t="shared" si="137"/>
        <v>2025</v>
      </c>
    </row>
    <row r="131" spans="4:49" ht="15.75" x14ac:dyDescent="0.25">
      <c r="D131" s="199" t="s">
        <v>558</v>
      </c>
      <c r="E131" s="378" t="s">
        <v>259</v>
      </c>
      <c r="F131" s="379">
        <v>758</v>
      </c>
      <c r="G131" s="201" t="s">
        <v>6</v>
      </c>
      <c r="H131" s="219">
        <v>9</v>
      </c>
      <c r="I131" s="202">
        <v>45947</v>
      </c>
      <c r="J131" s="200" t="s">
        <v>14</v>
      </c>
      <c r="K131" s="200"/>
      <c r="L131" s="203">
        <v>0.15</v>
      </c>
      <c r="M131" s="204">
        <f ca="1">IF(ISERROR(OFFSET(Tabella!$A$1,MATCH(J131,Tabella!$A:$A,0)-1,MATCH(L131,Tabella!$A$1:$AC$1,0)-1)=TRUE),0,+OFFSET(Tabella!$A$1,MATCH(J131,Tabella!$A:$A,0)-1,MATCH(L131,Tabella!$A$1:$AC$1,0)-1))</f>
        <v>0</v>
      </c>
      <c r="N131" s="205">
        <f ca="1">IF(ISERROR(OFFSET(Ottone!$A$1,MATCH(J131,Ottone!$A:$A,0)-1,MATCH(L131,Ottone!$A$1:$Z$1,0)-1)=TRUE),0,OFFSET(Ottone!$A$1,MATCH(J131,Ottone!$A:$A,0)-1,MATCH(L131,Ottone!$A$1:$Z$1,0)-1))*IF(G131="Ottone",1,0)</f>
        <v>0</v>
      </c>
      <c r="O131" s="205">
        <f ca="1">IF(ISERROR(OFFSET(Rame!$A$1,MATCH(J131,Rame!$A:$A,0)-1,MATCH(L131,Rame!$A$1:$AA$1,0)-1)=TRUE),0,OFFSET(Rame!$A$1,MATCH(J131,Rame!$A:$A,0)-1,MATCH(L131,Rame!$A$1:$AA$1,0)-1))*IF(G131="Rame",1,0)</f>
        <v>1</v>
      </c>
      <c r="P131" s="205">
        <v>0</v>
      </c>
      <c r="Q131" s="205">
        <f t="shared" ca="1" si="127"/>
        <v>1</v>
      </c>
      <c r="R131" s="205">
        <f ca="1">+IF(ISERROR(OFFSET(Tabella!$G$1,MATCH(J131,Tabella!$G:$G,0)-1,MATCH(K131,Tabella!$G$1:$FG$1,0)-1)=TRUE),0,OFFSET(Tabella!$G$1,MATCH(J131,Tabella!$G:$G,0)-1,MATCH(K131,Tabella!$G$1:$AB$1,0)-1))</f>
        <v>0</v>
      </c>
      <c r="S131" s="205">
        <f ca="1">IF(ISERROR(OFFSET(Ottone!$F$1,MATCH(J131,Ottone!$A:$A,0)-1,MATCH(K131,Ottone!$F$1:$FF$1,0)-1)=TRUE),0,OFFSET(Ottone!$F$1,MATCH(J131,Ottone!$A:$A,0)-1,MATCH(K131,Ottone!$F$1:$FF$1,0)-1))*IF(G131="Ottone",1,0)</f>
        <v>0</v>
      </c>
      <c r="T131" s="205">
        <f ca="1">IF(ISERROR(OFFSET(Rame!$F$1,MATCH(J131,Rame!$F:$F,0)-1,MATCH(K131,Rame!$F$1:$FF$1,0)-1)=TRUE),0,OFFSET(Rame!$F$1,MATCH(J131,Rame!$F:$F,0)-1,MATCH(K131,Rame!$F$1:$FF$1,0)-1))*IF(G131="Rame",1,0)</f>
        <v>0</v>
      </c>
      <c r="U131" s="205">
        <f ca="1">IF(ISERROR(OFFSET(Bronzo!$A$1,MATCH(J131,Bronzo!$A:$A,0)-1,MATCH(K131,Bronzo!$A$1:$AA$1,0)-1)=TRUE),0,OFFSET(Bronzo!$A$1,MATCH(J131,Bronzo!$A:$A,0)-1,MATCH(K131,Bronzo!$A$1:$AA$1,0)-1))</f>
        <v>0</v>
      </c>
      <c r="V131" s="205">
        <f t="shared" ca="1" si="128"/>
        <v>0</v>
      </c>
      <c r="W131" s="204"/>
      <c r="X131" s="205">
        <v>0</v>
      </c>
      <c r="Y131" s="206">
        <f t="shared" ca="1" si="129"/>
        <v>1</v>
      </c>
      <c r="Z131" s="380">
        <f t="shared" si="130"/>
        <v>113.7</v>
      </c>
      <c r="AA131" s="203">
        <v>12.9</v>
      </c>
      <c r="AB131" s="203">
        <f t="shared" ca="1" si="131"/>
        <v>2.9000000000000004</v>
      </c>
      <c r="AC131" s="238"/>
      <c r="AG131" t="s">
        <v>404</v>
      </c>
      <c r="AI131" s="367">
        <f t="shared" ca="1" si="138"/>
        <v>46092</v>
      </c>
      <c r="AJ131" s="367" t="b">
        <f t="shared" si="132"/>
        <v>1</v>
      </c>
      <c r="AK131" s="370" t="str">
        <f t="shared" si="133"/>
        <v/>
      </c>
      <c r="AN131">
        <f t="shared" si="134"/>
        <v>0</v>
      </c>
      <c r="AO131">
        <f t="shared" si="135"/>
        <v>1900</v>
      </c>
      <c r="AV131">
        <f t="shared" si="136"/>
        <v>0</v>
      </c>
      <c r="AW131">
        <f t="shared" si="137"/>
        <v>0</v>
      </c>
    </row>
    <row r="132" spans="4:49" ht="15.75" x14ac:dyDescent="0.25">
      <c r="D132" s="199" t="s">
        <v>482</v>
      </c>
      <c r="E132" s="200" t="s">
        <v>210</v>
      </c>
      <c r="F132" s="287">
        <v>700</v>
      </c>
      <c r="G132" s="201" t="s">
        <v>6</v>
      </c>
      <c r="H132" s="219">
        <v>9.07</v>
      </c>
      <c r="I132" s="202">
        <v>45950</v>
      </c>
      <c r="J132" s="200" t="s">
        <v>12</v>
      </c>
      <c r="K132" s="200"/>
      <c r="L132" s="203">
        <v>0.15</v>
      </c>
      <c r="M132" s="204">
        <f ca="1">IF(ISERROR(OFFSET(Tabella!$A$1,MATCH(J132,Tabella!$A:$A,0)-1,MATCH(L132,Tabella!$A$1:$AC$1,0)-1)=TRUE),0,+OFFSET(Tabella!$A$1,MATCH(J132,Tabella!$A:$A,0)-1,MATCH(L132,Tabella!$A$1:$AC$1,0)-1))</f>
        <v>0</v>
      </c>
      <c r="N132" s="205">
        <f ca="1">IF(ISERROR(OFFSET(Ottone!$A$1,MATCH(J132,Ottone!$A:$A,0)-1,MATCH(L132,Ottone!$A$1:$Z$1,0)-1)=TRUE),0,OFFSET(Ottone!$A$1,MATCH(J132,Ottone!$A:$A,0)-1,MATCH(L132,Ottone!$A$1:$Z$1,0)-1))*IF(G132="Ottone",1,0)</f>
        <v>0</v>
      </c>
      <c r="O132" s="205">
        <f ca="1">IF(ISERROR(OFFSET(Rame!$A$1,MATCH(J132,Rame!$A:$A,0)-1,MATCH(L132,Rame!$A$1:$AA$1,0)-1)=TRUE),0,OFFSET(Rame!$A$1,MATCH(J132,Rame!$A:$A,0)-1,MATCH(L132,Rame!$A$1:$AA$1,0)-1))*IF(G132="Rame",1,0)</f>
        <v>1.25</v>
      </c>
      <c r="P132" s="205">
        <v>0</v>
      </c>
      <c r="Q132" s="205">
        <f t="shared" ca="1" si="127"/>
        <v>1.25</v>
      </c>
      <c r="R132" s="205">
        <f ca="1">+IF(ISERROR(OFFSET(Tabella!$G$1,MATCH(J132,Tabella!$G:$G,0)-1,MATCH(K132,Tabella!$G$1:$FG$1,0)-1)=TRUE),0,OFFSET(Tabella!$G$1,MATCH(J132,Tabella!$G:$G,0)-1,MATCH(K132,Tabella!$G$1:$AB$1,0)-1))</f>
        <v>0</v>
      </c>
      <c r="S132" s="205">
        <f ca="1">IF(ISERROR(OFFSET(Ottone!$F$1,MATCH(J132,Ottone!$A:$A,0)-1,MATCH(K132,Ottone!$F$1:$FF$1,0)-1)=TRUE),0,OFFSET(Ottone!$F$1,MATCH(J132,Ottone!$A:$A,0)-1,MATCH(K132,Ottone!$F$1:$FF$1,0)-1))*IF(G132="Ottone",1,0)</f>
        <v>0</v>
      </c>
      <c r="T132" s="205">
        <f ca="1">IF(ISERROR(OFFSET(Rame!$F$1,MATCH(J132,Rame!$F:$F,0)-1,MATCH(K132,Rame!$F$1:$FF$1,0)-1)=TRUE),0,OFFSET(Rame!$F$1,MATCH(J132,Rame!$F:$F,0)-1,MATCH(K132,Rame!$F$1:$FF$1,0)-1))*IF(G132="Rame",1,0)</f>
        <v>0</v>
      </c>
      <c r="U132" s="205">
        <f ca="1">IF(ISERROR(OFFSET(Bronzo!$A$1,MATCH(J132,Bronzo!$A:$A,0)-1,MATCH(K132,Bronzo!$A$1:$AA$1,0)-1)=TRUE),0,OFFSET(Bronzo!$A$1,MATCH(J132,Bronzo!$A:$A,0)-1,MATCH(K132,Bronzo!$A$1:$AA$1,0)-1))</f>
        <v>0</v>
      </c>
      <c r="V132" s="205">
        <f t="shared" ca="1" si="128"/>
        <v>0</v>
      </c>
      <c r="W132" s="204"/>
      <c r="X132" s="205">
        <v>0</v>
      </c>
      <c r="Y132" s="206">
        <f t="shared" ca="1" si="129"/>
        <v>1.25</v>
      </c>
      <c r="Z132" s="277">
        <f t="shared" si="130"/>
        <v>105</v>
      </c>
      <c r="AA132" s="203">
        <v>12.85</v>
      </c>
      <c r="AB132" s="203">
        <f t="shared" ca="1" si="131"/>
        <v>2.5299999999999994</v>
      </c>
      <c r="AC132" s="238">
        <v>46037</v>
      </c>
      <c r="AI132" s="367">
        <f t="shared" ca="1" si="138"/>
        <v>46092</v>
      </c>
      <c r="AJ132" s="367" t="b">
        <f t="shared" si="132"/>
        <v>0</v>
      </c>
      <c r="AK132" s="370">
        <f t="shared" ca="1" si="133"/>
        <v>-55</v>
      </c>
      <c r="AN132">
        <f t="shared" si="134"/>
        <v>3</v>
      </c>
      <c r="AO132">
        <f t="shared" si="135"/>
        <v>2026</v>
      </c>
      <c r="AV132">
        <f t="shared" si="136"/>
        <v>1</v>
      </c>
      <c r="AW132">
        <f t="shared" si="137"/>
        <v>2026</v>
      </c>
    </row>
    <row r="133" spans="4:49" ht="15.75" x14ac:dyDescent="0.25">
      <c r="D133" s="199" t="s">
        <v>530</v>
      </c>
      <c r="E133" s="378" t="s">
        <v>402</v>
      </c>
      <c r="F133" s="379">
        <v>561</v>
      </c>
      <c r="G133" s="201" t="s">
        <v>6</v>
      </c>
      <c r="H133" s="219">
        <v>9.07</v>
      </c>
      <c r="I133" s="202">
        <v>45950</v>
      </c>
      <c r="J133" s="200" t="s">
        <v>14</v>
      </c>
      <c r="K133" s="200"/>
      <c r="L133" s="203">
        <v>0.15</v>
      </c>
      <c r="M133" s="204">
        <f ca="1">IF(ISERROR(OFFSET(Tabella!$A$1,MATCH(J133,Tabella!$A:$A,0)-1,MATCH(L133,Tabella!$A$1:$AC$1,0)-1)=TRUE),0,+OFFSET(Tabella!$A$1,MATCH(J133,Tabella!$A:$A,0)-1,MATCH(L133,Tabella!$A$1:$AC$1,0)-1))</f>
        <v>0</v>
      </c>
      <c r="N133" s="205">
        <f ca="1">IF(ISERROR(OFFSET(Ottone!$A$1,MATCH(J133,Ottone!$A:$A,0)-1,MATCH(L133,Ottone!$A$1:$Z$1,0)-1)=TRUE),0,OFFSET(Ottone!$A$1,MATCH(J133,Ottone!$A:$A,0)-1,MATCH(L133,Ottone!$A$1:$Z$1,0)-1))*IF(G133="Ottone",1,0)</f>
        <v>0</v>
      </c>
      <c r="O133" s="205">
        <f ca="1">IF(ISERROR(OFFSET(Rame!$A$1,MATCH(J133,Rame!$A:$A,0)-1,MATCH(L133,Rame!$A$1:$AA$1,0)-1)=TRUE),0,OFFSET(Rame!$A$1,MATCH(J133,Rame!$A:$A,0)-1,MATCH(L133,Rame!$A$1:$AA$1,0)-1))*IF(G133="Rame",1,0)</f>
        <v>1</v>
      </c>
      <c r="P133" s="205">
        <v>0</v>
      </c>
      <c r="Q133" s="205">
        <f t="shared" ca="1" si="127"/>
        <v>1</v>
      </c>
      <c r="R133" s="205">
        <f ca="1">+IF(ISERROR(OFFSET(Tabella!$G$1,MATCH(J133,Tabella!$G:$G,0)-1,MATCH(K133,Tabella!$G$1:$FG$1,0)-1)=TRUE),0,OFFSET(Tabella!$G$1,MATCH(J133,Tabella!$G:$G,0)-1,MATCH(K133,Tabella!$G$1:$AB$1,0)-1))</f>
        <v>0</v>
      </c>
      <c r="S133" s="205">
        <f ca="1">IF(ISERROR(OFFSET(Ottone!$F$1,MATCH(J133,Ottone!$A:$A,0)-1,MATCH(K133,Ottone!$F$1:$FF$1,0)-1)=TRUE),0,OFFSET(Ottone!$F$1,MATCH(J133,Ottone!$A:$A,0)-1,MATCH(K133,Ottone!$F$1:$FF$1,0)-1))*IF(G133="Ottone",1,0)</f>
        <v>0</v>
      </c>
      <c r="T133" s="205">
        <f ca="1">IF(ISERROR(OFFSET(Rame!$F$1,MATCH(J133,Rame!$F:$F,0)-1,MATCH(K133,Rame!$F$1:$FF$1,0)-1)=TRUE),0,OFFSET(Rame!$F$1,MATCH(J133,Rame!$F:$F,0)-1,MATCH(K133,Rame!$F$1:$FF$1,0)-1))*IF(G133="Rame",1,0)</f>
        <v>0</v>
      </c>
      <c r="U133" s="205">
        <f ca="1">IF(ISERROR(OFFSET(Bronzo!$A$1,MATCH(J133,Bronzo!$A:$A,0)-1,MATCH(K133,Bronzo!$A$1:$AA$1,0)-1)=TRUE),0,OFFSET(Bronzo!$A$1,MATCH(J133,Bronzo!$A:$A,0)-1,MATCH(K133,Bronzo!$A$1:$AA$1,0)-1))</f>
        <v>0</v>
      </c>
      <c r="V133" s="205">
        <f t="shared" ca="1" si="128"/>
        <v>0</v>
      </c>
      <c r="W133" s="204"/>
      <c r="X133" s="205">
        <v>0</v>
      </c>
      <c r="Y133" s="206">
        <f t="shared" ca="1" si="129"/>
        <v>1</v>
      </c>
      <c r="Z133" s="380">
        <f t="shared" si="130"/>
        <v>84.149999999999991</v>
      </c>
      <c r="AA133" s="203">
        <v>12.9</v>
      </c>
      <c r="AB133" s="203">
        <f t="shared" ca="1" si="131"/>
        <v>2.83</v>
      </c>
      <c r="AC133" s="238"/>
      <c r="AG133" t="s">
        <v>404</v>
      </c>
      <c r="AI133" s="367">
        <f t="shared" ca="1" si="138"/>
        <v>46092</v>
      </c>
      <c r="AJ133" s="367" t="b">
        <f t="shared" si="132"/>
        <v>1</v>
      </c>
      <c r="AK133" s="370" t="str">
        <f t="shared" si="133"/>
        <v/>
      </c>
      <c r="AN133">
        <f t="shared" si="134"/>
        <v>0</v>
      </c>
      <c r="AO133">
        <f t="shared" si="135"/>
        <v>1900</v>
      </c>
      <c r="AV133">
        <f t="shared" si="136"/>
        <v>0</v>
      </c>
      <c r="AW133">
        <f t="shared" si="137"/>
        <v>0</v>
      </c>
    </row>
    <row r="134" spans="4:49" ht="15.75" x14ac:dyDescent="0.25">
      <c r="D134" s="199" t="s">
        <v>477</v>
      </c>
      <c r="E134" s="200" t="s">
        <v>269</v>
      </c>
      <c r="F134" s="287">
        <v>1200</v>
      </c>
      <c r="G134" s="201" t="s">
        <v>4</v>
      </c>
      <c r="H134" s="219">
        <v>2.38</v>
      </c>
      <c r="I134" s="202">
        <v>45950</v>
      </c>
      <c r="J134" s="200" t="s">
        <v>26</v>
      </c>
      <c r="K134" s="200"/>
      <c r="L134" s="203">
        <v>0.13</v>
      </c>
      <c r="M134" s="204">
        <f ca="1">IF(ISERROR(OFFSET(Tabella!$A$1,MATCH(J134,Tabella!$A:$A,0)-1,MATCH(L134,Tabella!$A$1:$AC$1,0)-1)=TRUE),0,+OFFSET(Tabella!$A$1,MATCH(J134,Tabella!$A:$A,0)-1,MATCH(L134,Tabella!$A$1:$AC$1,0)-1))</f>
        <v>0</v>
      </c>
      <c r="N134" s="205">
        <f ca="1">IF(ISERROR(OFFSET(Ottone!$A$1,MATCH(J134,Ottone!$A:$A,0)-1,MATCH(L134,Ottone!$A$1:$Z$1,0)-1)=TRUE),0,OFFSET(Ottone!$A$1,MATCH(J134,Ottone!$A:$A,0)-1,MATCH(L134,Ottone!$A$1:$Z$1,0)-1))*IF(G134="Ottone",1,0)</f>
        <v>0</v>
      </c>
      <c r="O134" s="205">
        <f ca="1">IF(ISERROR(OFFSET(Rame!$A$1,MATCH(J134,Rame!$A:$A,0)-1,MATCH(L134,Rame!$A$1:$AA$1,0)-1)=TRUE),0,OFFSET(Rame!$A$1,MATCH(J134,Rame!$A:$A,0)-1,MATCH(L134,Rame!$A$1:$AA$1,0)-1))*IF(G134="Rame",1,0)</f>
        <v>0</v>
      </c>
      <c r="P134" s="205">
        <v>0</v>
      </c>
      <c r="Q134" s="205">
        <v>1.4</v>
      </c>
      <c r="R134" s="205">
        <f ca="1">+IF(ISERROR(OFFSET(Tabella!$G$1,MATCH(J134,Tabella!$G:$G,0)-1,MATCH(K134,Tabella!$G$1:$FG$1,0)-1)=TRUE),0,OFFSET(Tabella!$G$1,MATCH(J134,Tabella!$G:$G,0)-1,MATCH(K134,Tabella!$G$1:$AB$1,0)-1))</f>
        <v>0</v>
      </c>
      <c r="S134" s="205">
        <f ca="1">IF(ISERROR(OFFSET(Ottone!$F$1,MATCH(J134,Ottone!$A:$A,0)-1,MATCH(K134,Ottone!$F$1:$FF$1,0)-1)=TRUE),0,OFFSET(Ottone!$F$1,MATCH(J134,Ottone!$A:$A,0)-1,MATCH(K134,Ottone!$F$1:$FF$1,0)-1))*IF(G134="Ottone",1,0)</f>
        <v>0</v>
      </c>
      <c r="T134" s="205">
        <f ca="1">IF(ISERROR(OFFSET(Rame!$F$1,MATCH(J134,Rame!$F:$F,0)-1,MATCH(K134,Rame!$F$1:$FF$1,0)-1)=TRUE),0,OFFSET(Rame!$F$1,MATCH(J134,Rame!$F:$F,0)-1,MATCH(K134,Rame!$F$1:$FF$1,0)-1))*IF(G134="Rame",1,0)</f>
        <v>0</v>
      </c>
      <c r="U134" s="205">
        <f ca="1">IF(ISERROR(OFFSET(Bronzo!$A$1,MATCH(J134,Bronzo!$A:$A,0)-1,MATCH(K134,Bronzo!$A$1:$AA$1,0)-1)=TRUE),0,OFFSET(Bronzo!$A$1,MATCH(J134,Bronzo!$A:$A,0)-1,MATCH(K134,Bronzo!$A$1:$AA$1,0)-1))</f>
        <v>0</v>
      </c>
      <c r="V134" s="205">
        <f t="shared" ca="1" si="128"/>
        <v>0</v>
      </c>
      <c r="W134" s="204"/>
      <c r="X134" s="205">
        <v>0</v>
      </c>
      <c r="Y134" s="206">
        <f t="shared" ca="1" si="129"/>
        <v>1.4</v>
      </c>
      <c r="Z134" s="277">
        <f t="shared" si="130"/>
        <v>156</v>
      </c>
      <c r="AA134" s="203">
        <v>4.3</v>
      </c>
      <c r="AB134" s="203">
        <f t="shared" ca="1" si="131"/>
        <v>0.52</v>
      </c>
      <c r="AC134" s="238">
        <v>45988</v>
      </c>
      <c r="AI134" s="367">
        <f t="shared" ca="1" si="138"/>
        <v>46092</v>
      </c>
      <c r="AJ134" s="367" t="b">
        <f t="shared" si="132"/>
        <v>0</v>
      </c>
      <c r="AK134" s="370">
        <f t="shared" ca="1" si="133"/>
        <v>-104</v>
      </c>
      <c r="AN134">
        <f t="shared" si="134"/>
        <v>48</v>
      </c>
      <c r="AO134">
        <f t="shared" si="135"/>
        <v>2025</v>
      </c>
      <c r="AV134">
        <f t="shared" si="136"/>
        <v>11</v>
      </c>
      <c r="AW134">
        <f t="shared" si="137"/>
        <v>2025</v>
      </c>
    </row>
    <row r="135" spans="4:49" ht="15.75" x14ac:dyDescent="0.25">
      <c r="D135" s="199" t="s">
        <v>481</v>
      </c>
      <c r="E135" s="200" t="s">
        <v>259</v>
      </c>
      <c r="F135" s="287">
        <v>6000</v>
      </c>
      <c r="G135" s="201" t="s">
        <v>4</v>
      </c>
      <c r="H135" s="219">
        <v>2.2000000000000002</v>
      </c>
      <c r="I135" s="202">
        <v>45950</v>
      </c>
      <c r="J135" s="200" t="s">
        <v>26</v>
      </c>
      <c r="K135" s="200"/>
      <c r="L135" s="203">
        <v>0.05</v>
      </c>
      <c r="M135" s="204">
        <f ca="1">IF(ISERROR(OFFSET(Tabella!$A$1,MATCH(J135,Tabella!$A:$A,0)-1,MATCH(L135,Tabella!$A$1:$AC$1,0)-1)=TRUE),0,+OFFSET(Tabella!$A$1,MATCH(J135,Tabella!$A:$A,0)-1,MATCH(L135,Tabella!$A$1:$AC$1,0)-1))</f>
        <v>0</v>
      </c>
      <c r="N135" s="205">
        <f ca="1">IF(ISERROR(OFFSET(Ottone!$A$1,MATCH(J135,Ottone!$A:$A,0)-1,MATCH(L135,Ottone!$A$1:$Z$1,0)-1)=TRUE),0,OFFSET(Ottone!$A$1,MATCH(J135,Ottone!$A:$A,0)-1,MATCH(L135,Ottone!$A$1:$Z$1,0)-1))*IF(G135="Ottone",1,0)</f>
        <v>0</v>
      </c>
      <c r="O135" s="205">
        <f ca="1">IF(ISERROR(OFFSET(Rame!$A$1,MATCH(J135,Rame!$A:$A,0)-1,MATCH(L135,Rame!$A$1:$AA$1,0)-1)=TRUE),0,OFFSET(Rame!$A$1,MATCH(J135,Rame!$A:$A,0)-1,MATCH(L135,Rame!$A$1:$AA$1,0)-1))*IF(G135="Rame",1,0)</f>
        <v>0</v>
      </c>
      <c r="P135" s="205">
        <v>0</v>
      </c>
      <c r="Q135" s="205">
        <v>1.5</v>
      </c>
      <c r="R135" s="205">
        <f ca="1">+IF(ISERROR(OFFSET(Tabella!$G$1,MATCH(J135,Tabella!$G:$G,0)-1,MATCH(K135,Tabella!$G$1:$FG$1,0)-1)=TRUE),0,OFFSET(Tabella!$G$1,MATCH(J135,Tabella!$G:$G,0)-1,MATCH(K135,Tabella!$G$1:$AB$1,0)-1))</f>
        <v>0</v>
      </c>
      <c r="S135" s="205">
        <f ca="1">IF(ISERROR(OFFSET(Ottone!$F$1,MATCH(J135,Ottone!$A:$A,0)-1,MATCH(K135,Ottone!$F$1:$FF$1,0)-1)=TRUE),0,OFFSET(Ottone!$F$1,MATCH(J135,Ottone!$A:$A,0)-1,MATCH(K135,Ottone!$F$1:$FF$1,0)-1))*IF(G135="Ottone",1,0)</f>
        <v>0</v>
      </c>
      <c r="T135" s="205">
        <f ca="1">IF(ISERROR(OFFSET(Rame!$F$1,MATCH(J135,Rame!$F:$F,0)-1,MATCH(K135,Rame!$F$1:$FF$1,0)-1)=TRUE),0,OFFSET(Rame!$F$1,MATCH(J135,Rame!$F:$F,0)-1,MATCH(K135,Rame!$F$1:$FF$1,0)-1))*IF(G135="Rame",1,0)</f>
        <v>0</v>
      </c>
      <c r="U135" s="205">
        <f ca="1">IF(ISERROR(OFFSET(Bronzo!$A$1,MATCH(J135,Bronzo!$A:$A,0)-1,MATCH(K135,Bronzo!$A$1:$AA$1,0)-1)=TRUE),0,OFFSET(Bronzo!$A$1,MATCH(J135,Bronzo!$A:$A,0)-1,MATCH(K135,Bronzo!$A$1:$AA$1,0)-1))</f>
        <v>0</v>
      </c>
      <c r="V135" s="205">
        <f t="shared" ca="1" si="128"/>
        <v>0</v>
      </c>
      <c r="W135" s="204"/>
      <c r="X135" s="205">
        <v>0</v>
      </c>
      <c r="Y135" s="206">
        <f t="shared" ca="1" si="129"/>
        <v>1.5</v>
      </c>
      <c r="Z135" s="277">
        <f t="shared" si="130"/>
        <v>300</v>
      </c>
      <c r="AA135" s="203">
        <v>3.53</v>
      </c>
      <c r="AB135" s="203">
        <f t="shared" ca="1" si="131"/>
        <v>-0.17000000000000037</v>
      </c>
      <c r="AC135" s="238">
        <v>46038</v>
      </c>
      <c r="AI135" s="367">
        <f t="shared" ca="1" si="138"/>
        <v>46092</v>
      </c>
      <c r="AJ135" s="367" t="b">
        <f t="shared" si="132"/>
        <v>0</v>
      </c>
      <c r="AK135" s="370">
        <f t="shared" ca="1" si="133"/>
        <v>-54</v>
      </c>
      <c r="AN135">
        <f t="shared" si="134"/>
        <v>3</v>
      </c>
      <c r="AO135">
        <f t="shared" si="135"/>
        <v>2026</v>
      </c>
      <c r="AV135">
        <f t="shared" si="136"/>
        <v>1</v>
      </c>
      <c r="AW135">
        <f t="shared" si="137"/>
        <v>2026</v>
      </c>
    </row>
    <row r="136" spans="4:49" ht="15.75" x14ac:dyDescent="0.25">
      <c r="D136" s="199" t="s">
        <v>483</v>
      </c>
      <c r="E136" s="200" t="s">
        <v>103</v>
      </c>
      <c r="F136" s="287">
        <v>6300</v>
      </c>
      <c r="G136" s="201" t="s">
        <v>6</v>
      </c>
      <c r="H136" s="219">
        <v>9.07</v>
      </c>
      <c r="I136" s="202">
        <v>45951</v>
      </c>
      <c r="J136" s="200" t="s">
        <v>14</v>
      </c>
      <c r="K136" s="200"/>
      <c r="L136" s="203">
        <v>0.1</v>
      </c>
      <c r="M136" s="204">
        <f ca="1">IF(ISERROR(OFFSET(Tabella!$A$1,MATCH(J136,Tabella!$A:$A,0)-1,MATCH(L136,Tabella!$A$1:$AC$1,0)-1)=TRUE),0,+OFFSET(Tabella!$A$1,MATCH(J136,Tabella!$A:$A,0)-1,MATCH(L136,Tabella!$A$1:$AC$1,0)-1))</f>
        <v>0</v>
      </c>
      <c r="N136" s="205">
        <f ca="1">IF(ISERROR(OFFSET(Ottone!$A$1,MATCH(J136,Ottone!$A:$A,0)-1,MATCH(L136,Ottone!$A$1:$Z$1,0)-1)=TRUE),0,OFFSET(Ottone!$A$1,MATCH(J136,Ottone!$A:$A,0)-1,MATCH(L136,Ottone!$A$1:$Z$1,0)-1))*IF(G136="Ottone",1,0)</f>
        <v>0</v>
      </c>
      <c r="O136" s="205">
        <f ca="1">IF(ISERROR(OFFSET(Rame!$A$1,MATCH(J136,Rame!$A:$A,0)-1,MATCH(L136,Rame!$A$1:$AA$1,0)-1)=TRUE),0,OFFSET(Rame!$A$1,MATCH(J136,Rame!$A:$A,0)-1,MATCH(L136,Rame!$A$1:$AA$1,0)-1))*IF(G136="Rame",1,0)</f>
        <v>0.95</v>
      </c>
      <c r="P136" s="205">
        <v>0</v>
      </c>
      <c r="Q136" s="205">
        <f t="shared" ca="1" si="127"/>
        <v>0.95</v>
      </c>
      <c r="R136" s="205">
        <f ca="1">+IF(ISERROR(OFFSET(Tabella!$G$1,MATCH(J136,Tabella!$G:$G,0)-1,MATCH(K136,Tabella!$G$1:$FG$1,0)-1)=TRUE),0,OFFSET(Tabella!$G$1,MATCH(J136,Tabella!$G:$G,0)-1,MATCH(K136,Tabella!$G$1:$AB$1,0)-1))</f>
        <v>0</v>
      </c>
      <c r="S136" s="205">
        <f ca="1">IF(ISERROR(OFFSET(Ottone!$F$1,MATCH(J136,Ottone!$A:$A,0)-1,MATCH(K136,Ottone!$F$1:$FF$1,0)-1)=TRUE),0,OFFSET(Ottone!$F$1,MATCH(J136,Ottone!$A:$A,0)-1,MATCH(K136,Ottone!$F$1:$FF$1,0)-1))*IF(G136="Ottone",1,0)</f>
        <v>0</v>
      </c>
      <c r="T136" s="205">
        <f ca="1">IF(ISERROR(OFFSET(Rame!$F$1,MATCH(J136,Rame!$F:$F,0)-1,MATCH(K136,Rame!$F$1:$FF$1,0)-1)=TRUE),0,OFFSET(Rame!$F$1,MATCH(J136,Rame!$F:$F,0)-1,MATCH(K136,Rame!$F$1:$FF$1,0)-1))*IF(G136="Rame",1,0)</f>
        <v>0</v>
      </c>
      <c r="U136" s="205">
        <f ca="1">IF(ISERROR(OFFSET(Bronzo!$A$1,MATCH(J136,Bronzo!$A:$A,0)-1,MATCH(K136,Bronzo!$A$1:$AA$1,0)-1)=TRUE),0,OFFSET(Bronzo!$A$1,MATCH(J136,Bronzo!$A:$A,0)-1,MATCH(K136,Bronzo!$A$1:$AA$1,0)-1))</f>
        <v>0</v>
      </c>
      <c r="V136" s="205">
        <f t="shared" ca="1" si="128"/>
        <v>0</v>
      </c>
      <c r="W136" s="204"/>
      <c r="X136" s="205">
        <v>0</v>
      </c>
      <c r="Y136" s="206">
        <f t="shared" ca="1" si="129"/>
        <v>0.95</v>
      </c>
      <c r="Z136" s="277">
        <f t="shared" si="130"/>
        <v>630</v>
      </c>
      <c r="AA136" s="203">
        <v>12.3</v>
      </c>
      <c r="AB136" s="203">
        <f t="shared" ca="1" si="131"/>
        <v>2.2800000000000011</v>
      </c>
      <c r="AC136" s="238">
        <v>45982</v>
      </c>
      <c r="AI136" s="367">
        <f t="shared" ca="1" si="138"/>
        <v>46092</v>
      </c>
      <c r="AJ136" s="367" t="b">
        <f t="shared" si="132"/>
        <v>0</v>
      </c>
      <c r="AK136" s="370">
        <f t="shared" ca="1" si="133"/>
        <v>-110</v>
      </c>
      <c r="AN136">
        <f t="shared" si="134"/>
        <v>47</v>
      </c>
      <c r="AO136">
        <f t="shared" si="135"/>
        <v>2025</v>
      </c>
      <c r="AV136">
        <f t="shared" si="136"/>
        <v>11</v>
      </c>
      <c r="AW136">
        <f t="shared" si="137"/>
        <v>2025</v>
      </c>
    </row>
    <row r="137" spans="4:49" ht="15.75" x14ac:dyDescent="0.25">
      <c r="D137" s="199" t="s">
        <v>490</v>
      </c>
      <c r="E137" s="375" t="s">
        <v>399</v>
      </c>
      <c r="F137" s="376">
        <v>21400</v>
      </c>
      <c r="G137" s="201" t="s">
        <v>4</v>
      </c>
      <c r="H137" s="219">
        <v>2.37</v>
      </c>
      <c r="I137" s="202">
        <v>45951</v>
      </c>
      <c r="J137" s="200" t="s">
        <v>21</v>
      </c>
      <c r="K137" s="200"/>
      <c r="L137" s="203">
        <v>7.0000000000000007E-2</v>
      </c>
      <c r="M137" s="204">
        <f ca="1">IF(ISERROR(OFFSET(Tabella!$A$1,MATCH(J137,Tabella!$A:$A,0)-1,MATCH(L137,Tabella!$A$1:$AC$1,0)-1)=TRUE),0,+OFFSET(Tabella!$A$1,MATCH(J137,Tabella!$A:$A,0)-1,MATCH(L137,Tabella!$A$1:$AC$1,0)-1))</f>
        <v>1.25</v>
      </c>
      <c r="N137" s="205">
        <f ca="1">IF(ISERROR(OFFSET(Ottone!$A$1,MATCH(J137,Ottone!$A:$A,0)-1,MATCH(L137,Ottone!$A$1:$Z$1,0)-1)=TRUE),0,OFFSET(Ottone!$A$1,MATCH(J137,Ottone!$A:$A,0)-1,MATCH(L137,Ottone!$A$1:$Z$1,0)-1))*IF(G137="Ottone",1,0)</f>
        <v>0</v>
      </c>
      <c r="O137" s="205">
        <f ca="1">IF(ISERROR(OFFSET(Rame!$A$1,MATCH(J137,Rame!$A:$A,0)-1,MATCH(L137,Rame!$A$1:$AA$1,0)-1)=TRUE),0,OFFSET(Rame!$A$1,MATCH(J137,Rame!$A:$A,0)-1,MATCH(L137,Rame!$A$1:$AA$1,0)-1))*IF(G137="Rame",1,0)</f>
        <v>0</v>
      </c>
      <c r="P137" s="205">
        <v>0</v>
      </c>
      <c r="Q137" s="205">
        <f t="shared" ca="1" si="127"/>
        <v>1.25</v>
      </c>
      <c r="R137" s="205">
        <f ca="1">+IF(ISERROR(OFFSET(Tabella!$G$1,MATCH(J137,Tabella!$G:$G,0)-1,MATCH(K137,Tabella!$G$1:$FG$1,0)-1)=TRUE),0,OFFSET(Tabella!$G$1,MATCH(J137,Tabella!$G:$G,0)-1,MATCH(K137,Tabella!$G$1:$AB$1,0)-1))</f>
        <v>0</v>
      </c>
      <c r="S137" s="205">
        <f ca="1">IF(ISERROR(OFFSET(Ottone!$F$1,MATCH(J137,Ottone!$A:$A,0)-1,MATCH(K137,Ottone!$F$1:$FF$1,0)-1)=TRUE),0,OFFSET(Ottone!$F$1,MATCH(J137,Ottone!$A:$A,0)-1,MATCH(K137,Ottone!$F$1:$FF$1,0)-1))*IF(G137="Ottone",1,0)</f>
        <v>0</v>
      </c>
      <c r="T137" s="205">
        <f ca="1">IF(ISERROR(OFFSET(Rame!$F$1,MATCH(J137,Rame!$F:$F,0)-1,MATCH(K137,Rame!$F$1:$FF$1,0)-1)=TRUE),0,OFFSET(Rame!$F$1,MATCH(J137,Rame!$F:$F,0)-1,MATCH(K137,Rame!$F$1:$FF$1,0)-1))*IF(G137="Rame",1,0)</f>
        <v>0</v>
      </c>
      <c r="U137" s="205">
        <f ca="1">IF(ISERROR(OFFSET(Bronzo!$A$1,MATCH(J137,Bronzo!$A:$A,0)-1,MATCH(K137,Bronzo!$A$1:$AA$1,0)-1)=TRUE),0,OFFSET(Bronzo!$A$1,MATCH(J137,Bronzo!$A:$A,0)-1,MATCH(K137,Bronzo!$A$1:$AA$1,0)-1))</f>
        <v>0</v>
      </c>
      <c r="V137" s="205">
        <f t="shared" ca="1" si="128"/>
        <v>0</v>
      </c>
      <c r="W137" s="204"/>
      <c r="X137" s="205">
        <v>0</v>
      </c>
      <c r="Y137" s="206">
        <f t="shared" ca="1" si="129"/>
        <v>1.25</v>
      </c>
      <c r="Z137" s="377">
        <f t="shared" si="130"/>
        <v>1498.0000000000002</v>
      </c>
      <c r="AA137" s="203">
        <v>3.85</v>
      </c>
      <c r="AB137" s="203">
        <f t="shared" ca="1" si="131"/>
        <v>0.22999999999999998</v>
      </c>
      <c r="AC137" s="238">
        <v>46081</v>
      </c>
      <c r="AI137" s="367">
        <f t="shared" ca="1" si="138"/>
        <v>46092</v>
      </c>
      <c r="AJ137" s="367" t="b">
        <f t="shared" si="132"/>
        <v>0</v>
      </c>
      <c r="AK137" s="370">
        <f t="shared" ca="1" si="133"/>
        <v>-11</v>
      </c>
      <c r="AN137">
        <f t="shared" si="134"/>
        <v>9</v>
      </c>
      <c r="AO137">
        <f t="shared" si="135"/>
        <v>2026</v>
      </c>
      <c r="AV137">
        <f t="shared" si="136"/>
        <v>2</v>
      </c>
      <c r="AW137">
        <f t="shared" si="137"/>
        <v>2026</v>
      </c>
    </row>
    <row r="138" spans="4:49" ht="15.75" x14ac:dyDescent="0.25">
      <c r="D138" s="199" t="s">
        <v>501</v>
      </c>
      <c r="E138" s="378" t="s">
        <v>399</v>
      </c>
      <c r="F138" s="379">
        <v>886</v>
      </c>
      <c r="G138" s="201" t="s">
        <v>4</v>
      </c>
      <c r="H138" s="219">
        <v>2.23</v>
      </c>
      <c r="I138" s="202">
        <v>45869</v>
      </c>
      <c r="J138" s="200" t="s">
        <v>9</v>
      </c>
      <c r="K138" s="200"/>
      <c r="L138" s="203">
        <v>7.0000000000000007E-2</v>
      </c>
      <c r="M138" s="204">
        <f ca="1">IF(ISERROR(OFFSET(Tabella!$A$1,MATCH(J138,Tabella!$A:$A,0)-1,MATCH(L138,Tabella!$A$1:$AC$1,0)-1)=TRUE),0,+OFFSET(Tabella!$A$1,MATCH(J138,Tabella!$A:$A,0)-1,MATCH(L138,Tabella!$A$1:$AC$1,0)-1))</f>
        <v>1.6</v>
      </c>
      <c r="N138" s="205">
        <f ca="1">IF(ISERROR(OFFSET(Ottone!$A$1,MATCH(J138,Ottone!$A:$A,0)-1,MATCH(L138,Ottone!$A$1:$Z$1,0)-1)=TRUE),0,OFFSET(Ottone!$A$1,MATCH(J138,Ottone!$A:$A,0)-1,MATCH(L138,Ottone!$A$1:$Z$1,0)-1))*IF(G138="Ottone",1,0)</f>
        <v>0</v>
      </c>
      <c r="O138" s="205">
        <f ca="1">IF(ISERROR(OFFSET(Rame!$A$1,MATCH(J138,Rame!$A:$A,0)-1,MATCH(L138,Rame!$A$1:$AA$1,0)-1)=TRUE),0,OFFSET(Rame!$A$1,MATCH(J138,Rame!$A:$A,0)-1,MATCH(L138,Rame!$A$1:$AA$1,0)-1))*IF(G138="Rame",1,0)</f>
        <v>0</v>
      </c>
      <c r="P138" s="205">
        <v>0</v>
      </c>
      <c r="Q138" s="205">
        <f t="shared" ca="1" si="127"/>
        <v>1.6</v>
      </c>
      <c r="R138" s="205">
        <f ca="1">+IF(ISERROR(OFFSET(Tabella!$G$1,MATCH(J138,Tabella!$G:$G,0)-1,MATCH(K138,Tabella!$G$1:$FG$1,0)-1)=TRUE),0,OFFSET(Tabella!$G$1,MATCH(J138,Tabella!$G:$G,0)-1,MATCH(K138,Tabella!$G$1:$AB$1,0)-1))</f>
        <v>0</v>
      </c>
      <c r="S138" s="205">
        <f ca="1">IF(ISERROR(OFFSET(Ottone!$F$1,MATCH(J138,Ottone!$A:$A,0)-1,MATCH(K138,Ottone!$F$1:$FF$1,0)-1)=TRUE),0,OFFSET(Ottone!$F$1,MATCH(J138,Ottone!$A:$A,0)-1,MATCH(K138,Ottone!$F$1:$FF$1,0)-1))*IF(G138="Ottone",1,0)</f>
        <v>0</v>
      </c>
      <c r="T138" s="205">
        <f ca="1">IF(ISERROR(OFFSET(Rame!$F$1,MATCH(J138,Rame!$F:$F,0)-1,MATCH(K138,Rame!$F$1:$FF$1,0)-1)=TRUE),0,OFFSET(Rame!$F$1,MATCH(J138,Rame!$F:$F,0)-1,MATCH(K138,Rame!$F$1:$FF$1,0)-1))*IF(G138="Rame",1,0)</f>
        <v>0</v>
      </c>
      <c r="U138" s="205">
        <f ca="1">IF(ISERROR(OFFSET(Bronzo!$A$1,MATCH(J138,Bronzo!$A:$A,0)-1,MATCH(K138,Bronzo!$A$1:$AA$1,0)-1)=TRUE),0,OFFSET(Bronzo!$A$1,MATCH(J138,Bronzo!$A:$A,0)-1,MATCH(K138,Bronzo!$A$1:$AA$1,0)-1))</f>
        <v>0</v>
      </c>
      <c r="V138" s="205">
        <f t="shared" ca="1" si="128"/>
        <v>0</v>
      </c>
      <c r="W138" s="204"/>
      <c r="X138" s="205">
        <v>0</v>
      </c>
      <c r="Y138" s="206">
        <f t="shared" ca="1" si="129"/>
        <v>1.6</v>
      </c>
      <c r="Z138" s="380">
        <f t="shared" si="130"/>
        <v>62.02</v>
      </c>
      <c r="AA138" s="203">
        <v>3.97</v>
      </c>
      <c r="AB138" s="203">
        <f t="shared" ca="1" si="131"/>
        <v>0.14000000000000012</v>
      </c>
      <c r="AC138" s="238"/>
      <c r="AG138" t="s">
        <v>404</v>
      </c>
      <c r="AI138" s="367">
        <f t="shared" ca="1" si="138"/>
        <v>46092</v>
      </c>
      <c r="AJ138" s="367" t="b">
        <f t="shared" si="132"/>
        <v>1</v>
      </c>
      <c r="AK138" s="370" t="str">
        <f t="shared" si="133"/>
        <v/>
      </c>
      <c r="AN138">
        <f t="shared" si="134"/>
        <v>0</v>
      </c>
      <c r="AO138">
        <f t="shared" si="135"/>
        <v>1900</v>
      </c>
      <c r="AV138">
        <f t="shared" si="136"/>
        <v>0</v>
      </c>
      <c r="AW138">
        <f t="shared" si="137"/>
        <v>0</v>
      </c>
    </row>
    <row r="139" spans="4:49" ht="15.75" x14ac:dyDescent="0.25">
      <c r="D139" s="199" t="s">
        <v>501</v>
      </c>
      <c r="E139" s="378" t="s">
        <v>399</v>
      </c>
      <c r="F139" s="379">
        <v>1533</v>
      </c>
      <c r="G139" s="201" t="s">
        <v>4</v>
      </c>
      <c r="H139" s="219">
        <v>2.23</v>
      </c>
      <c r="I139" s="202">
        <v>45869</v>
      </c>
      <c r="J139" s="200" t="s">
        <v>9</v>
      </c>
      <c r="K139" s="200"/>
      <c r="L139" s="203">
        <v>7.0000000000000007E-2</v>
      </c>
      <c r="M139" s="204">
        <f ca="1">IF(ISERROR(OFFSET(Tabella!$A$1,MATCH(J139,Tabella!$A:$A,0)-1,MATCH(L139,Tabella!$A$1:$AC$1,0)-1)=TRUE),0,+OFFSET(Tabella!$A$1,MATCH(J139,Tabella!$A:$A,0)-1,MATCH(L139,Tabella!$A$1:$AC$1,0)-1))</f>
        <v>1.6</v>
      </c>
      <c r="N139" s="205">
        <f ca="1">IF(ISERROR(OFFSET(Ottone!$A$1,MATCH(J139,Ottone!$A:$A,0)-1,MATCH(L139,Ottone!$A$1:$Z$1,0)-1)=TRUE),0,OFFSET(Ottone!$A$1,MATCH(J139,Ottone!$A:$A,0)-1,MATCH(L139,Ottone!$A$1:$Z$1,0)-1))*IF(G139="Ottone",1,0)</f>
        <v>0</v>
      </c>
      <c r="O139" s="205">
        <f ca="1">IF(ISERROR(OFFSET(Rame!$A$1,MATCH(J139,Rame!$A:$A,0)-1,MATCH(L139,Rame!$A$1:$AA$1,0)-1)=TRUE),0,OFFSET(Rame!$A$1,MATCH(J139,Rame!$A:$A,0)-1,MATCH(L139,Rame!$A$1:$AA$1,0)-1))*IF(G139="Rame",1,0)</f>
        <v>0</v>
      </c>
      <c r="P139" s="205">
        <v>0</v>
      </c>
      <c r="Q139" s="205">
        <f t="shared" ca="1" si="127"/>
        <v>1.6</v>
      </c>
      <c r="R139" s="205">
        <f ca="1">+IF(ISERROR(OFFSET(Tabella!$G$1,MATCH(J139,Tabella!$G:$G,0)-1,MATCH(K139,Tabella!$G$1:$FG$1,0)-1)=TRUE),0,OFFSET(Tabella!$G$1,MATCH(J139,Tabella!$G:$G,0)-1,MATCH(K139,Tabella!$G$1:$AB$1,0)-1))</f>
        <v>0</v>
      </c>
      <c r="S139" s="205">
        <f ca="1">IF(ISERROR(OFFSET(Ottone!$F$1,MATCH(J139,Ottone!$A:$A,0)-1,MATCH(K139,Ottone!$F$1:$FF$1,0)-1)=TRUE),0,OFFSET(Ottone!$F$1,MATCH(J139,Ottone!$A:$A,0)-1,MATCH(K139,Ottone!$F$1:$FF$1,0)-1))*IF(G139="Ottone",1,0)</f>
        <v>0</v>
      </c>
      <c r="T139" s="205">
        <f ca="1">IF(ISERROR(OFFSET(Rame!$F$1,MATCH(J139,Rame!$F:$F,0)-1,MATCH(K139,Rame!$F$1:$FF$1,0)-1)=TRUE),0,OFFSET(Rame!$F$1,MATCH(J139,Rame!$F:$F,0)-1,MATCH(K139,Rame!$F$1:$FF$1,0)-1))*IF(G139="Rame",1,0)</f>
        <v>0</v>
      </c>
      <c r="U139" s="205">
        <f ca="1">IF(ISERROR(OFFSET(Bronzo!$A$1,MATCH(J139,Bronzo!$A:$A,0)-1,MATCH(K139,Bronzo!$A$1:$AA$1,0)-1)=TRUE),0,OFFSET(Bronzo!$A$1,MATCH(J139,Bronzo!$A:$A,0)-1,MATCH(K139,Bronzo!$A$1:$AA$1,0)-1))</f>
        <v>0</v>
      </c>
      <c r="V139" s="205">
        <f t="shared" ca="1" si="128"/>
        <v>0</v>
      </c>
      <c r="W139" s="204"/>
      <c r="X139" s="205">
        <v>0</v>
      </c>
      <c r="Y139" s="206">
        <f t="shared" ca="1" si="129"/>
        <v>1.6</v>
      </c>
      <c r="Z139" s="380">
        <f t="shared" si="130"/>
        <v>107.31000000000002</v>
      </c>
      <c r="AA139" s="203">
        <v>3.97</v>
      </c>
      <c r="AB139" s="203">
        <f t="shared" ca="1" si="131"/>
        <v>0.14000000000000012</v>
      </c>
      <c r="AC139" s="238"/>
      <c r="AG139" t="s">
        <v>404</v>
      </c>
      <c r="AI139" s="367">
        <f t="shared" ca="1" si="138"/>
        <v>46092</v>
      </c>
      <c r="AJ139" s="367" t="b">
        <f t="shared" si="132"/>
        <v>1</v>
      </c>
      <c r="AK139" s="370" t="str">
        <f t="shared" si="133"/>
        <v/>
      </c>
      <c r="AN139">
        <f t="shared" si="134"/>
        <v>0</v>
      </c>
      <c r="AO139">
        <f t="shared" si="135"/>
        <v>1900</v>
      </c>
      <c r="AV139">
        <f t="shared" si="136"/>
        <v>0</v>
      </c>
      <c r="AW139">
        <f t="shared" si="137"/>
        <v>0</v>
      </c>
    </row>
    <row r="140" spans="4:49" ht="15.75" x14ac:dyDescent="0.25">
      <c r="D140" s="199" t="s">
        <v>502</v>
      </c>
      <c r="E140" s="378" t="s">
        <v>399</v>
      </c>
      <c r="F140" s="379">
        <v>3482</v>
      </c>
      <c r="G140" s="201" t="s">
        <v>4</v>
      </c>
      <c r="H140" s="219">
        <v>2.23</v>
      </c>
      <c r="I140" s="202">
        <v>45869</v>
      </c>
      <c r="J140" s="200" t="s">
        <v>21</v>
      </c>
      <c r="K140" s="200"/>
      <c r="L140" s="203">
        <v>7.0000000000000007E-2</v>
      </c>
      <c r="M140" s="204">
        <f ca="1">IF(ISERROR(OFFSET(Tabella!$A$1,MATCH(J140,Tabella!$A:$A,0)-1,MATCH(L140,Tabella!$A$1:$AC$1,0)-1)=TRUE),0,+OFFSET(Tabella!$A$1,MATCH(J140,Tabella!$A:$A,0)-1,MATCH(L140,Tabella!$A$1:$AC$1,0)-1))</f>
        <v>1.25</v>
      </c>
      <c r="N140" s="205">
        <f ca="1">IF(ISERROR(OFFSET(Ottone!$A$1,MATCH(J140,Ottone!$A:$A,0)-1,MATCH(L140,Ottone!$A$1:$Z$1,0)-1)=TRUE),0,OFFSET(Ottone!$A$1,MATCH(J140,Ottone!$A:$A,0)-1,MATCH(L140,Ottone!$A$1:$Z$1,0)-1))*IF(G140="Ottone",1,0)</f>
        <v>0</v>
      </c>
      <c r="O140" s="205">
        <f ca="1">IF(ISERROR(OFFSET(Rame!$A$1,MATCH(J140,Rame!$A:$A,0)-1,MATCH(L140,Rame!$A$1:$AA$1,0)-1)=TRUE),0,OFFSET(Rame!$A$1,MATCH(J140,Rame!$A:$A,0)-1,MATCH(L140,Rame!$A$1:$AA$1,0)-1))*IF(G140="Rame",1,0)</f>
        <v>0</v>
      </c>
      <c r="P140" s="205">
        <v>0</v>
      </c>
      <c r="Q140" s="205">
        <f t="shared" ca="1" si="127"/>
        <v>1.25</v>
      </c>
      <c r="R140" s="205">
        <f ca="1">+IF(ISERROR(OFFSET(Tabella!$G$1,MATCH(J140,Tabella!$G:$G,0)-1,MATCH(K140,Tabella!$G$1:$FG$1,0)-1)=TRUE),0,OFFSET(Tabella!$G$1,MATCH(J140,Tabella!$G:$G,0)-1,MATCH(K140,Tabella!$G$1:$AB$1,0)-1))</f>
        <v>0</v>
      </c>
      <c r="S140" s="205">
        <f ca="1">IF(ISERROR(OFFSET(Ottone!$F$1,MATCH(J140,Ottone!$A:$A,0)-1,MATCH(K140,Ottone!$F$1:$FF$1,0)-1)=TRUE),0,OFFSET(Ottone!$F$1,MATCH(J140,Ottone!$A:$A,0)-1,MATCH(K140,Ottone!$F$1:$FF$1,0)-1))*IF(G140="Ottone",1,0)</f>
        <v>0</v>
      </c>
      <c r="T140" s="205">
        <f ca="1">IF(ISERROR(OFFSET(Rame!$F$1,MATCH(J140,Rame!$F:$F,0)-1,MATCH(K140,Rame!$F$1:$FF$1,0)-1)=TRUE),0,OFFSET(Rame!$F$1,MATCH(J140,Rame!$F:$F,0)-1,MATCH(K140,Rame!$F$1:$FF$1,0)-1))*IF(G140="Rame",1,0)</f>
        <v>0</v>
      </c>
      <c r="U140" s="205">
        <f ca="1">IF(ISERROR(OFFSET(Bronzo!$A$1,MATCH(J140,Bronzo!$A:$A,0)-1,MATCH(K140,Bronzo!$A$1:$AA$1,0)-1)=TRUE),0,OFFSET(Bronzo!$A$1,MATCH(J140,Bronzo!$A:$A,0)-1,MATCH(K140,Bronzo!$A$1:$AA$1,0)-1))</f>
        <v>0</v>
      </c>
      <c r="V140" s="205">
        <f t="shared" ca="1" si="128"/>
        <v>0</v>
      </c>
      <c r="W140" s="204"/>
      <c r="X140" s="205">
        <v>0</v>
      </c>
      <c r="Y140" s="206">
        <f t="shared" ca="1" si="129"/>
        <v>1.25</v>
      </c>
      <c r="Z140" s="380">
        <f t="shared" si="130"/>
        <v>243.74</v>
      </c>
      <c r="AA140" s="203">
        <v>3.72</v>
      </c>
      <c r="AB140" s="203">
        <f t="shared" ca="1" si="131"/>
        <v>0.24000000000000021</v>
      </c>
      <c r="AC140" s="238"/>
      <c r="AG140" t="s">
        <v>404</v>
      </c>
      <c r="AI140" s="367">
        <f t="shared" ca="1" si="138"/>
        <v>46092</v>
      </c>
      <c r="AJ140" s="367" t="b">
        <f t="shared" si="132"/>
        <v>1</v>
      </c>
      <c r="AK140" s="370" t="str">
        <f t="shared" si="133"/>
        <v/>
      </c>
      <c r="AN140">
        <f t="shared" si="134"/>
        <v>0</v>
      </c>
      <c r="AO140">
        <f t="shared" si="135"/>
        <v>1900</v>
      </c>
      <c r="AV140">
        <f t="shared" si="136"/>
        <v>0</v>
      </c>
      <c r="AW140">
        <f t="shared" si="137"/>
        <v>0</v>
      </c>
    </row>
    <row r="141" spans="4:49" ht="15.75" x14ac:dyDescent="0.25">
      <c r="D141" s="199" t="s">
        <v>502</v>
      </c>
      <c r="E141" s="378" t="s">
        <v>399</v>
      </c>
      <c r="F141" s="379">
        <v>324</v>
      </c>
      <c r="G141" s="201" t="s">
        <v>4</v>
      </c>
      <c r="H141" s="219">
        <v>2.23</v>
      </c>
      <c r="I141" s="202">
        <v>45869</v>
      </c>
      <c r="J141" s="200" t="s">
        <v>308</v>
      </c>
      <c r="K141" s="200"/>
      <c r="L141" s="203">
        <v>7.0000000000000007E-2</v>
      </c>
      <c r="M141" s="204">
        <f ca="1">IF(ISERROR(OFFSET(Tabella!$A$1,MATCH(J141,Tabella!$A:$A,0)-1,MATCH(L141,Tabella!$A$1:$AC$1,0)-1)=TRUE),0,+OFFSET(Tabella!$A$1,MATCH(J141,Tabella!$A:$A,0)-1,MATCH(L141,Tabella!$A$1:$AC$1,0)-1))</f>
        <v>1.25</v>
      </c>
      <c r="N141" s="205">
        <f ca="1">IF(ISERROR(OFFSET(Ottone!$A$1,MATCH(J141,Ottone!$A:$A,0)-1,MATCH(L141,Ottone!$A$1:$Z$1,0)-1)=TRUE),0,OFFSET(Ottone!$A$1,MATCH(J141,Ottone!$A:$A,0)-1,MATCH(L141,Ottone!$A$1:$Z$1,0)-1))*IF(G141="Ottone",1,0)</f>
        <v>0</v>
      </c>
      <c r="O141" s="205">
        <f ca="1">IF(ISERROR(OFFSET(Rame!$A$1,MATCH(J141,Rame!$A:$A,0)-1,MATCH(L141,Rame!$A$1:$AA$1,0)-1)=TRUE),0,OFFSET(Rame!$A$1,MATCH(J141,Rame!$A:$A,0)-1,MATCH(L141,Rame!$A$1:$AA$1,0)-1))*IF(G141="Rame",1,0)</f>
        <v>0</v>
      </c>
      <c r="P141" s="205">
        <v>0</v>
      </c>
      <c r="Q141" s="205">
        <f t="shared" ref="Q141:Q202" ca="1" si="139">SUM(M141:P141)</f>
        <v>1.25</v>
      </c>
      <c r="R141" s="205">
        <f ca="1">+IF(ISERROR(OFFSET(Tabella!$G$1,MATCH(J141,Tabella!$G:$G,0)-1,MATCH(K141,Tabella!$G$1:$FG$1,0)-1)=TRUE),0,OFFSET(Tabella!$G$1,MATCH(J141,Tabella!$G:$G,0)-1,MATCH(K141,Tabella!$G$1:$AB$1,0)-1))</f>
        <v>0</v>
      </c>
      <c r="S141" s="205">
        <f ca="1">IF(ISERROR(OFFSET(Ottone!$F$1,MATCH(J141,Ottone!$A:$A,0)-1,MATCH(K141,Ottone!$F$1:$FF$1,0)-1)=TRUE),0,OFFSET(Ottone!$F$1,MATCH(J141,Ottone!$A:$A,0)-1,MATCH(K141,Ottone!$F$1:$FF$1,0)-1))*IF(G141="Ottone",1,0)</f>
        <v>0</v>
      </c>
      <c r="T141" s="205">
        <f ca="1">IF(ISERROR(OFFSET(Rame!$F$1,MATCH(J141,Rame!$F:$F,0)-1,MATCH(K141,Rame!$F$1:$FF$1,0)-1)=TRUE),0,OFFSET(Rame!$F$1,MATCH(J141,Rame!$F:$F,0)-1,MATCH(K141,Rame!$F$1:$FF$1,0)-1))*IF(G141="Rame",1,0)</f>
        <v>0</v>
      </c>
      <c r="U141" s="205">
        <f ca="1">IF(ISERROR(OFFSET(Bronzo!$A$1,MATCH(J141,Bronzo!$A:$A,0)-1,MATCH(K141,Bronzo!$A$1:$AA$1,0)-1)=TRUE),0,OFFSET(Bronzo!$A$1,MATCH(J141,Bronzo!$A:$A,0)-1,MATCH(K141,Bronzo!$A$1:$AA$1,0)-1))</f>
        <v>0</v>
      </c>
      <c r="V141" s="205">
        <f t="shared" ref="V141:V204" ca="1" si="140">SUM(R141:U141)</f>
        <v>0</v>
      </c>
      <c r="W141" s="204"/>
      <c r="X141" s="205">
        <v>0</v>
      </c>
      <c r="Y141" s="206">
        <f t="shared" ref="Y141:Y204" ca="1" si="141">+Q141+V141+W141+X141</f>
        <v>1.25</v>
      </c>
      <c r="Z141" s="380">
        <f t="shared" ref="Z141:Z204" si="142">+L141*F141</f>
        <v>22.680000000000003</v>
      </c>
      <c r="AA141" s="203">
        <v>3.72</v>
      </c>
      <c r="AB141" s="203">
        <f t="shared" ref="AB141:AB204" ca="1" si="143">+AA141-Y141-H141</f>
        <v>0.24000000000000021</v>
      </c>
      <c r="AC141" s="238"/>
      <c r="AG141" t="s">
        <v>404</v>
      </c>
      <c r="AI141" s="367">
        <f t="shared" ca="1" si="138"/>
        <v>46092</v>
      </c>
      <c r="AJ141" s="367" t="b">
        <f t="shared" si="132"/>
        <v>1</v>
      </c>
      <c r="AK141" s="370" t="str">
        <f t="shared" si="133"/>
        <v/>
      </c>
      <c r="AN141">
        <f t="shared" si="134"/>
        <v>0</v>
      </c>
      <c r="AO141">
        <f t="shared" si="135"/>
        <v>1900</v>
      </c>
      <c r="AV141">
        <f t="shared" si="136"/>
        <v>0</v>
      </c>
      <c r="AW141">
        <f t="shared" si="137"/>
        <v>0</v>
      </c>
    </row>
    <row r="142" spans="4:49" ht="15.75" x14ac:dyDescent="0.25">
      <c r="D142" s="199" t="s">
        <v>535</v>
      </c>
      <c r="E142" s="378" t="s">
        <v>399</v>
      </c>
      <c r="F142" s="379">
        <v>908</v>
      </c>
      <c r="G142" s="201" t="s">
        <v>4</v>
      </c>
      <c r="H142" s="219">
        <v>2.23</v>
      </c>
      <c r="I142" s="202">
        <v>45869</v>
      </c>
      <c r="J142" s="200" t="s">
        <v>24</v>
      </c>
      <c r="K142" s="200"/>
      <c r="L142" s="203">
        <v>7.0000000000000007E-2</v>
      </c>
      <c r="M142" s="204">
        <f ca="1">IF(ISERROR(OFFSET(Tabella!$A$1,MATCH(J142,Tabella!$A:$A,0)-1,MATCH(L142,Tabella!$A$1:$AC$1,0)-1)=TRUE),0,+OFFSET(Tabella!$A$1,MATCH(J142,Tabella!$A:$A,0)-1,MATCH(L142,Tabella!$A$1:$AC$1,0)-1))</f>
        <v>1.25</v>
      </c>
      <c r="N142" s="205">
        <f ca="1">IF(ISERROR(OFFSET(Ottone!$A$1,MATCH(J142,Ottone!$A:$A,0)-1,MATCH(L142,Ottone!$A$1:$Z$1,0)-1)=TRUE),0,OFFSET(Ottone!$A$1,MATCH(J142,Ottone!$A:$A,0)-1,MATCH(L142,Ottone!$A$1:$Z$1,0)-1))*IF(G142="Ottone",1,0)</f>
        <v>0</v>
      </c>
      <c r="O142" s="205">
        <f ca="1">IF(ISERROR(OFFSET(Rame!$A$1,MATCH(J142,Rame!$A:$A,0)-1,MATCH(L142,Rame!$A$1:$AA$1,0)-1)=TRUE),0,OFFSET(Rame!$A$1,MATCH(J142,Rame!$A:$A,0)-1,MATCH(L142,Rame!$A$1:$AA$1,0)-1))*IF(G142="Rame",1,0)</f>
        <v>0</v>
      </c>
      <c r="P142" s="205">
        <v>0</v>
      </c>
      <c r="Q142" s="205">
        <f t="shared" ca="1" si="139"/>
        <v>1.25</v>
      </c>
      <c r="R142" s="205">
        <f ca="1">+IF(ISERROR(OFFSET(Tabella!$G$1,MATCH(J142,Tabella!$G:$G,0)-1,MATCH(K142,Tabella!$G$1:$FG$1,0)-1)=TRUE),0,OFFSET(Tabella!$G$1,MATCH(J142,Tabella!$G:$G,0)-1,MATCH(K142,Tabella!$G$1:$AB$1,0)-1))</f>
        <v>0</v>
      </c>
      <c r="S142" s="205">
        <f ca="1">IF(ISERROR(OFFSET(Ottone!$F$1,MATCH(J142,Ottone!$A:$A,0)-1,MATCH(K142,Ottone!$F$1:$FF$1,0)-1)=TRUE),0,OFFSET(Ottone!$F$1,MATCH(J142,Ottone!$A:$A,0)-1,MATCH(K142,Ottone!$F$1:$FF$1,0)-1))*IF(G142="Ottone",1,0)</f>
        <v>0</v>
      </c>
      <c r="T142" s="205">
        <f ca="1">IF(ISERROR(OFFSET(Rame!$F$1,MATCH(J142,Rame!$F:$F,0)-1,MATCH(K142,Rame!$F$1:$FF$1,0)-1)=TRUE),0,OFFSET(Rame!$F$1,MATCH(J142,Rame!$F:$F,0)-1,MATCH(K142,Rame!$F$1:$FF$1,0)-1))*IF(G142="Rame",1,0)</f>
        <v>0</v>
      </c>
      <c r="U142" s="205">
        <f ca="1">IF(ISERROR(OFFSET(Bronzo!$A$1,MATCH(J142,Bronzo!$A:$A,0)-1,MATCH(K142,Bronzo!$A$1:$AA$1,0)-1)=TRUE),0,OFFSET(Bronzo!$A$1,MATCH(J142,Bronzo!$A:$A,0)-1,MATCH(K142,Bronzo!$A$1:$AA$1,0)-1))</f>
        <v>0</v>
      </c>
      <c r="V142" s="205">
        <f t="shared" ca="1" si="140"/>
        <v>0</v>
      </c>
      <c r="W142" s="204"/>
      <c r="X142" s="205">
        <v>0</v>
      </c>
      <c r="Y142" s="206">
        <f t="shared" ca="1" si="141"/>
        <v>1.25</v>
      </c>
      <c r="Z142" s="380">
        <f t="shared" si="142"/>
        <v>63.560000000000009</v>
      </c>
      <c r="AA142" s="203">
        <v>3.72</v>
      </c>
      <c r="AB142" s="203">
        <f t="shared" ca="1" si="143"/>
        <v>0.24000000000000021</v>
      </c>
      <c r="AC142" s="238"/>
      <c r="AG142" t="s">
        <v>404</v>
      </c>
      <c r="AI142" s="367">
        <f t="shared" ca="1" si="138"/>
        <v>46092</v>
      </c>
      <c r="AJ142" s="367" t="b">
        <f t="shared" si="132"/>
        <v>1</v>
      </c>
      <c r="AK142" s="370" t="str">
        <f t="shared" si="133"/>
        <v/>
      </c>
      <c r="AN142">
        <f t="shared" si="134"/>
        <v>0</v>
      </c>
      <c r="AO142">
        <f t="shared" si="135"/>
        <v>1900</v>
      </c>
      <c r="AV142">
        <f t="shared" si="136"/>
        <v>0</v>
      </c>
      <c r="AW142">
        <f t="shared" si="137"/>
        <v>0</v>
      </c>
    </row>
    <row r="143" spans="4:49" ht="15.75" x14ac:dyDescent="0.25">
      <c r="D143" s="199" t="s">
        <v>535</v>
      </c>
      <c r="E143" s="378" t="s">
        <v>399</v>
      </c>
      <c r="F143" s="379">
        <v>937</v>
      </c>
      <c r="G143" s="201" t="s">
        <v>4</v>
      </c>
      <c r="H143" s="219">
        <v>2.23</v>
      </c>
      <c r="I143" s="202">
        <v>45869</v>
      </c>
      <c r="J143" s="200" t="s">
        <v>27</v>
      </c>
      <c r="K143" s="200"/>
      <c r="L143" s="203">
        <v>7.0000000000000007E-2</v>
      </c>
      <c r="M143" s="204">
        <f ca="1">IF(ISERROR(OFFSET(Tabella!$A$1,MATCH(J143,Tabella!$A:$A,0)-1,MATCH(L143,Tabella!$A$1:$AC$1,0)-1)=TRUE),0,+OFFSET(Tabella!$A$1,MATCH(J143,Tabella!$A:$A,0)-1,MATCH(L143,Tabella!$A$1:$AC$1,0)-1))</f>
        <v>1.25</v>
      </c>
      <c r="N143" s="205">
        <f ca="1">IF(ISERROR(OFFSET(Ottone!$A$1,MATCH(J143,Ottone!$A:$A,0)-1,MATCH(L143,Ottone!$A$1:$Z$1,0)-1)=TRUE),0,OFFSET(Ottone!$A$1,MATCH(J143,Ottone!$A:$A,0)-1,MATCH(L143,Ottone!$A$1:$Z$1,0)-1))*IF(G143="Ottone",1,0)</f>
        <v>0</v>
      </c>
      <c r="O143" s="205">
        <f ca="1">IF(ISERROR(OFFSET(Rame!$A$1,MATCH(J143,Rame!$A:$A,0)-1,MATCH(L143,Rame!$A$1:$AA$1,0)-1)=TRUE),0,OFFSET(Rame!$A$1,MATCH(J143,Rame!$A:$A,0)-1,MATCH(L143,Rame!$A$1:$AA$1,0)-1))*IF(G143="Rame",1,0)</f>
        <v>0</v>
      </c>
      <c r="P143" s="205">
        <v>0</v>
      </c>
      <c r="Q143" s="205">
        <f t="shared" ca="1" si="139"/>
        <v>1.25</v>
      </c>
      <c r="R143" s="205">
        <f ca="1">+IF(ISERROR(OFFSET(Tabella!$G$1,MATCH(J143,Tabella!$G:$G,0)-1,MATCH(K143,Tabella!$G$1:$FG$1,0)-1)=TRUE),0,OFFSET(Tabella!$G$1,MATCH(J143,Tabella!$G:$G,0)-1,MATCH(K143,Tabella!$G$1:$AB$1,0)-1))</f>
        <v>0</v>
      </c>
      <c r="S143" s="205">
        <f ca="1">IF(ISERROR(OFFSET(Ottone!$F$1,MATCH(J143,Ottone!$A:$A,0)-1,MATCH(K143,Ottone!$F$1:$FF$1,0)-1)=TRUE),0,OFFSET(Ottone!$F$1,MATCH(J143,Ottone!$A:$A,0)-1,MATCH(K143,Ottone!$F$1:$FF$1,0)-1))*IF(G143="Ottone",1,0)</f>
        <v>0</v>
      </c>
      <c r="T143" s="205">
        <f ca="1">IF(ISERROR(OFFSET(Rame!$F$1,MATCH(J143,Rame!$F:$F,0)-1,MATCH(K143,Rame!$F$1:$FF$1,0)-1)=TRUE),0,OFFSET(Rame!$F$1,MATCH(J143,Rame!$F:$F,0)-1,MATCH(K143,Rame!$F$1:$FF$1,0)-1))*IF(G143="Rame",1,0)</f>
        <v>0</v>
      </c>
      <c r="U143" s="205">
        <f ca="1">IF(ISERROR(OFFSET(Bronzo!$A$1,MATCH(J143,Bronzo!$A:$A,0)-1,MATCH(K143,Bronzo!$A$1:$AA$1,0)-1)=TRUE),0,OFFSET(Bronzo!$A$1,MATCH(J143,Bronzo!$A:$A,0)-1,MATCH(K143,Bronzo!$A$1:$AA$1,0)-1))</f>
        <v>0</v>
      </c>
      <c r="V143" s="205">
        <f t="shared" ca="1" si="140"/>
        <v>0</v>
      </c>
      <c r="W143" s="204"/>
      <c r="X143" s="205">
        <v>0</v>
      </c>
      <c r="Y143" s="206">
        <f t="shared" ca="1" si="141"/>
        <v>1.25</v>
      </c>
      <c r="Z143" s="380">
        <f t="shared" si="142"/>
        <v>65.59</v>
      </c>
      <c r="AA143" s="203">
        <v>3.72</v>
      </c>
      <c r="AB143" s="203">
        <f t="shared" ca="1" si="143"/>
        <v>0.24000000000000021</v>
      </c>
      <c r="AC143" s="238"/>
      <c r="AG143" t="s">
        <v>404</v>
      </c>
      <c r="AI143" s="367">
        <f t="shared" ca="1" si="138"/>
        <v>46092</v>
      </c>
      <c r="AJ143" s="367" t="b">
        <f t="shared" si="132"/>
        <v>1</v>
      </c>
      <c r="AK143" s="370" t="str">
        <f t="shared" si="133"/>
        <v/>
      </c>
      <c r="AN143">
        <f t="shared" si="134"/>
        <v>0</v>
      </c>
      <c r="AO143">
        <f t="shared" si="135"/>
        <v>1900</v>
      </c>
      <c r="AV143">
        <f t="shared" si="136"/>
        <v>0</v>
      </c>
      <c r="AW143">
        <f t="shared" si="137"/>
        <v>0</v>
      </c>
    </row>
    <row r="144" spans="4:49" ht="15.75" x14ac:dyDescent="0.25">
      <c r="D144" s="199" t="s">
        <v>535</v>
      </c>
      <c r="E144" s="378" t="s">
        <v>399</v>
      </c>
      <c r="F144" s="379">
        <v>942</v>
      </c>
      <c r="G144" s="201" t="s">
        <v>4</v>
      </c>
      <c r="H144" s="219">
        <v>2.23</v>
      </c>
      <c r="I144" s="202">
        <v>45869</v>
      </c>
      <c r="J144" s="200" t="s">
        <v>309</v>
      </c>
      <c r="K144" s="200"/>
      <c r="L144" s="203">
        <v>7.0000000000000007E-2</v>
      </c>
      <c r="M144" s="204">
        <f ca="1">IF(ISERROR(OFFSET(Tabella!$A$1,MATCH(J144,Tabella!$A:$A,0)-1,MATCH(L144,Tabella!$A$1:$AC$1,0)-1)=TRUE),0,+OFFSET(Tabella!$A$1,MATCH(J144,Tabella!$A:$A,0)-1,MATCH(L144,Tabella!$A$1:$AC$1,0)-1))</f>
        <v>1.25</v>
      </c>
      <c r="N144" s="205">
        <f ca="1">IF(ISERROR(OFFSET(Ottone!$A$1,MATCH(J144,Ottone!$A:$A,0)-1,MATCH(L144,Ottone!$A$1:$Z$1,0)-1)=TRUE),0,OFFSET(Ottone!$A$1,MATCH(J144,Ottone!$A:$A,0)-1,MATCH(L144,Ottone!$A$1:$Z$1,0)-1))*IF(G144="Ottone",1,0)</f>
        <v>0</v>
      </c>
      <c r="O144" s="205">
        <f ca="1">IF(ISERROR(OFFSET(Rame!$A$1,MATCH(J144,Rame!$A:$A,0)-1,MATCH(L144,Rame!$A$1:$AA$1,0)-1)=TRUE),0,OFFSET(Rame!$A$1,MATCH(J144,Rame!$A:$A,0)-1,MATCH(L144,Rame!$A$1:$AA$1,0)-1))*IF(G144="Rame",1,0)</f>
        <v>0</v>
      </c>
      <c r="P144" s="205">
        <v>0</v>
      </c>
      <c r="Q144" s="205">
        <f t="shared" ca="1" si="139"/>
        <v>1.25</v>
      </c>
      <c r="R144" s="205">
        <f ca="1">+IF(ISERROR(OFFSET(Tabella!$G$1,MATCH(J144,Tabella!$G:$G,0)-1,MATCH(K144,Tabella!$G$1:$FG$1,0)-1)=TRUE),0,OFFSET(Tabella!$G$1,MATCH(J144,Tabella!$G:$G,0)-1,MATCH(K144,Tabella!$G$1:$AB$1,0)-1))</f>
        <v>0</v>
      </c>
      <c r="S144" s="205">
        <f ca="1">IF(ISERROR(OFFSET(Ottone!$F$1,MATCH(J144,Ottone!$A:$A,0)-1,MATCH(K144,Ottone!$F$1:$FF$1,0)-1)=TRUE),0,OFFSET(Ottone!$F$1,MATCH(J144,Ottone!$A:$A,0)-1,MATCH(K144,Ottone!$F$1:$FF$1,0)-1))*IF(G144="Ottone",1,0)</f>
        <v>0</v>
      </c>
      <c r="T144" s="205">
        <f ca="1">IF(ISERROR(OFFSET(Rame!$F$1,MATCH(J144,Rame!$F:$F,0)-1,MATCH(K144,Rame!$F$1:$FF$1,0)-1)=TRUE),0,OFFSET(Rame!$F$1,MATCH(J144,Rame!$F:$F,0)-1,MATCH(K144,Rame!$F$1:$FF$1,0)-1))*IF(G144="Rame",1,0)</f>
        <v>0</v>
      </c>
      <c r="U144" s="205">
        <f ca="1">IF(ISERROR(OFFSET(Bronzo!$A$1,MATCH(J144,Bronzo!$A:$A,0)-1,MATCH(K144,Bronzo!$A$1:$AA$1,0)-1)=TRUE),0,OFFSET(Bronzo!$A$1,MATCH(J144,Bronzo!$A:$A,0)-1,MATCH(K144,Bronzo!$A$1:$AA$1,0)-1))</f>
        <v>0</v>
      </c>
      <c r="V144" s="205">
        <f t="shared" ca="1" si="140"/>
        <v>0</v>
      </c>
      <c r="W144" s="204"/>
      <c r="X144" s="205">
        <v>0</v>
      </c>
      <c r="Y144" s="206">
        <f t="shared" ca="1" si="141"/>
        <v>1.25</v>
      </c>
      <c r="Z144" s="380">
        <f t="shared" si="142"/>
        <v>65.940000000000012</v>
      </c>
      <c r="AA144" s="203">
        <v>3.72</v>
      </c>
      <c r="AB144" s="203">
        <f t="shared" ca="1" si="143"/>
        <v>0.24000000000000021</v>
      </c>
      <c r="AC144" s="238"/>
      <c r="AG144" t="s">
        <v>404</v>
      </c>
      <c r="AI144" s="367">
        <f t="shared" ca="1" si="138"/>
        <v>46092</v>
      </c>
      <c r="AJ144" s="367" t="b">
        <f t="shared" si="132"/>
        <v>1</v>
      </c>
      <c r="AK144" s="370" t="str">
        <f t="shared" si="133"/>
        <v/>
      </c>
      <c r="AN144">
        <f t="shared" si="134"/>
        <v>0</v>
      </c>
      <c r="AO144">
        <f t="shared" si="135"/>
        <v>1900</v>
      </c>
      <c r="AV144">
        <f t="shared" si="136"/>
        <v>0</v>
      </c>
      <c r="AW144">
        <f t="shared" si="137"/>
        <v>0</v>
      </c>
    </row>
    <row r="145" spans="4:49" ht="15.75" x14ac:dyDescent="0.25">
      <c r="D145" s="199" t="s">
        <v>535</v>
      </c>
      <c r="E145" s="378" t="s">
        <v>399</v>
      </c>
      <c r="F145" s="379">
        <v>952</v>
      </c>
      <c r="G145" s="201" t="s">
        <v>4</v>
      </c>
      <c r="H145" s="219">
        <v>2.23</v>
      </c>
      <c r="I145" s="202">
        <v>45869</v>
      </c>
      <c r="J145" s="200" t="s">
        <v>326</v>
      </c>
      <c r="K145" s="200"/>
      <c r="L145" s="203">
        <v>7.0000000000000007E-2</v>
      </c>
      <c r="M145" s="204">
        <f ca="1">IF(ISERROR(OFFSET(Tabella!$A$1,MATCH(J145,Tabella!$A:$A,0)-1,MATCH(L145,Tabella!$A$1:$AC$1,0)-1)=TRUE),0,+OFFSET(Tabella!$A$1,MATCH(J145,Tabella!$A:$A,0)-1,MATCH(L145,Tabella!$A$1:$AC$1,0)-1))</f>
        <v>1.25</v>
      </c>
      <c r="N145" s="205">
        <f ca="1">IF(ISERROR(OFFSET(Ottone!$A$1,MATCH(J145,Ottone!$A:$A,0)-1,MATCH(L145,Ottone!$A$1:$Z$1,0)-1)=TRUE),0,OFFSET(Ottone!$A$1,MATCH(J145,Ottone!$A:$A,0)-1,MATCH(L145,Ottone!$A$1:$Z$1,0)-1))*IF(G145="Ottone",1,0)</f>
        <v>0</v>
      </c>
      <c r="O145" s="205">
        <f ca="1">IF(ISERROR(OFFSET(Rame!$A$1,MATCH(J145,Rame!$A:$A,0)-1,MATCH(L145,Rame!$A$1:$AA$1,0)-1)=TRUE),0,OFFSET(Rame!$A$1,MATCH(J145,Rame!$A:$A,0)-1,MATCH(L145,Rame!$A$1:$AA$1,0)-1))*IF(G145="Rame",1,0)</f>
        <v>0</v>
      </c>
      <c r="P145" s="205">
        <v>0</v>
      </c>
      <c r="Q145" s="205">
        <f t="shared" ca="1" si="139"/>
        <v>1.25</v>
      </c>
      <c r="R145" s="205">
        <f ca="1">+IF(ISERROR(OFFSET(Tabella!$G$1,MATCH(J145,Tabella!$G:$G,0)-1,MATCH(K145,Tabella!$G$1:$FG$1,0)-1)=TRUE),0,OFFSET(Tabella!$G$1,MATCH(J145,Tabella!$G:$G,0)-1,MATCH(K145,Tabella!$G$1:$AB$1,0)-1))</f>
        <v>0</v>
      </c>
      <c r="S145" s="205">
        <f ca="1">IF(ISERROR(OFFSET(Ottone!$F$1,MATCH(J145,Ottone!$A:$A,0)-1,MATCH(K145,Ottone!$F$1:$FF$1,0)-1)=TRUE),0,OFFSET(Ottone!$F$1,MATCH(J145,Ottone!$A:$A,0)-1,MATCH(K145,Ottone!$F$1:$FF$1,0)-1))*IF(G145="Ottone",1,0)</f>
        <v>0</v>
      </c>
      <c r="T145" s="205">
        <f ca="1">IF(ISERROR(OFFSET(Rame!$F$1,MATCH(J145,Rame!$F:$F,0)-1,MATCH(K145,Rame!$F$1:$FF$1,0)-1)=TRUE),0,OFFSET(Rame!$F$1,MATCH(J145,Rame!$F:$F,0)-1,MATCH(K145,Rame!$F$1:$FF$1,0)-1))*IF(G145="Rame",1,0)</f>
        <v>0</v>
      </c>
      <c r="U145" s="205">
        <f ca="1">IF(ISERROR(OFFSET(Bronzo!$A$1,MATCH(J145,Bronzo!$A:$A,0)-1,MATCH(K145,Bronzo!$A$1:$AA$1,0)-1)=TRUE),0,OFFSET(Bronzo!$A$1,MATCH(J145,Bronzo!$A:$A,0)-1,MATCH(K145,Bronzo!$A$1:$AA$1,0)-1))</f>
        <v>0</v>
      </c>
      <c r="V145" s="205">
        <f t="shared" ca="1" si="140"/>
        <v>0</v>
      </c>
      <c r="W145" s="204"/>
      <c r="X145" s="205">
        <v>0</v>
      </c>
      <c r="Y145" s="206">
        <f t="shared" ca="1" si="141"/>
        <v>1.25</v>
      </c>
      <c r="Z145" s="380">
        <f t="shared" si="142"/>
        <v>66.64</v>
      </c>
      <c r="AA145" s="203">
        <v>3.72</v>
      </c>
      <c r="AB145" s="203">
        <f t="shared" ca="1" si="143"/>
        <v>0.24000000000000021</v>
      </c>
      <c r="AC145" s="238"/>
      <c r="AG145" t="s">
        <v>404</v>
      </c>
      <c r="AI145" s="367">
        <f t="shared" ca="1" si="138"/>
        <v>46092</v>
      </c>
      <c r="AJ145" s="367" t="b">
        <f t="shared" si="132"/>
        <v>1</v>
      </c>
      <c r="AK145" s="370" t="str">
        <f t="shared" si="133"/>
        <v/>
      </c>
      <c r="AN145">
        <f t="shared" si="134"/>
        <v>0</v>
      </c>
      <c r="AO145">
        <f t="shared" si="135"/>
        <v>1900</v>
      </c>
      <c r="AV145">
        <f t="shared" si="136"/>
        <v>0</v>
      </c>
      <c r="AW145">
        <f t="shared" si="137"/>
        <v>0</v>
      </c>
    </row>
    <row r="146" spans="4:49" ht="15.75" x14ac:dyDescent="0.25">
      <c r="D146" s="199" t="s">
        <v>536</v>
      </c>
      <c r="E146" s="378" t="s">
        <v>399</v>
      </c>
      <c r="F146" s="379">
        <v>1899</v>
      </c>
      <c r="G146" s="201" t="s">
        <v>4</v>
      </c>
      <c r="H146" s="219">
        <v>2.23</v>
      </c>
      <c r="I146" s="202">
        <v>45869</v>
      </c>
      <c r="J146" s="200" t="s">
        <v>25</v>
      </c>
      <c r="K146" s="200"/>
      <c r="L146" s="203">
        <v>7.0000000000000007E-2</v>
      </c>
      <c r="M146" s="204">
        <f ca="1">IF(ISERROR(OFFSET(Tabella!$A$1,MATCH(J146,Tabella!$A:$A,0)-1,MATCH(L146,Tabella!$A$1:$AC$1,0)-1)=TRUE),0,+OFFSET(Tabella!$A$1,MATCH(J146,Tabella!$A:$A,0)-1,MATCH(L146,Tabella!$A$1:$AC$1,0)-1))</f>
        <v>1.25</v>
      </c>
      <c r="N146" s="205">
        <f ca="1">IF(ISERROR(OFFSET(Ottone!$A$1,MATCH(J146,Ottone!$A:$A,0)-1,MATCH(L146,Ottone!$A$1:$Z$1,0)-1)=TRUE),0,OFFSET(Ottone!$A$1,MATCH(J146,Ottone!$A:$A,0)-1,MATCH(L146,Ottone!$A$1:$Z$1,0)-1))*IF(G146="Ottone",1,0)</f>
        <v>0</v>
      </c>
      <c r="O146" s="205">
        <f ca="1">IF(ISERROR(OFFSET(Rame!$A$1,MATCH(J146,Rame!$A:$A,0)-1,MATCH(L146,Rame!$A$1:$AA$1,0)-1)=TRUE),0,OFFSET(Rame!$A$1,MATCH(J146,Rame!$A:$A,0)-1,MATCH(L146,Rame!$A$1:$AA$1,0)-1))*IF(G146="Rame",1,0)</f>
        <v>0</v>
      </c>
      <c r="P146" s="205">
        <v>0</v>
      </c>
      <c r="Q146" s="205">
        <f t="shared" ca="1" si="139"/>
        <v>1.25</v>
      </c>
      <c r="R146" s="205">
        <f ca="1">+IF(ISERROR(OFFSET(Tabella!$G$1,MATCH(J146,Tabella!$G:$G,0)-1,MATCH(K146,Tabella!$G$1:$FG$1,0)-1)=TRUE),0,OFFSET(Tabella!$G$1,MATCH(J146,Tabella!$G:$G,0)-1,MATCH(K146,Tabella!$G$1:$AB$1,0)-1))</f>
        <v>0</v>
      </c>
      <c r="S146" s="205">
        <f ca="1">IF(ISERROR(OFFSET(Ottone!$F$1,MATCH(J146,Ottone!$A:$A,0)-1,MATCH(K146,Ottone!$F$1:$FF$1,0)-1)=TRUE),0,OFFSET(Ottone!$F$1,MATCH(J146,Ottone!$A:$A,0)-1,MATCH(K146,Ottone!$F$1:$FF$1,0)-1))*IF(G146="Ottone",1,0)</f>
        <v>0</v>
      </c>
      <c r="T146" s="205">
        <f ca="1">IF(ISERROR(OFFSET(Rame!$F$1,MATCH(J146,Rame!$F:$F,0)-1,MATCH(K146,Rame!$F$1:$FF$1,0)-1)=TRUE),0,OFFSET(Rame!$F$1,MATCH(J146,Rame!$F:$F,0)-1,MATCH(K146,Rame!$F$1:$FF$1,0)-1))*IF(G146="Rame",1,0)</f>
        <v>0</v>
      </c>
      <c r="U146" s="205">
        <f ca="1">IF(ISERROR(OFFSET(Bronzo!$A$1,MATCH(J146,Bronzo!$A:$A,0)-1,MATCH(K146,Bronzo!$A$1:$AA$1,0)-1)=TRUE),0,OFFSET(Bronzo!$A$1,MATCH(J146,Bronzo!$A:$A,0)-1,MATCH(K146,Bronzo!$A$1:$AA$1,0)-1))</f>
        <v>0</v>
      </c>
      <c r="V146" s="205">
        <f t="shared" ca="1" si="140"/>
        <v>0</v>
      </c>
      <c r="W146" s="204"/>
      <c r="X146" s="205">
        <v>0</v>
      </c>
      <c r="Y146" s="206">
        <f t="shared" ca="1" si="141"/>
        <v>1.25</v>
      </c>
      <c r="Z146" s="380">
        <f t="shared" si="142"/>
        <v>132.93</v>
      </c>
      <c r="AA146" s="203">
        <v>3.72</v>
      </c>
      <c r="AB146" s="203">
        <f t="shared" ca="1" si="143"/>
        <v>0.24000000000000021</v>
      </c>
      <c r="AC146" s="238"/>
      <c r="AG146" t="s">
        <v>404</v>
      </c>
      <c r="AI146" s="367">
        <f t="shared" ca="1" si="138"/>
        <v>46092</v>
      </c>
      <c r="AJ146" s="367" t="b">
        <f t="shared" si="132"/>
        <v>1</v>
      </c>
      <c r="AK146" s="370" t="str">
        <f t="shared" si="133"/>
        <v/>
      </c>
      <c r="AN146">
        <f t="shared" si="134"/>
        <v>0</v>
      </c>
      <c r="AO146">
        <f t="shared" si="135"/>
        <v>1900</v>
      </c>
      <c r="AV146">
        <f t="shared" si="136"/>
        <v>0</v>
      </c>
      <c r="AW146">
        <f t="shared" si="137"/>
        <v>0</v>
      </c>
    </row>
    <row r="147" spans="4:49" ht="15.75" x14ac:dyDescent="0.25">
      <c r="D147" s="199" t="s">
        <v>536</v>
      </c>
      <c r="E147" s="378" t="s">
        <v>399</v>
      </c>
      <c r="F147" s="379">
        <v>926</v>
      </c>
      <c r="G147" s="201" t="s">
        <v>4</v>
      </c>
      <c r="H147" s="219">
        <v>2.23</v>
      </c>
      <c r="I147" s="202">
        <v>45869</v>
      </c>
      <c r="J147" s="200" t="s">
        <v>309</v>
      </c>
      <c r="K147" s="200"/>
      <c r="L147" s="203">
        <v>7.0000000000000007E-2</v>
      </c>
      <c r="M147" s="204">
        <f ca="1">IF(ISERROR(OFFSET(Tabella!$A$1,MATCH(J147,Tabella!$A:$A,0)-1,MATCH(L147,Tabella!$A$1:$AC$1,0)-1)=TRUE),0,+OFFSET(Tabella!$A$1,MATCH(J147,Tabella!$A:$A,0)-1,MATCH(L147,Tabella!$A$1:$AC$1,0)-1))</f>
        <v>1.25</v>
      </c>
      <c r="N147" s="205">
        <f ca="1">IF(ISERROR(OFFSET(Ottone!$A$1,MATCH(J147,Ottone!$A:$A,0)-1,MATCH(L147,Ottone!$A$1:$Z$1,0)-1)=TRUE),0,OFFSET(Ottone!$A$1,MATCH(J147,Ottone!$A:$A,0)-1,MATCH(L147,Ottone!$A$1:$Z$1,0)-1))*IF(G147="Ottone",1,0)</f>
        <v>0</v>
      </c>
      <c r="O147" s="205">
        <f ca="1">IF(ISERROR(OFFSET(Rame!$A$1,MATCH(J147,Rame!$A:$A,0)-1,MATCH(L147,Rame!$A$1:$AA$1,0)-1)=TRUE),0,OFFSET(Rame!$A$1,MATCH(J147,Rame!$A:$A,0)-1,MATCH(L147,Rame!$A$1:$AA$1,0)-1))*IF(G147="Rame",1,0)</f>
        <v>0</v>
      </c>
      <c r="P147" s="205">
        <v>0</v>
      </c>
      <c r="Q147" s="205">
        <f t="shared" ca="1" si="139"/>
        <v>1.25</v>
      </c>
      <c r="R147" s="205">
        <f ca="1">+IF(ISERROR(OFFSET(Tabella!$G$1,MATCH(J147,Tabella!$G:$G,0)-1,MATCH(K147,Tabella!$G$1:$FG$1,0)-1)=TRUE),0,OFFSET(Tabella!$G$1,MATCH(J147,Tabella!$G:$G,0)-1,MATCH(K147,Tabella!$G$1:$AB$1,0)-1))</f>
        <v>0</v>
      </c>
      <c r="S147" s="205">
        <f ca="1">IF(ISERROR(OFFSET(Ottone!$F$1,MATCH(J147,Ottone!$A:$A,0)-1,MATCH(K147,Ottone!$F$1:$FF$1,0)-1)=TRUE),0,OFFSET(Ottone!$F$1,MATCH(J147,Ottone!$A:$A,0)-1,MATCH(K147,Ottone!$F$1:$FF$1,0)-1))*IF(G147="Ottone",1,0)</f>
        <v>0</v>
      </c>
      <c r="T147" s="205">
        <f ca="1">IF(ISERROR(OFFSET(Rame!$F$1,MATCH(J147,Rame!$F:$F,0)-1,MATCH(K147,Rame!$F$1:$FF$1,0)-1)=TRUE),0,OFFSET(Rame!$F$1,MATCH(J147,Rame!$F:$F,0)-1,MATCH(K147,Rame!$F$1:$FF$1,0)-1))*IF(G147="Rame",1,0)</f>
        <v>0</v>
      </c>
      <c r="U147" s="205">
        <f ca="1">IF(ISERROR(OFFSET(Bronzo!$A$1,MATCH(J147,Bronzo!$A:$A,0)-1,MATCH(K147,Bronzo!$A$1:$AA$1,0)-1)=TRUE),0,OFFSET(Bronzo!$A$1,MATCH(J147,Bronzo!$A:$A,0)-1,MATCH(K147,Bronzo!$A$1:$AA$1,0)-1))</f>
        <v>0</v>
      </c>
      <c r="V147" s="205">
        <f t="shared" ca="1" si="140"/>
        <v>0</v>
      </c>
      <c r="W147" s="204"/>
      <c r="X147" s="205">
        <v>0</v>
      </c>
      <c r="Y147" s="206">
        <f t="shared" ca="1" si="141"/>
        <v>1.25</v>
      </c>
      <c r="Z147" s="380">
        <f t="shared" si="142"/>
        <v>64.820000000000007</v>
      </c>
      <c r="AA147" s="203">
        <v>3.72</v>
      </c>
      <c r="AB147" s="203">
        <f t="shared" ca="1" si="143"/>
        <v>0.24000000000000021</v>
      </c>
      <c r="AC147" s="238"/>
      <c r="AG147" t="s">
        <v>404</v>
      </c>
      <c r="AI147" s="367">
        <f t="shared" ca="1" si="138"/>
        <v>46092</v>
      </c>
      <c r="AJ147" s="367" t="b">
        <f t="shared" si="132"/>
        <v>1</v>
      </c>
      <c r="AK147" s="370" t="str">
        <f t="shared" si="133"/>
        <v/>
      </c>
      <c r="AN147">
        <f t="shared" si="134"/>
        <v>0</v>
      </c>
      <c r="AO147">
        <f t="shared" si="135"/>
        <v>1900</v>
      </c>
      <c r="AV147">
        <f t="shared" si="136"/>
        <v>0</v>
      </c>
      <c r="AW147">
        <f t="shared" si="137"/>
        <v>0</v>
      </c>
    </row>
    <row r="148" spans="4:49" ht="15.75" x14ac:dyDescent="0.25">
      <c r="D148" s="199" t="s">
        <v>536</v>
      </c>
      <c r="E148" s="378" t="s">
        <v>399</v>
      </c>
      <c r="F148" s="379">
        <v>965</v>
      </c>
      <c r="G148" s="201" t="s">
        <v>4</v>
      </c>
      <c r="H148" s="219">
        <v>2.23</v>
      </c>
      <c r="I148" s="202">
        <v>45869</v>
      </c>
      <c r="J148" s="200" t="s">
        <v>28</v>
      </c>
      <c r="K148" s="200"/>
      <c r="L148" s="203">
        <v>7.0000000000000007E-2</v>
      </c>
      <c r="M148" s="204">
        <f ca="1">IF(ISERROR(OFFSET(Tabella!$A$1,MATCH(J148,Tabella!$A:$A,0)-1,MATCH(L148,Tabella!$A$1:$AC$1,0)-1)=TRUE),0,+OFFSET(Tabella!$A$1,MATCH(J148,Tabella!$A:$A,0)-1,MATCH(L148,Tabella!$A$1:$AC$1,0)-1))</f>
        <v>1.25</v>
      </c>
      <c r="N148" s="205">
        <f ca="1">IF(ISERROR(OFFSET(Ottone!$A$1,MATCH(J148,Ottone!$A:$A,0)-1,MATCH(L148,Ottone!$A$1:$Z$1,0)-1)=TRUE),0,OFFSET(Ottone!$A$1,MATCH(J148,Ottone!$A:$A,0)-1,MATCH(L148,Ottone!$A$1:$Z$1,0)-1))*IF(G148="Ottone",1,0)</f>
        <v>0</v>
      </c>
      <c r="O148" s="205">
        <f ca="1">IF(ISERROR(OFFSET(Rame!$A$1,MATCH(J148,Rame!$A:$A,0)-1,MATCH(L148,Rame!$A$1:$AA$1,0)-1)=TRUE),0,OFFSET(Rame!$A$1,MATCH(J148,Rame!$A:$A,0)-1,MATCH(L148,Rame!$A$1:$AA$1,0)-1))*IF(G148="Rame",1,0)</f>
        <v>0</v>
      </c>
      <c r="P148" s="205">
        <v>0</v>
      </c>
      <c r="Q148" s="205">
        <f t="shared" ca="1" si="139"/>
        <v>1.25</v>
      </c>
      <c r="R148" s="205">
        <f ca="1">+IF(ISERROR(OFFSET(Tabella!$G$1,MATCH(J148,Tabella!$G:$G,0)-1,MATCH(K148,Tabella!$G$1:$FG$1,0)-1)=TRUE),0,OFFSET(Tabella!$G$1,MATCH(J148,Tabella!$G:$G,0)-1,MATCH(K148,Tabella!$G$1:$AB$1,0)-1))</f>
        <v>0</v>
      </c>
      <c r="S148" s="205">
        <f ca="1">IF(ISERROR(OFFSET(Ottone!$F$1,MATCH(J148,Ottone!$A:$A,0)-1,MATCH(K148,Ottone!$F$1:$FF$1,0)-1)=TRUE),0,OFFSET(Ottone!$F$1,MATCH(J148,Ottone!$A:$A,0)-1,MATCH(K148,Ottone!$F$1:$FF$1,0)-1))*IF(G148="Ottone",1,0)</f>
        <v>0</v>
      </c>
      <c r="T148" s="205">
        <f ca="1">IF(ISERROR(OFFSET(Rame!$F$1,MATCH(J148,Rame!$F:$F,0)-1,MATCH(K148,Rame!$F$1:$FF$1,0)-1)=TRUE),0,OFFSET(Rame!$F$1,MATCH(J148,Rame!$F:$F,0)-1,MATCH(K148,Rame!$F$1:$FF$1,0)-1))*IF(G148="Rame",1,0)</f>
        <v>0</v>
      </c>
      <c r="U148" s="205">
        <f ca="1">IF(ISERROR(OFFSET(Bronzo!$A$1,MATCH(J148,Bronzo!$A:$A,0)-1,MATCH(K148,Bronzo!$A$1:$AA$1,0)-1)=TRUE),0,OFFSET(Bronzo!$A$1,MATCH(J148,Bronzo!$A:$A,0)-1,MATCH(K148,Bronzo!$A$1:$AA$1,0)-1))</f>
        <v>0</v>
      </c>
      <c r="V148" s="205">
        <f t="shared" ca="1" si="140"/>
        <v>0</v>
      </c>
      <c r="W148" s="204"/>
      <c r="X148" s="205">
        <v>0</v>
      </c>
      <c r="Y148" s="206">
        <f t="shared" ca="1" si="141"/>
        <v>1.25</v>
      </c>
      <c r="Z148" s="380">
        <f t="shared" si="142"/>
        <v>67.550000000000011</v>
      </c>
      <c r="AA148" s="203">
        <v>3.72</v>
      </c>
      <c r="AB148" s="203">
        <f t="shared" ca="1" si="143"/>
        <v>0.24000000000000021</v>
      </c>
      <c r="AC148" s="238"/>
      <c r="AG148" t="s">
        <v>404</v>
      </c>
      <c r="AI148" s="367">
        <f t="shared" ca="1" si="138"/>
        <v>46092</v>
      </c>
      <c r="AJ148" s="367" t="b">
        <f t="shared" si="132"/>
        <v>1</v>
      </c>
      <c r="AK148" s="370" t="str">
        <f t="shared" si="133"/>
        <v/>
      </c>
      <c r="AN148">
        <f t="shared" si="134"/>
        <v>0</v>
      </c>
      <c r="AO148">
        <f t="shared" si="135"/>
        <v>1900</v>
      </c>
      <c r="AV148">
        <f t="shared" si="136"/>
        <v>0</v>
      </c>
      <c r="AW148">
        <f t="shared" si="137"/>
        <v>0</v>
      </c>
    </row>
    <row r="149" spans="4:49" ht="15.75" x14ac:dyDescent="0.25">
      <c r="D149" s="199" t="s">
        <v>503</v>
      </c>
      <c r="E149" s="378" t="s">
        <v>399</v>
      </c>
      <c r="F149" s="379">
        <v>2029</v>
      </c>
      <c r="G149" s="201" t="s">
        <v>4</v>
      </c>
      <c r="H149" s="219">
        <v>2.23</v>
      </c>
      <c r="I149" s="202">
        <v>45869</v>
      </c>
      <c r="J149" s="200" t="s">
        <v>17</v>
      </c>
      <c r="K149" s="200"/>
      <c r="L149" s="203">
        <v>7.0000000000000007E-2</v>
      </c>
      <c r="M149" s="204">
        <f ca="1">IF(ISERROR(OFFSET(Tabella!$A$1,MATCH(J149,Tabella!$A:$A,0)-1,MATCH(L149,Tabella!$A$1:$AC$1,0)-1)=TRUE),0,+OFFSET(Tabella!$A$1,MATCH(J149,Tabella!$A:$A,0)-1,MATCH(L149,Tabella!$A$1:$AC$1,0)-1))</f>
        <v>1.4</v>
      </c>
      <c r="N149" s="205">
        <f ca="1">IF(ISERROR(OFFSET(Ottone!$A$1,MATCH(J149,Ottone!$A:$A,0)-1,MATCH(L149,Ottone!$A$1:$Z$1,0)-1)=TRUE),0,OFFSET(Ottone!$A$1,MATCH(J149,Ottone!$A:$A,0)-1,MATCH(L149,Ottone!$A$1:$Z$1,0)-1))*IF(G149="Ottone",1,0)</f>
        <v>0</v>
      </c>
      <c r="O149" s="205">
        <f ca="1">IF(ISERROR(OFFSET(Rame!$A$1,MATCH(J149,Rame!$A:$A,0)-1,MATCH(L149,Rame!$A$1:$AA$1,0)-1)=TRUE),0,OFFSET(Rame!$A$1,MATCH(J149,Rame!$A:$A,0)-1,MATCH(L149,Rame!$A$1:$AA$1,0)-1))*IF(G149="Rame",1,0)</f>
        <v>0</v>
      </c>
      <c r="P149" s="205">
        <v>0</v>
      </c>
      <c r="Q149" s="205">
        <f t="shared" ca="1" si="139"/>
        <v>1.4</v>
      </c>
      <c r="R149" s="205">
        <f ca="1">+IF(ISERROR(OFFSET(Tabella!$G$1,MATCH(J149,Tabella!$G:$G,0)-1,MATCH(K149,Tabella!$G$1:$FG$1,0)-1)=TRUE),0,OFFSET(Tabella!$G$1,MATCH(J149,Tabella!$G:$G,0)-1,MATCH(K149,Tabella!$G$1:$AB$1,0)-1))</f>
        <v>0</v>
      </c>
      <c r="S149" s="205">
        <f ca="1">IF(ISERROR(OFFSET(Ottone!$F$1,MATCH(J149,Ottone!$A:$A,0)-1,MATCH(K149,Ottone!$F$1:$FF$1,0)-1)=TRUE),0,OFFSET(Ottone!$F$1,MATCH(J149,Ottone!$A:$A,0)-1,MATCH(K149,Ottone!$F$1:$FF$1,0)-1))*IF(G149="Ottone",1,0)</f>
        <v>0</v>
      </c>
      <c r="T149" s="205">
        <f ca="1">IF(ISERROR(OFFSET(Rame!$F$1,MATCH(J149,Rame!$F:$F,0)-1,MATCH(K149,Rame!$F$1:$FF$1,0)-1)=TRUE),0,OFFSET(Rame!$F$1,MATCH(J149,Rame!$F:$F,0)-1,MATCH(K149,Rame!$F$1:$FF$1,0)-1))*IF(G149="Rame",1,0)</f>
        <v>0</v>
      </c>
      <c r="U149" s="205">
        <f ca="1">IF(ISERROR(OFFSET(Bronzo!$A$1,MATCH(J149,Bronzo!$A:$A,0)-1,MATCH(K149,Bronzo!$A$1:$AA$1,0)-1)=TRUE),0,OFFSET(Bronzo!$A$1,MATCH(J149,Bronzo!$A:$A,0)-1,MATCH(K149,Bronzo!$A$1:$AA$1,0)-1))</f>
        <v>0</v>
      </c>
      <c r="V149" s="205">
        <f t="shared" ca="1" si="140"/>
        <v>0</v>
      </c>
      <c r="W149" s="204"/>
      <c r="X149" s="205">
        <v>0</v>
      </c>
      <c r="Y149" s="206">
        <f t="shared" ca="1" si="141"/>
        <v>1.4</v>
      </c>
      <c r="Z149" s="380">
        <f t="shared" si="142"/>
        <v>142.03</v>
      </c>
      <c r="AA149" s="203">
        <v>3.82</v>
      </c>
      <c r="AB149" s="203">
        <f t="shared" ca="1" si="143"/>
        <v>0.18999999999999995</v>
      </c>
      <c r="AC149" s="238"/>
      <c r="AG149" t="s">
        <v>404</v>
      </c>
      <c r="AI149" s="367">
        <f t="shared" ca="1" si="138"/>
        <v>46092</v>
      </c>
      <c r="AJ149" s="367" t="b">
        <f t="shared" si="132"/>
        <v>1</v>
      </c>
      <c r="AK149" s="370" t="str">
        <f t="shared" si="133"/>
        <v/>
      </c>
      <c r="AN149">
        <f t="shared" si="134"/>
        <v>0</v>
      </c>
      <c r="AO149">
        <f t="shared" si="135"/>
        <v>1900</v>
      </c>
      <c r="AV149">
        <f t="shared" si="136"/>
        <v>0</v>
      </c>
      <c r="AW149">
        <f t="shared" si="137"/>
        <v>0</v>
      </c>
    </row>
    <row r="150" spans="4:49" ht="15.75" x14ac:dyDescent="0.25">
      <c r="D150" s="199" t="s">
        <v>503</v>
      </c>
      <c r="E150" s="378" t="s">
        <v>399</v>
      </c>
      <c r="F150" s="379">
        <v>2702</v>
      </c>
      <c r="G150" s="201" t="s">
        <v>4</v>
      </c>
      <c r="H150" s="219">
        <v>2.23</v>
      </c>
      <c r="I150" s="202">
        <v>45869</v>
      </c>
      <c r="J150" s="200" t="s">
        <v>17</v>
      </c>
      <c r="K150" s="200"/>
      <c r="L150" s="203">
        <v>7.0000000000000007E-2</v>
      </c>
      <c r="M150" s="204">
        <f ca="1">IF(ISERROR(OFFSET(Tabella!$A$1,MATCH(J150,Tabella!$A:$A,0)-1,MATCH(L150,Tabella!$A$1:$AC$1,0)-1)=TRUE),0,+OFFSET(Tabella!$A$1,MATCH(J150,Tabella!$A:$A,0)-1,MATCH(L150,Tabella!$A$1:$AC$1,0)-1))</f>
        <v>1.4</v>
      </c>
      <c r="N150" s="205">
        <f ca="1">IF(ISERROR(OFFSET(Ottone!$A$1,MATCH(J150,Ottone!$A:$A,0)-1,MATCH(L150,Ottone!$A$1:$Z$1,0)-1)=TRUE),0,OFFSET(Ottone!$A$1,MATCH(J150,Ottone!$A:$A,0)-1,MATCH(L150,Ottone!$A$1:$Z$1,0)-1))*IF(G150="Ottone",1,0)</f>
        <v>0</v>
      </c>
      <c r="O150" s="205">
        <f ca="1">IF(ISERROR(OFFSET(Rame!$A$1,MATCH(J150,Rame!$A:$A,0)-1,MATCH(L150,Rame!$A$1:$AA$1,0)-1)=TRUE),0,OFFSET(Rame!$A$1,MATCH(J150,Rame!$A:$A,0)-1,MATCH(L150,Rame!$A$1:$AA$1,0)-1))*IF(G150="Rame",1,0)</f>
        <v>0</v>
      </c>
      <c r="P150" s="205">
        <v>0</v>
      </c>
      <c r="Q150" s="205">
        <f t="shared" ca="1" si="139"/>
        <v>1.4</v>
      </c>
      <c r="R150" s="205">
        <f ca="1">+IF(ISERROR(OFFSET(Tabella!$G$1,MATCH(J150,Tabella!$G:$G,0)-1,MATCH(K150,Tabella!$G$1:$FG$1,0)-1)=TRUE),0,OFFSET(Tabella!$G$1,MATCH(J150,Tabella!$G:$G,0)-1,MATCH(K150,Tabella!$G$1:$AB$1,0)-1))</f>
        <v>0</v>
      </c>
      <c r="S150" s="205">
        <f ca="1">IF(ISERROR(OFFSET(Ottone!$F$1,MATCH(J150,Ottone!$A:$A,0)-1,MATCH(K150,Ottone!$F$1:$FF$1,0)-1)=TRUE),0,OFFSET(Ottone!$F$1,MATCH(J150,Ottone!$A:$A,0)-1,MATCH(K150,Ottone!$F$1:$FF$1,0)-1))*IF(G150="Ottone",1,0)</f>
        <v>0</v>
      </c>
      <c r="T150" s="205">
        <f ca="1">IF(ISERROR(OFFSET(Rame!$F$1,MATCH(J150,Rame!$F:$F,0)-1,MATCH(K150,Rame!$F$1:$FF$1,0)-1)=TRUE),0,OFFSET(Rame!$F$1,MATCH(J150,Rame!$F:$F,0)-1,MATCH(K150,Rame!$F$1:$FF$1,0)-1))*IF(G150="Rame",1,0)</f>
        <v>0</v>
      </c>
      <c r="U150" s="205">
        <f ca="1">IF(ISERROR(OFFSET(Bronzo!$A$1,MATCH(J150,Bronzo!$A:$A,0)-1,MATCH(K150,Bronzo!$A$1:$AA$1,0)-1)=TRUE),0,OFFSET(Bronzo!$A$1,MATCH(J150,Bronzo!$A:$A,0)-1,MATCH(K150,Bronzo!$A$1:$AA$1,0)-1))</f>
        <v>0</v>
      </c>
      <c r="V150" s="205">
        <f t="shared" ca="1" si="140"/>
        <v>0</v>
      </c>
      <c r="W150" s="204"/>
      <c r="X150" s="205">
        <v>0</v>
      </c>
      <c r="Y150" s="206">
        <f t="shared" ca="1" si="141"/>
        <v>1.4</v>
      </c>
      <c r="Z150" s="380">
        <f t="shared" si="142"/>
        <v>189.14000000000001</v>
      </c>
      <c r="AA150" s="203">
        <v>3.82</v>
      </c>
      <c r="AB150" s="203">
        <f t="shared" ca="1" si="143"/>
        <v>0.18999999999999995</v>
      </c>
      <c r="AC150" s="238"/>
      <c r="AG150" t="s">
        <v>404</v>
      </c>
      <c r="AI150" s="367">
        <f t="shared" ca="1" si="138"/>
        <v>46092</v>
      </c>
      <c r="AJ150" s="367" t="b">
        <f t="shared" si="132"/>
        <v>1</v>
      </c>
      <c r="AK150" s="370" t="str">
        <f t="shared" si="133"/>
        <v/>
      </c>
      <c r="AN150">
        <f t="shared" si="134"/>
        <v>0</v>
      </c>
      <c r="AO150">
        <f t="shared" si="135"/>
        <v>1900</v>
      </c>
      <c r="AV150">
        <f t="shared" si="136"/>
        <v>0</v>
      </c>
      <c r="AW150">
        <f t="shared" si="137"/>
        <v>0</v>
      </c>
    </row>
    <row r="151" spans="4:49" ht="15.75" x14ac:dyDescent="0.25">
      <c r="D151" s="199" t="s">
        <v>503</v>
      </c>
      <c r="E151" s="378" t="s">
        <v>399</v>
      </c>
      <c r="F151" s="379">
        <v>1988</v>
      </c>
      <c r="G151" s="201" t="s">
        <v>4</v>
      </c>
      <c r="H151" s="219">
        <v>2.23</v>
      </c>
      <c r="I151" s="202">
        <v>45869</v>
      </c>
      <c r="J151" s="200" t="s">
        <v>17</v>
      </c>
      <c r="K151" s="200"/>
      <c r="L151" s="203">
        <v>7.0000000000000007E-2</v>
      </c>
      <c r="M151" s="204">
        <f ca="1">IF(ISERROR(OFFSET(Tabella!$A$1,MATCH(J151,Tabella!$A:$A,0)-1,MATCH(L151,Tabella!$A$1:$AC$1,0)-1)=TRUE),0,+OFFSET(Tabella!$A$1,MATCH(J151,Tabella!$A:$A,0)-1,MATCH(L151,Tabella!$A$1:$AC$1,0)-1))</f>
        <v>1.4</v>
      </c>
      <c r="N151" s="205">
        <f ca="1">IF(ISERROR(OFFSET(Ottone!$A$1,MATCH(J151,Ottone!$A:$A,0)-1,MATCH(L151,Ottone!$A$1:$Z$1,0)-1)=TRUE),0,OFFSET(Ottone!$A$1,MATCH(J151,Ottone!$A:$A,0)-1,MATCH(L151,Ottone!$A$1:$Z$1,0)-1))*IF(G151="Ottone",1,0)</f>
        <v>0</v>
      </c>
      <c r="O151" s="205">
        <f ca="1">IF(ISERROR(OFFSET(Rame!$A$1,MATCH(J151,Rame!$A:$A,0)-1,MATCH(L151,Rame!$A$1:$AA$1,0)-1)=TRUE),0,OFFSET(Rame!$A$1,MATCH(J151,Rame!$A:$A,0)-1,MATCH(L151,Rame!$A$1:$AA$1,0)-1))*IF(G151="Rame",1,0)</f>
        <v>0</v>
      </c>
      <c r="P151" s="205">
        <v>0</v>
      </c>
      <c r="Q151" s="205">
        <f t="shared" ca="1" si="139"/>
        <v>1.4</v>
      </c>
      <c r="R151" s="205">
        <f ca="1">+IF(ISERROR(OFFSET(Tabella!$G$1,MATCH(J151,Tabella!$G:$G,0)-1,MATCH(K151,Tabella!$G$1:$FG$1,0)-1)=TRUE),0,OFFSET(Tabella!$G$1,MATCH(J151,Tabella!$G:$G,0)-1,MATCH(K151,Tabella!$G$1:$AB$1,0)-1))</f>
        <v>0</v>
      </c>
      <c r="S151" s="205">
        <f ca="1">IF(ISERROR(OFFSET(Ottone!$F$1,MATCH(J151,Ottone!$A:$A,0)-1,MATCH(K151,Ottone!$F$1:$FF$1,0)-1)=TRUE),0,OFFSET(Ottone!$F$1,MATCH(J151,Ottone!$A:$A,0)-1,MATCH(K151,Ottone!$F$1:$FF$1,0)-1))*IF(G151="Ottone",1,0)</f>
        <v>0</v>
      </c>
      <c r="T151" s="205">
        <f ca="1">IF(ISERROR(OFFSET(Rame!$F$1,MATCH(J151,Rame!$F:$F,0)-1,MATCH(K151,Rame!$F$1:$FF$1,0)-1)=TRUE),0,OFFSET(Rame!$F$1,MATCH(J151,Rame!$F:$F,0)-1,MATCH(K151,Rame!$F$1:$FF$1,0)-1))*IF(G151="Rame",1,0)</f>
        <v>0</v>
      </c>
      <c r="U151" s="205">
        <f ca="1">IF(ISERROR(OFFSET(Bronzo!$A$1,MATCH(J151,Bronzo!$A:$A,0)-1,MATCH(K151,Bronzo!$A$1:$AA$1,0)-1)=TRUE),0,OFFSET(Bronzo!$A$1,MATCH(J151,Bronzo!$A:$A,0)-1,MATCH(K151,Bronzo!$A$1:$AA$1,0)-1))</f>
        <v>0</v>
      </c>
      <c r="V151" s="205">
        <f t="shared" ca="1" si="140"/>
        <v>0</v>
      </c>
      <c r="W151" s="204"/>
      <c r="X151" s="205">
        <v>0</v>
      </c>
      <c r="Y151" s="206">
        <f t="shared" ca="1" si="141"/>
        <v>1.4</v>
      </c>
      <c r="Z151" s="380">
        <f t="shared" si="142"/>
        <v>139.16000000000003</v>
      </c>
      <c r="AA151" s="203">
        <v>3.77</v>
      </c>
      <c r="AB151" s="203">
        <f t="shared" ca="1" si="143"/>
        <v>0.14000000000000012</v>
      </c>
      <c r="AC151" s="238"/>
      <c r="AG151" t="s">
        <v>404</v>
      </c>
      <c r="AI151" s="367">
        <f t="shared" ca="1" si="138"/>
        <v>46092</v>
      </c>
      <c r="AJ151" s="367" t="b">
        <f t="shared" si="132"/>
        <v>1</v>
      </c>
      <c r="AK151" s="370" t="str">
        <f t="shared" si="133"/>
        <v/>
      </c>
      <c r="AN151">
        <f t="shared" si="134"/>
        <v>0</v>
      </c>
      <c r="AO151">
        <f t="shared" si="135"/>
        <v>1900</v>
      </c>
      <c r="AV151">
        <f t="shared" si="136"/>
        <v>0</v>
      </c>
      <c r="AW151">
        <f t="shared" si="137"/>
        <v>0</v>
      </c>
    </row>
    <row r="152" spans="4:49" ht="15.75" x14ac:dyDescent="0.25">
      <c r="D152" s="199" t="s">
        <v>589</v>
      </c>
      <c r="E152" s="378" t="s">
        <v>108</v>
      </c>
      <c r="F152" s="379">
        <v>550</v>
      </c>
      <c r="G152" s="201" t="s">
        <v>4</v>
      </c>
      <c r="H152" s="219">
        <v>2.2799999999999998</v>
      </c>
      <c r="I152" s="202">
        <v>45930</v>
      </c>
      <c r="J152" s="200" t="s">
        <v>21</v>
      </c>
      <c r="K152" s="200"/>
      <c r="L152" s="203">
        <v>7.0000000000000007E-2</v>
      </c>
      <c r="M152" s="204">
        <f ca="1">IF(ISERROR(OFFSET(Tabella!$A$1,MATCH(J152,Tabella!$A:$A,0)-1,MATCH(L152,Tabella!$A$1:$AC$1,0)-1)=TRUE),0,+OFFSET(Tabella!$A$1,MATCH(J152,Tabella!$A:$A,0)-1,MATCH(L152,Tabella!$A$1:$AC$1,0)-1))</f>
        <v>1.25</v>
      </c>
      <c r="N152" s="205">
        <f ca="1">IF(ISERROR(OFFSET(Ottone!$A$1,MATCH(J152,Ottone!$A:$A,0)-1,MATCH(L152,Ottone!$A$1:$Z$1,0)-1)=TRUE),0,OFFSET(Ottone!$A$1,MATCH(J152,Ottone!$A:$A,0)-1,MATCH(L152,Ottone!$A$1:$Z$1,0)-1))*IF(G152="Ottone",1,0)</f>
        <v>0</v>
      </c>
      <c r="O152" s="205">
        <f ca="1">IF(ISERROR(OFFSET(Rame!$A$1,MATCH(J152,Rame!$A:$A,0)-1,MATCH(L152,Rame!$A$1:$AA$1,0)-1)=TRUE),0,OFFSET(Rame!$A$1,MATCH(J152,Rame!$A:$A,0)-1,MATCH(L152,Rame!$A$1:$AA$1,0)-1))*IF(G152="Rame",1,0)</f>
        <v>0</v>
      </c>
      <c r="P152" s="205">
        <v>0</v>
      </c>
      <c r="Q152" s="205">
        <f t="shared" ca="1" si="139"/>
        <v>1.25</v>
      </c>
      <c r="R152" s="205">
        <f ca="1">+IF(ISERROR(OFFSET(Tabella!$G$1,MATCH(J152,Tabella!$G:$G,0)-1,MATCH(K152,Tabella!$G$1:$FG$1,0)-1)=TRUE),0,OFFSET(Tabella!$G$1,MATCH(J152,Tabella!$G:$G,0)-1,MATCH(K152,Tabella!$G$1:$AB$1,0)-1))</f>
        <v>0</v>
      </c>
      <c r="S152" s="205">
        <f ca="1">IF(ISERROR(OFFSET(Ottone!$F$1,MATCH(J152,Ottone!$A:$A,0)-1,MATCH(K152,Ottone!$F$1:$FF$1,0)-1)=TRUE),0,OFFSET(Ottone!$F$1,MATCH(J152,Ottone!$A:$A,0)-1,MATCH(K152,Ottone!$F$1:$FF$1,0)-1))*IF(G152="Ottone",1,0)</f>
        <v>0</v>
      </c>
      <c r="T152" s="205">
        <f ca="1">IF(ISERROR(OFFSET(Rame!$F$1,MATCH(J152,Rame!$F:$F,0)-1,MATCH(K152,Rame!$F$1:$FF$1,0)-1)=TRUE),0,OFFSET(Rame!$F$1,MATCH(J152,Rame!$F:$F,0)-1,MATCH(K152,Rame!$F$1:$FF$1,0)-1))*IF(G152="Rame",1,0)</f>
        <v>0</v>
      </c>
      <c r="U152" s="205">
        <f ca="1">IF(ISERROR(OFFSET(Bronzo!$A$1,MATCH(J152,Bronzo!$A:$A,0)-1,MATCH(K152,Bronzo!$A$1:$AA$1,0)-1)=TRUE),0,OFFSET(Bronzo!$A$1,MATCH(J152,Bronzo!$A:$A,0)-1,MATCH(K152,Bronzo!$A$1:$AA$1,0)-1))</f>
        <v>0</v>
      </c>
      <c r="V152" s="205">
        <f t="shared" ca="1" si="140"/>
        <v>0</v>
      </c>
      <c r="W152" s="204"/>
      <c r="X152" s="205">
        <v>0</v>
      </c>
      <c r="Y152" s="206">
        <f t="shared" ca="1" si="141"/>
        <v>1.25</v>
      </c>
      <c r="Z152" s="380">
        <f t="shared" si="142"/>
        <v>38.500000000000007</v>
      </c>
      <c r="AA152" s="203">
        <v>3.78</v>
      </c>
      <c r="AB152" s="203">
        <f t="shared" ca="1" si="143"/>
        <v>0.25</v>
      </c>
      <c r="AC152" s="238"/>
      <c r="AG152" t="s">
        <v>404</v>
      </c>
      <c r="AI152" s="367">
        <f t="shared" ca="1" si="138"/>
        <v>46092</v>
      </c>
      <c r="AJ152" s="367" t="b">
        <f t="shared" si="132"/>
        <v>1</v>
      </c>
      <c r="AK152" s="370" t="str">
        <f t="shared" si="133"/>
        <v/>
      </c>
      <c r="AN152">
        <f t="shared" si="134"/>
        <v>0</v>
      </c>
      <c r="AO152">
        <f t="shared" si="135"/>
        <v>1900</v>
      </c>
      <c r="AV152">
        <f t="shared" si="136"/>
        <v>0</v>
      </c>
      <c r="AW152">
        <f t="shared" si="137"/>
        <v>0</v>
      </c>
    </row>
    <row r="153" spans="4:49" ht="15.75" x14ac:dyDescent="0.25">
      <c r="D153" s="199" t="s">
        <v>538</v>
      </c>
      <c r="E153" s="378" t="s">
        <v>108</v>
      </c>
      <c r="F153" s="379">
        <v>840</v>
      </c>
      <c r="G153" s="201" t="s">
        <v>4</v>
      </c>
      <c r="H153" s="219">
        <v>2.2799999999999998</v>
      </c>
      <c r="I153" s="202">
        <v>45930</v>
      </c>
      <c r="J153" s="200" t="s">
        <v>25</v>
      </c>
      <c r="K153" s="200"/>
      <c r="L153" s="203">
        <v>7.0000000000000007E-2</v>
      </c>
      <c r="M153" s="204">
        <f ca="1">IF(ISERROR(OFFSET(Tabella!$A$1,MATCH(J153,Tabella!$A:$A,0)-1,MATCH(L153,Tabella!$A$1:$AC$1,0)-1)=TRUE),0,+OFFSET(Tabella!$A$1,MATCH(J153,Tabella!$A:$A,0)-1,MATCH(L153,Tabella!$A$1:$AC$1,0)-1))</f>
        <v>1.25</v>
      </c>
      <c r="N153" s="205">
        <f ca="1">IF(ISERROR(OFFSET(Ottone!$A$1,MATCH(J153,Ottone!$A:$A,0)-1,MATCH(L153,Ottone!$A$1:$Z$1,0)-1)=TRUE),0,OFFSET(Ottone!$A$1,MATCH(J153,Ottone!$A:$A,0)-1,MATCH(L153,Ottone!$A$1:$Z$1,0)-1))*IF(G153="Ottone",1,0)</f>
        <v>0</v>
      </c>
      <c r="O153" s="205">
        <f ca="1">IF(ISERROR(OFFSET(Rame!$A$1,MATCH(J153,Rame!$A:$A,0)-1,MATCH(L153,Rame!$A$1:$AA$1,0)-1)=TRUE),0,OFFSET(Rame!$A$1,MATCH(J153,Rame!$A:$A,0)-1,MATCH(L153,Rame!$A$1:$AA$1,0)-1))*IF(G153="Rame",1,0)</f>
        <v>0</v>
      </c>
      <c r="P153" s="205">
        <v>0</v>
      </c>
      <c r="Q153" s="205">
        <f t="shared" ca="1" si="139"/>
        <v>1.25</v>
      </c>
      <c r="R153" s="205">
        <f ca="1">+IF(ISERROR(OFFSET(Tabella!$G$1,MATCH(J153,Tabella!$G:$G,0)-1,MATCH(K153,Tabella!$G$1:$FG$1,0)-1)=TRUE),0,OFFSET(Tabella!$G$1,MATCH(J153,Tabella!$G:$G,0)-1,MATCH(K153,Tabella!$G$1:$AB$1,0)-1))</f>
        <v>0</v>
      </c>
      <c r="S153" s="205">
        <f ca="1">IF(ISERROR(OFFSET(Ottone!$F$1,MATCH(J153,Ottone!$A:$A,0)-1,MATCH(K153,Ottone!$F$1:$FF$1,0)-1)=TRUE),0,OFFSET(Ottone!$F$1,MATCH(J153,Ottone!$A:$A,0)-1,MATCH(K153,Ottone!$F$1:$FF$1,0)-1))*IF(G153="Ottone",1,0)</f>
        <v>0</v>
      </c>
      <c r="T153" s="205">
        <f ca="1">IF(ISERROR(OFFSET(Rame!$F$1,MATCH(J153,Rame!$F:$F,0)-1,MATCH(K153,Rame!$F$1:$FF$1,0)-1)=TRUE),0,OFFSET(Rame!$F$1,MATCH(J153,Rame!$F:$F,0)-1,MATCH(K153,Rame!$F$1:$FF$1,0)-1))*IF(G153="Rame",1,0)</f>
        <v>0</v>
      </c>
      <c r="U153" s="205">
        <f ca="1">IF(ISERROR(OFFSET(Bronzo!$A$1,MATCH(J153,Bronzo!$A:$A,0)-1,MATCH(K153,Bronzo!$A$1:$AA$1,0)-1)=TRUE),0,OFFSET(Bronzo!$A$1,MATCH(J153,Bronzo!$A:$A,0)-1,MATCH(K153,Bronzo!$A$1:$AA$1,0)-1))</f>
        <v>0</v>
      </c>
      <c r="V153" s="205">
        <f t="shared" ca="1" si="140"/>
        <v>0</v>
      </c>
      <c r="W153" s="204"/>
      <c r="X153" s="205">
        <v>0</v>
      </c>
      <c r="Y153" s="206">
        <f t="shared" ca="1" si="141"/>
        <v>1.25</v>
      </c>
      <c r="Z153" s="380">
        <f t="shared" si="142"/>
        <v>58.800000000000004</v>
      </c>
      <c r="AA153" s="203">
        <v>3.78</v>
      </c>
      <c r="AB153" s="203">
        <f t="shared" ca="1" si="143"/>
        <v>0.25</v>
      </c>
      <c r="AC153" s="238"/>
      <c r="AG153" t="s">
        <v>404</v>
      </c>
      <c r="AI153" s="367">
        <f t="shared" ca="1" si="138"/>
        <v>46092</v>
      </c>
      <c r="AJ153" s="367" t="b">
        <f t="shared" si="132"/>
        <v>1</v>
      </c>
      <c r="AK153" s="370" t="str">
        <f t="shared" si="133"/>
        <v/>
      </c>
      <c r="AN153">
        <f t="shared" si="134"/>
        <v>0</v>
      </c>
      <c r="AO153">
        <f t="shared" si="135"/>
        <v>1900</v>
      </c>
      <c r="AV153">
        <f t="shared" si="136"/>
        <v>0</v>
      </c>
      <c r="AW153">
        <f t="shared" si="137"/>
        <v>0</v>
      </c>
    </row>
    <row r="154" spans="4:49" ht="15.75" x14ac:dyDescent="0.25">
      <c r="D154" s="199" t="s">
        <v>538</v>
      </c>
      <c r="E154" s="378" t="s">
        <v>108</v>
      </c>
      <c r="F154" s="379">
        <v>523</v>
      </c>
      <c r="G154" s="201" t="s">
        <v>4</v>
      </c>
      <c r="H154" s="219">
        <v>2.2799999999999998</v>
      </c>
      <c r="I154" s="202">
        <v>45930</v>
      </c>
      <c r="J154" s="200" t="s">
        <v>310</v>
      </c>
      <c r="K154" s="200"/>
      <c r="L154" s="203">
        <v>7.0000000000000007E-2</v>
      </c>
      <c r="M154" s="204">
        <f ca="1">IF(ISERROR(OFFSET(Tabella!$A$1,MATCH(J154,Tabella!$A:$A,0)-1,MATCH(L154,Tabella!$A$1:$AC$1,0)-1)=TRUE),0,+OFFSET(Tabella!$A$1,MATCH(J154,Tabella!$A:$A,0)-1,MATCH(L154,Tabella!$A$1:$AC$1,0)-1))</f>
        <v>1.25</v>
      </c>
      <c r="N154" s="205">
        <f ca="1">IF(ISERROR(OFFSET(Ottone!$A$1,MATCH(J154,Ottone!$A:$A,0)-1,MATCH(L154,Ottone!$A$1:$Z$1,0)-1)=TRUE),0,OFFSET(Ottone!$A$1,MATCH(J154,Ottone!$A:$A,0)-1,MATCH(L154,Ottone!$A$1:$Z$1,0)-1))*IF(G154="Ottone",1,0)</f>
        <v>0</v>
      </c>
      <c r="O154" s="205">
        <f ca="1">IF(ISERROR(OFFSET(Rame!$A$1,MATCH(J154,Rame!$A:$A,0)-1,MATCH(L154,Rame!$A$1:$AA$1,0)-1)=TRUE),0,OFFSET(Rame!$A$1,MATCH(J154,Rame!$A:$A,0)-1,MATCH(L154,Rame!$A$1:$AA$1,0)-1))*IF(G154="Rame",1,0)</f>
        <v>0</v>
      </c>
      <c r="P154" s="205">
        <v>0</v>
      </c>
      <c r="Q154" s="205">
        <f t="shared" ca="1" si="139"/>
        <v>1.25</v>
      </c>
      <c r="R154" s="205">
        <f ca="1">+IF(ISERROR(OFFSET(Tabella!$G$1,MATCH(J154,Tabella!$G:$G,0)-1,MATCH(K154,Tabella!$G$1:$FG$1,0)-1)=TRUE),0,OFFSET(Tabella!$G$1,MATCH(J154,Tabella!$G:$G,0)-1,MATCH(K154,Tabella!$G$1:$AB$1,0)-1))</f>
        <v>0</v>
      </c>
      <c r="S154" s="205">
        <f ca="1">IF(ISERROR(OFFSET(Ottone!$F$1,MATCH(J154,Ottone!$A:$A,0)-1,MATCH(K154,Ottone!$F$1:$FF$1,0)-1)=TRUE),0,OFFSET(Ottone!$F$1,MATCH(J154,Ottone!$A:$A,0)-1,MATCH(K154,Ottone!$F$1:$FF$1,0)-1))*IF(G154="Ottone",1,0)</f>
        <v>0</v>
      </c>
      <c r="T154" s="205">
        <f ca="1">IF(ISERROR(OFFSET(Rame!$F$1,MATCH(J154,Rame!$F:$F,0)-1,MATCH(K154,Rame!$F$1:$FF$1,0)-1)=TRUE),0,OFFSET(Rame!$F$1,MATCH(J154,Rame!$F:$F,0)-1,MATCH(K154,Rame!$F$1:$FF$1,0)-1))*IF(G154="Rame",1,0)</f>
        <v>0</v>
      </c>
      <c r="U154" s="205">
        <f ca="1">IF(ISERROR(OFFSET(Bronzo!$A$1,MATCH(J154,Bronzo!$A:$A,0)-1,MATCH(K154,Bronzo!$A$1:$AA$1,0)-1)=TRUE),0,OFFSET(Bronzo!$A$1,MATCH(J154,Bronzo!$A:$A,0)-1,MATCH(K154,Bronzo!$A$1:$AA$1,0)-1))</f>
        <v>0</v>
      </c>
      <c r="V154" s="205">
        <f t="shared" ca="1" si="140"/>
        <v>0</v>
      </c>
      <c r="W154" s="204"/>
      <c r="X154" s="205">
        <v>0</v>
      </c>
      <c r="Y154" s="206">
        <f t="shared" ca="1" si="141"/>
        <v>1.25</v>
      </c>
      <c r="Z154" s="380">
        <f t="shared" si="142"/>
        <v>36.610000000000007</v>
      </c>
      <c r="AA154" s="203">
        <v>3.78</v>
      </c>
      <c r="AB154" s="203">
        <f t="shared" ca="1" si="143"/>
        <v>0.25</v>
      </c>
      <c r="AC154" s="238"/>
      <c r="AG154" t="s">
        <v>404</v>
      </c>
      <c r="AI154" s="367">
        <f t="shared" ca="1" si="138"/>
        <v>46092</v>
      </c>
      <c r="AJ154" s="367" t="b">
        <f t="shared" si="132"/>
        <v>1</v>
      </c>
      <c r="AK154" s="370" t="str">
        <f t="shared" si="133"/>
        <v/>
      </c>
      <c r="AN154">
        <f t="shared" si="134"/>
        <v>0</v>
      </c>
      <c r="AO154">
        <f t="shared" si="135"/>
        <v>1900</v>
      </c>
      <c r="AV154">
        <f t="shared" si="136"/>
        <v>0</v>
      </c>
      <c r="AW154">
        <f t="shared" si="137"/>
        <v>0</v>
      </c>
    </row>
    <row r="155" spans="4:49" ht="15.75" x14ac:dyDescent="0.25">
      <c r="D155" s="199" t="s">
        <v>518</v>
      </c>
      <c r="E155" s="378" t="s">
        <v>108</v>
      </c>
      <c r="F155" s="379">
        <v>608</v>
      </c>
      <c r="G155" s="201" t="s">
        <v>4</v>
      </c>
      <c r="H155" s="219">
        <v>2.2799999999999998</v>
      </c>
      <c r="I155" s="202">
        <v>45930</v>
      </c>
      <c r="J155" s="200" t="s">
        <v>308</v>
      </c>
      <c r="K155" s="200"/>
      <c r="L155" s="203">
        <v>7.0000000000000007E-2</v>
      </c>
      <c r="M155" s="204">
        <f ca="1">IF(ISERROR(OFFSET(Tabella!$A$1,MATCH(J155,Tabella!$A:$A,0)-1,MATCH(L155,Tabella!$A$1:$AC$1,0)-1)=TRUE),0,+OFFSET(Tabella!$A$1,MATCH(J155,Tabella!$A:$A,0)-1,MATCH(L155,Tabella!$A$1:$AC$1,0)-1))</f>
        <v>1.25</v>
      </c>
      <c r="N155" s="205">
        <f ca="1">IF(ISERROR(OFFSET(Ottone!$A$1,MATCH(J155,Ottone!$A:$A,0)-1,MATCH(L155,Ottone!$A$1:$Z$1,0)-1)=TRUE),0,OFFSET(Ottone!$A$1,MATCH(J155,Ottone!$A:$A,0)-1,MATCH(L155,Ottone!$A$1:$Z$1,0)-1))*IF(G155="Ottone",1,0)</f>
        <v>0</v>
      </c>
      <c r="O155" s="205">
        <f ca="1">IF(ISERROR(OFFSET(Rame!$A$1,MATCH(J155,Rame!$A:$A,0)-1,MATCH(L155,Rame!$A$1:$AA$1,0)-1)=TRUE),0,OFFSET(Rame!$A$1,MATCH(J155,Rame!$A:$A,0)-1,MATCH(L155,Rame!$A$1:$AA$1,0)-1))*IF(G155="Rame",1,0)</f>
        <v>0</v>
      </c>
      <c r="P155" s="205">
        <v>0</v>
      </c>
      <c r="Q155" s="205">
        <f t="shared" ca="1" si="139"/>
        <v>1.25</v>
      </c>
      <c r="R155" s="205">
        <f ca="1">+IF(ISERROR(OFFSET(Tabella!$G$1,MATCH(J155,Tabella!$G:$G,0)-1,MATCH(K155,Tabella!$G$1:$FG$1,0)-1)=TRUE),0,OFFSET(Tabella!$G$1,MATCH(J155,Tabella!$G:$G,0)-1,MATCH(K155,Tabella!$G$1:$AB$1,0)-1))</f>
        <v>0</v>
      </c>
      <c r="S155" s="205">
        <f ca="1">IF(ISERROR(OFFSET(Ottone!$F$1,MATCH(J155,Ottone!$A:$A,0)-1,MATCH(K155,Ottone!$F$1:$FF$1,0)-1)=TRUE),0,OFFSET(Ottone!$F$1,MATCH(J155,Ottone!$A:$A,0)-1,MATCH(K155,Ottone!$F$1:$FF$1,0)-1))*IF(G155="Ottone",1,0)</f>
        <v>0</v>
      </c>
      <c r="T155" s="205">
        <f ca="1">IF(ISERROR(OFFSET(Rame!$F$1,MATCH(J155,Rame!$F:$F,0)-1,MATCH(K155,Rame!$F$1:$FF$1,0)-1)=TRUE),0,OFFSET(Rame!$F$1,MATCH(J155,Rame!$F:$F,0)-1,MATCH(K155,Rame!$F$1:$FF$1,0)-1))*IF(G155="Rame",1,0)</f>
        <v>0</v>
      </c>
      <c r="U155" s="205">
        <f ca="1">IF(ISERROR(OFFSET(Bronzo!$A$1,MATCH(J155,Bronzo!$A:$A,0)-1,MATCH(K155,Bronzo!$A$1:$AA$1,0)-1)=TRUE),0,OFFSET(Bronzo!$A$1,MATCH(J155,Bronzo!$A:$A,0)-1,MATCH(K155,Bronzo!$A$1:$AA$1,0)-1))</f>
        <v>0</v>
      </c>
      <c r="V155" s="205">
        <f t="shared" ca="1" si="140"/>
        <v>0</v>
      </c>
      <c r="W155" s="204"/>
      <c r="X155" s="205">
        <v>0</v>
      </c>
      <c r="Y155" s="206">
        <f t="shared" ca="1" si="141"/>
        <v>1.25</v>
      </c>
      <c r="Z155" s="380">
        <f t="shared" si="142"/>
        <v>42.56</v>
      </c>
      <c r="AA155" s="203">
        <v>3.78</v>
      </c>
      <c r="AB155" s="203">
        <f t="shared" ca="1" si="143"/>
        <v>0.25</v>
      </c>
      <c r="AC155" s="238"/>
      <c r="AG155" t="s">
        <v>404</v>
      </c>
      <c r="AI155" s="367">
        <f t="shared" ca="1" si="138"/>
        <v>46092</v>
      </c>
      <c r="AJ155" s="367" t="b">
        <f t="shared" si="132"/>
        <v>1</v>
      </c>
      <c r="AK155" s="370" t="str">
        <f t="shared" si="133"/>
        <v/>
      </c>
      <c r="AN155">
        <f t="shared" si="134"/>
        <v>0</v>
      </c>
      <c r="AO155">
        <f t="shared" si="135"/>
        <v>1900</v>
      </c>
      <c r="AV155">
        <f t="shared" si="136"/>
        <v>0</v>
      </c>
      <c r="AW155">
        <f t="shared" si="137"/>
        <v>0</v>
      </c>
    </row>
    <row r="156" spans="4:49" ht="15.75" x14ac:dyDescent="0.25">
      <c r="D156" s="199" t="s">
        <v>651</v>
      </c>
      <c r="E156" s="378" t="s">
        <v>108</v>
      </c>
      <c r="F156" s="379">
        <v>566</v>
      </c>
      <c r="G156" s="201" t="s">
        <v>4</v>
      </c>
      <c r="H156" s="219">
        <v>2.2799999999999998</v>
      </c>
      <c r="I156" s="202">
        <v>45930</v>
      </c>
      <c r="J156" s="200" t="s">
        <v>28</v>
      </c>
      <c r="K156" s="200"/>
      <c r="L156" s="203">
        <v>7.0000000000000007E-2</v>
      </c>
      <c r="M156" s="204">
        <f ca="1">IF(ISERROR(OFFSET(Tabella!$A$1,MATCH(J156,Tabella!$A:$A,0)-1,MATCH(L156,Tabella!$A$1:$AC$1,0)-1)=TRUE),0,+OFFSET(Tabella!$A$1,MATCH(J156,Tabella!$A:$A,0)-1,MATCH(L156,Tabella!$A$1:$AC$1,0)-1))</f>
        <v>1.25</v>
      </c>
      <c r="N156" s="205">
        <f ca="1">IF(ISERROR(OFFSET(Ottone!$A$1,MATCH(J156,Ottone!$A:$A,0)-1,MATCH(L156,Ottone!$A$1:$Z$1,0)-1)=TRUE),0,OFFSET(Ottone!$A$1,MATCH(J156,Ottone!$A:$A,0)-1,MATCH(L156,Ottone!$A$1:$Z$1,0)-1))*IF(G156="Ottone",1,0)</f>
        <v>0</v>
      </c>
      <c r="O156" s="205">
        <f ca="1">IF(ISERROR(OFFSET(Rame!$A$1,MATCH(J156,Rame!$A:$A,0)-1,MATCH(L156,Rame!$A$1:$AA$1,0)-1)=TRUE),0,OFFSET(Rame!$A$1,MATCH(J156,Rame!$A:$A,0)-1,MATCH(L156,Rame!$A$1:$AA$1,0)-1))*IF(G156="Rame",1,0)</f>
        <v>0</v>
      </c>
      <c r="P156" s="205">
        <v>0</v>
      </c>
      <c r="Q156" s="205">
        <f t="shared" ca="1" si="139"/>
        <v>1.25</v>
      </c>
      <c r="R156" s="205">
        <f ca="1">+IF(ISERROR(OFFSET(Tabella!$G$1,MATCH(J156,Tabella!$G:$G,0)-1,MATCH(K156,Tabella!$G$1:$FG$1,0)-1)=TRUE),0,OFFSET(Tabella!$G$1,MATCH(J156,Tabella!$G:$G,0)-1,MATCH(K156,Tabella!$G$1:$AB$1,0)-1))</f>
        <v>0</v>
      </c>
      <c r="S156" s="205">
        <f ca="1">IF(ISERROR(OFFSET(Ottone!$F$1,MATCH(J156,Ottone!$A:$A,0)-1,MATCH(K156,Ottone!$F$1:$FF$1,0)-1)=TRUE),0,OFFSET(Ottone!$F$1,MATCH(J156,Ottone!$A:$A,0)-1,MATCH(K156,Ottone!$F$1:$FF$1,0)-1))*IF(G156="Ottone",1,0)</f>
        <v>0</v>
      </c>
      <c r="T156" s="205">
        <f ca="1">IF(ISERROR(OFFSET(Rame!$F$1,MATCH(J156,Rame!$F:$F,0)-1,MATCH(K156,Rame!$F$1:$FF$1,0)-1)=TRUE),0,OFFSET(Rame!$F$1,MATCH(J156,Rame!$F:$F,0)-1,MATCH(K156,Rame!$F$1:$FF$1,0)-1))*IF(G156="Rame",1,0)</f>
        <v>0</v>
      </c>
      <c r="U156" s="205">
        <f ca="1">IF(ISERROR(OFFSET(Bronzo!$A$1,MATCH(J156,Bronzo!$A:$A,0)-1,MATCH(K156,Bronzo!$A$1:$AA$1,0)-1)=TRUE),0,OFFSET(Bronzo!$A$1,MATCH(J156,Bronzo!$A:$A,0)-1,MATCH(K156,Bronzo!$A$1:$AA$1,0)-1))</f>
        <v>0</v>
      </c>
      <c r="V156" s="205">
        <f t="shared" ca="1" si="140"/>
        <v>0</v>
      </c>
      <c r="W156" s="204"/>
      <c r="X156" s="205">
        <v>0</v>
      </c>
      <c r="Y156" s="206">
        <f t="shared" ca="1" si="141"/>
        <v>1.25</v>
      </c>
      <c r="Z156" s="380">
        <f t="shared" si="142"/>
        <v>39.620000000000005</v>
      </c>
      <c r="AA156" s="203">
        <v>3.78</v>
      </c>
      <c r="AB156" s="203">
        <f t="shared" ca="1" si="143"/>
        <v>0.25</v>
      </c>
      <c r="AC156" s="238"/>
      <c r="AG156" t="s">
        <v>404</v>
      </c>
      <c r="AI156" s="367">
        <f t="shared" ca="1" si="138"/>
        <v>46092</v>
      </c>
      <c r="AJ156" s="367" t="b">
        <f t="shared" si="132"/>
        <v>1</v>
      </c>
      <c r="AK156" s="370" t="str">
        <f t="shared" si="133"/>
        <v/>
      </c>
      <c r="AN156">
        <f t="shared" si="134"/>
        <v>0</v>
      </c>
      <c r="AO156">
        <f t="shared" si="135"/>
        <v>1900</v>
      </c>
      <c r="AV156">
        <f t="shared" si="136"/>
        <v>0</v>
      </c>
      <c r="AW156">
        <f t="shared" si="137"/>
        <v>0</v>
      </c>
    </row>
    <row r="157" spans="4:49" ht="15.75" x14ac:dyDescent="0.25">
      <c r="D157" s="199" t="s">
        <v>569</v>
      </c>
      <c r="E157" s="378" t="s">
        <v>376</v>
      </c>
      <c r="F157" s="379">
        <v>348</v>
      </c>
      <c r="G157" s="201" t="s">
        <v>4</v>
      </c>
      <c r="H157" s="219">
        <v>2.4</v>
      </c>
      <c r="I157" s="202">
        <v>45952</v>
      </c>
      <c r="J157" s="200" t="s">
        <v>13</v>
      </c>
      <c r="K157" s="200"/>
      <c r="L157" s="203">
        <v>0.1</v>
      </c>
      <c r="M157" s="204">
        <f ca="1">IF(ISERROR(OFFSET(Tabella!$A$1,MATCH(J157,Tabella!$A:$A,0)-1,MATCH(L157,Tabella!$A$1:$AC$1,0)-1)=TRUE),0,+OFFSET(Tabella!$A$1,MATCH(J157,Tabella!$A:$A,0)-1,MATCH(L157,Tabella!$A$1:$AC$1,0)-1))</f>
        <v>1.6</v>
      </c>
      <c r="N157" s="205">
        <f ca="1">IF(ISERROR(OFFSET(Ottone!$A$1,MATCH(J157,Ottone!$A:$A,0)-1,MATCH(L157,Ottone!$A$1:$Z$1,0)-1)=TRUE),0,OFFSET(Ottone!$A$1,MATCH(J157,Ottone!$A:$A,0)-1,MATCH(L157,Ottone!$A$1:$Z$1,0)-1))*IF(G157="Ottone",1,0)</f>
        <v>0</v>
      </c>
      <c r="O157" s="205">
        <f ca="1">IF(ISERROR(OFFSET(Rame!$A$1,MATCH(J157,Rame!$A:$A,0)-1,MATCH(L157,Rame!$A$1:$AA$1,0)-1)=TRUE),0,OFFSET(Rame!$A$1,MATCH(J157,Rame!$A:$A,0)-1,MATCH(L157,Rame!$A$1:$AA$1,0)-1))*IF(G157="Rame",1,0)</f>
        <v>0</v>
      </c>
      <c r="P157" s="205">
        <v>0</v>
      </c>
      <c r="Q157" s="205">
        <f t="shared" ca="1" si="139"/>
        <v>1.6</v>
      </c>
      <c r="R157" s="205">
        <f ca="1">+IF(ISERROR(OFFSET(Tabella!$G$1,MATCH(J157,Tabella!$G:$G,0)-1,MATCH(K157,Tabella!$G$1:$FG$1,0)-1)=TRUE),0,OFFSET(Tabella!$G$1,MATCH(J157,Tabella!$G:$G,0)-1,MATCH(K157,Tabella!$G$1:$AB$1,0)-1))</f>
        <v>0</v>
      </c>
      <c r="S157" s="205">
        <f ca="1">IF(ISERROR(OFFSET(Ottone!$F$1,MATCH(J157,Ottone!$A:$A,0)-1,MATCH(K157,Ottone!$F$1:$FF$1,0)-1)=TRUE),0,OFFSET(Ottone!$F$1,MATCH(J157,Ottone!$A:$A,0)-1,MATCH(K157,Ottone!$F$1:$FF$1,0)-1))*IF(G157="Ottone",1,0)</f>
        <v>0</v>
      </c>
      <c r="T157" s="205">
        <f ca="1">IF(ISERROR(OFFSET(Rame!$F$1,MATCH(J157,Rame!$F:$F,0)-1,MATCH(K157,Rame!$F$1:$FF$1,0)-1)=TRUE),0,OFFSET(Rame!$F$1,MATCH(J157,Rame!$F:$F,0)-1,MATCH(K157,Rame!$F$1:$FF$1,0)-1))*IF(G157="Rame",1,0)</f>
        <v>0</v>
      </c>
      <c r="U157" s="205">
        <f ca="1">IF(ISERROR(OFFSET(Bronzo!$A$1,MATCH(J157,Bronzo!$A:$A,0)-1,MATCH(K157,Bronzo!$A$1:$AA$1,0)-1)=TRUE),0,OFFSET(Bronzo!$A$1,MATCH(J157,Bronzo!$A:$A,0)-1,MATCH(K157,Bronzo!$A$1:$AA$1,0)-1))</f>
        <v>0</v>
      </c>
      <c r="V157" s="205">
        <f t="shared" ca="1" si="140"/>
        <v>0</v>
      </c>
      <c r="W157" s="204"/>
      <c r="X157" s="205">
        <v>0</v>
      </c>
      <c r="Y157" s="206">
        <f t="shared" ca="1" si="141"/>
        <v>1.6</v>
      </c>
      <c r="Z157" s="380">
        <f t="shared" si="142"/>
        <v>34.800000000000004</v>
      </c>
      <c r="AA157" s="203">
        <v>4.1500000000000004</v>
      </c>
      <c r="AB157" s="203">
        <f t="shared" ca="1" si="143"/>
        <v>0.15000000000000036</v>
      </c>
      <c r="AC157" s="238"/>
      <c r="AG157" t="s">
        <v>404</v>
      </c>
      <c r="AI157" s="367">
        <f t="shared" ca="1" si="138"/>
        <v>46092</v>
      </c>
      <c r="AJ157" s="367" t="b">
        <f t="shared" ref="AJ157:AJ221" si="144">ISBLANK(AC157)</f>
        <v>1</v>
      </c>
      <c r="AK157" s="370" t="str">
        <f t="shared" ref="AK157:AK221" si="145">IF(AJ157=FALSE,_xlfn.DAYS(AC157,AI157),"")</f>
        <v/>
      </c>
      <c r="AN157">
        <f t="shared" ref="AN157:AN221" si="146">WEEKNUM(AC157)</f>
        <v>0</v>
      </c>
      <c r="AO157">
        <f t="shared" ref="AO157:AO221" si="147">YEAR(AC157)</f>
        <v>1900</v>
      </c>
      <c r="AV157">
        <f t="shared" ref="AV157:AV221" si="148">IF(AC157="",0,MONTH(AC157))</f>
        <v>0</v>
      </c>
      <c r="AW157">
        <f t="shared" ref="AW157:AW221" si="149">IF(AC157="",0,YEAR(AC157))</f>
        <v>0</v>
      </c>
    </row>
    <row r="158" spans="4:49" ht="15.75" x14ac:dyDescent="0.25">
      <c r="D158" s="199" t="s">
        <v>569</v>
      </c>
      <c r="E158" s="378" t="s">
        <v>376</v>
      </c>
      <c r="F158" s="379">
        <v>337</v>
      </c>
      <c r="G158" s="201" t="s">
        <v>4</v>
      </c>
      <c r="H158" s="219">
        <v>2.4</v>
      </c>
      <c r="I158" s="202">
        <v>45952</v>
      </c>
      <c r="J158" s="200" t="s">
        <v>19</v>
      </c>
      <c r="K158" s="200"/>
      <c r="L158" s="203">
        <v>0.1</v>
      </c>
      <c r="M158" s="204">
        <f ca="1">IF(ISERROR(OFFSET(Tabella!$A$1,MATCH(J158,Tabella!$A:$A,0)-1,MATCH(L158,Tabella!$A$1:$AC$1,0)-1)=TRUE),0,+OFFSET(Tabella!$A$1,MATCH(J158,Tabella!$A:$A,0)-1,MATCH(L158,Tabella!$A$1:$AC$1,0)-1))</f>
        <v>1.6</v>
      </c>
      <c r="N158" s="205">
        <f ca="1">IF(ISERROR(OFFSET(Ottone!$A$1,MATCH(J158,Ottone!$A:$A,0)-1,MATCH(L158,Ottone!$A$1:$Z$1,0)-1)=TRUE),0,OFFSET(Ottone!$A$1,MATCH(J158,Ottone!$A:$A,0)-1,MATCH(L158,Ottone!$A$1:$Z$1,0)-1))*IF(G158="Ottone",1,0)</f>
        <v>0</v>
      </c>
      <c r="O158" s="205">
        <f ca="1">IF(ISERROR(OFFSET(Rame!$A$1,MATCH(J158,Rame!$A:$A,0)-1,MATCH(L158,Rame!$A$1:$AA$1,0)-1)=TRUE),0,OFFSET(Rame!$A$1,MATCH(J158,Rame!$A:$A,0)-1,MATCH(L158,Rame!$A$1:$AA$1,0)-1))*IF(G158="Rame",1,0)</f>
        <v>0</v>
      </c>
      <c r="P158" s="205">
        <v>0</v>
      </c>
      <c r="Q158" s="205">
        <f t="shared" ca="1" si="139"/>
        <v>1.6</v>
      </c>
      <c r="R158" s="205">
        <f ca="1">+IF(ISERROR(OFFSET(Tabella!$G$1,MATCH(J158,Tabella!$G:$G,0)-1,MATCH(K158,Tabella!$G$1:$FG$1,0)-1)=TRUE),0,OFFSET(Tabella!$G$1,MATCH(J158,Tabella!$G:$G,0)-1,MATCH(K158,Tabella!$G$1:$AB$1,0)-1))</f>
        <v>0</v>
      </c>
      <c r="S158" s="205">
        <f ca="1">IF(ISERROR(OFFSET(Ottone!$F$1,MATCH(J158,Ottone!$A:$A,0)-1,MATCH(K158,Ottone!$F$1:$FF$1,0)-1)=TRUE),0,OFFSET(Ottone!$F$1,MATCH(J158,Ottone!$A:$A,0)-1,MATCH(K158,Ottone!$F$1:$FF$1,0)-1))*IF(G158="Ottone",1,0)</f>
        <v>0</v>
      </c>
      <c r="T158" s="205">
        <f ca="1">IF(ISERROR(OFFSET(Rame!$F$1,MATCH(J158,Rame!$F:$F,0)-1,MATCH(K158,Rame!$F$1:$FF$1,0)-1)=TRUE),0,OFFSET(Rame!$F$1,MATCH(J158,Rame!$F:$F,0)-1,MATCH(K158,Rame!$F$1:$FF$1,0)-1))*IF(G158="Rame",1,0)</f>
        <v>0</v>
      </c>
      <c r="U158" s="205">
        <f ca="1">IF(ISERROR(OFFSET(Bronzo!$A$1,MATCH(J158,Bronzo!$A:$A,0)-1,MATCH(K158,Bronzo!$A$1:$AA$1,0)-1)=TRUE),0,OFFSET(Bronzo!$A$1,MATCH(J158,Bronzo!$A:$A,0)-1,MATCH(K158,Bronzo!$A$1:$AA$1,0)-1))</f>
        <v>0</v>
      </c>
      <c r="V158" s="205">
        <f t="shared" ca="1" si="140"/>
        <v>0</v>
      </c>
      <c r="W158" s="204"/>
      <c r="X158" s="205">
        <v>0</v>
      </c>
      <c r="Y158" s="206">
        <f t="shared" ca="1" si="141"/>
        <v>1.6</v>
      </c>
      <c r="Z158" s="380">
        <f t="shared" si="142"/>
        <v>33.700000000000003</v>
      </c>
      <c r="AA158" s="203">
        <v>4.05</v>
      </c>
      <c r="AB158" s="203">
        <f t="shared" ca="1" si="143"/>
        <v>4.9999999999999822E-2</v>
      </c>
      <c r="AC158" s="238"/>
      <c r="AG158" t="s">
        <v>404</v>
      </c>
      <c r="AI158" s="367">
        <f t="shared" ca="1" si="138"/>
        <v>46092</v>
      </c>
      <c r="AJ158" s="367" t="b">
        <f t="shared" si="144"/>
        <v>1</v>
      </c>
      <c r="AK158" s="370" t="str">
        <f t="shared" si="145"/>
        <v/>
      </c>
      <c r="AN158">
        <f t="shared" si="146"/>
        <v>0</v>
      </c>
      <c r="AO158">
        <f t="shared" si="147"/>
        <v>1900</v>
      </c>
      <c r="AV158">
        <f t="shared" si="148"/>
        <v>0</v>
      </c>
      <c r="AW158">
        <f t="shared" si="149"/>
        <v>0</v>
      </c>
    </row>
    <row r="159" spans="4:49" ht="15.75" x14ac:dyDescent="0.25">
      <c r="D159" s="199" t="s">
        <v>569</v>
      </c>
      <c r="E159" s="378" t="s">
        <v>376</v>
      </c>
      <c r="F159" s="379">
        <v>202</v>
      </c>
      <c r="G159" s="201" t="s">
        <v>4</v>
      </c>
      <c r="H159" s="219">
        <v>2.4</v>
      </c>
      <c r="I159" s="202">
        <v>45952</v>
      </c>
      <c r="J159" s="200" t="s">
        <v>21</v>
      </c>
      <c r="K159" s="200"/>
      <c r="L159" s="203">
        <v>0.1</v>
      </c>
      <c r="M159" s="204">
        <f ca="1">IF(ISERROR(OFFSET(Tabella!$A$1,MATCH(J159,Tabella!$A:$A,0)-1,MATCH(L159,Tabella!$A$1:$AC$1,0)-1)=TRUE),0,+OFFSET(Tabella!$A$1,MATCH(J159,Tabella!$A:$A,0)-1,MATCH(L159,Tabella!$A$1:$AC$1,0)-1))</f>
        <v>1.4</v>
      </c>
      <c r="N159" s="205">
        <f ca="1">IF(ISERROR(OFFSET(Ottone!$A$1,MATCH(J159,Ottone!$A:$A,0)-1,MATCH(L159,Ottone!$A$1:$Z$1,0)-1)=TRUE),0,OFFSET(Ottone!$A$1,MATCH(J159,Ottone!$A:$A,0)-1,MATCH(L159,Ottone!$A$1:$Z$1,0)-1))*IF(G159="Ottone",1,0)</f>
        <v>0</v>
      </c>
      <c r="O159" s="205">
        <f ca="1">IF(ISERROR(OFFSET(Rame!$A$1,MATCH(J159,Rame!$A:$A,0)-1,MATCH(L159,Rame!$A$1:$AA$1,0)-1)=TRUE),0,OFFSET(Rame!$A$1,MATCH(J159,Rame!$A:$A,0)-1,MATCH(L159,Rame!$A$1:$AA$1,0)-1))*IF(G159="Rame",1,0)</f>
        <v>0</v>
      </c>
      <c r="P159" s="205">
        <v>0</v>
      </c>
      <c r="Q159" s="205">
        <f t="shared" ca="1" si="139"/>
        <v>1.4</v>
      </c>
      <c r="R159" s="205">
        <f ca="1">+IF(ISERROR(OFFSET(Tabella!$G$1,MATCH(J159,Tabella!$G:$G,0)-1,MATCH(K159,Tabella!$G$1:$FG$1,0)-1)=TRUE),0,OFFSET(Tabella!$G$1,MATCH(J159,Tabella!$G:$G,0)-1,MATCH(K159,Tabella!$G$1:$AB$1,0)-1))</f>
        <v>0</v>
      </c>
      <c r="S159" s="205">
        <f ca="1">IF(ISERROR(OFFSET(Ottone!$F$1,MATCH(J159,Ottone!$A:$A,0)-1,MATCH(K159,Ottone!$F$1:$FF$1,0)-1)=TRUE),0,OFFSET(Ottone!$F$1,MATCH(J159,Ottone!$A:$A,0)-1,MATCH(K159,Ottone!$F$1:$FF$1,0)-1))*IF(G159="Ottone",1,0)</f>
        <v>0</v>
      </c>
      <c r="T159" s="205">
        <f ca="1">IF(ISERROR(OFFSET(Rame!$F$1,MATCH(J159,Rame!$F:$F,0)-1,MATCH(K159,Rame!$F$1:$FF$1,0)-1)=TRUE),0,OFFSET(Rame!$F$1,MATCH(J159,Rame!$F:$F,0)-1,MATCH(K159,Rame!$F$1:$FF$1,0)-1))*IF(G159="Rame",1,0)</f>
        <v>0</v>
      </c>
      <c r="U159" s="205">
        <f ca="1">IF(ISERROR(OFFSET(Bronzo!$A$1,MATCH(J159,Bronzo!$A:$A,0)-1,MATCH(K159,Bronzo!$A$1:$AA$1,0)-1)=TRUE),0,OFFSET(Bronzo!$A$1,MATCH(J159,Bronzo!$A:$A,0)-1,MATCH(K159,Bronzo!$A$1:$AA$1,0)-1))</f>
        <v>0</v>
      </c>
      <c r="V159" s="205">
        <f t="shared" ca="1" si="140"/>
        <v>0</v>
      </c>
      <c r="W159" s="204"/>
      <c r="X159" s="205">
        <v>0</v>
      </c>
      <c r="Y159" s="206">
        <f t="shared" ca="1" si="141"/>
        <v>1.4</v>
      </c>
      <c r="Z159" s="380">
        <f t="shared" si="142"/>
        <v>20.200000000000003</v>
      </c>
      <c r="AA159" s="203">
        <v>4</v>
      </c>
      <c r="AB159" s="203">
        <f t="shared" ca="1" si="143"/>
        <v>0.20000000000000018</v>
      </c>
      <c r="AC159" s="238"/>
      <c r="AG159" t="s">
        <v>404</v>
      </c>
      <c r="AI159" s="367">
        <f t="shared" ca="1" si="138"/>
        <v>46092</v>
      </c>
      <c r="AJ159" s="367" t="b">
        <f t="shared" si="144"/>
        <v>1</v>
      </c>
      <c r="AK159" s="370" t="str">
        <f t="shared" si="145"/>
        <v/>
      </c>
      <c r="AN159">
        <f t="shared" si="146"/>
        <v>0</v>
      </c>
      <c r="AO159">
        <f t="shared" si="147"/>
        <v>1900</v>
      </c>
      <c r="AV159">
        <f t="shared" si="148"/>
        <v>0</v>
      </c>
      <c r="AW159">
        <f t="shared" si="149"/>
        <v>0</v>
      </c>
    </row>
    <row r="160" spans="4:49" ht="15.75" x14ac:dyDescent="0.25">
      <c r="D160" s="199" t="s">
        <v>569</v>
      </c>
      <c r="E160" s="378" t="s">
        <v>376</v>
      </c>
      <c r="F160" s="379">
        <v>266</v>
      </c>
      <c r="G160" s="201" t="s">
        <v>4</v>
      </c>
      <c r="H160" s="219">
        <v>2.4</v>
      </c>
      <c r="I160" s="202">
        <v>45952</v>
      </c>
      <c r="J160" s="200" t="s">
        <v>17</v>
      </c>
      <c r="K160" s="200"/>
      <c r="L160" s="203">
        <v>0.1</v>
      </c>
      <c r="M160" s="204"/>
      <c r="N160" s="205"/>
      <c r="O160" s="205"/>
      <c r="P160" s="205"/>
      <c r="Q160" s="205">
        <v>1.4</v>
      </c>
      <c r="R160" s="205"/>
      <c r="S160" s="205"/>
      <c r="T160" s="205"/>
      <c r="U160" s="205"/>
      <c r="V160" s="205"/>
      <c r="W160" s="204"/>
      <c r="X160" s="205"/>
      <c r="Y160" s="206">
        <f t="shared" ref="Y160" si="150">+Q160+V160+W160+X160</f>
        <v>1.4</v>
      </c>
      <c r="Z160" s="380">
        <f t="shared" ref="Z160" si="151">+L160*F160</f>
        <v>26.6</v>
      </c>
      <c r="AA160" s="203">
        <v>4.1500000000000004</v>
      </c>
      <c r="AB160" s="203">
        <f t="shared" si="143"/>
        <v>0.35000000000000053</v>
      </c>
      <c r="AC160" s="238"/>
      <c r="AG160" t="s">
        <v>404</v>
      </c>
      <c r="AJ160" s="367" t="b">
        <f t="shared" si="144"/>
        <v>1</v>
      </c>
      <c r="AK160" s="370"/>
      <c r="AN160">
        <f t="shared" si="146"/>
        <v>0</v>
      </c>
      <c r="AO160">
        <f t="shared" si="147"/>
        <v>1900</v>
      </c>
      <c r="AV160">
        <f t="shared" si="148"/>
        <v>0</v>
      </c>
      <c r="AW160">
        <f t="shared" si="149"/>
        <v>0</v>
      </c>
    </row>
    <row r="161" spans="4:49" ht="15.75" x14ac:dyDescent="0.25">
      <c r="D161" s="199" t="s">
        <v>512</v>
      </c>
      <c r="E161" s="378" t="s">
        <v>208</v>
      </c>
      <c r="F161" s="379">
        <v>1033</v>
      </c>
      <c r="G161" s="201" t="s">
        <v>4</v>
      </c>
      <c r="H161" s="219">
        <v>2.33</v>
      </c>
      <c r="I161" s="202">
        <v>45938</v>
      </c>
      <c r="J161" s="200" t="s">
        <v>13</v>
      </c>
      <c r="K161" s="200"/>
      <c r="L161" s="203">
        <v>7.0000000000000007E-2</v>
      </c>
      <c r="M161" s="204">
        <f ca="1">IF(ISERROR(OFFSET(Tabella!$A$1,MATCH(J161,Tabella!$A:$A,0)-1,MATCH(L161,Tabella!$A$1:$AC$1,0)-1)=TRUE),0,+OFFSET(Tabella!$A$1,MATCH(J161,Tabella!$A:$A,0)-1,MATCH(L161,Tabella!$A$1:$AC$1,0)-1))</f>
        <v>1.4</v>
      </c>
      <c r="N161" s="205">
        <f ca="1">IF(ISERROR(OFFSET(Ottone!$A$1,MATCH(J161,Ottone!$A:$A,0)-1,MATCH(L161,Ottone!$A$1:$Z$1,0)-1)=TRUE),0,OFFSET(Ottone!$A$1,MATCH(J161,Ottone!$A:$A,0)-1,MATCH(L161,Ottone!$A$1:$Z$1,0)-1))*IF(G161="Ottone",1,0)</f>
        <v>0</v>
      </c>
      <c r="O161" s="205">
        <f ca="1">IF(ISERROR(OFFSET(Rame!$A$1,MATCH(J161,Rame!$A:$A,0)-1,MATCH(L161,Rame!$A$1:$AA$1,0)-1)=TRUE),0,OFFSET(Rame!$A$1,MATCH(J161,Rame!$A:$A,0)-1,MATCH(L161,Rame!$A$1:$AA$1,0)-1))*IF(G161="Rame",1,0)</f>
        <v>0</v>
      </c>
      <c r="P161" s="205">
        <v>0</v>
      </c>
      <c r="Q161" s="205">
        <f t="shared" ca="1" si="139"/>
        <v>1.4</v>
      </c>
      <c r="R161" s="205">
        <f ca="1">+IF(ISERROR(OFFSET(Tabella!$G$1,MATCH(J161,Tabella!$G:$G,0)-1,MATCH(K161,Tabella!$G$1:$FG$1,0)-1)=TRUE),0,OFFSET(Tabella!$G$1,MATCH(J161,Tabella!$G:$G,0)-1,MATCH(K161,Tabella!$G$1:$AB$1,0)-1))</f>
        <v>0</v>
      </c>
      <c r="S161" s="205">
        <f ca="1">IF(ISERROR(OFFSET(Ottone!$F$1,MATCH(J161,Ottone!$A:$A,0)-1,MATCH(K161,Ottone!$F$1:$FF$1,0)-1)=TRUE),0,OFFSET(Ottone!$F$1,MATCH(J161,Ottone!$A:$A,0)-1,MATCH(K161,Ottone!$F$1:$FF$1,0)-1))*IF(G161="Ottone",1,0)</f>
        <v>0</v>
      </c>
      <c r="T161" s="205">
        <f ca="1">IF(ISERROR(OFFSET(Rame!$F$1,MATCH(J161,Rame!$F:$F,0)-1,MATCH(K161,Rame!$F$1:$FF$1,0)-1)=TRUE),0,OFFSET(Rame!$F$1,MATCH(J161,Rame!$F:$F,0)-1,MATCH(K161,Rame!$F$1:$FF$1,0)-1))*IF(G161="Rame",1,0)</f>
        <v>0</v>
      </c>
      <c r="U161" s="205">
        <f ca="1">IF(ISERROR(OFFSET(Bronzo!$A$1,MATCH(J161,Bronzo!$A:$A,0)-1,MATCH(K161,Bronzo!$A$1:$AA$1,0)-1)=TRUE),0,OFFSET(Bronzo!$A$1,MATCH(J161,Bronzo!$A:$A,0)-1,MATCH(K161,Bronzo!$A$1:$AA$1,0)-1))</f>
        <v>0</v>
      </c>
      <c r="V161" s="205">
        <f t="shared" ca="1" si="140"/>
        <v>0</v>
      </c>
      <c r="W161" s="204"/>
      <c r="X161" s="205">
        <v>0</v>
      </c>
      <c r="Y161" s="206">
        <f t="shared" ca="1" si="141"/>
        <v>1.4</v>
      </c>
      <c r="Z161" s="380">
        <f t="shared" si="142"/>
        <v>72.31</v>
      </c>
      <c r="AA161" s="203">
        <v>3.98</v>
      </c>
      <c r="AB161" s="203">
        <f t="shared" ca="1" si="143"/>
        <v>0.25</v>
      </c>
      <c r="AC161" s="238"/>
      <c r="AG161" t="s">
        <v>404</v>
      </c>
      <c r="AI161" s="367">
        <f t="shared" ca="1" si="138"/>
        <v>46092</v>
      </c>
      <c r="AJ161" s="367" t="b">
        <f t="shared" si="144"/>
        <v>1</v>
      </c>
      <c r="AK161" s="370" t="str">
        <f t="shared" si="145"/>
        <v/>
      </c>
      <c r="AN161">
        <f t="shared" si="146"/>
        <v>0</v>
      </c>
      <c r="AO161">
        <f t="shared" si="147"/>
        <v>1900</v>
      </c>
      <c r="AV161">
        <f t="shared" si="148"/>
        <v>0</v>
      </c>
      <c r="AW161">
        <f t="shared" si="149"/>
        <v>0</v>
      </c>
    </row>
    <row r="162" spans="4:49" ht="15.75" x14ac:dyDescent="0.25">
      <c r="D162" s="199" t="s">
        <v>489</v>
      </c>
      <c r="E162" s="200" t="s">
        <v>208</v>
      </c>
      <c r="F162" s="287">
        <v>2000</v>
      </c>
      <c r="G162" s="201" t="s">
        <v>4</v>
      </c>
      <c r="H162" s="219">
        <v>2.33</v>
      </c>
      <c r="I162" s="202">
        <v>45938</v>
      </c>
      <c r="J162" s="200" t="s">
        <v>13</v>
      </c>
      <c r="K162" s="200"/>
      <c r="L162" s="203">
        <v>7.0000000000000007E-2</v>
      </c>
      <c r="M162" s="204">
        <f ca="1">IF(ISERROR(OFFSET(Tabella!$A$1,MATCH(J162,Tabella!$A:$A,0)-1,MATCH(L162,Tabella!$A$1:$AC$1,0)-1)=TRUE),0,+OFFSET(Tabella!$A$1,MATCH(J162,Tabella!$A:$A,0)-1,MATCH(L162,Tabella!$A$1:$AC$1,0)-1))</f>
        <v>1.4</v>
      </c>
      <c r="N162" s="205">
        <f ca="1">IF(ISERROR(OFFSET(Ottone!$A$1,MATCH(J162,Ottone!$A:$A,0)-1,MATCH(L162,Ottone!$A$1:$Z$1,0)-1)=TRUE),0,OFFSET(Ottone!$A$1,MATCH(J162,Ottone!$A:$A,0)-1,MATCH(L162,Ottone!$A$1:$Z$1,0)-1))*IF(G162="Ottone",1,0)</f>
        <v>0</v>
      </c>
      <c r="O162" s="205">
        <f ca="1">IF(ISERROR(OFFSET(Rame!$A$1,MATCH(J162,Rame!$A:$A,0)-1,MATCH(L162,Rame!$A$1:$AA$1,0)-1)=TRUE),0,OFFSET(Rame!$A$1,MATCH(J162,Rame!$A:$A,0)-1,MATCH(L162,Rame!$A$1:$AA$1,0)-1))*IF(G162="Rame",1,0)</f>
        <v>0</v>
      </c>
      <c r="P162" s="205">
        <v>0</v>
      </c>
      <c r="Q162" s="205">
        <f t="shared" ca="1" si="139"/>
        <v>1.4</v>
      </c>
      <c r="R162" s="205">
        <f ca="1">+IF(ISERROR(OFFSET(Tabella!$G$1,MATCH(J162,Tabella!$G:$G,0)-1,MATCH(K162,Tabella!$G$1:$FG$1,0)-1)=TRUE),0,OFFSET(Tabella!$G$1,MATCH(J162,Tabella!$G:$G,0)-1,MATCH(K162,Tabella!$G$1:$AB$1,0)-1))</f>
        <v>0</v>
      </c>
      <c r="S162" s="205">
        <f ca="1">IF(ISERROR(OFFSET(Ottone!$F$1,MATCH(J162,Ottone!$A:$A,0)-1,MATCH(K162,Ottone!$F$1:$FF$1,0)-1)=TRUE),0,OFFSET(Ottone!$F$1,MATCH(J162,Ottone!$A:$A,0)-1,MATCH(K162,Ottone!$F$1:$FF$1,0)-1))*IF(G162="Ottone",1,0)</f>
        <v>0</v>
      </c>
      <c r="T162" s="205">
        <f ca="1">IF(ISERROR(OFFSET(Rame!$F$1,MATCH(J162,Rame!$F:$F,0)-1,MATCH(K162,Rame!$F$1:$FF$1,0)-1)=TRUE),0,OFFSET(Rame!$F$1,MATCH(J162,Rame!$F:$F,0)-1,MATCH(K162,Rame!$F$1:$FF$1,0)-1))*IF(G162="Rame",1,0)</f>
        <v>0</v>
      </c>
      <c r="U162" s="205">
        <f ca="1">IF(ISERROR(OFFSET(Bronzo!$A$1,MATCH(J162,Bronzo!$A:$A,0)-1,MATCH(K162,Bronzo!$A$1:$AA$1,0)-1)=TRUE),0,OFFSET(Bronzo!$A$1,MATCH(J162,Bronzo!$A:$A,0)-1,MATCH(K162,Bronzo!$A$1:$AA$1,0)-1))</f>
        <v>0</v>
      </c>
      <c r="V162" s="205">
        <f t="shared" ca="1" si="140"/>
        <v>0</v>
      </c>
      <c r="W162" s="204"/>
      <c r="X162" s="205">
        <v>0</v>
      </c>
      <c r="Y162" s="206">
        <f t="shared" ca="1" si="141"/>
        <v>1.4</v>
      </c>
      <c r="Z162" s="277">
        <f t="shared" si="142"/>
        <v>140</v>
      </c>
      <c r="AA162" s="203">
        <v>3.98</v>
      </c>
      <c r="AB162" s="203">
        <f t="shared" ca="1" si="143"/>
        <v>0.25</v>
      </c>
      <c r="AC162" s="238">
        <v>45996</v>
      </c>
      <c r="AI162" s="367">
        <f t="shared" ca="1" si="138"/>
        <v>46092</v>
      </c>
      <c r="AJ162" s="367" t="b">
        <f t="shared" si="144"/>
        <v>0</v>
      </c>
      <c r="AK162" s="370">
        <f t="shared" ca="1" si="145"/>
        <v>-96</v>
      </c>
      <c r="AN162">
        <f t="shared" si="146"/>
        <v>49</v>
      </c>
      <c r="AO162">
        <f t="shared" si="147"/>
        <v>2025</v>
      </c>
      <c r="AV162">
        <f t="shared" si="148"/>
        <v>12</v>
      </c>
      <c r="AW162">
        <f t="shared" si="149"/>
        <v>2025</v>
      </c>
    </row>
    <row r="163" spans="4:49" ht="15.75" x14ac:dyDescent="0.25">
      <c r="D163" s="199" t="s">
        <v>534</v>
      </c>
      <c r="E163" s="378" t="s">
        <v>399</v>
      </c>
      <c r="F163" s="379">
        <v>2844</v>
      </c>
      <c r="G163" s="201" t="s">
        <v>4</v>
      </c>
      <c r="H163" s="219">
        <v>2.1800000000000002</v>
      </c>
      <c r="I163" s="202">
        <v>45806</v>
      </c>
      <c r="J163" s="200" t="s">
        <v>25</v>
      </c>
      <c r="K163" s="200"/>
      <c r="L163" s="203">
        <v>7.0000000000000007E-2</v>
      </c>
      <c r="M163" s="204">
        <f ca="1">IF(ISERROR(OFFSET(Tabella!$A$1,MATCH(J163,Tabella!$A:$A,0)-1,MATCH(L163,Tabella!$A$1:$AC$1,0)-1)=TRUE),0,+OFFSET(Tabella!$A$1,MATCH(J163,Tabella!$A:$A,0)-1,MATCH(L163,Tabella!$A$1:$AC$1,0)-1))</f>
        <v>1.25</v>
      </c>
      <c r="N163" s="205">
        <f ca="1">IF(ISERROR(OFFSET(Ottone!$A$1,MATCH(J163,Ottone!$A:$A,0)-1,MATCH(L163,Ottone!$A$1:$Z$1,0)-1)=TRUE),0,OFFSET(Ottone!$A$1,MATCH(J163,Ottone!$A:$A,0)-1,MATCH(L163,Ottone!$A$1:$Z$1,0)-1))*IF(G163="Ottone",1,0)</f>
        <v>0</v>
      </c>
      <c r="O163" s="205">
        <f ca="1">IF(ISERROR(OFFSET(Rame!$A$1,MATCH(J163,Rame!$A:$A,0)-1,MATCH(L163,Rame!$A$1:$AA$1,0)-1)=TRUE),0,OFFSET(Rame!$A$1,MATCH(J163,Rame!$A:$A,0)-1,MATCH(L163,Rame!$A$1:$AA$1,0)-1))*IF(G163="Rame",1,0)</f>
        <v>0</v>
      </c>
      <c r="P163" s="205">
        <v>0</v>
      </c>
      <c r="Q163" s="205">
        <f t="shared" ca="1" si="139"/>
        <v>1.25</v>
      </c>
      <c r="R163" s="205">
        <f ca="1">+IF(ISERROR(OFFSET(Tabella!$G$1,MATCH(J163,Tabella!$G:$G,0)-1,MATCH(K163,Tabella!$G$1:$FG$1,0)-1)=TRUE),0,OFFSET(Tabella!$G$1,MATCH(J163,Tabella!$G:$G,0)-1,MATCH(K163,Tabella!$G$1:$AB$1,0)-1))</f>
        <v>0</v>
      </c>
      <c r="S163" s="205">
        <f ca="1">IF(ISERROR(OFFSET(Ottone!$F$1,MATCH(J163,Ottone!$A:$A,0)-1,MATCH(K163,Ottone!$F$1:$FF$1,0)-1)=TRUE),0,OFFSET(Ottone!$F$1,MATCH(J163,Ottone!$A:$A,0)-1,MATCH(K163,Ottone!$F$1:$FF$1,0)-1))*IF(G163="Ottone",1,0)</f>
        <v>0</v>
      </c>
      <c r="T163" s="205">
        <f ca="1">IF(ISERROR(OFFSET(Rame!$F$1,MATCH(J163,Rame!$F:$F,0)-1,MATCH(K163,Rame!$F$1:$FF$1,0)-1)=TRUE),0,OFFSET(Rame!$F$1,MATCH(J163,Rame!$F:$F,0)-1,MATCH(K163,Rame!$F$1:$FF$1,0)-1))*IF(G163="Rame",1,0)</f>
        <v>0</v>
      </c>
      <c r="U163" s="205">
        <f ca="1">IF(ISERROR(OFFSET(Bronzo!$A$1,MATCH(J163,Bronzo!$A:$A,0)-1,MATCH(K163,Bronzo!$A$1:$AA$1,0)-1)=TRUE),0,OFFSET(Bronzo!$A$1,MATCH(J163,Bronzo!$A:$A,0)-1,MATCH(K163,Bronzo!$A$1:$AA$1,0)-1))</f>
        <v>0</v>
      </c>
      <c r="V163" s="205">
        <f t="shared" ca="1" si="140"/>
        <v>0</v>
      </c>
      <c r="W163" s="204"/>
      <c r="X163" s="205">
        <v>0</v>
      </c>
      <c r="Y163" s="206">
        <f t="shared" ca="1" si="141"/>
        <v>1.25</v>
      </c>
      <c r="Z163" s="380">
        <f t="shared" si="142"/>
        <v>199.08</v>
      </c>
      <c r="AA163" s="203">
        <v>3.72</v>
      </c>
      <c r="AB163" s="203">
        <f t="shared" ca="1" si="143"/>
        <v>0.29000000000000004</v>
      </c>
      <c r="AC163" s="238"/>
      <c r="AG163" t="s">
        <v>404</v>
      </c>
      <c r="AI163" s="367">
        <f t="shared" ca="1" si="138"/>
        <v>46092</v>
      </c>
      <c r="AJ163" s="367" t="b">
        <f t="shared" si="144"/>
        <v>1</v>
      </c>
      <c r="AK163" s="370" t="str">
        <f t="shared" si="145"/>
        <v/>
      </c>
      <c r="AN163">
        <f t="shared" si="146"/>
        <v>0</v>
      </c>
      <c r="AO163">
        <f t="shared" si="147"/>
        <v>1900</v>
      </c>
      <c r="AV163">
        <f t="shared" si="148"/>
        <v>0</v>
      </c>
      <c r="AW163">
        <f t="shared" si="149"/>
        <v>0</v>
      </c>
    </row>
    <row r="164" spans="4:49" ht="15.75" x14ac:dyDescent="0.25">
      <c r="D164" s="199" t="s">
        <v>534</v>
      </c>
      <c r="E164" s="378" t="s">
        <v>399</v>
      </c>
      <c r="F164" s="379">
        <v>2066</v>
      </c>
      <c r="G164" s="201" t="s">
        <v>4</v>
      </c>
      <c r="H164" s="219">
        <v>2.1800000000000002</v>
      </c>
      <c r="I164" s="202">
        <v>45806</v>
      </c>
      <c r="J164" s="200" t="s">
        <v>23</v>
      </c>
      <c r="K164" s="200"/>
      <c r="L164" s="203">
        <v>7.0000000000000007E-2</v>
      </c>
      <c r="M164" s="204">
        <f ca="1">IF(ISERROR(OFFSET(Tabella!$A$1,MATCH(J164,Tabella!$A:$A,0)-1,MATCH(L164,Tabella!$A$1:$AC$1,0)-1)=TRUE),0,+OFFSET(Tabella!$A$1,MATCH(J164,Tabella!$A:$A,0)-1,MATCH(L164,Tabella!$A$1:$AC$1,0)-1))</f>
        <v>1.25</v>
      </c>
      <c r="N164" s="205">
        <f ca="1">IF(ISERROR(OFFSET(Ottone!$A$1,MATCH(J164,Ottone!$A:$A,0)-1,MATCH(L164,Ottone!$A$1:$Z$1,0)-1)=TRUE),0,OFFSET(Ottone!$A$1,MATCH(J164,Ottone!$A:$A,0)-1,MATCH(L164,Ottone!$A$1:$Z$1,0)-1))*IF(G164="Ottone",1,0)</f>
        <v>0</v>
      </c>
      <c r="O164" s="205">
        <f ca="1">IF(ISERROR(OFFSET(Rame!$A$1,MATCH(J164,Rame!$A:$A,0)-1,MATCH(L164,Rame!$A$1:$AA$1,0)-1)=TRUE),0,OFFSET(Rame!$A$1,MATCH(J164,Rame!$A:$A,0)-1,MATCH(L164,Rame!$A$1:$AA$1,0)-1))*IF(G164="Rame",1,0)</f>
        <v>0</v>
      </c>
      <c r="P164" s="205">
        <v>0</v>
      </c>
      <c r="Q164" s="205">
        <f t="shared" ca="1" si="139"/>
        <v>1.25</v>
      </c>
      <c r="R164" s="205">
        <f ca="1">+IF(ISERROR(OFFSET(Tabella!$G$1,MATCH(J164,Tabella!$G:$G,0)-1,MATCH(K164,Tabella!$G$1:$FG$1,0)-1)=TRUE),0,OFFSET(Tabella!$G$1,MATCH(J164,Tabella!$G:$G,0)-1,MATCH(K164,Tabella!$G$1:$AB$1,0)-1))</f>
        <v>0</v>
      </c>
      <c r="S164" s="205">
        <f ca="1">IF(ISERROR(OFFSET(Ottone!$F$1,MATCH(J164,Ottone!$A:$A,0)-1,MATCH(K164,Ottone!$F$1:$FF$1,0)-1)=TRUE),0,OFFSET(Ottone!$F$1,MATCH(J164,Ottone!$A:$A,0)-1,MATCH(K164,Ottone!$F$1:$FF$1,0)-1))*IF(G164="Ottone",1,0)</f>
        <v>0</v>
      </c>
      <c r="T164" s="205">
        <f ca="1">IF(ISERROR(OFFSET(Rame!$F$1,MATCH(J164,Rame!$F:$F,0)-1,MATCH(K164,Rame!$F$1:$FF$1,0)-1)=TRUE),0,OFFSET(Rame!$F$1,MATCH(J164,Rame!$F:$F,0)-1,MATCH(K164,Rame!$F$1:$FF$1,0)-1))*IF(G164="Rame",1,0)</f>
        <v>0</v>
      </c>
      <c r="U164" s="205">
        <f ca="1">IF(ISERROR(OFFSET(Bronzo!$A$1,MATCH(J164,Bronzo!$A:$A,0)-1,MATCH(K164,Bronzo!$A$1:$AA$1,0)-1)=TRUE),0,OFFSET(Bronzo!$A$1,MATCH(J164,Bronzo!$A:$A,0)-1,MATCH(K164,Bronzo!$A$1:$AA$1,0)-1))</f>
        <v>0</v>
      </c>
      <c r="V164" s="205">
        <f t="shared" ca="1" si="140"/>
        <v>0</v>
      </c>
      <c r="W164" s="204"/>
      <c r="X164" s="205">
        <v>0</v>
      </c>
      <c r="Y164" s="206">
        <f t="shared" ca="1" si="141"/>
        <v>1.25</v>
      </c>
      <c r="Z164" s="380">
        <f t="shared" si="142"/>
        <v>144.62</v>
      </c>
      <c r="AA164" s="203">
        <v>3.72</v>
      </c>
      <c r="AB164" s="203">
        <f t="shared" ca="1" si="143"/>
        <v>0.29000000000000004</v>
      </c>
      <c r="AC164" s="238"/>
      <c r="AG164" t="s">
        <v>404</v>
      </c>
      <c r="AI164" s="367">
        <f t="shared" ca="1" si="138"/>
        <v>46092</v>
      </c>
      <c r="AJ164" s="367" t="b">
        <f t="shared" si="144"/>
        <v>1</v>
      </c>
      <c r="AK164" s="370" t="str">
        <f t="shared" si="145"/>
        <v/>
      </c>
      <c r="AN164">
        <f t="shared" si="146"/>
        <v>0</v>
      </c>
      <c r="AO164">
        <f t="shared" si="147"/>
        <v>1900</v>
      </c>
      <c r="AV164">
        <f t="shared" si="148"/>
        <v>0</v>
      </c>
      <c r="AW164">
        <f t="shared" si="149"/>
        <v>0</v>
      </c>
    </row>
    <row r="165" spans="4:49" ht="15.75" x14ac:dyDescent="0.25">
      <c r="D165" s="199" t="s">
        <v>545</v>
      </c>
      <c r="E165" s="378" t="s">
        <v>488</v>
      </c>
      <c r="F165" s="379">
        <v>4200</v>
      </c>
      <c r="G165" s="201" t="s">
        <v>4</v>
      </c>
      <c r="H165" s="219">
        <v>2.4500000000000002</v>
      </c>
      <c r="I165" s="202">
        <v>45957</v>
      </c>
      <c r="J165" s="200" t="s">
        <v>326</v>
      </c>
      <c r="K165" s="200"/>
      <c r="L165" s="203">
        <v>7.0000000000000007E-2</v>
      </c>
      <c r="M165" s="204">
        <f ca="1">IF(ISERROR(OFFSET(Tabella!$A$1,MATCH(J165,Tabella!$A:$A,0)-1,MATCH(L165,Tabella!$A$1:$AC$1,0)-1)=TRUE),0,+OFFSET(Tabella!$A$1,MATCH(J165,Tabella!$A:$A,0)-1,MATCH(L165,Tabella!$A$1:$AC$1,0)-1))</f>
        <v>1.25</v>
      </c>
      <c r="N165" s="205">
        <f ca="1">IF(ISERROR(OFFSET(Ottone!$A$1,MATCH(J165,Ottone!$A:$A,0)-1,MATCH(L165,Ottone!$A$1:$Z$1,0)-1)=TRUE),0,OFFSET(Ottone!$A$1,MATCH(J165,Ottone!$A:$A,0)-1,MATCH(L165,Ottone!$A$1:$Z$1,0)-1))*IF(G165="Ottone",1,0)</f>
        <v>0</v>
      </c>
      <c r="O165" s="205">
        <f ca="1">IF(ISERROR(OFFSET(Rame!$A$1,MATCH(J165,Rame!$A:$A,0)-1,MATCH(L165,Rame!$A$1:$AA$1,0)-1)=TRUE),0,OFFSET(Rame!$A$1,MATCH(J165,Rame!$A:$A,0)-1,MATCH(L165,Rame!$A$1:$AA$1,0)-1))*IF(G165="Rame",1,0)</f>
        <v>0</v>
      </c>
      <c r="P165" s="205">
        <v>0</v>
      </c>
      <c r="Q165" s="205">
        <f t="shared" ca="1" si="139"/>
        <v>1.25</v>
      </c>
      <c r="R165" s="205">
        <f ca="1">+IF(ISERROR(OFFSET(Tabella!$G$1,MATCH(J165,Tabella!$G:$G,0)-1,MATCH(K165,Tabella!$G$1:$FG$1,0)-1)=TRUE),0,OFFSET(Tabella!$G$1,MATCH(J165,Tabella!$G:$G,0)-1,MATCH(K165,Tabella!$G$1:$AB$1,0)-1))</f>
        <v>0</v>
      </c>
      <c r="S165" s="205">
        <f ca="1">IF(ISERROR(OFFSET(Ottone!$F$1,MATCH(J165,Ottone!$A:$A,0)-1,MATCH(K165,Ottone!$F$1:$FF$1,0)-1)=TRUE),0,OFFSET(Ottone!$F$1,MATCH(J165,Ottone!$A:$A,0)-1,MATCH(K165,Ottone!$F$1:$FF$1,0)-1))*IF(G165="Ottone",1,0)</f>
        <v>0</v>
      </c>
      <c r="T165" s="205">
        <f ca="1">IF(ISERROR(OFFSET(Rame!$F$1,MATCH(J165,Rame!$F:$F,0)-1,MATCH(K165,Rame!$F$1:$FF$1,0)-1)=TRUE),0,OFFSET(Rame!$F$1,MATCH(J165,Rame!$F:$F,0)-1,MATCH(K165,Rame!$F$1:$FF$1,0)-1))*IF(G165="Rame",1,0)</f>
        <v>0</v>
      </c>
      <c r="U165" s="205">
        <f ca="1">IF(ISERROR(OFFSET(Bronzo!$A$1,MATCH(J165,Bronzo!$A:$A,0)-1,MATCH(K165,Bronzo!$A$1:$AA$1,0)-1)=TRUE),0,OFFSET(Bronzo!$A$1,MATCH(J165,Bronzo!$A:$A,0)-1,MATCH(K165,Bronzo!$A$1:$AA$1,0)-1))</f>
        <v>0</v>
      </c>
      <c r="V165" s="205">
        <f t="shared" ca="1" si="140"/>
        <v>0</v>
      </c>
      <c r="W165" s="204"/>
      <c r="X165" s="205">
        <v>0</v>
      </c>
      <c r="Y165" s="206">
        <f t="shared" ca="1" si="141"/>
        <v>1.25</v>
      </c>
      <c r="Z165" s="380">
        <f t="shared" si="142"/>
        <v>294</v>
      </c>
      <c r="AA165" s="203">
        <v>3.95</v>
      </c>
      <c r="AB165" s="203">
        <f t="shared" ca="1" si="143"/>
        <v>0.25</v>
      </c>
      <c r="AC165" s="238"/>
      <c r="AG165" t="s">
        <v>404</v>
      </c>
      <c r="AH165" t="s">
        <v>546</v>
      </c>
      <c r="AI165" s="367">
        <f t="shared" ca="1" si="138"/>
        <v>46092</v>
      </c>
      <c r="AJ165" s="367" t="b">
        <f t="shared" si="144"/>
        <v>1</v>
      </c>
      <c r="AK165" s="370" t="str">
        <f t="shared" si="145"/>
        <v/>
      </c>
      <c r="AN165">
        <f t="shared" si="146"/>
        <v>0</v>
      </c>
      <c r="AO165">
        <f t="shared" si="147"/>
        <v>1900</v>
      </c>
      <c r="AV165">
        <f t="shared" si="148"/>
        <v>0</v>
      </c>
      <c r="AW165">
        <f t="shared" si="149"/>
        <v>0</v>
      </c>
    </row>
    <row r="166" spans="4:49" ht="15.75" x14ac:dyDescent="0.25">
      <c r="D166" s="199" t="s">
        <v>491</v>
      </c>
      <c r="E166" s="200" t="s">
        <v>592</v>
      </c>
      <c r="F166" s="287">
        <v>480</v>
      </c>
      <c r="G166" s="201" t="s">
        <v>4</v>
      </c>
      <c r="H166" s="219">
        <v>2.4500000000000002</v>
      </c>
      <c r="I166" s="202">
        <v>45957</v>
      </c>
      <c r="J166" s="200" t="s">
        <v>28</v>
      </c>
      <c r="K166" s="200"/>
      <c r="L166" s="203">
        <v>0.13</v>
      </c>
      <c r="M166" s="204">
        <f ca="1">IF(ISERROR(OFFSET(Tabella!$A$1,MATCH(J166,Tabella!$A:$A,0)-1,MATCH(L166,Tabella!$A$1:$AC$1,0)-1)=TRUE),0,+OFFSET(Tabella!$A$1,MATCH(J166,Tabella!$A:$A,0)-1,MATCH(L166,Tabella!$A$1:$AC$1,0)-1))</f>
        <v>0</v>
      </c>
      <c r="N166" s="205">
        <f ca="1">IF(ISERROR(OFFSET(Ottone!$A$1,MATCH(J166,Ottone!$A:$A,0)-1,MATCH(L166,Ottone!$A$1:$Z$1,0)-1)=TRUE),0,OFFSET(Ottone!$A$1,MATCH(J166,Ottone!$A:$A,0)-1,MATCH(L166,Ottone!$A$1:$Z$1,0)-1))*IF(G166="Ottone",1,0)</f>
        <v>0</v>
      </c>
      <c r="O166" s="205">
        <f ca="1">IF(ISERROR(OFFSET(Rame!$A$1,MATCH(J166,Rame!$A:$A,0)-1,MATCH(L166,Rame!$A$1:$AA$1,0)-1)=TRUE),0,OFFSET(Rame!$A$1,MATCH(J166,Rame!$A:$A,0)-1,MATCH(L166,Rame!$A$1:$AA$1,0)-1))*IF(G166="Rame",1,0)</f>
        <v>0</v>
      </c>
      <c r="P166" s="205">
        <v>0</v>
      </c>
      <c r="Q166" s="205">
        <v>1.79</v>
      </c>
      <c r="R166" s="205">
        <f ca="1">+IF(ISERROR(OFFSET(Tabella!$G$1,MATCH(J166,Tabella!$G:$G,0)-1,MATCH(K166,Tabella!$G$1:$FG$1,0)-1)=TRUE),0,OFFSET(Tabella!$G$1,MATCH(J166,Tabella!$G:$G,0)-1,MATCH(K166,Tabella!$G$1:$AB$1,0)-1))</f>
        <v>0</v>
      </c>
      <c r="S166" s="205">
        <f ca="1">IF(ISERROR(OFFSET(Ottone!$F$1,MATCH(J166,Ottone!$A:$A,0)-1,MATCH(K166,Ottone!$F$1:$FF$1,0)-1)=TRUE),0,OFFSET(Ottone!$F$1,MATCH(J166,Ottone!$A:$A,0)-1,MATCH(K166,Ottone!$F$1:$FF$1,0)-1))*IF(G166="Ottone",1,0)</f>
        <v>0</v>
      </c>
      <c r="T166" s="205">
        <f ca="1">IF(ISERROR(OFFSET(Rame!$F$1,MATCH(J166,Rame!$F:$F,0)-1,MATCH(K166,Rame!$F$1:$FF$1,0)-1)=TRUE),0,OFFSET(Rame!$F$1,MATCH(J166,Rame!$F:$F,0)-1,MATCH(K166,Rame!$F$1:$FF$1,0)-1))*IF(G166="Rame",1,0)</f>
        <v>0</v>
      </c>
      <c r="U166" s="205">
        <f ca="1">IF(ISERROR(OFFSET(Bronzo!$A$1,MATCH(J166,Bronzo!$A:$A,0)-1,MATCH(K166,Bronzo!$A$1:$AA$1,0)-1)=TRUE),0,OFFSET(Bronzo!$A$1,MATCH(J166,Bronzo!$A:$A,0)-1,MATCH(K166,Bronzo!$A$1:$AA$1,0)-1))</f>
        <v>0</v>
      </c>
      <c r="V166" s="205">
        <f t="shared" ca="1" si="140"/>
        <v>0</v>
      </c>
      <c r="W166" s="204"/>
      <c r="X166" s="205">
        <v>0</v>
      </c>
      <c r="Y166" s="206">
        <f t="shared" ca="1" si="141"/>
        <v>1.79</v>
      </c>
      <c r="Z166" s="277">
        <f t="shared" si="142"/>
        <v>62.400000000000006</v>
      </c>
      <c r="AA166" s="203">
        <v>4.5</v>
      </c>
      <c r="AB166" s="203">
        <f t="shared" ca="1" si="143"/>
        <v>0.25999999999999979</v>
      </c>
      <c r="AC166" s="238">
        <v>45994</v>
      </c>
      <c r="AI166" s="367">
        <f t="shared" ca="1" si="138"/>
        <v>46092</v>
      </c>
      <c r="AJ166" s="367" t="b">
        <f t="shared" si="144"/>
        <v>0</v>
      </c>
      <c r="AK166" s="370">
        <f t="shared" ca="1" si="145"/>
        <v>-98</v>
      </c>
      <c r="AN166">
        <f t="shared" si="146"/>
        <v>49</v>
      </c>
      <c r="AO166">
        <f t="shared" si="147"/>
        <v>2025</v>
      </c>
      <c r="AV166">
        <f t="shared" si="148"/>
        <v>12</v>
      </c>
      <c r="AW166">
        <f t="shared" si="149"/>
        <v>2025</v>
      </c>
    </row>
    <row r="167" spans="4:49" ht="15.75" x14ac:dyDescent="0.25">
      <c r="D167" s="199" t="s">
        <v>565</v>
      </c>
      <c r="E167" s="378" t="s">
        <v>228</v>
      </c>
      <c r="F167" s="379">
        <v>234</v>
      </c>
      <c r="G167" s="201" t="s">
        <v>4</v>
      </c>
      <c r="H167" s="219">
        <v>2.4500000000000002</v>
      </c>
      <c r="I167" s="202">
        <v>45957</v>
      </c>
      <c r="J167" s="200" t="s">
        <v>17</v>
      </c>
      <c r="K167" s="200"/>
      <c r="L167" s="203">
        <v>0.3</v>
      </c>
      <c r="M167" s="204">
        <f ca="1">IF(ISERROR(OFFSET(Tabella!$A$1,MATCH(J167,Tabella!$A:$A,0)-1,MATCH(L167,Tabella!$A$1:$AC$1,0)-1)=TRUE),0,+OFFSET(Tabella!$A$1,MATCH(J167,Tabella!$A:$A,0)-1,MATCH(L167,Tabella!$A$1:$AC$1,0)-1))</f>
        <v>0</v>
      </c>
      <c r="N167" s="205">
        <f ca="1">IF(ISERROR(OFFSET(Ottone!$A$1,MATCH(J167,Ottone!$A:$A,0)-1,MATCH(L167,Ottone!$A$1:$Z$1,0)-1)=TRUE),0,OFFSET(Ottone!$A$1,MATCH(J167,Ottone!$A:$A,0)-1,MATCH(L167,Ottone!$A$1:$Z$1,0)-1))*IF(G167="Ottone",1,0)</f>
        <v>0</v>
      </c>
      <c r="O167" s="205">
        <f ca="1">IF(ISERROR(OFFSET(Rame!$A$1,MATCH(J167,Rame!$A:$A,0)-1,MATCH(L167,Rame!$A$1:$AA$1,0)-1)=TRUE),0,OFFSET(Rame!$A$1,MATCH(J167,Rame!$A:$A,0)-1,MATCH(L167,Rame!$A$1:$AA$1,0)-1))*IF(G167="Rame",1,0)</f>
        <v>0</v>
      </c>
      <c r="P167" s="205">
        <v>0</v>
      </c>
      <c r="Q167" s="205">
        <v>1.6</v>
      </c>
      <c r="R167" s="205">
        <f ca="1">+IF(ISERROR(OFFSET(Tabella!$G$1,MATCH(J167,Tabella!$G:$G,0)-1,MATCH(K167,Tabella!$G$1:$FG$1,0)-1)=TRUE),0,OFFSET(Tabella!$G$1,MATCH(J167,Tabella!$G:$G,0)-1,MATCH(K167,Tabella!$G$1:$AB$1,0)-1))</f>
        <v>0</v>
      </c>
      <c r="S167" s="205">
        <f ca="1">IF(ISERROR(OFFSET(Ottone!$F$1,MATCH(J167,Ottone!$A:$A,0)-1,MATCH(K167,Ottone!$F$1:$FF$1,0)-1)=TRUE),0,OFFSET(Ottone!$F$1,MATCH(J167,Ottone!$A:$A,0)-1,MATCH(K167,Ottone!$F$1:$FF$1,0)-1))*IF(G167="Ottone",1,0)</f>
        <v>0</v>
      </c>
      <c r="T167" s="205">
        <f ca="1">IF(ISERROR(OFFSET(Rame!$F$1,MATCH(J167,Rame!$F:$F,0)-1,MATCH(K167,Rame!$F$1:$FF$1,0)-1)=TRUE),0,OFFSET(Rame!$F$1,MATCH(J167,Rame!$F:$F,0)-1,MATCH(K167,Rame!$F$1:$FF$1,0)-1))*IF(G167="Rame",1,0)</f>
        <v>0</v>
      </c>
      <c r="U167" s="205">
        <f ca="1">IF(ISERROR(OFFSET(Bronzo!$A$1,MATCH(J167,Bronzo!$A:$A,0)-1,MATCH(K167,Bronzo!$A$1:$AA$1,0)-1)=TRUE),0,OFFSET(Bronzo!$A$1,MATCH(J167,Bronzo!$A:$A,0)-1,MATCH(K167,Bronzo!$A$1:$AA$1,0)-1))</f>
        <v>0</v>
      </c>
      <c r="V167" s="205">
        <f t="shared" ca="1" si="140"/>
        <v>0</v>
      </c>
      <c r="W167" s="204"/>
      <c r="X167" s="205">
        <v>0</v>
      </c>
      <c r="Y167" s="206">
        <f t="shared" ca="1" si="141"/>
        <v>1.6</v>
      </c>
      <c r="Z167" s="380">
        <f t="shared" si="142"/>
        <v>70.2</v>
      </c>
      <c r="AA167" s="203">
        <v>5.8</v>
      </c>
      <c r="AB167" s="203">
        <f t="shared" ca="1" si="143"/>
        <v>1.7499999999999991</v>
      </c>
      <c r="AC167" s="238"/>
      <c r="AG167" t="s">
        <v>404</v>
      </c>
      <c r="AI167" s="367">
        <f t="shared" ca="1" si="138"/>
        <v>46092</v>
      </c>
      <c r="AJ167" s="367" t="b">
        <f t="shared" si="144"/>
        <v>1</v>
      </c>
      <c r="AK167" s="370" t="str">
        <f t="shared" si="145"/>
        <v/>
      </c>
      <c r="AN167">
        <f t="shared" si="146"/>
        <v>0</v>
      </c>
      <c r="AO167">
        <f t="shared" si="147"/>
        <v>1900</v>
      </c>
      <c r="AV167">
        <f t="shared" si="148"/>
        <v>0</v>
      </c>
      <c r="AW167">
        <f t="shared" si="149"/>
        <v>0</v>
      </c>
    </row>
    <row r="168" spans="4:49" ht="15.75" x14ac:dyDescent="0.25">
      <c r="D168" s="199" t="s">
        <v>603</v>
      </c>
      <c r="E168" s="378" t="s">
        <v>297</v>
      </c>
      <c r="F168" s="379">
        <v>745</v>
      </c>
      <c r="G168" s="201" t="s">
        <v>4</v>
      </c>
      <c r="H168" s="219">
        <v>2.4500000000000002</v>
      </c>
      <c r="I168" s="202">
        <v>45957</v>
      </c>
      <c r="J168" s="200" t="s">
        <v>21</v>
      </c>
      <c r="K168" s="200"/>
      <c r="L168" s="203">
        <v>7.0000000000000007E-2</v>
      </c>
      <c r="M168" s="204">
        <f ca="1">IF(ISERROR(OFFSET(Tabella!$A$1,MATCH(J168,Tabella!$A:$A,0)-1,MATCH(L168,Tabella!$A$1:$AC$1,0)-1)=TRUE),0,+OFFSET(Tabella!$A$1,MATCH(J168,Tabella!$A:$A,0)-1,MATCH(L168,Tabella!$A$1:$AC$1,0)-1))</f>
        <v>1.25</v>
      </c>
      <c r="N168" s="205">
        <f ca="1">IF(ISERROR(OFFSET(Ottone!$A$1,MATCH(J168,Ottone!$A:$A,0)-1,MATCH(L168,Ottone!$A$1:$Z$1,0)-1)=TRUE),0,OFFSET(Ottone!$A$1,MATCH(J168,Ottone!$A:$A,0)-1,MATCH(L168,Ottone!$A$1:$Z$1,0)-1))*IF(G168="Ottone",1,0)</f>
        <v>0</v>
      </c>
      <c r="O168" s="205">
        <f ca="1">IF(ISERROR(OFFSET(Rame!$A$1,MATCH(J168,Rame!$A:$A,0)-1,MATCH(L168,Rame!$A$1:$AA$1,0)-1)=TRUE),0,OFFSET(Rame!$A$1,MATCH(J168,Rame!$A:$A,0)-1,MATCH(L168,Rame!$A$1:$AA$1,0)-1))*IF(G168="Rame",1,0)</f>
        <v>0</v>
      </c>
      <c r="P168" s="205">
        <v>0</v>
      </c>
      <c r="Q168" s="205">
        <f t="shared" ca="1" si="139"/>
        <v>1.25</v>
      </c>
      <c r="R168" s="205">
        <f ca="1">+IF(ISERROR(OFFSET(Tabella!$G$1,MATCH(J168,Tabella!$G:$G,0)-1,MATCH(K168,Tabella!$G$1:$FG$1,0)-1)=TRUE),0,OFFSET(Tabella!$G$1,MATCH(J168,Tabella!$G:$G,0)-1,MATCH(K168,Tabella!$G$1:$AB$1,0)-1))</f>
        <v>0</v>
      </c>
      <c r="S168" s="205">
        <f ca="1">IF(ISERROR(OFFSET(Ottone!$F$1,MATCH(J168,Ottone!$A:$A,0)-1,MATCH(K168,Ottone!$F$1:$FF$1,0)-1)=TRUE),0,OFFSET(Ottone!$F$1,MATCH(J168,Ottone!$A:$A,0)-1,MATCH(K168,Ottone!$F$1:$FF$1,0)-1))*IF(G168="Ottone",1,0)</f>
        <v>0</v>
      </c>
      <c r="T168" s="205">
        <f ca="1">IF(ISERROR(OFFSET(Rame!$F$1,MATCH(J168,Rame!$F:$F,0)-1,MATCH(K168,Rame!$F$1:$FF$1,0)-1)=TRUE),0,OFFSET(Rame!$F$1,MATCH(J168,Rame!$F:$F,0)-1,MATCH(K168,Rame!$F$1:$FF$1,0)-1))*IF(G168="Rame",1,0)</f>
        <v>0</v>
      </c>
      <c r="U168" s="205">
        <f ca="1">IF(ISERROR(OFFSET(Bronzo!$A$1,MATCH(J168,Bronzo!$A:$A,0)-1,MATCH(K168,Bronzo!$A$1:$AA$1,0)-1)=TRUE),0,OFFSET(Bronzo!$A$1,MATCH(J168,Bronzo!$A:$A,0)-1,MATCH(K168,Bronzo!$A$1:$AA$1,0)-1))</f>
        <v>0</v>
      </c>
      <c r="V168" s="205">
        <f t="shared" ca="1" si="140"/>
        <v>0</v>
      </c>
      <c r="W168" s="204"/>
      <c r="X168" s="205">
        <v>0</v>
      </c>
      <c r="Y168" s="206">
        <f t="shared" ca="1" si="141"/>
        <v>1.25</v>
      </c>
      <c r="Z168" s="380">
        <f t="shared" si="142"/>
        <v>52.150000000000006</v>
      </c>
      <c r="AA168" s="203">
        <v>3.95</v>
      </c>
      <c r="AB168" s="203">
        <f t="shared" ca="1" si="143"/>
        <v>0.25</v>
      </c>
      <c r="AC168" s="238"/>
      <c r="AG168" t="s">
        <v>404</v>
      </c>
      <c r="AI168" s="367">
        <f t="shared" ca="1" si="138"/>
        <v>46092</v>
      </c>
      <c r="AJ168" s="367" t="b">
        <f t="shared" si="144"/>
        <v>1</v>
      </c>
      <c r="AK168" s="370" t="str">
        <f t="shared" si="145"/>
        <v/>
      </c>
      <c r="AN168">
        <f t="shared" si="146"/>
        <v>0</v>
      </c>
      <c r="AO168">
        <f t="shared" si="147"/>
        <v>1900</v>
      </c>
      <c r="AV168">
        <f t="shared" si="148"/>
        <v>0</v>
      </c>
      <c r="AW168">
        <f t="shared" si="149"/>
        <v>0</v>
      </c>
    </row>
    <row r="169" spans="4:49" ht="15.75" x14ac:dyDescent="0.25">
      <c r="D169" s="199" t="s">
        <v>603</v>
      </c>
      <c r="E169" s="378" t="s">
        <v>297</v>
      </c>
      <c r="F169" s="379">
        <v>820</v>
      </c>
      <c r="G169" s="201" t="s">
        <v>4</v>
      </c>
      <c r="H169" s="219">
        <v>2.4500000000000002</v>
      </c>
      <c r="I169" s="202">
        <v>45957</v>
      </c>
      <c r="J169" s="200" t="s">
        <v>19</v>
      </c>
      <c r="K169" s="200"/>
      <c r="L169" s="203">
        <v>7.0000000000000007E-2</v>
      </c>
      <c r="M169" s="204">
        <f ca="1">IF(ISERROR(OFFSET(Tabella!$A$1,MATCH(J169,Tabella!$A:$A,0)-1,MATCH(L169,Tabella!$A$1:$AC$1,0)-1)=TRUE),0,+OFFSET(Tabella!$A$1,MATCH(J169,Tabella!$A:$A,0)-1,MATCH(L169,Tabella!$A$1:$AC$1,0)-1))</f>
        <v>1.35</v>
      </c>
      <c r="N169" s="205">
        <f ca="1">IF(ISERROR(OFFSET(Ottone!$A$1,MATCH(J169,Ottone!$A:$A,0)-1,MATCH(L169,Ottone!$A$1:$Z$1,0)-1)=TRUE),0,OFFSET(Ottone!$A$1,MATCH(J169,Ottone!$A:$A,0)-1,MATCH(L169,Ottone!$A$1:$Z$1,0)-1))*IF(G169="Ottone",1,0)</f>
        <v>0</v>
      </c>
      <c r="O169" s="205">
        <f ca="1">IF(ISERROR(OFFSET(Rame!$A$1,MATCH(J169,Rame!$A:$A,0)-1,MATCH(L169,Rame!$A$1:$AA$1,0)-1)=TRUE),0,OFFSET(Rame!$A$1,MATCH(J169,Rame!$A:$A,0)-1,MATCH(L169,Rame!$A$1:$AA$1,0)-1))*IF(G169="Rame",1,0)</f>
        <v>0</v>
      </c>
      <c r="P169" s="205">
        <v>0</v>
      </c>
      <c r="Q169" s="205">
        <f t="shared" ca="1" si="139"/>
        <v>1.35</v>
      </c>
      <c r="R169" s="205">
        <f ca="1">+IF(ISERROR(OFFSET(Tabella!$G$1,MATCH(J169,Tabella!$G:$G,0)-1,MATCH(K169,Tabella!$G$1:$FG$1,0)-1)=TRUE),0,OFFSET(Tabella!$G$1,MATCH(J169,Tabella!$G:$G,0)-1,MATCH(K169,Tabella!$G$1:$AB$1,0)-1))</f>
        <v>0</v>
      </c>
      <c r="S169" s="205">
        <f ca="1">IF(ISERROR(OFFSET(Ottone!$F$1,MATCH(J169,Ottone!$A:$A,0)-1,MATCH(K169,Ottone!$F$1:$FF$1,0)-1)=TRUE),0,OFFSET(Ottone!$F$1,MATCH(J169,Ottone!$A:$A,0)-1,MATCH(K169,Ottone!$F$1:$FF$1,0)-1))*IF(G169="Ottone",1,0)</f>
        <v>0</v>
      </c>
      <c r="T169" s="205">
        <f ca="1">IF(ISERROR(OFFSET(Rame!$F$1,MATCH(J169,Rame!$F:$F,0)-1,MATCH(K169,Rame!$F$1:$FF$1,0)-1)=TRUE),0,OFFSET(Rame!$F$1,MATCH(J169,Rame!$F:$F,0)-1,MATCH(K169,Rame!$F$1:$FF$1,0)-1))*IF(G169="Rame",1,0)</f>
        <v>0</v>
      </c>
      <c r="U169" s="205">
        <f ca="1">IF(ISERROR(OFFSET(Bronzo!$A$1,MATCH(J169,Bronzo!$A:$A,0)-1,MATCH(K169,Bronzo!$A$1:$AA$1,0)-1)=TRUE),0,OFFSET(Bronzo!$A$1,MATCH(J169,Bronzo!$A:$A,0)-1,MATCH(K169,Bronzo!$A$1:$AA$1,0)-1))</f>
        <v>0</v>
      </c>
      <c r="V169" s="205">
        <f t="shared" ca="1" si="140"/>
        <v>0</v>
      </c>
      <c r="W169" s="204"/>
      <c r="X169" s="205">
        <v>0</v>
      </c>
      <c r="Y169" s="206">
        <f t="shared" ca="1" si="141"/>
        <v>1.35</v>
      </c>
      <c r="Z169" s="380">
        <f t="shared" si="142"/>
        <v>57.400000000000006</v>
      </c>
      <c r="AA169" s="203">
        <v>4</v>
      </c>
      <c r="AB169" s="203">
        <f t="shared" ca="1" si="143"/>
        <v>0.19999999999999973</v>
      </c>
      <c r="AC169" s="238"/>
      <c r="AG169" t="s">
        <v>404</v>
      </c>
      <c r="AI169" s="367">
        <f t="shared" ca="1" si="138"/>
        <v>46092</v>
      </c>
      <c r="AJ169" s="367" t="b">
        <f t="shared" si="144"/>
        <v>1</v>
      </c>
      <c r="AK169" s="370" t="str">
        <f t="shared" si="145"/>
        <v/>
      </c>
      <c r="AN169">
        <f t="shared" si="146"/>
        <v>0</v>
      </c>
      <c r="AO169">
        <f t="shared" si="147"/>
        <v>1900</v>
      </c>
      <c r="AV169">
        <f t="shared" si="148"/>
        <v>0</v>
      </c>
      <c r="AW169">
        <f t="shared" si="149"/>
        <v>0</v>
      </c>
    </row>
    <row r="170" spans="4:49" ht="15.75" x14ac:dyDescent="0.25">
      <c r="D170" s="199" t="s">
        <v>567</v>
      </c>
      <c r="E170" s="378" t="s">
        <v>297</v>
      </c>
      <c r="F170" s="379">
        <v>1889</v>
      </c>
      <c r="G170" s="201" t="s">
        <v>4</v>
      </c>
      <c r="H170" s="219">
        <v>2.4500000000000002</v>
      </c>
      <c r="I170" s="202">
        <v>45957</v>
      </c>
      <c r="J170" s="200" t="s">
        <v>25</v>
      </c>
      <c r="K170" s="200"/>
      <c r="L170" s="203">
        <v>7.0000000000000007E-2</v>
      </c>
      <c r="M170" s="204">
        <f ca="1">IF(ISERROR(OFFSET(Tabella!$A$1,MATCH(J170,Tabella!$A:$A,0)-1,MATCH(L170,Tabella!$A$1:$AC$1,0)-1)=TRUE),0,+OFFSET(Tabella!$A$1,MATCH(J170,Tabella!$A:$A,0)-1,MATCH(L170,Tabella!$A$1:$AC$1,0)-1))</f>
        <v>1.25</v>
      </c>
      <c r="N170" s="205">
        <f ca="1">IF(ISERROR(OFFSET(Ottone!$A$1,MATCH(J170,Ottone!$A:$A,0)-1,MATCH(L170,Ottone!$A$1:$Z$1,0)-1)=TRUE),0,OFFSET(Ottone!$A$1,MATCH(J170,Ottone!$A:$A,0)-1,MATCH(L170,Ottone!$A$1:$Z$1,0)-1))*IF(G170="Ottone",1,0)</f>
        <v>0</v>
      </c>
      <c r="O170" s="205">
        <f ca="1">IF(ISERROR(OFFSET(Rame!$A$1,MATCH(J170,Rame!$A:$A,0)-1,MATCH(L170,Rame!$A$1:$AA$1,0)-1)=TRUE),0,OFFSET(Rame!$A$1,MATCH(J170,Rame!$A:$A,0)-1,MATCH(L170,Rame!$A$1:$AA$1,0)-1))*IF(G170="Rame",1,0)</f>
        <v>0</v>
      </c>
      <c r="P170" s="205">
        <v>0</v>
      </c>
      <c r="Q170" s="205">
        <f t="shared" ca="1" si="139"/>
        <v>1.25</v>
      </c>
      <c r="R170" s="205">
        <f ca="1">+IF(ISERROR(OFFSET(Tabella!$G$1,MATCH(J170,Tabella!$G:$G,0)-1,MATCH(K170,Tabella!$G$1:$FG$1,0)-1)=TRUE),0,OFFSET(Tabella!$G$1,MATCH(J170,Tabella!$G:$G,0)-1,MATCH(K170,Tabella!$G$1:$AB$1,0)-1))</f>
        <v>0</v>
      </c>
      <c r="S170" s="205">
        <f ca="1">IF(ISERROR(OFFSET(Ottone!$F$1,MATCH(J170,Ottone!$A:$A,0)-1,MATCH(K170,Ottone!$F$1:$FF$1,0)-1)=TRUE),0,OFFSET(Ottone!$F$1,MATCH(J170,Ottone!$A:$A,0)-1,MATCH(K170,Ottone!$F$1:$FF$1,0)-1))*IF(G170="Ottone",1,0)</f>
        <v>0</v>
      </c>
      <c r="T170" s="205">
        <f ca="1">IF(ISERROR(OFFSET(Rame!$F$1,MATCH(J170,Rame!$F:$F,0)-1,MATCH(K170,Rame!$F$1:$FF$1,0)-1)=TRUE),0,OFFSET(Rame!$F$1,MATCH(J170,Rame!$F:$F,0)-1,MATCH(K170,Rame!$F$1:$FF$1,0)-1))*IF(G170="Rame",1,0)</f>
        <v>0</v>
      </c>
      <c r="U170" s="205">
        <f ca="1">IF(ISERROR(OFFSET(Bronzo!$A$1,MATCH(J170,Bronzo!$A:$A,0)-1,MATCH(K170,Bronzo!$A$1:$AA$1,0)-1)=TRUE),0,OFFSET(Bronzo!$A$1,MATCH(J170,Bronzo!$A:$A,0)-1,MATCH(K170,Bronzo!$A$1:$AA$1,0)-1))</f>
        <v>0</v>
      </c>
      <c r="V170" s="205">
        <f t="shared" ca="1" si="140"/>
        <v>0</v>
      </c>
      <c r="W170" s="204"/>
      <c r="X170" s="205">
        <v>0</v>
      </c>
      <c r="Y170" s="206">
        <f t="shared" ca="1" si="141"/>
        <v>1.25</v>
      </c>
      <c r="Z170" s="380">
        <f t="shared" si="142"/>
        <v>132.23000000000002</v>
      </c>
      <c r="AA170" s="203">
        <v>3.95</v>
      </c>
      <c r="AB170" s="203">
        <f t="shared" ca="1" si="143"/>
        <v>0.25</v>
      </c>
      <c r="AC170" s="238"/>
      <c r="AG170" t="s">
        <v>404</v>
      </c>
      <c r="AI170" s="367">
        <f t="shared" ca="1" si="138"/>
        <v>46092</v>
      </c>
      <c r="AJ170" s="367" t="b">
        <f t="shared" si="144"/>
        <v>1</v>
      </c>
      <c r="AK170" s="370" t="str">
        <f t="shared" si="145"/>
        <v/>
      </c>
      <c r="AN170">
        <f t="shared" si="146"/>
        <v>0</v>
      </c>
      <c r="AO170">
        <f t="shared" si="147"/>
        <v>1900</v>
      </c>
      <c r="AV170">
        <f t="shared" si="148"/>
        <v>0</v>
      </c>
      <c r="AW170">
        <f t="shared" si="149"/>
        <v>0</v>
      </c>
    </row>
    <row r="171" spans="4:49" ht="15.75" x14ac:dyDescent="0.25">
      <c r="D171" s="199" t="s">
        <v>547</v>
      </c>
      <c r="E171" s="378" t="s">
        <v>208</v>
      </c>
      <c r="F171" s="379">
        <v>606</v>
      </c>
      <c r="G171" s="201" t="s">
        <v>4</v>
      </c>
      <c r="H171" s="219">
        <v>2.33</v>
      </c>
      <c r="I171" s="202">
        <v>45938</v>
      </c>
      <c r="J171" s="200" t="s">
        <v>243</v>
      </c>
      <c r="K171" s="200"/>
      <c r="L171" s="203">
        <v>7.0000000000000007E-2</v>
      </c>
      <c r="M171" s="204">
        <f ca="1">IF(ISERROR(OFFSET(Tabella!$A$1,MATCH(J171,Tabella!$A:$A,0)-1,MATCH(L171,Tabella!$A$1:$AC$1,0)-1)=TRUE),0,+OFFSET(Tabella!$A$1,MATCH(J171,Tabella!$A:$A,0)-1,MATCH(L171,Tabella!$A$1:$AC$1,0)-1))</f>
        <v>1.4</v>
      </c>
      <c r="N171" s="205">
        <f ca="1">IF(ISERROR(OFFSET(Ottone!$A$1,MATCH(J171,Ottone!$A:$A,0)-1,MATCH(L171,Ottone!$A$1:$Z$1,0)-1)=TRUE),0,OFFSET(Ottone!$A$1,MATCH(J171,Ottone!$A:$A,0)-1,MATCH(L171,Ottone!$A$1:$Z$1,0)-1))*IF(G171="Ottone",1,0)</f>
        <v>0</v>
      </c>
      <c r="O171" s="205">
        <f ca="1">IF(ISERROR(OFFSET(Rame!$A$1,MATCH(J171,Rame!$A:$A,0)-1,MATCH(L171,Rame!$A$1:$AA$1,0)-1)=TRUE),0,OFFSET(Rame!$A$1,MATCH(J171,Rame!$A:$A,0)-1,MATCH(L171,Rame!$A$1:$AA$1,0)-1))*IF(G171="Rame",1,0)</f>
        <v>0</v>
      </c>
      <c r="P171" s="205">
        <v>0</v>
      </c>
      <c r="Q171" s="205">
        <f t="shared" ca="1" si="139"/>
        <v>1.4</v>
      </c>
      <c r="R171" s="205">
        <f ca="1">+IF(ISERROR(OFFSET(Tabella!$G$1,MATCH(J171,Tabella!$G:$G,0)-1,MATCH(K171,Tabella!$G$1:$FG$1,0)-1)=TRUE),0,OFFSET(Tabella!$G$1,MATCH(J171,Tabella!$G:$G,0)-1,MATCH(K171,Tabella!$G$1:$AB$1,0)-1))</f>
        <v>0</v>
      </c>
      <c r="S171" s="205">
        <f ca="1">IF(ISERROR(OFFSET(Ottone!$F$1,MATCH(J171,Ottone!$A:$A,0)-1,MATCH(K171,Ottone!$F$1:$FF$1,0)-1)=TRUE),0,OFFSET(Ottone!$F$1,MATCH(J171,Ottone!$A:$A,0)-1,MATCH(K171,Ottone!$F$1:$FF$1,0)-1))*IF(G171="Ottone",1,0)</f>
        <v>0</v>
      </c>
      <c r="T171" s="205">
        <f ca="1">IF(ISERROR(OFFSET(Rame!$F$1,MATCH(J171,Rame!$F:$F,0)-1,MATCH(K171,Rame!$F$1:$FF$1,0)-1)=TRUE),0,OFFSET(Rame!$F$1,MATCH(J171,Rame!$F:$F,0)-1,MATCH(K171,Rame!$F$1:$FF$1,0)-1))*IF(G171="Rame",1,0)</f>
        <v>0</v>
      </c>
      <c r="U171" s="205">
        <f ca="1">IF(ISERROR(OFFSET(Bronzo!$A$1,MATCH(J171,Bronzo!$A:$A,0)-1,MATCH(K171,Bronzo!$A$1:$AA$1,0)-1)=TRUE),0,OFFSET(Bronzo!$A$1,MATCH(J171,Bronzo!$A:$A,0)-1,MATCH(K171,Bronzo!$A$1:$AA$1,0)-1))</f>
        <v>0</v>
      </c>
      <c r="V171" s="205">
        <f t="shared" ca="1" si="140"/>
        <v>0</v>
      </c>
      <c r="W171" s="204"/>
      <c r="X171" s="205">
        <v>0</v>
      </c>
      <c r="Y171" s="206">
        <f t="shared" ca="1" si="141"/>
        <v>1.4</v>
      </c>
      <c r="Z171" s="380">
        <f t="shared" si="142"/>
        <v>42.42</v>
      </c>
      <c r="AA171" s="203">
        <v>3.93</v>
      </c>
      <c r="AB171" s="203">
        <f t="shared" ca="1" si="143"/>
        <v>0.20000000000000018</v>
      </c>
      <c r="AC171" s="238"/>
      <c r="AG171" t="s">
        <v>404</v>
      </c>
      <c r="AI171" s="367">
        <f t="shared" ca="1" si="138"/>
        <v>46092</v>
      </c>
      <c r="AJ171" s="367" t="b">
        <f t="shared" si="144"/>
        <v>1</v>
      </c>
      <c r="AK171" s="370" t="str">
        <f t="shared" si="145"/>
        <v/>
      </c>
      <c r="AN171">
        <f t="shared" si="146"/>
        <v>0</v>
      </c>
      <c r="AO171">
        <f t="shared" si="147"/>
        <v>1900</v>
      </c>
      <c r="AV171">
        <f t="shared" si="148"/>
        <v>0</v>
      </c>
      <c r="AW171">
        <f t="shared" si="149"/>
        <v>0</v>
      </c>
    </row>
    <row r="172" spans="4:49" ht="15.75" x14ac:dyDescent="0.25">
      <c r="D172" s="199" t="s">
        <v>653</v>
      </c>
      <c r="E172" s="378" t="s">
        <v>257</v>
      </c>
      <c r="F172" s="379">
        <v>746</v>
      </c>
      <c r="G172" s="201" t="s">
        <v>4</v>
      </c>
      <c r="H172" s="219">
        <v>2.4700000000000002</v>
      </c>
      <c r="I172" s="202">
        <v>45958</v>
      </c>
      <c r="J172" s="200" t="s">
        <v>21</v>
      </c>
      <c r="K172" s="200"/>
      <c r="L172" s="203">
        <v>7.0000000000000007E-2</v>
      </c>
      <c r="M172" s="204">
        <f ca="1">IF(ISERROR(OFFSET(Tabella!$A$1,MATCH(J172,Tabella!$A:$A,0)-1,MATCH(L172,Tabella!$A$1:$AC$1,0)-1)=TRUE),0,+OFFSET(Tabella!$A$1,MATCH(J172,Tabella!$A:$A,0)-1,MATCH(L172,Tabella!$A$1:$AC$1,0)-1))</f>
        <v>1.25</v>
      </c>
      <c r="N172" s="205">
        <f ca="1">IF(ISERROR(OFFSET(Ottone!$A$1,MATCH(J172,Ottone!$A:$A,0)-1,MATCH(L172,Ottone!$A$1:$Z$1,0)-1)=TRUE),0,OFFSET(Ottone!$A$1,MATCH(J172,Ottone!$A:$A,0)-1,MATCH(L172,Ottone!$A$1:$Z$1,0)-1))*IF(G172="Ottone",1,0)</f>
        <v>0</v>
      </c>
      <c r="O172" s="205">
        <f ca="1">IF(ISERROR(OFFSET(Rame!$A$1,MATCH(J172,Rame!$A:$A,0)-1,MATCH(L172,Rame!$A$1:$AA$1,0)-1)=TRUE),0,OFFSET(Rame!$A$1,MATCH(J172,Rame!$A:$A,0)-1,MATCH(L172,Rame!$A$1:$AA$1,0)-1))*IF(G172="Rame",1,0)</f>
        <v>0</v>
      </c>
      <c r="P172" s="205">
        <v>0</v>
      </c>
      <c r="Q172" s="205">
        <f t="shared" ca="1" si="139"/>
        <v>1.25</v>
      </c>
      <c r="R172" s="205">
        <f ca="1">+IF(ISERROR(OFFSET(Tabella!$G$1,MATCH(J172,Tabella!$G:$G,0)-1,MATCH(K172,Tabella!$G$1:$FG$1,0)-1)=TRUE),0,OFFSET(Tabella!$G$1,MATCH(J172,Tabella!$G:$G,0)-1,MATCH(K172,Tabella!$G$1:$AB$1,0)-1))</f>
        <v>0</v>
      </c>
      <c r="S172" s="205">
        <f ca="1">IF(ISERROR(OFFSET(Ottone!$F$1,MATCH(J172,Ottone!$A:$A,0)-1,MATCH(K172,Ottone!$F$1:$FF$1,0)-1)=TRUE),0,OFFSET(Ottone!$F$1,MATCH(J172,Ottone!$A:$A,0)-1,MATCH(K172,Ottone!$F$1:$FF$1,0)-1))*IF(G172="Ottone",1,0)</f>
        <v>0</v>
      </c>
      <c r="T172" s="205">
        <f ca="1">IF(ISERROR(OFFSET(Rame!$F$1,MATCH(J172,Rame!$F:$F,0)-1,MATCH(K172,Rame!$F$1:$FF$1,0)-1)=TRUE),0,OFFSET(Rame!$F$1,MATCH(J172,Rame!$F:$F,0)-1,MATCH(K172,Rame!$F$1:$FF$1,0)-1))*IF(G172="Rame",1,0)</f>
        <v>0</v>
      </c>
      <c r="U172" s="205">
        <f ca="1">IF(ISERROR(OFFSET(Bronzo!$A$1,MATCH(J172,Bronzo!$A:$A,0)-1,MATCH(K172,Bronzo!$A$1:$AA$1,0)-1)=TRUE),0,OFFSET(Bronzo!$A$1,MATCH(J172,Bronzo!$A:$A,0)-1,MATCH(K172,Bronzo!$A$1:$AA$1,0)-1))</f>
        <v>0</v>
      </c>
      <c r="V172" s="205">
        <f t="shared" ca="1" si="140"/>
        <v>0</v>
      </c>
      <c r="W172" s="204"/>
      <c r="X172" s="205">
        <v>0</v>
      </c>
      <c r="Y172" s="206">
        <f t="shared" ca="1" si="141"/>
        <v>1.25</v>
      </c>
      <c r="Z172" s="380">
        <f t="shared" si="142"/>
        <v>52.220000000000006</v>
      </c>
      <c r="AA172" s="203">
        <v>3.97</v>
      </c>
      <c r="AB172" s="203">
        <f t="shared" ca="1" si="143"/>
        <v>0.25</v>
      </c>
      <c r="AC172" s="238"/>
      <c r="AG172" t="s">
        <v>404</v>
      </c>
      <c r="AI172" s="367">
        <f t="shared" ca="1" si="138"/>
        <v>46092</v>
      </c>
      <c r="AJ172" s="367" t="b">
        <f t="shared" si="144"/>
        <v>1</v>
      </c>
      <c r="AK172" s="370" t="str">
        <f t="shared" si="145"/>
        <v/>
      </c>
      <c r="AN172">
        <f t="shared" si="146"/>
        <v>0</v>
      </c>
      <c r="AO172">
        <f t="shared" si="147"/>
        <v>1900</v>
      </c>
      <c r="AV172">
        <f t="shared" si="148"/>
        <v>0</v>
      </c>
      <c r="AW172">
        <f t="shared" si="149"/>
        <v>0</v>
      </c>
    </row>
    <row r="173" spans="4:49" ht="15.75" x14ac:dyDescent="0.25">
      <c r="D173" s="199" t="s">
        <v>496</v>
      </c>
      <c r="E173" s="200" t="s">
        <v>421</v>
      </c>
      <c r="F173" s="287">
        <v>300</v>
      </c>
      <c r="G173" s="201" t="s">
        <v>4</v>
      </c>
      <c r="H173" s="219">
        <v>2.4500000000000002</v>
      </c>
      <c r="I173" s="202">
        <v>45958</v>
      </c>
      <c r="J173" s="200" t="s">
        <v>23</v>
      </c>
      <c r="K173" s="200"/>
      <c r="L173" s="203">
        <v>7.0000000000000007E-2</v>
      </c>
      <c r="M173" s="204">
        <f ca="1">IF(ISERROR(OFFSET(Tabella!$A$1,MATCH(J173,Tabella!$A:$A,0)-1,MATCH(L173,Tabella!$A$1:$AC$1,0)-1)=TRUE),0,+OFFSET(Tabella!$A$1,MATCH(J173,Tabella!$A:$A,0)-1,MATCH(L173,Tabella!$A$1:$AC$1,0)-1))</f>
        <v>1.25</v>
      </c>
      <c r="N173" s="205">
        <f ca="1">IF(ISERROR(OFFSET(Ottone!$A$1,MATCH(J173,Ottone!$A:$A,0)-1,MATCH(L173,Ottone!$A$1:$Z$1,0)-1)=TRUE),0,OFFSET(Ottone!$A$1,MATCH(J173,Ottone!$A:$A,0)-1,MATCH(L173,Ottone!$A$1:$Z$1,0)-1))*IF(G173="Ottone",1,0)</f>
        <v>0</v>
      </c>
      <c r="O173" s="205">
        <f ca="1">IF(ISERROR(OFFSET(Rame!$A$1,MATCH(J173,Rame!$A:$A,0)-1,MATCH(L173,Rame!$A$1:$AA$1,0)-1)=TRUE),0,OFFSET(Rame!$A$1,MATCH(J173,Rame!$A:$A,0)-1,MATCH(L173,Rame!$A$1:$AA$1,0)-1))*IF(G173="Rame",1,0)</f>
        <v>0</v>
      </c>
      <c r="P173" s="205">
        <v>0</v>
      </c>
      <c r="Q173" s="205">
        <f t="shared" ca="1" si="139"/>
        <v>1.25</v>
      </c>
      <c r="R173" s="205">
        <f ca="1">+IF(ISERROR(OFFSET(Tabella!$G$1,MATCH(J173,Tabella!$G:$G,0)-1,MATCH(K173,Tabella!$G$1:$FG$1,0)-1)=TRUE),0,OFFSET(Tabella!$G$1,MATCH(J173,Tabella!$G:$G,0)-1,MATCH(K173,Tabella!$G$1:$AB$1,0)-1))</f>
        <v>0</v>
      </c>
      <c r="S173" s="205">
        <f ca="1">IF(ISERROR(OFFSET(Ottone!$F$1,MATCH(J173,Ottone!$A:$A,0)-1,MATCH(K173,Ottone!$F$1:$FF$1,0)-1)=TRUE),0,OFFSET(Ottone!$F$1,MATCH(J173,Ottone!$A:$A,0)-1,MATCH(K173,Ottone!$F$1:$FF$1,0)-1))*IF(G173="Ottone",1,0)</f>
        <v>0</v>
      </c>
      <c r="T173" s="205">
        <f ca="1">IF(ISERROR(OFFSET(Rame!$F$1,MATCH(J173,Rame!$F:$F,0)-1,MATCH(K173,Rame!$F$1:$FF$1,0)-1)=TRUE),0,OFFSET(Rame!$F$1,MATCH(J173,Rame!$F:$F,0)-1,MATCH(K173,Rame!$F$1:$FF$1,0)-1))*IF(G173="Rame",1,0)</f>
        <v>0</v>
      </c>
      <c r="U173" s="205">
        <f ca="1">IF(ISERROR(OFFSET(Bronzo!$A$1,MATCH(J173,Bronzo!$A:$A,0)-1,MATCH(K173,Bronzo!$A$1:$AA$1,0)-1)=TRUE),0,OFFSET(Bronzo!$A$1,MATCH(J173,Bronzo!$A:$A,0)-1,MATCH(K173,Bronzo!$A$1:$AA$1,0)-1))</f>
        <v>0</v>
      </c>
      <c r="V173" s="205">
        <f t="shared" ca="1" si="140"/>
        <v>0</v>
      </c>
      <c r="W173" s="204"/>
      <c r="X173" s="205">
        <v>0</v>
      </c>
      <c r="Y173" s="206">
        <f t="shared" ca="1" si="141"/>
        <v>1.25</v>
      </c>
      <c r="Z173" s="277">
        <f t="shared" si="142"/>
        <v>21.000000000000004</v>
      </c>
      <c r="AA173" s="203">
        <v>3.95</v>
      </c>
      <c r="AB173" s="203">
        <f t="shared" ca="1" si="143"/>
        <v>0.25</v>
      </c>
      <c r="AC173" s="238">
        <v>45993</v>
      </c>
      <c r="AI173" s="367">
        <f t="shared" ca="1" si="138"/>
        <v>46092</v>
      </c>
      <c r="AJ173" s="367" t="b">
        <f t="shared" si="144"/>
        <v>0</v>
      </c>
      <c r="AK173" s="370">
        <f t="shared" ca="1" si="145"/>
        <v>-99</v>
      </c>
      <c r="AN173">
        <f t="shared" si="146"/>
        <v>49</v>
      </c>
      <c r="AO173">
        <f t="shared" si="147"/>
        <v>2025</v>
      </c>
      <c r="AV173">
        <f t="shared" si="148"/>
        <v>12</v>
      </c>
      <c r="AW173">
        <f t="shared" si="149"/>
        <v>2025</v>
      </c>
    </row>
    <row r="174" spans="4:49" ht="15.75" x14ac:dyDescent="0.25">
      <c r="D174" s="199" t="s">
        <v>496</v>
      </c>
      <c r="E174" s="200" t="s">
        <v>421</v>
      </c>
      <c r="F174" s="287">
        <v>800</v>
      </c>
      <c r="G174" s="201" t="s">
        <v>4</v>
      </c>
      <c r="H174" s="219">
        <v>2.4500000000000002</v>
      </c>
      <c r="I174" s="202">
        <v>45958</v>
      </c>
      <c r="J174" s="200" t="s">
        <v>25</v>
      </c>
      <c r="K174" s="200"/>
      <c r="L174" s="203">
        <v>7.0000000000000007E-2</v>
      </c>
      <c r="M174" s="204">
        <f ca="1">IF(ISERROR(OFFSET(Tabella!$A$1,MATCH(J174,Tabella!$A:$A,0)-1,MATCH(L174,Tabella!$A$1:$AC$1,0)-1)=TRUE),0,+OFFSET(Tabella!$A$1,MATCH(J174,Tabella!$A:$A,0)-1,MATCH(L174,Tabella!$A$1:$AC$1,0)-1))</f>
        <v>1.25</v>
      </c>
      <c r="N174" s="205">
        <f ca="1">IF(ISERROR(OFFSET(Ottone!$A$1,MATCH(J174,Ottone!$A:$A,0)-1,MATCH(L174,Ottone!$A$1:$Z$1,0)-1)=TRUE),0,OFFSET(Ottone!$A$1,MATCH(J174,Ottone!$A:$A,0)-1,MATCH(L174,Ottone!$A$1:$Z$1,0)-1))*IF(G174="Ottone",1,0)</f>
        <v>0</v>
      </c>
      <c r="O174" s="205">
        <f ca="1">IF(ISERROR(OFFSET(Rame!$A$1,MATCH(J174,Rame!$A:$A,0)-1,MATCH(L174,Rame!$A$1:$AA$1,0)-1)=TRUE),0,OFFSET(Rame!$A$1,MATCH(J174,Rame!$A:$A,0)-1,MATCH(L174,Rame!$A$1:$AA$1,0)-1))*IF(G174="Rame",1,0)</f>
        <v>0</v>
      </c>
      <c r="P174" s="205">
        <v>0</v>
      </c>
      <c r="Q174" s="205">
        <f t="shared" ca="1" si="139"/>
        <v>1.25</v>
      </c>
      <c r="R174" s="205">
        <f ca="1">+IF(ISERROR(OFFSET(Tabella!$G$1,MATCH(J174,Tabella!$G:$G,0)-1,MATCH(K174,Tabella!$G$1:$FG$1,0)-1)=TRUE),0,OFFSET(Tabella!$G$1,MATCH(J174,Tabella!$G:$G,0)-1,MATCH(K174,Tabella!$G$1:$AB$1,0)-1))</f>
        <v>0</v>
      </c>
      <c r="S174" s="205">
        <f ca="1">IF(ISERROR(OFFSET(Ottone!$F$1,MATCH(J174,Ottone!$A:$A,0)-1,MATCH(K174,Ottone!$F$1:$FF$1,0)-1)=TRUE),0,OFFSET(Ottone!$F$1,MATCH(J174,Ottone!$A:$A,0)-1,MATCH(K174,Ottone!$F$1:$FF$1,0)-1))*IF(G174="Ottone",1,0)</f>
        <v>0</v>
      </c>
      <c r="T174" s="205">
        <f ca="1">IF(ISERROR(OFFSET(Rame!$F$1,MATCH(J174,Rame!$F:$F,0)-1,MATCH(K174,Rame!$F$1:$FF$1,0)-1)=TRUE),0,OFFSET(Rame!$F$1,MATCH(J174,Rame!$F:$F,0)-1,MATCH(K174,Rame!$F$1:$FF$1,0)-1))*IF(G174="Rame",1,0)</f>
        <v>0</v>
      </c>
      <c r="U174" s="205">
        <f ca="1">IF(ISERROR(OFFSET(Bronzo!$A$1,MATCH(J174,Bronzo!$A:$A,0)-1,MATCH(K174,Bronzo!$A$1:$AA$1,0)-1)=TRUE),0,OFFSET(Bronzo!$A$1,MATCH(J174,Bronzo!$A:$A,0)-1,MATCH(K174,Bronzo!$A$1:$AA$1,0)-1))</f>
        <v>0</v>
      </c>
      <c r="V174" s="205">
        <f t="shared" ca="1" si="140"/>
        <v>0</v>
      </c>
      <c r="W174" s="204"/>
      <c r="X174" s="205">
        <v>0</v>
      </c>
      <c r="Y174" s="206">
        <f t="shared" ca="1" si="141"/>
        <v>1.25</v>
      </c>
      <c r="Z174" s="277">
        <f t="shared" si="142"/>
        <v>56.000000000000007</v>
      </c>
      <c r="AA174" s="203">
        <v>3.95</v>
      </c>
      <c r="AB174" s="203">
        <f t="shared" ca="1" si="143"/>
        <v>0.25</v>
      </c>
      <c r="AC174" s="238">
        <v>45993</v>
      </c>
      <c r="AI174" s="367">
        <f t="shared" ca="1" si="138"/>
        <v>46092</v>
      </c>
      <c r="AJ174" s="367" t="b">
        <f t="shared" si="144"/>
        <v>0</v>
      </c>
      <c r="AK174" s="370">
        <f t="shared" ca="1" si="145"/>
        <v>-99</v>
      </c>
      <c r="AN174">
        <f t="shared" si="146"/>
        <v>49</v>
      </c>
      <c r="AO174">
        <f t="shared" si="147"/>
        <v>2025</v>
      </c>
      <c r="AV174">
        <f t="shared" si="148"/>
        <v>12</v>
      </c>
      <c r="AW174">
        <f t="shared" si="149"/>
        <v>2025</v>
      </c>
    </row>
    <row r="175" spans="4:49" ht="15.75" x14ac:dyDescent="0.25">
      <c r="D175" s="199" t="s">
        <v>570</v>
      </c>
      <c r="E175" s="378" t="s">
        <v>376</v>
      </c>
      <c r="F175" s="379">
        <v>313</v>
      </c>
      <c r="G175" s="201" t="s">
        <v>4</v>
      </c>
      <c r="H175" s="219">
        <v>2.4500000000000002</v>
      </c>
      <c r="I175" s="202">
        <v>45958</v>
      </c>
      <c r="J175" s="200" t="s">
        <v>9</v>
      </c>
      <c r="K175" s="200"/>
      <c r="L175" s="203">
        <v>7.0000000000000007E-2</v>
      </c>
      <c r="M175" s="204">
        <f ca="1">IF(ISERROR(OFFSET(Tabella!$A$1,MATCH(J175,Tabella!$A:$A,0)-1,MATCH(L175,Tabella!$A$1:$AC$1,0)-1)=TRUE),0,+OFFSET(Tabella!$A$1,MATCH(J175,Tabella!$A:$A,0)-1,MATCH(L175,Tabella!$A$1:$AC$1,0)-1))</f>
        <v>1.6</v>
      </c>
      <c r="N175" s="205">
        <f ca="1">IF(ISERROR(OFFSET(Ottone!$A$1,MATCH(J175,Ottone!$A:$A,0)-1,MATCH(L175,Ottone!$A$1:$Z$1,0)-1)=TRUE),0,OFFSET(Ottone!$A$1,MATCH(J175,Ottone!$A:$A,0)-1,MATCH(L175,Ottone!$A$1:$Z$1,0)-1))*IF(G175="Ottone",1,0)</f>
        <v>0</v>
      </c>
      <c r="O175" s="205">
        <f ca="1">IF(ISERROR(OFFSET(Rame!$A$1,MATCH(J175,Rame!$A:$A,0)-1,MATCH(L175,Rame!$A$1:$AA$1,0)-1)=TRUE),0,OFFSET(Rame!$A$1,MATCH(J175,Rame!$A:$A,0)-1,MATCH(L175,Rame!$A$1:$AA$1,0)-1))*IF(G175="Rame",1,0)</f>
        <v>0</v>
      </c>
      <c r="P175" s="205">
        <v>0</v>
      </c>
      <c r="Q175" s="205">
        <f t="shared" ca="1" si="139"/>
        <v>1.6</v>
      </c>
      <c r="R175" s="205">
        <f ca="1">+IF(ISERROR(OFFSET(Tabella!$G$1,MATCH(J175,Tabella!$G:$G,0)-1,MATCH(K175,Tabella!$G$1:$FG$1,0)-1)=TRUE),0,OFFSET(Tabella!$G$1,MATCH(J175,Tabella!$G:$G,0)-1,MATCH(K175,Tabella!$G$1:$AB$1,0)-1))</f>
        <v>0</v>
      </c>
      <c r="S175" s="205">
        <f ca="1">IF(ISERROR(OFFSET(Ottone!$F$1,MATCH(J175,Ottone!$A:$A,0)-1,MATCH(K175,Ottone!$F$1:$FF$1,0)-1)=TRUE),0,OFFSET(Ottone!$F$1,MATCH(J175,Ottone!$A:$A,0)-1,MATCH(K175,Ottone!$F$1:$FF$1,0)-1))*IF(G175="Ottone",1,0)</f>
        <v>0</v>
      </c>
      <c r="T175" s="205">
        <f ca="1">IF(ISERROR(OFFSET(Rame!$F$1,MATCH(J175,Rame!$F:$F,0)-1,MATCH(K175,Rame!$F$1:$FF$1,0)-1)=TRUE),0,OFFSET(Rame!$F$1,MATCH(J175,Rame!$F:$F,0)-1,MATCH(K175,Rame!$F$1:$FF$1,0)-1))*IF(G175="Rame",1,0)</f>
        <v>0</v>
      </c>
      <c r="U175" s="205">
        <f ca="1">IF(ISERROR(OFFSET(Bronzo!$A$1,MATCH(J175,Bronzo!$A:$A,0)-1,MATCH(K175,Bronzo!$A$1:$AA$1,0)-1)=TRUE),0,OFFSET(Bronzo!$A$1,MATCH(J175,Bronzo!$A:$A,0)-1,MATCH(K175,Bronzo!$A$1:$AA$1,0)-1))</f>
        <v>0</v>
      </c>
      <c r="V175" s="205">
        <f t="shared" ca="1" si="140"/>
        <v>0</v>
      </c>
      <c r="W175" s="204"/>
      <c r="X175" s="205">
        <v>0</v>
      </c>
      <c r="Y175" s="206">
        <f t="shared" ca="1" si="141"/>
        <v>1.6</v>
      </c>
      <c r="Z175" s="380">
        <f t="shared" si="142"/>
        <v>21.910000000000004</v>
      </c>
      <c r="AA175" s="203">
        <v>4.25</v>
      </c>
      <c r="AB175" s="203">
        <f t="shared" ca="1" si="143"/>
        <v>0.19999999999999973</v>
      </c>
      <c r="AC175" s="238"/>
      <c r="AG175" t="s">
        <v>404</v>
      </c>
      <c r="AI175" s="367">
        <f t="shared" ca="1" si="138"/>
        <v>46092</v>
      </c>
      <c r="AJ175" s="367" t="b">
        <f t="shared" si="144"/>
        <v>1</v>
      </c>
      <c r="AK175" s="370" t="str">
        <f t="shared" si="145"/>
        <v/>
      </c>
      <c r="AN175">
        <f t="shared" si="146"/>
        <v>0</v>
      </c>
      <c r="AO175">
        <f t="shared" si="147"/>
        <v>1900</v>
      </c>
      <c r="AV175">
        <f t="shared" si="148"/>
        <v>0</v>
      </c>
      <c r="AW175">
        <f t="shared" si="149"/>
        <v>0</v>
      </c>
    </row>
    <row r="176" spans="4:49" ht="15.75" x14ac:dyDescent="0.25">
      <c r="D176" s="199" t="s">
        <v>570</v>
      </c>
      <c r="E176" s="378" t="s">
        <v>376</v>
      </c>
      <c r="F176" s="379">
        <v>207</v>
      </c>
      <c r="G176" s="201" t="s">
        <v>4</v>
      </c>
      <c r="H176" s="219">
        <v>2.4500000000000002</v>
      </c>
      <c r="I176" s="202">
        <v>45958</v>
      </c>
      <c r="J176" s="200" t="s">
        <v>17</v>
      </c>
      <c r="K176" s="200"/>
      <c r="L176" s="203">
        <v>0.1</v>
      </c>
      <c r="M176" s="204">
        <f ca="1">IF(ISERROR(OFFSET(Tabella!$A$1,MATCH(J176,Tabella!$A:$A,0)-1,MATCH(L176,Tabella!$A$1:$AC$1,0)-1)=TRUE),0,+OFFSET(Tabella!$A$1,MATCH(J176,Tabella!$A:$A,0)-1,MATCH(L176,Tabella!$A$1:$AC$1,0)-1))</f>
        <v>1.6</v>
      </c>
      <c r="N176" s="205">
        <f ca="1">IF(ISERROR(OFFSET(Ottone!$A$1,MATCH(J176,Ottone!$A:$A,0)-1,MATCH(L176,Ottone!$A$1:$Z$1,0)-1)=TRUE),0,OFFSET(Ottone!$A$1,MATCH(J176,Ottone!$A:$A,0)-1,MATCH(L176,Ottone!$A$1:$Z$1,0)-1))*IF(G176="Ottone",1,0)</f>
        <v>0</v>
      </c>
      <c r="O176" s="205">
        <f ca="1">IF(ISERROR(OFFSET(Rame!$A$1,MATCH(J176,Rame!$A:$A,0)-1,MATCH(L176,Rame!$A$1:$AA$1,0)-1)=TRUE),0,OFFSET(Rame!$A$1,MATCH(J176,Rame!$A:$A,0)-1,MATCH(L176,Rame!$A$1:$AA$1,0)-1))*IF(G176="Rame",1,0)</f>
        <v>0</v>
      </c>
      <c r="P176" s="205">
        <v>0</v>
      </c>
      <c r="Q176" s="205">
        <f t="shared" ca="1" si="139"/>
        <v>1.6</v>
      </c>
      <c r="R176" s="205">
        <f ca="1">+IF(ISERROR(OFFSET(Tabella!$G$1,MATCH(J176,Tabella!$G:$G,0)-1,MATCH(K176,Tabella!$G$1:$FG$1,0)-1)=TRUE),0,OFFSET(Tabella!$G$1,MATCH(J176,Tabella!$G:$G,0)-1,MATCH(K176,Tabella!$G$1:$AB$1,0)-1))</f>
        <v>0</v>
      </c>
      <c r="S176" s="205">
        <f ca="1">IF(ISERROR(OFFSET(Ottone!$F$1,MATCH(J176,Ottone!$A:$A,0)-1,MATCH(K176,Ottone!$F$1:$FF$1,0)-1)=TRUE),0,OFFSET(Ottone!$F$1,MATCH(J176,Ottone!$A:$A,0)-1,MATCH(K176,Ottone!$F$1:$FF$1,0)-1))*IF(G176="Ottone",1,0)</f>
        <v>0</v>
      </c>
      <c r="T176" s="205">
        <f ca="1">IF(ISERROR(OFFSET(Rame!$F$1,MATCH(J176,Rame!$F:$F,0)-1,MATCH(K176,Rame!$F$1:$FF$1,0)-1)=TRUE),0,OFFSET(Rame!$F$1,MATCH(J176,Rame!$F:$F,0)-1,MATCH(K176,Rame!$F$1:$FF$1,0)-1))*IF(G176="Rame",1,0)</f>
        <v>0</v>
      </c>
      <c r="U176" s="205">
        <f ca="1">IF(ISERROR(OFFSET(Bronzo!$A$1,MATCH(J176,Bronzo!$A:$A,0)-1,MATCH(K176,Bronzo!$A$1:$AA$1,0)-1)=TRUE),0,OFFSET(Bronzo!$A$1,MATCH(J176,Bronzo!$A:$A,0)-1,MATCH(K176,Bronzo!$A$1:$AA$1,0)-1))</f>
        <v>0</v>
      </c>
      <c r="V176" s="205">
        <f t="shared" ca="1" si="140"/>
        <v>0</v>
      </c>
      <c r="W176" s="204"/>
      <c r="X176" s="205">
        <v>0</v>
      </c>
      <c r="Y176" s="206">
        <f t="shared" ca="1" si="141"/>
        <v>1.6</v>
      </c>
      <c r="Z176" s="380">
        <f t="shared" si="142"/>
        <v>20.700000000000003</v>
      </c>
      <c r="AA176" s="203">
        <v>4.1500000000000004</v>
      </c>
      <c r="AB176" s="203">
        <f t="shared" ca="1" si="143"/>
        <v>0.10000000000000009</v>
      </c>
      <c r="AC176" s="238"/>
      <c r="AG176" t="s">
        <v>404</v>
      </c>
      <c r="AI176" s="367">
        <f t="shared" ca="1" si="138"/>
        <v>46092</v>
      </c>
      <c r="AJ176" s="367" t="b">
        <f t="shared" si="144"/>
        <v>1</v>
      </c>
      <c r="AK176" s="370" t="str">
        <f t="shared" si="145"/>
        <v/>
      </c>
      <c r="AN176">
        <f t="shared" si="146"/>
        <v>0</v>
      </c>
      <c r="AO176">
        <f t="shared" si="147"/>
        <v>1900</v>
      </c>
      <c r="AV176">
        <f t="shared" si="148"/>
        <v>0</v>
      </c>
      <c r="AW176">
        <f t="shared" si="149"/>
        <v>0</v>
      </c>
    </row>
    <row r="177" spans="4:49" ht="15.75" x14ac:dyDescent="0.25">
      <c r="D177" s="199" t="s">
        <v>493</v>
      </c>
      <c r="E177" s="200" t="s">
        <v>208</v>
      </c>
      <c r="F177" s="287">
        <v>550</v>
      </c>
      <c r="G177" s="201" t="s">
        <v>4</v>
      </c>
      <c r="H177" s="219">
        <v>2.33</v>
      </c>
      <c r="I177" s="202">
        <v>45938</v>
      </c>
      <c r="J177" s="200" t="s">
        <v>244</v>
      </c>
      <c r="K177" s="200"/>
      <c r="L177" s="203">
        <v>7.0000000000000007E-2</v>
      </c>
      <c r="M177" s="204">
        <f ca="1">IF(ISERROR(OFFSET(Tabella!$A$1,MATCH(J177,Tabella!$A:$A,0)-1,MATCH(L177,Tabella!$A$1:$AC$1,0)-1)=TRUE),0,+OFFSET(Tabella!$A$1,MATCH(J177,Tabella!$A:$A,0)-1,MATCH(L177,Tabella!$A$1:$AC$1,0)-1))</f>
        <v>1.35</v>
      </c>
      <c r="N177" s="205">
        <f ca="1">IF(ISERROR(OFFSET(Ottone!$A$1,MATCH(J177,Ottone!$A:$A,0)-1,MATCH(L177,Ottone!$A$1:$Z$1,0)-1)=TRUE),0,OFFSET(Ottone!$A$1,MATCH(J177,Ottone!$A:$A,0)-1,MATCH(L177,Ottone!$A$1:$Z$1,0)-1))*IF(G177="Ottone",1,0)</f>
        <v>0</v>
      </c>
      <c r="O177" s="205">
        <f ca="1">IF(ISERROR(OFFSET(Rame!$A$1,MATCH(J177,Rame!$A:$A,0)-1,MATCH(L177,Rame!$A$1:$AA$1,0)-1)=TRUE),0,OFFSET(Rame!$A$1,MATCH(J177,Rame!$A:$A,0)-1,MATCH(L177,Rame!$A$1:$AA$1,0)-1))*IF(G177="Rame",1,0)</f>
        <v>0</v>
      </c>
      <c r="P177" s="205">
        <v>0</v>
      </c>
      <c r="Q177" s="205">
        <f t="shared" ca="1" si="139"/>
        <v>1.35</v>
      </c>
      <c r="R177" s="205">
        <f ca="1">+IF(ISERROR(OFFSET(Tabella!$G$1,MATCH(J177,Tabella!$G:$G,0)-1,MATCH(K177,Tabella!$G$1:$FG$1,0)-1)=TRUE),0,OFFSET(Tabella!$G$1,MATCH(J177,Tabella!$G:$G,0)-1,MATCH(K177,Tabella!$G$1:$AB$1,0)-1))</f>
        <v>0</v>
      </c>
      <c r="S177" s="205">
        <f ca="1">IF(ISERROR(OFFSET(Ottone!$F$1,MATCH(J177,Ottone!$A:$A,0)-1,MATCH(K177,Ottone!$F$1:$FF$1,0)-1)=TRUE),0,OFFSET(Ottone!$F$1,MATCH(J177,Ottone!$A:$A,0)-1,MATCH(K177,Ottone!$F$1:$FF$1,0)-1))*IF(G177="Ottone",1,0)</f>
        <v>0</v>
      </c>
      <c r="T177" s="205">
        <f ca="1">IF(ISERROR(OFFSET(Rame!$F$1,MATCH(J177,Rame!$F:$F,0)-1,MATCH(K177,Rame!$F$1:$FF$1,0)-1)=TRUE),0,OFFSET(Rame!$F$1,MATCH(J177,Rame!$F:$F,0)-1,MATCH(K177,Rame!$F$1:$FF$1,0)-1))*IF(G177="Rame",1,0)</f>
        <v>0</v>
      </c>
      <c r="U177" s="205">
        <f ca="1">IF(ISERROR(OFFSET(Bronzo!$A$1,MATCH(J177,Bronzo!$A:$A,0)-1,MATCH(K177,Bronzo!$A$1:$AA$1,0)-1)=TRUE),0,OFFSET(Bronzo!$A$1,MATCH(J177,Bronzo!$A:$A,0)-1,MATCH(K177,Bronzo!$A$1:$AA$1,0)-1))</f>
        <v>0</v>
      </c>
      <c r="V177" s="205">
        <f t="shared" ca="1" si="140"/>
        <v>0</v>
      </c>
      <c r="W177" s="204"/>
      <c r="X177" s="205">
        <v>0</v>
      </c>
      <c r="Y177" s="206">
        <f t="shared" ca="1" si="141"/>
        <v>1.35</v>
      </c>
      <c r="Z177" s="277">
        <f t="shared" si="142"/>
        <v>38.500000000000007</v>
      </c>
      <c r="AA177" s="203">
        <v>3.88</v>
      </c>
      <c r="AB177" s="203">
        <f t="shared" ca="1" si="143"/>
        <v>0.19999999999999973</v>
      </c>
      <c r="AC177" s="238">
        <v>45994</v>
      </c>
      <c r="AI177" s="367">
        <f t="shared" ca="1" si="138"/>
        <v>46092</v>
      </c>
      <c r="AJ177" s="367" t="b">
        <f t="shared" si="144"/>
        <v>0</v>
      </c>
      <c r="AK177" s="370">
        <f t="shared" ca="1" si="145"/>
        <v>-98</v>
      </c>
      <c r="AN177">
        <f t="shared" si="146"/>
        <v>49</v>
      </c>
      <c r="AO177">
        <f t="shared" si="147"/>
        <v>2025</v>
      </c>
      <c r="AV177">
        <f t="shared" si="148"/>
        <v>12</v>
      </c>
      <c r="AW177">
        <f t="shared" si="149"/>
        <v>2025</v>
      </c>
    </row>
    <row r="178" spans="4:49" ht="15.75" x14ac:dyDescent="0.25">
      <c r="D178" s="199" t="s">
        <v>493</v>
      </c>
      <c r="E178" s="200" t="s">
        <v>208</v>
      </c>
      <c r="F178" s="287">
        <v>800</v>
      </c>
      <c r="G178" s="201" t="s">
        <v>4</v>
      </c>
      <c r="H178" s="219">
        <v>2.33</v>
      </c>
      <c r="I178" s="202">
        <v>45938</v>
      </c>
      <c r="J178" s="200" t="s">
        <v>21</v>
      </c>
      <c r="K178" s="200"/>
      <c r="L178" s="203">
        <v>7.0000000000000007E-2</v>
      </c>
      <c r="M178" s="204">
        <f ca="1">IF(ISERROR(OFFSET(Tabella!$A$1,MATCH(J178,Tabella!$A:$A,0)-1,MATCH(L178,Tabella!$A$1:$AC$1,0)-1)=TRUE),0,+OFFSET(Tabella!$A$1,MATCH(J178,Tabella!$A:$A,0)-1,MATCH(L178,Tabella!$A$1:$AC$1,0)-1))</f>
        <v>1.25</v>
      </c>
      <c r="N178" s="205">
        <f ca="1">IF(ISERROR(OFFSET(Ottone!$A$1,MATCH(J178,Ottone!$A:$A,0)-1,MATCH(L178,Ottone!$A$1:$Z$1,0)-1)=TRUE),0,OFFSET(Ottone!$A$1,MATCH(J178,Ottone!$A:$A,0)-1,MATCH(L178,Ottone!$A$1:$Z$1,0)-1))*IF(G178="Ottone",1,0)</f>
        <v>0</v>
      </c>
      <c r="O178" s="205">
        <f ca="1">IF(ISERROR(OFFSET(Rame!$A$1,MATCH(J178,Rame!$A:$A,0)-1,MATCH(L178,Rame!$A$1:$AA$1,0)-1)=TRUE),0,OFFSET(Rame!$A$1,MATCH(J178,Rame!$A:$A,0)-1,MATCH(L178,Rame!$A$1:$AA$1,0)-1))*IF(G178="Rame",1,0)</f>
        <v>0</v>
      </c>
      <c r="P178" s="205">
        <v>0</v>
      </c>
      <c r="Q178" s="205">
        <f t="shared" ca="1" si="139"/>
        <v>1.25</v>
      </c>
      <c r="R178" s="205">
        <f ca="1">+IF(ISERROR(OFFSET(Tabella!$G$1,MATCH(J178,Tabella!$G:$G,0)-1,MATCH(K178,Tabella!$G$1:$FG$1,0)-1)=TRUE),0,OFFSET(Tabella!$G$1,MATCH(J178,Tabella!$G:$G,0)-1,MATCH(K178,Tabella!$G$1:$AB$1,0)-1))</f>
        <v>0</v>
      </c>
      <c r="S178" s="205">
        <f ca="1">IF(ISERROR(OFFSET(Ottone!$F$1,MATCH(J178,Ottone!$A:$A,0)-1,MATCH(K178,Ottone!$F$1:$FF$1,0)-1)=TRUE),0,OFFSET(Ottone!$F$1,MATCH(J178,Ottone!$A:$A,0)-1,MATCH(K178,Ottone!$F$1:$FF$1,0)-1))*IF(G178="Ottone",1,0)</f>
        <v>0</v>
      </c>
      <c r="T178" s="205">
        <f ca="1">IF(ISERROR(OFFSET(Rame!$F$1,MATCH(J178,Rame!$F:$F,0)-1,MATCH(K178,Rame!$F$1:$FF$1,0)-1)=TRUE),0,OFFSET(Rame!$F$1,MATCH(J178,Rame!$F:$F,0)-1,MATCH(K178,Rame!$F$1:$FF$1,0)-1))*IF(G178="Rame",1,0)</f>
        <v>0</v>
      </c>
      <c r="U178" s="205">
        <f ca="1">IF(ISERROR(OFFSET(Bronzo!$A$1,MATCH(J178,Bronzo!$A:$A,0)-1,MATCH(K178,Bronzo!$A$1:$AA$1,0)-1)=TRUE),0,OFFSET(Bronzo!$A$1,MATCH(J178,Bronzo!$A:$A,0)-1,MATCH(K178,Bronzo!$A$1:$AA$1,0)-1))</f>
        <v>0</v>
      </c>
      <c r="V178" s="205">
        <f t="shared" ca="1" si="140"/>
        <v>0</v>
      </c>
      <c r="W178" s="204"/>
      <c r="X178" s="205">
        <v>0</v>
      </c>
      <c r="Y178" s="206">
        <f t="shared" ca="1" si="141"/>
        <v>1.25</v>
      </c>
      <c r="Z178" s="277">
        <f t="shared" si="142"/>
        <v>56.000000000000007</v>
      </c>
      <c r="AA178" s="203">
        <v>3.83</v>
      </c>
      <c r="AB178" s="203">
        <f t="shared" ca="1" si="143"/>
        <v>0.25</v>
      </c>
      <c r="AC178" s="238">
        <v>45994</v>
      </c>
      <c r="AI178" s="367">
        <f t="shared" ca="1" si="138"/>
        <v>46092</v>
      </c>
      <c r="AJ178" s="367" t="b">
        <f t="shared" si="144"/>
        <v>0</v>
      </c>
      <c r="AK178" s="370">
        <f t="shared" ca="1" si="145"/>
        <v>-98</v>
      </c>
      <c r="AN178">
        <f t="shared" si="146"/>
        <v>49</v>
      </c>
      <c r="AO178">
        <f t="shared" si="147"/>
        <v>2025</v>
      </c>
      <c r="AV178">
        <f t="shared" si="148"/>
        <v>12</v>
      </c>
      <c r="AW178">
        <f t="shared" si="149"/>
        <v>2025</v>
      </c>
    </row>
    <row r="179" spans="4:49" ht="15.75" x14ac:dyDescent="0.25">
      <c r="D179" s="199" t="s">
        <v>493</v>
      </c>
      <c r="E179" s="200" t="s">
        <v>208</v>
      </c>
      <c r="F179" s="287">
        <v>500</v>
      </c>
      <c r="G179" s="201" t="s">
        <v>4</v>
      </c>
      <c r="H179" s="219">
        <v>2.33</v>
      </c>
      <c r="I179" s="202">
        <v>45938</v>
      </c>
      <c r="J179" s="200" t="s">
        <v>305</v>
      </c>
      <c r="K179" s="200"/>
      <c r="L179" s="203">
        <v>7.0000000000000007E-2</v>
      </c>
      <c r="M179" s="204">
        <f ca="1">IF(ISERROR(OFFSET(Tabella!$A$1,MATCH(J179,Tabella!$A:$A,0)-1,MATCH(L179,Tabella!$A$1:$AC$1,0)-1)=TRUE),0,+OFFSET(Tabella!$A$1,MATCH(J179,Tabella!$A:$A,0)-1,MATCH(L179,Tabella!$A$1:$AC$1,0)-1))</f>
        <v>1.25</v>
      </c>
      <c r="N179" s="205">
        <f ca="1">IF(ISERROR(OFFSET(Ottone!$A$1,MATCH(J179,Ottone!$A:$A,0)-1,MATCH(L179,Ottone!$A$1:$Z$1,0)-1)=TRUE),0,OFFSET(Ottone!$A$1,MATCH(J179,Ottone!$A:$A,0)-1,MATCH(L179,Ottone!$A$1:$Z$1,0)-1))*IF(G179="Ottone",1,0)</f>
        <v>0</v>
      </c>
      <c r="O179" s="205">
        <f ca="1">IF(ISERROR(OFFSET(Rame!$A$1,MATCH(J179,Rame!$A:$A,0)-1,MATCH(L179,Rame!$A$1:$AA$1,0)-1)=TRUE),0,OFFSET(Rame!$A$1,MATCH(J179,Rame!$A:$A,0)-1,MATCH(L179,Rame!$A$1:$AA$1,0)-1))*IF(G179="Rame",1,0)</f>
        <v>0</v>
      </c>
      <c r="P179" s="205">
        <v>0</v>
      </c>
      <c r="Q179" s="205">
        <f t="shared" ca="1" si="139"/>
        <v>1.25</v>
      </c>
      <c r="R179" s="205">
        <f ca="1">+IF(ISERROR(OFFSET(Tabella!$G$1,MATCH(J179,Tabella!$G:$G,0)-1,MATCH(K179,Tabella!$G$1:$FG$1,0)-1)=TRUE),0,OFFSET(Tabella!$G$1,MATCH(J179,Tabella!$G:$G,0)-1,MATCH(K179,Tabella!$G$1:$AB$1,0)-1))</f>
        <v>0</v>
      </c>
      <c r="S179" s="205">
        <f ca="1">IF(ISERROR(OFFSET(Ottone!$F$1,MATCH(J179,Ottone!$A:$A,0)-1,MATCH(K179,Ottone!$F$1:$FF$1,0)-1)=TRUE),0,OFFSET(Ottone!$F$1,MATCH(J179,Ottone!$A:$A,0)-1,MATCH(K179,Ottone!$F$1:$FF$1,0)-1))*IF(G179="Ottone",1,0)</f>
        <v>0</v>
      </c>
      <c r="T179" s="205">
        <f ca="1">IF(ISERROR(OFFSET(Rame!$F$1,MATCH(J179,Rame!$F:$F,0)-1,MATCH(K179,Rame!$F$1:$FF$1,0)-1)=TRUE),0,OFFSET(Rame!$F$1,MATCH(J179,Rame!$F:$F,0)-1,MATCH(K179,Rame!$F$1:$FF$1,0)-1))*IF(G179="Rame",1,0)</f>
        <v>0</v>
      </c>
      <c r="U179" s="205">
        <f ca="1">IF(ISERROR(OFFSET(Bronzo!$A$1,MATCH(J179,Bronzo!$A:$A,0)-1,MATCH(K179,Bronzo!$A$1:$AA$1,0)-1)=TRUE),0,OFFSET(Bronzo!$A$1,MATCH(J179,Bronzo!$A:$A,0)-1,MATCH(K179,Bronzo!$A$1:$AA$1,0)-1))</f>
        <v>0</v>
      </c>
      <c r="V179" s="205">
        <f t="shared" ca="1" si="140"/>
        <v>0</v>
      </c>
      <c r="W179" s="204"/>
      <c r="X179" s="205">
        <v>0</v>
      </c>
      <c r="Y179" s="206">
        <f t="shared" ca="1" si="141"/>
        <v>1.25</v>
      </c>
      <c r="Z179" s="277">
        <f t="shared" si="142"/>
        <v>35</v>
      </c>
      <c r="AA179" s="203">
        <v>3.83</v>
      </c>
      <c r="AB179" s="203">
        <f t="shared" ca="1" si="143"/>
        <v>0.25</v>
      </c>
      <c r="AC179" s="238">
        <v>45994</v>
      </c>
      <c r="AI179" s="367">
        <f t="shared" ca="1" si="138"/>
        <v>46092</v>
      </c>
      <c r="AJ179" s="367" t="b">
        <f t="shared" si="144"/>
        <v>0</v>
      </c>
      <c r="AK179" s="370">
        <f t="shared" ca="1" si="145"/>
        <v>-98</v>
      </c>
      <c r="AN179">
        <f t="shared" si="146"/>
        <v>49</v>
      </c>
      <c r="AO179">
        <f t="shared" si="147"/>
        <v>2025</v>
      </c>
      <c r="AV179">
        <f t="shared" si="148"/>
        <v>12</v>
      </c>
      <c r="AW179">
        <f t="shared" si="149"/>
        <v>2025</v>
      </c>
    </row>
    <row r="180" spans="4:49" ht="15.75" x14ac:dyDescent="0.25">
      <c r="D180" s="199" t="s">
        <v>493</v>
      </c>
      <c r="E180" s="200" t="s">
        <v>208</v>
      </c>
      <c r="F180" s="287">
        <v>500</v>
      </c>
      <c r="G180" s="201" t="s">
        <v>4</v>
      </c>
      <c r="H180" s="219">
        <v>2.33</v>
      </c>
      <c r="I180" s="202">
        <v>45938</v>
      </c>
      <c r="J180" s="200" t="s">
        <v>25</v>
      </c>
      <c r="K180" s="200"/>
      <c r="L180" s="203">
        <v>7.0000000000000007E-2</v>
      </c>
      <c r="M180" s="204">
        <f ca="1">IF(ISERROR(OFFSET(Tabella!$A$1,MATCH(J180,Tabella!$A:$A,0)-1,MATCH(L180,Tabella!$A$1:$AC$1,0)-1)=TRUE),0,+OFFSET(Tabella!$A$1,MATCH(J180,Tabella!$A:$A,0)-1,MATCH(L180,Tabella!$A$1:$AC$1,0)-1))</f>
        <v>1.25</v>
      </c>
      <c r="N180" s="205">
        <f ca="1">IF(ISERROR(OFFSET(Ottone!$A$1,MATCH(J180,Ottone!$A:$A,0)-1,MATCH(L180,Ottone!$A$1:$Z$1,0)-1)=TRUE),0,OFFSET(Ottone!$A$1,MATCH(J180,Ottone!$A:$A,0)-1,MATCH(L180,Ottone!$A$1:$Z$1,0)-1))*IF(G180="Ottone",1,0)</f>
        <v>0</v>
      </c>
      <c r="O180" s="205">
        <f ca="1">IF(ISERROR(OFFSET(Rame!$A$1,MATCH(J180,Rame!$A:$A,0)-1,MATCH(L180,Rame!$A$1:$AA$1,0)-1)=TRUE),0,OFFSET(Rame!$A$1,MATCH(J180,Rame!$A:$A,0)-1,MATCH(L180,Rame!$A$1:$AA$1,0)-1))*IF(G180="Rame",1,0)</f>
        <v>0</v>
      </c>
      <c r="P180" s="205">
        <v>0</v>
      </c>
      <c r="Q180" s="205">
        <f t="shared" ca="1" si="139"/>
        <v>1.25</v>
      </c>
      <c r="R180" s="205">
        <f ca="1">+IF(ISERROR(OFFSET(Tabella!$G$1,MATCH(J180,Tabella!$G:$G,0)-1,MATCH(K180,Tabella!$G$1:$FG$1,0)-1)=TRUE),0,OFFSET(Tabella!$G$1,MATCH(J180,Tabella!$G:$G,0)-1,MATCH(K180,Tabella!$G$1:$AB$1,0)-1))</f>
        <v>0</v>
      </c>
      <c r="S180" s="205">
        <f ca="1">IF(ISERROR(OFFSET(Ottone!$F$1,MATCH(J180,Ottone!$A:$A,0)-1,MATCH(K180,Ottone!$F$1:$FF$1,0)-1)=TRUE),0,OFFSET(Ottone!$F$1,MATCH(J180,Ottone!$A:$A,0)-1,MATCH(K180,Ottone!$F$1:$FF$1,0)-1))*IF(G180="Ottone",1,0)</f>
        <v>0</v>
      </c>
      <c r="T180" s="205">
        <f ca="1">IF(ISERROR(OFFSET(Rame!$F$1,MATCH(J180,Rame!$F:$F,0)-1,MATCH(K180,Rame!$F$1:$FF$1,0)-1)=TRUE),0,OFFSET(Rame!$F$1,MATCH(J180,Rame!$F:$F,0)-1,MATCH(K180,Rame!$F$1:$FF$1,0)-1))*IF(G180="Rame",1,0)</f>
        <v>0</v>
      </c>
      <c r="U180" s="205">
        <f ca="1">IF(ISERROR(OFFSET(Bronzo!$A$1,MATCH(J180,Bronzo!$A:$A,0)-1,MATCH(K180,Bronzo!$A$1:$AA$1,0)-1)=TRUE),0,OFFSET(Bronzo!$A$1,MATCH(J180,Bronzo!$A:$A,0)-1,MATCH(K180,Bronzo!$A$1:$AA$1,0)-1))</f>
        <v>0</v>
      </c>
      <c r="V180" s="205">
        <f t="shared" ca="1" si="140"/>
        <v>0</v>
      </c>
      <c r="W180" s="204"/>
      <c r="X180" s="205">
        <v>0</v>
      </c>
      <c r="Y180" s="206">
        <f t="shared" ca="1" si="141"/>
        <v>1.25</v>
      </c>
      <c r="Z180" s="277">
        <f t="shared" si="142"/>
        <v>35</v>
      </c>
      <c r="AA180" s="203">
        <v>3.83</v>
      </c>
      <c r="AB180" s="203">
        <f t="shared" ca="1" si="143"/>
        <v>0.25</v>
      </c>
      <c r="AC180" s="238">
        <v>45994</v>
      </c>
      <c r="AI180" s="367">
        <f t="shared" ca="1" si="138"/>
        <v>46092</v>
      </c>
      <c r="AJ180" s="367" t="b">
        <f t="shared" si="144"/>
        <v>0</v>
      </c>
      <c r="AK180" s="370">
        <f t="shared" ca="1" si="145"/>
        <v>-98</v>
      </c>
      <c r="AN180">
        <f t="shared" si="146"/>
        <v>49</v>
      </c>
      <c r="AO180">
        <f t="shared" si="147"/>
        <v>2025</v>
      </c>
      <c r="AV180">
        <f t="shared" si="148"/>
        <v>12</v>
      </c>
      <c r="AW180">
        <f t="shared" si="149"/>
        <v>2025</v>
      </c>
    </row>
    <row r="181" spans="4:49" ht="15.75" x14ac:dyDescent="0.25">
      <c r="D181" s="199" t="s">
        <v>493</v>
      </c>
      <c r="E181" s="200" t="s">
        <v>208</v>
      </c>
      <c r="F181" s="287">
        <v>800</v>
      </c>
      <c r="G181" s="201" t="s">
        <v>4</v>
      </c>
      <c r="H181" s="219">
        <v>2.33</v>
      </c>
      <c r="I181" s="202">
        <v>45938</v>
      </c>
      <c r="J181" s="200" t="s">
        <v>25</v>
      </c>
      <c r="K181" s="200"/>
      <c r="L181" s="203">
        <v>7.0000000000000007E-2</v>
      </c>
      <c r="M181" s="204">
        <f ca="1">IF(ISERROR(OFFSET(Tabella!$A$1,MATCH(J181,Tabella!$A:$A,0)-1,MATCH(L181,Tabella!$A$1:$AC$1,0)-1)=TRUE),0,+OFFSET(Tabella!$A$1,MATCH(J181,Tabella!$A:$A,0)-1,MATCH(L181,Tabella!$A$1:$AC$1,0)-1))</f>
        <v>1.25</v>
      </c>
      <c r="N181" s="205">
        <f ca="1">IF(ISERROR(OFFSET(Ottone!$A$1,MATCH(J181,Ottone!$A:$A,0)-1,MATCH(L181,Ottone!$A$1:$Z$1,0)-1)=TRUE),0,OFFSET(Ottone!$A$1,MATCH(J181,Ottone!$A:$A,0)-1,MATCH(L181,Ottone!$A$1:$Z$1,0)-1))*IF(G181="Ottone",1,0)</f>
        <v>0</v>
      </c>
      <c r="O181" s="205">
        <f ca="1">IF(ISERROR(OFFSET(Rame!$A$1,MATCH(J181,Rame!$A:$A,0)-1,MATCH(L181,Rame!$A$1:$AA$1,0)-1)=TRUE),0,OFFSET(Rame!$A$1,MATCH(J181,Rame!$A:$A,0)-1,MATCH(L181,Rame!$A$1:$AA$1,0)-1))*IF(G181="Rame",1,0)</f>
        <v>0</v>
      </c>
      <c r="P181" s="205">
        <v>0</v>
      </c>
      <c r="Q181" s="205">
        <f t="shared" ca="1" si="139"/>
        <v>1.25</v>
      </c>
      <c r="R181" s="205">
        <f ca="1">+IF(ISERROR(OFFSET(Tabella!$G$1,MATCH(J181,Tabella!$G:$G,0)-1,MATCH(K181,Tabella!$G$1:$FG$1,0)-1)=TRUE),0,OFFSET(Tabella!$G$1,MATCH(J181,Tabella!$G:$G,0)-1,MATCH(K181,Tabella!$G$1:$AB$1,0)-1))</f>
        <v>0</v>
      </c>
      <c r="S181" s="205">
        <f ca="1">IF(ISERROR(OFFSET(Ottone!$F$1,MATCH(J181,Ottone!$A:$A,0)-1,MATCH(K181,Ottone!$F$1:$FF$1,0)-1)=TRUE),0,OFFSET(Ottone!$F$1,MATCH(J181,Ottone!$A:$A,0)-1,MATCH(K181,Ottone!$F$1:$FF$1,0)-1))*IF(G181="Ottone",1,0)</f>
        <v>0</v>
      </c>
      <c r="T181" s="205">
        <f ca="1">IF(ISERROR(OFFSET(Rame!$F$1,MATCH(J181,Rame!$F:$F,0)-1,MATCH(K181,Rame!$F$1:$FF$1,0)-1)=TRUE),0,OFFSET(Rame!$F$1,MATCH(J181,Rame!$F:$F,0)-1,MATCH(K181,Rame!$F$1:$FF$1,0)-1))*IF(G181="Rame",1,0)</f>
        <v>0</v>
      </c>
      <c r="U181" s="205">
        <f ca="1">IF(ISERROR(OFFSET(Bronzo!$A$1,MATCH(J181,Bronzo!$A:$A,0)-1,MATCH(K181,Bronzo!$A$1:$AA$1,0)-1)=TRUE),0,OFFSET(Bronzo!$A$1,MATCH(J181,Bronzo!$A:$A,0)-1,MATCH(K181,Bronzo!$A$1:$AA$1,0)-1))</f>
        <v>0</v>
      </c>
      <c r="V181" s="205">
        <f t="shared" ca="1" si="140"/>
        <v>0</v>
      </c>
      <c r="W181" s="204"/>
      <c r="X181" s="205">
        <v>0</v>
      </c>
      <c r="Y181" s="206">
        <f t="shared" ca="1" si="141"/>
        <v>1.25</v>
      </c>
      <c r="Z181" s="277">
        <f t="shared" si="142"/>
        <v>56.000000000000007</v>
      </c>
      <c r="AA181" s="203">
        <v>3.83</v>
      </c>
      <c r="AB181" s="203">
        <f t="shared" ca="1" si="143"/>
        <v>0.25</v>
      </c>
      <c r="AC181" s="238">
        <v>45994</v>
      </c>
      <c r="AI181" s="367">
        <f t="shared" ca="1" si="138"/>
        <v>46092</v>
      </c>
      <c r="AJ181" s="367" t="b">
        <f t="shared" si="144"/>
        <v>0</v>
      </c>
      <c r="AK181" s="370">
        <f t="shared" ca="1" si="145"/>
        <v>-98</v>
      </c>
      <c r="AN181">
        <f t="shared" si="146"/>
        <v>49</v>
      </c>
      <c r="AO181">
        <f t="shared" si="147"/>
        <v>2025</v>
      </c>
      <c r="AV181">
        <f t="shared" si="148"/>
        <v>12</v>
      </c>
      <c r="AW181">
        <f t="shared" si="149"/>
        <v>2025</v>
      </c>
    </row>
    <row r="182" spans="4:49" ht="15.75" x14ac:dyDescent="0.25">
      <c r="D182" s="199" t="s">
        <v>493</v>
      </c>
      <c r="E182" s="200" t="s">
        <v>208</v>
      </c>
      <c r="F182" s="287">
        <v>1000</v>
      </c>
      <c r="G182" s="201" t="s">
        <v>4</v>
      </c>
      <c r="H182" s="219">
        <v>2.33</v>
      </c>
      <c r="I182" s="202">
        <v>45938</v>
      </c>
      <c r="J182" s="200" t="s">
        <v>25</v>
      </c>
      <c r="K182" s="200"/>
      <c r="L182" s="203">
        <v>7.0000000000000007E-2</v>
      </c>
      <c r="M182" s="204">
        <f ca="1">IF(ISERROR(OFFSET(Tabella!$A$1,MATCH(J182,Tabella!$A:$A,0)-1,MATCH(L182,Tabella!$A$1:$AC$1,0)-1)=TRUE),0,+OFFSET(Tabella!$A$1,MATCH(J182,Tabella!$A:$A,0)-1,MATCH(L182,Tabella!$A$1:$AC$1,0)-1))</f>
        <v>1.25</v>
      </c>
      <c r="N182" s="205">
        <f ca="1">IF(ISERROR(OFFSET(Ottone!$A$1,MATCH(J182,Ottone!$A:$A,0)-1,MATCH(L182,Ottone!$A$1:$Z$1,0)-1)=TRUE),0,OFFSET(Ottone!$A$1,MATCH(J182,Ottone!$A:$A,0)-1,MATCH(L182,Ottone!$A$1:$Z$1,0)-1))*IF(G182="Ottone",1,0)</f>
        <v>0</v>
      </c>
      <c r="O182" s="205">
        <f ca="1">IF(ISERROR(OFFSET(Rame!$A$1,MATCH(J182,Rame!$A:$A,0)-1,MATCH(L182,Rame!$A$1:$AA$1,0)-1)=TRUE),0,OFFSET(Rame!$A$1,MATCH(J182,Rame!$A:$A,0)-1,MATCH(L182,Rame!$A$1:$AA$1,0)-1))*IF(G182="Rame",1,0)</f>
        <v>0</v>
      </c>
      <c r="P182" s="205">
        <v>0</v>
      </c>
      <c r="Q182" s="205">
        <f t="shared" ca="1" si="139"/>
        <v>1.25</v>
      </c>
      <c r="R182" s="205">
        <f ca="1">+IF(ISERROR(OFFSET(Tabella!$G$1,MATCH(J182,Tabella!$G:$G,0)-1,MATCH(K182,Tabella!$G$1:$FG$1,0)-1)=TRUE),0,OFFSET(Tabella!$G$1,MATCH(J182,Tabella!$G:$G,0)-1,MATCH(K182,Tabella!$G$1:$AB$1,0)-1))</f>
        <v>0</v>
      </c>
      <c r="S182" s="205">
        <f ca="1">IF(ISERROR(OFFSET(Ottone!$F$1,MATCH(J182,Ottone!$A:$A,0)-1,MATCH(K182,Ottone!$F$1:$FF$1,0)-1)=TRUE),0,OFFSET(Ottone!$F$1,MATCH(J182,Ottone!$A:$A,0)-1,MATCH(K182,Ottone!$F$1:$FF$1,0)-1))*IF(G182="Ottone",1,0)</f>
        <v>0</v>
      </c>
      <c r="T182" s="205">
        <f ca="1">IF(ISERROR(OFFSET(Rame!$F$1,MATCH(J182,Rame!$F:$F,0)-1,MATCH(K182,Rame!$F$1:$FF$1,0)-1)=TRUE),0,OFFSET(Rame!$F$1,MATCH(J182,Rame!$F:$F,0)-1,MATCH(K182,Rame!$F$1:$FF$1,0)-1))*IF(G182="Rame",1,0)</f>
        <v>0</v>
      </c>
      <c r="U182" s="205">
        <f ca="1">IF(ISERROR(OFFSET(Bronzo!$A$1,MATCH(J182,Bronzo!$A:$A,0)-1,MATCH(K182,Bronzo!$A$1:$AA$1,0)-1)=TRUE),0,OFFSET(Bronzo!$A$1,MATCH(J182,Bronzo!$A:$A,0)-1,MATCH(K182,Bronzo!$A$1:$AA$1,0)-1))</f>
        <v>0</v>
      </c>
      <c r="V182" s="205">
        <f t="shared" ca="1" si="140"/>
        <v>0</v>
      </c>
      <c r="W182" s="204"/>
      <c r="X182" s="205">
        <v>0</v>
      </c>
      <c r="Y182" s="206">
        <f t="shared" ca="1" si="141"/>
        <v>1.25</v>
      </c>
      <c r="Z182" s="277">
        <f t="shared" si="142"/>
        <v>70</v>
      </c>
      <c r="AA182" s="203">
        <v>3.83</v>
      </c>
      <c r="AB182" s="203">
        <f t="shared" ca="1" si="143"/>
        <v>0.25</v>
      </c>
      <c r="AC182" s="238">
        <v>45994</v>
      </c>
      <c r="AI182" s="367">
        <f t="shared" ca="1" si="138"/>
        <v>46092</v>
      </c>
      <c r="AJ182" s="367" t="b">
        <f t="shared" si="144"/>
        <v>0</v>
      </c>
      <c r="AK182" s="370">
        <f t="shared" ca="1" si="145"/>
        <v>-98</v>
      </c>
      <c r="AN182">
        <f t="shared" si="146"/>
        <v>49</v>
      </c>
      <c r="AO182">
        <f t="shared" si="147"/>
        <v>2025</v>
      </c>
      <c r="AV182">
        <f t="shared" si="148"/>
        <v>12</v>
      </c>
      <c r="AW182">
        <f t="shared" si="149"/>
        <v>2025</v>
      </c>
    </row>
    <row r="183" spans="4:49" ht="15.75" x14ac:dyDescent="0.25">
      <c r="D183" s="199" t="s">
        <v>493</v>
      </c>
      <c r="E183" s="200" t="s">
        <v>208</v>
      </c>
      <c r="F183" s="287">
        <v>1000</v>
      </c>
      <c r="G183" s="201" t="s">
        <v>4</v>
      </c>
      <c r="H183" s="219">
        <v>2.33</v>
      </c>
      <c r="I183" s="202">
        <v>45938</v>
      </c>
      <c r="J183" s="200" t="s">
        <v>308</v>
      </c>
      <c r="K183" s="200"/>
      <c r="L183" s="203">
        <v>7.0000000000000007E-2</v>
      </c>
      <c r="M183" s="204">
        <f ca="1">IF(ISERROR(OFFSET(Tabella!$A$1,MATCH(J183,Tabella!$A:$A,0)-1,MATCH(L183,Tabella!$A$1:$AC$1,0)-1)=TRUE),0,+OFFSET(Tabella!$A$1,MATCH(J183,Tabella!$A:$A,0)-1,MATCH(L183,Tabella!$A$1:$AC$1,0)-1))</f>
        <v>1.25</v>
      </c>
      <c r="N183" s="205">
        <f ca="1">IF(ISERROR(OFFSET(Ottone!$A$1,MATCH(J183,Ottone!$A:$A,0)-1,MATCH(L183,Ottone!$A$1:$Z$1,0)-1)=TRUE),0,OFFSET(Ottone!$A$1,MATCH(J183,Ottone!$A:$A,0)-1,MATCH(L183,Ottone!$A$1:$Z$1,0)-1))*IF(G183="Ottone",1,0)</f>
        <v>0</v>
      </c>
      <c r="O183" s="205">
        <f ca="1">IF(ISERROR(OFFSET(Rame!$A$1,MATCH(J183,Rame!$A:$A,0)-1,MATCH(L183,Rame!$A$1:$AA$1,0)-1)=TRUE),0,OFFSET(Rame!$A$1,MATCH(J183,Rame!$A:$A,0)-1,MATCH(L183,Rame!$A$1:$AA$1,0)-1))*IF(G183="Rame",1,0)</f>
        <v>0</v>
      </c>
      <c r="P183" s="205">
        <v>0</v>
      </c>
      <c r="Q183" s="205">
        <f t="shared" ca="1" si="139"/>
        <v>1.25</v>
      </c>
      <c r="R183" s="205">
        <f ca="1">+IF(ISERROR(OFFSET(Tabella!$G$1,MATCH(J183,Tabella!$G:$G,0)-1,MATCH(K183,Tabella!$G$1:$FG$1,0)-1)=TRUE),0,OFFSET(Tabella!$G$1,MATCH(J183,Tabella!$G:$G,0)-1,MATCH(K183,Tabella!$G$1:$AB$1,0)-1))</f>
        <v>0</v>
      </c>
      <c r="S183" s="205">
        <f ca="1">IF(ISERROR(OFFSET(Ottone!$F$1,MATCH(J183,Ottone!$A:$A,0)-1,MATCH(K183,Ottone!$F$1:$FF$1,0)-1)=TRUE),0,OFFSET(Ottone!$F$1,MATCH(J183,Ottone!$A:$A,0)-1,MATCH(K183,Ottone!$F$1:$FF$1,0)-1))*IF(G183="Ottone",1,0)</f>
        <v>0</v>
      </c>
      <c r="T183" s="205">
        <f ca="1">IF(ISERROR(OFFSET(Rame!$F$1,MATCH(J183,Rame!$F:$F,0)-1,MATCH(K183,Rame!$F$1:$FF$1,0)-1)=TRUE),0,OFFSET(Rame!$F$1,MATCH(J183,Rame!$F:$F,0)-1,MATCH(K183,Rame!$F$1:$FF$1,0)-1))*IF(G183="Rame",1,0)</f>
        <v>0</v>
      </c>
      <c r="U183" s="205">
        <f ca="1">IF(ISERROR(OFFSET(Bronzo!$A$1,MATCH(J183,Bronzo!$A:$A,0)-1,MATCH(K183,Bronzo!$A$1:$AA$1,0)-1)=TRUE),0,OFFSET(Bronzo!$A$1,MATCH(J183,Bronzo!$A:$A,0)-1,MATCH(K183,Bronzo!$A$1:$AA$1,0)-1))</f>
        <v>0</v>
      </c>
      <c r="V183" s="205">
        <f t="shared" ca="1" si="140"/>
        <v>0</v>
      </c>
      <c r="W183" s="204"/>
      <c r="X183" s="205">
        <v>0</v>
      </c>
      <c r="Y183" s="206">
        <f t="shared" ca="1" si="141"/>
        <v>1.25</v>
      </c>
      <c r="Z183" s="277">
        <f t="shared" si="142"/>
        <v>70</v>
      </c>
      <c r="AA183" s="203">
        <v>3.83</v>
      </c>
      <c r="AB183" s="203">
        <f t="shared" ca="1" si="143"/>
        <v>0.25</v>
      </c>
      <c r="AC183" s="238">
        <v>45994</v>
      </c>
      <c r="AI183" s="367">
        <f t="shared" ca="1" si="138"/>
        <v>46092</v>
      </c>
      <c r="AJ183" s="367" t="b">
        <f t="shared" si="144"/>
        <v>0</v>
      </c>
      <c r="AK183" s="370">
        <f t="shared" ca="1" si="145"/>
        <v>-98</v>
      </c>
      <c r="AN183">
        <f t="shared" si="146"/>
        <v>49</v>
      </c>
      <c r="AO183">
        <f t="shared" si="147"/>
        <v>2025</v>
      </c>
      <c r="AV183">
        <f t="shared" si="148"/>
        <v>12</v>
      </c>
      <c r="AW183">
        <f t="shared" si="149"/>
        <v>2025</v>
      </c>
    </row>
    <row r="184" spans="4:49" ht="15.75" x14ac:dyDescent="0.25">
      <c r="D184" s="199" t="s">
        <v>531</v>
      </c>
      <c r="E184" s="388" t="s">
        <v>212</v>
      </c>
      <c r="F184" s="389">
        <v>1386</v>
      </c>
      <c r="G184" s="201" t="s">
        <v>4</v>
      </c>
      <c r="H184" s="219">
        <v>2.2599999999999998</v>
      </c>
      <c r="I184" s="202">
        <v>45957</v>
      </c>
      <c r="J184" s="200" t="s">
        <v>28</v>
      </c>
      <c r="K184" s="200"/>
      <c r="L184" s="203">
        <v>0.05</v>
      </c>
      <c r="M184" s="204">
        <f ca="1">IF(ISERROR(OFFSET(Tabella!$A$1,MATCH(J184,Tabella!$A:$A,0)-1,MATCH(L184,Tabella!$A$1:$AC$1,0)-1)=TRUE),0,+OFFSET(Tabella!$A$1,MATCH(J184,Tabella!$A:$A,0)-1,MATCH(L184,Tabella!$A$1:$AC$1,0)-1))</f>
        <v>0</v>
      </c>
      <c r="N184" s="205">
        <f ca="1">IF(ISERROR(OFFSET(Ottone!$A$1,MATCH(J184,Ottone!$A:$A,0)-1,MATCH(L184,Ottone!$A$1:$Z$1,0)-1)=TRUE),0,OFFSET(Ottone!$A$1,MATCH(J184,Ottone!$A:$A,0)-1,MATCH(L184,Ottone!$A$1:$Z$1,0)-1))*IF(G184="Ottone",1,0)</f>
        <v>0</v>
      </c>
      <c r="O184" s="205">
        <f ca="1">IF(ISERROR(OFFSET(Rame!$A$1,MATCH(J184,Rame!$A:$A,0)-1,MATCH(L184,Rame!$A$1:$AA$1,0)-1)=TRUE),0,OFFSET(Rame!$A$1,MATCH(J184,Rame!$A:$A,0)-1,MATCH(L184,Rame!$A$1:$AA$1,0)-1))*IF(G184="Rame",1,0)</f>
        <v>0</v>
      </c>
      <c r="P184" s="205">
        <v>0</v>
      </c>
      <c r="Q184" s="205">
        <v>1.47</v>
      </c>
      <c r="R184" s="205">
        <f ca="1">+IF(ISERROR(OFFSET(Tabella!$G$1,MATCH(J184,Tabella!$G:$G,0)-1,MATCH(K184,Tabella!$G$1:$FG$1,0)-1)=TRUE),0,OFFSET(Tabella!$G$1,MATCH(J184,Tabella!$G:$G,0)-1,MATCH(K184,Tabella!$G$1:$AB$1,0)-1))</f>
        <v>0</v>
      </c>
      <c r="S184" s="205">
        <f ca="1">IF(ISERROR(OFFSET(Ottone!$F$1,MATCH(J184,Ottone!$A:$A,0)-1,MATCH(K184,Ottone!$F$1:$FF$1,0)-1)=TRUE),0,OFFSET(Ottone!$F$1,MATCH(J184,Ottone!$A:$A,0)-1,MATCH(K184,Ottone!$F$1:$FF$1,0)-1))*IF(G184="Ottone",1,0)</f>
        <v>0</v>
      </c>
      <c r="T184" s="205">
        <f ca="1">IF(ISERROR(OFFSET(Rame!$F$1,MATCH(J184,Rame!$F:$F,0)-1,MATCH(K184,Rame!$F$1:$FF$1,0)-1)=TRUE),0,OFFSET(Rame!$F$1,MATCH(J184,Rame!$F:$F,0)-1,MATCH(K184,Rame!$F$1:$FF$1,0)-1))*IF(G184="Rame",1,0)</f>
        <v>0</v>
      </c>
      <c r="U184" s="205">
        <f ca="1">IF(ISERROR(OFFSET(Bronzo!$A$1,MATCH(J184,Bronzo!$A:$A,0)-1,MATCH(K184,Bronzo!$A$1:$AA$1,0)-1)=TRUE),0,OFFSET(Bronzo!$A$1,MATCH(J184,Bronzo!$A:$A,0)-1,MATCH(K184,Bronzo!$A$1:$AA$1,0)-1))</f>
        <v>0</v>
      </c>
      <c r="V184" s="205">
        <f t="shared" ca="1" si="140"/>
        <v>0</v>
      </c>
      <c r="W184" s="204"/>
      <c r="X184" s="205">
        <v>0</v>
      </c>
      <c r="Y184" s="206">
        <f t="shared" ca="1" si="141"/>
        <v>1.47</v>
      </c>
      <c r="Z184" s="390">
        <f t="shared" si="142"/>
        <v>69.3</v>
      </c>
      <c r="AA184" s="203">
        <v>3.73</v>
      </c>
      <c r="AB184" s="203">
        <f t="shared" ca="1" si="143"/>
        <v>0</v>
      </c>
      <c r="AC184" s="238"/>
      <c r="AI184" s="367">
        <f t="shared" ca="1" si="138"/>
        <v>46092</v>
      </c>
      <c r="AJ184" s="367" t="b">
        <f t="shared" si="144"/>
        <v>1</v>
      </c>
      <c r="AK184" s="370" t="str">
        <f t="shared" si="145"/>
        <v/>
      </c>
      <c r="AN184">
        <f t="shared" si="146"/>
        <v>0</v>
      </c>
      <c r="AO184">
        <f t="shared" si="147"/>
        <v>1900</v>
      </c>
      <c r="AV184">
        <f t="shared" si="148"/>
        <v>0</v>
      </c>
      <c r="AW184">
        <f t="shared" si="149"/>
        <v>0</v>
      </c>
    </row>
    <row r="185" spans="4:49" ht="15.75" x14ac:dyDescent="0.25">
      <c r="D185" s="199" t="s">
        <v>531</v>
      </c>
      <c r="E185" s="388" t="s">
        <v>212</v>
      </c>
      <c r="F185" s="389">
        <v>2557</v>
      </c>
      <c r="G185" s="201" t="s">
        <v>4</v>
      </c>
      <c r="H185" s="219">
        <v>2.2599999999999998</v>
      </c>
      <c r="I185" s="202">
        <v>45957</v>
      </c>
      <c r="J185" s="200" t="s">
        <v>28</v>
      </c>
      <c r="K185" s="200"/>
      <c r="L185" s="203">
        <v>0.05</v>
      </c>
      <c r="M185" s="204">
        <f ca="1">IF(ISERROR(OFFSET(Tabella!$A$1,MATCH(J185,Tabella!$A:$A,0)-1,MATCH(L185,Tabella!$A$1:$AC$1,0)-1)=TRUE),0,+OFFSET(Tabella!$A$1,MATCH(J185,Tabella!$A:$A,0)-1,MATCH(L185,Tabella!$A$1:$AC$1,0)-1))</f>
        <v>0</v>
      </c>
      <c r="N185" s="205">
        <f ca="1">IF(ISERROR(OFFSET(Ottone!$A$1,MATCH(J185,Ottone!$A:$A,0)-1,MATCH(L185,Ottone!$A$1:$Z$1,0)-1)=TRUE),0,OFFSET(Ottone!$A$1,MATCH(J185,Ottone!$A:$A,0)-1,MATCH(L185,Ottone!$A$1:$Z$1,0)-1))*IF(G185="Ottone",1,0)</f>
        <v>0</v>
      </c>
      <c r="O185" s="205">
        <f ca="1">IF(ISERROR(OFFSET(Rame!$A$1,MATCH(J185,Rame!$A:$A,0)-1,MATCH(L185,Rame!$A$1:$AA$1,0)-1)=TRUE),0,OFFSET(Rame!$A$1,MATCH(J185,Rame!$A:$A,0)-1,MATCH(L185,Rame!$A$1:$AA$1,0)-1))*IF(G185="Rame",1,0)</f>
        <v>0</v>
      </c>
      <c r="P185" s="205">
        <v>0</v>
      </c>
      <c r="Q185" s="205">
        <v>1.47</v>
      </c>
      <c r="R185" s="205">
        <f ca="1">+IF(ISERROR(OFFSET(Tabella!$G$1,MATCH(J185,Tabella!$G:$G,0)-1,MATCH(K185,Tabella!$G$1:$FG$1,0)-1)=TRUE),0,OFFSET(Tabella!$G$1,MATCH(J185,Tabella!$G:$G,0)-1,MATCH(K185,Tabella!$G$1:$AB$1,0)-1))</f>
        <v>0</v>
      </c>
      <c r="S185" s="205">
        <f ca="1">IF(ISERROR(OFFSET(Ottone!$F$1,MATCH(J185,Ottone!$A:$A,0)-1,MATCH(K185,Ottone!$F$1:$FF$1,0)-1)=TRUE),0,OFFSET(Ottone!$F$1,MATCH(J185,Ottone!$A:$A,0)-1,MATCH(K185,Ottone!$F$1:$FF$1,0)-1))*IF(G185="Ottone",1,0)</f>
        <v>0</v>
      </c>
      <c r="T185" s="205">
        <f ca="1">IF(ISERROR(OFFSET(Rame!$F$1,MATCH(J185,Rame!$F:$F,0)-1,MATCH(K185,Rame!$F$1:$FF$1,0)-1)=TRUE),0,OFFSET(Rame!$F$1,MATCH(J185,Rame!$F:$F,0)-1,MATCH(K185,Rame!$F$1:$FF$1,0)-1))*IF(G185="Rame",1,0)</f>
        <v>0</v>
      </c>
      <c r="U185" s="205">
        <f ca="1">IF(ISERROR(OFFSET(Bronzo!$A$1,MATCH(J185,Bronzo!$A:$A,0)-1,MATCH(K185,Bronzo!$A$1:$AA$1,0)-1)=TRUE),0,OFFSET(Bronzo!$A$1,MATCH(J185,Bronzo!$A:$A,0)-1,MATCH(K185,Bronzo!$A$1:$AA$1,0)-1))</f>
        <v>0</v>
      </c>
      <c r="V185" s="205">
        <f t="shared" ca="1" si="140"/>
        <v>0</v>
      </c>
      <c r="W185" s="204"/>
      <c r="X185" s="205">
        <v>0</v>
      </c>
      <c r="Y185" s="206">
        <f t="shared" ca="1" si="141"/>
        <v>1.47</v>
      </c>
      <c r="Z185" s="390">
        <f t="shared" si="142"/>
        <v>127.85000000000001</v>
      </c>
      <c r="AA185" s="203">
        <v>3.73</v>
      </c>
      <c r="AB185" s="203">
        <f t="shared" ca="1" si="143"/>
        <v>0</v>
      </c>
      <c r="AC185" s="238"/>
      <c r="AI185" s="367">
        <f t="shared" ca="1" si="138"/>
        <v>46092</v>
      </c>
      <c r="AJ185" s="367" t="b">
        <f t="shared" si="144"/>
        <v>1</v>
      </c>
      <c r="AK185" s="370" t="str">
        <f t="shared" si="145"/>
        <v/>
      </c>
      <c r="AN185">
        <f t="shared" si="146"/>
        <v>0</v>
      </c>
      <c r="AO185">
        <f t="shared" si="147"/>
        <v>1900</v>
      </c>
      <c r="AV185">
        <f t="shared" si="148"/>
        <v>0</v>
      </c>
      <c r="AW185">
        <f t="shared" si="149"/>
        <v>0</v>
      </c>
    </row>
    <row r="186" spans="4:49" ht="15.75" x14ac:dyDescent="0.25">
      <c r="D186" s="199" t="s">
        <v>550</v>
      </c>
      <c r="E186" s="388" t="s">
        <v>212</v>
      </c>
      <c r="F186" s="389">
        <v>347</v>
      </c>
      <c r="G186" s="201" t="s">
        <v>4</v>
      </c>
      <c r="H186" s="219">
        <v>2.2599999999999998</v>
      </c>
      <c r="I186" s="202">
        <v>45957</v>
      </c>
      <c r="J186" s="200" t="s">
        <v>19</v>
      </c>
      <c r="K186" s="200"/>
      <c r="L186" s="203">
        <v>0.05</v>
      </c>
      <c r="M186" s="204">
        <f ca="1">IF(ISERROR(OFFSET(Tabella!$A$1,MATCH(J186,Tabella!$A:$A,0)-1,MATCH(L186,Tabella!$A$1:$AC$1,0)-1)=TRUE),0,+OFFSET(Tabella!$A$1,MATCH(J186,Tabella!$A:$A,0)-1,MATCH(L186,Tabella!$A$1:$AC$1,0)-1))</f>
        <v>0</v>
      </c>
      <c r="N186" s="205">
        <f ca="1">IF(ISERROR(OFFSET(Ottone!$A$1,MATCH(J186,Ottone!$A:$A,0)-1,MATCH(L186,Ottone!$A$1:$Z$1,0)-1)=TRUE),0,OFFSET(Ottone!$A$1,MATCH(J186,Ottone!$A:$A,0)-1,MATCH(L186,Ottone!$A$1:$Z$1,0)-1))*IF(G186="Ottone",1,0)</f>
        <v>0</v>
      </c>
      <c r="O186" s="205">
        <f ca="1">IF(ISERROR(OFFSET(Rame!$A$1,MATCH(J186,Rame!$A:$A,0)-1,MATCH(L186,Rame!$A$1:$AA$1,0)-1)=TRUE),0,OFFSET(Rame!$A$1,MATCH(J186,Rame!$A:$A,0)-1,MATCH(L186,Rame!$A$1:$AA$1,0)-1))*IF(G186="Rame",1,0)</f>
        <v>0</v>
      </c>
      <c r="P186" s="205">
        <v>0</v>
      </c>
      <c r="Q186" s="205">
        <v>1.47</v>
      </c>
      <c r="R186" s="205">
        <f ca="1">+IF(ISERROR(OFFSET(Tabella!$G$1,MATCH(J186,Tabella!$G:$G,0)-1,MATCH(K186,Tabella!$G$1:$FG$1,0)-1)=TRUE),0,OFFSET(Tabella!$G$1,MATCH(J186,Tabella!$G:$G,0)-1,MATCH(K186,Tabella!$G$1:$AB$1,0)-1))</f>
        <v>0</v>
      </c>
      <c r="S186" s="205">
        <f ca="1">IF(ISERROR(OFFSET(Ottone!$F$1,MATCH(J186,Ottone!$A:$A,0)-1,MATCH(K186,Ottone!$F$1:$FF$1,0)-1)=TRUE),0,OFFSET(Ottone!$F$1,MATCH(J186,Ottone!$A:$A,0)-1,MATCH(K186,Ottone!$F$1:$FF$1,0)-1))*IF(G186="Ottone",1,0)</f>
        <v>0</v>
      </c>
      <c r="T186" s="205">
        <f ca="1">IF(ISERROR(OFFSET(Rame!$F$1,MATCH(J186,Rame!$F:$F,0)-1,MATCH(K186,Rame!$F$1:$FF$1,0)-1)=TRUE),0,OFFSET(Rame!$F$1,MATCH(J186,Rame!$F:$F,0)-1,MATCH(K186,Rame!$F$1:$FF$1,0)-1))*IF(G186="Rame",1,0)</f>
        <v>0</v>
      </c>
      <c r="U186" s="205">
        <f ca="1">IF(ISERROR(OFFSET(Bronzo!$A$1,MATCH(J186,Bronzo!$A:$A,0)-1,MATCH(K186,Bronzo!$A$1:$AA$1,0)-1)=TRUE),0,OFFSET(Bronzo!$A$1,MATCH(J186,Bronzo!$A:$A,0)-1,MATCH(K186,Bronzo!$A$1:$AA$1,0)-1))</f>
        <v>0</v>
      </c>
      <c r="V186" s="205">
        <f t="shared" ca="1" si="140"/>
        <v>0</v>
      </c>
      <c r="W186" s="204"/>
      <c r="X186" s="205">
        <v>0</v>
      </c>
      <c r="Y186" s="206">
        <f t="shared" ca="1" si="141"/>
        <v>1.47</v>
      </c>
      <c r="Z186" s="390">
        <f t="shared" si="142"/>
        <v>17.350000000000001</v>
      </c>
      <c r="AA186" s="203">
        <v>3.73</v>
      </c>
      <c r="AB186" s="203">
        <f t="shared" ca="1" si="143"/>
        <v>0</v>
      </c>
      <c r="AC186" s="238"/>
      <c r="AI186" s="367">
        <f t="shared" ca="1" si="138"/>
        <v>46092</v>
      </c>
      <c r="AJ186" s="367" t="b">
        <f t="shared" si="144"/>
        <v>1</v>
      </c>
      <c r="AK186" s="370" t="str">
        <f t="shared" si="145"/>
        <v/>
      </c>
      <c r="AN186">
        <f t="shared" si="146"/>
        <v>0</v>
      </c>
      <c r="AO186">
        <f t="shared" si="147"/>
        <v>1900</v>
      </c>
      <c r="AV186">
        <f t="shared" si="148"/>
        <v>0</v>
      </c>
      <c r="AW186">
        <f t="shared" si="149"/>
        <v>0</v>
      </c>
    </row>
    <row r="187" spans="4:49" ht="15.75" x14ac:dyDescent="0.25">
      <c r="D187" s="199" t="s">
        <v>497</v>
      </c>
      <c r="E187" s="375" t="s">
        <v>238</v>
      </c>
      <c r="F187" s="376">
        <v>3700</v>
      </c>
      <c r="G187" s="201" t="s">
        <v>4</v>
      </c>
      <c r="H187" s="219">
        <v>2.4500000000000002</v>
      </c>
      <c r="I187" s="202">
        <v>45958</v>
      </c>
      <c r="J187" s="200" t="s">
        <v>21</v>
      </c>
      <c r="K187" s="200"/>
      <c r="L187" s="203">
        <v>7.0000000000000007E-2</v>
      </c>
      <c r="M187" s="204">
        <f ca="1">IF(ISERROR(OFFSET(Tabella!$A$1,MATCH(J187,Tabella!$A:$A,0)-1,MATCH(L187,Tabella!$A$1:$AC$1,0)-1)=TRUE),0,+OFFSET(Tabella!$A$1,MATCH(J187,Tabella!$A:$A,0)-1,MATCH(L187,Tabella!$A$1:$AC$1,0)-1))</f>
        <v>1.25</v>
      </c>
      <c r="N187" s="205">
        <f ca="1">IF(ISERROR(OFFSET(Ottone!$A$1,MATCH(J187,Ottone!$A:$A,0)-1,MATCH(L187,Ottone!$A$1:$Z$1,0)-1)=TRUE),0,OFFSET(Ottone!$A$1,MATCH(J187,Ottone!$A:$A,0)-1,MATCH(L187,Ottone!$A$1:$Z$1,0)-1))*IF(G187="Ottone",1,0)</f>
        <v>0</v>
      </c>
      <c r="O187" s="205">
        <f ca="1">IF(ISERROR(OFFSET(Rame!$A$1,MATCH(J187,Rame!$A:$A,0)-1,MATCH(L187,Rame!$A$1:$AA$1,0)-1)=TRUE),0,OFFSET(Rame!$A$1,MATCH(J187,Rame!$A:$A,0)-1,MATCH(L187,Rame!$A$1:$AA$1,0)-1))*IF(G187="Rame",1,0)</f>
        <v>0</v>
      </c>
      <c r="P187" s="205">
        <v>0</v>
      </c>
      <c r="Q187" s="205">
        <f t="shared" ca="1" si="139"/>
        <v>1.25</v>
      </c>
      <c r="R187" s="205">
        <f ca="1">+IF(ISERROR(OFFSET(Tabella!$G$1,MATCH(J187,Tabella!$G:$G,0)-1,MATCH(K187,Tabella!$G$1:$FG$1,0)-1)=TRUE),0,OFFSET(Tabella!$G$1,MATCH(J187,Tabella!$G:$G,0)-1,MATCH(K187,Tabella!$G$1:$AB$1,0)-1))</f>
        <v>0</v>
      </c>
      <c r="S187" s="205">
        <f ca="1">IF(ISERROR(OFFSET(Ottone!$F$1,MATCH(J187,Ottone!$A:$A,0)-1,MATCH(K187,Ottone!$F$1:$FF$1,0)-1)=TRUE),0,OFFSET(Ottone!$F$1,MATCH(J187,Ottone!$A:$A,0)-1,MATCH(K187,Ottone!$F$1:$FF$1,0)-1))*IF(G187="Ottone",1,0)</f>
        <v>0</v>
      </c>
      <c r="T187" s="205">
        <f ca="1">IF(ISERROR(OFFSET(Rame!$F$1,MATCH(J187,Rame!$F:$F,0)-1,MATCH(K187,Rame!$F$1:$FF$1,0)-1)=TRUE),0,OFFSET(Rame!$F$1,MATCH(J187,Rame!$F:$F,0)-1,MATCH(K187,Rame!$F$1:$FF$1,0)-1))*IF(G187="Rame",1,0)</f>
        <v>0</v>
      </c>
      <c r="U187" s="205">
        <f ca="1">IF(ISERROR(OFFSET(Bronzo!$A$1,MATCH(J187,Bronzo!$A:$A,0)-1,MATCH(K187,Bronzo!$A$1:$AA$1,0)-1)=TRUE),0,OFFSET(Bronzo!$A$1,MATCH(J187,Bronzo!$A:$A,0)-1,MATCH(K187,Bronzo!$A$1:$AA$1,0)-1))</f>
        <v>0</v>
      </c>
      <c r="V187" s="205">
        <f t="shared" ca="1" si="140"/>
        <v>0</v>
      </c>
      <c r="W187" s="204"/>
      <c r="X187" s="205">
        <v>0</v>
      </c>
      <c r="Y187" s="206">
        <f t="shared" ca="1" si="141"/>
        <v>1.25</v>
      </c>
      <c r="Z187" s="377">
        <f t="shared" si="142"/>
        <v>259</v>
      </c>
      <c r="AA187" s="203">
        <v>3.95</v>
      </c>
      <c r="AB187" s="203">
        <f t="shared" ca="1" si="143"/>
        <v>0.25</v>
      </c>
      <c r="AC187" s="238">
        <v>46081</v>
      </c>
      <c r="AI187" s="367">
        <f t="shared" ca="1" si="138"/>
        <v>46092</v>
      </c>
      <c r="AJ187" s="367" t="b">
        <f t="shared" si="144"/>
        <v>0</v>
      </c>
      <c r="AK187" s="370">
        <f t="shared" ca="1" si="145"/>
        <v>-11</v>
      </c>
      <c r="AN187">
        <f t="shared" si="146"/>
        <v>9</v>
      </c>
      <c r="AO187">
        <f t="shared" si="147"/>
        <v>2026</v>
      </c>
      <c r="AV187">
        <f t="shared" si="148"/>
        <v>2</v>
      </c>
      <c r="AW187">
        <f t="shared" si="149"/>
        <v>2026</v>
      </c>
    </row>
    <row r="188" spans="4:49" ht="15.75" x14ac:dyDescent="0.25">
      <c r="D188" s="199" t="s">
        <v>539</v>
      </c>
      <c r="E188" s="378" t="s">
        <v>402</v>
      </c>
      <c r="F188" s="379">
        <v>428</v>
      </c>
      <c r="G188" s="201" t="s">
        <v>6</v>
      </c>
      <c r="H188" s="219">
        <v>9.4</v>
      </c>
      <c r="I188" s="202">
        <v>45959</v>
      </c>
      <c r="J188" s="200" t="s">
        <v>16</v>
      </c>
      <c r="K188" s="200"/>
      <c r="L188" s="203">
        <v>0.15</v>
      </c>
      <c r="M188" s="204">
        <f ca="1">IF(ISERROR(OFFSET(Tabella!$A$1,MATCH(J188,Tabella!$A:$A,0)-1,MATCH(L188,Tabella!$A$1:$AC$1,0)-1)=TRUE),0,+OFFSET(Tabella!$A$1,MATCH(J188,Tabella!$A:$A,0)-1,MATCH(L188,Tabella!$A$1:$AC$1,0)-1))</f>
        <v>0</v>
      </c>
      <c r="N188" s="205">
        <f ca="1">IF(ISERROR(OFFSET(Ottone!$A$1,MATCH(J188,Ottone!$A:$A,0)-1,MATCH(L188,Ottone!$A$1:$Z$1,0)-1)=TRUE),0,OFFSET(Ottone!$A$1,MATCH(J188,Ottone!$A:$A,0)-1,MATCH(L188,Ottone!$A$1:$Z$1,0)-1))*IF(G188="Ottone",1,0)</f>
        <v>0</v>
      </c>
      <c r="O188" s="205">
        <f ca="1">IF(ISERROR(OFFSET(Rame!$A$1,MATCH(J188,Rame!$A:$A,0)-1,MATCH(L188,Rame!$A$1:$AA$1,0)-1)=TRUE),0,OFFSET(Rame!$A$1,MATCH(J188,Rame!$A:$A,0)-1,MATCH(L188,Rame!$A$1:$AA$1,0)-1))*IF(G188="Rame",1,0)</f>
        <v>0.85</v>
      </c>
      <c r="P188" s="205">
        <v>0</v>
      </c>
      <c r="Q188" s="205">
        <f t="shared" ca="1" si="139"/>
        <v>0.85</v>
      </c>
      <c r="R188" s="205">
        <f ca="1">+IF(ISERROR(OFFSET(Tabella!$G$1,MATCH(J188,Tabella!$G:$G,0)-1,MATCH(K188,Tabella!$G$1:$FG$1,0)-1)=TRUE),0,OFFSET(Tabella!$G$1,MATCH(J188,Tabella!$G:$G,0)-1,MATCH(K188,Tabella!$G$1:$AB$1,0)-1))</f>
        <v>0</v>
      </c>
      <c r="S188" s="205">
        <f ca="1">IF(ISERROR(OFFSET(Ottone!$F$1,MATCH(J188,Ottone!$A:$A,0)-1,MATCH(K188,Ottone!$F$1:$FF$1,0)-1)=TRUE),0,OFFSET(Ottone!$F$1,MATCH(J188,Ottone!$A:$A,0)-1,MATCH(K188,Ottone!$F$1:$FF$1,0)-1))*IF(G188="Ottone",1,0)</f>
        <v>0</v>
      </c>
      <c r="T188" s="205">
        <f ca="1">IF(ISERROR(OFFSET(Rame!$F$1,MATCH(J188,Rame!$F:$F,0)-1,MATCH(K188,Rame!$F$1:$FF$1,0)-1)=TRUE),0,OFFSET(Rame!$F$1,MATCH(J188,Rame!$F:$F,0)-1,MATCH(K188,Rame!$F$1:$FF$1,0)-1))*IF(G188="Rame",1,0)</f>
        <v>0</v>
      </c>
      <c r="U188" s="205">
        <f ca="1">IF(ISERROR(OFFSET(Bronzo!$A$1,MATCH(J188,Bronzo!$A:$A,0)-1,MATCH(K188,Bronzo!$A$1:$AA$1,0)-1)=TRUE),0,OFFSET(Bronzo!$A$1,MATCH(J188,Bronzo!$A:$A,0)-1,MATCH(K188,Bronzo!$A$1:$AA$1,0)-1))</f>
        <v>0</v>
      </c>
      <c r="V188" s="205">
        <f t="shared" ca="1" si="140"/>
        <v>0</v>
      </c>
      <c r="W188" s="204"/>
      <c r="X188" s="205">
        <v>0</v>
      </c>
      <c r="Y188" s="206">
        <f t="shared" ca="1" si="141"/>
        <v>0.85</v>
      </c>
      <c r="Z188" s="380">
        <f t="shared" si="142"/>
        <v>64.2</v>
      </c>
      <c r="AA188" s="203">
        <v>13.1</v>
      </c>
      <c r="AB188" s="203">
        <f t="shared" ca="1" si="143"/>
        <v>2.8499999999999996</v>
      </c>
      <c r="AC188" s="238"/>
      <c r="AG188" t="s">
        <v>404</v>
      </c>
      <c r="AI188" s="367">
        <f t="shared" ca="1" si="138"/>
        <v>46092</v>
      </c>
      <c r="AJ188" s="367" t="b">
        <f t="shared" si="144"/>
        <v>1</v>
      </c>
      <c r="AK188" s="370" t="str">
        <f t="shared" si="145"/>
        <v/>
      </c>
      <c r="AN188">
        <f t="shared" si="146"/>
        <v>0</v>
      </c>
      <c r="AO188">
        <f t="shared" si="147"/>
        <v>1900</v>
      </c>
      <c r="AV188">
        <f t="shared" si="148"/>
        <v>0</v>
      </c>
      <c r="AW188">
        <f t="shared" si="149"/>
        <v>0</v>
      </c>
    </row>
    <row r="189" spans="4:49" ht="15.75" x14ac:dyDescent="0.25">
      <c r="D189" s="199" t="s">
        <v>626</v>
      </c>
      <c r="E189" s="378" t="s">
        <v>102</v>
      </c>
      <c r="F189" s="379">
        <v>2186</v>
      </c>
      <c r="G189" s="201" t="s">
        <v>4</v>
      </c>
      <c r="H189" s="219">
        <v>2.2400000000000002</v>
      </c>
      <c r="I189" s="202">
        <v>45911</v>
      </c>
      <c r="J189" s="200" t="s">
        <v>19</v>
      </c>
      <c r="K189" s="200"/>
      <c r="L189" s="203">
        <v>7.0000000000000007E-2</v>
      </c>
      <c r="M189" s="204">
        <f ca="1">IF(ISERROR(OFFSET(Tabella!$A$1,MATCH(J189,Tabella!$A:$A,0)-1,MATCH(L189,Tabella!$A$1:$AC$1,0)-1)=TRUE),0,+OFFSET(Tabella!$A$1,MATCH(J189,Tabella!$A:$A,0)-1,MATCH(L189,Tabella!$A$1:$AC$1,0)-1))</f>
        <v>1.35</v>
      </c>
      <c r="N189" s="205">
        <f ca="1">IF(ISERROR(OFFSET(Ottone!$A$1,MATCH(J189,Ottone!$A:$A,0)-1,MATCH(L189,Ottone!$A$1:$Z$1,0)-1)=TRUE),0,OFFSET(Ottone!$A$1,MATCH(J189,Ottone!$A:$A,0)-1,MATCH(L189,Ottone!$A$1:$Z$1,0)-1))*IF(G189="Ottone",1,0)</f>
        <v>0</v>
      </c>
      <c r="O189" s="205">
        <f ca="1">IF(ISERROR(OFFSET(Rame!$A$1,MATCH(J189,Rame!$A:$A,0)-1,MATCH(L189,Rame!$A$1:$AA$1,0)-1)=TRUE),0,OFFSET(Rame!$A$1,MATCH(J189,Rame!$A:$A,0)-1,MATCH(L189,Rame!$A$1:$AA$1,0)-1))*IF(G189="Rame",1,0)</f>
        <v>0</v>
      </c>
      <c r="P189" s="205">
        <v>0</v>
      </c>
      <c r="Q189" s="205">
        <f t="shared" ca="1" si="139"/>
        <v>1.35</v>
      </c>
      <c r="R189" s="205">
        <f ca="1">+IF(ISERROR(OFFSET(Tabella!$G$1,MATCH(J189,Tabella!$G:$G,0)-1,MATCH(K189,Tabella!$G$1:$FG$1,0)-1)=TRUE),0,OFFSET(Tabella!$G$1,MATCH(J189,Tabella!$G:$G,0)-1,MATCH(K189,Tabella!$G$1:$AB$1,0)-1))</f>
        <v>0</v>
      </c>
      <c r="S189" s="205">
        <f ca="1">IF(ISERROR(OFFSET(Ottone!$F$1,MATCH(J189,Ottone!$A:$A,0)-1,MATCH(K189,Ottone!$F$1:$FF$1,0)-1)=TRUE),0,OFFSET(Ottone!$F$1,MATCH(J189,Ottone!$A:$A,0)-1,MATCH(K189,Ottone!$F$1:$FF$1,0)-1))*IF(G189="Ottone",1,0)</f>
        <v>0</v>
      </c>
      <c r="T189" s="205">
        <f ca="1">IF(ISERROR(OFFSET(Rame!$F$1,MATCH(J189,Rame!$F:$F,0)-1,MATCH(K189,Rame!$F$1:$FF$1,0)-1)=TRUE),0,OFFSET(Rame!$F$1,MATCH(J189,Rame!$F:$F,0)-1,MATCH(K189,Rame!$F$1:$FF$1,0)-1))*IF(G189="Rame",1,0)</f>
        <v>0</v>
      </c>
      <c r="U189" s="205">
        <f ca="1">IF(ISERROR(OFFSET(Bronzo!$A$1,MATCH(J189,Bronzo!$A:$A,0)-1,MATCH(K189,Bronzo!$A$1:$AA$1,0)-1)=TRUE),0,OFFSET(Bronzo!$A$1,MATCH(J189,Bronzo!$A:$A,0)-1,MATCH(K189,Bronzo!$A$1:$AA$1,0)-1))</f>
        <v>0</v>
      </c>
      <c r="V189" s="205">
        <f t="shared" ca="1" si="140"/>
        <v>0</v>
      </c>
      <c r="W189" s="204"/>
      <c r="X189" s="205">
        <v>0</v>
      </c>
      <c r="Y189" s="206">
        <f t="shared" ca="1" si="141"/>
        <v>1.35</v>
      </c>
      <c r="Z189" s="380">
        <f t="shared" si="142"/>
        <v>153.02000000000001</v>
      </c>
      <c r="AA189" s="203">
        <v>3.8</v>
      </c>
      <c r="AB189" s="203">
        <f t="shared" ca="1" si="143"/>
        <v>0.20999999999999952</v>
      </c>
      <c r="AC189" s="238"/>
      <c r="AG189" t="s">
        <v>404</v>
      </c>
      <c r="AI189" s="367">
        <f t="shared" ca="1" si="138"/>
        <v>46092</v>
      </c>
      <c r="AJ189" s="367" t="b">
        <f t="shared" si="144"/>
        <v>1</v>
      </c>
      <c r="AK189" s="370" t="str">
        <f t="shared" si="145"/>
        <v/>
      </c>
      <c r="AN189">
        <f t="shared" si="146"/>
        <v>0</v>
      </c>
      <c r="AO189">
        <f t="shared" si="147"/>
        <v>1900</v>
      </c>
      <c r="AV189">
        <f t="shared" si="148"/>
        <v>0</v>
      </c>
      <c r="AW189">
        <f t="shared" si="149"/>
        <v>0</v>
      </c>
    </row>
    <row r="190" spans="4:49" ht="15.75" x14ac:dyDescent="0.25">
      <c r="D190" s="199" t="s">
        <v>494</v>
      </c>
      <c r="E190" s="200" t="s">
        <v>102</v>
      </c>
      <c r="F190" s="287">
        <v>1100</v>
      </c>
      <c r="G190" s="201" t="s">
        <v>4</v>
      </c>
      <c r="H190" s="219">
        <v>2.2400000000000002</v>
      </c>
      <c r="I190" s="202">
        <v>45911</v>
      </c>
      <c r="J190" s="200" t="s">
        <v>310</v>
      </c>
      <c r="K190" s="200"/>
      <c r="L190" s="203">
        <v>7.0000000000000007E-2</v>
      </c>
      <c r="M190" s="204">
        <f ca="1">IF(ISERROR(OFFSET(Tabella!$A$1,MATCH(J190,Tabella!$A:$A,0)-1,MATCH(L190,Tabella!$A$1:$AC$1,0)-1)=TRUE),0,+OFFSET(Tabella!$A$1,MATCH(J190,Tabella!$A:$A,0)-1,MATCH(L190,Tabella!$A$1:$AC$1,0)-1))</f>
        <v>1.25</v>
      </c>
      <c r="N190" s="205">
        <f ca="1">IF(ISERROR(OFFSET(Ottone!$A$1,MATCH(J190,Ottone!$A:$A,0)-1,MATCH(L190,Ottone!$A$1:$Z$1,0)-1)=TRUE),0,OFFSET(Ottone!$A$1,MATCH(J190,Ottone!$A:$A,0)-1,MATCH(L190,Ottone!$A$1:$Z$1,0)-1))*IF(G190="Ottone",1,0)</f>
        <v>0</v>
      </c>
      <c r="O190" s="205">
        <f ca="1">IF(ISERROR(OFFSET(Rame!$A$1,MATCH(J190,Rame!$A:$A,0)-1,MATCH(L190,Rame!$A$1:$AA$1,0)-1)=TRUE),0,OFFSET(Rame!$A$1,MATCH(J190,Rame!$A:$A,0)-1,MATCH(L190,Rame!$A$1:$AA$1,0)-1))*IF(G190="Rame",1,0)</f>
        <v>0</v>
      </c>
      <c r="P190" s="205">
        <v>0</v>
      </c>
      <c r="Q190" s="205">
        <f t="shared" ca="1" si="139"/>
        <v>1.25</v>
      </c>
      <c r="R190" s="205">
        <f ca="1">+IF(ISERROR(OFFSET(Tabella!$G$1,MATCH(J190,Tabella!$G:$G,0)-1,MATCH(K190,Tabella!$G$1:$FG$1,0)-1)=TRUE),0,OFFSET(Tabella!$G$1,MATCH(J190,Tabella!$G:$G,0)-1,MATCH(K190,Tabella!$G$1:$AB$1,0)-1))</f>
        <v>0</v>
      </c>
      <c r="S190" s="205">
        <f ca="1">IF(ISERROR(OFFSET(Ottone!$F$1,MATCH(J190,Ottone!$A:$A,0)-1,MATCH(K190,Ottone!$F$1:$FF$1,0)-1)=TRUE),0,OFFSET(Ottone!$F$1,MATCH(J190,Ottone!$A:$A,0)-1,MATCH(K190,Ottone!$F$1:$FF$1,0)-1))*IF(G190="Ottone",1,0)</f>
        <v>0</v>
      </c>
      <c r="T190" s="205">
        <f ca="1">IF(ISERROR(OFFSET(Rame!$F$1,MATCH(J190,Rame!$F:$F,0)-1,MATCH(K190,Rame!$F$1:$FF$1,0)-1)=TRUE),0,OFFSET(Rame!$F$1,MATCH(J190,Rame!$F:$F,0)-1,MATCH(K190,Rame!$F$1:$FF$1,0)-1))*IF(G190="Rame",1,0)</f>
        <v>0</v>
      </c>
      <c r="U190" s="205">
        <f ca="1">IF(ISERROR(OFFSET(Bronzo!$A$1,MATCH(J190,Bronzo!$A:$A,0)-1,MATCH(K190,Bronzo!$A$1:$AA$1,0)-1)=TRUE),0,OFFSET(Bronzo!$A$1,MATCH(J190,Bronzo!$A:$A,0)-1,MATCH(K190,Bronzo!$A$1:$AA$1,0)-1))</f>
        <v>0</v>
      </c>
      <c r="V190" s="205">
        <f t="shared" ca="1" si="140"/>
        <v>0</v>
      </c>
      <c r="W190" s="204"/>
      <c r="X190" s="205">
        <v>0</v>
      </c>
      <c r="Y190" s="206">
        <f t="shared" ca="1" si="141"/>
        <v>1.25</v>
      </c>
      <c r="Z190" s="277">
        <f t="shared" si="142"/>
        <v>77.000000000000014</v>
      </c>
      <c r="AA190" s="203">
        <v>3.75</v>
      </c>
      <c r="AB190" s="203">
        <f t="shared" ca="1" si="143"/>
        <v>0.25999999999999979</v>
      </c>
      <c r="AC190" s="238">
        <v>46001</v>
      </c>
      <c r="AI190" s="367">
        <f t="shared" ref="AI190:AI253" ca="1" si="152">TODAY()</f>
        <v>46092</v>
      </c>
      <c r="AJ190" s="367" t="b">
        <f t="shared" si="144"/>
        <v>0</v>
      </c>
      <c r="AK190" s="370">
        <f t="shared" ca="1" si="145"/>
        <v>-91</v>
      </c>
      <c r="AN190">
        <f t="shared" si="146"/>
        <v>50</v>
      </c>
      <c r="AO190">
        <f t="shared" si="147"/>
        <v>2025</v>
      </c>
      <c r="AV190">
        <f t="shared" si="148"/>
        <v>12</v>
      </c>
      <c r="AW190">
        <f t="shared" si="149"/>
        <v>2025</v>
      </c>
    </row>
    <row r="191" spans="4:49" ht="15.75" x14ac:dyDescent="0.25">
      <c r="D191" s="199" t="s">
        <v>494</v>
      </c>
      <c r="E191" s="200" t="s">
        <v>102</v>
      </c>
      <c r="F191" s="287">
        <v>1500</v>
      </c>
      <c r="G191" s="201" t="s">
        <v>4</v>
      </c>
      <c r="H191" s="219">
        <v>2.2400000000000002</v>
      </c>
      <c r="I191" s="202">
        <v>45911</v>
      </c>
      <c r="J191" s="200" t="s">
        <v>26</v>
      </c>
      <c r="K191" s="200"/>
      <c r="L191" s="203">
        <v>7.0000000000000007E-2</v>
      </c>
      <c r="M191" s="204">
        <f ca="1">IF(ISERROR(OFFSET(Tabella!$A$1,MATCH(J191,Tabella!$A:$A,0)-1,MATCH(L191,Tabella!$A$1:$AC$1,0)-1)=TRUE),0,+OFFSET(Tabella!$A$1,MATCH(J191,Tabella!$A:$A,0)-1,MATCH(L191,Tabella!$A$1:$AC$1,0)-1))</f>
        <v>1.25</v>
      </c>
      <c r="N191" s="205">
        <f ca="1">IF(ISERROR(OFFSET(Ottone!$A$1,MATCH(J191,Ottone!$A:$A,0)-1,MATCH(L191,Ottone!$A$1:$Z$1,0)-1)=TRUE),0,OFFSET(Ottone!$A$1,MATCH(J191,Ottone!$A:$A,0)-1,MATCH(L191,Ottone!$A$1:$Z$1,0)-1))*IF(G191="Ottone",1,0)</f>
        <v>0</v>
      </c>
      <c r="O191" s="205">
        <f ca="1">IF(ISERROR(OFFSET(Rame!$A$1,MATCH(J191,Rame!$A:$A,0)-1,MATCH(L191,Rame!$A$1:$AA$1,0)-1)=TRUE),0,OFFSET(Rame!$A$1,MATCH(J191,Rame!$A:$A,0)-1,MATCH(L191,Rame!$A$1:$AA$1,0)-1))*IF(G191="Rame",1,0)</f>
        <v>0</v>
      </c>
      <c r="P191" s="205">
        <v>0</v>
      </c>
      <c r="Q191" s="205">
        <f t="shared" ca="1" si="139"/>
        <v>1.25</v>
      </c>
      <c r="R191" s="205">
        <f ca="1">+IF(ISERROR(OFFSET(Tabella!$G$1,MATCH(J191,Tabella!$G:$G,0)-1,MATCH(K191,Tabella!$G$1:$FG$1,0)-1)=TRUE),0,OFFSET(Tabella!$G$1,MATCH(J191,Tabella!$G:$G,0)-1,MATCH(K191,Tabella!$G$1:$AB$1,0)-1))</f>
        <v>0</v>
      </c>
      <c r="S191" s="205">
        <f ca="1">IF(ISERROR(OFFSET(Ottone!$F$1,MATCH(J191,Ottone!$A:$A,0)-1,MATCH(K191,Ottone!$F$1:$FF$1,0)-1)=TRUE),0,OFFSET(Ottone!$F$1,MATCH(J191,Ottone!$A:$A,0)-1,MATCH(K191,Ottone!$F$1:$FF$1,0)-1))*IF(G191="Ottone",1,0)</f>
        <v>0</v>
      </c>
      <c r="T191" s="205">
        <f ca="1">IF(ISERROR(OFFSET(Rame!$F$1,MATCH(J191,Rame!$F:$F,0)-1,MATCH(K191,Rame!$F$1:$FF$1,0)-1)=TRUE),0,OFFSET(Rame!$F$1,MATCH(J191,Rame!$F:$F,0)-1,MATCH(K191,Rame!$F$1:$FF$1,0)-1))*IF(G191="Rame",1,0)</f>
        <v>0</v>
      </c>
      <c r="U191" s="205">
        <f ca="1">IF(ISERROR(OFFSET(Bronzo!$A$1,MATCH(J191,Bronzo!$A:$A,0)-1,MATCH(K191,Bronzo!$A$1:$AA$1,0)-1)=TRUE),0,OFFSET(Bronzo!$A$1,MATCH(J191,Bronzo!$A:$A,0)-1,MATCH(K191,Bronzo!$A$1:$AA$1,0)-1))</f>
        <v>0</v>
      </c>
      <c r="V191" s="205">
        <f t="shared" ca="1" si="140"/>
        <v>0</v>
      </c>
      <c r="W191" s="204"/>
      <c r="X191" s="205">
        <v>0</v>
      </c>
      <c r="Y191" s="206">
        <f t="shared" ca="1" si="141"/>
        <v>1.25</v>
      </c>
      <c r="Z191" s="277">
        <f t="shared" si="142"/>
        <v>105.00000000000001</v>
      </c>
      <c r="AA191" s="203">
        <v>3.75</v>
      </c>
      <c r="AB191" s="203">
        <f t="shared" ca="1" si="143"/>
        <v>0.25999999999999979</v>
      </c>
      <c r="AC191" s="238">
        <v>46034</v>
      </c>
      <c r="AI191" s="367">
        <f t="shared" ca="1" si="152"/>
        <v>46092</v>
      </c>
      <c r="AJ191" s="367" t="b">
        <f t="shared" si="144"/>
        <v>0</v>
      </c>
      <c r="AK191" s="370">
        <f t="shared" ca="1" si="145"/>
        <v>-58</v>
      </c>
      <c r="AN191">
        <f t="shared" si="146"/>
        <v>3</v>
      </c>
      <c r="AO191">
        <f t="shared" si="147"/>
        <v>2026</v>
      </c>
      <c r="AV191">
        <f t="shared" si="148"/>
        <v>1</v>
      </c>
      <c r="AW191">
        <f t="shared" si="149"/>
        <v>2026</v>
      </c>
    </row>
    <row r="192" spans="4:49" ht="15.75" x14ac:dyDescent="0.25">
      <c r="D192" s="199" t="s">
        <v>494</v>
      </c>
      <c r="E192" s="200" t="s">
        <v>102</v>
      </c>
      <c r="F192" s="287">
        <v>3000</v>
      </c>
      <c r="G192" s="201" t="s">
        <v>4</v>
      </c>
      <c r="H192" s="219">
        <v>2.2400000000000002</v>
      </c>
      <c r="I192" s="202">
        <v>45911</v>
      </c>
      <c r="J192" s="200" t="s">
        <v>27</v>
      </c>
      <c r="K192" s="200"/>
      <c r="L192" s="203">
        <v>7.0000000000000007E-2</v>
      </c>
      <c r="M192" s="204">
        <f ca="1">IF(ISERROR(OFFSET(Tabella!$A$1,MATCH(J192,Tabella!$A:$A,0)-1,MATCH(L192,Tabella!$A$1:$AC$1,0)-1)=TRUE),0,+OFFSET(Tabella!$A$1,MATCH(J192,Tabella!$A:$A,0)-1,MATCH(L192,Tabella!$A$1:$AC$1,0)-1))</f>
        <v>1.25</v>
      </c>
      <c r="N192" s="205">
        <f ca="1">IF(ISERROR(OFFSET(Ottone!$A$1,MATCH(J192,Ottone!$A:$A,0)-1,MATCH(L192,Ottone!$A$1:$Z$1,0)-1)=TRUE),0,OFFSET(Ottone!$A$1,MATCH(J192,Ottone!$A:$A,0)-1,MATCH(L192,Ottone!$A$1:$Z$1,0)-1))*IF(G192="Ottone",1,0)</f>
        <v>0</v>
      </c>
      <c r="O192" s="205">
        <f ca="1">IF(ISERROR(OFFSET(Rame!$A$1,MATCH(J192,Rame!$A:$A,0)-1,MATCH(L192,Rame!$A$1:$AA$1,0)-1)=TRUE),0,OFFSET(Rame!$A$1,MATCH(J192,Rame!$A:$A,0)-1,MATCH(L192,Rame!$A$1:$AA$1,0)-1))*IF(G192="Rame",1,0)</f>
        <v>0</v>
      </c>
      <c r="P192" s="205">
        <v>0</v>
      </c>
      <c r="Q192" s="205">
        <f t="shared" ca="1" si="139"/>
        <v>1.25</v>
      </c>
      <c r="R192" s="205">
        <f ca="1">+IF(ISERROR(OFFSET(Tabella!$G$1,MATCH(J192,Tabella!$G:$G,0)-1,MATCH(K192,Tabella!$G$1:$FG$1,0)-1)=TRUE),0,OFFSET(Tabella!$G$1,MATCH(J192,Tabella!$G:$G,0)-1,MATCH(K192,Tabella!$G$1:$AB$1,0)-1))</f>
        <v>0</v>
      </c>
      <c r="S192" s="205">
        <f ca="1">IF(ISERROR(OFFSET(Ottone!$F$1,MATCH(J192,Ottone!$A:$A,0)-1,MATCH(K192,Ottone!$F$1:$FF$1,0)-1)=TRUE),0,OFFSET(Ottone!$F$1,MATCH(J192,Ottone!$A:$A,0)-1,MATCH(K192,Ottone!$F$1:$FF$1,0)-1))*IF(G192="Ottone",1,0)</f>
        <v>0</v>
      </c>
      <c r="T192" s="205">
        <f ca="1">IF(ISERROR(OFFSET(Rame!$F$1,MATCH(J192,Rame!$F:$F,0)-1,MATCH(K192,Rame!$F$1:$FF$1,0)-1)=TRUE),0,OFFSET(Rame!$F$1,MATCH(J192,Rame!$F:$F,0)-1,MATCH(K192,Rame!$F$1:$FF$1,0)-1))*IF(G192="Rame",1,0)</f>
        <v>0</v>
      </c>
      <c r="U192" s="205">
        <f ca="1">IF(ISERROR(OFFSET(Bronzo!$A$1,MATCH(J192,Bronzo!$A:$A,0)-1,MATCH(K192,Bronzo!$A$1:$AA$1,0)-1)=TRUE),0,OFFSET(Bronzo!$A$1,MATCH(J192,Bronzo!$A:$A,0)-1,MATCH(K192,Bronzo!$A$1:$AA$1,0)-1))</f>
        <v>0</v>
      </c>
      <c r="V192" s="205">
        <f t="shared" ca="1" si="140"/>
        <v>0</v>
      </c>
      <c r="W192" s="204"/>
      <c r="X192" s="205">
        <v>0</v>
      </c>
      <c r="Y192" s="206">
        <f t="shared" ca="1" si="141"/>
        <v>1.25</v>
      </c>
      <c r="Z192" s="277">
        <f t="shared" si="142"/>
        <v>210.00000000000003</v>
      </c>
      <c r="AA192" s="203">
        <v>3.75</v>
      </c>
      <c r="AB192" s="203">
        <f t="shared" ca="1" si="143"/>
        <v>0.25999999999999979</v>
      </c>
      <c r="AC192" s="238">
        <v>46034</v>
      </c>
      <c r="AI192" s="367">
        <f t="shared" ca="1" si="152"/>
        <v>46092</v>
      </c>
      <c r="AJ192" s="367" t="b">
        <f t="shared" si="144"/>
        <v>0</v>
      </c>
      <c r="AK192" s="370">
        <f t="shared" ca="1" si="145"/>
        <v>-58</v>
      </c>
      <c r="AN192">
        <f t="shared" si="146"/>
        <v>3</v>
      </c>
      <c r="AO192">
        <f t="shared" si="147"/>
        <v>2026</v>
      </c>
      <c r="AV192">
        <f t="shared" si="148"/>
        <v>1</v>
      </c>
      <c r="AW192">
        <f t="shared" si="149"/>
        <v>2026</v>
      </c>
    </row>
    <row r="193" spans="4:49" ht="15.75" x14ac:dyDescent="0.25">
      <c r="D193" s="199" t="s">
        <v>494</v>
      </c>
      <c r="E193" s="200" t="s">
        <v>102</v>
      </c>
      <c r="F193" s="287">
        <v>1300</v>
      </c>
      <c r="G193" s="201" t="s">
        <v>4</v>
      </c>
      <c r="H193" s="219">
        <v>2.2400000000000002</v>
      </c>
      <c r="I193" s="202">
        <v>45911</v>
      </c>
      <c r="J193" s="200" t="s">
        <v>310</v>
      </c>
      <c r="K193" s="200"/>
      <c r="L193" s="203">
        <v>7.0000000000000007E-2</v>
      </c>
      <c r="M193" s="204">
        <f ca="1">IF(ISERROR(OFFSET(Tabella!$A$1,MATCH(J193,Tabella!$A:$A,0)-1,MATCH(L193,Tabella!$A$1:$AC$1,0)-1)=TRUE),0,+OFFSET(Tabella!$A$1,MATCH(J193,Tabella!$A:$A,0)-1,MATCH(L193,Tabella!$A$1:$AC$1,0)-1))</f>
        <v>1.25</v>
      </c>
      <c r="N193" s="205">
        <f ca="1">IF(ISERROR(OFFSET(Ottone!$A$1,MATCH(J193,Ottone!$A:$A,0)-1,MATCH(L193,Ottone!$A$1:$Z$1,0)-1)=TRUE),0,OFFSET(Ottone!$A$1,MATCH(J193,Ottone!$A:$A,0)-1,MATCH(L193,Ottone!$A$1:$Z$1,0)-1))*IF(G193="Ottone",1,0)</f>
        <v>0</v>
      </c>
      <c r="O193" s="205">
        <f ca="1">IF(ISERROR(OFFSET(Rame!$A$1,MATCH(J193,Rame!$A:$A,0)-1,MATCH(L193,Rame!$A$1:$AA$1,0)-1)=TRUE),0,OFFSET(Rame!$A$1,MATCH(J193,Rame!$A:$A,0)-1,MATCH(L193,Rame!$A$1:$AA$1,0)-1))*IF(G193="Rame",1,0)</f>
        <v>0</v>
      </c>
      <c r="P193" s="205">
        <v>0</v>
      </c>
      <c r="Q193" s="205">
        <f t="shared" ca="1" si="139"/>
        <v>1.25</v>
      </c>
      <c r="R193" s="205">
        <f ca="1">+IF(ISERROR(OFFSET(Tabella!$G$1,MATCH(J193,Tabella!$G:$G,0)-1,MATCH(K193,Tabella!$G$1:$FG$1,0)-1)=TRUE),0,OFFSET(Tabella!$G$1,MATCH(J193,Tabella!$G:$G,0)-1,MATCH(K193,Tabella!$G$1:$AB$1,0)-1))</f>
        <v>0</v>
      </c>
      <c r="S193" s="205">
        <f ca="1">IF(ISERROR(OFFSET(Ottone!$F$1,MATCH(J193,Ottone!$A:$A,0)-1,MATCH(K193,Ottone!$F$1:$FF$1,0)-1)=TRUE),0,OFFSET(Ottone!$F$1,MATCH(J193,Ottone!$A:$A,0)-1,MATCH(K193,Ottone!$F$1:$FF$1,0)-1))*IF(G193="Ottone",1,0)</f>
        <v>0</v>
      </c>
      <c r="T193" s="205">
        <f ca="1">IF(ISERROR(OFFSET(Rame!$F$1,MATCH(J193,Rame!$F:$F,0)-1,MATCH(K193,Rame!$F$1:$FF$1,0)-1)=TRUE),0,OFFSET(Rame!$F$1,MATCH(J193,Rame!$F:$F,0)-1,MATCH(K193,Rame!$F$1:$FF$1,0)-1))*IF(G193="Rame",1,0)</f>
        <v>0</v>
      </c>
      <c r="U193" s="205">
        <f ca="1">IF(ISERROR(OFFSET(Bronzo!$A$1,MATCH(J193,Bronzo!$A:$A,0)-1,MATCH(K193,Bronzo!$A$1:$AA$1,0)-1)=TRUE),0,OFFSET(Bronzo!$A$1,MATCH(J193,Bronzo!$A:$A,0)-1,MATCH(K193,Bronzo!$A$1:$AA$1,0)-1))</f>
        <v>0</v>
      </c>
      <c r="V193" s="205">
        <f t="shared" ca="1" si="140"/>
        <v>0</v>
      </c>
      <c r="W193" s="204"/>
      <c r="X193" s="205">
        <v>0</v>
      </c>
      <c r="Y193" s="206">
        <f t="shared" ca="1" si="141"/>
        <v>1.25</v>
      </c>
      <c r="Z193" s="277">
        <f t="shared" si="142"/>
        <v>91.000000000000014</v>
      </c>
      <c r="AA193" s="203">
        <v>3.75</v>
      </c>
      <c r="AB193" s="203">
        <f t="shared" ca="1" si="143"/>
        <v>0.25999999999999979</v>
      </c>
      <c r="AC193" s="238">
        <v>46034</v>
      </c>
      <c r="AI193" s="367">
        <f t="shared" ca="1" si="152"/>
        <v>46092</v>
      </c>
      <c r="AJ193" s="367" t="b">
        <f t="shared" si="144"/>
        <v>0</v>
      </c>
      <c r="AK193" s="370">
        <f t="shared" ca="1" si="145"/>
        <v>-58</v>
      </c>
      <c r="AN193">
        <f t="shared" si="146"/>
        <v>3</v>
      </c>
      <c r="AO193">
        <f t="shared" si="147"/>
        <v>2026</v>
      </c>
      <c r="AV193">
        <f t="shared" si="148"/>
        <v>1</v>
      </c>
      <c r="AW193">
        <f t="shared" si="149"/>
        <v>2026</v>
      </c>
    </row>
    <row r="194" spans="4:49" ht="15.75" x14ac:dyDescent="0.25">
      <c r="D194" s="199" t="s">
        <v>560</v>
      </c>
      <c r="E194" s="378" t="s">
        <v>195</v>
      </c>
      <c r="F194" s="379">
        <v>522</v>
      </c>
      <c r="G194" s="201" t="s">
        <v>4</v>
      </c>
      <c r="H194" s="219">
        <v>2.48</v>
      </c>
      <c r="I194" s="202">
        <v>45960</v>
      </c>
      <c r="J194" s="200" t="s">
        <v>25</v>
      </c>
      <c r="K194" s="200"/>
      <c r="L194" s="203">
        <v>7.0000000000000007E-2</v>
      </c>
      <c r="M194" s="204">
        <f ca="1">IF(ISERROR(OFFSET(Tabella!$A$1,MATCH(J194,Tabella!$A:$A,0)-1,MATCH(L194,Tabella!$A$1:$AC$1,0)-1)=TRUE),0,+OFFSET(Tabella!$A$1,MATCH(J194,Tabella!$A:$A,0)-1,MATCH(L194,Tabella!$A$1:$AC$1,0)-1))</f>
        <v>1.25</v>
      </c>
      <c r="N194" s="205">
        <f ca="1">IF(ISERROR(OFFSET(Ottone!$A$1,MATCH(J194,Ottone!$A:$A,0)-1,MATCH(L194,Ottone!$A$1:$Z$1,0)-1)=TRUE),0,OFFSET(Ottone!$A$1,MATCH(J194,Ottone!$A:$A,0)-1,MATCH(L194,Ottone!$A$1:$Z$1,0)-1))*IF(G194="Ottone",1,0)</f>
        <v>0</v>
      </c>
      <c r="O194" s="205">
        <f ca="1">IF(ISERROR(OFFSET(Rame!$A$1,MATCH(J194,Rame!$A:$A,0)-1,MATCH(L194,Rame!$A$1:$AA$1,0)-1)=TRUE),0,OFFSET(Rame!$A$1,MATCH(J194,Rame!$A:$A,0)-1,MATCH(L194,Rame!$A$1:$AA$1,0)-1))*IF(G194="Rame",1,0)</f>
        <v>0</v>
      </c>
      <c r="P194" s="205">
        <v>0</v>
      </c>
      <c r="Q194" s="205">
        <f t="shared" ca="1" si="139"/>
        <v>1.25</v>
      </c>
      <c r="R194" s="205">
        <f ca="1">+IF(ISERROR(OFFSET(Tabella!$G$1,MATCH(J194,Tabella!$G:$G,0)-1,MATCH(K194,Tabella!$G$1:$FG$1,0)-1)=TRUE),0,OFFSET(Tabella!$G$1,MATCH(J194,Tabella!$G:$G,0)-1,MATCH(K194,Tabella!$G$1:$AB$1,0)-1))</f>
        <v>0</v>
      </c>
      <c r="S194" s="205">
        <f ca="1">IF(ISERROR(OFFSET(Ottone!$F$1,MATCH(J194,Ottone!$A:$A,0)-1,MATCH(K194,Ottone!$F$1:$FF$1,0)-1)=TRUE),0,OFFSET(Ottone!$F$1,MATCH(J194,Ottone!$A:$A,0)-1,MATCH(K194,Ottone!$F$1:$FF$1,0)-1))*IF(G194="Ottone",1,0)</f>
        <v>0</v>
      </c>
      <c r="T194" s="205">
        <f ca="1">IF(ISERROR(OFFSET(Rame!$F$1,MATCH(J194,Rame!$F:$F,0)-1,MATCH(K194,Rame!$F$1:$FF$1,0)-1)=TRUE),0,OFFSET(Rame!$F$1,MATCH(J194,Rame!$F:$F,0)-1,MATCH(K194,Rame!$F$1:$FF$1,0)-1))*IF(G194="Rame",1,0)</f>
        <v>0</v>
      </c>
      <c r="U194" s="205">
        <f ca="1">IF(ISERROR(OFFSET(Bronzo!$A$1,MATCH(J194,Bronzo!$A:$A,0)-1,MATCH(K194,Bronzo!$A$1:$AA$1,0)-1)=TRUE),0,OFFSET(Bronzo!$A$1,MATCH(J194,Bronzo!$A:$A,0)-1,MATCH(K194,Bronzo!$A$1:$AA$1,0)-1))</f>
        <v>0</v>
      </c>
      <c r="V194" s="205">
        <f t="shared" ca="1" si="140"/>
        <v>0</v>
      </c>
      <c r="W194" s="204"/>
      <c r="X194" s="205">
        <v>0</v>
      </c>
      <c r="Y194" s="206">
        <f t="shared" ca="1" si="141"/>
        <v>1.25</v>
      </c>
      <c r="Z194" s="380">
        <f t="shared" si="142"/>
        <v>36.540000000000006</v>
      </c>
      <c r="AA194" s="203">
        <v>4.2</v>
      </c>
      <c r="AB194" s="203">
        <f t="shared" ca="1" si="143"/>
        <v>0.4700000000000002</v>
      </c>
      <c r="AC194" s="238"/>
      <c r="AG194" t="s">
        <v>404</v>
      </c>
      <c r="AI194" s="367">
        <f t="shared" ca="1" si="152"/>
        <v>46092</v>
      </c>
      <c r="AJ194" s="367" t="b">
        <f t="shared" si="144"/>
        <v>1</v>
      </c>
      <c r="AK194" s="370" t="str">
        <f t="shared" si="145"/>
        <v/>
      </c>
      <c r="AN194">
        <f t="shared" si="146"/>
        <v>0</v>
      </c>
      <c r="AO194">
        <f t="shared" si="147"/>
        <v>1900</v>
      </c>
      <c r="AV194">
        <f t="shared" si="148"/>
        <v>0</v>
      </c>
      <c r="AW194">
        <f t="shared" si="149"/>
        <v>0</v>
      </c>
    </row>
    <row r="195" spans="4:49" ht="15.75" x14ac:dyDescent="0.25">
      <c r="D195" s="199" t="s">
        <v>533</v>
      </c>
      <c r="E195" s="378" t="s">
        <v>257</v>
      </c>
      <c r="F195" s="379">
        <v>540</v>
      </c>
      <c r="G195" s="201" t="s">
        <v>4</v>
      </c>
      <c r="H195" s="219">
        <v>2.46</v>
      </c>
      <c r="I195" s="202">
        <v>45960</v>
      </c>
      <c r="J195" s="200" t="s">
        <v>23</v>
      </c>
      <c r="K195" s="200"/>
      <c r="L195" s="203">
        <v>7.0000000000000007E-2</v>
      </c>
      <c r="M195" s="204">
        <f ca="1">IF(ISERROR(OFFSET(Tabella!$A$1,MATCH(J195,Tabella!$A:$A,0)-1,MATCH(L195,Tabella!$A$1:$AC$1,0)-1)=TRUE),0,+OFFSET(Tabella!$A$1,MATCH(J195,Tabella!$A:$A,0)-1,MATCH(L195,Tabella!$A$1:$AC$1,0)-1))</f>
        <v>1.25</v>
      </c>
      <c r="N195" s="205">
        <f ca="1">IF(ISERROR(OFFSET(Ottone!$A$1,MATCH(J195,Ottone!$A:$A,0)-1,MATCH(L195,Ottone!$A$1:$Z$1,0)-1)=TRUE),0,OFFSET(Ottone!$A$1,MATCH(J195,Ottone!$A:$A,0)-1,MATCH(L195,Ottone!$A$1:$Z$1,0)-1))*IF(G195="Ottone",1,0)</f>
        <v>0</v>
      </c>
      <c r="O195" s="205">
        <f ca="1">IF(ISERROR(OFFSET(Rame!$A$1,MATCH(J195,Rame!$A:$A,0)-1,MATCH(L195,Rame!$A$1:$AA$1,0)-1)=TRUE),0,OFFSET(Rame!$A$1,MATCH(J195,Rame!$A:$A,0)-1,MATCH(L195,Rame!$A$1:$AA$1,0)-1))*IF(G195="Rame",1,0)</f>
        <v>0</v>
      </c>
      <c r="P195" s="205">
        <v>0</v>
      </c>
      <c r="Q195" s="205">
        <f t="shared" ca="1" si="139"/>
        <v>1.25</v>
      </c>
      <c r="R195" s="205">
        <f ca="1">+IF(ISERROR(OFFSET(Tabella!$G$1,MATCH(J195,Tabella!$G:$G,0)-1,MATCH(K195,Tabella!$G$1:$FG$1,0)-1)=TRUE),0,OFFSET(Tabella!$G$1,MATCH(J195,Tabella!$G:$G,0)-1,MATCH(K195,Tabella!$G$1:$AB$1,0)-1))</f>
        <v>0</v>
      </c>
      <c r="S195" s="205">
        <f ca="1">IF(ISERROR(OFFSET(Ottone!$F$1,MATCH(J195,Ottone!$A:$A,0)-1,MATCH(K195,Ottone!$F$1:$FF$1,0)-1)=TRUE),0,OFFSET(Ottone!$F$1,MATCH(J195,Ottone!$A:$A,0)-1,MATCH(K195,Ottone!$F$1:$FF$1,0)-1))*IF(G195="Ottone",1,0)</f>
        <v>0</v>
      </c>
      <c r="T195" s="205">
        <f ca="1">IF(ISERROR(OFFSET(Rame!$F$1,MATCH(J195,Rame!$F:$F,0)-1,MATCH(K195,Rame!$F$1:$FF$1,0)-1)=TRUE),0,OFFSET(Rame!$F$1,MATCH(J195,Rame!$F:$F,0)-1,MATCH(K195,Rame!$F$1:$FF$1,0)-1))*IF(G195="Rame",1,0)</f>
        <v>0</v>
      </c>
      <c r="U195" s="205">
        <f ca="1">IF(ISERROR(OFFSET(Bronzo!$A$1,MATCH(J195,Bronzo!$A:$A,0)-1,MATCH(K195,Bronzo!$A$1:$AA$1,0)-1)=TRUE),0,OFFSET(Bronzo!$A$1,MATCH(J195,Bronzo!$A:$A,0)-1,MATCH(K195,Bronzo!$A$1:$AA$1,0)-1))</f>
        <v>0</v>
      </c>
      <c r="V195" s="205">
        <f t="shared" ca="1" si="140"/>
        <v>0</v>
      </c>
      <c r="W195" s="204"/>
      <c r="X195" s="205">
        <v>0</v>
      </c>
      <c r="Y195" s="206">
        <f t="shared" ca="1" si="141"/>
        <v>1.25</v>
      </c>
      <c r="Z195" s="380">
        <f t="shared" si="142"/>
        <v>37.800000000000004</v>
      </c>
      <c r="AA195" s="203">
        <v>3.96</v>
      </c>
      <c r="AB195" s="203">
        <f t="shared" ca="1" si="143"/>
        <v>0.25</v>
      </c>
      <c r="AC195" s="238"/>
      <c r="AG195" t="s">
        <v>404</v>
      </c>
      <c r="AI195" s="367">
        <f t="shared" ca="1" si="152"/>
        <v>46092</v>
      </c>
      <c r="AJ195" s="367" t="b">
        <f t="shared" si="144"/>
        <v>1</v>
      </c>
      <c r="AK195" s="370" t="str">
        <f t="shared" si="145"/>
        <v/>
      </c>
      <c r="AN195">
        <f t="shared" si="146"/>
        <v>0</v>
      </c>
      <c r="AO195">
        <f t="shared" si="147"/>
        <v>1900</v>
      </c>
      <c r="AV195">
        <f t="shared" si="148"/>
        <v>0</v>
      </c>
      <c r="AW195">
        <f t="shared" si="149"/>
        <v>0</v>
      </c>
    </row>
    <row r="196" spans="4:49" ht="15.75" x14ac:dyDescent="0.25">
      <c r="D196" s="199" t="s">
        <v>581</v>
      </c>
      <c r="E196" s="378" t="s">
        <v>260</v>
      </c>
      <c r="F196" s="379">
        <v>889</v>
      </c>
      <c r="G196" s="201" t="s">
        <v>4</v>
      </c>
      <c r="H196" s="219">
        <v>2.46</v>
      </c>
      <c r="I196" s="202">
        <v>45960</v>
      </c>
      <c r="J196" s="200" t="s">
        <v>25</v>
      </c>
      <c r="K196" s="200"/>
      <c r="L196" s="203">
        <v>7.0000000000000007E-2</v>
      </c>
      <c r="M196" s="204">
        <f ca="1">IF(ISERROR(OFFSET(Tabella!$A$1,MATCH(J196,Tabella!$A:$A,0)-1,MATCH(L196,Tabella!$A$1:$AC$1,0)-1)=TRUE),0,+OFFSET(Tabella!$A$1,MATCH(J196,Tabella!$A:$A,0)-1,MATCH(L196,Tabella!$A$1:$AC$1,0)-1))</f>
        <v>1.25</v>
      </c>
      <c r="N196" s="205">
        <f ca="1">IF(ISERROR(OFFSET(Ottone!$A$1,MATCH(J196,Ottone!$A:$A,0)-1,MATCH(L196,Ottone!$A$1:$Z$1,0)-1)=TRUE),0,OFFSET(Ottone!$A$1,MATCH(J196,Ottone!$A:$A,0)-1,MATCH(L196,Ottone!$A$1:$Z$1,0)-1))*IF(G196="Ottone",1,0)</f>
        <v>0</v>
      </c>
      <c r="O196" s="205">
        <f ca="1">IF(ISERROR(OFFSET(Rame!$A$1,MATCH(J196,Rame!$A:$A,0)-1,MATCH(L196,Rame!$A$1:$AA$1,0)-1)=TRUE),0,OFFSET(Rame!$A$1,MATCH(J196,Rame!$A:$A,0)-1,MATCH(L196,Rame!$A$1:$AA$1,0)-1))*IF(G196="Rame",1,0)</f>
        <v>0</v>
      </c>
      <c r="P196" s="205">
        <v>0</v>
      </c>
      <c r="Q196" s="205">
        <f t="shared" ca="1" si="139"/>
        <v>1.25</v>
      </c>
      <c r="R196" s="205">
        <f ca="1">+IF(ISERROR(OFFSET(Tabella!$G$1,MATCH(J196,Tabella!$G:$G,0)-1,MATCH(K196,Tabella!$G$1:$FG$1,0)-1)=TRUE),0,OFFSET(Tabella!$G$1,MATCH(J196,Tabella!$G:$G,0)-1,MATCH(K196,Tabella!$G$1:$AB$1,0)-1))</f>
        <v>0</v>
      </c>
      <c r="S196" s="205">
        <f ca="1">IF(ISERROR(OFFSET(Ottone!$F$1,MATCH(J196,Ottone!$A:$A,0)-1,MATCH(K196,Ottone!$F$1:$FF$1,0)-1)=TRUE),0,OFFSET(Ottone!$F$1,MATCH(J196,Ottone!$A:$A,0)-1,MATCH(K196,Ottone!$F$1:$FF$1,0)-1))*IF(G196="Ottone",1,0)</f>
        <v>0</v>
      </c>
      <c r="T196" s="205">
        <f ca="1">IF(ISERROR(OFFSET(Rame!$F$1,MATCH(J196,Rame!$F:$F,0)-1,MATCH(K196,Rame!$F$1:$FF$1,0)-1)=TRUE),0,OFFSET(Rame!$F$1,MATCH(J196,Rame!$F:$F,0)-1,MATCH(K196,Rame!$F$1:$FF$1,0)-1))*IF(G196="Rame",1,0)</f>
        <v>0</v>
      </c>
      <c r="U196" s="205">
        <f ca="1">IF(ISERROR(OFFSET(Bronzo!$A$1,MATCH(J196,Bronzo!$A:$A,0)-1,MATCH(K196,Bronzo!$A$1:$AA$1,0)-1)=TRUE),0,OFFSET(Bronzo!$A$1,MATCH(J196,Bronzo!$A:$A,0)-1,MATCH(K196,Bronzo!$A$1:$AA$1,0)-1))</f>
        <v>0</v>
      </c>
      <c r="V196" s="205">
        <f t="shared" ca="1" si="140"/>
        <v>0</v>
      </c>
      <c r="W196" s="204"/>
      <c r="X196" s="205">
        <v>0</v>
      </c>
      <c r="Y196" s="206">
        <f t="shared" ca="1" si="141"/>
        <v>1.25</v>
      </c>
      <c r="Z196" s="380">
        <f t="shared" si="142"/>
        <v>62.230000000000004</v>
      </c>
      <c r="AA196" s="203">
        <v>3.97</v>
      </c>
      <c r="AB196" s="203">
        <f t="shared" ca="1" si="143"/>
        <v>0.26000000000000023</v>
      </c>
      <c r="AC196" s="238"/>
      <c r="AG196" t="s">
        <v>404</v>
      </c>
      <c r="AI196" s="367">
        <f t="shared" ca="1" si="152"/>
        <v>46092</v>
      </c>
      <c r="AJ196" s="367" t="b">
        <f t="shared" si="144"/>
        <v>1</v>
      </c>
      <c r="AK196" s="370" t="str">
        <f t="shared" si="145"/>
        <v/>
      </c>
      <c r="AN196">
        <f t="shared" si="146"/>
        <v>0</v>
      </c>
      <c r="AO196">
        <f t="shared" si="147"/>
        <v>1900</v>
      </c>
      <c r="AV196">
        <f t="shared" si="148"/>
        <v>0</v>
      </c>
      <c r="AW196">
        <f t="shared" si="149"/>
        <v>0</v>
      </c>
    </row>
    <row r="197" spans="4:49" ht="15.75" x14ac:dyDescent="0.25">
      <c r="D197" s="199" t="s">
        <v>590</v>
      </c>
      <c r="E197" s="378" t="s">
        <v>260</v>
      </c>
      <c r="F197" s="379">
        <v>1261</v>
      </c>
      <c r="G197" s="201" t="s">
        <v>4</v>
      </c>
      <c r="H197" s="219">
        <v>2.46</v>
      </c>
      <c r="I197" s="202">
        <v>45960</v>
      </c>
      <c r="J197" s="200" t="s">
        <v>305</v>
      </c>
      <c r="K197" s="200"/>
      <c r="L197" s="203">
        <v>7.0000000000000007E-2</v>
      </c>
      <c r="M197" s="204">
        <f ca="1">IF(ISERROR(OFFSET(Tabella!$A$1,MATCH(J197,Tabella!$A:$A,0)-1,MATCH(L197,Tabella!$A$1:$AC$1,0)-1)=TRUE),0,+OFFSET(Tabella!$A$1,MATCH(J197,Tabella!$A:$A,0)-1,MATCH(L197,Tabella!$A$1:$AC$1,0)-1))</f>
        <v>1.25</v>
      </c>
      <c r="N197" s="205">
        <f ca="1">IF(ISERROR(OFFSET(Ottone!$A$1,MATCH(J197,Ottone!$A:$A,0)-1,MATCH(L197,Ottone!$A$1:$Z$1,0)-1)=TRUE),0,OFFSET(Ottone!$A$1,MATCH(J197,Ottone!$A:$A,0)-1,MATCH(L197,Ottone!$A$1:$Z$1,0)-1))*IF(G197="Ottone",1,0)</f>
        <v>0</v>
      </c>
      <c r="O197" s="205">
        <f ca="1">IF(ISERROR(OFFSET(Rame!$A$1,MATCH(J197,Rame!$A:$A,0)-1,MATCH(L197,Rame!$A$1:$AA$1,0)-1)=TRUE),0,OFFSET(Rame!$A$1,MATCH(J197,Rame!$A:$A,0)-1,MATCH(L197,Rame!$A$1:$AA$1,0)-1))*IF(G197="Rame",1,0)</f>
        <v>0</v>
      </c>
      <c r="P197" s="205">
        <v>0</v>
      </c>
      <c r="Q197" s="205">
        <f t="shared" ca="1" si="139"/>
        <v>1.25</v>
      </c>
      <c r="R197" s="205">
        <f ca="1">+IF(ISERROR(OFFSET(Tabella!$G$1,MATCH(J197,Tabella!$G:$G,0)-1,MATCH(K197,Tabella!$G$1:$FG$1,0)-1)=TRUE),0,OFFSET(Tabella!$G$1,MATCH(J197,Tabella!$G:$G,0)-1,MATCH(K197,Tabella!$G$1:$AB$1,0)-1))</f>
        <v>0</v>
      </c>
      <c r="S197" s="205">
        <f ca="1">IF(ISERROR(OFFSET(Ottone!$F$1,MATCH(J197,Ottone!$A:$A,0)-1,MATCH(K197,Ottone!$F$1:$FF$1,0)-1)=TRUE),0,OFFSET(Ottone!$F$1,MATCH(J197,Ottone!$A:$A,0)-1,MATCH(K197,Ottone!$F$1:$FF$1,0)-1))*IF(G197="Ottone",1,0)</f>
        <v>0</v>
      </c>
      <c r="T197" s="205">
        <f ca="1">IF(ISERROR(OFFSET(Rame!$F$1,MATCH(J197,Rame!$F:$F,0)-1,MATCH(K197,Rame!$F$1:$FF$1,0)-1)=TRUE),0,OFFSET(Rame!$F$1,MATCH(J197,Rame!$F:$F,0)-1,MATCH(K197,Rame!$F$1:$FF$1,0)-1))*IF(G197="Rame",1,0)</f>
        <v>0</v>
      </c>
      <c r="U197" s="205">
        <f ca="1">IF(ISERROR(OFFSET(Bronzo!$A$1,MATCH(J197,Bronzo!$A:$A,0)-1,MATCH(K197,Bronzo!$A$1:$AA$1,0)-1)=TRUE),0,OFFSET(Bronzo!$A$1,MATCH(J197,Bronzo!$A:$A,0)-1,MATCH(K197,Bronzo!$A$1:$AA$1,0)-1))</f>
        <v>0</v>
      </c>
      <c r="V197" s="205">
        <f t="shared" ca="1" si="140"/>
        <v>0</v>
      </c>
      <c r="W197" s="204"/>
      <c r="X197" s="205">
        <v>0</v>
      </c>
      <c r="Y197" s="206">
        <f t="shared" ca="1" si="141"/>
        <v>1.25</v>
      </c>
      <c r="Z197" s="380">
        <f t="shared" si="142"/>
        <v>88.27000000000001</v>
      </c>
      <c r="AA197" s="203">
        <v>3.97</v>
      </c>
      <c r="AB197" s="203">
        <f t="shared" ca="1" si="143"/>
        <v>0.26000000000000023</v>
      </c>
      <c r="AC197" s="238"/>
      <c r="AG197" t="s">
        <v>404</v>
      </c>
      <c r="AI197" s="367">
        <f t="shared" ca="1" si="152"/>
        <v>46092</v>
      </c>
      <c r="AJ197" s="367" t="b">
        <f t="shared" si="144"/>
        <v>1</v>
      </c>
      <c r="AK197" s="370" t="str">
        <f t="shared" si="145"/>
        <v/>
      </c>
      <c r="AN197">
        <f t="shared" si="146"/>
        <v>0</v>
      </c>
      <c r="AO197">
        <f t="shared" si="147"/>
        <v>1900</v>
      </c>
      <c r="AV197">
        <f t="shared" si="148"/>
        <v>0</v>
      </c>
      <c r="AW197">
        <f t="shared" si="149"/>
        <v>0</v>
      </c>
    </row>
    <row r="198" spans="4:49" ht="15.75" x14ac:dyDescent="0.25">
      <c r="D198" s="199" t="s">
        <v>595</v>
      </c>
      <c r="E198" s="378" t="s">
        <v>210</v>
      </c>
      <c r="F198" s="379">
        <v>499</v>
      </c>
      <c r="G198" s="201" t="s">
        <v>6</v>
      </c>
      <c r="H198" s="219">
        <v>9.3800000000000008</v>
      </c>
      <c r="I198" s="202">
        <v>45961</v>
      </c>
      <c r="J198" s="200" t="s">
        <v>14</v>
      </c>
      <c r="K198" s="200"/>
      <c r="L198" s="203">
        <v>0.1</v>
      </c>
      <c r="M198" s="204">
        <f ca="1">IF(ISERROR(OFFSET(Tabella!$A$1,MATCH(J198,Tabella!$A:$A,0)-1,MATCH(L198,Tabella!$A$1:$AC$1,0)-1)=TRUE),0,+OFFSET(Tabella!$A$1,MATCH(J198,Tabella!$A:$A,0)-1,MATCH(L198,Tabella!$A$1:$AC$1,0)-1))</f>
        <v>0</v>
      </c>
      <c r="N198" s="205">
        <f ca="1">IF(ISERROR(OFFSET(Ottone!$A$1,MATCH(J198,Ottone!$A:$A,0)-1,MATCH(L198,Ottone!$A$1:$Z$1,0)-1)=TRUE),0,OFFSET(Ottone!$A$1,MATCH(J198,Ottone!$A:$A,0)-1,MATCH(L198,Ottone!$A$1:$Z$1,0)-1))*IF(G198="Ottone",1,0)</f>
        <v>0</v>
      </c>
      <c r="O198" s="205">
        <f ca="1">IF(ISERROR(OFFSET(Rame!$A$1,MATCH(J198,Rame!$A:$A,0)-1,MATCH(L198,Rame!$A$1:$AA$1,0)-1)=TRUE),0,OFFSET(Rame!$A$1,MATCH(J198,Rame!$A:$A,0)-1,MATCH(L198,Rame!$A$1:$AA$1,0)-1))*IF(G198="Rame",1,0)</f>
        <v>0.95</v>
      </c>
      <c r="P198" s="205">
        <v>0</v>
      </c>
      <c r="Q198" s="205">
        <f t="shared" ca="1" si="139"/>
        <v>0.95</v>
      </c>
      <c r="R198" s="205">
        <f ca="1">+IF(ISERROR(OFFSET(Tabella!$G$1,MATCH(J198,Tabella!$G:$G,0)-1,MATCH(K198,Tabella!$G$1:$FG$1,0)-1)=TRUE),0,OFFSET(Tabella!$G$1,MATCH(J198,Tabella!$G:$G,0)-1,MATCH(K198,Tabella!$G$1:$AB$1,0)-1))</f>
        <v>0</v>
      </c>
      <c r="S198" s="205">
        <f ca="1">IF(ISERROR(OFFSET(Ottone!$F$1,MATCH(J198,Ottone!$A:$A,0)-1,MATCH(K198,Ottone!$F$1:$FF$1,0)-1)=TRUE),0,OFFSET(Ottone!$F$1,MATCH(J198,Ottone!$A:$A,0)-1,MATCH(K198,Ottone!$F$1:$FF$1,0)-1))*IF(G198="Ottone",1,0)</f>
        <v>0</v>
      </c>
      <c r="T198" s="205">
        <f ca="1">IF(ISERROR(OFFSET(Rame!$F$1,MATCH(J198,Rame!$F:$F,0)-1,MATCH(K198,Rame!$F$1:$FF$1,0)-1)=TRUE),0,OFFSET(Rame!$F$1,MATCH(J198,Rame!$F:$F,0)-1,MATCH(K198,Rame!$F$1:$FF$1,0)-1))*IF(G198="Rame",1,0)</f>
        <v>0</v>
      </c>
      <c r="U198" s="205">
        <f ca="1">IF(ISERROR(OFFSET(Bronzo!$A$1,MATCH(J198,Bronzo!$A:$A,0)-1,MATCH(K198,Bronzo!$A$1:$AA$1,0)-1)=TRUE),0,OFFSET(Bronzo!$A$1,MATCH(J198,Bronzo!$A:$A,0)-1,MATCH(K198,Bronzo!$A$1:$AA$1,0)-1))</f>
        <v>0</v>
      </c>
      <c r="V198" s="205">
        <f t="shared" ca="1" si="140"/>
        <v>0</v>
      </c>
      <c r="W198" s="204"/>
      <c r="X198" s="205">
        <v>0</v>
      </c>
      <c r="Y198" s="206">
        <f t="shared" ca="1" si="141"/>
        <v>0.95</v>
      </c>
      <c r="Z198" s="380">
        <f t="shared" si="142"/>
        <v>49.900000000000006</v>
      </c>
      <c r="AA198" s="203">
        <v>12.85</v>
      </c>
      <c r="AB198" s="203">
        <f t="shared" ca="1" si="143"/>
        <v>2.5199999999999996</v>
      </c>
      <c r="AC198" s="238"/>
      <c r="AG198" t="s">
        <v>404</v>
      </c>
      <c r="AI198" s="367">
        <f t="shared" ca="1" si="152"/>
        <v>46092</v>
      </c>
      <c r="AJ198" s="367" t="b">
        <f t="shared" si="144"/>
        <v>1</v>
      </c>
      <c r="AK198" s="370" t="str">
        <f t="shared" si="145"/>
        <v/>
      </c>
      <c r="AN198">
        <f t="shared" si="146"/>
        <v>0</v>
      </c>
      <c r="AO198">
        <f t="shared" si="147"/>
        <v>1900</v>
      </c>
      <c r="AV198">
        <f t="shared" si="148"/>
        <v>0</v>
      </c>
      <c r="AW198">
        <f t="shared" si="149"/>
        <v>0</v>
      </c>
    </row>
    <row r="199" spans="4:49" ht="15.75" x14ac:dyDescent="0.25">
      <c r="D199" s="199" t="s">
        <v>548</v>
      </c>
      <c r="E199" s="378" t="s">
        <v>228</v>
      </c>
      <c r="F199" s="379">
        <v>204</v>
      </c>
      <c r="G199" s="201" t="s">
        <v>4</v>
      </c>
      <c r="H199" s="219">
        <v>2.46</v>
      </c>
      <c r="I199" s="202">
        <v>45961</v>
      </c>
      <c r="J199" s="200" t="s">
        <v>19</v>
      </c>
      <c r="K199" s="200"/>
      <c r="L199" s="203">
        <v>0.3</v>
      </c>
      <c r="M199" s="204">
        <f ca="1">IF(ISERROR(OFFSET(Tabella!$A$1,MATCH(J199,Tabella!$A:$A,0)-1,MATCH(L199,Tabella!$A$1:$AC$1,0)-1)=TRUE),0,+OFFSET(Tabella!$A$1,MATCH(J199,Tabella!$A:$A,0)-1,MATCH(L199,Tabella!$A$1:$AC$1,0)-1))</f>
        <v>0</v>
      </c>
      <c r="N199" s="205">
        <f ca="1">IF(ISERROR(OFFSET(Ottone!$A$1,MATCH(J199,Ottone!$A:$A,0)-1,MATCH(L199,Ottone!$A$1:$Z$1,0)-1)=TRUE),0,OFFSET(Ottone!$A$1,MATCH(J199,Ottone!$A:$A,0)-1,MATCH(L199,Ottone!$A$1:$Z$1,0)-1))*IF(G199="Ottone",1,0)</f>
        <v>0</v>
      </c>
      <c r="O199" s="205">
        <f ca="1">IF(ISERROR(OFFSET(Rame!$A$1,MATCH(J199,Rame!$A:$A,0)-1,MATCH(L199,Rame!$A$1:$AA$1,0)-1)=TRUE),0,OFFSET(Rame!$A$1,MATCH(J199,Rame!$A:$A,0)-1,MATCH(L199,Rame!$A$1:$AA$1,0)-1))*IF(G199="Rame",1,0)</f>
        <v>0</v>
      </c>
      <c r="P199" s="205">
        <v>0</v>
      </c>
      <c r="Q199" s="205">
        <v>1.5</v>
      </c>
      <c r="R199" s="205">
        <f ca="1">+IF(ISERROR(OFFSET(Tabella!$G$1,MATCH(J199,Tabella!$G:$G,0)-1,MATCH(K199,Tabella!$G$1:$FG$1,0)-1)=TRUE),0,OFFSET(Tabella!$G$1,MATCH(J199,Tabella!$G:$G,0)-1,MATCH(K199,Tabella!$G$1:$AB$1,0)-1))</f>
        <v>0</v>
      </c>
      <c r="S199" s="205">
        <f ca="1">IF(ISERROR(OFFSET(Ottone!$F$1,MATCH(J199,Ottone!$A:$A,0)-1,MATCH(K199,Ottone!$F$1:$FF$1,0)-1)=TRUE),0,OFFSET(Ottone!$F$1,MATCH(J199,Ottone!$A:$A,0)-1,MATCH(K199,Ottone!$F$1:$FF$1,0)-1))*IF(G199="Ottone",1,0)</f>
        <v>0</v>
      </c>
      <c r="T199" s="205">
        <f ca="1">IF(ISERROR(OFFSET(Rame!$F$1,MATCH(J199,Rame!$F:$F,0)-1,MATCH(K199,Rame!$F$1:$FF$1,0)-1)=TRUE),0,OFFSET(Rame!$F$1,MATCH(J199,Rame!$F:$F,0)-1,MATCH(K199,Rame!$F$1:$FF$1,0)-1))*IF(G199="Rame",1,0)</f>
        <v>0</v>
      </c>
      <c r="U199" s="205">
        <f ca="1">IF(ISERROR(OFFSET(Bronzo!$A$1,MATCH(J199,Bronzo!$A:$A,0)-1,MATCH(K199,Bronzo!$A$1:$AA$1,0)-1)=TRUE),0,OFFSET(Bronzo!$A$1,MATCH(J199,Bronzo!$A:$A,0)-1,MATCH(K199,Bronzo!$A$1:$AA$1,0)-1))</f>
        <v>0</v>
      </c>
      <c r="V199" s="205">
        <f t="shared" ca="1" si="140"/>
        <v>0</v>
      </c>
      <c r="W199" s="204"/>
      <c r="X199" s="205">
        <v>0</v>
      </c>
      <c r="Y199" s="206">
        <f t="shared" ca="1" si="141"/>
        <v>1.5</v>
      </c>
      <c r="Z199" s="380">
        <f t="shared" si="142"/>
        <v>61.199999999999996</v>
      </c>
      <c r="AA199" s="203">
        <v>4.9000000000000004</v>
      </c>
      <c r="AB199" s="203">
        <f t="shared" ca="1" si="143"/>
        <v>0.94000000000000039</v>
      </c>
      <c r="AC199" s="238"/>
      <c r="AG199" t="s">
        <v>404</v>
      </c>
      <c r="AI199" s="367">
        <f t="shared" ca="1" si="152"/>
        <v>46092</v>
      </c>
      <c r="AJ199" s="367" t="b">
        <f t="shared" si="144"/>
        <v>1</v>
      </c>
      <c r="AK199" s="370" t="str">
        <f t="shared" si="145"/>
        <v/>
      </c>
      <c r="AN199">
        <f t="shared" si="146"/>
        <v>0</v>
      </c>
      <c r="AO199">
        <f t="shared" si="147"/>
        <v>1900</v>
      </c>
      <c r="AV199">
        <f t="shared" si="148"/>
        <v>0</v>
      </c>
      <c r="AW199">
        <f t="shared" si="149"/>
        <v>0</v>
      </c>
    </row>
    <row r="200" spans="4:49" ht="15.75" x14ac:dyDescent="0.25">
      <c r="D200" s="199" t="s">
        <v>543</v>
      </c>
      <c r="E200" s="200" t="s">
        <v>208</v>
      </c>
      <c r="F200" s="287">
        <v>500</v>
      </c>
      <c r="G200" s="201" t="s">
        <v>4</v>
      </c>
      <c r="H200" s="219">
        <v>2.33</v>
      </c>
      <c r="I200" s="202">
        <v>45938</v>
      </c>
      <c r="J200" s="200" t="s">
        <v>24</v>
      </c>
      <c r="K200" s="200"/>
      <c r="L200" s="203">
        <v>7.0000000000000007E-2</v>
      </c>
      <c r="M200" s="204">
        <f ca="1">IF(ISERROR(OFFSET(Tabella!$A$1,MATCH(J200,Tabella!$A:$A,0)-1,MATCH(L200,Tabella!$A$1:$AC$1,0)-1)=TRUE),0,+OFFSET(Tabella!$A$1,MATCH(J200,Tabella!$A:$A,0)-1,MATCH(L200,Tabella!$A$1:$AC$1,0)-1))</f>
        <v>1.25</v>
      </c>
      <c r="N200" s="205">
        <f ca="1">IF(ISERROR(OFFSET(Ottone!$A$1,MATCH(J200,Ottone!$A:$A,0)-1,MATCH(L200,Ottone!$A$1:$Z$1,0)-1)=TRUE),0,OFFSET(Ottone!$A$1,MATCH(J200,Ottone!$A:$A,0)-1,MATCH(L200,Ottone!$A$1:$Z$1,0)-1))*IF(G200="Ottone",1,0)</f>
        <v>0</v>
      </c>
      <c r="O200" s="205">
        <f ca="1">IF(ISERROR(OFFSET(Rame!$A$1,MATCH(J200,Rame!$A:$A,0)-1,MATCH(L200,Rame!$A$1:$AA$1,0)-1)=TRUE),0,OFFSET(Rame!$A$1,MATCH(J200,Rame!$A:$A,0)-1,MATCH(L200,Rame!$A$1:$AA$1,0)-1))*IF(G200="Rame",1,0)</f>
        <v>0</v>
      </c>
      <c r="P200" s="205">
        <v>0</v>
      </c>
      <c r="Q200" s="205">
        <f t="shared" ca="1" si="139"/>
        <v>1.25</v>
      </c>
      <c r="R200" s="205">
        <f ca="1">+IF(ISERROR(OFFSET(Tabella!$G$1,MATCH(J200,Tabella!$G:$G,0)-1,MATCH(K200,Tabella!$G$1:$FG$1,0)-1)=TRUE),0,OFFSET(Tabella!$G$1,MATCH(J200,Tabella!$G:$G,0)-1,MATCH(K200,Tabella!$G$1:$AB$1,0)-1))</f>
        <v>0</v>
      </c>
      <c r="S200" s="205">
        <f ca="1">IF(ISERROR(OFFSET(Ottone!$F$1,MATCH(J200,Ottone!$A:$A,0)-1,MATCH(K200,Ottone!$F$1:$FF$1,0)-1)=TRUE),0,OFFSET(Ottone!$F$1,MATCH(J200,Ottone!$A:$A,0)-1,MATCH(K200,Ottone!$F$1:$FF$1,0)-1))*IF(G200="Ottone",1,0)</f>
        <v>0</v>
      </c>
      <c r="T200" s="205">
        <f ca="1">IF(ISERROR(OFFSET(Rame!$F$1,MATCH(J200,Rame!$F:$F,0)-1,MATCH(K200,Rame!$F$1:$FF$1,0)-1)=TRUE),0,OFFSET(Rame!$F$1,MATCH(J200,Rame!$F:$F,0)-1,MATCH(K200,Rame!$F$1:$FF$1,0)-1))*IF(G200="Rame",1,0)</f>
        <v>0</v>
      </c>
      <c r="U200" s="205">
        <f ca="1">IF(ISERROR(OFFSET(Bronzo!$A$1,MATCH(J200,Bronzo!$A:$A,0)-1,MATCH(K200,Bronzo!$A$1:$AA$1,0)-1)=TRUE),0,OFFSET(Bronzo!$A$1,MATCH(J200,Bronzo!$A:$A,0)-1,MATCH(K200,Bronzo!$A$1:$AA$1,0)-1))</f>
        <v>0</v>
      </c>
      <c r="V200" s="205">
        <f t="shared" ca="1" si="140"/>
        <v>0</v>
      </c>
      <c r="W200" s="204"/>
      <c r="X200" s="205">
        <v>0</v>
      </c>
      <c r="Y200" s="206">
        <f t="shared" ca="1" si="141"/>
        <v>1.25</v>
      </c>
      <c r="Z200" s="277">
        <f t="shared" si="142"/>
        <v>35</v>
      </c>
      <c r="AA200" s="203">
        <v>3.83</v>
      </c>
      <c r="AB200" s="203">
        <f t="shared" ca="1" si="143"/>
        <v>0.25</v>
      </c>
      <c r="AC200" s="238">
        <v>45994</v>
      </c>
      <c r="AI200" s="367">
        <f t="shared" ca="1" si="152"/>
        <v>46092</v>
      </c>
      <c r="AJ200" s="367" t="b">
        <f t="shared" si="144"/>
        <v>0</v>
      </c>
      <c r="AK200" s="370">
        <f t="shared" ca="1" si="145"/>
        <v>-98</v>
      </c>
      <c r="AN200">
        <f t="shared" si="146"/>
        <v>49</v>
      </c>
      <c r="AO200">
        <f t="shared" si="147"/>
        <v>2025</v>
      </c>
      <c r="AV200">
        <f t="shared" si="148"/>
        <v>12</v>
      </c>
      <c r="AW200">
        <f t="shared" si="149"/>
        <v>2025</v>
      </c>
    </row>
    <row r="201" spans="4:49" ht="15.75" x14ac:dyDescent="0.25">
      <c r="D201" s="199" t="s">
        <v>543</v>
      </c>
      <c r="E201" s="200" t="s">
        <v>208</v>
      </c>
      <c r="F201" s="287">
        <v>1500</v>
      </c>
      <c r="G201" s="201" t="s">
        <v>4</v>
      </c>
      <c r="H201" s="219">
        <v>2.33</v>
      </c>
      <c r="I201" s="202">
        <v>45938</v>
      </c>
      <c r="J201" s="200" t="s">
        <v>23</v>
      </c>
      <c r="K201" s="200"/>
      <c r="L201" s="203">
        <v>7.0000000000000007E-2</v>
      </c>
      <c r="M201" s="204">
        <f ca="1">IF(ISERROR(OFFSET(Tabella!$A$1,MATCH(J201,Tabella!$A:$A,0)-1,MATCH(L201,Tabella!$A$1:$AC$1,0)-1)=TRUE),0,+OFFSET(Tabella!$A$1,MATCH(J201,Tabella!$A:$A,0)-1,MATCH(L201,Tabella!$A$1:$AC$1,0)-1))</f>
        <v>1.25</v>
      </c>
      <c r="N201" s="205">
        <f ca="1">IF(ISERROR(OFFSET(Ottone!$A$1,MATCH(J201,Ottone!$A:$A,0)-1,MATCH(L201,Ottone!$A$1:$Z$1,0)-1)=TRUE),0,OFFSET(Ottone!$A$1,MATCH(J201,Ottone!$A:$A,0)-1,MATCH(L201,Ottone!$A$1:$Z$1,0)-1))*IF(G201="Ottone",1,0)</f>
        <v>0</v>
      </c>
      <c r="O201" s="205">
        <f ca="1">IF(ISERROR(OFFSET(Rame!$A$1,MATCH(J201,Rame!$A:$A,0)-1,MATCH(L201,Rame!$A$1:$AA$1,0)-1)=TRUE),0,OFFSET(Rame!$A$1,MATCH(J201,Rame!$A:$A,0)-1,MATCH(L201,Rame!$A$1:$AA$1,0)-1))*IF(G201="Rame",1,0)</f>
        <v>0</v>
      </c>
      <c r="P201" s="205">
        <v>0</v>
      </c>
      <c r="Q201" s="205">
        <f t="shared" ca="1" si="139"/>
        <v>1.25</v>
      </c>
      <c r="R201" s="205">
        <f ca="1">+IF(ISERROR(OFFSET(Tabella!$G$1,MATCH(J201,Tabella!$G:$G,0)-1,MATCH(K201,Tabella!$G$1:$FG$1,0)-1)=TRUE),0,OFFSET(Tabella!$G$1,MATCH(J201,Tabella!$G:$G,0)-1,MATCH(K201,Tabella!$G$1:$AB$1,0)-1))</f>
        <v>0</v>
      </c>
      <c r="S201" s="205">
        <f ca="1">IF(ISERROR(OFFSET(Ottone!$F$1,MATCH(J201,Ottone!$A:$A,0)-1,MATCH(K201,Ottone!$F$1:$FF$1,0)-1)=TRUE),0,OFFSET(Ottone!$F$1,MATCH(J201,Ottone!$A:$A,0)-1,MATCH(K201,Ottone!$F$1:$FF$1,0)-1))*IF(G201="Ottone",1,0)</f>
        <v>0</v>
      </c>
      <c r="T201" s="205">
        <f ca="1">IF(ISERROR(OFFSET(Rame!$F$1,MATCH(J201,Rame!$F:$F,0)-1,MATCH(K201,Rame!$F$1:$FF$1,0)-1)=TRUE),0,OFFSET(Rame!$F$1,MATCH(J201,Rame!$F:$F,0)-1,MATCH(K201,Rame!$F$1:$FF$1,0)-1))*IF(G201="Rame",1,0)</f>
        <v>0</v>
      </c>
      <c r="U201" s="205">
        <f ca="1">IF(ISERROR(OFFSET(Bronzo!$A$1,MATCH(J201,Bronzo!$A:$A,0)-1,MATCH(K201,Bronzo!$A$1:$AA$1,0)-1)=TRUE),0,OFFSET(Bronzo!$A$1,MATCH(J201,Bronzo!$A:$A,0)-1,MATCH(K201,Bronzo!$A$1:$AA$1,0)-1))</f>
        <v>0</v>
      </c>
      <c r="V201" s="205">
        <f t="shared" ca="1" si="140"/>
        <v>0</v>
      </c>
      <c r="W201" s="204"/>
      <c r="X201" s="205">
        <v>0</v>
      </c>
      <c r="Y201" s="206">
        <f t="shared" ca="1" si="141"/>
        <v>1.25</v>
      </c>
      <c r="Z201" s="277">
        <f t="shared" si="142"/>
        <v>105.00000000000001</v>
      </c>
      <c r="AA201" s="203">
        <v>3.83</v>
      </c>
      <c r="AB201" s="203">
        <f t="shared" ca="1" si="143"/>
        <v>0.25</v>
      </c>
      <c r="AC201" s="238">
        <v>45994</v>
      </c>
      <c r="AI201" s="367">
        <f t="shared" ca="1" si="152"/>
        <v>46092</v>
      </c>
      <c r="AJ201" s="367" t="b">
        <f t="shared" si="144"/>
        <v>0</v>
      </c>
      <c r="AK201" s="370">
        <f t="shared" ca="1" si="145"/>
        <v>-98</v>
      </c>
      <c r="AN201">
        <f t="shared" si="146"/>
        <v>49</v>
      </c>
      <c r="AO201">
        <f t="shared" si="147"/>
        <v>2025</v>
      </c>
      <c r="AV201">
        <f t="shared" si="148"/>
        <v>12</v>
      </c>
      <c r="AW201">
        <f t="shared" si="149"/>
        <v>2025</v>
      </c>
    </row>
    <row r="202" spans="4:49" ht="15.75" x14ac:dyDescent="0.25">
      <c r="D202" s="199" t="s">
        <v>543</v>
      </c>
      <c r="E202" s="200" t="s">
        <v>208</v>
      </c>
      <c r="F202" s="287">
        <v>1000</v>
      </c>
      <c r="G202" s="201" t="s">
        <v>4</v>
      </c>
      <c r="H202" s="219">
        <v>2.33</v>
      </c>
      <c r="I202" s="202">
        <v>45938</v>
      </c>
      <c r="J202" s="200" t="s">
        <v>308</v>
      </c>
      <c r="K202" s="200"/>
      <c r="L202" s="203">
        <v>7.0000000000000007E-2</v>
      </c>
      <c r="M202" s="204">
        <f ca="1">IF(ISERROR(OFFSET(Tabella!$A$1,MATCH(J202,Tabella!$A:$A,0)-1,MATCH(L202,Tabella!$A$1:$AC$1,0)-1)=TRUE),0,+OFFSET(Tabella!$A$1,MATCH(J202,Tabella!$A:$A,0)-1,MATCH(L202,Tabella!$A$1:$AC$1,0)-1))</f>
        <v>1.25</v>
      </c>
      <c r="N202" s="205">
        <f ca="1">IF(ISERROR(OFFSET(Ottone!$A$1,MATCH(J202,Ottone!$A:$A,0)-1,MATCH(L202,Ottone!$A$1:$Z$1,0)-1)=TRUE),0,OFFSET(Ottone!$A$1,MATCH(J202,Ottone!$A:$A,0)-1,MATCH(L202,Ottone!$A$1:$Z$1,0)-1))*IF(G202="Ottone",1,0)</f>
        <v>0</v>
      </c>
      <c r="O202" s="205">
        <f ca="1">IF(ISERROR(OFFSET(Rame!$A$1,MATCH(J202,Rame!$A:$A,0)-1,MATCH(L202,Rame!$A$1:$AA$1,0)-1)=TRUE),0,OFFSET(Rame!$A$1,MATCH(J202,Rame!$A:$A,0)-1,MATCH(L202,Rame!$A$1:$AA$1,0)-1))*IF(G202="Rame",1,0)</f>
        <v>0</v>
      </c>
      <c r="P202" s="205">
        <v>0</v>
      </c>
      <c r="Q202" s="205">
        <f t="shared" ca="1" si="139"/>
        <v>1.25</v>
      </c>
      <c r="R202" s="205">
        <f ca="1">+IF(ISERROR(OFFSET(Tabella!$G$1,MATCH(J202,Tabella!$G:$G,0)-1,MATCH(K202,Tabella!$G$1:$FG$1,0)-1)=TRUE),0,OFFSET(Tabella!$G$1,MATCH(J202,Tabella!$G:$G,0)-1,MATCH(K202,Tabella!$G$1:$AB$1,0)-1))</f>
        <v>0</v>
      </c>
      <c r="S202" s="205">
        <f ca="1">IF(ISERROR(OFFSET(Ottone!$F$1,MATCH(J202,Ottone!$A:$A,0)-1,MATCH(K202,Ottone!$F$1:$FF$1,0)-1)=TRUE),0,OFFSET(Ottone!$F$1,MATCH(J202,Ottone!$A:$A,0)-1,MATCH(K202,Ottone!$F$1:$FF$1,0)-1))*IF(G202="Ottone",1,0)</f>
        <v>0</v>
      </c>
      <c r="T202" s="205">
        <f ca="1">IF(ISERROR(OFFSET(Rame!$F$1,MATCH(J202,Rame!$F:$F,0)-1,MATCH(K202,Rame!$F$1:$FF$1,0)-1)=TRUE),0,OFFSET(Rame!$F$1,MATCH(J202,Rame!$F:$F,0)-1,MATCH(K202,Rame!$F$1:$FF$1,0)-1))*IF(G202="Rame",1,0)</f>
        <v>0</v>
      </c>
      <c r="U202" s="205">
        <f ca="1">IF(ISERROR(OFFSET(Bronzo!$A$1,MATCH(J202,Bronzo!$A:$A,0)-1,MATCH(K202,Bronzo!$A$1:$AA$1,0)-1)=TRUE),0,OFFSET(Bronzo!$A$1,MATCH(J202,Bronzo!$A:$A,0)-1,MATCH(K202,Bronzo!$A$1:$AA$1,0)-1))</f>
        <v>0</v>
      </c>
      <c r="V202" s="205">
        <f t="shared" ca="1" si="140"/>
        <v>0</v>
      </c>
      <c r="W202" s="204"/>
      <c r="X202" s="205">
        <v>0</v>
      </c>
      <c r="Y202" s="206">
        <f t="shared" ca="1" si="141"/>
        <v>1.25</v>
      </c>
      <c r="Z202" s="277">
        <f t="shared" si="142"/>
        <v>70</v>
      </c>
      <c r="AA202" s="203">
        <v>3.83</v>
      </c>
      <c r="AB202" s="203">
        <f t="shared" ca="1" si="143"/>
        <v>0.25</v>
      </c>
      <c r="AC202" s="238">
        <v>45994</v>
      </c>
      <c r="AI202" s="367">
        <f t="shared" ca="1" si="152"/>
        <v>46092</v>
      </c>
      <c r="AJ202" s="367" t="b">
        <f t="shared" si="144"/>
        <v>0</v>
      </c>
      <c r="AK202" s="370">
        <f t="shared" ca="1" si="145"/>
        <v>-98</v>
      </c>
      <c r="AN202">
        <f t="shared" si="146"/>
        <v>49</v>
      </c>
      <c r="AO202">
        <f t="shared" si="147"/>
        <v>2025</v>
      </c>
      <c r="AV202">
        <f t="shared" si="148"/>
        <v>12</v>
      </c>
      <c r="AW202">
        <f t="shared" si="149"/>
        <v>2025</v>
      </c>
    </row>
    <row r="203" spans="4:49" ht="15.75" x14ac:dyDescent="0.25">
      <c r="D203" s="199" t="s">
        <v>627</v>
      </c>
      <c r="E203" s="388" t="s">
        <v>212</v>
      </c>
      <c r="F203" s="389">
        <v>5046</v>
      </c>
      <c r="G203" s="201" t="s">
        <v>4</v>
      </c>
      <c r="H203" s="219">
        <v>2.39</v>
      </c>
      <c r="I203" s="202">
        <v>45964</v>
      </c>
      <c r="J203" s="200" t="s">
        <v>21</v>
      </c>
      <c r="K203" s="200"/>
      <c r="L203" s="203">
        <v>0.05</v>
      </c>
      <c r="M203" s="204">
        <f ca="1">IF(ISERROR(OFFSET(Tabella!$A$1,MATCH(J203,Tabella!$A:$A,0)-1,MATCH(L203,Tabella!$A$1:$AC$1,0)-1)=TRUE),0,+OFFSET(Tabella!$A$1,MATCH(J203,Tabella!$A:$A,0)-1,MATCH(L203,Tabella!$A$1:$AC$1,0)-1))</f>
        <v>0</v>
      </c>
      <c r="N203" s="205">
        <f ca="1">IF(ISERROR(OFFSET(Ottone!$A$1,MATCH(J203,Ottone!$A:$A,0)-1,MATCH(L203,Ottone!$A$1:$Z$1,0)-1)=TRUE),0,OFFSET(Ottone!$A$1,MATCH(J203,Ottone!$A:$A,0)-1,MATCH(L203,Ottone!$A$1:$Z$1,0)-1))*IF(G203="Ottone",1,0)</f>
        <v>0</v>
      </c>
      <c r="O203" s="205">
        <f ca="1">IF(ISERROR(OFFSET(Rame!$A$1,MATCH(J203,Rame!$A:$A,0)-1,MATCH(L203,Rame!$A$1:$AA$1,0)-1)=TRUE),0,OFFSET(Rame!$A$1,MATCH(J203,Rame!$A:$A,0)-1,MATCH(L203,Rame!$A$1:$AA$1,0)-1))*IF(G203="Rame",1,0)</f>
        <v>0</v>
      </c>
      <c r="P203" s="205">
        <v>0</v>
      </c>
      <c r="Q203" s="205">
        <v>1.37</v>
      </c>
      <c r="R203" s="205">
        <f ca="1">+IF(ISERROR(OFFSET(Tabella!$G$1,MATCH(J203,Tabella!$G:$G,0)-1,MATCH(K203,Tabella!$G$1:$FG$1,0)-1)=TRUE),0,OFFSET(Tabella!$G$1,MATCH(J203,Tabella!$G:$G,0)-1,MATCH(K203,Tabella!$G$1:$AB$1,0)-1))</f>
        <v>0</v>
      </c>
      <c r="S203" s="205">
        <f ca="1">IF(ISERROR(OFFSET(Ottone!$F$1,MATCH(J203,Ottone!$A:$A,0)-1,MATCH(K203,Ottone!$F$1:$FF$1,0)-1)=TRUE),0,OFFSET(Ottone!$F$1,MATCH(J203,Ottone!$A:$A,0)-1,MATCH(K203,Ottone!$F$1:$FF$1,0)-1))*IF(G203="Ottone",1,0)</f>
        <v>0</v>
      </c>
      <c r="T203" s="205">
        <f ca="1">IF(ISERROR(OFFSET(Rame!$F$1,MATCH(J203,Rame!$F:$F,0)-1,MATCH(K203,Rame!$F$1:$FF$1,0)-1)=TRUE),0,OFFSET(Rame!$F$1,MATCH(J203,Rame!$F:$F,0)-1,MATCH(K203,Rame!$F$1:$FF$1,0)-1))*IF(G203="Rame",1,0)</f>
        <v>0</v>
      </c>
      <c r="U203" s="205">
        <f ca="1">IF(ISERROR(OFFSET(Bronzo!$A$1,MATCH(J203,Bronzo!$A:$A,0)-1,MATCH(K203,Bronzo!$A$1:$AA$1,0)-1)=TRUE),0,OFFSET(Bronzo!$A$1,MATCH(J203,Bronzo!$A:$A,0)-1,MATCH(K203,Bronzo!$A$1:$AA$1,0)-1))</f>
        <v>0</v>
      </c>
      <c r="V203" s="205">
        <f t="shared" ca="1" si="140"/>
        <v>0</v>
      </c>
      <c r="W203" s="204"/>
      <c r="X203" s="205">
        <v>0</v>
      </c>
      <c r="Y203" s="206">
        <f t="shared" ca="1" si="141"/>
        <v>1.37</v>
      </c>
      <c r="Z203" s="390">
        <f t="shared" si="142"/>
        <v>252.3</v>
      </c>
      <c r="AA203" s="203">
        <v>3.76</v>
      </c>
      <c r="AB203" s="203">
        <f t="shared" ca="1" si="143"/>
        <v>0</v>
      </c>
      <c r="AC203" s="238"/>
      <c r="AI203" s="367">
        <f t="shared" ca="1" si="152"/>
        <v>46092</v>
      </c>
      <c r="AJ203" s="367" t="b">
        <f t="shared" si="144"/>
        <v>1</v>
      </c>
      <c r="AK203" s="370" t="str">
        <f t="shared" si="145"/>
        <v/>
      </c>
      <c r="AN203">
        <f t="shared" si="146"/>
        <v>0</v>
      </c>
      <c r="AO203">
        <f t="shared" si="147"/>
        <v>1900</v>
      </c>
      <c r="AV203">
        <f t="shared" si="148"/>
        <v>0</v>
      </c>
      <c r="AW203">
        <f t="shared" si="149"/>
        <v>0</v>
      </c>
    </row>
    <row r="204" spans="4:49" ht="15.75" x14ac:dyDescent="0.25">
      <c r="D204" s="199" t="s">
        <v>522</v>
      </c>
      <c r="E204" s="200" t="s">
        <v>212</v>
      </c>
      <c r="F204" s="287">
        <v>1100</v>
      </c>
      <c r="G204" s="201" t="s">
        <v>4</v>
      </c>
      <c r="H204" s="219">
        <v>2.39</v>
      </c>
      <c r="I204" s="202">
        <v>45964</v>
      </c>
      <c r="J204" s="200" t="s">
        <v>25</v>
      </c>
      <c r="K204" s="200"/>
      <c r="L204" s="203">
        <v>0.05</v>
      </c>
      <c r="M204" s="204">
        <f ca="1">IF(ISERROR(OFFSET(Tabella!$A$1,MATCH(J204,Tabella!$A:$A,0)-1,MATCH(L204,Tabella!$A$1:$AC$1,0)-1)=TRUE),0,+OFFSET(Tabella!$A$1,MATCH(J204,Tabella!$A:$A,0)-1,MATCH(L204,Tabella!$A$1:$AC$1,0)-1))</f>
        <v>0</v>
      </c>
      <c r="N204" s="205">
        <f ca="1">IF(ISERROR(OFFSET(Ottone!$A$1,MATCH(J204,Ottone!$A:$A,0)-1,MATCH(L204,Ottone!$A$1:$Z$1,0)-1)=TRUE),0,OFFSET(Ottone!$A$1,MATCH(J204,Ottone!$A:$A,0)-1,MATCH(L204,Ottone!$A$1:$Z$1,0)-1))*IF(G204="Ottone",1,0)</f>
        <v>0</v>
      </c>
      <c r="O204" s="205">
        <f ca="1">IF(ISERROR(OFFSET(Rame!$A$1,MATCH(J204,Rame!$A:$A,0)-1,MATCH(L204,Rame!$A$1:$AA$1,0)-1)=TRUE),0,OFFSET(Rame!$A$1,MATCH(J204,Rame!$A:$A,0)-1,MATCH(L204,Rame!$A$1:$AA$1,0)-1))*IF(G204="Rame",1,0)</f>
        <v>0</v>
      </c>
      <c r="P204" s="205">
        <v>0</v>
      </c>
      <c r="Q204" s="205">
        <v>1.4</v>
      </c>
      <c r="R204" s="205">
        <f ca="1">+IF(ISERROR(OFFSET(Tabella!$G$1,MATCH(J204,Tabella!$G:$G,0)-1,MATCH(K204,Tabella!$G$1:$FG$1,0)-1)=TRUE),0,OFFSET(Tabella!$G$1,MATCH(J204,Tabella!$G:$G,0)-1,MATCH(K204,Tabella!$G$1:$AB$1,0)-1))</f>
        <v>0</v>
      </c>
      <c r="S204" s="205">
        <f ca="1">IF(ISERROR(OFFSET(Ottone!$F$1,MATCH(J204,Ottone!$A:$A,0)-1,MATCH(K204,Ottone!$F$1:$FF$1,0)-1)=TRUE),0,OFFSET(Ottone!$F$1,MATCH(J204,Ottone!$A:$A,0)-1,MATCH(K204,Ottone!$F$1:$FF$1,0)-1))*IF(G204="Ottone",1,0)</f>
        <v>0</v>
      </c>
      <c r="T204" s="205">
        <f ca="1">IF(ISERROR(OFFSET(Rame!$F$1,MATCH(J204,Rame!$F:$F,0)-1,MATCH(K204,Rame!$F$1:$FF$1,0)-1)=TRUE),0,OFFSET(Rame!$F$1,MATCH(J204,Rame!$F:$F,0)-1,MATCH(K204,Rame!$F$1:$FF$1,0)-1))*IF(G204="Rame",1,0)</f>
        <v>0</v>
      </c>
      <c r="U204" s="205">
        <f ca="1">IF(ISERROR(OFFSET(Bronzo!$A$1,MATCH(J204,Bronzo!$A:$A,0)-1,MATCH(K204,Bronzo!$A$1:$AA$1,0)-1)=TRUE),0,OFFSET(Bronzo!$A$1,MATCH(J204,Bronzo!$A:$A,0)-1,MATCH(K204,Bronzo!$A$1:$AA$1,0)-1))</f>
        <v>0</v>
      </c>
      <c r="V204" s="205">
        <f t="shared" ca="1" si="140"/>
        <v>0</v>
      </c>
      <c r="W204" s="204"/>
      <c r="X204" s="205">
        <v>0</v>
      </c>
      <c r="Y204" s="206">
        <f t="shared" ca="1" si="141"/>
        <v>1.4</v>
      </c>
      <c r="Z204" s="277">
        <f t="shared" si="142"/>
        <v>55</v>
      </c>
      <c r="AA204" s="203">
        <v>3.86</v>
      </c>
      <c r="AB204" s="203">
        <f t="shared" ca="1" si="143"/>
        <v>6.999999999999984E-2</v>
      </c>
      <c r="AC204" s="238">
        <v>45985</v>
      </c>
      <c r="AI204" s="367">
        <f t="shared" ca="1" si="152"/>
        <v>46092</v>
      </c>
      <c r="AJ204" s="367" t="b">
        <f t="shared" si="144"/>
        <v>0</v>
      </c>
      <c r="AK204" s="370">
        <f t="shared" ca="1" si="145"/>
        <v>-107</v>
      </c>
      <c r="AN204">
        <f t="shared" si="146"/>
        <v>48</v>
      </c>
      <c r="AO204">
        <f t="shared" si="147"/>
        <v>2025</v>
      </c>
      <c r="AV204">
        <f t="shared" si="148"/>
        <v>11</v>
      </c>
      <c r="AW204">
        <f t="shared" si="149"/>
        <v>2025</v>
      </c>
    </row>
    <row r="205" spans="4:49" ht="15.75" x14ac:dyDescent="0.25">
      <c r="D205" s="199" t="s">
        <v>628</v>
      </c>
      <c r="E205" s="388" t="s">
        <v>212</v>
      </c>
      <c r="F205" s="389">
        <v>1715</v>
      </c>
      <c r="G205" s="201" t="s">
        <v>4</v>
      </c>
      <c r="H205" s="219">
        <v>2.39</v>
      </c>
      <c r="I205" s="202">
        <v>45964</v>
      </c>
      <c r="J205" s="200" t="s">
        <v>322</v>
      </c>
      <c r="K205" s="200"/>
      <c r="L205" s="203">
        <v>0.05</v>
      </c>
      <c r="M205" s="204">
        <f ca="1">IF(ISERROR(OFFSET(Tabella!$A$1,MATCH(J205,Tabella!$A:$A,0)-1,MATCH(L205,Tabella!$A$1:$AC$1,0)-1)=TRUE),0,+OFFSET(Tabella!$A$1,MATCH(J205,Tabella!$A:$A,0)-1,MATCH(L205,Tabella!$A$1:$AC$1,0)-1))</f>
        <v>0</v>
      </c>
      <c r="N205" s="205">
        <f ca="1">IF(ISERROR(OFFSET(Ottone!$A$1,MATCH(J205,Ottone!$A:$A,0)-1,MATCH(L205,Ottone!$A$1:$Z$1,0)-1)=TRUE),0,OFFSET(Ottone!$A$1,MATCH(J205,Ottone!$A:$A,0)-1,MATCH(L205,Ottone!$A$1:$Z$1,0)-1))*IF(G205="Ottone",1,0)</f>
        <v>0</v>
      </c>
      <c r="O205" s="205">
        <f ca="1">IF(ISERROR(OFFSET(Rame!$A$1,MATCH(J205,Rame!$A:$A,0)-1,MATCH(L205,Rame!$A$1:$AA$1,0)-1)=TRUE),0,OFFSET(Rame!$A$1,MATCH(J205,Rame!$A:$A,0)-1,MATCH(L205,Rame!$A$1:$AA$1,0)-1))*IF(G205="Rame",1,0)</f>
        <v>0</v>
      </c>
      <c r="P205" s="205">
        <v>0</v>
      </c>
      <c r="Q205" s="205">
        <v>1.4</v>
      </c>
      <c r="R205" s="205">
        <f ca="1">+IF(ISERROR(OFFSET(Tabella!$G$1,MATCH(J205,Tabella!$G:$G,0)-1,MATCH(K205,Tabella!$G$1:$FG$1,0)-1)=TRUE),0,OFFSET(Tabella!$G$1,MATCH(J205,Tabella!$G:$G,0)-1,MATCH(K205,Tabella!$G$1:$AB$1,0)-1))</f>
        <v>0</v>
      </c>
      <c r="S205" s="205">
        <f ca="1">IF(ISERROR(OFFSET(Ottone!$F$1,MATCH(J205,Ottone!$A:$A,0)-1,MATCH(K205,Ottone!$F$1:$FF$1,0)-1)=TRUE),0,OFFSET(Ottone!$F$1,MATCH(J205,Ottone!$A:$A,0)-1,MATCH(K205,Ottone!$F$1:$FF$1,0)-1))*IF(G205="Ottone",1,0)</f>
        <v>0</v>
      </c>
      <c r="T205" s="205">
        <f ca="1">IF(ISERROR(OFFSET(Rame!$F$1,MATCH(J205,Rame!$F:$F,0)-1,MATCH(K205,Rame!$F$1:$FF$1,0)-1)=TRUE),0,OFFSET(Rame!$F$1,MATCH(J205,Rame!$F:$F,0)-1,MATCH(K205,Rame!$F$1:$FF$1,0)-1))*IF(G205="Rame",1,0)</f>
        <v>0</v>
      </c>
      <c r="U205" s="205">
        <f ca="1">IF(ISERROR(OFFSET(Bronzo!$A$1,MATCH(J205,Bronzo!$A:$A,0)-1,MATCH(K205,Bronzo!$A$1:$AA$1,0)-1)=TRUE),0,OFFSET(Bronzo!$A$1,MATCH(J205,Bronzo!$A:$A,0)-1,MATCH(K205,Bronzo!$A$1:$AA$1,0)-1))</f>
        <v>0</v>
      </c>
      <c r="V205" s="205">
        <f t="shared" ref="V205:V268" ca="1" si="153">SUM(R205:U205)</f>
        <v>0</v>
      </c>
      <c r="W205" s="204"/>
      <c r="X205" s="205">
        <v>0</v>
      </c>
      <c r="Y205" s="206">
        <f t="shared" ref="Y205:Y268" ca="1" si="154">+Q205+V205+W205+X205</f>
        <v>1.4</v>
      </c>
      <c r="Z205" s="390">
        <f t="shared" ref="Z205:Z268" si="155">+L205*F205</f>
        <v>85.75</v>
      </c>
      <c r="AA205" s="203">
        <v>3.86</v>
      </c>
      <c r="AB205" s="203">
        <f t="shared" ref="AB205:AB268" ca="1" si="156">+AA205-Y205-H205</f>
        <v>6.999999999999984E-2</v>
      </c>
      <c r="AC205" s="238"/>
      <c r="AI205" s="367">
        <f t="shared" ca="1" si="152"/>
        <v>46092</v>
      </c>
      <c r="AJ205" s="367" t="b">
        <f t="shared" si="144"/>
        <v>1</v>
      </c>
      <c r="AK205" s="370" t="str">
        <f t="shared" si="145"/>
        <v/>
      </c>
      <c r="AN205">
        <f t="shared" si="146"/>
        <v>0</v>
      </c>
      <c r="AO205">
        <f t="shared" si="147"/>
        <v>1900</v>
      </c>
      <c r="AV205">
        <f t="shared" si="148"/>
        <v>0</v>
      </c>
      <c r="AW205">
        <f t="shared" si="149"/>
        <v>0</v>
      </c>
    </row>
    <row r="206" spans="4:49" ht="15.75" x14ac:dyDescent="0.25">
      <c r="D206" s="199" t="s">
        <v>605</v>
      </c>
      <c r="E206" s="388" t="s">
        <v>212</v>
      </c>
      <c r="F206" s="389">
        <v>645</v>
      </c>
      <c r="G206" s="201" t="s">
        <v>4</v>
      </c>
      <c r="H206" s="219">
        <v>2.39</v>
      </c>
      <c r="I206" s="202">
        <v>45964</v>
      </c>
      <c r="J206" s="200" t="s">
        <v>9</v>
      </c>
      <c r="K206" s="200"/>
      <c r="L206" s="203">
        <v>0.05</v>
      </c>
      <c r="M206" s="204">
        <f ca="1">IF(ISERROR(OFFSET(Tabella!$A$1,MATCH(J206,Tabella!$A:$A,0)-1,MATCH(L206,Tabella!$A$1:$AC$1,0)-1)=TRUE),0,+OFFSET(Tabella!$A$1,MATCH(J206,Tabella!$A:$A,0)-1,MATCH(L206,Tabella!$A$1:$AC$1,0)-1))</f>
        <v>0</v>
      </c>
      <c r="N206" s="205">
        <f ca="1">IF(ISERROR(OFFSET(Ottone!$A$1,MATCH(J206,Ottone!$A:$A,0)-1,MATCH(L206,Ottone!$A$1:$Z$1,0)-1)=TRUE),0,OFFSET(Ottone!$A$1,MATCH(J206,Ottone!$A:$A,0)-1,MATCH(L206,Ottone!$A$1:$Z$1,0)-1))*IF(G206="Ottone",1,0)</f>
        <v>0</v>
      </c>
      <c r="O206" s="205">
        <f ca="1">IF(ISERROR(OFFSET(Rame!$A$1,MATCH(J206,Rame!$A:$A,0)-1,MATCH(L206,Rame!$A$1:$AA$1,0)-1)=TRUE),0,OFFSET(Rame!$A$1,MATCH(J206,Rame!$A:$A,0)-1,MATCH(L206,Rame!$A$1:$AA$1,0)-1))*IF(G206="Rame",1,0)</f>
        <v>0</v>
      </c>
      <c r="P206" s="205">
        <v>0</v>
      </c>
      <c r="Q206" s="205">
        <v>1.65</v>
      </c>
      <c r="R206" s="205">
        <f ca="1">+IF(ISERROR(OFFSET(Tabella!$G$1,MATCH(J206,Tabella!$G:$G,0)-1,MATCH(K206,Tabella!$G$1:$FG$1,0)-1)=TRUE),0,OFFSET(Tabella!$G$1,MATCH(J206,Tabella!$G:$G,0)-1,MATCH(K206,Tabella!$G$1:$AB$1,0)-1))</f>
        <v>0</v>
      </c>
      <c r="S206" s="205">
        <f ca="1">IF(ISERROR(OFFSET(Ottone!$F$1,MATCH(J206,Ottone!$A:$A,0)-1,MATCH(K206,Ottone!$F$1:$FF$1,0)-1)=TRUE),0,OFFSET(Ottone!$F$1,MATCH(J206,Ottone!$A:$A,0)-1,MATCH(K206,Ottone!$F$1:$FF$1,0)-1))*IF(G206="Ottone",1,0)</f>
        <v>0</v>
      </c>
      <c r="T206" s="205">
        <f ca="1">IF(ISERROR(OFFSET(Rame!$F$1,MATCH(J206,Rame!$F:$F,0)-1,MATCH(K206,Rame!$F$1:$FF$1,0)-1)=TRUE),0,OFFSET(Rame!$F$1,MATCH(J206,Rame!$F:$F,0)-1,MATCH(K206,Rame!$F$1:$FF$1,0)-1))*IF(G206="Rame",1,0)</f>
        <v>0</v>
      </c>
      <c r="U206" s="205">
        <f ca="1">IF(ISERROR(OFFSET(Bronzo!$A$1,MATCH(J206,Bronzo!$A:$A,0)-1,MATCH(K206,Bronzo!$A$1:$AA$1,0)-1)=TRUE),0,OFFSET(Bronzo!$A$1,MATCH(J206,Bronzo!$A:$A,0)-1,MATCH(K206,Bronzo!$A$1:$AA$1,0)-1))</f>
        <v>0</v>
      </c>
      <c r="V206" s="205">
        <f t="shared" ca="1" si="153"/>
        <v>0</v>
      </c>
      <c r="W206" s="204"/>
      <c r="X206" s="205">
        <v>0</v>
      </c>
      <c r="Y206" s="206">
        <f t="shared" ca="1" si="154"/>
        <v>1.65</v>
      </c>
      <c r="Z206" s="390">
        <f t="shared" si="155"/>
        <v>32.25</v>
      </c>
      <c r="AA206" s="203">
        <v>4.16</v>
      </c>
      <c r="AB206" s="203">
        <f t="shared" ca="1" si="156"/>
        <v>0.12000000000000011</v>
      </c>
      <c r="AC206" s="238">
        <v>45985</v>
      </c>
      <c r="AI206" s="367">
        <f t="shared" ca="1" si="152"/>
        <v>46092</v>
      </c>
      <c r="AJ206" s="367" t="b">
        <f t="shared" si="144"/>
        <v>0</v>
      </c>
      <c r="AK206" s="370">
        <f t="shared" ca="1" si="145"/>
        <v>-107</v>
      </c>
      <c r="AN206">
        <f t="shared" si="146"/>
        <v>48</v>
      </c>
      <c r="AO206">
        <f t="shared" si="147"/>
        <v>2025</v>
      </c>
      <c r="AV206">
        <f t="shared" si="148"/>
        <v>11</v>
      </c>
      <c r="AW206">
        <f t="shared" si="149"/>
        <v>2025</v>
      </c>
    </row>
    <row r="207" spans="4:49" ht="15.75" x14ac:dyDescent="0.25">
      <c r="D207" s="199" t="s">
        <v>604</v>
      </c>
      <c r="E207" s="388" t="s">
        <v>212</v>
      </c>
      <c r="F207" s="389">
        <v>3221</v>
      </c>
      <c r="G207" s="201" t="s">
        <v>4</v>
      </c>
      <c r="H207" s="219">
        <v>2.39</v>
      </c>
      <c r="I207" s="202">
        <v>45964</v>
      </c>
      <c r="J207" s="200" t="s">
        <v>310</v>
      </c>
      <c r="K207" s="200"/>
      <c r="L207" s="203">
        <v>0.05</v>
      </c>
      <c r="M207" s="204">
        <f ca="1">IF(ISERROR(OFFSET(Tabella!$A$1,MATCH(J207,Tabella!$A:$A,0)-1,MATCH(L207,Tabella!$A$1:$AC$1,0)-1)=TRUE),0,+OFFSET(Tabella!$A$1,MATCH(J207,Tabella!$A:$A,0)-1,MATCH(L207,Tabella!$A$1:$AC$1,0)-1))</f>
        <v>0</v>
      </c>
      <c r="N207" s="205">
        <f ca="1">IF(ISERROR(OFFSET(Ottone!$A$1,MATCH(J207,Ottone!$A:$A,0)-1,MATCH(L207,Ottone!$A$1:$Z$1,0)-1)=TRUE),0,OFFSET(Ottone!$A$1,MATCH(J207,Ottone!$A:$A,0)-1,MATCH(L207,Ottone!$A$1:$Z$1,0)-1))*IF(G207="Ottone",1,0)</f>
        <v>0</v>
      </c>
      <c r="O207" s="205">
        <f ca="1">IF(ISERROR(OFFSET(Rame!$A$1,MATCH(J207,Rame!$A:$A,0)-1,MATCH(L207,Rame!$A$1:$AA$1,0)-1)=TRUE),0,OFFSET(Rame!$A$1,MATCH(J207,Rame!$A:$A,0)-1,MATCH(L207,Rame!$A$1:$AA$1,0)-1))*IF(G207="Rame",1,0)</f>
        <v>0</v>
      </c>
      <c r="P207" s="205">
        <v>0</v>
      </c>
      <c r="Q207" s="205">
        <v>1.4</v>
      </c>
      <c r="R207" s="205">
        <f ca="1">+IF(ISERROR(OFFSET(Tabella!$G$1,MATCH(J207,Tabella!$G:$G,0)-1,MATCH(K207,Tabella!$G$1:$FG$1,0)-1)=TRUE),0,OFFSET(Tabella!$G$1,MATCH(J207,Tabella!$G:$G,0)-1,MATCH(K207,Tabella!$G$1:$AB$1,0)-1))</f>
        <v>0</v>
      </c>
      <c r="S207" s="205">
        <f ca="1">IF(ISERROR(OFFSET(Ottone!$F$1,MATCH(J207,Ottone!$A:$A,0)-1,MATCH(K207,Ottone!$F$1:$FF$1,0)-1)=TRUE),0,OFFSET(Ottone!$F$1,MATCH(J207,Ottone!$A:$A,0)-1,MATCH(K207,Ottone!$F$1:$FF$1,0)-1))*IF(G207="Ottone",1,0)</f>
        <v>0</v>
      </c>
      <c r="T207" s="205">
        <f ca="1">IF(ISERROR(OFFSET(Rame!$F$1,MATCH(J207,Rame!$F:$F,0)-1,MATCH(K207,Rame!$F$1:$FF$1,0)-1)=TRUE),0,OFFSET(Rame!$F$1,MATCH(J207,Rame!$F:$F,0)-1,MATCH(K207,Rame!$F$1:$FF$1,0)-1))*IF(G207="Rame",1,0)</f>
        <v>0</v>
      </c>
      <c r="U207" s="205">
        <f ca="1">IF(ISERROR(OFFSET(Bronzo!$A$1,MATCH(J207,Bronzo!$A:$A,0)-1,MATCH(K207,Bronzo!$A$1:$AA$1,0)-1)=TRUE),0,OFFSET(Bronzo!$A$1,MATCH(J207,Bronzo!$A:$A,0)-1,MATCH(K207,Bronzo!$A$1:$AA$1,0)-1))</f>
        <v>0</v>
      </c>
      <c r="V207" s="205">
        <f t="shared" ca="1" si="153"/>
        <v>0</v>
      </c>
      <c r="W207" s="204"/>
      <c r="X207" s="205">
        <v>0</v>
      </c>
      <c r="Y207" s="206">
        <f t="shared" ca="1" si="154"/>
        <v>1.4</v>
      </c>
      <c r="Z207" s="390">
        <f t="shared" si="155"/>
        <v>161.05000000000001</v>
      </c>
      <c r="AA207" s="203">
        <v>3.86</v>
      </c>
      <c r="AB207" s="203">
        <f t="shared" ca="1" si="156"/>
        <v>6.999999999999984E-2</v>
      </c>
      <c r="AC207" s="238"/>
      <c r="AI207" s="367">
        <f t="shared" ca="1" si="152"/>
        <v>46092</v>
      </c>
      <c r="AJ207" s="367" t="b">
        <f t="shared" si="144"/>
        <v>1</v>
      </c>
      <c r="AK207" s="370" t="str">
        <f t="shared" si="145"/>
        <v/>
      </c>
      <c r="AN207">
        <f t="shared" si="146"/>
        <v>0</v>
      </c>
      <c r="AO207">
        <f t="shared" si="147"/>
        <v>1900</v>
      </c>
      <c r="AV207">
        <f t="shared" si="148"/>
        <v>0</v>
      </c>
      <c r="AW207">
        <f t="shared" si="149"/>
        <v>0</v>
      </c>
    </row>
    <row r="208" spans="4:49" ht="15.75" x14ac:dyDescent="0.25">
      <c r="D208" s="199" t="s">
        <v>604</v>
      </c>
      <c r="E208" s="388" t="s">
        <v>212</v>
      </c>
      <c r="F208" s="389">
        <v>868</v>
      </c>
      <c r="G208" s="201" t="s">
        <v>4</v>
      </c>
      <c r="H208" s="219">
        <v>2.39</v>
      </c>
      <c r="I208" s="202">
        <v>45964</v>
      </c>
      <c r="J208" s="200" t="s">
        <v>28</v>
      </c>
      <c r="K208" s="200"/>
      <c r="L208" s="203">
        <v>0.05</v>
      </c>
      <c r="M208" s="204">
        <f ca="1">IF(ISERROR(OFFSET(Tabella!$A$1,MATCH(J208,Tabella!$A:$A,0)-1,MATCH(L208,Tabella!$A$1:$AC$1,0)-1)=TRUE),0,+OFFSET(Tabella!$A$1,MATCH(J208,Tabella!$A:$A,0)-1,MATCH(L208,Tabella!$A$1:$AC$1,0)-1))</f>
        <v>0</v>
      </c>
      <c r="N208" s="205">
        <f ca="1">IF(ISERROR(OFFSET(Ottone!$A$1,MATCH(J208,Ottone!$A:$A,0)-1,MATCH(L208,Ottone!$A$1:$Z$1,0)-1)=TRUE),0,OFFSET(Ottone!$A$1,MATCH(J208,Ottone!$A:$A,0)-1,MATCH(L208,Ottone!$A$1:$Z$1,0)-1))*IF(G208="Ottone",1,0)</f>
        <v>0</v>
      </c>
      <c r="O208" s="205">
        <f ca="1">IF(ISERROR(OFFSET(Rame!$A$1,MATCH(J208,Rame!$A:$A,0)-1,MATCH(L208,Rame!$A$1:$AA$1,0)-1)=TRUE),0,OFFSET(Rame!$A$1,MATCH(J208,Rame!$A:$A,0)-1,MATCH(L208,Rame!$A$1:$AA$1,0)-1))*IF(G208="Rame",1,0)</f>
        <v>0</v>
      </c>
      <c r="P208" s="205">
        <v>0</v>
      </c>
      <c r="Q208" s="205">
        <v>1.4</v>
      </c>
      <c r="R208" s="205">
        <f ca="1">+IF(ISERROR(OFFSET(Tabella!$G$1,MATCH(J208,Tabella!$G:$G,0)-1,MATCH(K208,Tabella!$G$1:$FG$1,0)-1)=TRUE),0,OFFSET(Tabella!$G$1,MATCH(J208,Tabella!$G:$G,0)-1,MATCH(K208,Tabella!$G$1:$AB$1,0)-1))</f>
        <v>0</v>
      </c>
      <c r="S208" s="205">
        <f ca="1">IF(ISERROR(OFFSET(Ottone!$F$1,MATCH(J208,Ottone!$A:$A,0)-1,MATCH(K208,Ottone!$F$1:$FF$1,0)-1)=TRUE),0,OFFSET(Ottone!$F$1,MATCH(J208,Ottone!$A:$A,0)-1,MATCH(K208,Ottone!$F$1:$FF$1,0)-1))*IF(G208="Ottone",1,0)</f>
        <v>0</v>
      </c>
      <c r="T208" s="205">
        <f ca="1">IF(ISERROR(OFFSET(Rame!$F$1,MATCH(J208,Rame!$F:$F,0)-1,MATCH(K208,Rame!$F$1:$FF$1,0)-1)=TRUE),0,OFFSET(Rame!$F$1,MATCH(J208,Rame!$F:$F,0)-1,MATCH(K208,Rame!$F$1:$FF$1,0)-1))*IF(G208="Rame",1,0)</f>
        <v>0</v>
      </c>
      <c r="U208" s="205">
        <f ca="1">IF(ISERROR(OFFSET(Bronzo!$A$1,MATCH(J208,Bronzo!$A:$A,0)-1,MATCH(K208,Bronzo!$A$1:$AA$1,0)-1)=TRUE),0,OFFSET(Bronzo!$A$1,MATCH(J208,Bronzo!$A:$A,0)-1,MATCH(K208,Bronzo!$A$1:$AA$1,0)-1))</f>
        <v>0</v>
      </c>
      <c r="V208" s="205">
        <f t="shared" ca="1" si="153"/>
        <v>0</v>
      </c>
      <c r="W208" s="204"/>
      <c r="X208" s="205">
        <v>0</v>
      </c>
      <c r="Y208" s="206">
        <f t="shared" ca="1" si="154"/>
        <v>1.4</v>
      </c>
      <c r="Z208" s="390">
        <f t="shared" si="155"/>
        <v>43.400000000000006</v>
      </c>
      <c r="AA208" s="203">
        <v>3.86</v>
      </c>
      <c r="AB208" s="203">
        <f t="shared" ca="1" si="156"/>
        <v>6.999999999999984E-2</v>
      </c>
      <c r="AC208" s="238"/>
      <c r="AI208" s="367">
        <f t="shared" ca="1" si="152"/>
        <v>46092</v>
      </c>
      <c r="AJ208" s="367" t="b">
        <f t="shared" si="144"/>
        <v>1</v>
      </c>
      <c r="AK208" s="370" t="str">
        <f t="shared" si="145"/>
        <v/>
      </c>
      <c r="AN208">
        <f t="shared" si="146"/>
        <v>0</v>
      </c>
      <c r="AO208">
        <f t="shared" si="147"/>
        <v>1900</v>
      </c>
      <c r="AV208">
        <f t="shared" si="148"/>
        <v>0</v>
      </c>
      <c r="AW208">
        <f t="shared" si="149"/>
        <v>0</v>
      </c>
    </row>
    <row r="209" spans="4:49" ht="15.75" x14ac:dyDescent="0.25">
      <c r="D209" s="199" t="s">
        <v>572</v>
      </c>
      <c r="E209" s="388" t="s">
        <v>212</v>
      </c>
      <c r="F209" s="389">
        <v>1601</v>
      </c>
      <c r="G209" s="201" t="s">
        <v>4</v>
      </c>
      <c r="H209" s="219">
        <v>2.39</v>
      </c>
      <c r="I209" s="202">
        <v>45964</v>
      </c>
      <c r="J209" s="200" t="s">
        <v>23</v>
      </c>
      <c r="K209" s="200"/>
      <c r="L209" s="203">
        <v>0.05</v>
      </c>
      <c r="M209" s="204">
        <f ca="1">IF(ISERROR(OFFSET(Tabella!$A$1,MATCH(J209,Tabella!$A:$A,0)-1,MATCH(L209,Tabella!$A$1:$AC$1,0)-1)=TRUE),0,+OFFSET(Tabella!$A$1,MATCH(J209,Tabella!$A:$A,0)-1,MATCH(L209,Tabella!$A$1:$AC$1,0)-1))</f>
        <v>0</v>
      </c>
      <c r="N209" s="205">
        <f ca="1">IF(ISERROR(OFFSET(Ottone!$A$1,MATCH(J209,Ottone!$A:$A,0)-1,MATCH(L209,Ottone!$A$1:$Z$1,0)-1)=TRUE),0,OFFSET(Ottone!$A$1,MATCH(J209,Ottone!$A:$A,0)-1,MATCH(L209,Ottone!$A$1:$Z$1,0)-1))*IF(G209="Ottone",1,0)</f>
        <v>0</v>
      </c>
      <c r="O209" s="205">
        <f ca="1">IF(ISERROR(OFFSET(Rame!$A$1,MATCH(J209,Rame!$A:$A,0)-1,MATCH(L209,Rame!$A$1:$AA$1,0)-1)=TRUE),0,OFFSET(Rame!$A$1,MATCH(J209,Rame!$A:$A,0)-1,MATCH(L209,Rame!$A$1:$AA$1,0)-1))*IF(G209="Rame",1,0)</f>
        <v>0</v>
      </c>
      <c r="P209" s="205">
        <v>0</v>
      </c>
      <c r="Q209" s="205">
        <v>1.4</v>
      </c>
      <c r="R209" s="205">
        <f ca="1">+IF(ISERROR(OFFSET(Tabella!$G$1,MATCH(J209,Tabella!$G:$G,0)-1,MATCH(K209,Tabella!$G$1:$FG$1,0)-1)=TRUE),0,OFFSET(Tabella!$G$1,MATCH(J209,Tabella!$G:$G,0)-1,MATCH(K209,Tabella!$G$1:$AB$1,0)-1))</f>
        <v>0</v>
      </c>
      <c r="S209" s="205">
        <f ca="1">IF(ISERROR(OFFSET(Ottone!$F$1,MATCH(J209,Ottone!$A:$A,0)-1,MATCH(K209,Ottone!$F$1:$FF$1,0)-1)=TRUE),0,OFFSET(Ottone!$F$1,MATCH(J209,Ottone!$A:$A,0)-1,MATCH(K209,Ottone!$F$1:$FF$1,0)-1))*IF(G209="Ottone",1,0)</f>
        <v>0</v>
      </c>
      <c r="T209" s="205">
        <f ca="1">IF(ISERROR(OFFSET(Rame!$F$1,MATCH(J209,Rame!$F:$F,0)-1,MATCH(K209,Rame!$F$1:$FF$1,0)-1)=TRUE),0,OFFSET(Rame!$F$1,MATCH(J209,Rame!$F:$F,0)-1,MATCH(K209,Rame!$F$1:$FF$1,0)-1))*IF(G209="Rame",1,0)</f>
        <v>0</v>
      </c>
      <c r="U209" s="205">
        <f ca="1">IF(ISERROR(OFFSET(Bronzo!$A$1,MATCH(J209,Bronzo!$A:$A,0)-1,MATCH(K209,Bronzo!$A$1:$AA$1,0)-1)=TRUE),0,OFFSET(Bronzo!$A$1,MATCH(J209,Bronzo!$A:$A,0)-1,MATCH(K209,Bronzo!$A$1:$AA$1,0)-1))</f>
        <v>0</v>
      </c>
      <c r="V209" s="205">
        <f t="shared" ca="1" si="153"/>
        <v>0</v>
      </c>
      <c r="W209" s="204"/>
      <c r="X209" s="205">
        <v>0</v>
      </c>
      <c r="Y209" s="206">
        <f t="shared" ca="1" si="154"/>
        <v>1.4</v>
      </c>
      <c r="Z209" s="390">
        <f t="shared" si="155"/>
        <v>80.050000000000011</v>
      </c>
      <c r="AA209" s="203">
        <v>3.86</v>
      </c>
      <c r="AB209" s="203">
        <f t="shared" ca="1" si="156"/>
        <v>6.999999999999984E-2</v>
      </c>
      <c r="AC209" s="238"/>
      <c r="AI209" s="367">
        <f t="shared" ca="1" si="152"/>
        <v>46092</v>
      </c>
      <c r="AJ209" s="367" t="b">
        <f t="shared" si="144"/>
        <v>1</v>
      </c>
      <c r="AK209" s="370" t="str">
        <f t="shared" si="145"/>
        <v/>
      </c>
      <c r="AN209">
        <f t="shared" si="146"/>
        <v>0</v>
      </c>
      <c r="AO209">
        <f t="shared" si="147"/>
        <v>1900</v>
      </c>
      <c r="AV209">
        <f t="shared" si="148"/>
        <v>0</v>
      </c>
      <c r="AW209">
        <f t="shared" si="149"/>
        <v>0</v>
      </c>
    </row>
    <row r="210" spans="4:49" ht="15.75" x14ac:dyDescent="0.25">
      <c r="D210" s="199" t="s">
        <v>572</v>
      </c>
      <c r="E210" s="388" t="s">
        <v>212</v>
      </c>
      <c r="F210" s="389">
        <v>639</v>
      </c>
      <c r="G210" s="201" t="s">
        <v>4</v>
      </c>
      <c r="H210" s="219">
        <v>2.39</v>
      </c>
      <c r="I210" s="202">
        <v>45964</v>
      </c>
      <c r="J210" s="200" t="s">
        <v>25</v>
      </c>
      <c r="K210" s="200"/>
      <c r="L210" s="203">
        <v>0.05</v>
      </c>
      <c r="M210" s="204">
        <f ca="1">IF(ISERROR(OFFSET(Tabella!$A$1,MATCH(J210,Tabella!$A:$A,0)-1,MATCH(L210,Tabella!$A$1:$AC$1,0)-1)=TRUE),0,+OFFSET(Tabella!$A$1,MATCH(J210,Tabella!$A:$A,0)-1,MATCH(L210,Tabella!$A$1:$AC$1,0)-1))</f>
        <v>0</v>
      </c>
      <c r="N210" s="205">
        <f ca="1">IF(ISERROR(OFFSET(Ottone!$A$1,MATCH(J210,Ottone!$A:$A,0)-1,MATCH(L210,Ottone!$A$1:$Z$1,0)-1)=TRUE),0,OFFSET(Ottone!$A$1,MATCH(J210,Ottone!$A:$A,0)-1,MATCH(L210,Ottone!$A$1:$Z$1,0)-1))*IF(G210="Ottone",1,0)</f>
        <v>0</v>
      </c>
      <c r="O210" s="205">
        <f ca="1">IF(ISERROR(OFFSET(Rame!$A$1,MATCH(J210,Rame!$A:$A,0)-1,MATCH(L210,Rame!$A$1:$AA$1,0)-1)=TRUE),0,OFFSET(Rame!$A$1,MATCH(J210,Rame!$A:$A,0)-1,MATCH(L210,Rame!$A$1:$AA$1,0)-1))*IF(G210="Rame",1,0)</f>
        <v>0</v>
      </c>
      <c r="P210" s="205">
        <v>0</v>
      </c>
      <c r="Q210" s="205">
        <v>1.4</v>
      </c>
      <c r="R210" s="205">
        <f ca="1">+IF(ISERROR(OFFSET(Tabella!$G$1,MATCH(J210,Tabella!$G:$G,0)-1,MATCH(K210,Tabella!$G$1:$FG$1,0)-1)=TRUE),0,OFFSET(Tabella!$G$1,MATCH(J210,Tabella!$G:$G,0)-1,MATCH(K210,Tabella!$G$1:$AB$1,0)-1))</f>
        <v>0</v>
      </c>
      <c r="S210" s="205">
        <f ca="1">IF(ISERROR(OFFSET(Ottone!$F$1,MATCH(J210,Ottone!$A:$A,0)-1,MATCH(K210,Ottone!$F$1:$FF$1,0)-1)=TRUE),0,OFFSET(Ottone!$F$1,MATCH(J210,Ottone!$A:$A,0)-1,MATCH(K210,Ottone!$F$1:$FF$1,0)-1))*IF(G210="Ottone",1,0)</f>
        <v>0</v>
      </c>
      <c r="T210" s="205">
        <f ca="1">IF(ISERROR(OFFSET(Rame!$F$1,MATCH(J210,Rame!$F:$F,0)-1,MATCH(K210,Rame!$F$1:$FF$1,0)-1)=TRUE),0,OFFSET(Rame!$F$1,MATCH(J210,Rame!$F:$F,0)-1,MATCH(K210,Rame!$F$1:$FF$1,0)-1))*IF(G210="Rame",1,0)</f>
        <v>0</v>
      </c>
      <c r="U210" s="205">
        <f ca="1">IF(ISERROR(OFFSET(Bronzo!$A$1,MATCH(J210,Bronzo!$A:$A,0)-1,MATCH(K210,Bronzo!$A$1:$AA$1,0)-1)=TRUE),0,OFFSET(Bronzo!$A$1,MATCH(J210,Bronzo!$A:$A,0)-1,MATCH(K210,Bronzo!$A$1:$AA$1,0)-1))</f>
        <v>0</v>
      </c>
      <c r="V210" s="205">
        <f t="shared" ca="1" si="153"/>
        <v>0</v>
      </c>
      <c r="W210" s="204"/>
      <c r="X210" s="205">
        <v>0</v>
      </c>
      <c r="Y210" s="206">
        <f t="shared" ca="1" si="154"/>
        <v>1.4</v>
      </c>
      <c r="Z210" s="390">
        <f t="shared" si="155"/>
        <v>31.950000000000003</v>
      </c>
      <c r="AA210" s="203">
        <v>3.86</v>
      </c>
      <c r="AB210" s="203">
        <f t="shared" ca="1" si="156"/>
        <v>6.999999999999984E-2</v>
      </c>
      <c r="AC210" s="238"/>
      <c r="AI210" s="367">
        <f t="shared" ca="1" si="152"/>
        <v>46092</v>
      </c>
      <c r="AJ210" s="367" t="b">
        <f t="shared" si="144"/>
        <v>1</v>
      </c>
      <c r="AK210" s="370" t="str">
        <f t="shared" si="145"/>
        <v/>
      </c>
      <c r="AN210">
        <f t="shared" si="146"/>
        <v>0</v>
      </c>
      <c r="AO210">
        <f t="shared" si="147"/>
        <v>1900</v>
      </c>
      <c r="AV210">
        <f t="shared" si="148"/>
        <v>0</v>
      </c>
      <c r="AW210">
        <f t="shared" si="149"/>
        <v>0</v>
      </c>
    </row>
    <row r="211" spans="4:49" ht="15.75" x14ac:dyDescent="0.25">
      <c r="D211" s="199" t="s">
        <v>604</v>
      </c>
      <c r="E211" s="388" t="s">
        <v>212</v>
      </c>
      <c r="F211" s="389">
        <v>2494</v>
      </c>
      <c r="G211" s="201" t="s">
        <v>4</v>
      </c>
      <c r="H211" s="219">
        <v>2.39</v>
      </c>
      <c r="I211" s="202">
        <v>45964</v>
      </c>
      <c r="J211" s="200" t="s">
        <v>23</v>
      </c>
      <c r="K211" s="200"/>
      <c r="L211" s="203">
        <v>0.05</v>
      </c>
      <c r="M211" s="204">
        <f ca="1">IF(ISERROR(OFFSET(Tabella!$A$1,MATCH(J211,Tabella!$A:$A,0)-1,MATCH(L211,Tabella!$A$1:$AC$1,0)-1)=TRUE),0,+OFFSET(Tabella!$A$1,MATCH(J211,Tabella!$A:$A,0)-1,MATCH(L211,Tabella!$A$1:$AC$1,0)-1))</f>
        <v>0</v>
      </c>
      <c r="N211" s="205">
        <f ca="1">IF(ISERROR(OFFSET(Ottone!$A$1,MATCH(J211,Ottone!$A:$A,0)-1,MATCH(L211,Ottone!$A$1:$Z$1,0)-1)=TRUE),0,OFFSET(Ottone!$A$1,MATCH(J211,Ottone!$A:$A,0)-1,MATCH(L211,Ottone!$A$1:$Z$1,0)-1))*IF(G211="Ottone",1,0)</f>
        <v>0</v>
      </c>
      <c r="O211" s="205">
        <f ca="1">IF(ISERROR(OFFSET(Rame!$A$1,MATCH(J211,Rame!$A:$A,0)-1,MATCH(L211,Rame!$A$1:$AA$1,0)-1)=TRUE),0,OFFSET(Rame!$A$1,MATCH(J211,Rame!$A:$A,0)-1,MATCH(L211,Rame!$A$1:$AA$1,0)-1))*IF(G211="Rame",1,0)</f>
        <v>0</v>
      </c>
      <c r="P211" s="205">
        <v>0</v>
      </c>
      <c r="Q211" s="205">
        <v>1.4</v>
      </c>
      <c r="R211" s="205">
        <f ca="1">+IF(ISERROR(OFFSET(Tabella!$G$1,MATCH(J211,Tabella!$G:$G,0)-1,MATCH(K211,Tabella!$G$1:$FG$1,0)-1)=TRUE),0,OFFSET(Tabella!$G$1,MATCH(J211,Tabella!$G:$G,0)-1,MATCH(K211,Tabella!$G$1:$AB$1,0)-1))</f>
        <v>0</v>
      </c>
      <c r="S211" s="205">
        <f ca="1">IF(ISERROR(OFFSET(Ottone!$F$1,MATCH(J211,Ottone!$A:$A,0)-1,MATCH(K211,Ottone!$F$1:$FF$1,0)-1)=TRUE),0,OFFSET(Ottone!$F$1,MATCH(J211,Ottone!$A:$A,0)-1,MATCH(K211,Ottone!$F$1:$FF$1,0)-1))*IF(G211="Ottone",1,0)</f>
        <v>0</v>
      </c>
      <c r="T211" s="205">
        <f ca="1">IF(ISERROR(OFFSET(Rame!$F$1,MATCH(J211,Rame!$F:$F,0)-1,MATCH(K211,Rame!$F$1:$FF$1,0)-1)=TRUE),0,OFFSET(Rame!$F$1,MATCH(J211,Rame!$F:$F,0)-1,MATCH(K211,Rame!$F$1:$FF$1,0)-1))*IF(G211="Rame",1,0)</f>
        <v>0</v>
      </c>
      <c r="U211" s="205">
        <f ca="1">IF(ISERROR(OFFSET(Bronzo!$A$1,MATCH(J211,Bronzo!$A:$A,0)-1,MATCH(K211,Bronzo!$A$1:$AA$1,0)-1)=TRUE),0,OFFSET(Bronzo!$A$1,MATCH(J211,Bronzo!$A:$A,0)-1,MATCH(K211,Bronzo!$A$1:$AA$1,0)-1))</f>
        <v>0</v>
      </c>
      <c r="V211" s="205">
        <f t="shared" ca="1" si="153"/>
        <v>0</v>
      </c>
      <c r="W211" s="204"/>
      <c r="X211" s="205">
        <v>0</v>
      </c>
      <c r="Y211" s="206">
        <f t="shared" ca="1" si="154"/>
        <v>1.4</v>
      </c>
      <c r="Z211" s="390">
        <f t="shared" si="155"/>
        <v>124.7</v>
      </c>
      <c r="AA211" s="203">
        <v>3.86</v>
      </c>
      <c r="AB211" s="203">
        <f t="shared" ca="1" si="156"/>
        <v>6.999999999999984E-2</v>
      </c>
      <c r="AC211" s="238"/>
      <c r="AI211" s="367">
        <f t="shared" ca="1" si="152"/>
        <v>46092</v>
      </c>
      <c r="AJ211" s="367" t="b">
        <f t="shared" si="144"/>
        <v>1</v>
      </c>
      <c r="AK211" s="370" t="str">
        <f t="shared" si="145"/>
        <v/>
      </c>
      <c r="AN211">
        <f t="shared" si="146"/>
        <v>0</v>
      </c>
      <c r="AO211">
        <f t="shared" si="147"/>
        <v>1900</v>
      </c>
      <c r="AV211">
        <f t="shared" si="148"/>
        <v>0</v>
      </c>
      <c r="AW211">
        <f t="shared" si="149"/>
        <v>0</v>
      </c>
    </row>
    <row r="212" spans="4:49" ht="15.75" x14ac:dyDescent="0.25">
      <c r="D212" s="199" t="s">
        <v>549</v>
      </c>
      <c r="E212" s="388" t="s">
        <v>212</v>
      </c>
      <c r="F212" s="389">
        <v>398</v>
      </c>
      <c r="G212" s="201" t="s">
        <v>4</v>
      </c>
      <c r="H212" s="219">
        <v>2.39</v>
      </c>
      <c r="I212" s="202">
        <v>45964</v>
      </c>
      <c r="J212" s="200" t="s">
        <v>23</v>
      </c>
      <c r="K212" s="200"/>
      <c r="L212" s="203">
        <v>0.05</v>
      </c>
      <c r="M212" s="204">
        <f ca="1">IF(ISERROR(OFFSET(Tabella!$A$1,MATCH(J212,Tabella!$A:$A,0)-1,MATCH(L212,Tabella!$A$1:$AC$1,0)-1)=TRUE),0,+OFFSET(Tabella!$A$1,MATCH(J212,Tabella!$A:$A,0)-1,MATCH(L212,Tabella!$A$1:$AC$1,0)-1))</f>
        <v>0</v>
      </c>
      <c r="N212" s="205">
        <f ca="1">IF(ISERROR(OFFSET(Ottone!$A$1,MATCH(J212,Ottone!$A:$A,0)-1,MATCH(L212,Ottone!$A$1:$Z$1,0)-1)=TRUE),0,OFFSET(Ottone!$A$1,MATCH(J212,Ottone!$A:$A,0)-1,MATCH(L212,Ottone!$A$1:$Z$1,0)-1))*IF(G212="Ottone",1,0)</f>
        <v>0</v>
      </c>
      <c r="O212" s="205">
        <f ca="1">IF(ISERROR(OFFSET(Rame!$A$1,MATCH(J212,Rame!$A:$A,0)-1,MATCH(L212,Rame!$A$1:$AA$1,0)-1)=TRUE),0,OFFSET(Rame!$A$1,MATCH(J212,Rame!$A:$A,0)-1,MATCH(L212,Rame!$A$1:$AA$1,0)-1))*IF(G212="Rame",1,0)</f>
        <v>0</v>
      </c>
      <c r="P212" s="205">
        <v>0</v>
      </c>
      <c r="Q212" s="205">
        <v>1.4</v>
      </c>
      <c r="R212" s="205">
        <f ca="1">+IF(ISERROR(OFFSET(Tabella!$G$1,MATCH(J212,Tabella!$G:$G,0)-1,MATCH(K212,Tabella!$G$1:$FG$1,0)-1)=TRUE),0,OFFSET(Tabella!$G$1,MATCH(J212,Tabella!$G:$G,0)-1,MATCH(K212,Tabella!$G$1:$AB$1,0)-1))</f>
        <v>0</v>
      </c>
      <c r="S212" s="205">
        <f ca="1">IF(ISERROR(OFFSET(Ottone!$F$1,MATCH(J212,Ottone!$A:$A,0)-1,MATCH(K212,Ottone!$F$1:$FF$1,0)-1)=TRUE),0,OFFSET(Ottone!$F$1,MATCH(J212,Ottone!$A:$A,0)-1,MATCH(K212,Ottone!$F$1:$FF$1,0)-1))*IF(G212="Ottone",1,0)</f>
        <v>0</v>
      </c>
      <c r="T212" s="205">
        <f ca="1">IF(ISERROR(OFFSET(Rame!$F$1,MATCH(J212,Rame!$F:$F,0)-1,MATCH(K212,Rame!$F$1:$FF$1,0)-1)=TRUE),0,OFFSET(Rame!$F$1,MATCH(J212,Rame!$F:$F,0)-1,MATCH(K212,Rame!$F$1:$FF$1,0)-1))*IF(G212="Rame",1,0)</f>
        <v>0</v>
      </c>
      <c r="U212" s="205">
        <f ca="1">IF(ISERROR(OFFSET(Bronzo!$A$1,MATCH(J212,Bronzo!$A:$A,0)-1,MATCH(K212,Bronzo!$A$1:$AA$1,0)-1)=TRUE),0,OFFSET(Bronzo!$A$1,MATCH(J212,Bronzo!$A:$A,0)-1,MATCH(K212,Bronzo!$A$1:$AA$1,0)-1))</f>
        <v>0</v>
      </c>
      <c r="V212" s="205">
        <f t="shared" ca="1" si="153"/>
        <v>0</v>
      </c>
      <c r="W212" s="204"/>
      <c r="X212" s="205">
        <v>0</v>
      </c>
      <c r="Y212" s="206">
        <f t="shared" ca="1" si="154"/>
        <v>1.4</v>
      </c>
      <c r="Z212" s="390">
        <f t="shared" si="155"/>
        <v>19.900000000000002</v>
      </c>
      <c r="AA212" s="203">
        <v>3.86</v>
      </c>
      <c r="AB212" s="203">
        <f t="shared" ca="1" si="156"/>
        <v>6.999999999999984E-2</v>
      </c>
      <c r="AC212" s="238"/>
      <c r="AI212" s="367">
        <f t="shared" ca="1" si="152"/>
        <v>46092</v>
      </c>
      <c r="AJ212" s="367" t="b">
        <f t="shared" si="144"/>
        <v>1</v>
      </c>
      <c r="AK212" s="370" t="str">
        <f t="shared" si="145"/>
        <v/>
      </c>
      <c r="AN212">
        <f t="shared" si="146"/>
        <v>0</v>
      </c>
      <c r="AO212">
        <f t="shared" si="147"/>
        <v>1900</v>
      </c>
      <c r="AV212">
        <f t="shared" si="148"/>
        <v>0</v>
      </c>
      <c r="AW212">
        <f t="shared" si="149"/>
        <v>0</v>
      </c>
    </row>
    <row r="213" spans="4:49" ht="15.75" x14ac:dyDescent="0.25">
      <c r="D213" s="199" t="s">
        <v>551</v>
      </c>
      <c r="E213" s="388" t="s">
        <v>212</v>
      </c>
      <c r="F213" s="389">
        <v>1323</v>
      </c>
      <c r="G213" s="201" t="s">
        <v>4</v>
      </c>
      <c r="H213" s="219">
        <v>2.39</v>
      </c>
      <c r="I213" s="202">
        <v>45964</v>
      </c>
      <c r="J213" s="200" t="s">
        <v>26</v>
      </c>
      <c r="K213" s="200"/>
      <c r="L213" s="203">
        <v>0.05</v>
      </c>
      <c r="M213" s="204">
        <f ca="1">IF(ISERROR(OFFSET(Tabella!$A$1,MATCH(J213,Tabella!$A:$A,0)-1,MATCH(L213,Tabella!$A$1:$AC$1,0)-1)=TRUE),0,+OFFSET(Tabella!$A$1,MATCH(J213,Tabella!$A:$A,0)-1,MATCH(L213,Tabella!$A$1:$AC$1,0)-1))</f>
        <v>0</v>
      </c>
      <c r="N213" s="205">
        <f ca="1">IF(ISERROR(OFFSET(Ottone!$A$1,MATCH(J213,Ottone!$A:$A,0)-1,MATCH(L213,Ottone!$A$1:$Z$1,0)-1)=TRUE),0,OFFSET(Ottone!$A$1,MATCH(J213,Ottone!$A:$A,0)-1,MATCH(L213,Ottone!$A$1:$Z$1,0)-1))*IF(G213="Ottone",1,0)</f>
        <v>0</v>
      </c>
      <c r="O213" s="205">
        <f ca="1">IF(ISERROR(OFFSET(Rame!$A$1,MATCH(J213,Rame!$A:$A,0)-1,MATCH(L213,Rame!$A$1:$AA$1,0)-1)=TRUE),0,OFFSET(Rame!$A$1,MATCH(J213,Rame!$A:$A,0)-1,MATCH(L213,Rame!$A$1:$AA$1,0)-1))*IF(G213="Rame",1,0)</f>
        <v>0</v>
      </c>
      <c r="P213" s="205">
        <v>0</v>
      </c>
      <c r="Q213" s="205">
        <v>1.4</v>
      </c>
      <c r="R213" s="205">
        <f ca="1">+IF(ISERROR(OFFSET(Tabella!$G$1,MATCH(J213,Tabella!$G:$G,0)-1,MATCH(K213,Tabella!$G$1:$FG$1,0)-1)=TRUE),0,OFFSET(Tabella!$G$1,MATCH(J213,Tabella!$G:$G,0)-1,MATCH(K213,Tabella!$G$1:$AB$1,0)-1))</f>
        <v>0</v>
      </c>
      <c r="S213" s="205">
        <f ca="1">IF(ISERROR(OFFSET(Ottone!$F$1,MATCH(J213,Ottone!$A:$A,0)-1,MATCH(K213,Ottone!$F$1:$FF$1,0)-1)=TRUE),0,OFFSET(Ottone!$F$1,MATCH(J213,Ottone!$A:$A,0)-1,MATCH(K213,Ottone!$F$1:$FF$1,0)-1))*IF(G213="Ottone",1,0)</f>
        <v>0</v>
      </c>
      <c r="T213" s="205">
        <f ca="1">IF(ISERROR(OFFSET(Rame!$F$1,MATCH(J213,Rame!$F:$F,0)-1,MATCH(K213,Rame!$F$1:$FF$1,0)-1)=TRUE),0,OFFSET(Rame!$F$1,MATCH(J213,Rame!$F:$F,0)-1,MATCH(K213,Rame!$F$1:$FF$1,0)-1))*IF(G213="Rame",1,0)</f>
        <v>0</v>
      </c>
      <c r="U213" s="205">
        <f ca="1">IF(ISERROR(OFFSET(Bronzo!$A$1,MATCH(J213,Bronzo!$A:$A,0)-1,MATCH(K213,Bronzo!$A$1:$AA$1,0)-1)=TRUE),0,OFFSET(Bronzo!$A$1,MATCH(J213,Bronzo!$A:$A,0)-1,MATCH(K213,Bronzo!$A$1:$AA$1,0)-1))</f>
        <v>0</v>
      </c>
      <c r="V213" s="205">
        <f t="shared" ca="1" si="153"/>
        <v>0</v>
      </c>
      <c r="W213" s="204"/>
      <c r="X213" s="205">
        <v>0</v>
      </c>
      <c r="Y213" s="206">
        <f t="shared" ca="1" si="154"/>
        <v>1.4</v>
      </c>
      <c r="Z213" s="390">
        <f t="shared" si="155"/>
        <v>66.150000000000006</v>
      </c>
      <c r="AA213" s="203">
        <v>3.86</v>
      </c>
      <c r="AB213" s="203">
        <f t="shared" ca="1" si="156"/>
        <v>6.999999999999984E-2</v>
      </c>
      <c r="AC213" s="238"/>
      <c r="AI213" s="367">
        <f t="shared" ca="1" si="152"/>
        <v>46092</v>
      </c>
      <c r="AJ213" s="367" t="b">
        <f t="shared" si="144"/>
        <v>1</v>
      </c>
      <c r="AK213" s="370" t="str">
        <f t="shared" si="145"/>
        <v/>
      </c>
      <c r="AN213">
        <f t="shared" si="146"/>
        <v>0</v>
      </c>
      <c r="AO213">
        <f t="shared" si="147"/>
        <v>1900</v>
      </c>
      <c r="AV213">
        <f t="shared" si="148"/>
        <v>0</v>
      </c>
      <c r="AW213">
        <f t="shared" si="149"/>
        <v>0</v>
      </c>
    </row>
    <row r="214" spans="4:49" ht="15.75" x14ac:dyDescent="0.25">
      <c r="D214" s="199" t="s">
        <v>544</v>
      </c>
      <c r="E214" s="200" t="s">
        <v>210</v>
      </c>
      <c r="F214" s="287">
        <v>25000</v>
      </c>
      <c r="G214" s="201" t="s">
        <v>4</v>
      </c>
      <c r="H214" s="219">
        <v>2.39</v>
      </c>
      <c r="I214" s="202">
        <v>45964</v>
      </c>
      <c r="J214" s="200" t="s">
        <v>322</v>
      </c>
      <c r="K214" s="200"/>
      <c r="L214" s="203">
        <v>0.03</v>
      </c>
      <c r="M214" s="204">
        <f ca="1">IF(ISERROR(OFFSET(Tabella!$A$1,MATCH(J214,Tabella!$A:$A,0)-1,MATCH(L214,Tabella!$A$1:$AC$1,0)-1)=TRUE),0,+OFFSET(Tabella!$A$1,MATCH(J214,Tabella!$A:$A,0)-1,MATCH(L214,Tabella!$A$1:$AC$1,0)-1))</f>
        <v>0</v>
      </c>
      <c r="N214" s="205">
        <f ca="1">IF(ISERROR(OFFSET(Ottone!$A$1,MATCH(J214,Ottone!$A:$A,0)-1,MATCH(L214,Ottone!$A$1:$Z$1,0)-1)=TRUE),0,OFFSET(Ottone!$A$1,MATCH(J214,Ottone!$A:$A,0)-1,MATCH(L214,Ottone!$A$1:$Z$1,0)-1))*IF(G214="Ottone",1,0)</f>
        <v>0</v>
      </c>
      <c r="O214" s="205">
        <f ca="1">IF(ISERROR(OFFSET(Rame!$A$1,MATCH(J214,Rame!$A:$A,0)-1,MATCH(L214,Rame!$A$1:$AA$1,0)-1)=TRUE),0,OFFSET(Rame!$A$1,MATCH(J214,Rame!$A:$A,0)-1,MATCH(L214,Rame!$A$1:$AA$1,0)-1))*IF(G214="Rame",1,0)</f>
        <v>0</v>
      </c>
      <c r="P214" s="205">
        <v>0</v>
      </c>
      <c r="Q214" s="205">
        <v>1.3</v>
      </c>
      <c r="R214" s="205">
        <f ca="1">+IF(ISERROR(OFFSET(Tabella!$G$1,MATCH(J214,Tabella!$G:$G,0)-1,MATCH(K214,Tabella!$G$1:$FG$1,0)-1)=TRUE),0,OFFSET(Tabella!$G$1,MATCH(J214,Tabella!$G:$G,0)-1,MATCH(K214,Tabella!$G$1:$AB$1,0)-1))</f>
        <v>0</v>
      </c>
      <c r="S214" s="205">
        <f ca="1">IF(ISERROR(OFFSET(Ottone!$F$1,MATCH(J214,Ottone!$A:$A,0)-1,MATCH(K214,Ottone!$F$1:$FF$1,0)-1)=TRUE),0,OFFSET(Ottone!$F$1,MATCH(J214,Ottone!$A:$A,0)-1,MATCH(K214,Ottone!$F$1:$FF$1,0)-1))*IF(G214="Ottone",1,0)</f>
        <v>0</v>
      </c>
      <c r="T214" s="205">
        <f ca="1">IF(ISERROR(OFFSET(Rame!$F$1,MATCH(J214,Rame!$F:$F,0)-1,MATCH(K214,Rame!$F$1:$FF$1,0)-1)=TRUE),0,OFFSET(Rame!$F$1,MATCH(J214,Rame!$F:$F,0)-1,MATCH(K214,Rame!$F$1:$FF$1,0)-1))*IF(G214="Rame",1,0)</f>
        <v>0</v>
      </c>
      <c r="U214" s="205">
        <f ca="1">IF(ISERROR(OFFSET(Bronzo!$A$1,MATCH(J214,Bronzo!$A:$A,0)-1,MATCH(K214,Bronzo!$A$1:$AA$1,0)-1)=TRUE),0,OFFSET(Bronzo!$A$1,MATCH(J214,Bronzo!$A:$A,0)-1,MATCH(K214,Bronzo!$A$1:$AA$1,0)-1))</f>
        <v>0</v>
      </c>
      <c r="V214" s="205">
        <f t="shared" ca="1" si="153"/>
        <v>0</v>
      </c>
      <c r="W214" s="204"/>
      <c r="X214" s="205">
        <v>0</v>
      </c>
      <c r="Y214" s="206">
        <f t="shared" ca="1" si="154"/>
        <v>1.3</v>
      </c>
      <c r="Z214" s="277">
        <f t="shared" si="155"/>
        <v>750</v>
      </c>
      <c r="AA214" s="203">
        <v>3.65</v>
      </c>
      <c r="AB214" s="203">
        <f t="shared" ca="1" si="156"/>
        <v>-4.000000000000048E-2</v>
      </c>
      <c r="AC214" s="238">
        <v>46034</v>
      </c>
      <c r="AI214" s="367">
        <f t="shared" ca="1" si="152"/>
        <v>46092</v>
      </c>
      <c r="AJ214" s="367" t="b">
        <f t="shared" si="144"/>
        <v>0</v>
      </c>
      <c r="AK214" s="370">
        <f t="shared" ca="1" si="145"/>
        <v>-58</v>
      </c>
      <c r="AN214">
        <f t="shared" si="146"/>
        <v>3</v>
      </c>
      <c r="AO214">
        <f t="shared" si="147"/>
        <v>2026</v>
      </c>
      <c r="AV214">
        <f t="shared" si="148"/>
        <v>1</v>
      </c>
      <c r="AW214">
        <f t="shared" si="149"/>
        <v>2026</v>
      </c>
    </row>
    <row r="215" spans="4:49" ht="15.75" x14ac:dyDescent="0.25">
      <c r="D215" s="199" t="s">
        <v>544</v>
      </c>
      <c r="E215" s="200" t="s">
        <v>210</v>
      </c>
      <c r="F215" s="287">
        <v>12500</v>
      </c>
      <c r="G215" s="201" t="s">
        <v>4</v>
      </c>
      <c r="H215" s="219">
        <v>2.39</v>
      </c>
      <c r="I215" s="202">
        <v>45964</v>
      </c>
      <c r="J215" s="200" t="s">
        <v>322</v>
      </c>
      <c r="K215" s="200"/>
      <c r="L215" s="203">
        <v>0.03</v>
      </c>
      <c r="M215" s="204">
        <f ca="1">IF(ISERROR(OFFSET(Tabella!$A$1,MATCH(J215,Tabella!$A:$A,0)-1,MATCH(L215,Tabella!$A$1:$AC$1,0)-1)=TRUE),0,+OFFSET(Tabella!$A$1,MATCH(J215,Tabella!$A:$A,0)-1,MATCH(L215,Tabella!$A$1:$AC$1,0)-1))</f>
        <v>0</v>
      </c>
      <c r="N215" s="205">
        <f ca="1">IF(ISERROR(OFFSET(Ottone!$A$1,MATCH(J215,Ottone!$A:$A,0)-1,MATCH(L215,Ottone!$A$1:$Z$1,0)-1)=TRUE),0,OFFSET(Ottone!$A$1,MATCH(J215,Ottone!$A:$A,0)-1,MATCH(L215,Ottone!$A$1:$Z$1,0)-1))*IF(G215="Ottone",1,0)</f>
        <v>0</v>
      </c>
      <c r="O215" s="205">
        <f ca="1">IF(ISERROR(OFFSET(Rame!$A$1,MATCH(J215,Rame!$A:$A,0)-1,MATCH(L215,Rame!$A$1:$AA$1,0)-1)=TRUE),0,OFFSET(Rame!$A$1,MATCH(J215,Rame!$A:$A,0)-1,MATCH(L215,Rame!$A$1:$AA$1,0)-1))*IF(G215="Rame",1,0)</f>
        <v>0</v>
      </c>
      <c r="P215" s="205">
        <v>0</v>
      </c>
      <c r="Q215" s="205">
        <v>1.3</v>
      </c>
      <c r="R215" s="205">
        <f ca="1">+IF(ISERROR(OFFSET(Tabella!$G$1,MATCH(J215,Tabella!$G:$G,0)-1,MATCH(K215,Tabella!$G$1:$FG$1,0)-1)=TRUE),0,OFFSET(Tabella!$G$1,MATCH(J215,Tabella!$G:$G,0)-1,MATCH(K215,Tabella!$G$1:$AB$1,0)-1))</f>
        <v>0</v>
      </c>
      <c r="S215" s="205">
        <f ca="1">IF(ISERROR(OFFSET(Ottone!$F$1,MATCH(J215,Ottone!$A:$A,0)-1,MATCH(K215,Ottone!$F$1:$FF$1,0)-1)=TRUE),0,OFFSET(Ottone!$F$1,MATCH(J215,Ottone!$A:$A,0)-1,MATCH(K215,Ottone!$F$1:$FF$1,0)-1))*IF(G215="Ottone",1,0)</f>
        <v>0</v>
      </c>
      <c r="T215" s="205">
        <f ca="1">IF(ISERROR(OFFSET(Rame!$F$1,MATCH(J215,Rame!$F:$F,0)-1,MATCH(K215,Rame!$F$1:$FF$1,0)-1)=TRUE),0,OFFSET(Rame!$F$1,MATCH(J215,Rame!$F:$F,0)-1,MATCH(K215,Rame!$F$1:$FF$1,0)-1))*IF(G215="Rame",1,0)</f>
        <v>0</v>
      </c>
      <c r="U215" s="205">
        <f ca="1">IF(ISERROR(OFFSET(Bronzo!$A$1,MATCH(J215,Bronzo!$A:$A,0)-1,MATCH(K215,Bronzo!$A$1:$AA$1,0)-1)=TRUE),0,OFFSET(Bronzo!$A$1,MATCH(J215,Bronzo!$A:$A,0)-1,MATCH(K215,Bronzo!$A$1:$AA$1,0)-1))</f>
        <v>0</v>
      </c>
      <c r="V215" s="205">
        <f t="shared" ca="1" si="153"/>
        <v>0</v>
      </c>
      <c r="W215" s="204"/>
      <c r="X215" s="205">
        <v>0</v>
      </c>
      <c r="Y215" s="206">
        <f t="shared" ca="1" si="154"/>
        <v>1.3</v>
      </c>
      <c r="Z215" s="277">
        <f t="shared" si="155"/>
        <v>375</v>
      </c>
      <c r="AA215" s="203">
        <v>3.65</v>
      </c>
      <c r="AB215" s="203">
        <f t="shared" ca="1" si="156"/>
        <v>-4.000000000000048E-2</v>
      </c>
      <c r="AC215" s="238">
        <v>46059</v>
      </c>
      <c r="AI215" s="367">
        <f t="shared" ca="1" si="152"/>
        <v>46092</v>
      </c>
      <c r="AJ215" s="367" t="b">
        <f t="shared" si="144"/>
        <v>0</v>
      </c>
      <c r="AK215" s="370">
        <f t="shared" ca="1" si="145"/>
        <v>-33</v>
      </c>
      <c r="AN215">
        <f t="shared" si="146"/>
        <v>6</v>
      </c>
      <c r="AO215">
        <f t="shared" si="147"/>
        <v>2026</v>
      </c>
      <c r="AV215">
        <f t="shared" si="148"/>
        <v>2</v>
      </c>
      <c r="AW215">
        <f t="shared" si="149"/>
        <v>2026</v>
      </c>
    </row>
    <row r="216" spans="4:49" ht="15.75" x14ac:dyDescent="0.25">
      <c r="D216" s="199" t="s">
        <v>532</v>
      </c>
      <c r="E216" s="200" t="s">
        <v>238</v>
      </c>
      <c r="F216" s="287">
        <v>400</v>
      </c>
      <c r="G216" s="201" t="s">
        <v>4</v>
      </c>
      <c r="H216" s="219">
        <v>2.4500000000000002</v>
      </c>
      <c r="I216" s="202">
        <v>45958</v>
      </c>
      <c r="J216" s="200" t="s">
        <v>25</v>
      </c>
      <c r="K216" s="200"/>
      <c r="L216" s="203">
        <v>7.0000000000000007E-2</v>
      </c>
      <c r="M216" s="204">
        <f ca="1">IF(ISERROR(OFFSET(Tabella!$A$1,MATCH(J216,Tabella!$A:$A,0)-1,MATCH(L216,Tabella!$A$1:$AC$1,0)-1)=TRUE),0,+OFFSET(Tabella!$A$1,MATCH(J216,Tabella!$A:$A,0)-1,MATCH(L216,Tabella!$A$1:$AC$1,0)-1))</f>
        <v>1.25</v>
      </c>
      <c r="N216" s="205">
        <f ca="1">IF(ISERROR(OFFSET(Ottone!$A$1,MATCH(J216,Ottone!$A:$A,0)-1,MATCH(L216,Ottone!$A$1:$Z$1,0)-1)=TRUE),0,OFFSET(Ottone!$A$1,MATCH(J216,Ottone!$A:$A,0)-1,MATCH(L216,Ottone!$A$1:$Z$1,0)-1))*IF(G216="Ottone",1,0)</f>
        <v>0</v>
      </c>
      <c r="O216" s="205">
        <f ca="1">IF(ISERROR(OFFSET(Rame!$A$1,MATCH(J216,Rame!$A:$A,0)-1,MATCH(L216,Rame!$A$1:$AA$1,0)-1)=TRUE),0,OFFSET(Rame!$A$1,MATCH(J216,Rame!$A:$A,0)-1,MATCH(L216,Rame!$A$1:$AA$1,0)-1))*IF(G216="Rame",1,0)</f>
        <v>0</v>
      </c>
      <c r="P216" s="205">
        <v>0</v>
      </c>
      <c r="Q216" s="205">
        <v>1.5</v>
      </c>
      <c r="R216" s="205">
        <f ca="1">+IF(ISERROR(OFFSET(Tabella!$G$1,MATCH(J216,Tabella!$G:$G,0)-1,MATCH(K216,Tabella!$G$1:$FG$1,0)-1)=TRUE),0,OFFSET(Tabella!$G$1,MATCH(J216,Tabella!$G:$G,0)-1,MATCH(K216,Tabella!$G$1:$AB$1,0)-1))</f>
        <v>0</v>
      </c>
      <c r="S216" s="205">
        <f ca="1">IF(ISERROR(OFFSET(Ottone!$F$1,MATCH(J216,Ottone!$A:$A,0)-1,MATCH(K216,Ottone!$F$1:$FF$1,0)-1)=TRUE),0,OFFSET(Ottone!$F$1,MATCH(J216,Ottone!$A:$A,0)-1,MATCH(K216,Ottone!$F$1:$FF$1,0)-1))*IF(G216="Ottone",1,0)</f>
        <v>0</v>
      </c>
      <c r="T216" s="205">
        <f ca="1">IF(ISERROR(OFFSET(Rame!$F$1,MATCH(J216,Rame!$F:$F,0)-1,MATCH(K216,Rame!$F$1:$FF$1,0)-1)=TRUE),0,OFFSET(Rame!$F$1,MATCH(J216,Rame!$F:$F,0)-1,MATCH(K216,Rame!$F$1:$FF$1,0)-1))*IF(G216="Rame",1,0)</f>
        <v>0</v>
      </c>
      <c r="U216" s="205">
        <f ca="1">IF(ISERROR(OFFSET(Bronzo!$A$1,MATCH(J216,Bronzo!$A:$A,0)-1,MATCH(K216,Bronzo!$A$1:$AA$1,0)-1)=TRUE),0,OFFSET(Bronzo!$A$1,MATCH(J216,Bronzo!$A:$A,0)-1,MATCH(K216,Bronzo!$A$1:$AA$1,0)-1))</f>
        <v>0</v>
      </c>
      <c r="V216" s="205">
        <f t="shared" ca="1" si="153"/>
        <v>0</v>
      </c>
      <c r="W216" s="204"/>
      <c r="X216" s="205">
        <v>0</v>
      </c>
      <c r="Y216" s="206">
        <f t="shared" ca="1" si="154"/>
        <v>1.5</v>
      </c>
      <c r="Z216" s="277">
        <f t="shared" si="155"/>
        <v>28.000000000000004</v>
      </c>
      <c r="AA216" s="203">
        <v>3.95</v>
      </c>
      <c r="AB216" s="203">
        <f t="shared" ca="1" si="156"/>
        <v>0</v>
      </c>
      <c r="AC216" s="238">
        <v>46001</v>
      </c>
      <c r="AI216" s="367">
        <f t="shared" ca="1" si="152"/>
        <v>46092</v>
      </c>
      <c r="AJ216" s="367" t="b">
        <f t="shared" si="144"/>
        <v>0</v>
      </c>
      <c r="AK216" s="370">
        <f t="shared" ca="1" si="145"/>
        <v>-91</v>
      </c>
      <c r="AN216">
        <f t="shared" si="146"/>
        <v>50</v>
      </c>
      <c r="AO216">
        <f t="shared" si="147"/>
        <v>2025</v>
      </c>
      <c r="AV216">
        <f t="shared" si="148"/>
        <v>12</v>
      </c>
      <c r="AW216">
        <f t="shared" si="149"/>
        <v>2025</v>
      </c>
    </row>
    <row r="217" spans="4:49" ht="15.75" x14ac:dyDescent="0.25">
      <c r="D217" s="199" t="s">
        <v>609</v>
      </c>
      <c r="E217" s="378" t="s">
        <v>207</v>
      </c>
      <c r="F217" s="379">
        <v>480</v>
      </c>
      <c r="G217" s="201" t="s">
        <v>6</v>
      </c>
      <c r="H217" s="219">
        <v>9.2200000000000006</v>
      </c>
      <c r="I217" s="202">
        <v>45966</v>
      </c>
      <c r="J217" s="200" t="s">
        <v>14</v>
      </c>
      <c r="K217" s="200"/>
      <c r="L217" s="203">
        <v>0.1</v>
      </c>
      <c r="M217" s="204">
        <f ca="1">IF(ISERROR(OFFSET(Tabella!$A$1,MATCH(J217,Tabella!$A:$A,0)-1,MATCH(L217,Tabella!$A$1:$AC$1,0)-1)=TRUE),0,+OFFSET(Tabella!$A$1,MATCH(J217,Tabella!$A:$A,0)-1,MATCH(L217,Tabella!$A$1:$AC$1,0)-1))</f>
        <v>0</v>
      </c>
      <c r="N217" s="205">
        <f ca="1">IF(ISERROR(OFFSET(Ottone!$A$1,MATCH(J217,Ottone!$A:$A,0)-1,MATCH(L217,Ottone!$A$1:$Z$1,0)-1)=TRUE),0,OFFSET(Ottone!$A$1,MATCH(J217,Ottone!$A:$A,0)-1,MATCH(L217,Ottone!$A$1:$Z$1,0)-1))*IF(G217="Ottone",1,0)</f>
        <v>0</v>
      </c>
      <c r="O217" s="205">
        <f ca="1">IF(ISERROR(OFFSET(Rame!$A$1,MATCH(J217,Rame!$A:$A,0)-1,MATCH(L217,Rame!$A$1:$AA$1,0)-1)=TRUE),0,OFFSET(Rame!$A$1,MATCH(J217,Rame!$A:$A,0)-1,MATCH(L217,Rame!$A$1:$AA$1,0)-1))*IF(G217="Rame",1,0)</f>
        <v>0.95</v>
      </c>
      <c r="P217" s="205">
        <v>0</v>
      </c>
      <c r="Q217" s="205">
        <f t="shared" ref="Q217:Q268" ca="1" si="157">SUM(M217:P217)</f>
        <v>0.95</v>
      </c>
      <c r="R217" s="205">
        <f ca="1">+IF(ISERROR(OFFSET(Tabella!$G$1,MATCH(J217,Tabella!$G:$G,0)-1,MATCH(K217,Tabella!$G$1:$FG$1,0)-1)=TRUE),0,OFFSET(Tabella!$G$1,MATCH(J217,Tabella!$G:$G,0)-1,MATCH(K217,Tabella!$G$1:$AB$1,0)-1))</f>
        <v>0</v>
      </c>
      <c r="S217" s="205">
        <f ca="1">IF(ISERROR(OFFSET(Ottone!$F$1,MATCH(J217,Ottone!$A:$A,0)-1,MATCH(K217,Ottone!$F$1:$FF$1,0)-1)=TRUE),0,OFFSET(Ottone!$F$1,MATCH(J217,Ottone!$A:$A,0)-1,MATCH(K217,Ottone!$F$1:$FF$1,0)-1))*IF(G217="Ottone",1,0)</f>
        <v>0</v>
      </c>
      <c r="T217" s="205">
        <f ca="1">IF(ISERROR(OFFSET(Rame!$F$1,MATCH(J217,Rame!$F:$F,0)-1,MATCH(K217,Rame!$F$1:$FF$1,0)-1)=TRUE),0,OFFSET(Rame!$F$1,MATCH(J217,Rame!$F:$F,0)-1,MATCH(K217,Rame!$F$1:$FF$1,0)-1))*IF(G217="Rame",1,0)</f>
        <v>0</v>
      </c>
      <c r="U217" s="205">
        <f ca="1">IF(ISERROR(OFFSET(Bronzo!$A$1,MATCH(J217,Bronzo!$A:$A,0)-1,MATCH(K217,Bronzo!$A$1:$AA$1,0)-1)=TRUE),0,OFFSET(Bronzo!$A$1,MATCH(J217,Bronzo!$A:$A,0)-1,MATCH(K217,Bronzo!$A$1:$AA$1,0)-1))</f>
        <v>0</v>
      </c>
      <c r="V217" s="205">
        <f t="shared" ca="1" si="153"/>
        <v>0</v>
      </c>
      <c r="W217" s="204"/>
      <c r="X217" s="205">
        <v>0</v>
      </c>
      <c r="Y217" s="206">
        <f t="shared" ca="1" si="154"/>
        <v>0.95</v>
      </c>
      <c r="Z217" s="380">
        <f t="shared" si="155"/>
        <v>48</v>
      </c>
      <c r="AA217" s="203">
        <v>12.75</v>
      </c>
      <c r="AB217" s="203">
        <f t="shared" ca="1" si="156"/>
        <v>2.58</v>
      </c>
      <c r="AC217" s="238"/>
      <c r="AG217" t="s">
        <v>404</v>
      </c>
      <c r="AI217" s="367">
        <f t="shared" ca="1" si="152"/>
        <v>46092</v>
      </c>
      <c r="AJ217" s="367" t="b">
        <f t="shared" si="144"/>
        <v>1</v>
      </c>
      <c r="AK217" s="370" t="str">
        <f t="shared" si="145"/>
        <v/>
      </c>
      <c r="AN217">
        <f t="shared" si="146"/>
        <v>0</v>
      </c>
      <c r="AO217">
        <f t="shared" si="147"/>
        <v>1900</v>
      </c>
      <c r="AV217">
        <f t="shared" si="148"/>
        <v>0</v>
      </c>
      <c r="AW217">
        <f t="shared" si="149"/>
        <v>0</v>
      </c>
    </row>
    <row r="218" spans="4:49" ht="15.75" x14ac:dyDescent="0.25">
      <c r="D218" s="199" t="s">
        <v>609</v>
      </c>
      <c r="E218" s="378" t="s">
        <v>207</v>
      </c>
      <c r="F218" s="379">
        <v>391</v>
      </c>
      <c r="G218" s="201" t="s">
        <v>6</v>
      </c>
      <c r="H218" s="219">
        <v>9.2200000000000006</v>
      </c>
      <c r="I218" s="202">
        <v>45966</v>
      </c>
      <c r="J218" s="200" t="s">
        <v>14</v>
      </c>
      <c r="K218" s="200"/>
      <c r="L218" s="203">
        <v>0.1</v>
      </c>
      <c r="M218" s="204">
        <f ca="1">IF(ISERROR(OFFSET(Tabella!$A$1,MATCH(J218,Tabella!$A:$A,0)-1,MATCH(L218,Tabella!$A$1:$AC$1,0)-1)=TRUE),0,+OFFSET(Tabella!$A$1,MATCH(J218,Tabella!$A:$A,0)-1,MATCH(L218,Tabella!$A$1:$AC$1,0)-1))</f>
        <v>0</v>
      </c>
      <c r="N218" s="205">
        <f ca="1">IF(ISERROR(OFFSET(Ottone!$A$1,MATCH(J218,Ottone!$A:$A,0)-1,MATCH(L218,Ottone!$A$1:$Z$1,0)-1)=TRUE),0,OFFSET(Ottone!$A$1,MATCH(J218,Ottone!$A:$A,0)-1,MATCH(L218,Ottone!$A$1:$Z$1,0)-1))*IF(G218="Ottone",1,0)</f>
        <v>0</v>
      </c>
      <c r="O218" s="205">
        <f ca="1">IF(ISERROR(OFFSET(Rame!$A$1,MATCH(J218,Rame!$A:$A,0)-1,MATCH(L218,Rame!$A$1:$AA$1,0)-1)=TRUE),0,OFFSET(Rame!$A$1,MATCH(J218,Rame!$A:$A,0)-1,MATCH(L218,Rame!$A$1:$AA$1,0)-1))*IF(G218="Rame",1,0)</f>
        <v>0.95</v>
      </c>
      <c r="P218" s="205">
        <v>0</v>
      </c>
      <c r="Q218" s="205">
        <f t="shared" ca="1" si="157"/>
        <v>0.95</v>
      </c>
      <c r="R218" s="205">
        <f ca="1">+IF(ISERROR(OFFSET(Tabella!$G$1,MATCH(J218,Tabella!$G:$G,0)-1,MATCH(K218,Tabella!$G$1:$FG$1,0)-1)=TRUE),0,OFFSET(Tabella!$G$1,MATCH(J218,Tabella!$G:$G,0)-1,MATCH(K218,Tabella!$G$1:$AB$1,0)-1))</f>
        <v>0</v>
      </c>
      <c r="S218" s="205">
        <f ca="1">IF(ISERROR(OFFSET(Ottone!$F$1,MATCH(J218,Ottone!$A:$A,0)-1,MATCH(K218,Ottone!$F$1:$FF$1,0)-1)=TRUE),0,OFFSET(Ottone!$F$1,MATCH(J218,Ottone!$A:$A,0)-1,MATCH(K218,Ottone!$F$1:$FF$1,0)-1))*IF(G218="Ottone",1,0)</f>
        <v>0</v>
      </c>
      <c r="T218" s="205">
        <f ca="1">IF(ISERROR(OFFSET(Rame!$F$1,MATCH(J218,Rame!$F:$F,0)-1,MATCH(K218,Rame!$F$1:$FF$1,0)-1)=TRUE),0,OFFSET(Rame!$F$1,MATCH(J218,Rame!$F:$F,0)-1,MATCH(K218,Rame!$F$1:$FF$1,0)-1))*IF(G218="Rame",1,0)</f>
        <v>0</v>
      </c>
      <c r="U218" s="205">
        <f ca="1">IF(ISERROR(OFFSET(Bronzo!$A$1,MATCH(J218,Bronzo!$A:$A,0)-1,MATCH(K218,Bronzo!$A$1:$AA$1,0)-1)=TRUE),0,OFFSET(Bronzo!$A$1,MATCH(J218,Bronzo!$A:$A,0)-1,MATCH(K218,Bronzo!$A$1:$AA$1,0)-1))</f>
        <v>0</v>
      </c>
      <c r="V218" s="205">
        <f t="shared" ca="1" si="153"/>
        <v>0</v>
      </c>
      <c r="W218" s="204"/>
      <c r="X218" s="205">
        <v>0</v>
      </c>
      <c r="Y218" s="206">
        <f t="shared" ca="1" si="154"/>
        <v>0.95</v>
      </c>
      <c r="Z218" s="380">
        <f t="shared" si="155"/>
        <v>39.1</v>
      </c>
      <c r="AA218" s="203">
        <v>12.85</v>
      </c>
      <c r="AB218" s="203">
        <f t="shared" ca="1" si="156"/>
        <v>2.6799999999999997</v>
      </c>
      <c r="AC218" s="238"/>
      <c r="AG218" t="s">
        <v>404</v>
      </c>
      <c r="AI218" s="367">
        <f t="shared" ca="1" si="152"/>
        <v>46092</v>
      </c>
      <c r="AJ218" s="367" t="b">
        <f t="shared" si="144"/>
        <v>1</v>
      </c>
      <c r="AK218" s="370" t="str">
        <f t="shared" si="145"/>
        <v/>
      </c>
      <c r="AN218">
        <f t="shared" si="146"/>
        <v>0</v>
      </c>
      <c r="AO218">
        <f t="shared" si="147"/>
        <v>1900</v>
      </c>
      <c r="AV218">
        <f t="shared" si="148"/>
        <v>0</v>
      </c>
      <c r="AW218">
        <f t="shared" si="149"/>
        <v>0</v>
      </c>
    </row>
    <row r="219" spans="4:49" ht="15.75" x14ac:dyDescent="0.25">
      <c r="D219" s="199" t="s">
        <v>609</v>
      </c>
      <c r="E219" s="378" t="s">
        <v>207</v>
      </c>
      <c r="F219" s="379">
        <v>323</v>
      </c>
      <c r="G219" s="201" t="s">
        <v>6</v>
      </c>
      <c r="H219" s="219">
        <v>9.2200000000000006</v>
      </c>
      <c r="I219" s="202">
        <v>45966</v>
      </c>
      <c r="J219" s="200" t="s">
        <v>14</v>
      </c>
      <c r="K219" s="200"/>
      <c r="L219" s="203">
        <v>0.1</v>
      </c>
      <c r="M219" s="204">
        <f ca="1">IF(ISERROR(OFFSET(Tabella!$A$1,MATCH(J219,Tabella!$A:$A,0)-1,MATCH(L219,Tabella!$A$1:$AC$1,0)-1)=TRUE),0,+OFFSET(Tabella!$A$1,MATCH(J219,Tabella!$A:$A,0)-1,MATCH(L219,Tabella!$A$1:$AC$1,0)-1))</f>
        <v>0</v>
      </c>
      <c r="N219" s="205">
        <f ca="1">IF(ISERROR(OFFSET(Ottone!$A$1,MATCH(J219,Ottone!$A:$A,0)-1,MATCH(L219,Ottone!$A$1:$Z$1,0)-1)=TRUE),0,OFFSET(Ottone!$A$1,MATCH(J219,Ottone!$A:$A,0)-1,MATCH(L219,Ottone!$A$1:$Z$1,0)-1))*IF(G219="Ottone",1,0)</f>
        <v>0</v>
      </c>
      <c r="O219" s="205">
        <f ca="1">IF(ISERROR(OFFSET(Rame!$A$1,MATCH(J219,Rame!$A:$A,0)-1,MATCH(L219,Rame!$A$1:$AA$1,0)-1)=TRUE),0,OFFSET(Rame!$A$1,MATCH(J219,Rame!$A:$A,0)-1,MATCH(L219,Rame!$A$1:$AA$1,0)-1))*IF(G219="Rame",1,0)</f>
        <v>0.95</v>
      </c>
      <c r="P219" s="205">
        <v>0</v>
      </c>
      <c r="Q219" s="205">
        <f t="shared" ca="1" si="157"/>
        <v>0.95</v>
      </c>
      <c r="R219" s="205">
        <f ca="1">+IF(ISERROR(OFFSET(Tabella!$G$1,MATCH(J219,Tabella!$G:$G,0)-1,MATCH(K219,Tabella!$G$1:$FG$1,0)-1)=TRUE),0,OFFSET(Tabella!$G$1,MATCH(J219,Tabella!$G:$G,0)-1,MATCH(K219,Tabella!$G$1:$AB$1,0)-1))</f>
        <v>0</v>
      </c>
      <c r="S219" s="205">
        <f ca="1">IF(ISERROR(OFFSET(Ottone!$F$1,MATCH(J219,Ottone!$A:$A,0)-1,MATCH(K219,Ottone!$F$1:$FF$1,0)-1)=TRUE),0,OFFSET(Ottone!$F$1,MATCH(J219,Ottone!$A:$A,0)-1,MATCH(K219,Ottone!$F$1:$FF$1,0)-1))*IF(G219="Ottone",1,0)</f>
        <v>0</v>
      </c>
      <c r="T219" s="205">
        <f ca="1">IF(ISERROR(OFFSET(Rame!$F$1,MATCH(J219,Rame!$F:$F,0)-1,MATCH(K219,Rame!$F$1:$FF$1,0)-1)=TRUE),0,OFFSET(Rame!$F$1,MATCH(J219,Rame!$F:$F,0)-1,MATCH(K219,Rame!$F$1:$FF$1,0)-1))*IF(G219="Rame",1,0)</f>
        <v>0</v>
      </c>
      <c r="U219" s="205">
        <f ca="1">IF(ISERROR(OFFSET(Bronzo!$A$1,MATCH(J219,Bronzo!$A:$A,0)-1,MATCH(K219,Bronzo!$A$1:$AA$1,0)-1)=TRUE),0,OFFSET(Bronzo!$A$1,MATCH(J219,Bronzo!$A:$A,0)-1,MATCH(K219,Bronzo!$A$1:$AA$1,0)-1))</f>
        <v>0</v>
      </c>
      <c r="V219" s="205">
        <f t="shared" ca="1" si="153"/>
        <v>0</v>
      </c>
      <c r="W219" s="204"/>
      <c r="X219" s="205">
        <v>0</v>
      </c>
      <c r="Y219" s="206">
        <f t="shared" ca="1" si="154"/>
        <v>0.95</v>
      </c>
      <c r="Z219" s="380">
        <f t="shared" si="155"/>
        <v>32.300000000000004</v>
      </c>
      <c r="AA219" s="203">
        <v>12.75</v>
      </c>
      <c r="AB219" s="203">
        <f t="shared" ca="1" si="156"/>
        <v>2.58</v>
      </c>
      <c r="AC219" s="238"/>
      <c r="AG219" t="s">
        <v>404</v>
      </c>
      <c r="AI219" s="367">
        <f t="shared" ca="1" si="152"/>
        <v>46092</v>
      </c>
      <c r="AJ219" s="367" t="b">
        <f t="shared" si="144"/>
        <v>1</v>
      </c>
      <c r="AK219" s="370" t="str">
        <f t="shared" si="145"/>
        <v/>
      </c>
      <c r="AN219">
        <f t="shared" si="146"/>
        <v>0</v>
      </c>
      <c r="AO219">
        <f t="shared" si="147"/>
        <v>1900</v>
      </c>
      <c r="AV219">
        <f t="shared" si="148"/>
        <v>0</v>
      </c>
      <c r="AW219">
        <f t="shared" si="149"/>
        <v>0</v>
      </c>
    </row>
    <row r="220" spans="4:49" ht="15.75" x14ac:dyDescent="0.25">
      <c r="D220" s="199" t="s">
        <v>609</v>
      </c>
      <c r="E220" s="378" t="s">
        <v>207</v>
      </c>
      <c r="F220" s="379">
        <v>328</v>
      </c>
      <c r="G220" s="201" t="s">
        <v>6</v>
      </c>
      <c r="H220" s="219">
        <v>9.2200000000000006</v>
      </c>
      <c r="I220" s="202">
        <v>45966</v>
      </c>
      <c r="J220" s="200" t="s">
        <v>18</v>
      </c>
      <c r="K220" s="200"/>
      <c r="L220" s="203">
        <v>0.1</v>
      </c>
      <c r="M220" s="204">
        <f ca="1">IF(ISERROR(OFFSET(Tabella!$A$1,MATCH(J220,Tabella!$A:$A,0)-1,MATCH(L220,Tabella!$A$1:$AC$1,0)-1)=TRUE),0,+OFFSET(Tabella!$A$1,MATCH(J220,Tabella!$A:$A,0)-1,MATCH(L220,Tabella!$A$1:$AC$1,0)-1))</f>
        <v>0</v>
      </c>
      <c r="N220" s="205">
        <f ca="1">IF(ISERROR(OFFSET(Ottone!$A$1,MATCH(J220,Ottone!$A:$A,0)-1,MATCH(L220,Ottone!$A$1:$Z$1,0)-1)=TRUE),0,OFFSET(Ottone!$A$1,MATCH(J220,Ottone!$A:$A,0)-1,MATCH(L220,Ottone!$A$1:$Z$1,0)-1))*IF(G220="Ottone",1,0)</f>
        <v>0</v>
      </c>
      <c r="O220" s="205">
        <f ca="1">IF(ISERROR(OFFSET(Rame!$A$1,MATCH(J220,Rame!$A:$A,0)-1,MATCH(L220,Rame!$A$1:$AA$1,0)-1)=TRUE),0,OFFSET(Rame!$A$1,MATCH(J220,Rame!$A:$A,0)-1,MATCH(L220,Rame!$A$1:$AA$1,0)-1))*IF(G220="Rame",1,0)</f>
        <v>0.78</v>
      </c>
      <c r="P220" s="205">
        <v>0</v>
      </c>
      <c r="Q220" s="205">
        <f t="shared" ca="1" si="157"/>
        <v>0.78</v>
      </c>
      <c r="R220" s="205">
        <f ca="1">+IF(ISERROR(OFFSET(Tabella!$G$1,MATCH(J220,Tabella!$G:$G,0)-1,MATCH(K220,Tabella!$G$1:$FG$1,0)-1)=TRUE),0,OFFSET(Tabella!$G$1,MATCH(J220,Tabella!$G:$G,0)-1,MATCH(K220,Tabella!$G$1:$AB$1,0)-1))</f>
        <v>0</v>
      </c>
      <c r="S220" s="205">
        <f ca="1">IF(ISERROR(OFFSET(Ottone!$F$1,MATCH(J220,Ottone!$A:$A,0)-1,MATCH(K220,Ottone!$F$1:$FF$1,0)-1)=TRUE),0,OFFSET(Ottone!$F$1,MATCH(J220,Ottone!$A:$A,0)-1,MATCH(K220,Ottone!$F$1:$FF$1,0)-1))*IF(G220="Ottone",1,0)</f>
        <v>0</v>
      </c>
      <c r="T220" s="205">
        <f ca="1">IF(ISERROR(OFFSET(Rame!$F$1,MATCH(J220,Rame!$F:$F,0)-1,MATCH(K220,Rame!$F$1:$FF$1,0)-1)=TRUE),0,OFFSET(Rame!$F$1,MATCH(J220,Rame!$F:$F,0)-1,MATCH(K220,Rame!$F$1:$FF$1,0)-1))*IF(G220="Rame",1,0)</f>
        <v>0</v>
      </c>
      <c r="U220" s="205">
        <f ca="1">IF(ISERROR(OFFSET(Bronzo!$A$1,MATCH(J220,Bronzo!$A:$A,0)-1,MATCH(K220,Bronzo!$A$1:$AA$1,0)-1)=TRUE),0,OFFSET(Bronzo!$A$1,MATCH(J220,Bronzo!$A:$A,0)-1,MATCH(K220,Bronzo!$A$1:$AA$1,0)-1))</f>
        <v>0</v>
      </c>
      <c r="V220" s="205">
        <f t="shared" ca="1" si="153"/>
        <v>0</v>
      </c>
      <c r="W220" s="204"/>
      <c r="X220" s="205">
        <v>0</v>
      </c>
      <c r="Y220" s="206">
        <f t="shared" ca="1" si="154"/>
        <v>0.78</v>
      </c>
      <c r="Z220" s="380">
        <f t="shared" si="155"/>
        <v>32.800000000000004</v>
      </c>
      <c r="AA220" s="203">
        <v>12.75</v>
      </c>
      <c r="AB220" s="203">
        <f t="shared" ca="1" si="156"/>
        <v>2.75</v>
      </c>
      <c r="AC220" s="238"/>
      <c r="AG220" t="s">
        <v>404</v>
      </c>
      <c r="AI220" s="367">
        <f t="shared" ca="1" si="152"/>
        <v>46092</v>
      </c>
      <c r="AJ220" s="367" t="b">
        <f t="shared" si="144"/>
        <v>1</v>
      </c>
      <c r="AK220" s="370" t="str">
        <f t="shared" si="145"/>
        <v/>
      </c>
      <c r="AN220">
        <f t="shared" si="146"/>
        <v>0</v>
      </c>
      <c r="AO220">
        <f t="shared" si="147"/>
        <v>1900</v>
      </c>
      <c r="AV220">
        <f t="shared" si="148"/>
        <v>0</v>
      </c>
      <c r="AW220">
        <f t="shared" si="149"/>
        <v>0</v>
      </c>
    </row>
    <row r="221" spans="4:49" ht="15.75" x14ac:dyDescent="0.25">
      <c r="D221" s="199" t="s">
        <v>552</v>
      </c>
      <c r="E221" s="200" t="s">
        <v>592</v>
      </c>
      <c r="F221" s="287">
        <v>500</v>
      </c>
      <c r="G221" s="201" t="s">
        <v>5</v>
      </c>
      <c r="H221" s="219">
        <v>8.59</v>
      </c>
      <c r="I221" s="202">
        <v>45966</v>
      </c>
      <c r="J221" s="200" t="s">
        <v>20</v>
      </c>
      <c r="K221" s="200"/>
      <c r="L221" s="203">
        <v>0.15</v>
      </c>
      <c r="M221" s="204">
        <f ca="1">IF(ISERROR(OFFSET(Tabella!$A$1,MATCH(J221,Tabella!$A:$A,0)-1,MATCH(L221,Tabella!$A$1:$AC$1,0)-1)=TRUE),0,+OFFSET(Tabella!$A$1,MATCH(J221,Tabella!$A:$A,0)-1,MATCH(L221,Tabella!$A$1:$AC$1,0)-1))</f>
        <v>0</v>
      </c>
      <c r="N221" s="205">
        <f ca="1">IF(ISERROR(OFFSET(Ottone!$A$1,MATCH(J221,Ottone!$A:$A,0)-1,MATCH(L221,Ottone!$A$1:$Z$1,0)-1)=TRUE),0,OFFSET(Ottone!$A$1,MATCH(J221,Ottone!$A:$A,0)-1,MATCH(L221,Ottone!$A$1:$Z$1,0)-1))*IF(G221="Ottone",1,0)</f>
        <v>0.8</v>
      </c>
      <c r="O221" s="205">
        <f ca="1">IF(ISERROR(OFFSET(Rame!$A$1,MATCH(J221,Rame!$A:$A,0)-1,MATCH(L221,Rame!$A$1:$AA$1,0)-1)=TRUE),0,OFFSET(Rame!$A$1,MATCH(J221,Rame!$A:$A,0)-1,MATCH(L221,Rame!$A$1:$AA$1,0)-1))*IF(G221="Rame",1,0)</f>
        <v>0</v>
      </c>
      <c r="P221" s="205">
        <v>0</v>
      </c>
      <c r="Q221" s="205">
        <f t="shared" ca="1" si="157"/>
        <v>0.8</v>
      </c>
      <c r="R221" s="205">
        <f ca="1">+IF(ISERROR(OFFSET(Tabella!$G$1,MATCH(J221,Tabella!$G:$G,0)-1,MATCH(K221,Tabella!$G$1:$FG$1,0)-1)=TRUE),0,OFFSET(Tabella!$G$1,MATCH(J221,Tabella!$G:$G,0)-1,MATCH(K221,Tabella!$G$1:$AB$1,0)-1))</f>
        <v>0</v>
      </c>
      <c r="S221" s="205">
        <f ca="1">IF(ISERROR(OFFSET(Ottone!$F$1,MATCH(J221,Ottone!$A:$A,0)-1,MATCH(K221,Ottone!$F$1:$FF$1,0)-1)=TRUE),0,OFFSET(Ottone!$F$1,MATCH(J221,Ottone!$A:$A,0)-1,MATCH(K221,Ottone!$F$1:$FF$1,0)-1))*IF(G221="Ottone",1,0)</f>
        <v>0</v>
      </c>
      <c r="T221" s="205">
        <f ca="1">IF(ISERROR(OFFSET(Rame!$F$1,MATCH(J221,Rame!$F:$F,0)-1,MATCH(K221,Rame!$F$1:$FF$1,0)-1)=TRUE),0,OFFSET(Rame!$F$1,MATCH(J221,Rame!$F:$F,0)-1,MATCH(K221,Rame!$F$1:$FF$1,0)-1))*IF(G221="Rame",1,0)</f>
        <v>0</v>
      </c>
      <c r="U221" s="205">
        <f ca="1">IF(ISERROR(OFFSET(Bronzo!$A$1,MATCH(J221,Bronzo!$A:$A,0)-1,MATCH(K221,Bronzo!$A$1:$AA$1,0)-1)=TRUE),0,OFFSET(Bronzo!$A$1,MATCH(J221,Bronzo!$A:$A,0)-1,MATCH(K221,Bronzo!$A$1:$AA$1,0)-1))</f>
        <v>0</v>
      </c>
      <c r="V221" s="205">
        <f t="shared" ca="1" si="153"/>
        <v>0</v>
      </c>
      <c r="W221" s="204"/>
      <c r="X221" s="205">
        <v>0</v>
      </c>
      <c r="Y221" s="206">
        <f t="shared" ca="1" si="154"/>
        <v>0.8</v>
      </c>
      <c r="Z221" s="277">
        <f t="shared" si="155"/>
        <v>75</v>
      </c>
      <c r="AA221" s="203">
        <v>10.64</v>
      </c>
      <c r="AB221" s="203">
        <f t="shared" ca="1" si="156"/>
        <v>1.25</v>
      </c>
      <c r="AC221" s="238">
        <v>46010</v>
      </c>
      <c r="AI221" s="367">
        <f t="shared" ca="1" si="152"/>
        <v>46092</v>
      </c>
      <c r="AJ221" s="367" t="b">
        <f t="shared" si="144"/>
        <v>0</v>
      </c>
      <c r="AK221" s="370">
        <f t="shared" ca="1" si="145"/>
        <v>-82</v>
      </c>
      <c r="AN221">
        <f t="shared" si="146"/>
        <v>51</v>
      </c>
      <c r="AO221">
        <f t="shared" si="147"/>
        <v>2025</v>
      </c>
      <c r="AV221">
        <f t="shared" si="148"/>
        <v>12</v>
      </c>
      <c r="AW221">
        <f t="shared" si="149"/>
        <v>2025</v>
      </c>
    </row>
    <row r="222" spans="4:49" ht="15.75" x14ac:dyDescent="0.25">
      <c r="D222" s="199" t="s">
        <v>541</v>
      </c>
      <c r="E222" s="200" t="s">
        <v>521</v>
      </c>
      <c r="F222" s="287">
        <v>500</v>
      </c>
      <c r="G222" s="201" t="s">
        <v>6</v>
      </c>
      <c r="H222" s="219">
        <v>9.24</v>
      </c>
      <c r="I222" s="202">
        <v>45966</v>
      </c>
      <c r="J222" s="200" t="s">
        <v>20</v>
      </c>
      <c r="K222" s="200"/>
      <c r="L222" s="203">
        <v>0.15</v>
      </c>
      <c r="M222" s="204">
        <f ca="1">IF(ISERROR(OFFSET(Tabella!$A$1,MATCH(J222,Tabella!$A:$A,0)-1,MATCH(L222,Tabella!$A$1:$AC$1,0)-1)=TRUE),0,+OFFSET(Tabella!$A$1,MATCH(J222,Tabella!$A:$A,0)-1,MATCH(L222,Tabella!$A$1:$AC$1,0)-1))</f>
        <v>0</v>
      </c>
      <c r="N222" s="205">
        <f ca="1">IF(ISERROR(OFFSET(Ottone!$A$1,MATCH(J222,Ottone!$A:$A,0)-1,MATCH(L222,Ottone!$A$1:$Z$1,0)-1)=TRUE),0,OFFSET(Ottone!$A$1,MATCH(J222,Ottone!$A:$A,0)-1,MATCH(L222,Ottone!$A$1:$Z$1,0)-1))*IF(G222="Ottone",1,0)</f>
        <v>0</v>
      </c>
      <c r="O222" s="205">
        <f ca="1">IF(ISERROR(OFFSET(Rame!$A$1,MATCH(J222,Rame!$A:$A,0)-1,MATCH(L222,Rame!$A$1:$AA$1,0)-1)=TRUE),0,OFFSET(Rame!$A$1,MATCH(J222,Rame!$A:$A,0)-1,MATCH(L222,Rame!$A$1:$AA$1,0)-1))*IF(G222="Rame",1,0)</f>
        <v>1</v>
      </c>
      <c r="P222" s="205">
        <v>0</v>
      </c>
      <c r="Q222" s="205">
        <f t="shared" ca="1" si="157"/>
        <v>1</v>
      </c>
      <c r="R222" s="205">
        <f ca="1">+IF(ISERROR(OFFSET(Tabella!$G$1,MATCH(J222,Tabella!$G:$G,0)-1,MATCH(K222,Tabella!$G$1:$FG$1,0)-1)=TRUE),0,OFFSET(Tabella!$G$1,MATCH(J222,Tabella!$G:$G,0)-1,MATCH(K222,Tabella!$G$1:$AB$1,0)-1))</f>
        <v>0</v>
      </c>
      <c r="S222" s="205">
        <f ca="1">IF(ISERROR(OFFSET(Ottone!$F$1,MATCH(J222,Ottone!$A:$A,0)-1,MATCH(K222,Ottone!$F$1:$FF$1,0)-1)=TRUE),0,OFFSET(Ottone!$F$1,MATCH(J222,Ottone!$A:$A,0)-1,MATCH(K222,Ottone!$F$1:$FF$1,0)-1))*IF(G222="Ottone",1,0)</f>
        <v>0</v>
      </c>
      <c r="T222" s="205">
        <f ca="1">IF(ISERROR(OFFSET(Rame!$F$1,MATCH(J222,Rame!$F:$F,0)-1,MATCH(K222,Rame!$F$1:$FF$1,0)-1)=TRUE),0,OFFSET(Rame!$F$1,MATCH(J222,Rame!$F:$F,0)-1,MATCH(K222,Rame!$F$1:$FF$1,0)-1))*IF(G222="Rame",1,0)</f>
        <v>0</v>
      </c>
      <c r="U222" s="205">
        <f ca="1">IF(ISERROR(OFFSET(Bronzo!$A$1,MATCH(J222,Bronzo!$A:$A,0)-1,MATCH(K222,Bronzo!$A$1:$AA$1,0)-1)=TRUE),0,OFFSET(Bronzo!$A$1,MATCH(J222,Bronzo!$A:$A,0)-1,MATCH(K222,Bronzo!$A$1:$AA$1,0)-1))</f>
        <v>0</v>
      </c>
      <c r="V222" s="205">
        <f t="shared" ca="1" si="153"/>
        <v>0</v>
      </c>
      <c r="W222" s="204"/>
      <c r="X222" s="205">
        <v>0</v>
      </c>
      <c r="Y222" s="206">
        <f t="shared" ca="1" si="154"/>
        <v>1</v>
      </c>
      <c r="Z222" s="277">
        <f t="shared" si="155"/>
        <v>75</v>
      </c>
      <c r="AA222" s="203">
        <v>12.84</v>
      </c>
      <c r="AB222" s="203">
        <f t="shared" ca="1" si="156"/>
        <v>2.5999999999999996</v>
      </c>
      <c r="AC222" s="238">
        <v>46001</v>
      </c>
      <c r="AI222" s="367">
        <f t="shared" ca="1" si="152"/>
        <v>46092</v>
      </c>
      <c r="AJ222" s="367" t="b">
        <f t="shared" ref="AJ222:AJ285" si="158">ISBLANK(AC222)</f>
        <v>0</v>
      </c>
      <c r="AK222" s="370">
        <f t="shared" ref="AK222:AK285" ca="1" si="159">IF(AJ222=FALSE,_xlfn.DAYS(AC222,AI222),"")</f>
        <v>-91</v>
      </c>
      <c r="AN222">
        <f t="shared" ref="AN222:AN285" si="160">WEEKNUM(AC222)</f>
        <v>50</v>
      </c>
      <c r="AO222">
        <f t="shared" ref="AO222:AO285" si="161">YEAR(AC222)</f>
        <v>2025</v>
      </c>
      <c r="AV222">
        <f t="shared" ref="AV222:AV285" si="162">IF(AC222="",0,MONTH(AC222))</f>
        <v>12</v>
      </c>
      <c r="AW222">
        <f t="shared" ref="AW222:AW285" si="163">IF(AC222="",0,YEAR(AC222))</f>
        <v>2025</v>
      </c>
    </row>
    <row r="223" spans="4:49" ht="15.75" x14ac:dyDescent="0.25">
      <c r="D223" s="199" t="s">
        <v>577</v>
      </c>
      <c r="E223" s="200" t="s">
        <v>330</v>
      </c>
      <c r="F223" s="287">
        <v>2000</v>
      </c>
      <c r="G223" s="201" t="s">
        <v>4</v>
      </c>
      <c r="H223" s="381">
        <v>1.6</v>
      </c>
      <c r="I223" s="202">
        <v>45964</v>
      </c>
      <c r="J223" s="200" t="s">
        <v>26</v>
      </c>
      <c r="K223" s="200"/>
      <c r="L223" s="203">
        <v>7.0000000000000007E-2</v>
      </c>
      <c r="M223" s="204">
        <f ca="1">IF(ISERROR(OFFSET(Tabella!$A$1,MATCH(J223,Tabella!$A:$A,0)-1,MATCH(L223,Tabella!$A$1:$AC$1,0)-1)=TRUE),0,+OFFSET(Tabella!$A$1,MATCH(J223,Tabella!$A:$A,0)-1,MATCH(L223,Tabella!$A$1:$AC$1,0)-1))</f>
        <v>1.25</v>
      </c>
      <c r="N223" s="205">
        <f ca="1">IF(ISERROR(OFFSET(Ottone!$A$1,MATCH(J223,Ottone!$A:$A,0)-1,MATCH(L223,Ottone!$A$1:$Z$1,0)-1)=TRUE),0,OFFSET(Ottone!$A$1,MATCH(J223,Ottone!$A:$A,0)-1,MATCH(L223,Ottone!$A$1:$Z$1,0)-1))*IF(G223="Ottone",1,0)</f>
        <v>0</v>
      </c>
      <c r="O223" s="205">
        <f ca="1">IF(ISERROR(OFFSET(Rame!$A$1,MATCH(J223,Rame!$A:$A,0)-1,MATCH(L223,Rame!$A$1:$AA$1,0)-1)=TRUE),0,OFFSET(Rame!$A$1,MATCH(J223,Rame!$A:$A,0)-1,MATCH(L223,Rame!$A$1:$AA$1,0)-1))*IF(G223="Rame",1,0)</f>
        <v>0</v>
      </c>
      <c r="P223" s="205">
        <v>0</v>
      </c>
      <c r="Q223" s="205">
        <f t="shared" ca="1" si="157"/>
        <v>1.25</v>
      </c>
      <c r="R223" s="205">
        <f ca="1">+IF(ISERROR(OFFSET(Tabella!$G$1,MATCH(J223,Tabella!$G:$G,0)-1,MATCH(K223,Tabella!$G$1:$FG$1,0)-1)=TRUE),0,OFFSET(Tabella!$G$1,MATCH(J223,Tabella!$G:$G,0)-1,MATCH(K223,Tabella!$G$1:$AB$1,0)-1))</f>
        <v>0</v>
      </c>
      <c r="S223" s="205">
        <f ca="1">IF(ISERROR(OFFSET(Ottone!$F$1,MATCH(J223,Ottone!$A:$A,0)-1,MATCH(K223,Ottone!$F$1:$FF$1,0)-1)=TRUE),0,OFFSET(Ottone!$F$1,MATCH(J223,Ottone!$A:$A,0)-1,MATCH(K223,Ottone!$F$1:$FF$1,0)-1))*IF(G223="Ottone",1,0)</f>
        <v>0</v>
      </c>
      <c r="T223" s="205">
        <f ca="1">IF(ISERROR(OFFSET(Rame!$F$1,MATCH(J223,Rame!$F:$F,0)-1,MATCH(K223,Rame!$F$1:$FF$1,0)-1)=TRUE),0,OFFSET(Rame!$F$1,MATCH(J223,Rame!$F:$F,0)-1,MATCH(K223,Rame!$F$1:$FF$1,0)-1))*IF(G223="Rame",1,0)</f>
        <v>0</v>
      </c>
      <c r="U223" s="205">
        <f ca="1">IF(ISERROR(OFFSET(Bronzo!$A$1,MATCH(J223,Bronzo!$A:$A,0)-1,MATCH(K223,Bronzo!$A$1:$AA$1,0)-1)=TRUE),0,OFFSET(Bronzo!$A$1,MATCH(J223,Bronzo!$A:$A,0)-1,MATCH(K223,Bronzo!$A$1:$AA$1,0)-1))</f>
        <v>0</v>
      </c>
      <c r="V223" s="205">
        <f t="shared" ca="1" si="153"/>
        <v>0</v>
      </c>
      <c r="W223" s="204"/>
      <c r="X223" s="205">
        <v>0</v>
      </c>
      <c r="Y223" s="206">
        <f t="shared" ca="1" si="154"/>
        <v>1.25</v>
      </c>
      <c r="Z223" s="277">
        <f t="shared" si="155"/>
        <v>140</v>
      </c>
      <c r="AA223" s="382">
        <v>1.6</v>
      </c>
      <c r="AB223" s="203">
        <f t="shared" ca="1" si="156"/>
        <v>-1.25</v>
      </c>
      <c r="AC223" s="238">
        <v>46037</v>
      </c>
      <c r="AI223" s="367">
        <f t="shared" ca="1" si="152"/>
        <v>46092</v>
      </c>
      <c r="AJ223" s="367" t="b">
        <f t="shared" si="158"/>
        <v>0</v>
      </c>
      <c r="AK223" s="370">
        <f t="shared" ca="1" si="159"/>
        <v>-55</v>
      </c>
      <c r="AN223">
        <f t="shared" si="160"/>
        <v>3</v>
      </c>
      <c r="AO223">
        <f t="shared" si="161"/>
        <v>2026</v>
      </c>
      <c r="AV223">
        <f t="shared" si="162"/>
        <v>1</v>
      </c>
      <c r="AW223">
        <f t="shared" si="163"/>
        <v>2026</v>
      </c>
    </row>
    <row r="224" spans="4:49" ht="15.75" x14ac:dyDescent="0.25">
      <c r="D224" s="199" t="s">
        <v>578</v>
      </c>
      <c r="E224" s="200" t="s">
        <v>92</v>
      </c>
      <c r="F224" s="287">
        <v>2000</v>
      </c>
      <c r="G224" s="201" t="s">
        <v>4</v>
      </c>
      <c r="H224" s="219">
        <v>2.4700000000000002</v>
      </c>
      <c r="I224" s="202">
        <v>45967</v>
      </c>
      <c r="J224" s="200" t="s">
        <v>19</v>
      </c>
      <c r="K224" s="200"/>
      <c r="L224" s="203">
        <v>7.0000000000000007E-2</v>
      </c>
      <c r="M224" s="204">
        <f ca="1">IF(ISERROR(OFFSET(Tabella!$A$1,MATCH(J224,Tabella!$A:$A,0)-1,MATCH(L224,Tabella!$A$1:$AC$1,0)-1)=TRUE),0,+OFFSET(Tabella!$A$1,MATCH(J224,Tabella!$A:$A,0)-1,MATCH(L224,Tabella!$A$1:$AC$1,0)-1))</f>
        <v>1.35</v>
      </c>
      <c r="N224" s="205">
        <f ca="1">IF(ISERROR(OFFSET(Ottone!$A$1,MATCH(J224,Ottone!$A:$A,0)-1,MATCH(L224,Ottone!$A$1:$Z$1,0)-1)=TRUE),0,OFFSET(Ottone!$A$1,MATCH(J224,Ottone!$A:$A,0)-1,MATCH(L224,Ottone!$A$1:$Z$1,0)-1))*IF(G224="Ottone",1,0)</f>
        <v>0</v>
      </c>
      <c r="O224" s="205">
        <f ca="1">IF(ISERROR(OFFSET(Rame!$A$1,MATCH(J224,Rame!$A:$A,0)-1,MATCH(L224,Rame!$A$1:$AA$1,0)-1)=TRUE),0,OFFSET(Rame!$A$1,MATCH(J224,Rame!$A:$A,0)-1,MATCH(L224,Rame!$A$1:$AA$1,0)-1))*IF(G224="Rame",1,0)</f>
        <v>0</v>
      </c>
      <c r="P224" s="205">
        <v>0</v>
      </c>
      <c r="Q224" s="205">
        <f t="shared" ca="1" si="157"/>
        <v>1.35</v>
      </c>
      <c r="R224" s="205">
        <f ca="1">+IF(ISERROR(OFFSET(Tabella!$G$1,MATCH(J224,Tabella!$G:$G,0)-1,MATCH(K224,Tabella!$G$1:$FG$1,0)-1)=TRUE),0,OFFSET(Tabella!$G$1,MATCH(J224,Tabella!$G:$G,0)-1,MATCH(K224,Tabella!$G$1:$AB$1,0)-1))</f>
        <v>0</v>
      </c>
      <c r="S224" s="205">
        <f ca="1">IF(ISERROR(OFFSET(Ottone!$F$1,MATCH(J224,Ottone!$A:$A,0)-1,MATCH(K224,Ottone!$F$1:$FF$1,0)-1)=TRUE),0,OFFSET(Ottone!$F$1,MATCH(J224,Ottone!$A:$A,0)-1,MATCH(K224,Ottone!$F$1:$FF$1,0)-1))*IF(G224="Ottone",1,0)</f>
        <v>0</v>
      </c>
      <c r="T224" s="205">
        <f ca="1">IF(ISERROR(OFFSET(Rame!$F$1,MATCH(J224,Rame!$F:$F,0)-1,MATCH(K224,Rame!$F$1:$FF$1,0)-1)=TRUE),0,OFFSET(Rame!$F$1,MATCH(J224,Rame!$F:$F,0)-1,MATCH(K224,Rame!$F$1:$FF$1,0)-1))*IF(G224="Rame",1,0)</f>
        <v>0</v>
      </c>
      <c r="U224" s="205">
        <f ca="1">IF(ISERROR(OFFSET(Bronzo!$A$1,MATCH(J224,Bronzo!$A:$A,0)-1,MATCH(K224,Bronzo!$A$1:$AA$1,0)-1)=TRUE),0,OFFSET(Bronzo!$A$1,MATCH(J224,Bronzo!$A:$A,0)-1,MATCH(K224,Bronzo!$A$1:$AA$1,0)-1))</f>
        <v>0</v>
      </c>
      <c r="V224" s="205">
        <f t="shared" ca="1" si="153"/>
        <v>0</v>
      </c>
      <c r="W224" s="204"/>
      <c r="X224" s="205">
        <v>0</v>
      </c>
      <c r="Y224" s="206">
        <f t="shared" ca="1" si="154"/>
        <v>1.35</v>
      </c>
      <c r="Z224" s="277">
        <f t="shared" si="155"/>
        <v>140</v>
      </c>
      <c r="AA224" s="203">
        <v>4.0199999999999996</v>
      </c>
      <c r="AB224" s="203">
        <f t="shared" ca="1" si="156"/>
        <v>0.19999999999999929</v>
      </c>
      <c r="AC224" s="238">
        <v>46037</v>
      </c>
      <c r="AI224" s="367">
        <f t="shared" ca="1" si="152"/>
        <v>46092</v>
      </c>
      <c r="AJ224" s="367" t="b">
        <f t="shared" si="158"/>
        <v>0</v>
      </c>
      <c r="AK224" s="370">
        <f t="shared" ca="1" si="159"/>
        <v>-55</v>
      </c>
      <c r="AN224">
        <f t="shared" si="160"/>
        <v>3</v>
      </c>
      <c r="AO224">
        <f t="shared" si="161"/>
        <v>2026</v>
      </c>
      <c r="AV224">
        <f t="shared" si="162"/>
        <v>1</v>
      </c>
      <c r="AW224">
        <f t="shared" si="163"/>
        <v>2026</v>
      </c>
    </row>
    <row r="225" spans="4:49" ht="15.75" x14ac:dyDescent="0.25">
      <c r="D225" s="199" t="s">
        <v>578</v>
      </c>
      <c r="E225" s="200" t="s">
        <v>92</v>
      </c>
      <c r="F225" s="287">
        <v>2000</v>
      </c>
      <c r="G225" s="201" t="s">
        <v>4</v>
      </c>
      <c r="H225" s="219">
        <v>2.4700000000000002</v>
      </c>
      <c r="I225" s="202">
        <v>45967</v>
      </c>
      <c r="J225" s="200" t="s">
        <v>21</v>
      </c>
      <c r="K225" s="200"/>
      <c r="L225" s="203">
        <v>7.0000000000000007E-2</v>
      </c>
      <c r="M225" s="204">
        <f ca="1">IF(ISERROR(OFFSET(Tabella!$A$1,MATCH(J225,Tabella!$A:$A,0)-1,MATCH(L225,Tabella!$A$1:$AC$1,0)-1)=TRUE),0,+OFFSET(Tabella!$A$1,MATCH(J225,Tabella!$A:$A,0)-1,MATCH(L225,Tabella!$A$1:$AC$1,0)-1))</f>
        <v>1.25</v>
      </c>
      <c r="N225" s="205">
        <f ca="1">IF(ISERROR(OFFSET(Ottone!$A$1,MATCH(J225,Ottone!$A:$A,0)-1,MATCH(L225,Ottone!$A$1:$Z$1,0)-1)=TRUE),0,OFFSET(Ottone!$A$1,MATCH(J225,Ottone!$A:$A,0)-1,MATCH(L225,Ottone!$A$1:$Z$1,0)-1))*IF(G225="Ottone",1,0)</f>
        <v>0</v>
      </c>
      <c r="O225" s="205">
        <f ca="1">IF(ISERROR(OFFSET(Rame!$A$1,MATCH(J225,Rame!$A:$A,0)-1,MATCH(L225,Rame!$A$1:$AA$1,0)-1)=TRUE),0,OFFSET(Rame!$A$1,MATCH(J225,Rame!$A:$A,0)-1,MATCH(L225,Rame!$A$1:$AA$1,0)-1))*IF(G225="Rame",1,0)</f>
        <v>0</v>
      </c>
      <c r="P225" s="205">
        <v>0</v>
      </c>
      <c r="Q225" s="205">
        <f t="shared" ca="1" si="157"/>
        <v>1.25</v>
      </c>
      <c r="R225" s="205">
        <f ca="1">+IF(ISERROR(OFFSET(Tabella!$G$1,MATCH(J225,Tabella!$G:$G,0)-1,MATCH(K225,Tabella!$G$1:$FG$1,0)-1)=TRUE),0,OFFSET(Tabella!$G$1,MATCH(J225,Tabella!$G:$G,0)-1,MATCH(K225,Tabella!$G$1:$AB$1,0)-1))</f>
        <v>0</v>
      </c>
      <c r="S225" s="205">
        <f ca="1">IF(ISERROR(OFFSET(Ottone!$F$1,MATCH(J225,Ottone!$A:$A,0)-1,MATCH(K225,Ottone!$F$1:$FF$1,0)-1)=TRUE),0,OFFSET(Ottone!$F$1,MATCH(J225,Ottone!$A:$A,0)-1,MATCH(K225,Ottone!$F$1:$FF$1,0)-1))*IF(G225="Ottone",1,0)</f>
        <v>0</v>
      </c>
      <c r="T225" s="205">
        <f ca="1">IF(ISERROR(OFFSET(Rame!$F$1,MATCH(J225,Rame!$F:$F,0)-1,MATCH(K225,Rame!$F$1:$FF$1,0)-1)=TRUE),0,OFFSET(Rame!$F$1,MATCH(J225,Rame!$F:$F,0)-1,MATCH(K225,Rame!$F$1:$FF$1,0)-1))*IF(G225="Rame",1,0)</f>
        <v>0</v>
      </c>
      <c r="U225" s="205">
        <f ca="1">IF(ISERROR(OFFSET(Bronzo!$A$1,MATCH(J225,Bronzo!$A:$A,0)-1,MATCH(K225,Bronzo!$A$1:$AA$1,0)-1)=TRUE),0,OFFSET(Bronzo!$A$1,MATCH(J225,Bronzo!$A:$A,0)-1,MATCH(K225,Bronzo!$A$1:$AA$1,0)-1))</f>
        <v>0</v>
      </c>
      <c r="V225" s="205">
        <f t="shared" ca="1" si="153"/>
        <v>0</v>
      </c>
      <c r="W225" s="204"/>
      <c r="X225" s="205">
        <v>0</v>
      </c>
      <c r="Y225" s="206">
        <f t="shared" ca="1" si="154"/>
        <v>1.25</v>
      </c>
      <c r="Z225" s="277">
        <f t="shared" si="155"/>
        <v>140</v>
      </c>
      <c r="AA225" s="203">
        <v>3.97</v>
      </c>
      <c r="AB225" s="203">
        <f t="shared" ca="1" si="156"/>
        <v>0.25</v>
      </c>
      <c r="AC225" s="238">
        <v>46037</v>
      </c>
      <c r="AI225" s="367">
        <f t="shared" ca="1" si="152"/>
        <v>46092</v>
      </c>
      <c r="AJ225" s="367" t="b">
        <f t="shared" si="158"/>
        <v>0</v>
      </c>
      <c r="AK225" s="370">
        <f t="shared" ca="1" si="159"/>
        <v>-55</v>
      </c>
      <c r="AN225">
        <f t="shared" si="160"/>
        <v>3</v>
      </c>
      <c r="AO225">
        <f t="shared" si="161"/>
        <v>2026</v>
      </c>
      <c r="AV225">
        <f t="shared" si="162"/>
        <v>1</v>
      </c>
      <c r="AW225">
        <f t="shared" si="163"/>
        <v>2026</v>
      </c>
    </row>
    <row r="226" spans="4:49" ht="15.75" x14ac:dyDescent="0.25">
      <c r="D226" s="199" t="s">
        <v>578</v>
      </c>
      <c r="E226" s="200" t="s">
        <v>92</v>
      </c>
      <c r="F226" s="287">
        <v>4500</v>
      </c>
      <c r="G226" s="201" t="s">
        <v>4</v>
      </c>
      <c r="H226" s="219">
        <v>2.4700000000000002</v>
      </c>
      <c r="I226" s="202">
        <v>45967</v>
      </c>
      <c r="J226" s="200" t="s">
        <v>24</v>
      </c>
      <c r="K226" s="200"/>
      <c r="L226" s="203">
        <v>7.0000000000000007E-2</v>
      </c>
      <c r="M226" s="204">
        <f ca="1">IF(ISERROR(OFFSET(Tabella!$A$1,MATCH(J226,Tabella!$A:$A,0)-1,MATCH(L226,Tabella!$A$1:$AC$1,0)-1)=TRUE),0,+OFFSET(Tabella!$A$1,MATCH(J226,Tabella!$A:$A,0)-1,MATCH(L226,Tabella!$A$1:$AC$1,0)-1))</f>
        <v>1.25</v>
      </c>
      <c r="N226" s="205">
        <f ca="1">IF(ISERROR(OFFSET(Ottone!$A$1,MATCH(J226,Ottone!$A:$A,0)-1,MATCH(L226,Ottone!$A$1:$Z$1,0)-1)=TRUE),0,OFFSET(Ottone!$A$1,MATCH(J226,Ottone!$A:$A,0)-1,MATCH(L226,Ottone!$A$1:$Z$1,0)-1))*IF(G226="Ottone",1,0)</f>
        <v>0</v>
      </c>
      <c r="O226" s="205">
        <f ca="1">IF(ISERROR(OFFSET(Rame!$A$1,MATCH(J226,Rame!$A:$A,0)-1,MATCH(L226,Rame!$A$1:$AA$1,0)-1)=TRUE),0,OFFSET(Rame!$A$1,MATCH(J226,Rame!$A:$A,0)-1,MATCH(L226,Rame!$A$1:$AA$1,0)-1))*IF(G226="Rame",1,0)</f>
        <v>0</v>
      </c>
      <c r="P226" s="205">
        <v>0</v>
      </c>
      <c r="Q226" s="205">
        <f t="shared" ca="1" si="157"/>
        <v>1.25</v>
      </c>
      <c r="R226" s="205">
        <f ca="1">+IF(ISERROR(OFFSET(Tabella!$G$1,MATCH(J226,Tabella!$G:$G,0)-1,MATCH(K226,Tabella!$G$1:$FG$1,0)-1)=TRUE),0,OFFSET(Tabella!$G$1,MATCH(J226,Tabella!$G:$G,0)-1,MATCH(K226,Tabella!$G$1:$AB$1,0)-1))</f>
        <v>0</v>
      </c>
      <c r="S226" s="205">
        <f ca="1">IF(ISERROR(OFFSET(Ottone!$F$1,MATCH(J226,Ottone!$A:$A,0)-1,MATCH(K226,Ottone!$F$1:$FF$1,0)-1)=TRUE),0,OFFSET(Ottone!$F$1,MATCH(J226,Ottone!$A:$A,0)-1,MATCH(K226,Ottone!$F$1:$FF$1,0)-1))*IF(G226="Ottone",1,0)</f>
        <v>0</v>
      </c>
      <c r="T226" s="205">
        <f ca="1">IF(ISERROR(OFFSET(Rame!$F$1,MATCH(J226,Rame!$F:$F,0)-1,MATCH(K226,Rame!$F$1:$FF$1,0)-1)=TRUE),0,OFFSET(Rame!$F$1,MATCH(J226,Rame!$F:$F,0)-1,MATCH(K226,Rame!$F$1:$FF$1,0)-1))*IF(G226="Rame",1,0)</f>
        <v>0</v>
      </c>
      <c r="U226" s="205">
        <f ca="1">IF(ISERROR(OFFSET(Bronzo!$A$1,MATCH(J226,Bronzo!$A:$A,0)-1,MATCH(K226,Bronzo!$A$1:$AA$1,0)-1)=TRUE),0,OFFSET(Bronzo!$A$1,MATCH(J226,Bronzo!$A:$A,0)-1,MATCH(K226,Bronzo!$A$1:$AA$1,0)-1))</f>
        <v>0</v>
      </c>
      <c r="V226" s="205">
        <f t="shared" ca="1" si="153"/>
        <v>0</v>
      </c>
      <c r="W226" s="204"/>
      <c r="X226" s="205">
        <v>0</v>
      </c>
      <c r="Y226" s="206">
        <f t="shared" ca="1" si="154"/>
        <v>1.25</v>
      </c>
      <c r="Z226" s="277">
        <f t="shared" si="155"/>
        <v>315.00000000000006</v>
      </c>
      <c r="AA226" s="203">
        <v>3.97</v>
      </c>
      <c r="AB226" s="203">
        <f t="shared" ca="1" si="156"/>
        <v>0.25</v>
      </c>
      <c r="AC226" s="238">
        <v>46037</v>
      </c>
      <c r="AI226" s="367">
        <f t="shared" ca="1" si="152"/>
        <v>46092</v>
      </c>
      <c r="AJ226" s="367" t="b">
        <f t="shared" si="158"/>
        <v>0</v>
      </c>
      <c r="AK226" s="370">
        <f t="shared" ca="1" si="159"/>
        <v>-55</v>
      </c>
      <c r="AN226">
        <f t="shared" si="160"/>
        <v>3</v>
      </c>
      <c r="AO226">
        <f t="shared" si="161"/>
        <v>2026</v>
      </c>
      <c r="AV226">
        <f t="shared" si="162"/>
        <v>1</v>
      </c>
      <c r="AW226">
        <f t="shared" si="163"/>
        <v>2026</v>
      </c>
    </row>
    <row r="227" spans="4:49" ht="15.75" x14ac:dyDescent="0.25">
      <c r="D227" s="199" t="s">
        <v>578</v>
      </c>
      <c r="E227" s="200" t="s">
        <v>92</v>
      </c>
      <c r="F227" s="287">
        <v>8000</v>
      </c>
      <c r="G227" s="201" t="s">
        <v>4</v>
      </c>
      <c r="H227" s="219">
        <v>2.4700000000000002</v>
      </c>
      <c r="I227" s="202">
        <v>45967</v>
      </c>
      <c r="J227" s="200" t="s">
        <v>315</v>
      </c>
      <c r="K227" s="200"/>
      <c r="L227" s="203">
        <v>7.0000000000000007E-2</v>
      </c>
      <c r="M227" s="204">
        <f ca="1">IF(ISERROR(OFFSET(Tabella!$A$1,MATCH(J227,Tabella!$A:$A,0)-1,MATCH(L227,Tabella!$A$1:$AC$1,0)-1)=TRUE),0,+OFFSET(Tabella!$A$1,MATCH(J227,Tabella!$A:$A,0)-1,MATCH(L227,Tabella!$A$1:$AC$1,0)-1))</f>
        <v>1.25</v>
      </c>
      <c r="N227" s="205">
        <f ca="1">IF(ISERROR(OFFSET(Ottone!$A$1,MATCH(J227,Ottone!$A:$A,0)-1,MATCH(L227,Ottone!$A$1:$Z$1,0)-1)=TRUE),0,OFFSET(Ottone!$A$1,MATCH(J227,Ottone!$A:$A,0)-1,MATCH(L227,Ottone!$A$1:$Z$1,0)-1))*IF(G227="Ottone",1,0)</f>
        <v>0</v>
      </c>
      <c r="O227" s="205">
        <f ca="1">IF(ISERROR(OFFSET(Rame!$A$1,MATCH(J227,Rame!$A:$A,0)-1,MATCH(L227,Rame!$A$1:$AA$1,0)-1)=TRUE),0,OFFSET(Rame!$A$1,MATCH(J227,Rame!$A:$A,0)-1,MATCH(L227,Rame!$A$1:$AA$1,0)-1))*IF(G227="Rame",1,0)</f>
        <v>0</v>
      </c>
      <c r="P227" s="205">
        <v>0</v>
      </c>
      <c r="Q227" s="205">
        <f t="shared" ca="1" si="157"/>
        <v>1.25</v>
      </c>
      <c r="R227" s="205">
        <f ca="1">+IF(ISERROR(OFFSET(Tabella!$G$1,MATCH(J227,Tabella!$G:$G,0)-1,MATCH(K227,Tabella!$G$1:$FG$1,0)-1)=TRUE),0,OFFSET(Tabella!$G$1,MATCH(J227,Tabella!$G:$G,0)-1,MATCH(K227,Tabella!$G$1:$AB$1,0)-1))</f>
        <v>0</v>
      </c>
      <c r="S227" s="205">
        <f ca="1">IF(ISERROR(OFFSET(Ottone!$F$1,MATCH(J227,Ottone!$A:$A,0)-1,MATCH(K227,Ottone!$F$1:$FF$1,0)-1)=TRUE),0,OFFSET(Ottone!$F$1,MATCH(J227,Ottone!$A:$A,0)-1,MATCH(K227,Ottone!$F$1:$FF$1,0)-1))*IF(G227="Ottone",1,0)</f>
        <v>0</v>
      </c>
      <c r="T227" s="205">
        <f ca="1">IF(ISERROR(OFFSET(Rame!$F$1,MATCH(J227,Rame!$F:$F,0)-1,MATCH(K227,Rame!$F$1:$FF$1,0)-1)=TRUE),0,OFFSET(Rame!$F$1,MATCH(J227,Rame!$F:$F,0)-1,MATCH(K227,Rame!$F$1:$FF$1,0)-1))*IF(G227="Rame",1,0)</f>
        <v>0</v>
      </c>
      <c r="U227" s="205">
        <f ca="1">IF(ISERROR(OFFSET(Bronzo!$A$1,MATCH(J227,Bronzo!$A:$A,0)-1,MATCH(K227,Bronzo!$A$1:$AA$1,0)-1)=TRUE),0,OFFSET(Bronzo!$A$1,MATCH(J227,Bronzo!$A:$A,0)-1,MATCH(K227,Bronzo!$A$1:$AA$1,0)-1))</f>
        <v>0</v>
      </c>
      <c r="V227" s="205">
        <f t="shared" ca="1" si="153"/>
        <v>0</v>
      </c>
      <c r="W227" s="204"/>
      <c r="X227" s="205">
        <v>0</v>
      </c>
      <c r="Y227" s="206">
        <f t="shared" ca="1" si="154"/>
        <v>1.25</v>
      </c>
      <c r="Z227" s="277">
        <f t="shared" si="155"/>
        <v>560</v>
      </c>
      <c r="AA227" s="203">
        <v>3.97</v>
      </c>
      <c r="AB227" s="203">
        <f t="shared" ca="1" si="156"/>
        <v>0.25</v>
      </c>
      <c r="AC227" s="238">
        <v>46037</v>
      </c>
      <c r="AI227" s="367">
        <f t="shared" ca="1" si="152"/>
        <v>46092</v>
      </c>
      <c r="AJ227" s="367" t="b">
        <f t="shared" si="158"/>
        <v>0</v>
      </c>
      <c r="AK227" s="370">
        <f t="shared" ca="1" si="159"/>
        <v>-55</v>
      </c>
      <c r="AN227">
        <f t="shared" si="160"/>
        <v>3</v>
      </c>
      <c r="AO227">
        <f t="shared" si="161"/>
        <v>2026</v>
      </c>
      <c r="AV227">
        <f t="shared" si="162"/>
        <v>1</v>
      </c>
      <c r="AW227">
        <f t="shared" si="163"/>
        <v>2026</v>
      </c>
    </row>
    <row r="228" spans="4:49" ht="15.75" x14ac:dyDescent="0.25">
      <c r="D228" s="199" t="s">
        <v>578</v>
      </c>
      <c r="E228" s="200" t="s">
        <v>92</v>
      </c>
      <c r="F228" s="287">
        <v>500</v>
      </c>
      <c r="G228" s="201" t="s">
        <v>4</v>
      </c>
      <c r="H228" s="219">
        <v>2.4700000000000002</v>
      </c>
      <c r="I228" s="202">
        <v>45967</v>
      </c>
      <c r="J228" s="200" t="s">
        <v>28</v>
      </c>
      <c r="K228" s="200"/>
      <c r="L228" s="203">
        <v>7.0000000000000007E-2</v>
      </c>
      <c r="M228" s="204">
        <f ca="1">IF(ISERROR(OFFSET(Tabella!$A$1,MATCH(J228,Tabella!$A:$A,0)-1,MATCH(L228,Tabella!$A$1:$AC$1,0)-1)=TRUE),0,+OFFSET(Tabella!$A$1,MATCH(J228,Tabella!$A:$A,0)-1,MATCH(L228,Tabella!$A$1:$AC$1,0)-1))</f>
        <v>1.25</v>
      </c>
      <c r="N228" s="205">
        <f ca="1">IF(ISERROR(OFFSET(Ottone!$A$1,MATCH(J228,Ottone!$A:$A,0)-1,MATCH(L228,Ottone!$A$1:$Z$1,0)-1)=TRUE),0,OFFSET(Ottone!$A$1,MATCH(J228,Ottone!$A:$A,0)-1,MATCH(L228,Ottone!$A$1:$Z$1,0)-1))*IF(G228="Ottone",1,0)</f>
        <v>0</v>
      </c>
      <c r="O228" s="205">
        <f ca="1">IF(ISERROR(OFFSET(Rame!$A$1,MATCH(J228,Rame!$A:$A,0)-1,MATCH(L228,Rame!$A$1:$AA$1,0)-1)=TRUE),0,OFFSET(Rame!$A$1,MATCH(J228,Rame!$A:$A,0)-1,MATCH(L228,Rame!$A$1:$AA$1,0)-1))*IF(G228="Rame",1,0)</f>
        <v>0</v>
      </c>
      <c r="P228" s="205">
        <v>0</v>
      </c>
      <c r="Q228" s="205">
        <f t="shared" ca="1" si="157"/>
        <v>1.25</v>
      </c>
      <c r="R228" s="205">
        <f ca="1">+IF(ISERROR(OFFSET(Tabella!$G$1,MATCH(J228,Tabella!$G:$G,0)-1,MATCH(K228,Tabella!$G$1:$FG$1,0)-1)=TRUE),0,OFFSET(Tabella!$G$1,MATCH(J228,Tabella!$G:$G,0)-1,MATCH(K228,Tabella!$G$1:$AB$1,0)-1))</f>
        <v>0</v>
      </c>
      <c r="S228" s="205">
        <f ca="1">IF(ISERROR(OFFSET(Ottone!$F$1,MATCH(J228,Ottone!$A:$A,0)-1,MATCH(K228,Ottone!$F$1:$FF$1,0)-1)=TRUE),0,OFFSET(Ottone!$F$1,MATCH(J228,Ottone!$A:$A,0)-1,MATCH(K228,Ottone!$F$1:$FF$1,0)-1))*IF(G228="Ottone",1,0)</f>
        <v>0</v>
      </c>
      <c r="T228" s="205">
        <f ca="1">IF(ISERROR(OFFSET(Rame!$F$1,MATCH(J228,Rame!$F:$F,0)-1,MATCH(K228,Rame!$F$1:$FF$1,0)-1)=TRUE),0,OFFSET(Rame!$F$1,MATCH(J228,Rame!$F:$F,0)-1,MATCH(K228,Rame!$F$1:$FF$1,0)-1))*IF(G228="Rame",1,0)</f>
        <v>0</v>
      </c>
      <c r="U228" s="205">
        <f ca="1">IF(ISERROR(OFFSET(Bronzo!$A$1,MATCH(J228,Bronzo!$A:$A,0)-1,MATCH(K228,Bronzo!$A$1:$AA$1,0)-1)=TRUE),0,OFFSET(Bronzo!$A$1,MATCH(J228,Bronzo!$A:$A,0)-1,MATCH(K228,Bronzo!$A$1:$AA$1,0)-1))</f>
        <v>0</v>
      </c>
      <c r="V228" s="205">
        <f t="shared" ca="1" si="153"/>
        <v>0</v>
      </c>
      <c r="W228" s="204"/>
      <c r="X228" s="205">
        <v>0</v>
      </c>
      <c r="Y228" s="206">
        <f t="shared" ca="1" si="154"/>
        <v>1.25</v>
      </c>
      <c r="Z228" s="277">
        <f t="shared" si="155"/>
        <v>35</v>
      </c>
      <c r="AA228" s="203">
        <v>3.97</v>
      </c>
      <c r="AB228" s="203">
        <f t="shared" ca="1" si="156"/>
        <v>0.25</v>
      </c>
      <c r="AC228" s="238">
        <v>46037</v>
      </c>
      <c r="AI228" s="367">
        <f t="shared" ca="1" si="152"/>
        <v>46092</v>
      </c>
      <c r="AJ228" s="367" t="b">
        <f t="shared" si="158"/>
        <v>0</v>
      </c>
      <c r="AK228" s="370">
        <f t="shared" ca="1" si="159"/>
        <v>-55</v>
      </c>
      <c r="AN228">
        <f t="shared" si="160"/>
        <v>3</v>
      </c>
      <c r="AO228">
        <f t="shared" si="161"/>
        <v>2026</v>
      </c>
      <c r="AV228">
        <f t="shared" si="162"/>
        <v>1</v>
      </c>
      <c r="AW228">
        <f t="shared" si="163"/>
        <v>2026</v>
      </c>
    </row>
    <row r="229" spans="4:49" ht="15.75" x14ac:dyDescent="0.25">
      <c r="D229" s="199" t="s">
        <v>650</v>
      </c>
      <c r="E229" s="378" t="s">
        <v>421</v>
      </c>
      <c r="F229" s="379">
        <v>540</v>
      </c>
      <c r="G229" s="201" t="s">
        <v>4</v>
      </c>
      <c r="H229" s="219">
        <v>2.4700000000000002</v>
      </c>
      <c r="I229" s="202">
        <v>45968</v>
      </c>
      <c r="J229" s="200" t="s">
        <v>23</v>
      </c>
      <c r="K229" s="200"/>
      <c r="L229" s="203">
        <v>7.0000000000000007E-2</v>
      </c>
      <c r="M229" s="204">
        <f ca="1">IF(ISERROR(OFFSET(Tabella!$A$1,MATCH(J229,Tabella!$A:$A,0)-1,MATCH(L229,Tabella!$A$1:$AC$1,0)-1)=TRUE),0,+OFFSET(Tabella!$A$1,MATCH(J229,Tabella!$A:$A,0)-1,MATCH(L229,Tabella!$A$1:$AC$1,0)-1))</f>
        <v>1.25</v>
      </c>
      <c r="N229" s="205">
        <f ca="1">IF(ISERROR(OFFSET(Ottone!$A$1,MATCH(J229,Ottone!$A:$A,0)-1,MATCH(L229,Ottone!$A$1:$Z$1,0)-1)=TRUE),0,OFFSET(Ottone!$A$1,MATCH(J229,Ottone!$A:$A,0)-1,MATCH(L229,Ottone!$A$1:$Z$1,0)-1))*IF(G229="Ottone",1,0)</f>
        <v>0</v>
      </c>
      <c r="O229" s="205">
        <f ca="1">IF(ISERROR(OFFSET(Rame!$A$1,MATCH(J229,Rame!$A:$A,0)-1,MATCH(L229,Rame!$A$1:$AA$1,0)-1)=TRUE),0,OFFSET(Rame!$A$1,MATCH(J229,Rame!$A:$A,0)-1,MATCH(L229,Rame!$A$1:$AA$1,0)-1))*IF(G229="Rame",1,0)</f>
        <v>0</v>
      </c>
      <c r="P229" s="205">
        <v>0</v>
      </c>
      <c r="Q229" s="205">
        <f t="shared" ca="1" si="157"/>
        <v>1.25</v>
      </c>
      <c r="R229" s="205">
        <f ca="1">+IF(ISERROR(OFFSET(Tabella!$G$1,MATCH(J229,Tabella!$G:$G,0)-1,MATCH(K229,Tabella!$G$1:$FG$1,0)-1)=TRUE),0,OFFSET(Tabella!$G$1,MATCH(J229,Tabella!$G:$G,0)-1,MATCH(K229,Tabella!$G$1:$AB$1,0)-1))</f>
        <v>0</v>
      </c>
      <c r="S229" s="205">
        <f ca="1">IF(ISERROR(OFFSET(Ottone!$F$1,MATCH(J229,Ottone!$A:$A,0)-1,MATCH(K229,Ottone!$F$1:$FF$1,0)-1)=TRUE),0,OFFSET(Ottone!$F$1,MATCH(J229,Ottone!$A:$A,0)-1,MATCH(K229,Ottone!$F$1:$FF$1,0)-1))*IF(G229="Ottone",1,0)</f>
        <v>0</v>
      </c>
      <c r="T229" s="205">
        <f ca="1">IF(ISERROR(OFFSET(Rame!$F$1,MATCH(J229,Rame!$F:$F,0)-1,MATCH(K229,Rame!$F$1:$FF$1,0)-1)=TRUE),0,OFFSET(Rame!$F$1,MATCH(J229,Rame!$F:$F,0)-1,MATCH(K229,Rame!$F$1:$FF$1,0)-1))*IF(G229="Rame",1,0)</f>
        <v>0</v>
      </c>
      <c r="U229" s="205">
        <f ca="1">IF(ISERROR(OFFSET(Bronzo!$A$1,MATCH(J229,Bronzo!$A:$A,0)-1,MATCH(K229,Bronzo!$A$1:$AA$1,0)-1)=TRUE),0,OFFSET(Bronzo!$A$1,MATCH(J229,Bronzo!$A:$A,0)-1,MATCH(K229,Bronzo!$A$1:$AA$1,0)-1))</f>
        <v>0</v>
      </c>
      <c r="V229" s="205">
        <f t="shared" ca="1" si="153"/>
        <v>0</v>
      </c>
      <c r="W229" s="204"/>
      <c r="X229" s="205">
        <v>0</v>
      </c>
      <c r="Y229" s="206">
        <f t="shared" ca="1" si="154"/>
        <v>1.25</v>
      </c>
      <c r="Z229" s="380">
        <f t="shared" si="155"/>
        <v>37.800000000000004</v>
      </c>
      <c r="AA229" s="203">
        <v>3.97</v>
      </c>
      <c r="AB229" s="203">
        <f t="shared" ca="1" si="156"/>
        <v>0.25</v>
      </c>
      <c r="AC229" s="238"/>
      <c r="AG229" t="s">
        <v>404</v>
      </c>
      <c r="AI229" s="367">
        <f t="shared" ca="1" si="152"/>
        <v>46092</v>
      </c>
      <c r="AJ229" s="367" t="b">
        <f t="shared" si="158"/>
        <v>1</v>
      </c>
      <c r="AK229" s="370" t="str">
        <f t="shared" si="159"/>
        <v/>
      </c>
      <c r="AN229">
        <f t="shared" si="160"/>
        <v>0</v>
      </c>
      <c r="AO229">
        <f t="shared" si="161"/>
        <v>1900</v>
      </c>
      <c r="AV229">
        <f t="shared" si="162"/>
        <v>0</v>
      </c>
      <c r="AW229">
        <f t="shared" si="163"/>
        <v>0</v>
      </c>
    </row>
    <row r="230" spans="4:49" ht="15.75" x14ac:dyDescent="0.25">
      <c r="D230" s="199" t="s">
        <v>542</v>
      </c>
      <c r="E230" s="200" t="s">
        <v>212</v>
      </c>
      <c r="F230" s="287">
        <v>250</v>
      </c>
      <c r="G230" s="201" t="s">
        <v>6</v>
      </c>
      <c r="H230" s="219">
        <v>9.27</v>
      </c>
      <c r="I230" s="202">
        <v>45971</v>
      </c>
      <c r="J230" s="200" t="s">
        <v>14</v>
      </c>
      <c r="K230" s="200"/>
      <c r="L230" s="203">
        <v>0.1</v>
      </c>
      <c r="M230" s="204">
        <f ca="1">IF(ISERROR(OFFSET(Tabella!$A$1,MATCH(J230,Tabella!$A:$A,0)-1,MATCH(L230,Tabella!$A$1:$AC$1,0)-1)=TRUE),0,+OFFSET(Tabella!$A$1,MATCH(J230,Tabella!$A:$A,0)-1,MATCH(L230,Tabella!$A$1:$AC$1,0)-1))</f>
        <v>0</v>
      </c>
      <c r="N230" s="205">
        <f ca="1">IF(ISERROR(OFFSET(Ottone!$A$1,MATCH(J230,Ottone!$A:$A,0)-1,MATCH(L230,Ottone!$A$1:$Z$1,0)-1)=TRUE),0,OFFSET(Ottone!$A$1,MATCH(J230,Ottone!$A:$A,0)-1,MATCH(L230,Ottone!$A$1:$Z$1,0)-1))*IF(G230="Ottone",1,0)</f>
        <v>0</v>
      </c>
      <c r="O230" s="205">
        <f ca="1">IF(ISERROR(OFFSET(Rame!$A$1,MATCH(J230,Rame!$A:$A,0)-1,MATCH(L230,Rame!$A$1:$AA$1,0)-1)=TRUE),0,OFFSET(Rame!$A$1,MATCH(J230,Rame!$A:$A,0)-1,MATCH(L230,Rame!$A$1:$AA$1,0)-1))*IF(G230="Rame",1,0)</f>
        <v>0.95</v>
      </c>
      <c r="P230" s="205">
        <v>0</v>
      </c>
      <c r="Q230" s="205">
        <f t="shared" ca="1" si="157"/>
        <v>0.95</v>
      </c>
      <c r="R230" s="205">
        <f ca="1">+IF(ISERROR(OFFSET(Tabella!$G$1,MATCH(J230,Tabella!$G:$G,0)-1,MATCH(K230,Tabella!$G$1:$FG$1,0)-1)=TRUE),0,OFFSET(Tabella!$G$1,MATCH(J230,Tabella!$G:$G,0)-1,MATCH(K230,Tabella!$G$1:$AB$1,0)-1))</f>
        <v>0</v>
      </c>
      <c r="S230" s="205">
        <f ca="1">IF(ISERROR(OFFSET(Ottone!$F$1,MATCH(J230,Ottone!$A:$A,0)-1,MATCH(K230,Ottone!$F$1:$FF$1,0)-1)=TRUE),0,OFFSET(Ottone!$F$1,MATCH(J230,Ottone!$A:$A,0)-1,MATCH(K230,Ottone!$F$1:$FF$1,0)-1))*IF(G230="Ottone",1,0)</f>
        <v>0</v>
      </c>
      <c r="T230" s="205">
        <f ca="1">IF(ISERROR(OFFSET(Rame!$F$1,MATCH(J230,Rame!$F:$F,0)-1,MATCH(K230,Rame!$F$1:$FF$1,0)-1)=TRUE),0,OFFSET(Rame!$F$1,MATCH(J230,Rame!$F:$F,0)-1,MATCH(K230,Rame!$F$1:$FF$1,0)-1))*IF(G230="Rame",1,0)</f>
        <v>0</v>
      </c>
      <c r="U230" s="205">
        <f ca="1">IF(ISERROR(OFFSET(Bronzo!$A$1,MATCH(J230,Bronzo!$A:$A,0)-1,MATCH(K230,Bronzo!$A$1:$AA$1,0)-1)=TRUE),0,OFFSET(Bronzo!$A$1,MATCH(J230,Bronzo!$A:$A,0)-1,MATCH(K230,Bronzo!$A$1:$AA$1,0)-1))</f>
        <v>0</v>
      </c>
      <c r="V230" s="205">
        <f t="shared" ca="1" si="153"/>
        <v>0</v>
      </c>
      <c r="W230" s="204"/>
      <c r="X230" s="205">
        <v>0</v>
      </c>
      <c r="Y230" s="206">
        <f t="shared" ca="1" si="154"/>
        <v>0.95</v>
      </c>
      <c r="Z230" s="277">
        <f t="shared" si="155"/>
        <v>25</v>
      </c>
      <c r="AA230" s="203">
        <v>12.75</v>
      </c>
      <c r="AB230" s="203">
        <f t="shared" ca="1" si="156"/>
        <v>2.5300000000000011</v>
      </c>
      <c r="AC230" s="238">
        <v>45992</v>
      </c>
      <c r="AI230" s="367">
        <f t="shared" ca="1" si="152"/>
        <v>46092</v>
      </c>
      <c r="AJ230" s="367" t="b">
        <f t="shared" si="158"/>
        <v>0</v>
      </c>
      <c r="AK230" s="370">
        <f t="shared" ca="1" si="159"/>
        <v>-100</v>
      </c>
      <c r="AN230">
        <f t="shared" si="160"/>
        <v>49</v>
      </c>
      <c r="AO230">
        <f t="shared" si="161"/>
        <v>2025</v>
      </c>
      <c r="AV230">
        <f t="shared" si="162"/>
        <v>12</v>
      </c>
      <c r="AW230">
        <f t="shared" si="163"/>
        <v>2025</v>
      </c>
    </row>
    <row r="231" spans="4:49" ht="15.75" x14ac:dyDescent="0.25">
      <c r="D231" s="199" t="s">
        <v>542</v>
      </c>
      <c r="E231" s="200" t="s">
        <v>212</v>
      </c>
      <c r="F231" s="287">
        <v>500</v>
      </c>
      <c r="G231" s="201" t="s">
        <v>6</v>
      </c>
      <c r="H231" s="219">
        <v>9.27</v>
      </c>
      <c r="I231" s="202">
        <v>45971</v>
      </c>
      <c r="J231" s="200" t="s">
        <v>14</v>
      </c>
      <c r="K231" s="200"/>
      <c r="L231" s="203">
        <v>0.1</v>
      </c>
      <c r="M231" s="204">
        <f ca="1">IF(ISERROR(OFFSET(Tabella!$A$1,MATCH(J231,Tabella!$A:$A,0)-1,MATCH(L231,Tabella!$A$1:$AC$1,0)-1)=TRUE),0,+OFFSET(Tabella!$A$1,MATCH(J231,Tabella!$A:$A,0)-1,MATCH(L231,Tabella!$A$1:$AC$1,0)-1))</f>
        <v>0</v>
      </c>
      <c r="N231" s="205">
        <f ca="1">IF(ISERROR(OFFSET(Ottone!$A$1,MATCH(J231,Ottone!$A:$A,0)-1,MATCH(L231,Ottone!$A$1:$Z$1,0)-1)=TRUE),0,OFFSET(Ottone!$A$1,MATCH(J231,Ottone!$A:$A,0)-1,MATCH(L231,Ottone!$A$1:$Z$1,0)-1))*IF(G231="Ottone",1,0)</f>
        <v>0</v>
      </c>
      <c r="O231" s="205">
        <f ca="1">IF(ISERROR(OFFSET(Rame!$A$1,MATCH(J231,Rame!$A:$A,0)-1,MATCH(L231,Rame!$A$1:$AA$1,0)-1)=TRUE),0,OFFSET(Rame!$A$1,MATCH(J231,Rame!$A:$A,0)-1,MATCH(L231,Rame!$A$1:$AA$1,0)-1))*IF(G231="Rame",1,0)</f>
        <v>0.95</v>
      </c>
      <c r="P231" s="205">
        <v>0</v>
      </c>
      <c r="Q231" s="205">
        <f t="shared" ca="1" si="157"/>
        <v>0.95</v>
      </c>
      <c r="R231" s="205">
        <f ca="1">+IF(ISERROR(OFFSET(Tabella!$G$1,MATCH(J231,Tabella!$G:$G,0)-1,MATCH(K231,Tabella!$G$1:$FG$1,0)-1)=TRUE),0,OFFSET(Tabella!$G$1,MATCH(J231,Tabella!$G:$G,0)-1,MATCH(K231,Tabella!$G$1:$AB$1,0)-1))</f>
        <v>0</v>
      </c>
      <c r="S231" s="205">
        <f ca="1">IF(ISERROR(OFFSET(Ottone!$F$1,MATCH(J231,Ottone!$A:$A,0)-1,MATCH(K231,Ottone!$F$1:$FF$1,0)-1)=TRUE),0,OFFSET(Ottone!$F$1,MATCH(J231,Ottone!$A:$A,0)-1,MATCH(K231,Ottone!$F$1:$FF$1,0)-1))*IF(G231="Ottone",1,0)</f>
        <v>0</v>
      </c>
      <c r="T231" s="205">
        <f ca="1">IF(ISERROR(OFFSET(Rame!$F$1,MATCH(J231,Rame!$F:$F,0)-1,MATCH(K231,Rame!$F$1:$FF$1,0)-1)=TRUE),0,OFFSET(Rame!$F$1,MATCH(J231,Rame!$F:$F,0)-1,MATCH(K231,Rame!$F$1:$FF$1,0)-1))*IF(G231="Rame",1,0)</f>
        <v>0</v>
      </c>
      <c r="U231" s="205">
        <f ca="1">IF(ISERROR(OFFSET(Bronzo!$A$1,MATCH(J231,Bronzo!$A:$A,0)-1,MATCH(K231,Bronzo!$A$1:$AA$1,0)-1)=TRUE),0,OFFSET(Bronzo!$A$1,MATCH(J231,Bronzo!$A:$A,0)-1,MATCH(K231,Bronzo!$A$1:$AA$1,0)-1))</f>
        <v>0</v>
      </c>
      <c r="V231" s="205">
        <f t="shared" ca="1" si="153"/>
        <v>0</v>
      </c>
      <c r="W231" s="204"/>
      <c r="X231" s="205">
        <v>0</v>
      </c>
      <c r="Y231" s="206">
        <f t="shared" ca="1" si="154"/>
        <v>0.95</v>
      </c>
      <c r="Z231" s="277">
        <f t="shared" si="155"/>
        <v>50</v>
      </c>
      <c r="AA231" s="203">
        <v>12.75</v>
      </c>
      <c r="AB231" s="203">
        <f t="shared" ca="1" si="156"/>
        <v>2.5300000000000011</v>
      </c>
      <c r="AC231" s="238">
        <v>45992</v>
      </c>
      <c r="AI231" s="367">
        <f t="shared" ca="1" si="152"/>
        <v>46092</v>
      </c>
      <c r="AJ231" s="367" t="b">
        <f t="shared" si="158"/>
        <v>0</v>
      </c>
      <c r="AK231" s="370">
        <f t="shared" ca="1" si="159"/>
        <v>-100</v>
      </c>
      <c r="AN231">
        <f t="shared" si="160"/>
        <v>49</v>
      </c>
      <c r="AO231">
        <f t="shared" si="161"/>
        <v>2025</v>
      </c>
      <c r="AV231">
        <f t="shared" si="162"/>
        <v>12</v>
      </c>
      <c r="AW231">
        <f t="shared" si="163"/>
        <v>2025</v>
      </c>
    </row>
    <row r="232" spans="4:49" ht="15.75" x14ac:dyDescent="0.25">
      <c r="D232" s="199" t="s">
        <v>579</v>
      </c>
      <c r="E232" s="200" t="s">
        <v>297</v>
      </c>
      <c r="F232" s="287">
        <v>1000</v>
      </c>
      <c r="G232" s="201" t="s">
        <v>4</v>
      </c>
      <c r="H232" s="219">
        <v>9.4600000000000009</v>
      </c>
      <c r="I232" s="202">
        <v>45971</v>
      </c>
      <c r="J232" s="200" t="s">
        <v>22</v>
      </c>
      <c r="K232" s="200"/>
      <c r="L232" s="203">
        <v>0.05</v>
      </c>
      <c r="M232" s="204">
        <f ca="1">IF(ISERROR(OFFSET(Tabella!$A$1,MATCH(J232,Tabella!$A:$A,0)-1,MATCH(L232,Tabella!$A$1:$AC$1,0)-1)=TRUE),0,+OFFSET(Tabella!$A$1,MATCH(J232,Tabella!$A:$A,0)-1,MATCH(L232,Tabella!$A$1:$AC$1,0)-1))</f>
        <v>0</v>
      </c>
      <c r="N232" s="205">
        <f ca="1">IF(ISERROR(OFFSET(Ottone!$A$1,MATCH(J232,Ottone!$A:$A,0)-1,MATCH(L232,Ottone!$A$1:$Z$1,0)-1)=TRUE),0,OFFSET(Ottone!$A$1,MATCH(J232,Ottone!$A:$A,0)-1,MATCH(L232,Ottone!$A$1:$Z$1,0)-1))*IF(G232="Ottone",1,0)</f>
        <v>0</v>
      </c>
      <c r="O232" s="205">
        <f ca="1">IF(ISERROR(OFFSET(Rame!$A$1,MATCH(J232,Rame!$A:$A,0)-1,MATCH(L232,Rame!$A$1:$AA$1,0)-1)=TRUE),0,OFFSET(Rame!$A$1,MATCH(J232,Rame!$A:$A,0)-1,MATCH(L232,Rame!$A$1:$AA$1,0)-1))*IF(G232="Rame",1,0)</f>
        <v>0</v>
      </c>
      <c r="P232" s="205">
        <v>0</v>
      </c>
      <c r="Q232" s="205">
        <v>1.5</v>
      </c>
      <c r="R232" s="205">
        <f ca="1">+IF(ISERROR(OFFSET(Tabella!$G$1,MATCH(J232,Tabella!$G:$G,0)-1,MATCH(K232,Tabella!$G$1:$FG$1,0)-1)=TRUE),0,OFFSET(Tabella!$G$1,MATCH(J232,Tabella!$G:$G,0)-1,MATCH(K232,Tabella!$G$1:$AB$1,0)-1))</f>
        <v>0</v>
      </c>
      <c r="S232" s="205">
        <f ca="1">IF(ISERROR(OFFSET(Ottone!$F$1,MATCH(J232,Ottone!$A:$A,0)-1,MATCH(K232,Ottone!$F$1:$FF$1,0)-1)=TRUE),0,OFFSET(Ottone!$F$1,MATCH(J232,Ottone!$A:$A,0)-1,MATCH(K232,Ottone!$F$1:$FF$1,0)-1))*IF(G232="Ottone",1,0)</f>
        <v>0</v>
      </c>
      <c r="T232" s="205">
        <f ca="1">IF(ISERROR(OFFSET(Rame!$F$1,MATCH(J232,Rame!$F:$F,0)-1,MATCH(K232,Rame!$F$1:$FF$1,0)-1)=TRUE),0,OFFSET(Rame!$F$1,MATCH(J232,Rame!$F:$F,0)-1,MATCH(K232,Rame!$F$1:$FF$1,0)-1))*IF(G232="Rame",1,0)</f>
        <v>0</v>
      </c>
      <c r="U232" s="205">
        <f ca="1">IF(ISERROR(OFFSET(Bronzo!$A$1,MATCH(J232,Bronzo!$A:$A,0)-1,MATCH(K232,Bronzo!$A$1:$AA$1,0)-1)=TRUE),0,OFFSET(Bronzo!$A$1,MATCH(J232,Bronzo!$A:$A,0)-1,MATCH(K232,Bronzo!$A$1:$AA$1,0)-1))</f>
        <v>0</v>
      </c>
      <c r="V232" s="205">
        <f t="shared" ca="1" si="153"/>
        <v>0</v>
      </c>
      <c r="W232" s="204"/>
      <c r="X232" s="205">
        <v>0</v>
      </c>
      <c r="Y232" s="206">
        <f t="shared" ca="1" si="154"/>
        <v>1.5</v>
      </c>
      <c r="Z232" s="277">
        <f t="shared" si="155"/>
        <v>50</v>
      </c>
      <c r="AA232" s="203">
        <v>3.9</v>
      </c>
      <c r="AB232" s="203">
        <f t="shared" ca="1" si="156"/>
        <v>-7.0600000000000005</v>
      </c>
      <c r="AC232" s="238">
        <v>45989</v>
      </c>
      <c r="AI232" s="367">
        <f t="shared" ca="1" si="152"/>
        <v>46092</v>
      </c>
      <c r="AJ232" s="367" t="b">
        <f t="shared" si="158"/>
        <v>0</v>
      </c>
      <c r="AK232" s="370">
        <f t="shared" ca="1" si="159"/>
        <v>-103</v>
      </c>
      <c r="AN232">
        <f t="shared" si="160"/>
        <v>48</v>
      </c>
      <c r="AO232">
        <f t="shared" si="161"/>
        <v>2025</v>
      </c>
      <c r="AV232">
        <f t="shared" si="162"/>
        <v>11</v>
      </c>
      <c r="AW232">
        <f t="shared" si="163"/>
        <v>2025</v>
      </c>
    </row>
    <row r="233" spans="4:49" ht="15.75" x14ac:dyDescent="0.25">
      <c r="D233" s="199" t="s">
        <v>579</v>
      </c>
      <c r="E233" s="200" t="s">
        <v>297</v>
      </c>
      <c r="F233" s="287">
        <v>1500</v>
      </c>
      <c r="G233" s="201" t="s">
        <v>4</v>
      </c>
      <c r="H233" s="219">
        <v>9.4600000000000009</v>
      </c>
      <c r="I233" s="202">
        <v>45971</v>
      </c>
      <c r="J233" s="200" t="s">
        <v>26</v>
      </c>
      <c r="K233" s="200"/>
      <c r="L233" s="203">
        <v>0.05</v>
      </c>
      <c r="M233" s="204">
        <f ca="1">IF(ISERROR(OFFSET(Tabella!$A$1,MATCH(J233,Tabella!$A:$A,0)-1,MATCH(L233,Tabella!$A$1:$AC$1,0)-1)=TRUE),0,+OFFSET(Tabella!$A$1,MATCH(J233,Tabella!$A:$A,0)-1,MATCH(L233,Tabella!$A$1:$AC$1,0)-1))</f>
        <v>0</v>
      </c>
      <c r="N233" s="205">
        <f ca="1">IF(ISERROR(OFFSET(Ottone!$A$1,MATCH(J233,Ottone!$A:$A,0)-1,MATCH(L233,Ottone!$A$1:$Z$1,0)-1)=TRUE),0,OFFSET(Ottone!$A$1,MATCH(J233,Ottone!$A:$A,0)-1,MATCH(L233,Ottone!$A$1:$Z$1,0)-1))*IF(G233="Ottone",1,0)</f>
        <v>0</v>
      </c>
      <c r="O233" s="205">
        <f ca="1">IF(ISERROR(OFFSET(Rame!$A$1,MATCH(J233,Rame!$A:$A,0)-1,MATCH(L233,Rame!$A$1:$AA$1,0)-1)=TRUE),0,OFFSET(Rame!$A$1,MATCH(J233,Rame!$A:$A,0)-1,MATCH(L233,Rame!$A$1:$AA$1,0)-1))*IF(G233="Rame",1,0)</f>
        <v>0</v>
      </c>
      <c r="P233" s="205">
        <v>0</v>
      </c>
      <c r="Q233" s="205">
        <v>1.5</v>
      </c>
      <c r="R233" s="205">
        <f ca="1">+IF(ISERROR(OFFSET(Tabella!$G$1,MATCH(J233,Tabella!$G:$G,0)-1,MATCH(K233,Tabella!$G$1:$FG$1,0)-1)=TRUE),0,OFFSET(Tabella!$G$1,MATCH(J233,Tabella!$G:$G,0)-1,MATCH(K233,Tabella!$G$1:$AB$1,0)-1))</f>
        <v>0</v>
      </c>
      <c r="S233" s="205">
        <f ca="1">IF(ISERROR(OFFSET(Ottone!$F$1,MATCH(J233,Ottone!$A:$A,0)-1,MATCH(K233,Ottone!$F$1:$FF$1,0)-1)=TRUE),0,OFFSET(Ottone!$F$1,MATCH(J233,Ottone!$A:$A,0)-1,MATCH(K233,Ottone!$F$1:$FF$1,0)-1))*IF(G233="Ottone",1,0)</f>
        <v>0</v>
      </c>
      <c r="T233" s="205">
        <f ca="1">IF(ISERROR(OFFSET(Rame!$F$1,MATCH(J233,Rame!$F:$F,0)-1,MATCH(K233,Rame!$F$1:$FF$1,0)-1)=TRUE),0,OFFSET(Rame!$F$1,MATCH(J233,Rame!$F:$F,0)-1,MATCH(K233,Rame!$F$1:$FF$1,0)-1))*IF(G233="Rame",1,0)</f>
        <v>0</v>
      </c>
      <c r="U233" s="205">
        <f ca="1">IF(ISERROR(OFFSET(Bronzo!$A$1,MATCH(J233,Bronzo!$A:$A,0)-1,MATCH(K233,Bronzo!$A$1:$AA$1,0)-1)=TRUE),0,OFFSET(Bronzo!$A$1,MATCH(J233,Bronzo!$A:$A,0)-1,MATCH(K233,Bronzo!$A$1:$AA$1,0)-1))</f>
        <v>0</v>
      </c>
      <c r="V233" s="205">
        <f t="shared" ca="1" si="153"/>
        <v>0</v>
      </c>
      <c r="W233" s="204"/>
      <c r="X233" s="205">
        <v>0</v>
      </c>
      <c r="Y233" s="206">
        <f t="shared" ca="1" si="154"/>
        <v>1.5</v>
      </c>
      <c r="Z233" s="277">
        <f t="shared" si="155"/>
        <v>75</v>
      </c>
      <c r="AA233" s="203">
        <v>3.9</v>
      </c>
      <c r="AB233" s="203">
        <f t="shared" ca="1" si="156"/>
        <v>-7.0600000000000005</v>
      </c>
      <c r="AC233" s="238">
        <v>45989</v>
      </c>
      <c r="AI233" s="367">
        <f t="shared" ca="1" si="152"/>
        <v>46092</v>
      </c>
      <c r="AJ233" s="367" t="b">
        <f t="shared" si="158"/>
        <v>0</v>
      </c>
      <c r="AK233" s="370">
        <f t="shared" ca="1" si="159"/>
        <v>-103</v>
      </c>
      <c r="AN233">
        <f t="shared" si="160"/>
        <v>48</v>
      </c>
      <c r="AO233">
        <f t="shared" si="161"/>
        <v>2025</v>
      </c>
      <c r="AV233">
        <f t="shared" si="162"/>
        <v>11</v>
      </c>
      <c r="AW233">
        <f t="shared" si="163"/>
        <v>2025</v>
      </c>
    </row>
    <row r="234" spans="4:49" ht="15.75" x14ac:dyDescent="0.25">
      <c r="D234" s="199" t="s">
        <v>579</v>
      </c>
      <c r="E234" s="200" t="s">
        <v>297</v>
      </c>
      <c r="F234" s="287">
        <v>800</v>
      </c>
      <c r="G234" s="201" t="s">
        <v>4</v>
      </c>
      <c r="H234" s="219">
        <v>9.4600000000000009</v>
      </c>
      <c r="I234" s="202">
        <v>45971</v>
      </c>
      <c r="J234" s="200" t="s">
        <v>22</v>
      </c>
      <c r="K234" s="200"/>
      <c r="L234" s="203">
        <v>0.05</v>
      </c>
      <c r="M234" s="204">
        <f ca="1">IF(ISERROR(OFFSET(Tabella!$A$1,MATCH(J234,Tabella!$A:$A,0)-1,MATCH(L234,Tabella!$A$1:$AC$1,0)-1)=TRUE),0,+OFFSET(Tabella!$A$1,MATCH(J234,Tabella!$A:$A,0)-1,MATCH(L234,Tabella!$A$1:$AC$1,0)-1))</f>
        <v>0</v>
      </c>
      <c r="N234" s="205">
        <f ca="1">IF(ISERROR(OFFSET(Ottone!$A$1,MATCH(J234,Ottone!$A:$A,0)-1,MATCH(L234,Ottone!$A$1:$Z$1,0)-1)=TRUE),0,OFFSET(Ottone!$A$1,MATCH(J234,Ottone!$A:$A,0)-1,MATCH(L234,Ottone!$A$1:$Z$1,0)-1))*IF(G234="Ottone",1,0)</f>
        <v>0</v>
      </c>
      <c r="O234" s="205">
        <f ca="1">IF(ISERROR(OFFSET(Rame!$A$1,MATCH(J234,Rame!$A:$A,0)-1,MATCH(L234,Rame!$A$1:$AA$1,0)-1)=TRUE),0,OFFSET(Rame!$A$1,MATCH(J234,Rame!$A:$A,0)-1,MATCH(L234,Rame!$A$1:$AA$1,0)-1))*IF(G234="Rame",1,0)</f>
        <v>0</v>
      </c>
      <c r="P234" s="205">
        <v>0</v>
      </c>
      <c r="Q234" s="205">
        <v>1.5</v>
      </c>
      <c r="R234" s="205">
        <f ca="1">+IF(ISERROR(OFFSET(Tabella!$G$1,MATCH(J234,Tabella!$G:$G,0)-1,MATCH(K234,Tabella!$G$1:$FG$1,0)-1)=TRUE),0,OFFSET(Tabella!$G$1,MATCH(J234,Tabella!$G:$G,0)-1,MATCH(K234,Tabella!$G$1:$AB$1,0)-1))</f>
        <v>0</v>
      </c>
      <c r="S234" s="205">
        <f ca="1">IF(ISERROR(OFFSET(Ottone!$F$1,MATCH(J234,Ottone!$A:$A,0)-1,MATCH(K234,Ottone!$F$1:$FF$1,0)-1)=TRUE),0,OFFSET(Ottone!$F$1,MATCH(J234,Ottone!$A:$A,0)-1,MATCH(K234,Ottone!$F$1:$FF$1,0)-1))*IF(G234="Ottone",1,0)</f>
        <v>0</v>
      </c>
      <c r="T234" s="205">
        <f ca="1">IF(ISERROR(OFFSET(Rame!$F$1,MATCH(J234,Rame!$F:$F,0)-1,MATCH(K234,Rame!$F$1:$FF$1,0)-1)=TRUE),0,OFFSET(Rame!$F$1,MATCH(J234,Rame!$F:$F,0)-1,MATCH(K234,Rame!$F$1:$FF$1,0)-1))*IF(G234="Rame",1,0)</f>
        <v>0</v>
      </c>
      <c r="U234" s="205">
        <f ca="1">IF(ISERROR(OFFSET(Bronzo!$A$1,MATCH(J234,Bronzo!$A:$A,0)-1,MATCH(K234,Bronzo!$A$1:$AA$1,0)-1)=TRUE),0,OFFSET(Bronzo!$A$1,MATCH(J234,Bronzo!$A:$A,0)-1,MATCH(K234,Bronzo!$A$1:$AA$1,0)-1))</f>
        <v>0</v>
      </c>
      <c r="V234" s="205">
        <f t="shared" ca="1" si="153"/>
        <v>0</v>
      </c>
      <c r="W234" s="204"/>
      <c r="X234" s="205">
        <v>0</v>
      </c>
      <c r="Y234" s="206">
        <f t="shared" ca="1" si="154"/>
        <v>1.5</v>
      </c>
      <c r="Z234" s="277">
        <f t="shared" si="155"/>
        <v>40</v>
      </c>
      <c r="AA234" s="203">
        <v>3.9</v>
      </c>
      <c r="AB234" s="203">
        <f t="shared" ca="1" si="156"/>
        <v>-7.0600000000000005</v>
      </c>
      <c r="AC234" s="238">
        <v>45989</v>
      </c>
      <c r="AI234" s="367">
        <f t="shared" ca="1" si="152"/>
        <v>46092</v>
      </c>
      <c r="AJ234" s="367" t="b">
        <f t="shared" si="158"/>
        <v>0</v>
      </c>
      <c r="AK234" s="370">
        <f t="shared" ca="1" si="159"/>
        <v>-103</v>
      </c>
      <c r="AN234">
        <f t="shared" si="160"/>
        <v>48</v>
      </c>
      <c r="AO234">
        <f t="shared" si="161"/>
        <v>2025</v>
      </c>
      <c r="AV234">
        <f t="shared" si="162"/>
        <v>11</v>
      </c>
      <c r="AW234">
        <f t="shared" si="163"/>
        <v>2025</v>
      </c>
    </row>
    <row r="235" spans="4:49" ht="15.75" x14ac:dyDescent="0.25">
      <c r="D235" s="199" t="s">
        <v>579</v>
      </c>
      <c r="E235" s="200" t="s">
        <v>297</v>
      </c>
      <c r="F235" s="287">
        <v>800</v>
      </c>
      <c r="G235" s="201" t="s">
        <v>4</v>
      </c>
      <c r="H235" s="219">
        <v>9.4600000000000009</v>
      </c>
      <c r="I235" s="202">
        <v>45971</v>
      </c>
      <c r="J235" s="200" t="s">
        <v>23</v>
      </c>
      <c r="K235" s="200"/>
      <c r="L235" s="203">
        <v>0.05</v>
      </c>
      <c r="M235" s="204">
        <f ca="1">IF(ISERROR(OFFSET(Tabella!$A$1,MATCH(J235,Tabella!$A:$A,0)-1,MATCH(L235,Tabella!$A$1:$AC$1,0)-1)=TRUE),0,+OFFSET(Tabella!$A$1,MATCH(J235,Tabella!$A:$A,0)-1,MATCH(L235,Tabella!$A$1:$AC$1,0)-1))</f>
        <v>0</v>
      </c>
      <c r="N235" s="205">
        <f ca="1">IF(ISERROR(OFFSET(Ottone!$A$1,MATCH(J235,Ottone!$A:$A,0)-1,MATCH(L235,Ottone!$A$1:$Z$1,0)-1)=TRUE),0,OFFSET(Ottone!$A$1,MATCH(J235,Ottone!$A:$A,0)-1,MATCH(L235,Ottone!$A$1:$Z$1,0)-1))*IF(G235="Ottone",1,0)</f>
        <v>0</v>
      </c>
      <c r="O235" s="205">
        <f ca="1">IF(ISERROR(OFFSET(Rame!$A$1,MATCH(J235,Rame!$A:$A,0)-1,MATCH(L235,Rame!$A$1:$AA$1,0)-1)=TRUE),0,OFFSET(Rame!$A$1,MATCH(J235,Rame!$A:$A,0)-1,MATCH(L235,Rame!$A$1:$AA$1,0)-1))*IF(G235="Rame",1,0)</f>
        <v>0</v>
      </c>
      <c r="P235" s="205">
        <v>0</v>
      </c>
      <c r="Q235" s="205">
        <v>1.5</v>
      </c>
      <c r="R235" s="205">
        <f ca="1">+IF(ISERROR(OFFSET(Tabella!$G$1,MATCH(J235,Tabella!$G:$G,0)-1,MATCH(K235,Tabella!$G$1:$FG$1,0)-1)=TRUE),0,OFFSET(Tabella!$G$1,MATCH(J235,Tabella!$G:$G,0)-1,MATCH(K235,Tabella!$G$1:$AB$1,0)-1))</f>
        <v>0</v>
      </c>
      <c r="S235" s="205">
        <f ca="1">IF(ISERROR(OFFSET(Ottone!$F$1,MATCH(J235,Ottone!$A:$A,0)-1,MATCH(K235,Ottone!$F$1:$FF$1,0)-1)=TRUE),0,OFFSET(Ottone!$F$1,MATCH(J235,Ottone!$A:$A,0)-1,MATCH(K235,Ottone!$F$1:$FF$1,0)-1))*IF(G235="Ottone",1,0)</f>
        <v>0</v>
      </c>
      <c r="T235" s="205">
        <f ca="1">IF(ISERROR(OFFSET(Rame!$F$1,MATCH(J235,Rame!$F:$F,0)-1,MATCH(K235,Rame!$F$1:$FF$1,0)-1)=TRUE),0,OFFSET(Rame!$F$1,MATCH(J235,Rame!$F:$F,0)-1,MATCH(K235,Rame!$F$1:$FF$1,0)-1))*IF(G235="Rame",1,0)</f>
        <v>0</v>
      </c>
      <c r="U235" s="205">
        <f ca="1">IF(ISERROR(OFFSET(Bronzo!$A$1,MATCH(J235,Bronzo!$A:$A,0)-1,MATCH(K235,Bronzo!$A$1:$AA$1,0)-1)=TRUE),0,OFFSET(Bronzo!$A$1,MATCH(J235,Bronzo!$A:$A,0)-1,MATCH(K235,Bronzo!$A$1:$AA$1,0)-1))</f>
        <v>0</v>
      </c>
      <c r="V235" s="205">
        <f t="shared" ca="1" si="153"/>
        <v>0</v>
      </c>
      <c r="W235" s="204"/>
      <c r="X235" s="205">
        <v>0</v>
      </c>
      <c r="Y235" s="206">
        <f t="shared" ca="1" si="154"/>
        <v>1.5</v>
      </c>
      <c r="Z235" s="277">
        <f t="shared" si="155"/>
        <v>40</v>
      </c>
      <c r="AA235" s="203">
        <v>3.9</v>
      </c>
      <c r="AB235" s="203">
        <f t="shared" ca="1" si="156"/>
        <v>-7.0600000000000005</v>
      </c>
      <c r="AC235" s="238">
        <v>45989</v>
      </c>
      <c r="AI235" s="367">
        <f t="shared" ca="1" si="152"/>
        <v>46092</v>
      </c>
      <c r="AJ235" s="367" t="b">
        <f t="shared" si="158"/>
        <v>0</v>
      </c>
      <c r="AK235" s="370">
        <f t="shared" ca="1" si="159"/>
        <v>-103</v>
      </c>
      <c r="AN235">
        <f t="shared" si="160"/>
        <v>48</v>
      </c>
      <c r="AO235">
        <f t="shared" si="161"/>
        <v>2025</v>
      </c>
      <c r="AV235">
        <f t="shared" si="162"/>
        <v>11</v>
      </c>
      <c r="AW235">
        <f t="shared" si="163"/>
        <v>2025</v>
      </c>
    </row>
    <row r="236" spans="4:49" ht="15.75" x14ac:dyDescent="0.25">
      <c r="D236" s="199" t="s">
        <v>579</v>
      </c>
      <c r="E236" s="200" t="s">
        <v>297</v>
      </c>
      <c r="F236" s="287">
        <v>800</v>
      </c>
      <c r="G236" s="201" t="s">
        <v>4</v>
      </c>
      <c r="H236" s="219">
        <v>9.4600000000000009</v>
      </c>
      <c r="I236" s="202">
        <v>45971</v>
      </c>
      <c r="J236" s="200" t="s">
        <v>314</v>
      </c>
      <c r="K236" s="200"/>
      <c r="L236" s="203">
        <v>0.05</v>
      </c>
      <c r="M236" s="204">
        <f ca="1">IF(ISERROR(OFFSET(Tabella!$A$1,MATCH(J236,Tabella!$A:$A,0)-1,MATCH(L236,Tabella!$A$1:$AC$1,0)-1)=TRUE),0,+OFFSET(Tabella!$A$1,MATCH(J236,Tabella!$A:$A,0)-1,MATCH(L236,Tabella!$A$1:$AC$1,0)-1))</f>
        <v>0</v>
      </c>
      <c r="N236" s="205">
        <f ca="1">IF(ISERROR(OFFSET(Ottone!$A$1,MATCH(J236,Ottone!$A:$A,0)-1,MATCH(L236,Ottone!$A$1:$Z$1,0)-1)=TRUE),0,OFFSET(Ottone!$A$1,MATCH(J236,Ottone!$A:$A,0)-1,MATCH(L236,Ottone!$A$1:$Z$1,0)-1))*IF(G236="Ottone",1,0)</f>
        <v>0</v>
      </c>
      <c r="O236" s="205">
        <f ca="1">IF(ISERROR(OFFSET(Rame!$A$1,MATCH(J236,Rame!$A:$A,0)-1,MATCH(L236,Rame!$A$1:$AA$1,0)-1)=TRUE),0,OFFSET(Rame!$A$1,MATCH(J236,Rame!$A:$A,0)-1,MATCH(L236,Rame!$A$1:$AA$1,0)-1))*IF(G236="Rame",1,0)</f>
        <v>0</v>
      </c>
      <c r="P236" s="205">
        <v>0</v>
      </c>
      <c r="Q236" s="205">
        <v>1.5</v>
      </c>
      <c r="R236" s="205">
        <f ca="1">+IF(ISERROR(OFFSET(Tabella!$G$1,MATCH(J236,Tabella!$G:$G,0)-1,MATCH(K236,Tabella!$G$1:$FG$1,0)-1)=TRUE),0,OFFSET(Tabella!$G$1,MATCH(J236,Tabella!$G:$G,0)-1,MATCH(K236,Tabella!$G$1:$AB$1,0)-1))</f>
        <v>0</v>
      </c>
      <c r="S236" s="205">
        <f ca="1">IF(ISERROR(OFFSET(Ottone!$F$1,MATCH(J236,Ottone!$A:$A,0)-1,MATCH(K236,Ottone!$F$1:$FF$1,0)-1)=TRUE),0,OFFSET(Ottone!$F$1,MATCH(J236,Ottone!$A:$A,0)-1,MATCH(K236,Ottone!$F$1:$FF$1,0)-1))*IF(G236="Ottone",1,0)</f>
        <v>0</v>
      </c>
      <c r="T236" s="205">
        <f ca="1">IF(ISERROR(OFFSET(Rame!$F$1,MATCH(J236,Rame!$F:$F,0)-1,MATCH(K236,Rame!$F$1:$FF$1,0)-1)=TRUE),0,OFFSET(Rame!$F$1,MATCH(J236,Rame!$F:$F,0)-1,MATCH(K236,Rame!$F$1:$FF$1,0)-1))*IF(G236="Rame",1,0)</f>
        <v>0</v>
      </c>
      <c r="U236" s="205">
        <f ca="1">IF(ISERROR(OFFSET(Bronzo!$A$1,MATCH(J236,Bronzo!$A:$A,0)-1,MATCH(K236,Bronzo!$A$1:$AA$1,0)-1)=TRUE),0,OFFSET(Bronzo!$A$1,MATCH(J236,Bronzo!$A:$A,0)-1,MATCH(K236,Bronzo!$A$1:$AA$1,0)-1))</f>
        <v>0</v>
      </c>
      <c r="V236" s="205">
        <f ca="1">SUM(R236:U236)</f>
        <v>0</v>
      </c>
      <c r="W236" s="204"/>
      <c r="X236" s="205">
        <v>0</v>
      </c>
      <c r="Y236" s="206">
        <f t="shared" ca="1" si="154"/>
        <v>1.5</v>
      </c>
      <c r="Z236" s="277">
        <f t="shared" si="155"/>
        <v>40</v>
      </c>
      <c r="AA236" s="203">
        <v>3.9</v>
      </c>
      <c r="AB236" s="203">
        <f t="shared" ca="1" si="156"/>
        <v>-7.0600000000000005</v>
      </c>
      <c r="AC236" s="238">
        <v>45989</v>
      </c>
      <c r="AI236" s="367">
        <f t="shared" ca="1" si="152"/>
        <v>46092</v>
      </c>
      <c r="AJ236" s="367" t="b">
        <f t="shared" si="158"/>
        <v>0</v>
      </c>
      <c r="AK236" s="370">
        <f t="shared" ca="1" si="159"/>
        <v>-103</v>
      </c>
      <c r="AN236">
        <f t="shared" si="160"/>
        <v>48</v>
      </c>
      <c r="AO236">
        <f t="shared" si="161"/>
        <v>2025</v>
      </c>
      <c r="AV236">
        <f t="shared" si="162"/>
        <v>11</v>
      </c>
      <c r="AW236">
        <f t="shared" si="163"/>
        <v>2025</v>
      </c>
    </row>
    <row r="237" spans="4:49" ht="15.75" x14ac:dyDescent="0.25">
      <c r="D237" s="199" t="s">
        <v>559</v>
      </c>
      <c r="E237" s="200" t="s">
        <v>263</v>
      </c>
      <c r="F237" s="287">
        <v>1500</v>
      </c>
      <c r="G237" s="201" t="s">
        <v>4</v>
      </c>
      <c r="H237" s="219">
        <v>2.39</v>
      </c>
      <c r="I237" s="202">
        <v>45971</v>
      </c>
      <c r="J237" s="200" t="s">
        <v>21</v>
      </c>
      <c r="K237" s="200"/>
      <c r="L237" s="203">
        <v>7.0000000000000007E-2</v>
      </c>
      <c r="M237" s="204">
        <f ca="1">IF(ISERROR(OFFSET(Tabella!$A$1,MATCH(J237,Tabella!$A:$A,0)-1,MATCH(L237,Tabella!$A$1:$AC$1,0)-1)=TRUE),0,+OFFSET(Tabella!$A$1,MATCH(J237,Tabella!$A:$A,0)-1,MATCH(L237,Tabella!$A$1:$AC$1,0)-1))</f>
        <v>1.25</v>
      </c>
      <c r="N237" s="205">
        <f ca="1">IF(ISERROR(OFFSET(Ottone!$A$1,MATCH(J237,Ottone!$A:$A,0)-1,MATCH(L237,Ottone!$A$1:$Z$1,0)-1)=TRUE),0,OFFSET(Ottone!$A$1,MATCH(J237,Ottone!$A:$A,0)-1,MATCH(L237,Ottone!$A$1:$Z$1,0)-1))*IF(G237="Ottone",1,0)</f>
        <v>0</v>
      </c>
      <c r="O237" s="205">
        <f ca="1">IF(ISERROR(OFFSET(Rame!$A$1,MATCH(J237,Rame!$A:$A,0)-1,MATCH(L237,Rame!$A$1:$AA$1,0)-1)=TRUE),0,OFFSET(Rame!$A$1,MATCH(J237,Rame!$A:$A,0)-1,MATCH(L237,Rame!$A$1:$AA$1,0)-1))*IF(G237="Rame",1,0)</f>
        <v>0</v>
      </c>
      <c r="P237" s="205">
        <v>0</v>
      </c>
      <c r="Q237" s="205">
        <v>1.5</v>
      </c>
      <c r="R237" s="205">
        <f ca="1">+IF(ISERROR(OFFSET(Tabella!$G$1,MATCH(J237,Tabella!$G:$G,0)-1,MATCH(K237,Tabella!$G$1:$FG$1,0)-1)=TRUE),0,OFFSET(Tabella!$G$1,MATCH(J237,Tabella!$G:$G,0)-1,MATCH(K237,Tabella!$G$1:$AB$1,0)-1))</f>
        <v>0</v>
      </c>
      <c r="S237" s="205">
        <f ca="1">IF(ISERROR(OFFSET(Ottone!$F$1,MATCH(J237,Ottone!$A:$A,0)-1,MATCH(K237,Ottone!$F$1:$FF$1,0)-1)=TRUE),0,OFFSET(Ottone!$F$1,MATCH(J237,Ottone!$A:$A,0)-1,MATCH(K237,Ottone!$F$1:$FF$1,0)-1))*IF(G237="Ottone",1,0)</f>
        <v>0</v>
      </c>
      <c r="T237" s="205">
        <f ca="1">IF(ISERROR(OFFSET(Rame!$F$1,MATCH(J237,Rame!$F:$F,0)-1,MATCH(K237,Rame!$F$1:$FF$1,0)-1)=TRUE),0,OFFSET(Rame!$F$1,MATCH(J237,Rame!$F:$F,0)-1,MATCH(K237,Rame!$F$1:$FF$1,0)-1))*IF(G237="Rame",1,0)</f>
        <v>0</v>
      </c>
      <c r="U237" s="205">
        <f ca="1">IF(ISERROR(OFFSET(Bronzo!$A$1,MATCH(J237,Bronzo!$A:$A,0)-1,MATCH(K237,Bronzo!$A$1:$AA$1,0)-1)=TRUE),0,OFFSET(Bronzo!$A$1,MATCH(J237,Bronzo!$A:$A,0)-1,MATCH(K237,Bronzo!$A$1:$AA$1,0)-1))</f>
        <v>0</v>
      </c>
      <c r="V237" s="205">
        <f t="shared" ca="1" si="153"/>
        <v>0</v>
      </c>
      <c r="W237" s="204"/>
      <c r="X237" s="205">
        <v>0</v>
      </c>
      <c r="Y237" s="206">
        <f t="shared" ca="1" si="154"/>
        <v>1.5</v>
      </c>
      <c r="Z237" s="277">
        <f t="shared" si="155"/>
        <v>105.00000000000001</v>
      </c>
      <c r="AA237" s="203">
        <v>3.96</v>
      </c>
      <c r="AB237" s="203">
        <f t="shared" ca="1" si="156"/>
        <v>6.999999999999984E-2</v>
      </c>
      <c r="AC237" s="238">
        <v>45989</v>
      </c>
      <c r="AI237" s="367">
        <f t="shared" ca="1" si="152"/>
        <v>46092</v>
      </c>
      <c r="AJ237" s="367" t="b">
        <f t="shared" si="158"/>
        <v>0</v>
      </c>
      <c r="AK237" s="370">
        <f t="shared" ca="1" si="159"/>
        <v>-103</v>
      </c>
      <c r="AN237">
        <f t="shared" si="160"/>
        <v>48</v>
      </c>
      <c r="AO237">
        <f t="shared" si="161"/>
        <v>2025</v>
      </c>
      <c r="AV237">
        <f t="shared" si="162"/>
        <v>11</v>
      </c>
      <c r="AW237">
        <f t="shared" si="163"/>
        <v>2025</v>
      </c>
    </row>
    <row r="238" spans="4:49" ht="15.75" x14ac:dyDescent="0.25">
      <c r="D238" s="199" t="s">
        <v>559</v>
      </c>
      <c r="E238" s="200" t="s">
        <v>263</v>
      </c>
      <c r="F238" s="287">
        <v>1500</v>
      </c>
      <c r="G238" s="201" t="s">
        <v>4</v>
      </c>
      <c r="H238" s="219">
        <v>2.39</v>
      </c>
      <c r="I238" s="202">
        <v>45971</v>
      </c>
      <c r="J238" s="200" t="s">
        <v>322</v>
      </c>
      <c r="K238" s="200"/>
      <c r="L238" s="203">
        <v>7.0000000000000007E-2</v>
      </c>
      <c r="M238" s="204">
        <f ca="1">IF(ISERROR(OFFSET(Tabella!$A$1,MATCH(J238,Tabella!$A:$A,0)-1,MATCH(L238,Tabella!$A$1:$AC$1,0)-1)=TRUE),0,+OFFSET(Tabella!$A$1,MATCH(J238,Tabella!$A:$A,0)-1,MATCH(L238,Tabella!$A$1:$AC$1,0)-1))</f>
        <v>1.25</v>
      </c>
      <c r="N238" s="205">
        <f ca="1">IF(ISERROR(OFFSET(Ottone!$A$1,MATCH(J238,Ottone!$A:$A,0)-1,MATCH(L238,Ottone!$A$1:$Z$1,0)-1)=TRUE),0,OFFSET(Ottone!$A$1,MATCH(J238,Ottone!$A:$A,0)-1,MATCH(L238,Ottone!$A$1:$Z$1,0)-1))*IF(G238="Ottone",1,0)</f>
        <v>0</v>
      </c>
      <c r="O238" s="205">
        <f ca="1">IF(ISERROR(OFFSET(Rame!$A$1,MATCH(J238,Rame!$A:$A,0)-1,MATCH(L238,Rame!$A$1:$AA$1,0)-1)=TRUE),0,OFFSET(Rame!$A$1,MATCH(J238,Rame!$A:$A,0)-1,MATCH(L238,Rame!$A$1:$AA$1,0)-1))*IF(G238="Rame",1,0)</f>
        <v>0</v>
      </c>
      <c r="P238" s="205">
        <v>0</v>
      </c>
      <c r="Q238" s="205">
        <f t="shared" ca="1" si="157"/>
        <v>1.25</v>
      </c>
      <c r="R238" s="205">
        <f ca="1">+IF(ISERROR(OFFSET(Tabella!$G$1,MATCH(J238,Tabella!$G:$G,0)-1,MATCH(K238,Tabella!$G$1:$FG$1,0)-1)=TRUE),0,OFFSET(Tabella!$G$1,MATCH(J238,Tabella!$G:$G,0)-1,MATCH(K238,Tabella!$G$1:$AB$1,0)-1))</f>
        <v>0</v>
      </c>
      <c r="S238" s="205">
        <f ca="1">IF(ISERROR(OFFSET(Ottone!$F$1,MATCH(J238,Ottone!$A:$A,0)-1,MATCH(K238,Ottone!$F$1:$FF$1,0)-1)=TRUE),0,OFFSET(Ottone!$F$1,MATCH(J238,Ottone!$A:$A,0)-1,MATCH(K238,Ottone!$F$1:$FF$1,0)-1))*IF(G238="Ottone",1,0)</f>
        <v>0</v>
      </c>
      <c r="T238" s="205">
        <f ca="1">IF(ISERROR(OFFSET(Rame!$F$1,MATCH(J238,Rame!$F:$F,0)-1,MATCH(K238,Rame!$F$1:$FF$1,0)-1)=TRUE),0,OFFSET(Rame!$F$1,MATCH(J238,Rame!$F:$F,0)-1,MATCH(K238,Rame!$F$1:$FF$1,0)-1))*IF(G238="Rame",1,0)</f>
        <v>0</v>
      </c>
      <c r="U238" s="205">
        <f ca="1">IF(ISERROR(OFFSET(Bronzo!$A$1,MATCH(J238,Bronzo!$A:$A,0)-1,MATCH(K238,Bronzo!$A$1:$AA$1,0)-1)=TRUE),0,OFFSET(Bronzo!$A$1,MATCH(J238,Bronzo!$A:$A,0)-1,MATCH(K238,Bronzo!$A$1:$AA$1,0)-1))</f>
        <v>0</v>
      </c>
      <c r="V238" s="205">
        <f t="shared" ca="1" si="153"/>
        <v>0</v>
      </c>
      <c r="W238" s="204"/>
      <c r="X238" s="205">
        <v>0</v>
      </c>
      <c r="Y238" s="206">
        <f t="shared" ca="1" si="154"/>
        <v>1.25</v>
      </c>
      <c r="Z238" s="277">
        <f t="shared" si="155"/>
        <v>105.00000000000001</v>
      </c>
      <c r="AA238" s="203">
        <v>3.96</v>
      </c>
      <c r="AB238" s="203">
        <f t="shared" ca="1" si="156"/>
        <v>0.31999999999999984</v>
      </c>
      <c r="AC238" s="238">
        <v>45989</v>
      </c>
      <c r="AI238" s="367">
        <f t="shared" ca="1" si="152"/>
        <v>46092</v>
      </c>
      <c r="AJ238" s="367" t="b">
        <f t="shared" si="158"/>
        <v>0</v>
      </c>
      <c r="AK238" s="370">
        <f t="shared" ca="1" si="159"/>
        <v>-103</v>
      </c>
      <c r="AN238">
        <f t="shared" si="160"/>
        <v>48</v>
      </c>
      <c r="AO238">
        <f t="shared" si="161"/>
        <v>2025</v>
      </c>
      <c r="AV238">
        <f t="shared" si="162"/>
        <v>11</v>
      </c>
      <c r="AW238">
        <f t="shared" si="163"/>
        <v>2025</v>
      </c>
    </row>
    <row r="239" spans="4:49" ht="15.75" x14ac:dyDescent="0.25">
      <c r="D239" s="199" t="s">
        <v>559</v>
      </c>
      <c r="E239" s="200" t="s">
        <v>263</v>
      </c>
      <c r="F239" s="287">
        <v>1500</v>
      </c>
      <c r="G239" s="201" t="s">
        <v>4</v>
      </c>
      <c r="H239" s="219">
        <v>2.39</v>
      </c>
      <c r="I239" s="202">
        <v>45971</v>
      </c>
      <c r="J239" s="200" t="s">
        <v>15</v>
      </c>
      <c r="K239" s="200"/>
      <c r="L239" s="203">
        <v>7.0000000000000007E-2</v>
      </c>
      <c r="M239" s="204">
        <f ca="1">IF(ISERROR(OFFSET(Tabella!$A$1,MATCH(J239,Tabella!$A:$A,0)-1,MATCH(L239,Tabella!$A$1:$AC$1,0)-1)=TRUE),0,+OFFSET(Tabella!$A$1,MATCH(J239,Tabella!$A:$A,0)-1,MATCH(L239,Tabella!$A$1:$AC$1,0)-1))</f>
        <v>1.4</v>
      </c>
      <c r="N239" s="205">
        <f ca="1">IF(ISERROR(OFFSET(Ottone!$A$1,MATCH(J239,Ottone!$A:$A,0)-1,MATCH(L239,Ottone!$A$1:$Z$1,0)-1)=TRUE),0,OFFSET(Ottone!$A$1,MATCH(J239,Ottone!$A:$A,0)-1,MATCH(L239,Ottone!$A$1:$Z$1,0)-1))*IF(G239="Ottone",1,0)</f>
        <v>0</v>
      </c>
      <c r="O239" s="205">
        <f ca="1">IF(ISERROR(OFFSET(Rame!$A$1,MATCH(J239,Rame!$A:$A,0)-1,MATCH(L239,Rame!$A$1:$AA$1,0)-1)=TRUE),0,OFFSET(Rame!$A$1,MATCH(J239,Rame!$A:$A,0)-1,MATCH(L239,Rame!$A$1:$AA$1,0)-1))*IF(G239="Rame",1,0)</f>
        <v>0</v>
      </c>
      <c r="P239" s="205">
        <v>0</v>
      </c>
      <c r="Q239" s="205">
        <f t="shared" ca="1" si="157"/>
        <v>1.4</v>
      </c>
      <c r="R239" s="205">
        <f ca="1">+IF(ISERROR(OFFSET(Tabella!$G$1,MATCH(J239,Tabella!$G:$G,0)-1,MATCH(K239,Tabella!$G$1:$FG$1,0)-1)=TRUE),0,OFFSET(Tabella!$G$1,MATCH(J239,Tabella!$G:$G,0)-1,MATCH(K239,Tabella!$G$1:$AB$1,0)-1))</f>
        <v>0</v>
      </c>
      <c r="S239" s="205">
        <f ca="1">IF(ISERROR(OFFSET(Ottone!$F$1,MATCH(J239,Ottone!$A:$A,0)-1,MATCH(K239,Ottone!$F$1:$FF$1,0)-1)=TRUE),0,OFFSET(Ottone!$F$1,MATCH(J239,Ottone!$A:$A,0)-1,MATCH(K239,Ottone!$F$1:$FF$1,0)-1))*IF(G239="Ottone",1,0)</f>
        <v>0</v>
      </c>
      <c r="T239" s="205">
        <f ca="1">IF(ISERROR(OFFSET(Rame!$F$1,MATCH(J239,Rame!$F:$F,0)-1,MATCH(K239,Rame!$F$1:$FF$1,0)-1)=TRUE),0,OFFSET(Rame!$F$1,MATCH(J239,Rame!$F:$F,0)-1,MATCH(K239,Rame!$F$1:$FF$1,0)-1))*IF(G239="Rame",1,0)</f>
        <v>0</v>
      </c>
      <c r="U239" s="205">
        <f ca="1">IF(ISERROR(OFFSET(Bronzo!$A$1,MATCH(J239,Bronzo!$A:$A,0)-1,MATCH(K239,Bronzo!$A$1:$AA$1,0)-1)=TRUE),0,OFFSET(Bronzo!$A$1,MATCH(J239,Bronzo!$A:$A,0)-1,MATCH(K239,Bronzo!$A$1:$AA$1,0)-1))</f>
        <v>0</v>
      </c>
      <c r="V239" s="205">
        <f t="shared" ca="1" si="153"/>
        <v>0</v>
      </c>
      <c r="W239" s="204"/>
      <c r="X239" s="205">
        <v>0</v>
      </c>
      <c r="Y239" s="206">
        <f t="shared" ca="1" si="154"/>
        <v>1.4</v>
      </c>
      <c r="Z239" s="277">
        <f t="shared" si="155"/>
        <v>105.00000000000001</v>
      </c>
      <c r="AA239" s="203">
        <v>4.1100000000000003</v>
      </c>
      <c r="AB239" s="203">
        <f t="shared" ca="1" si="156"/>
        <v>0.32000000000000028</v>
      </c>
      <c r="AC239" s="238">
        <v>45989</v>
      </c>
      <c r="AI239" s="367">
        <f t="shared" ca="1" si="152"/>
        <v>46092</v>
      </c>
      <c r="AJ239" s="367" t="b">
        <f t="shared" si="158"/>
        <v>0</v>
      </c>
      <c r="AK239" s="370">
        <f t="shared" ca="1" si="159"/>
        <v>-103</v>
      </c>
      <c r="AN239">
        <f t="shared" si="160"/>
        <v>48</v>
      </c>
      <c r="AO239">
        <f t="shared" si="161"/>
        <v>2025</v>
      </c>
      <c r="AV239">
        <f t="shared" si="162"/>
        <v>11</v>
      </c>
      <c r="AW239">
        <f t="shared" si="163"/>
        <v>2025</v>
      </c>
    </row>
    <row r="240" spans="4:49" ht="15.75" x14ac:dyDescent="0.25">
      <c r="D240" s="199" t="s">
        <v>559</v>
      </c>
      <c r="E240" s="200" t="s">
        <v>263</v>
      </c>
      <c r="F240" s="287">
        <v>500</v>
      </c>
      <c r="G240" s="201" t="s">
        <v>4</v>
      </c>
      <c r="H240" s="219">
        <v>2.39</v>
      </c>
      <c r="I240" s="202">
        <v>45971</v>
      </c>
      <c r="J240" s="200" t="s">
        <v>9</v>
      </c>
      <c r="K240" s="200"/>
      <c r="L240" s="203">
        <v>7.0000000000000007E-2</v>
      </c>
      <c r="M240" s="204">
        <f ca="1">IF(ISERROR(OFFSET(Tabella!$A$1,MATCH(J240,Tabella!$A:$A,0)-1,MATCH(L240,Tabella!$A$1:$AC$1,0)-1)=TRUE),0,+OFFSET(Tabella!$A$1,MATCH(J240,Tabella!$A:$A,0)-1,MATCH(L240,Tabella!$A$1:$AC$1,0)-1))</f>
        <v>1.6</v>
      </c>
      <c r="N240" s="205">
        <f ca="1">IF(ISERROR(OFFSET(Ottone!$A$1,MATCH(J240,Ottone!$A:$A,0)-1,MATCH(L240,Ottone!$A$1:$Z$1,0)-1)=TRUE),0,OFFSET(Ottone!$A$1,MATCH(J240,Ottone!$A:$A,0)-1,MATCH(L240,Ottone!$A$1:$Z$1,0)-1))*IF(G240="Ottone",1,0)</f>
        <v>0</v>
      </c>
      <c r="O240" s="205">
        <f ca="1">IF(ISERROR(OFFSET(Rame!$A$1,MATCH(J240,Rame!$A:$A,0)-1,MATCH(L240,Rame!$A$1:$AA$1,0)-1)=TRUE),0,OFFSET(Rame!$A$1,MATCH(J240,Rame!$A:$A,0)-1,MATCH(L240,Rame!$A$1:$AA$1,0)-1))*IF(G240="Rame",1,0)</f>
        <v>0</v>
      </c>
      <c r="P240" s="205">
        <v>0</v>
      </c>
      <c r="Q240" s="205">
        <f t="shared" ca="1" si="157"/>
        <v>1.6</v>
      </c>
      <c r="R240" s="205">
        <f ca="1">+IF(ISERROR(OFFSET(Tabella!$G$1,MATCH(J240,Tabella!$G:$G,0)-1,MATCH(K240,Tabella!$G$1:$FG$1,0)-1)=TRUE),0,OFFSET(Tabella!$G$1,MATCH(J240,Tabella!$G:$G,0)-1,MATCH(K240,Tabella!$G$1:$AB$1,0)-1))</f>
        <v>0</v>
      </c>
      <c r="S240" s="205">
        <f ca="1">IF(ISERROR(OFFSET(Ottone!$F$1,MATCH(J240,Ottone!$A:$A,0)-1,MATCH(K240,Ottone!$F$1:$FF$1,0)-1)=TRUE),0,OFFSET(Ottone!$F$1,MATCH(J240,Ottone!$A:$A,0)-1,MATCH(K240,Ottone!$F$1:$FF$1,0)-1))*IF(G240="Ottone",1,0)</f>
        <v>0</v>
      </c>
      <c r="T240" s="205">
        <f ca="1">IF(ISERROR(OFFSET(Rame!$F$1,MATCH(J240,Rame!$F:$F,0)-1,MATCH(K240,Rame!$F$1:$FF$1,0)-1)=TRUE),0,OFFSET(Rame!$F$1,MATCH(J240,Rame!$F:$F,0)-1,MATCH(K240,Rame!$F$1:$FF$1,0)-1))*IF(G240="Rame",1,0)</f>
        <v>0</v>
      </c>
      <c r="U240" s="205">
        <f ca="1">IF(ISERROR(OFFSET(Bronzo!$A$1,MATCH(J240,Bronzo!$A:$A,0)-1,MATCH(K240,Bronzo!$A$1:$AA$1,0)-1)=TRUE),0,OFFSET(Bronzo!$A$1,MATCH(J240,Bronzo!$A:$A,0)-1,MATCH(K240,Bronzo!$A$1:$AA$1,0)-1))</f>
        <v>0</v>
      </c>
      <c r="V240" s="205">
        <f t="shared" ca="1" si="153"/>
        <v>0</v>
      </c>
      <c r="W240" s="204"/>
      <c r="X240" s="205">
        <v>0</v>
      </c>
      <c r="Y240" s="206">
        <f t="shared" ca="1" si="154"/>
        <v>1.6</v>
      </c>
      <c r="Z240" s="277">
        <f t="shared" si="155"/>
        <v>35</v>
      </c>
      <c r="AA240" s="203">
        <v>4.26</v>
      </c>
      <c r="AB240" s="203">
        <f t="shared" ca="1" si="156"/>
        <v>0.26999999999999957</v>
      </c>
      <c r="AC240" s="238">
        <v>45989</v>
      </c>
      <c r="AI240" s="367">
        <f t="shared" ca="1" si="152"/>
        <v>46092</v>
      </c>
      <c r="AJ240" s="367" t="b">
        <f t="shared" si="158"/>
        <v>0</v>
      </c>
      <c r="AK240" s="370">
        <f t="shared" ca="1" si="159"/>
        <v>-103</v>
      </c>
      <c r="AN240">
        <f t="shared" si="160"/>
        <v>48</v>
      </c>
      <c r="AO240">
        <f t="shared" si="161"/>
        <v>2025</v>
      </c>
      <c r="AV240">
        <f t="shared" si="162"/>
        <v>11</v>
      </c>
      <c r="AW240">
        <f t="shared" si="163"/>
        <v>2025</v>
      </c>
    </row>
    <row r="241" spans="4:49" ht="15.75" x14ac:dyDescent="0.25">
      <c r="D241" s="199" t="s">
        <v>559</v>
      </c>
      <c r="E241" s="200" t="s">
        <v>263</v>
      </c>
      <c r="F241" s="287">
        <v>500</v>
      </c>
      <c r="G241" s="201" t="s">
        <v>4</v>
      </c>
      <c r="H241" s="219">
        <v>2.39</v>
      </c>
      <c r="I241" s="202">
        <v>45971</v>
      </c>
      <c r="J241" s="200" t="s">
        <v>9</v>
      </c>
      <c r="K241" s="200"/>
      <c r="L241" s="203">
        <v>7.0000000000000007E-2</v>
      </c>
      <c r="M241" s="204">
        <f ca="1">IF(ISERROR(OFFSET(Tabella!$A$1,MATCH(J241,Tabella!$A:$A,0)-1,MATCH(L241,Tabella!$A$1:$AC$1,0)-1)=TRUE),0,+OFFSET(Tabella!$A$1,MATCH(J241,Tabella!$A:$A,0)-1,MATCH(L241,Tabella!$A$1:$AC$1,0)-1))</f>
        <v>1.6</v>
      </c>
      <c r="N241" s="205">
        <f ca="1">IF(ISERROR(OFFSET(Ottone!$A$1,MATCH(J241,Ottone!$A:$A,0)-1,MATCH(L241,Ottone!$A$1:$Z$1,0)-1)=TRUE),0,OFFSET(Ottone!$A$1,MATCH(J241,Ottone!$A:$A,0)-1,MATCH(L241,Ottone!$A$1:$Z$1,0)-1))*IF(G241="Ottone",1,0)</f>
        <v>0</v>
      </c>
      <c r="O241" s="205">
        <f ca="1">IF(ISERROR(OFFSET(Rame!$A$1,MATCH(J241,Rame!$A:$A,0)-1,MATCH(L241,Rame!$A$1:$AA$1,0)-1)=TRUE),0,OFFSET(Rame!$A$1,MATCH(J241,Rame!$A:$A,0)-1,MATCH(L241,Rame!$A$1:$AA$1,0)-1))*IF(G241="Rame",1,0)</f>
        <v>0</v>
      </c>
      <c r="P241" s="205">
        <v>0</v>
      </c>
      <c r="Q241" s="205">
        <f t="shared" ca="1" si="157"/>
        <v>1.6</v>
      </c>
      <c r="R241" s="205">
        <f ca="1">+IF(ISERROR(OFFSET(Tabella!$G$1,MATCH(J241,Tabella!$G:$G,0)-1,MATCH(K241,Tabella!$G$1:$FG$1,0)-1)=TRUE),0,OFFSET(Tabella!$G$1,MATCH(J241,Tabella!$G:$G,0)-1,MATCH(K241,Tabella!$G$1:$AB$1,0)-1))</f>
        <v>0</v>
      </c>
      <c r="S241" s="205">
        <f ca="1">IF(ISERROR(OFFSET(Ottone!$F$1,MATCH(J241,Ottone!$A:$A,0)-1,MATCH(K241,Ottone!$F$1:$FF$1,0)-1)=TRUE),0,OFFSET(Ottone!$F$1,MATCH(J241,Ottone!$A:$A,0)-1,MATCH(K241,Ottone!$F$1:$FF$1,0)-1))*IF(G241="Ottone",1,0)</f>
        <v>0</v>
      </c>
      <c r="T241" s="205">
        <f ca="1">IF(ISERROR(OFFSET(Rame!$F$1,MATCH(J241,Rame!$F:$F,0)-1,MATCH(K241,Rame!$F$1:$FF$1,0)-1)=TRUE),0,OFFSET(Rame!$F$1,MATCH(J241,Rame!$F:$F,0)-1,MATCH(K241,Rame!$F$1:$FF$1,0)-1))*IF(G241="Rame",1,0)</f>
        <v>0</v>
      </c>
      <c r="U241" s="205">
        <f ca="1">IF(ISERROR(OFFSET(Bronzo!$A$1,MATCH(J241,Bronzo!$A:$A,0)-1,MATCH(K241,Bronzo!$A$1:$AA$1,0)-1)=TRUE),0,OFFSET(Bronzo!$A$1,MATCH(J241,Bronzo!$A:$A,0)-1,MATCH(K241,Bronzo!$A$1:$AA$1,0)-1))</f>
        <v>0</v>
      </c>
      <c r="V241" s="205">
        <f t="shared" ca="1" si="153"/>
        <v>0</v>
      </c>
      <c r="W241" s="204"/>
      <c r="X241" s="205">
        <v>0</v>
      </c>
      <c r="Y241" s="206">
        <f t="shared" ca="1" si="154"/>
        <v>1.6</v>
      </c>
      <c r="Z241" s="277">
        <f t="shared" si="155"/>
        <v>35</v>
      </c>
      <c r="AA241" s="203">
        <v>4.26</v>
      </c>
      <c r="AB241" s="203">
        <f t="shared" ca="1" si="156"/>
        <v>0.26999999999999957</v>
      </c>
      <c r="AC241" s="238">
        <v>45989</v>
      </c>
      <c r="AI241" s="367">
        <f t="shared" ca="1" si="152"/>
        <v>46092</v>
      </c>
      <c r="AJ241" s="367" t="b">
        <f t="shared" si="158"/>
        <v>0</v>
      </c>
      <c r="AK241" s="370">
        <f t="shared" ca="1" si="159"/>
        <v>-103</v>
      </c>
      <c r="AN241">
        <f t="shared" si="160"/>
        <v>48</v>
      </c>
      <c r="AO241">
        <f t="shared" si="161"/>
        <v>2025</v>
      </c>
      <c r="AV241">
        <f t="shared" si="162"/>
        <v>11</v>
      </c>
      <c r="AW241">
        <f t="shared" si="163"/>
        <v>2025</v>
      </c>
    </row>
    <row r="242" spans="4:49" ht="15.75" x14ac:dyDescent="0.25">
      <c r="D242" s="199" t="s">
        <v>559</v>
      </c>
      <c r="E242" s="200" t="s">
        <v>263</v>
      </c>
      <c r="F242" s="287">
        <v>1500</v>
      </c>
      <c r="G242" s="201" t="s">
        <v>4</v>
      </c>
      <c r="H242" s="219">
        <v>2.39</v>
      </c>
      <c r="I242" s="202">
        <v>45971</v>
      </c>
      <c r="J242" s="200" t="s">
        <v>314</v>
      </c>
      <c r="K242" s="200"/>
      <c r="L242" s="203">
        <v>7.0000000000000007E-2</v>
      </c>
      <c r="M242" s="204">
        <f ca="1">IF(ISERROR(OFFSET(Tabella!$A$1,MATCH(J242,Tabella!$A:$A,0)-1,MATCH(L242,Tabella!$A$1:$AC$1,0)-1)=TRUE),0,+OFFSET(Tabella!$A$1,MATCH(J242,Tabella!$A:$A,0)-1,MATCH(L242,Tabella!$A$1:$AC$1,0)-1))</f>
        <v>1.25</v>
      </c>
      <c r="N242" s="205">
        <f ca="1">IF(ISERROR(OFFSET(Ottone!$A$1,MATCH(J242,Ottone!$A:$A,0)-1,MATCH(L242,Ottone!$A$1:$Z$1,0)-1)=TRUE),0,OFFSET(Ottone!$A$1,MATCH(J242,Ottone!$A:$A,0)-1,MATCH(L242,Ottone!$A$1:$Z$1,0)-1))*IF(G242="Ottone",1,0)</f>
        <v>0</v>
      </c>
      <c r="O242" s="205">
        <f ca="1">IF(ISERROR(OFFSET(Rame!$A$1,MATCH(J242,Rame!$A:$A,0)-1,MATCH(L242,Rame!$A$1:$AA$1,0)-1)=TRUE),0,OFFSET(Rame!$A$1,MATCH(J242,Rame!$A:$A,0)-1,MATCH(L242,Rame!$A$1:$AA$1,0)-1))*IF(G242="Rame",1,0)</f>
        <v>0</v>
      </c>
      <c r="P242" s="205">
        <v>0</v>
      </c>
      <c r="Q242" s="205">
        <f t="shared" ca="1" si="157"/>
        <v>1.25</v>
      </c>
      <c r="R242" s="205">
        <f ca="1">+IF(ISERROR(OFFSET(Tabella!$G$1,MATCH(J242,Tabella!$G:$G,0)-1,MATCH(K242,Tabella!$G$1:$FG$1,0)-1)=TRUE),0,OFFSET(Tabella!$G$1,MATCH(J242,Tabella!$G:$G,0)-1,MATCH(K242,Tabella!$G$1:$AB$1,0)-1))</f>
        <v>0</v>
      </c>
      <c r="S242" s="205">
        <f ca="1">IF(ISERROR(OFFSET(Ottone!$F$1,MATCH(J242,Ottone!$A:$A,0)-1,MATCH(K242,Ottone!$F$1:$FF$1,0)-1)=TRUE),0,OFFSET(Ottone!$F$1,MATCH(J242,Ottone!$A:$A,0)-1,MATCH(K242,Ottone!$F$1:$FF$1,0)-1))*IF(G242="Ottone",1,0)</f>
        <v>0</v>
      </c>
      <c r="T242" s="205">
        <f ca="1">IF(ISERROR(OFFSET(Rame!$F$1,MATCH(J242,Rame!$F:$F,0)-1,MATCH(K242,Rame!$F$1:$FF$1,0)-1)=TRUE),0,OFFSET(Rame!$F$1,MATCH(J242,Rame!$F:$F,0)-1,MATCH(K242,Rame!$F$1:$FF$1,0)-1))*IF(G242="Rame",1,0)</f>
        <v>0</v>
      </c>
      <c r="U242" s="205">
        <f ca="1">IF(ISERROR(OFFSET(Bronzo!$A$1,MATCH(J242,Bronzo!$A:$A,0)-1,MATCH(K242,Bronzo!$A$1:$AA$1,0)-1)=TRUE),0,OFFSET(Bronzo!$A$1,MATCH(J242,Bronzo!$A:$A,0)-1,MATCH(K242,Bronzo!$A$1:$AA$1,0)-1))</f>
        <v>0</v>
      </c>
      <c r="V242" s="205">
        <f t="shared" ca="1" si="153"/>
        <v>0</v>
      </c>
      <c r="W242" s="204"/>
      <c r="X242" s="205">
        <v>0</v>
      </c>
      <c r="Y242" s="206">
        <f t="shared" ca="1" si="154"/>
        <v>1.25</v>
      </c>
      <c r="Z242" s="277">
        <f t="shared" si="155"/>
        <v>105.00000000000001</v>
      </c>
      <c r="AA242" s="203">
        <v>3.96</v>
      </c>
      <c r="AB242" s="203">
        <f t="shared" ca="1" si="156"/>
        <v>0.31999999999999984</v>
      </c>
      <c r="AC242" s="238">
        <v>45989</v>
      </c>
      <c r="AI242" s="367">
        <f t="shared" ca="1" si="152"/>
        <v>46092</v>
      </c>
      <c r="AJ242" s="367" t="b">
        <f t="shared" si="158"/>
        <v>0</v>
      </c>
      <c r="AK242" s="370">
        <f t="shared" ca="1" si="159"/>
        <v>-103</v>
      </c>
      <c r="AN242">
        <f t="shared" si="160"/>
        <v>48</v>
      </c>
      <c r="AO242">
        <f t="shared" si="161"/>
        <v>2025</v>
      </c>
      <c r="AV242">
        <f t="shared" si="162"/>
        <v>11</v>
      </c>
      <c r="AW242">
        <f t="shared" si="163"/>
        <v>2025</v>
      </c>
    </row>
    <row r="243" spans="4:49" ht="15.75" x14ac:dyDescent="0.25">
      <c r="D243" s="199" t="s">
        <v>559</v>
      </c>
      <c r="E243" s="200" t="s">
        <v>263</v>
      </c>
      <c r="F243" s="287">
        <v>1000</v>
      </c>
      <c r="G243" s="201" t="s">
        <v>4</v>
      </c>
      <c r="H243" s="219">
        <v>2.39</v>
      </c>
      <c r="I243" s="202">
        <v>45971</v>
      </c>
      <c r="J243" s="200" t="s">
        <v>243</v>
      </c>
      <c r="K243" s="200"/>
      <c r="L243" s="203">
        <v>7.0000000000000007E-2</v>
      </c>
      <c r="M243" s="204">
        <f ca="1">IF(ISERROR(OFFSET(Tabella!$A$1,MATCH(J243,Tabella!$A:$A,0)-1,MATCH(L243,Tabella!$A$1:$AC$1,0)-1)=TRUE),0,+OFFSET(Tabella!$A$1,MATCH(J243,Tabella!$A:$A,0)-1,MATCH(L243,Tabella!$A$1:$AC$1,0)-1))</f>
        <v>1.4</v>
      </c>
      <c r="N243" s="205">
        <f ca="1">IF(ISERROR(OFFSET(Ottone!$A$1,MATCH(J243,Ottone!$A:$A,0)-1,MATCH(L243,Ottone!$A$1:$Z$1,0)-1)=TRUE),0,OFFSET(Ottone!$A$1,MATCH(J243,Ottone!$A:$A,0)-1,MATCH(L243,Ottone!$A$1:$Z$1,0)-1))*IF(G243="Ottone",1,0)</f>
        <v>0</v>
      </c>
      <c r="O243" s="205">
        <f ca="1">IF(ISERROR(OFFSET(Rame!$A$1,MATCH(J243,Rame!$A:$A,0)-1,MATCH(L243,Rame!$A$1:$AA$1,0)-1)=TRUE),0,OFFSET(Rame!$A$1,MATCH(J243,Rame!$A:$A,0)-1,MATCH(L243,Rame!$A$1:$AA$1,0)-1))*IF(G243="Rame",1,0)</f>
        <v>0</v>
      </c>
      <c r="P243" s="205">
        <v>0</v>
      </c>
      <c r="Q243" s="205">
        <f t="shared" ca="1" si="157"/>
        <v>1.4</v>
      </c>
      <c r="R243" s="205">
        <f ca="1">+IF(ISERROR(OFFSET(Tabella!$G$1,MATCH(J243,Tabella!$G:$G,0)-1,MATCH(K243,Tabella!$G$1:$FG$1,0)-1)=TRUE),0,OFFSET(Tabella!$G$1,MATCH(J243,Tabella!$G:$G,0)-1,MATCH(K243,Tabella!$G$1:$AB$1,0)-1))</f>
        <v>0</v>
      </c>
      <c r="S243" s="205">
        <f ca="1">IF(ISERROR(OFFSET(Ottone!$F$1,MATCH(J243,Ottone!$A:$A,0)-1,MATCH(K243,Ottone!$F$1:$FF$1,0)-1)=TRUE),0,OFFSET(Ottone!$F$1,MATCH(J243,Ottone!$A:$A,0)-1,MATCH(K243,Ottone!$F$1:$FF$1,0)-1))*IF(G243="Ottone",1,0)</f>
        <v>0</v>
      </c>
      <c r="T243" s="205">
        <f ca="1">IF(ISERROR(OFFSET(Rame!$F$1,MATCH(J243,Rame!$F:$F,0)-1,MATCH(K243,Rame!$F$1:$FF$1,0)-1)=TRUE),0,OFFSET(Rame!$F$1,MATCH(J243,Rame!$F:$F,0)-1,MATCH(K243,Rame!$F$1:$FF$1,0)-1))*IF(G243="Rame",1,0)</f>
        <v>0</v>
      </c>
      <c r="U243" s="205">
        <f ca="1">IF(ISERROR(OFFSET(Bronzo!$A$1,MATCH(J243,Bronzo!$A:$A,0)-1,MATCH(K243,Bronzo!$A$1:$AA$1,0)-1)=TRUE),0,OFFSET(Bronzo!$A$1,MATCH(J243,Bronzo!$A:$A,0)-1,MATCH(K243,Bronzo!$A$1:$AA$1,0)-1))</f>
        <v>0</v>
      </c>
      <c r="V243" s="205">
        <f t="shared" ca="1" si="153"/>
        <v>0</v>
      </c>
      <c r="W243" s="204"/>
      <c r="X243" s="205">
        <v>0</v>
      </c>
      <c r="Y243" s="206">
        <f t="shared" ca="1" si="154"/>
        <v>1.4</v>
      </c>
      <c r="Z243" s="277">
        <f t="shared" si="155"/>
        <v>70</v>
      </c>
      <c r="AA243" s="203">
        <v>4.0599999999999996</v>
      </c>
      <c r="AB243" s="203">
        <f t="shared" ca="1" si="156"/>
        <v>0.26999999999999957</v>
      </c>
      <c r="AC243" s="238">
        <v>45989</v>
      </c>
      <c r="AI243" s="367">
        <f t="shared" ca="1" si="152"/>
        <v>46092</v>
      </c>
      <c r="AJ243" s="367" t="b">
        <f t="shared" si="158"/>
        <v>0</v>
      </c>
      <c r="AK243" s="370">
        <f t="shared" ca="1" si="159"/>
        <v>-103</v>
      </c>
      <c r="AN243">
        <f t="shared" si="160"/>
        <v>48</v>
      </c>
      <c r="AO243">
        <f t="shared" si="161"/>
        <v>2025</v>
      </c>
      <c r="AV243">
        <f t="shared" si="162"/>
        <v>11</v>
      </c>
      <c r="AW243">
        <f t="shared" si="163"/>
        <v>2025</v>
      </c>
    </row>
    <row r="244" spans="4:49" ht="15.75" x14ac:dyDescent="0.25">
      <c r="D244" s="199" t="s">
        <v>596</v>
      </c>
      <c r="E244" s="200" t="s">
        <v>228</v>
      </c>
      <c r="F244" s="287">
        <v>220</v>
      </c>
      <c r="G244" s="201" t="s">
        <v>4</v>
      </c>
      <c r="H244" s="219">
        <v>2.48</v>
      </c>
      <c r="I244" s="202">
        <v>45972</v>
      </c>
      <c r="J244" s="200" t="s">
        <v>17</v>
      </c>
      <c r="K244" s="200"/>
      <c r="L244" s="203">
        <v>0.3</v>
      </c>
      <c r="M244" s="204">
        <f ca="1">IF(ISERROR(OFFSET(Tabella!$A$1,MATCH(J244,Tabella!$A:$A,0)-1,MATCH(L244,Tabella!$A$1:$AC$1,0)-1)=TRUE),0,+OFFSET(Tabella!$A$1,MATCH(J244,Tabella!$A:$A,0)-1,MATCH(L244,Tabella!$A$1:$AC$1,0)-1))</f>
        <v>0</v>
      </c>
      <c r="N244" s="205">
        <f ca="1">IF(ISERROR(OFFSET(Ottone!$A$1,MATCH(J244,Ottone!$A:$A,0)-1,MATCH(L244,Ottone!$A$1:$Z$1,0)-1)=TRUE),0,OFFSET(Ottone!$A$1,MATCH(J244,Ottone!$A:$A,0)-1,MATCH(L244,Ottone!$A$1:$Z$1,0)-1))*IF(G244="Ottone",1,0)</f>
        <v>0</v>
      </c>
      <c r="O244" s="205">
        <f ca="1">IF(ISERROR(OFFSET(Rame!$A$1,MATCH(J244,Rame!$A:$A,0)-1,MATCH(L244,Rame!$A$1:$AA$1,0)-1)=TRUE),0,OFFSET(Rame!$A$1,MATCH(J244,Rame!$A:$A,0)-1,MATCH(L244,Rame!$A$1:$AA$1,0)-1))*IF(G244="Rame",1,0)</f>
        <v>0</v>
      </c>
      <c r="P244" s="205">
        <v>0</v>
      </c>
      <c r="Q244" s="205">
        <v>1.5</v>
      </c>
      <c r="R244" s="205">
        <f ca="1">+IF(ISERROR(OFFSET(Tabella!$G$1,MATCH(J244,Tabella!$G:$G,0)-1,MATCH(K244,Tabella!$G$1:$FG$1,0)-1)=TRUE),0,OFFSET(Tabella!$G$1,MATCH(J244,Tabella!$G:$G,0)-1,MATCH(K244,Tabella!$G$1:$AB$1,0)-1))</f>
        <v>0</v>
      </c>
      <c r="S244" s="205">
        <f ca="1">IF(ISERROR(OFFSET(Ottone!$F$1,MATCH(J244,Ottone!$A:$A,0)-1,MATCH(K244,Ottone!$F$1:$FF$1,0)-1)=TRUE),0,OFFSET(Ottone!$F$1,MATCH(J244,Ottone!$A:$A,0)-1,MATCH(K244,Ottone!$F$1:$FF$1,0)-1))*IF(G244="Ottone",1,0)</f>
        <v>0</v>
      </c>
      <c r="T244" s="205">
        <f ca="1">IF(ISERROR(OFFSET(Rame!$F$1,MATCH(J244,Rame!$F:$F,0)-1,MATCH(K244,Rame!$F$1:$FF$1,0)-1)=TRUE),0,OFFSET(Rame!$F$1,MATCH(J244,Rame!$F:$F,0)-1,MATCH(K244,Rame!$F$1:$FF$1,0)-1))*IF(G244="Rame",1,0)</f>
        <v>0</v>
      </c>
      <c r="U244" s="205">
        <f ca="1">IF(ISERROR(OFFSET(Bronzo!$A$1,MATCH(J244,Bronzo!$A:$A,0)-1,MATCH(K244,Bronzo!$A$1:$AA$1,0)-1)=TRUE),0,OFFSET(Bronzo!$A$1,MATCH(J244,Bronzo!$A:$A,0)-1,MATCH(K244,Bronzo!$A$1:$AA$1,0)-1))</f>
        <v>0</v>
      </c>
      <c r="V244" s="205">
        <f t="shared" ca="1" si="153"/>
        <v>0</v>
      </c>
      <c r="W244" s="204"/>
      <c r="X244" s="205">
        <v>0</v>
      </c>
      <c r="Y244" s="206">
        <f t="shared" ca="1" si="154"/>
        <v>1.5</v>
      </c>
      <c r="Z244" s="277">
        <f t="shared" si="155"/>
        <v>66</v>
      </c>
      <c r="AA244" s="203">
        <v>4.9000000000000004</v>
      </c>
      <c r="AB244" s="203">
        <f t="shared" ca="1" si="156"/>
        <v>0.92000000000000037</v>
      </c>
      <c r="AC244" s="238">
        <v>45995</v>
      </c>
      <c r="AI244" s="367">
        <f t="shared" ca="1" si="152"/>
        <v>46092</v>
      </c>
      <c r="AJ244" s="367" t="b">
        <f t="shared" si="158"/>
        <v>0</v>
      </c>
      <c r="AK244" s="370">
        <f t="shared" ca="1" si="159"/>
        <v>-97</v>
      </c>
      <c r="AN244">
        <f t="shared" si="160"/>
        <v>49</v>
      </c>
      <c r="AO244">
        <f t="shared" si="161"/>
        <v>2025</v>
      </c>
      <c r="AV244">
        <f t="shared" si="162"/>
        <v>12</v>
      </c>
      <c r="AW244">
        <f t="shared" si="163"/>
        <v>2025</v>
      </c>
    </row>
    <row r="245" spans="4:49" ht="15.75" x14ac:dyDescent="0.25">
      <c r="D245" s="199" t="s">
        <v>593</v>
      </c>
      <c r="E245" s="200" t="s">
        <v>212</v>
      </c>
      <c r="F245" s="287">
        <v>3500</v>
      </c>
      <c r="G245" s="201" t="s">
        <v>4</v>
      </c>
      <c r="H245" s="219">
        <v>2.39</v>
      </c>
      <c r="I245" s="202">
        <v>45973</v>
      </c>
      <c r="J245" s="200" t="s">
        <v>17</v>
      </c>
      <c r="K245" s="200"/>
      <c r="L245" s="203">
        <v>0.05</v>
      </c>
      <c r="M245" s="204">
        <f ca="1">IF(ISERROR(OFFSET(Tabella!$A$1,MATCH(J245,Tabella!$A:$A,0)-1,MATCH(L245,Tabella!$A$1:$AC$1,0)-1)=TRUE),0,+OFFSET(Tabella!$A$1,MATCH(J245,Tabella!$A:$A,0)-1,MATCH(L245,Tabella!$A$1:$AC$1,0)-1))</f>
        <v>0</v>
      </c>
      <c r="N245" s="205">
        <f ca="1">IF(ISERROR(OFFSET(Ottone!$A$1,MATCH(J245,Ottone!$A:$A,0)-1,MATCH(L245,Ottone!$A$1:$Z$1,0)-1)=TRUE),0,OFFSET(Ottone!$A$1,MATCH(J245,Ottone!$A:$A,0)-1,MATCH(L245,Ottone!$A$1:$Z$1,0)-1))*IF(G245="Ottone",1,0)</f>
        <v>0</v>
      </c>
      <c r="O245" s="205">
        <f ca="1">IF(ISERROR(OFFSET(Rame!$A$1,MATCH(J245,Rame!$A:$A,0)-1,MATCH(L245,Rame!$A$1:$AA$1,0)-1)=TRUE),0,OFFSET(Rame!$A$1,MATCH(J245,Rame!$A:$A,0)-1,MATCH(L245,Rame!$A$1:$AA$1,0)-1))*IF(G245="Rame",1,0)</f>
        <v>0</v>
      </c>
      <c r="P245" s="205">
        <v>0</v>
      </c>
      <c r="Q245" s="205">
        <v>1.5</v>
      </c>
      <c r="R245" s="205">
        <f ca="1">+IF(ISERROR(OFFSET(Tabella!$G$1,MATCH(J245,Tabella!$G:$G,0)-1,MATCH(K245,Tabella!$G$1:$FG$1,0)-1)=TRUE),0,OFFSET(Tabella!$G$1,MATCH(J245,Tabella!$G:$G,0)-1,MATCH(K245,Tabella!$G$1:$AB$1,0)-1))</f>
        <v>0</v>
      </c>
      <c r="S245" s="205">
        <f ca="1">IF(ISERROR(OFFSET(Ottone!$F$1,MATCH(J245,Ottone!$A:$A,0)-1,MATCH(K245,Ottone!$F$1:$FF$1,0)-1)=TRUE),0,OFFSET(Ottone!$F$1,MATCH(J245,Ottone!$A:$A,0)-1,MATCH(K245,Ottone!$F$1:$FF$1,0)-1))*IF(G245="Ottone",1,0)</f>
        <v>0</v>
      </c>
      <c r="T245" s="205">
        <f ca="1">IF(ISERROR(OFFSET(Rame!$F$1,MATCH(J245,Rame!$F:$F,0)-1,MATCH(K245,Rame!$F$1:$FF$1,0)-1)=TRUE),0,OFFSET(Rame!$F$1,MATCH(J245,Rame!$F:$F,0)-1,MATCH(K245,Rame!$F$1:$FF$1,0)-1))*IF(G245="Rame",1,0)</f>
        <v>0</v>
      </c>
      <c r="U245" s="205">
        <f ca="1">IF(ISERROR(OFFSET(Bronzo!$A$1,MATCH(J245,Bronzo!$A:$A,0)-1,MATCH(K245,Bronzo!$A$1:$AA$1,0)-1)=TRUE),0,OFFSET(Bronzo!$A$1,MATCH(J245,Bronzo!$A:$A,0)-1,MATCH(K245,Bronzo!$A$1:$AA$1,0)-1))</f>
        <v>0</v>
      </c>
      <c r="V245" s="205">
        <f t="shared" ca="1" si="153"/>
        <v>0</v>
      </c>
      <c r="W245" s="204"/>
      <c r="X245" s="205">
        <v>0</v>
      </c>
      <c r="Y245" s="206">
        <f t="shared" ca="1" si="154"/>
        <v>1.5</v>
      </c>
      <c r="Z245" s="277">
        <f t="shared" si="155"/>
        <v>175</v>
      </c>
      <c r="AA245" s="203">
        <v>3.86</v>
      </c>
      <c r="AB245" s="203">
        <f t="shared" ca="1" si="156"/>
        <v>-3.0000000000000249E-2</v>
      </c>
      <c r="AC245" s="238">
        <v>45992</v>
      </c>
      <c r="AI245" s="367">
        <f t="shared" ca="1" si="152"/>
        <v>46092</v>
      </c>
      <c r="AJ245" s="367" t="b">
        <f t="shared" si="158"/>
        <v>0</v>
      </c>
      <c r="AK245" s="370">
        <f t="shared" ca="1" si="159"/>
        <v>-100</v>
      </c>
      <c r="AN245">
        <f t="shared" si="160"/>
        <v>49</v>
      </c>
      <c r="AO245">
        <f t="shared" si="161"/>
        <v>2025</v>
      </c>
      <c r="AV245">
        <f t="shared" si="162"/>
        <v>12</v>
      </c>
      <c r="AW245">
        <f t="shared" si="163"/>
        <v>2025</v>
      </c>
    </row>
    <row r="246" spans="4:49" ht="15.75" x14ac:dyDescent="0.25">
      <c r="D246" s="199" t="s">
        <v>654</v>
      </c>
      <c r="E246" s="200" t="s">
        <v>113</v>
      </c>
      <c r="F246" s="287">
        <v>1000</v>
      </c>
      <c r="G246" s="201" t="s">
        <v>5</v>
      </c>
      <c r="H246" s="219">
        <v>6.05</v>
      </c>
      <c r="I246" s="202">
        <v>45974</v>
      </c>
      <c r="J246" s="200" t="s">
        <v>18</v>
      </c>
      <c r="K246" s="200"/>
      <c r="L246" s="203">
        <v>0.15</v>
      </c>
      <c r="M246" s="204">
        <f ca="1">IF(ISERROR(OFFSET(Tabella!$A$1,MATCH(J246,Tabella!$A:$A,0)-1,MATCH(L246,Tabella!$A$1:$AC$1,0)-1)=TRUE),0,+OFFSET(Tabella!$A$1,MATCH(J246,Tabella!$A:$A,0)-1,MATCH(L246,Tabella!$A$1:$AC$1,0)-1))</f>
        <v>0</v>
      </c>
      <c r="N246" s="205">
        <f ca="1">IF(ISERROR(OFFSET(Ottone!$A$1,MATCH(J246,Ottone!$A:$A,0)-1,MATCH(L246,Ottone!$A$1:$Z$1,0)-1)=TRUE),0,OFFSET(Ottone!$A$1,MATCH(J246,Ottone!$A:$A,0)-1,MATCH(L246,Ottone!$A$1:$Z$1,0)-1))*IF(G246="Ottone",1,0)</f>
        <v>0.7</v>
      </c>
      <c r="O246" s="205">
        <f ca="1">IF(ISERROR(OFFSET(Rame!$A$1,MATCH(J246,Rame!$A:$A,0)-1,MATCH(L246,Rame!$A$1:$AA$1,0)-1)=TRUE),0,OFFSET(Rame!$A$1,MATCH(J246,Rame!$A:$A,0)-1,MATCH(L246,Rame!$A$1:$AA$1,0)-1))*IF(G246="Rame",1,0)</f>
        <v>0</v>
      </c>
      <c r="P246" s="205">
        <v>0</v>
      </c>
      <c r="Q246" s="205">
        <f t="shared" ca="1" si="157"/>
        <v>0.7</v>
      </c>
      <c r="R246" s="205">
        <f ca="1">+IF(ISERROR(OFFSET(Tabella!$G$1,MATCH(J246,Tabella!$G:$G,0)-1,MATCH(K246,Tabella!$G$1:$FG$1,0)-1)=TRUE),0,OFFSET(Tabella!$G$1,MATCH(J246,Tabella!$G:$G,0)-1,MATCH(K246,Tabella!$G$1:$AB$1,0)-1))</f>
        <v>0</v>
      </c>
      <c r="S246" s="205">
        <f ca="1">IF(ISERROR(OFFSET(Ottone!$F$1,MATCH(J246,Ottone!$A:$A,0)-1,MATCH(K246,Ottone!$F$1:$FF$1,0)-1)=TRUE),0,OFFSET(Ottone!$F$1,MATCH(J246,Ottone!$A:$A,0)-1,MATCH(K246,Ottone!$F$1:$FF$1,0)-1))*IF(G246="Ottone",1,0)</f>
        <v>0</v>
      </c>
      <c r="T246" s="205">
        <f ca="1">IF(ISERROR(OFFSET(Rame!$F$1,MATCH(J246,Rame!$F:$F,0)-1,MATCH(K246,Rame!$F$1:$FF$1,0)-1)=TRUE),0,OFFSET(Rame!$F$1,MATCH(J246,Rame!$F:$F,0)-1,MATCH(K246,Rame!$F$1:$FF$1,0)-1))*IF(G246="Rame",1,0)</f>
        <v>0</v>
      </c>
      <c r="U246" s="205">
        <f ca="1">IF(ISERROR(OFFSET(Bronzo!$A$1,MATCH(J246,Bronzo!$A:$A,0)-1,MATCH(K246,Bronzo!$A$1:$AA$1,0)-1)=TRUE),0,OFFSET(Bronzo!$A$1,MATCH(J246,Bronzo!$A:$A,0)-1,MATCH(K246,Bronzo!$A$1:$AA$1,0)-1))</f>
        <v>0</v>
      </c>
      <c r="V246" s="205">
        <f t="shared" ca="1" si="153"/>
        <v>0</v>
      </c>
      <c r="W246" s="204"/>
      <c r="X246" s="205">
        <v>0</v>
      </c>
      <c r="Y246" s="206">
        <f t="shared" ca="1" si="154"/>
        <v>0.7</v>
      </c>
      <c r="Z246" s="277">
        <f t="shared" si="155"/>
        <v>150</v>
      </c>
      <c r="AA246" s="203">
        <v>9.9499999999999993</v>
      </c>
      <c r="AB246" s="203">
        <f t="shared" ca="1" si="156"/>
        <v>3.2</v>
      </c>
      <c r="AC246" s="238">
        <v>46038</v>
      </c>
      <c r="AI246" s="367">
        <f t="shared" ca="1" si="152"/>
        <v>46092</v>
      </c>
      <c r="AJ246" s="367" t="b">
        <f t="shared" si="158"/>
        <v>0</v>
      </c>
      <c r="AK246" s="370">
        <f t="shared" ca="1" si="159"/>
        <v>-54</v>
      </c>
      <c r="AN246">
        <f t="shared" si="160"/>
        <v>3</v>
      </c>
      <c r="AO246">
        <f t="shared" si="161"/>
        <v>2026</v>
      </c>
      <c r="AV246">
        <f t="shared" si="162"/>
        <v>1</v>
      </c>
      <c r="AW246">
        <f t="shared" si="163"/>
        <v>2026</v>
      </c>
    </row>
    <row r="247" spans="4:49" ht="15.75" x14ac:dyDescent="0.25">
      <c r="D247" s="199" t="s">
        <v>654</v>
      </c>
      <c r="E247" s="200" t="s">
        <v>113</v>
      </c>
      <c r="F247" s="287">
        <v>1500</v>
      </c>
      <c r="G247" s="201" t="s">
        <v>5</v>
      </c>
      <c r="H247" s="219">
        <v>6.05</v>
      </c>
      <c r="I247" s="202">
        <v>45974</v>
      </c>
      <c r="J247" s="200" t="s">
        <v>18</v>
      </c>
      <c r="K247" s="200"/>
      <c r="L247" s="203">
        <v>0.15</v>
      </c>
      <c r="M247" s="204">
        <f ca="1">IF(ISERROR(OFFSET(Tabella!$A$1,MATCH(J247,Tabella!$A:$A,0)-1,MATCH(L247,Tabella!$A$1:$AC$1,0)-1)=TRUE),0,+OFFSET(Tabella!$A$1,MATCH(J247,Tabella!$A:$A,0)-1,MATCH(L247,Tabella!$A$1:$AC$1,0)-1))</f>
        <v>0</v>
      </c>
      <c r="N247" s="205">
        <f ca="1">IF(ISERROR(OFFSET(Ottone!$A$1,MATCH(J247,Ottone!$A:$A,0)-1,MATCH(L247,Ottone!$A$1:$Z$1,0)-1)=TRUE),0,OFFSET(Ottone!$A$1,MATCH(J247,Ottone!$A:$A,0)-1,MATCH(L247,Ottone!$A$1:$Z$1,0)-1))*IF(G247="Ottone",1,0)</f>
        <v>0.7</v>
      </c>
      <c r="O247" s="205">
        <f ca="1">IF(ISERROR(OFFSET(Rame!$A$1,MATCH(J247,Rame!$A:$A,0)-1,MATCH(L247,Rame!$A$1:$AA$1,0)-1)=TRUE),0,OFFSET(Rame!$A$1,MATCH(J247,Rame!$A:$A,0)-1,MATCH(L247,Rame!$A$1:$AA$1,0)-1))*IF(G247="Rame",1,0)</f>
        <v>0</v>
      </c>
      <c r="P247" s="205">
        <v>0</v>
      </c>
      <c r="Q247" s="205">
        <f t="shared" ca="1" si="157"/>
        <v>0.7</v>
      </c>
      <c r="R247" s="205">
        <f ca="1">+IF(ISERROR(OFFSET(Tabella!$G$1,MATCH(J247,Tabella!$G:$G,0)-1,MATCH(K247,Tabella!$G$1:$FG$1,0)-1)=TRUE),0,OFFSET(Tabella!$G$1,MATCH(J247,Tabella!$G:$G,0)-1,MATCH(K247,Tabella!$G$1:$AB$1,0)-1))</f>
        <v>0</v>
      </c>
      <c r="S247" s="205">
        <f ca="1">IF(ISERROR(OFFSET(Ottone!$F$1,MATCH(J247,Ottone!$A:$A,0)-1,MATCH(K247,Ottone!$F$1:$FF$1,0)-1)=TRUE),0,OFFSET(Ottone!$F$1,MATCH(J247,Ottone!$A:$A,0)-1,MATCH(K247,Ottone!$F$1:$FF$1,0)-1))*IF(G247="Ottone",1,0)</f>
        <v>0</v>
      </c>
      <c r="T247" s="205">
        <f ca="1">IF(ISERROR(OFFSET(Rame!$F$1,MATCH(J247,Rame!$F:$F,0)-1,MATCH(K247,Rame!$F$1:$FF$1,0)-1)=TRUE),0,OFFSET(Rame!$F$1,MATCH(J247,Rame!$F:$F,0)-1,MATCH(K247,Rame!$F$1:$FF$1,0)-1))*IF(G247="Rame",1,0)</f>
        <v>0</v>
      </c>
      <c r="U247" s="205">
        <f ca="1">IF(ISERROR(OFFSET(Bronzo!$A$1,MATCH(J247,Bronzo!$A:$A,0)-1,MATCH(K247,Bronzo!$A$1:$AA$1,0)-1)=TRUE),0,OFFSET(Bronzo!$A$1,MATCH(J247,Bronzo!$A:$A,0)-1,MATCH(K247,Bronzo!$A$1:$AA$1,0)-1))</f>
        <v>0</v>
      </c>
      <c r="V247" s="205">
        <f t="shared" ca="1" si="153"/>
        <v>0</v>
      </c>
      <c r="W247" s="204"/>
      <c r="X247" s="205">
        <v>0</v>
      </c>
      <c r="Y247" s="206">
        <f t="shared" ca="1" si="154"/>
        <v>0.7</v>
      </c>
      <c r="Z247" s="277">
        <f t="shared" si="155"/>
        <v>225</v>
      </c>
      <c r="AA247" s="203">
        <v>9.9499999999999993</v>
      </c>
      <c r="AB247" s="203">
        <f t="shared" ca="1" si="156"/>
        <v>3.2</v>
      </c>
      <c r="AC247" s="238">
        <v>46038</v>
      </c>
      <c r="AI247" s="367">
        <f t="shared" ca="1" si="152"/>
        <v>46092</v>
      </c>
      <c r="AJ247" s="367" t="b">
        <f t="shared" si="158"/>
        <v>0</v>
      </c>
      <c r="AK247" s="370">
        <f t="shared" ca="1" si="159"/>
        <v>-54</v>
      </c>
      <c r="AN247">
        <f t="shared" si="160"/>
        <v>3</v>
      </c>
      <c r="AO247">
        <f t="shared" si="161"/>
        <v>2026</v>
      </c>
      <c r="AV247">
        <f t="shared" si="162"/>
        <v>1</v>
      </c>
      <c r="AW247">
        <f t="shared" si="163"/>
        <v>2026</v>
      </c>
    </row>
    <row r="248" spans="4:49" ht="15.75" x14ac:dyDescent="0.25">
      <c r="D248" s="199" t="s">
        <v>654</v>
      </c>
      <c r="E248" s="200" t="s">
        <v>113</v>
      </c>
      <c r="F248" s="287">
        <v>1000</v>
      </c>
      <c r="G248" s="201" t="s">
        <v>5</v>
      </c>
      <c r="H248" s="219">
        <v>6.05</v>
      </c>
      <c r="I248" s="202">
        <v>45974</v>
      </c>
      <c r="J248" s="200" t="s">
        <v>18</v>
      </c>
      <c r="K248" s="200"/>
      <c r="L248" s="203">
        <v>0.15</v>
      </c>
      <c r="M248" s="204">
        <f ca="1">IF(ISERROR(OFFSET(Tabella!$A$1,MATCH(J248,Tabella!$A:$A,0)-1,MATCH(L248,Tabella!$A$1:$AC$1,0)-1)=TRUE),0,+OFFSET(Tabella!$A$1,MATCH(J248,Tabella!$A:$A,0)-1,MATCH(L248,Tabella!$A$1:$AC$1,0)-1))</f>
        <v>0</v>
      </c>
      <c r="N248" s="205">
        <f ca="1">IF(ISERROR(OFFSET(Ottone!$A$1,MATCH(J248,Ottone!$A:$A,0)-1,MATCH(L248,Ottone!$A$1:$Z$1,0)-1)=TRUE),0,OFFSET(Ottone!$A$1,MATCH(J248,Ottone!$A:$A,0)-1,MATCH(L248,Ottone!$A$1:$Z$1,0)-1))*IF(G248="Ottone",1,0)</f>
        <v>0.7</v>
      </c>
      <c r="O248" s="205">
        <f ca="1">IF(ISERROR(OFFSET(Rame!$A$1,MATCH(J248,Rame!$A:$A,0)-1,MATCH(L248,Rame!$A$1:$AA$1,0)-1)=TRUE),0,OFFSET(Rame!$A$1,MATCH(J248,Rame!$A:$A,0)-1,MATCH(L248,Rame!$A$1:$AA$1,0)-1))*IF(G248="Rame",1,0)</f>
        <v>0</v>
      </c>
      <c r="P248" s="205">
        <v>0</v>
      </c>
      <c r="Q248" s="205">
        <f t="shared" ca="1" si="157"/>
        <v>0.7</v>
      </c>
      <c r="R248" s="205">
        <f ca="1">+IF(ISERROR(OFFSET(Tabella!$G$1,MATCH(J248,Tabella!$G:$G,0)-1,MATCH(K248,Tabella!$G$1:$FG$1,0)-1)=TRUE),0,OFFSET(Tabella!$G$1,MATCH(J248,Tabella!$G:$G,0)-1,MATCH(K248,Tabella!$G$1:$AB$1,0)-1))</f>
        <v>0</v>
      </c>
      <c r="S248" s="205">
        <f ca="1">IF(ISERROR(OFFSET(Ottone!$F$1,MATCH(J248,Ottone!$A:$A,0)-1,MATCH(K248,Ottone!$F$1:$FF$1,0)-1)=TRUE),0,OFFSET(Ottone!$F$1,MATCH(J248,Ottone!$A:$A,0)-1,MATCH(K248,Ottone!$F$1:$FF$1,0)-1))*IF(G248="Ottone",1,0)</f>
        <v>0</v>
      </c>
      <c r="T248" s="205">
        <f ca="1">IF(ISERROR(OFFSET(Rame!$F$1,MATCH(J248,Rame!$F:$F,0)-1,MATCH(K248,Rame!$F$1:$FF$1,0)-1)=TRUE),0,OFFSET(Rame!$F$1,MATCH(J248,Rame!$F:$F,0)-1,MATCH(K248,Rame!$F$1:$FF$1,0)-1))*IF(G248="Rame",1,0)</f>
        <v>0</v>
      </c>
      <c r="U248" s="205">
        <f ca="1">IF(ISERROR(OFFSET(Bronzo!$A$1,MATCH(J248,Bronzo!$A:$A,0)-1,MATCH(K248,Bronzo!$A$1:$AA$1,0)-1)=TRUE),0,OFFSET(Bronzo!$A$1,MATCH(J248,Bronzo!$A:$A,0)-1,MATCH(K248,Bronzo!$A$1:$AA$1,0)-1))</f>
        <v>0</v>
      </c>
      <c r="V248" s="205">
        <f t="shared" ca="1" si="153"/>
        <v>0</v>
      </c>
      <c r="W248" s="204"/>
      <c r="X248" s="205">
        <v>0</v>
      </c>
      <c r="Y248" s="206">
        <f t="shared" ca="1" si="154"/>
        <v>0.7</v>
      </c>
      <c r="Z248" s="277">
        <f t="shared" si="155"/>
        <v>150</v>
      </c>
      <c r="AA248" s="203">
        <v>9.9499999999999993</v>
      </c>
      <c r="AB248" s="203">
        <f t="shared" ca="1" si="156"/>
        <v>3.2</v>
      </c>
      <c r="AC248" s="238">
        <v>46038</v>
      </c>
      <c r="AI248" s="367">
        <f t="shared" ca="1" si="152"/>
        <v>46092</v>
      </c>
      <c r="AJ248" s="367" t="b">
        <f t="shared" si="158"/>
        <v>0</v>
      </c>
      <c r="AK248" s="370">
        <f t="shared" ca="1" si="159"/>
        <v>-54</v>
      </c>
      <c r="AN248">
        <f t="shared" si="160"/>
        <v>3</v>
      </c>
      <c r="AO248">
        <f t="shared" si="161"/>
        <v>2026</v>
      </c>
      <c r="AV248">
        <f t="shared" si="162"/>
        <v>1</v>
      </c>
      <c r="AW248">
        <f t="shared" si="163"/>
        <v>2026</v>
      </c>
    </row>
    <row r="249" spans="4:49" ht="15.75" x14ac:dyDescent="0.25">
      <c r="D249" s="199" t="s">
        <v>654</v>
      </c>
      <c r="E249" s="200" t="s">
        <v>113</v>
      </c>
      <c r="F249" s="287">
        <v>500</v>
      </c>
      <c r="G249" s="201" t="s">
        <v>5</v>
      </c>
      <c r="H249" s="219">
        <v>6.05</v>
      </c>
      <c r="I249" s="202">
        <v>45974</v>
      </c>
      <c r="J249" s="200" t="s">
        <v>18</v>
      </c>
      <c r="K249" s="200"/>
      <c r="L249" s="203">
        <v>0.15</v>
      </c>
      <c r="M249" s="204">
        <f ca="1">IF(ISERROR(OFFSET(Tabella!$A$1,MATCH(J249,Tabella!$A:$A,0)-1,MATCH(L249,Tabella!$A$1:$AC$1,0)-1)=TRUE),0,+OFFSET(Tabella!$A$1,MATCH(J249,Tabella!$A:$A,0)-1,MATCH(L249,Tabella!$A$1:$AC$1,0)-1))</f>
        <v>0</v>
      </c>
      <c r="N249" s="205">
        <f ca="1">IF(ISERROR(OFFSET(Ottone!$A$1,MATCH(J249,Ottone!$A:$A,0)-1,MATCH(L249,Ottone!$A$1:$Z$1,0)-1)=TRUE),0,OFFSET(Ottone!$A$1,MATCH(J249,Ottone!$A:$A,0)-1,MATCH(L249,Ottone!$A$1:$Z$1,0)-1))*IF(G249="Ottone",1,0)</f>
        <v>0.7</v>
      </c>
      <c r="O249" s="205">
        <f ca="1">IF(ISERROR(OFFSET(Rame!$A$1,MATCH(J249,Rame!$A:$A,0)-1,MATCH(L249,Rame!$A$1:$AA$1,0)-1)=TRUE),0,OFFSET(Rame!$A$1,MATCH(J249,Rame!$A:$A,0)-1,MATCH(L249,Rame!$A$1:$AA$1,0)-1))*IF(G249="Rame",1,0)</f>
        <v>0</v>
      </c>
      <c r="P249" s="205">
        <v>0</v>
      </c>
      <c r="Q249" s="205">
        <f t="shared" ca="1" si="157"/>
        <v>0.7</v>
      </c>
      <c r="R249" s="205">
        <f ca="1">+IF(ISERROR(OFFSET(Tabella!$G$1,MATCH(J249,Tabella!$G:$G,0)-1,MATCH(K249,Tabella!$G$1:$FG$1,0)-1)=TRUE),0,OFFSET(Tabella!$G$1,MATCH(J249,Tabella!$G:$G,0)-1,MATCH(K249,Tabella!$G$1:$AB$1,0)-1))</f>
        <v>0</v>
      </c>
      <c r="S249" s="205">
        <f ca="1">IF(ISERROR(OFFSET(Ottone!$F$1,MATCH(J249,Ottone!$A:$A,0)-1,MATCH(K249,Ottone!$F$1:$FF$1,0)-1)=TRUE),0,OFFSET(Ottone!$F$1,MATCH(J249,Ottone!$A:$A,0)-1,MATCH(K249,Ottone!$F$1:$FF$1,0)-1))*IF(G249="Ottone",1,0)</f>
        <v>0</v>
      </c>
      <c r="T249" s="205">
        <f ca="1">IF(ISERROR(OFFSET(Rame!$F$1,MATCH(J249,Rame!$F:$F,0)-1,MATCH(K249,Rame!$F$1:$FF$1,0)-1)=TRUE),0,OFFSET(Rame!$F$1,MATCH(J249,Rame!$F:$F,0)-1,MATCH(K249,Rame!$F$1:$FF$1,0)-1))*IF(G249="Rame",1,0)</f>
        <v>0</v>
      </c>
      <c r="U249" s="205">
        <f ca="1">IF(ISERROR(OFFSET(Bronzo!$A$1,MATCH(J249,Bronzo!$A:$A,0)-1,MATCH(K249,Bronzo!$A$1:$AA$1,0)-1)=TRUE),0,OFFSET(Bronzo!$A$1,MATCH(J249,Bronzo!$A:$A,0)-1,MATCH(K249,Bronzo!$A$1:$AA$1,0)-1))</f>
        <v>0</v>
      </c>
      <c r="V249" s="205">
        <f t="shared" ca="1" si="153"/>
        <v>0</v>
      </c>
      <c r="W249" s="204"/>
      <c r="X249" s="205">
        <v>0</v>
      </c>
      <c r="Y249" s="206">
        <f t="shared" ca="1" si="154"/>
        <v>0.7</v>
      </c>
      <c r="Z249" s="277">
        <f t="shared" si="155"/>
        <v>75</v>
      </c>
      <c r="AA249" s="203">
        <v>9.9499999999999993</v>
      </c>
      <c r="AB249" s="203">
        <f t="shared" ca="1" si="156"/>
        <v>3.2</v>
      </c>
      <c r="AC249" s="238">
        <v>46038</v>
      </c>
      <c r="AI249" s="367">
        <f t="shared" ca="1" si="152"/>
        <v>46092</v>
      </c>
      <c r="AJ249" s="367" t="b">
        <f t="shared" si="158"/>
        <v>0</v>
      </c>
      <c r="AK249" s="370">
        <f t="shared" ca="1" si="159"/>
        <v>-54</v>
      </c>
      <c r="AN249">
        <f t="shared" si="160"/>
        <v>3</v>
      </c>
      <c r="AO249">
        <f t="shared" si="161"/>
        <v>2026</v>
      </c>
      <c r="AV249">
        <f t="shared" si="162"/>
        <v>1</v>
      </c>
      <c r="AW249">
        <f t="shared" si="163"/>
        <v>2026</v>
      </c>
    </row>
    <row r="250" spans="4:49" ht="15.75" x14ac:dyDescent="0.25">
      <c r="D250" s="199" t="s">
        <v>594</v>
      </c>
      <c r="E250" s="200" t="s">
        <v>103</v>
      </c>
      <c r="F250" s="287">
        <v>1600</v>
      </c>
      <c r="G250" s="201" t="s">
        <v>4</v>
      </c>
      <c r="H250" s="219">
        <v>2.37</v>
      </c>
      <c r="I250" s="202">
        <v>45951</v>
      </c>
      <c r="J250" s="200" t="s">
        <v>23</v>
      </c>
      <c r="K250" s="200"/>
      <c r="L250" s="203">
        <v>7.0000000000000007E-2</v>
      </c>
      <c r="M250" s="204">
        <f ca="1">IF(ISERROR(OFFSET(Tabella!$A$1,MATCH(J250,Tabella!$A:$A,0)-1,MATCH(L250,Tabella!$A$1:$AC$1,0)-1)=TRUE),0,+OFFSET(Tabella!$A$1,MATCH(J250,Tabella!$A:$A,0)-1,MATCH(L250,Tabella!$A$1:$AC$1,0)-1))</f>
        <v>1.25</v>
      </c>
      <c r="N250" s="205">
        <f ca="1">IF(ISERROR(OFFSET(Ottone!$A$1,MATCH(J250,Ottone!$A:$A,0)-1,MATCH(L250,Ottone!$A$1:$Z$1,0)-1)=TRUE),0,OFFSET(Ottone!$A$1,MATCH(J250,Ottone!$A:$A,0)-1,MATCH(L250,Ottone!$A$1:$Z$1,0)-1))*IF(G250="Ottone",1,0)</f>
        <v>0</v>
      </c>
      <c r="O250" s="205">
        <f ca="1">IF(ISERROR(OFFSET(Rame!$A$1,MATCH(J250,Rame!$A:$A,0)-1,MATCH(L250,Rame!$A$1:$AA$1,0)-1)=TRUE),0,OFFSET(Rame!$A$1,MATCH(J250,Rame!$A:$A,0)-1,MATCH(L250,Rame!$A$1:$AA$1,0)-1))*IF(G250="Rame",1,0)</f>
        <v>0</v>
      </c>
      <c r="P250" s="205">
        <v>0</v>
      </c>
      <c r="Q250" s="205">
        <f t="shared" ca="1" si="157"/>
        <v>1.25</v>
      </c>
      <c r="R250" s="205">
        <f ca="1">+IF(ISERROR(OFFSET(Tabella!$G$1,MATCH(J250,Tabella!$G:$G,0)-1,MATCH(K250,Tabella!$G$1:$FG$1,0)-1)=TRUE),0,OFFSET(Tabella!$G$1,MATCH(J250,Tabella!$G:$G,0)-1,MATCH(K250,Tabella!$G$1:$AB$1,0)-1))</f>
        <v>0</v>
      </c>
      <c r="S250" s="205">
        <f ca="1">IF(ISERROR(OFFSET(Ottone!$F$1,MATCH(J250,Ottone!$A:$A,0)-1,MATCH(K250,Ottone!$F$1:$FF$1,0)-1)=TRUE),0,OFFSET(Ottone!$F$1,MATCH(J250,Ottone!$A:$A,0)-1,MATCH(K250,Ottone!$F$1:$FF$1,0)-1))*IF(G250="Ottone",1,0)</f>
        <v>0</v>
      </c>
      <c r="T250" s="205">
        <f ca="1">IF(ISERROR(OFFSET(Rame!$F$1,MATCH(J250,Rame!$F:$F,0)-1,MATCH(K250,Rame!$F$1:$FF$1,0)-1)=TRUE),0,OFFSET(Rame!$F$1,MATCH(J250,Rame!$F:$F,0)-1,MATCH(K250,Rame!$F$1:$FF$1,0)-1))*IF(G250="Rame",1,0)</f>
        <v>0</v>
      </c>
      <c r="U250" s="205">
        <f ca="1">IF(ISERROR(OFFSET(Bronzo!$A$1,MATCH(J250,Bronzo!$A:$A,0)-1,MATCH(K250,Bronzo!$A$1:$AA$1,0)-1)=TRUE),0,OFFSET(Bronzo!$A$1,MATCH(J250,Bronzo!$A:$A,0)-1,MATCH(K250,Bronzo!$A$1:$AA$1,0)-1))</f>
        <v>0</v>
      </c>
      <c r="V250" s="205">
        <f t="shared" ca="1" si="153"/>
        <v>0</v>
      </c>
      <c r="W250" s="204"/>
      <c r="X250" s="205">
        <v>0</v>
      </c>
      <c r="Y250" s="206">
        <f t="shared" ca="1" si="154"/>
        <v>1.25</v>
      </c>
      <c r="Z250" s="277">
        <f t="shared" si="155"/>
        <v>112.00000000000001</v>
      </c>
      <c r="AA250" s="203">
        <v>3.85</v>
      </c>
      <c r="AB250" s="203">
        <f t="shared" ca="1" si="156"/>
        <v>0.22999999999999998</v>
      </c>
      <c r="AC250" s="238">
        <v>45995</v>
      </c>
      <c r="AI250" s="367">
        <f t="shared" ca="1" si="152"/>
        <v>46092</v>
      </c>
      <c r="AJ250" s="367" t="b">
        <f t="shared" si="158"/>
        <v>0</v>
      </c>
      <c r="AK250" s="370">
        <f t="shared" ca="1" si="159"/>
        <v>-97</v>
      </c>
      <c r="AN250">
        <f t="shared" si="160"/>
        <v>49</v>
      </c>
      <c r="AO250">
        <f t="shared" si="161"/>
        <v>2025</v>
      </c>
      <c r="AV250">
        <f t="shared" si="162"/>
        <v>12</v>
      </c>
      <c r="AW250">
        <f t="shared" si="163"/>
        <v>2025</v>
      </c>
    </row>
    <row r="251" spans="4:49" ht="15.75" x14ac:dyDescent="0.25">
      <c r="D251" s="199" t="s">
        <v>594</v>
      </c>
      <c r="E251" s="200" t="s">
        <v>103</v>
      </c>
      <c r="F251" s="287">
        <v>600</v>
      </c>
      <c r="G251" s="201" t="s">
        <v>4</v>
      </c>
      <c r="H251" s="219">
        <v>2.37</v>
      </c>
      <c r="I251" s="202">
        <v>45951</v>
      </c>
      <c r="J251" s="200" t="s">
        <v>322</v>
      </c>
      <c r="K251" s="200"/>
      <c r="L251" s="203">
        <v>7.0000000000000007E-2</v>
      </c>
      <c r="M251" s="204">
        <f ca="1">IF(ISERROR(OFFSET(Tabella!$A$1,MATCH(J251,Tabella!$A:$A,0)-1,MATCH(L251,Tabella!$A$1:$AC$1,0)-1)=TRUE),0,+OFFSET(Tabella!$A$1,MATCH(J251,Tabella!$A:$A,0)-1,MATCH(L251,Tabella!$A$1:$AC$1,0)-1))</f>
        <v>1.25</v>
      </c>
      <c r="N251" s="205">
        <f ca="1">IF(ISERROR(OFFSET(Ottone!$A$1,MATCH(J251,Ottone!$A:$A,0)-1,MATCH(L251,Ottone!$A$1:$Z$1,0)-1)=TRUE),0,OFFSET(Ottone!$A$1,MATCH(J251,Ottone!$A:$A,0)-1,MATCH(L251,Ottone!$A$1:$Z$1,0)-1))*IF(G251="Ottone",1,0)</f>
        <v>0</v>
      </c>
      <c r="O251" s="205">
        <f ca="1">IF(ISERROR(OFFSET(Rame!$A$1,MATCH(J251,Rame!$A:$A,0)-1,MATCH(L251,Rame!$A$1:$AA$1,0)-1)=TRUE),0,OFFSET(Rame!$A$1,MATCH(J251,Rame!$A:$A,0)-1,MATCH(L251,Rame!$A$1:$AA$1,0)-1))*IF(G251="Rame",1,0)</f>
        <v>0</v>
      </c>
      <c r="P251" s="205">
        <v>0</v>
      </c>
      <c r="Q251" s="205">
        <f t="shared" ca="1" si="157"/>
        <v>1.25</v>
      </c>
      <c r="R251" s="205">
        <f ca="1">+IF(ISERROR(OFFSET(Tabella!$G$1,MATCH(J251,Tabella!$G:$G,0)-1,MATCH(K251,Tabella!$G$1:$FG$1,0)-1)=TRUE),0,OFFSET(Tabella!$G$1,MATCH(J251,Tabella!$G:$G,0)-1,MATCH(K251,Tabella!$G$1:$AB$1,0)-1))</f>
        <v>0</v>
      </c>
      <c r="S251" s="205">
        <f ca="1">IF(ISERROR(OFFSET(Ottone!$F$1,MATCH(J251,Ottone!$A:$A,0)-1,MATCH(K251,Ottone!$F$1:$FF$1,0)-1)=TRUE),0,OFFSET(Ottone!$F$1,MATCH(J251,Ottone!$A:$A,0)-1,MATCH(K251,Ottone!$F$1:$FF$1,0)-1))*IF(G251="Ottone",1,0)</f>
        <v>0</v>
      </c>
      <c r="T251" s="205">
        <f ca="1">IF(ISERROR(OFFSET(Rame!$F$1,MATCH(J251,Rame!$F:$F,0)-1,MATCH(K251,Rame!$F$1:$FF$1,0)-1)=TRUE),0,OFFSET(Rame!$F$1,MATCH(J251,Rame!$F:$F,0)-1,MATCH(K251,Rame!$F$1:$FF$1,0)-1))*IF(G251="Rame",1,0)</f>
        <v>0</v>
      </c>
      <c r="U251" s="205">
        <f ca="1">IF(ISERROR(OFFSET(Bronzo!$A$1,MATCH(J251,Bronzo!$A:$A,0)-1,MATCH(K251,Bronzo!$A$1:$AA$1,0)-1)=TRUE),0,OFFSET(Bronzo!$A$1,MATCH(J251,Bronzo!$A:$A,0)-1,MATCH(K251,Bronzo!$A$1:$AA$1,0)-1))</f>
        <v>0</v>
      </c>
      <c r="V251" s="205">
        <f t="shared" ca="1" si="153"/>
        <v>0</v>
      </c>
      <c r="W251" s="204"/>
      <c r="X251" s="205">
        <v>0</v>
      </c>
      <c r="Y251" s="206">
        <f t="shared" ca="1" si="154"/>
        <v>1.25</v>
      </c>
      <c r="Z251" s="277">
        <f t="shared" si="155"/>
        <v>42.000000000000007</v>
      </c>
      <c r="AA251" s="203">
        <v>3.85</v>
      </c>
      <c r="AB251" s="203">
        <f t="shared" ca="1" si="156"/>
        <v>0.22999999999999998</v>
      </c>
      <c r="AC251" s="238">
        <v>46037</v>
      </c>
      <c r="AI251" s="367">
        <f t="shared" ca="1" si="152"/>
        <v>46092</v>
      </c>
      <c r="AJ251" s="367" t="b">
        <f t="shared" si="158"/>
        <v>0</v>
      </c>
      <c r="AK251" s="370">
        <f t="shared" ca="1" si="159"/>
        <v>-55</v>
      </c>
      <c r="AN251">
        <f t="shared" si="160"/>
        <v>3</v>
      </c>
      <c r="AO251">
        <f t="shared" si="161"/>
        <v>2026</v>
      </c>
      <c r="AV251">
        <f t="shared" si="162"/>
        <v>1</v>
      </c>
      <c r="AW251">
        <f t="shared" si="163"/>
        <v>2026</v>
      </c>
    </row>
    <row r="252" spans="4:49" ht="15.75" x14ac:dyDescent="0.25">
      <c r="D252" s="199" t="s">
        <v>594</v>
      </c>
      <c r="E252" s="200" t="s">
        <v>103</v>
      </c>
      <c r="F252" s="287">
        <v>1600</v>
      </c>
      <c r="G252" s="201" t="s">
        <v>4</v>
      </c>
      <c r="H252" s="219">
        <v>2.37</v>
      </c>
      <c r="I252" s="202">
        <v>45951</v>
      </c>
      <c r="J252" s="200" t="s">
        <v>326</v>
      </c>
      <c r="K252" s="200"/>
      <c r="L252" s="203">
        <v>7.0000000000000007E-2</v>
      </c>
      <c r="M252" s="204">
        <f ca="1">IF(ISERROR(OFFSET(Tabella!$A$1,MATCH(J252,Tabella!$A:$A,0)-1,MATCH(L252,Tabella!$A$1:$AC$1,0)-1)=TRUE),0,+OFFSET(Tabella!$A$1,MATCH(J252,Tabella!$A:$A,0)-1,MATCH(L252,Tabella!$A$1:$AC$1,0)-1))</f>
        <v>1.25</v>
      </c>
      <c r="N252" s="205">
        <f ca="1">IF(ISERROR(OFFSET(Ottone!$A$1,MATCH(J252,Ottone!$A:$A,0)-1,MATCH(L252,Ottone!$A$1:$Z$1,0)-1)=TRUE),0,OFFSET(Ottone!$A$1,MATCH(J252,Ottone!$A:$A,0)-1,MATCH(L252,Ottone!$A$1:$Z$1,0)-1))*IF(G252="Ottone",1,0)</f>
        <v>0</v>
      </c>
      <c r="O252" s="205">
        <f ca="1">IF(ISERROR(OFFSET(Rame!$A$1,MATCH(J252,Rame!$A:$A,0)-1,MATCH(L252,Rame!$A$1:$AA$1,0)-1)=TRUE),0,OFFSET(Rame!$A$1,MATCH(J252,Rame!$A:$A,0)-1,MATCH(L252,Rame!$A$1:$AA$1,0)-1))*IF(G252="Rame",1,0)</f>
        <v>0</v>
      </c>
      <c r="P252" s="205">
        <v>0</v>
      </c>
      <c r="Q252" s="205">
        <f t="shared" ca="1" si="157"/>
        <v>1.25</v>
      </c>
      <c r="R252" s="205">
        <f ca="1">+IF(ISERROR(OFFSET(Tabella!$G$1,MATCH(J252,Tabella!$G:$G,0)-1,MATCH(K252,Tabella!$G$1:$FG$1,0)-1)=TRUE),0,OFFSET(Tabella!$G$1,MATCH(J252,Tabella!$G:$G,0)-1,MATCH(K252,Tabella!$G$1:$AB$1,0)-1))</f>
        <v>0</v>
      </c>
      <c r="S252" s="205">
        <f ca="1">IF(ISERROR(OFFSET(Ottone!$F$1,MATCH(J252,Ottone!$A:$A,0)-1,MATCH(K252,Ottone!$F$1:$FF$1,0)-1)=TRUE),0,OFFSET(Ottone!$F$1,MATCH(J252,Ottone!$A:$A,0)-1,MATCH(K252,Ottone!$F$1:$FF$1,0)-1))*IF(G252="Ottone",1,0)</f>
        <v>0</v>
      </c>
      <c r="T252" s="205">
        <f ca="1">IF(ISERROR(OFFSET(Rame!$F$1,MATCH(J252,Rame!$F:$F,0)-1,MATCH(K252,Rame!$F$1:$FF$1,0)-1)=TRUE),0,OFFSET(Rame!$F$1,MATCH(J252,Rame!$F:$F,0)-1,MATCH(K252,Rame!$F$1:$FF$1,0)-1))*IF(G252="Rame",1,0)</f>
        <v>0</v>
      </c>
      <c r="U252" s="205">
        <f ca="1">IF(ISERROR(OFFSET(Bronzo!$A$1,MATCH(J252,Bronzo!$A:$A,0)-1,MATCH(K252,Bronzo!$A$1:$AA$1,0)-1)=TRUE),0,OFFSET(Bronzo!$A$1,MATCH(J252,Bronzo!$A:$A,0)-1,MATCH(K252,Bronzo!$A$1:$AA$1,0)-1))</f>
        <v>0</v>
      </c>
      <c r="V252" s="205">
        <f t="shared" ca="1" si="153"/>
        <v>0</v>
      </c>
      <c r="W252" s="204"/>
      <c r="X252" s="205">
        <v>0</v>
      </c>
      <c r="Y252" s="206">
        <f t="shared" ca="1" si="154"/>
        <v>1.25</v>
      </c>
      <c r="Z252" s="277">
        <f t="shared" si="155"/>
        <v>112.00000000000001</v>
      </c>
      <c r="AA252" s="203">
        <v>3.85</v>
      </c>
      <c r="AB252" s="203">
        <f t="shared" ca="1" si="156"/>
        <v>0.22999999999999998</v>
      </c>
      <c r="AC252" s="238">
        <v>46037</v>
      </c>
      <c r="AI252" s="367">
        <f t="shared" ca="1" si="152"/>
        <v>46092</v>
      </c>
      <c r="AJ252" s="367" t="b">
        <f t="shared" si="158"/>
        <v>0</v>
      </c>
      <c r="AK252" s="370">
        <f t="shared" ca="1" si="159"/>
        <v>-55</v>
      </c>
      <c r="AN252">
        <f t="shared" si="160"/>
        <v>3</v>
      </c>
      <c r="AO252">
        <f t="shared" si="161"/>
        <v>2026</v>
      </c>
      <c r="AV252">
        <f t="shared" si="162"/>
        <v>1</v>
      </c>
      <c r="AW252">
        <f t="shared" si="163"/>
        <v>2026</v>
      </c>
    </row>
    <row r="253" spans="4:49" ht="15.75" x14ac:dyDescent="0.25">
      <c r="D253" s="199" t="s">
        <v>594</v>
      </c>
      <c r="E253" s="200" t="s">
        <v>103</v>
      </c>
      <c r="F253" s="287">
        <v>1600</v>
      </c>
      <c r="G253" s="201" t="s">
        <v>4</v>
      </c>
      <c r="H253" s="219">
        <v>2.37</v>
      </c>
      <c r="I253" s="202">
        <v>45951</v>
      </c>
      <c r="J253" s="200" t="s">
        <v>314</v>
      </c>
      <c r="K253" s="200"/>
      <c r="L253" s="203">
        <v>7.0000000000000007E-2</v>
      </c>
      <c r="M253" s="204">
        <f ca="1">IF(ISERROR(OFFSET(Tabella!$A$1,MATCH(J253,Tabella!$A:$A,0)-1,MATCH(L253,Tabella!$A$1:$AC$1,0)-1)=TRUE),0,+OFFSET(Tabella!$A$1,MATCH(J253,Tabella!$A:$A,0)-1,MATCH(L253,Tabella!$A$1:$AC$1,0)-1))</f>
        <v>1.25</v>
      </c>
      <c r="N253" s="205">
        <f ca="1">IF(ISERROR(OFFSET(Ottone!$A$1,MATCH(J253,Ottone!$A:$A,0)-1,MATCH(L253,Ottone!$A$1:$Z$1,0)-1)=TRUE),0,OFFSET(Ottone!$A$1,MATCH(J253,Ottone!$A:$A,0)-1,MATCH(L253,Ottone!$A$1:$Z$1,0)-1))*IF(G253="Ottone",1,0)</f>
        <v>0</v>
      </c>
      <c r="O253" s="205">
        <f ca="1">IF(ISERROR(OFFSET(Rame!$A$1,MATCH(J253,Rame!$A:$A,0)-1,MATCH(L253,Rame!$A$1:$AA$1,0)-1)=TRUE),0,OFFSET(Rame!$A$1,MATCH(J253,Rame!$A:$A,0)-1,MATCH(L253,Rame!$A$1:$AA$1,0)-1))*IF(G253="Rame",1,0)</f>
        <v>0</v>
      </c>
      <c r="P253" s="205">
        <v>0</v>
      </c>
      <c r="Q253" s="205">
        <f t="shared" ca="1" si="157"/>
        <v>1.25</v>
      </c>
      <c r="R253" s="205">
        <f ca="1">+IF(ISERROR(OFFSET(Tabella!$G$1,MATCH(J253,Tabella!$G:$G,0)-1,MATCH(K253,Tabella!$G$1:$FG$1,0)-1)=TRUE),0,OFFSET(Tabella!$G$1,MATCH(J253,Tabella!$G:$G,0)-1,MATCH(K253,Tabella!$G$1:$AB$1,0)-1))</f>
        <v>0</v>
      </c>
      <c r="S253" s="205">
        <f ca="1">IF(ISERROR(OFFSET(Ottone!$F$1,MATCH(J253,Ottone!$A:$A,0)-1,MATCH(K253,Ottone!$F$1:$FF$1,0)-1)=TRUE),0,OFFSET(Ottone!$F$1,MATCH(J253,Ottone!$A:$A,0)-1,MATCH(K253,Ottone!$F$1:$FF$1,0)-1))*IF(G253="Ottone",1,0)</f>
        <v>0</v>
      </c>
      <c r="T253" s="205">
        <f ca="1">IF(ISERROR(OFFSET(Rame!$F$1,MATCH(J253,Rame!$F:$F,0)-1,MATCH(K253,Rame!$F$1:$FF$1,0)-1)=TRUE),0,OFFSET(Rame!$F$1,MATCH(J253,Rame!$F:$F,0)-1,MATCH(K253,Rame!$F$1:$FF$1,0)-1))*IF(G253="Rame",1,0)</f>
        <v>0</v>
      </c>
      <c r="U253" s="205">
        <f ca="1">IF(ISERROR(OFFSET(Bronzo!$A$1,MATCH(J253,Bronzo!$A:$A,0)-1,MATCH(K253,Bronzo!$A$1:$AA$1,0)-1)=TRUE),0,OFFSET(Bronzo!$A$1,MATCH(J253,Bronzo!$A:$A,0)-1,MATCH(K253,Bronzo!$A$1:$AA$1,0)-1))</f>
        <v>0</v>
      </c>
      <c r="V253" s="205">
        <f t="shared" ca="1" si="153"/>
        <v>0</v>
      </c>
      <c r="W253" s="204"/>
      <c r="X253" s="205">
        <v>0</v>
      </c>
      <c r="Y253" s="206">
        <f t="shared" ca="1" si="154"/>
        <v>1.25</v>
      </c>
      <c r="Z253" s="277">
        <f t="shared" si="155"/>
        <v>112.00000000000001</v>
      </c>
      <c r="AA253" s="203">
        <v>3.85</v>
      </c>
      <c r="AB253" s="203">
        <f t="shared" ca="1" si="156"/>
        <v>0.22999999999999998</v>
      </c>
      <c r="AC253" s="238">
        <v>46037</v>
      </c>
      <c r="AI253" s="367">
        <f t="shared" ca="1" si="152"/>
        <v>46092</v>
      </c>
      <c r="AJ253" s="367" t="b">
        <f t="shared" si="158"/>
        <v>0</v>
      </c>
      <c r="AK253" s="370">
        <f t="shared" ca="1" si="159"/>
        <v>-55</v>
      </c>
      <c r="AN253">
        <f t="shared" si="160"/>
        <v>3</v>
      </c>
      <c r="AO253">
        <f t="shared" si="161"/>
        <v>2026</v>
      </c>
      <c r="AV253">
        <f t="shared" si="162"/>
        <v>1</v>
      </c>
      <c r="AW253">
        <f t="shared" si="163"/>
        <v>2026</v>
      </c>
    </row>
    <row r="254" spans="4:49" ht="15.75" x14ac:dyDescent="0.25">
      <c r="D254" s="199" t="s">
        <v>594</v>
      </c>
      <c r="E254" s="200" t="s">
        <v>103</v>
      </c>
      <c r="F254" s="287">
        <v>1600</v>
      </c>
      <c r="G254" s="201" t="s">
        <v>4</v>
      </c>
      <c r="H254" s="219">
        <v>2.37</v>
      </c>
      <c r="I254" s="202">
        <v>45951</v>
      </c>
      <c r="J254" s="200" t="s">
        <v>24</v>
      </c>
      <c r="K254" s="200"/>
      <c r="L254" s="203">
        <v>7.0000000000000007E-2</v>
      </c>
      <c r="M254" s="204">
        <f ca="1">IF(ISERROR(OFFSET(Tabella!$A$1,MATCH(J254,Tabella!$A:$A,0)-1,MATCH(L254,Tabella!$A$1:$AC$1,0)-1)=TRUE),0,+OFFSET(Tabella!$A$1,MATCH(J254,Tabella!$A:$A,0)-1,MATCH(L254,Tabella!$A$1:$AC$1,0)-1))</f>
        <v>1.25</v>
      </c>
      <c r="N254" s="205">
        <f ca="1">IF(ISERROR(OFFSET(Ottone!$A$1,MATCH(J254,Ottone!$A:$A,0)-1,MATCH(L254,Ottone!$A$1:$Z$1,0)-1)=TRUE),0,OFFSET(Ottone!$A$1,MATCH(J254,Ottone!$A:$A,0)-1,MATCH(L254,Ottone!$A$1:$Z$1,0)-1))*IF(G254="Ottone",1,0)</f>
        <v>0</v>
      </c>
      <c r="O254" s="205">
        <f ca="1">IF(ISERROR(OFFSET(Rame!$A$1,MATCH(J254,Rame!$A:$A,0)-1,MATCH(L254,Rame!$A$1:$AA$1,0)-1)=TRUE),0,OFFSET(Rame!$A$1,MATCH(J254,Rame!$A:$A,0)-1,MATCH(L254,Rame!$A$1:$AA$1,0)-1))*IF(G254="Rame",1,0)</f>
        <v>0</v>
      </c>
      <c r="P254" s="205">
        <v>0</v>
      </c>
      <c r="Q254" s="205">
        <f t="shared" ca="1" si="157"/>
        <v>1.25</v>
      </c>
      <c r="R254" s="205">
        <f ca="1">+IF(ISERROR(OFFSET(Tabella!$G$1,MATCH(J254,Tabella!$G:$G,0)-1,MATCH(K254,Tabella!$G$1:$FG$1,0)-1)=TRUE),0,OFFSET(Tabella!$G$1,MATCH(J254,Tabella!$G:$G,0)-1,MATCH(K254,Tabella!$G$1:$AB$1,0)-1))</f>
        <v>0</v>
      </c>
      <c r="S254" s="205">
        <f ca="1">IF(ISERROR(OFFSET(Ottone!$F$1,MATCH(J254,Ottone!$A:$A,0)-1,MATCH(K254,Ottone!$F$1:$FF$1,0)-1)=TRUE),0,OFFSET(Ottone!$F$1,MATCH(J254,Ottone!$A:$A,0)-1,MATCH(K254,Ottone!$F$1:$FF$1,0)-1))*IF(G254="Ottone",1,0)</f>
        <v>0</v>
      </c>
      <c r="T254" s="205">
        <f ca="1">IF(ISERROR(OFFSET(Rame!$F$1,MATCH(J254,Rame!$F:$F,0)-1,MATCH(K254,Rame!$F$1:$FF$1,0)-1)=TRUE),0,OFFSET(Rame!$F$1,MATCH(J254,Rame!$F:$F,0)-1,MATCH(K254,Rame!$F$1:$FF$1,0)-1))*IF(G254="Rame",1,0)</f>
        <v>0</v>
      </c>
      <c r="U254" s="205">
        <f ca="1">IF(ISERROR(OFFSET(Bronzo!$A$1,MATCH(J254,Bronzo!$A:$A,0)-1,MATCH(K254,Bronzo!$A$1:$AA$1,0)-1)=TRUE),0,OFFSET(Bronzo!$A$1,MATCH(J254,Bronzo!$A:$A,0)-1,MATCH(K254,Bronzo!$A$1:$AA$1,0)-1))</f>
        <v>0</v>
      </c>
      <c r="V254" s="205">
        <f t="shared" ca="1" si="153"/>
        <v>0</v>
      </c>
      <c r="W254" s="204"/>
      <c r="X254" s="205">
        <v>0</v>
      </c>
      <c r="Y254" s="206">
        <f t="shared" ca="1" si="154"/>
        <v>1.25</v>
      </c>
      <c r="Z254" s="277">
        <f t="shared" si="155"/>
        <v>112.00000000000001</v>
      </c>
      <c r="AA254" s="203">
        <v>3.85</v>
      </c>
      <c r="AB254" s="203">
        <f t="shared" ca="1" si="156"/>
        <v>0.22999999999999998</v>
      </c>
      <c r="AC254" s="238">
        <v>46037</v>
      </c>
      <c r="AI254" s="367">
        <f t="shared" ref="AI254:AI319" ca="1" si="164">TODAY()</f>
        <v>46092</v>
      </c>
      <c r="AJ254" s="367" t="b">
        <f t="shared" si="158"/>
        <v>0</v>
      </c>
      <c r="AK254" s="370">
        <f t="shared" ca="1" si="159"/>
        <v>-55</v>
      </c>
      <c r="AN254">
        <f t="shared" si="160"/>
        <v>3</v>
      </c>
      <c r="AO254">
        <f t="shared" si="161"/>
        <v>2026</v>
      </c>
      <c r="AV254">
        <f t="shared" si="162"/>
        <v>1</v>
      </c>
      <c r="AW254">
        <f t="shared" si="163"/>
        <v>2026</v>
      </c>
    </row>
    <row r="255" spans="4:49" ht="15.75" x14ac:dyDescent="0.25">
      <c r="D255" s="199" t="s">
        <v>594</v>
      </c>
      <c r="E255" s="200" t="s">
        <v>103</v>
      </c>
      <c r="F255" s="287">
        <v>1600</v>
      </c>
      <c r="G255" s="201" t="s">
        <v>4</v>
      </c>
      <c r="H255" s="219">
        <v>2.37</v>
      </c>
      <c r="I255" s="202">
        <v>45951</v>
      </c>
      <c r="J255" s="200" t="s">
        <v>25</v>
      </c>
      <c r="K255" s="200"/>
      <c r="L255" s="203">
        <v>7.0000000000000007E-2</v>
      </c>
      <c r="M255" s="204">
        <f ca="1">IF(ISERROR(OFFSET(Tabella!$A$1,MATCH(J255,Tabella!$A:$A,0)-1,MATCH(L255,Tabella!$A$1:$AC$1,0)-1)=TRUE),0,+OFFSET(Tabella!$A$1,MATCH(J255,Tabella!$A:$A,0)-1,MATCH(L255,Tabella!$A$1:$AC$1,0)-1))</f>
        <v>1.25</v>
      </c>
      <c r="N255" s="205">
        <f ca="1">IF(ISERROR(OFFSET(Ottone!$A$1,MATCH(J255,Ottone!$A:$A,0)-1,MATCH(L255,Ottone!$A$1:$Z$1,0)-1)=TRUE),0,OFFSET(Ottone!$A$1,MATCH(J255,Ottone!$A:$A,0)-1,MATCH(L255,Ottone!$A$1:$Z$1,0)-1))*IF(G255="Ottone",1,0)</f>
        <v>0</v>
      </c>
      <c r="O255" s="205">
        <f ca="1">IF(ISERROR(OFFSET(Rame!$A$1,MATCH(J255,Rame!$A:$A,0)-1,MATCH(L255,Rame!$A$1:$AA$1,0)-1)=TRUE),0,OFFSET(Rame!$A$1,MATCH(J255,Rame!$A:$A,0)-1,MATCH(L255,Rame!$A$1:$AA$1,0)-1))*IF(G255="Rame",1,0)</f>
        <v>0</v>
      </c>
      <c r="P255" s="205">
        <v>0</v>
      </c>
      <c r="Q255" s="205">
        <f t="shared" ca="1" si="157"/>
        <v>1.25</v>
      </c>
      <c r="R255" s="205">
        <f ca="1">+IF(ISERROR(OFFSET(Tabella!$G$1,MATCH(J255,Tabella!$G:$G,0)-1,MATCH(K255,Tabella!$G$1:$FG$1,0)-1)=TRUE),0,OFFSET(Tabella!$G$1,MATCH(J255,Tabella!$G:$G,0)-1,MATCH(K255,Tabella!$G$1:$AB$1,0)-1))</f>
        <v>0</v>
      </c>
      <c r="S255" s="205">
        <f ca="1">IF(ISERROR(OFFSET(Ottone!$F$1,MATCH(J255,Ottone!$A:$A,0)-1,MATCH(K255,Ottone!$F$1:$FF$1,0)-1)=TRUE),0,OFFSET(Ottone!$F$1,MATCH(J255,Ottone!$A:$A,0)-1,MATCH(K255,Ottone!$F$1:$FF$1,0)-1))*IF(G255="Ottone",1,0)</f>
        <v>0</v>
      </c>
      <c r="T255" s="205">
        <f ca="1">IF(ISERROR(OFFSET(Rame!$F$1,MATCH(J255,Rame!$F:$F,0)-1,MATCH(K255,Rame!$F$1:$FF$1,0)-1)=TRUE),0,OFFSET(Rame!$F$1,MATCH(J255,Rame!$F:$F,0)-1,MATCH(K255,Rame!$F$1:$FF$1,0)-1))*IF(G255="Rame",1,0)</f>
        <v>0</v>
      </c>
      <c r="U255" s="205">
        <f ca="1">IF(ISERROR(OFFSET(Bronzo!$A$1,MATCH(J255,Bronzo!$A:$A,0)-1,MATCH(K255,Bronzo!$A$1:$AA$1,0)-1)=TRUE),0,OFFSET(Bronzo!$A$1,MATCH(J255,Bronzo!$A:$A,0)-1,MATCH(K255,Bronzo!$A$1:$AA$1,0)-1))</f>
        <v>0</v>
      </c>
      <c r="V255" s="205">
        <f t="shared" ca="1" si="153"/>
        <v>0</v>
      </c>
      <c r="W255" s="204"/>
      <c r="X255" s="205">
        <v>0</v>
      </c>
      <c r="Y255" s="206">
        <f t="shared" ca="1" si="154"/>
        <v>1.25</v>
      </c>
      <c r="Z255" s="277">
        <f t="shared" si="155"/>
        <v>112.00000000000001</v>
      </c>
      <c r="AA255" s="203">
        <v>3.85</v>
      </c>
      <c r="AB255" s="203">
        <f t="shared" ca="1" si="156"/>
        <v>0.22999999999999998</v>
      </c>
      <c r="AC255" s="238">
        <v>46037</v>
      </c>
      <c r="AI255" s="367">
        <f t="shared" ca="1" si="164"/>
        <v>46092</v>
      </c>
      <c r="AJ255" s="367" t="b">
        <f t="shared" si="158"/>
        <v>0</v>
      </c>
      <c r="AK255" s="370">
        <f t="shared" ca="1" si="159"/>
        <v>-55</v>
      </c>
      <c r="AN255">
        <f t="shared" si="160"/>
        <v>3</v>
      </c>
      <c r="AO255">
        <f t="shared" si="161"/>
        <v>2026</v>
      </c>
      <c r="AV255">
        <f t="shared" si="162"/>
        <v>1</v>
      </c>
      <c r="AW255">
        <f t="shared" si="163"/>
        <v>2026</v>
      </c>
    </row>
    <row r="256" spans="4:49" ht="15.75" x14ac:dyDescent="0.25">
      <c r="D256" s="199" t="s">
        <v>563</v>
      </c>
      <c r="E256" s="378" t="s">
        <v>102</v>
      </c>
      <c r="F256" s="379">
        <v>1180</v>
      </c>
      <c r="G256" s="201" t="s">
        <v>4</v>
      </c>
      <c r="H256" s="219">
        <v>2.16</v>
      </c>
      <c r="I256" s="202">
        <v>45824</v>
      </c>
      <c r="J256" s="200" t="s">
        <v>23</v>
      </c>
      <c r="K256" s="200"/>
      <c r="L256" s="203">
        <v>7.0000000000000007E-2</v>
      </c>
      <c r="M256" s="204">
        <f ca="1">IF(ISERROR(OFFSET(Tabella!$A$1,MATCH(J256,Tabella!$A:$A,0)-1,MATCH(L256,Tabella!$A$1:$AC$1,0)-1)=TRUE),0,+OFFSET(Tabella!$A$1,MATCH(J256,Tabella!$A:$A,0)-1,MATCH(L256,Tabella!$A$1:$AC$1,0)-1))</f>
        <v>1.25</v>
      </c>
      <c r="N256" s="205">
        <f ca="1">IF(ISERROR(OFFSET(Ottone!$A$1,MATCH(J256,Ottone!$A:$A,0)-1,MATCH(L256,Ottone!$A$1:$Z$1,0)-1)=TRUE),0,OFFSET(Ottone!$A$1,MATCH(J256,Ottone!$A:$A,0)-1,MATCH(L256,Ottone!$A$1:$Z$1,0)-1))*IF(G256="Ottone",1,0)</f>
        <v>0</v>
      </c>
      <c r="O256" s="205">
        <f ca="1">IF(ISERROR(OFFSET(Rame!$A$1,MATCH(J256,Rame!$A:$A,0)-1,MATCH(L256,Rame!$A$1:$AA$1,0)-1)=TRUE),0,OFFSET(Rame!$A$1,MATCH(J256,Rame!$A:$A,0)-1,MATCH(L256,Rame!$A$1:$AA$1,0)-1))*IF(G256="Rame",1,0)</f>
        <v>0</v>
      </c>
      <c r="P256" s="205">
        <v>0</v>
      </c>
      <c r="Q256" s="205">
        <f t="shared" ca="1" si="157"/>
        <v>1.25</v>
      </c>
      <c r="R256" s="205">
        <f ca="1">+IF(ISERROR(OFFSET(Tabella!$G$1,MATCH(J256,Tabella!$G:$G,0)-1,MATCH(K256,Tabella!$G$1:$FG$1,0)-1)=TRUE),0,OFFSET(Tabella!$G$1,MATCH(J256,Tabella!$G:$G,0)-1,MATCH(K256,Tabella!$G$1:$AB$1,0)-1))</f>
        <v>0</v>
      </c>
      <c r="S256" s="205">
        <f ca="1">IF(ISERROR(OFFSET(Ottone!$F$1,MATCH(J256,Ottone!$A:$A,0)-1,MATCH(K256,Ottone!$F$1:$FF$1,0)-1)=TRUE),0,OFFSET(Ottone!$F$1,MATCH(J256,Ottone!$A:$A,0)-1,MATCH(K256,Ottone!$F$1:$FF$1,0)-1))*IF(G256="Ottone",1,0)</f>
        <v>0</v>
      </c>
      <c r="T256" s="205">
        <f ca="1">IF(ISERROR(OFFSET(Rame!$F$1,MATCH(J256,Rame!$F:$F,0)-1,MATCH(K256,Rame!$F$1:$FF$1,0)-1)=TRUE),0,OFFSET(Rame!$F$1,MATCH(J256,Rame!$F:$F,0)-1,MATCH(K256,Rame!$F$1:$FF$1,0)-1))*IF(G256="Rame",1,0)</f>
        <v>0</v>
      </c>
      <c r="U256" s="205">
        <f ca="1">IF(ISERROR(OFFSET(Bronzo!$A$1,MATCH(J256,Bronzo!$A:$A,0)-1,MATCH(K256,Bronzo!$A$1:$AA$1,0)-1)=TRUE),0,OFFSET(Bronzo!$A$1,MATCH(J256,Bronzo!$A:$A,0)-1,MATCH(K256,Bronzo!$A$1:$AA$1,0)-1))</f>
        <v>0</v>
      </c>
      <c r="V256" s="205">
        <f t="shared" ca="1" si="153"/>
        <v>0</v>
      </c>
      <c r="W256" s="204"/>
      <c r="X256" s="205">
        <v>0</v>
      </c>
      <c r="Y256" s="206">
        <f t="shared" ca="1" si="154"/>
        <v>1.25</v>
      </c>
      <c r="Z256" s="380">
        <f t="shared" si="155"/>
        <v>82.600000000000009</v>
      </c>
      <c r="AA256" s="203">
        <v>3.75</v>
      </c>
      <c r="AB256" s="203">
        <f t="shared" ca="1" si="156"/>
        <v>0.33999999999999986</v>
      </c>
      <c r="AC256" s="238"/>
      <c r="AG256" t="s">
        <v>404</v>
      </c>
      <c r="AI256" s="367">
        <f t="shared" ca="1" si="164"/>
        <v>46092</v>
      </c>
      <c r="AJ256" s="367" t="b">
        <f t="shared" si="158"/>
        <v>1</v>
      </c>
      <c r="AK256" s="370" t="str">
        <f t="shared" si="159"/>
        <v/>
      </c>
      <c r="AN256">
        <f t="shared" si="160"/>
        <v>0</v>
      </c>
      <c r="AO256">
        <f t="shared" si="161"/>
        <v>1900</v>
      </c>
      <c r="AV256">
        <f t="shared" si="162"/>
        <v>0</v>
      </c>
      <c r="AW256">
        <f t="shared" si="163"/>
        <v>0</v>
      </c>
    </row>
    <row r="257" spans="4:49" ht="15.75" x14ac:dyDescent="0.25">
      <c r="D257" s="199" t="s">
        <v>598</v>
      </c>
      <c r="E257" s="200" t="s">
        <v>245</v>
      </c>
      <c r="F257" s="287">
        <v>500</v>
      </c>
      <c r="G257" s="201" t="s">
        <v>6</v>
      </c>
      <c r="H257" s="219">
        <v>9.3699999999999992</v>
      </c>
      <c r="I257" s="202">
        <v>45975</v>
      </c>
      <c r="J257" s="200" t="s">
        <v>18</v>
      </c>
      <c r="K257" s="200"/>
      <c r="L257" s="203">
        <v>0.15</v>
      </c>
      <c r="M257" s="204">
        <f ca="1">IF(ISERROR(OFFSET(Tabella!$A$1,MATCH(J257,Tabella!$A:$A,0)-1,MATCH(L257,Tabella!$A$1:$AC$1,0)-1)=TRUE),0,+OFFSET(Tabella!$A$1,MATCH(J257,Tabella!$A:$A,0)-1,MATCH(L257,Tabella!$A$1:$AC$1,0)-1))</f>
        <v>0</v>
      </c>
      <c r="N257" s="205">
        <f ca="1">IF(ISERROR(OFFSET(Ottone!$A$1,MATCH(J257,Ottone!$A:$A,0)-1,MATCH(L257,Ottone!$A$1:$Z$1,0)-1)=TRUE),0,OFFSET(Ottone!$A$1,MATCH(J257,Ottone!$A:$A,0)-1,MATCH(L257,Ottone!$A$1:$Z$1,0)-1))*IF(G257="Ottone",1,0)</f>
        <v>0</v>
      </c>
      <c r="O257" s="205">
        <f ca="1">IF(ISERROR(OFFSET(Rame!$A$1,MATCH(J257,Rame!$A:$A,0)-1,MATCH(L257,Rame!$A$1:$AA$1,0)-1)=TRUE),0,OFFSET(Rame!$A$1,MATCH(J257,Rame!$A:$A,0)-1,MATCH(L257,Rame!$A$1:$AA$1,0)-1))*IF(G257="Rame",1,0)</f>
        <v>0.82</v>
      </c>
      <c r="P257" s="205">
        <v>0</v>
      </c>
      <c r="Q257" s="205">
        <f t="shared" ca="1" si="157"/>
        <v>0.82</v>
      </c>
      <c r="R257" s="205">
        <f ca="1">+IF(ISERROR(OFFSET(Tabella!$G$1,MATCH(J257,Tabella!$G:$G,0)-1,MATCH(K257,Tabella!$G$1:$FG$1,0)-1)=TRUE),0,OFFSET(Tabella!$G$1,MATCH(J257,Tabella!$G:$G,0)-1,MATCH(K257,Tabella!$G$1:$AB$1,0)-1))</f>
        <v>0</v>
      </c>
      <c r="S257" s="205">
        <f ca="1">IF(ISERROR(OFFSET(Ottone!$F$1,MATCH(J257,Ottone!$A:$A,0)-1,MATCH(K257,Ottone!$F$1:$FF$1,0)-1)=TRUE),0,OFFSET(Ottone!$F$1,MATCH(J257,Ottone!$A:$A,0)-1,MATCH(K257,Ottone!$F$1:$FF$1,0)-1))*IF(G257="Ottone",1,0)</f>
        <v>0</v>
      </c>
      <c r="T257" s="205">
        <f ca="1">IF(ISERROR(OFFSET(Rame!$F$1,MATCH(J257,Rame!$F:$F,0)-1,MATCH(K257,Rame!$F$1:$FF$1,0)-1)=TRUE),0,OFFSET(Rame!$F$1,MATCH(J257,Rame!$F:$F,0)-1,MATCH(K257,Rame!$F$1:$FF$1,0)-1))*IF(G257="Rame",1,0)</f>
        <v>0</v>
      </c>
      <c r="U257" s="205">
        <f ca="1">IF(ISERROR(OFFSET(Bronzo!$A$1,MATCH(J257,Bronzo!$A:$A,0)-1,MATCH(K257,Bronzo!$A$1:$AA$1,0)-1)=TRUE),0,OFFSET(Bronzo!$A$1,MATCH(J257,Bronzo!$A:$A,0)-1,MATCH(K257,Bronzo!$A$1:$AA$1,0)-1))</f>
        <v>0</v>
      </c>
      <c r="V257" s="205">
        <f t="shared" ca="1" si="153"/>
        <v>0</v>
      </c>
      <c r="W257" s="204"/>
      <c r="X257" s="205">
        <v>0</v>
      </c>
      <c r="Y257" s="206">
        <f t="shared" ca="1" si="154"/>
        <v>0.82</v>
      </c>
      <c r="Z257" s="277">
        <f t="shared" si="155"/>
        <v>75</v>
      </c>
      <c r="AA257" s="203">
        <v>12.97</v>
      </c>
      <c r="AB257" s="203">
        <f t="shared" ca="1" si="156"/>
        <v>2.7800000000000011</v>
      </c>
      <c r="AC257" s="238">
        <v>46043</v>
      </c>
      <c r="AI257" s="367">
        <f t="shared" ca="1" si="164"/>
        <v>46092</v>
      </c>
      <c r="AJ257" s="367" t="b">
        <f t="shared" si="158"/>
        <v>0</v>
      </c>
      <c r="AK257" s="370">
        <f t="shared" ca="1" si="159"/>
        <v>-49</v>
      </c>
      <c r="AN257">
        <f t="shared" si="160"/>
        <v>4</v>
      </c>
      <c r="AO257">
        <f t="shared" si="161"/>
        <v>2026</v>
      </c>
      <c r="AV257">
        <f t="shared" si="162"/>
        <v>1</v>
      </c>
      <c r="AW257">
        <f t="shared" si="163"/>
        <v>2026</v>
      </c>
    </row>
    <row r="258" spans="4:49" ht="15.75" x14ac:dyDescent="0.25">
      <c r="D258" s="199" t="s">
        <v>635</v>
      </c>
      <c r="E258" s="200" t="s">
        <v>162</v>
      </c>
      <c r="F258" s="287">
        <v>700</v>
      </c>
      <c r="G258" s="201" t="s">
        <v>4</v>
      </c>
      <c r="H258" s="219">
        <v>2.4500000000000002</v>
      </c>
      <c r="I258" s="202">
        <v>45975</v>
      </c>
      <c r="J258" s="200" t="s">
        <v>19</v>
      </c>
      <c r="K258" s="200"/>
      <c r="L258" s="203">
        <v>0.13</v>
      </c>
      <c r="M258" s="204">
        <f ca="1">IF(ISERROR(OFFSET(Tabella!$A$1,MATCH(J258,Tabella!$A:$A,0)-1,MATCH(L258,Tabella!$A$1:$AC$1,0)-1)=TRUE),0,+OFFSET(Tabella!$A$1,MATCH(J258,Tabella!$A:$A,0)-1,MATCH(L258,Tabella!$A$1:$AC$1,0)-1))</f>
        <v>0</v>
      </c>
      <c r="N258" s="205">
        <f ca="1">IF(ISERROR(OFFSET(Ottone!$A$1,MATCH(J258,Ottone!$A:$A,0)-1,MATCH(L258,Ottone!$A$1:$Z$1,0)-1)=TRUE),0,OFFSET(Ottone!$A$1,MATCH(J258,Ottone!$A:$A,0)-1,MATCH(L258,Ottone!$A$1:$Z$1,0)-1))*IF(G258="Ottone",1,0)</f>
        <v>0</v>
      </c>
      <c r="O258" s="205">
        <f ca="1">IF(ISERROR(OFFSET(Rame!$A$1,MATCH(J258,Rame!$A:$A,0)-1,MATCH(L258,Rame!$A$1:$AA$1,0)-1)=TRUE),0,OFFSET(Rame!$A$1,MATCH(J258,Rame!$A:$A,0)-1,MATCH(L258,Rame!$A$1:$AA$1,0)-1))*IF(G258="Rame",1,0)</f>
        <v>0</v>
      </c>
      <c r="P258" s="205">
        <v>0</v>
      </c>
      <c r="Q258" s="205">
        <v>1.84</v>
      </c>
      <c r="R258" s="205">
        <f ca="1">+IF(ISERROR(OFFSET(Tabella!$G$1,MATCH(J258,Tabella!$G:$G,0)-1,MATCH(K258,Tabella!$G$1:$FG$1,0)-1)=TRUE),0,OFFSET(Tabella!$G$1,MATCH(J258,Tabella!$G:$G,0)-1,MATCH(K258,Tabella!$G$1:$AB$1,0)-1))</f>
        <v>0</v>
      </c>
      <c r="S258" s="205">
        <f ca="1">IF(ISERROR(OFFSET(Ottone!$F$1,MATCH(J258,Ottone!$A:$A,0)-1,MATCH(K258,Ottone!$F$1:$FF$1,0)-1)=TRUE),0,OFFSET(Ottone!$F$1,MATCH(J258,Ottone!$A:$A,0)-1,MATCH(K258,Ottone!$F$1:$FF$1,0)-1))*IF(G258="Ottone",1,0)</f>
        <v>0</v>
      </c>
      <c r="T258" s="205">
        <f ca="1">IF(ISERROR(OFFSET(Rame!$F$1,MATCH(J258,Rame!$F:$F,0)-1,MATCH(K258,Rame!$F$1:$FF$1,0)-1)=TRUE),0,OFFSET(Rame!$F$1,MATCH(J258,Rame!$F:$F,0)-1,MATCH(K258,Rame!$F$1:$FF$1,0)-1))*IF(G258="Rame",1,0)</f>
        <v>0</v>
      </c>
      <c r="U258" s="205">
        <f ca="1">IF(ISERROR(OFFSET(Bronzo!$A$1,MATCH(J258,Bronzo!$A:$A,0)-1,MATCH(K258,Bronzo!$A$1:$AA$1,0)-1)=TRUE),0,OFFSET(Bronzo!$A$1,MATCH(J258,Bronzo!$A:$A,0)-1,MATCH(K258,Bronzo!$A$1:$AA$1,0)-1))</f>
        <v>0</v>
      </c>
      <c r="V258" s="205">
        <f t="shared" ca="1" si="153"/>
        <v>0</v>
      </c>
      <c r="W258" s="204"/>
      <c r="X258" s="205">
        <v>0</v>
      </c>
      <c r="Y258" s="206">
        <f t="shared" ca="1" si="154"/>
        <v>1.84</v>
      </c>
      <c r="Z258" s="277">
        <f t="shared" si="155"/>
        <v>91</v>
      </c>
      <c r="AA258" s="203">
        <v>4.7</v>
      </c>
      <c r="AB258" s="203">
        <f t="shared" ca="1" si="156"/>
        <v>0.41000000000000014</v>
      </c>
      <c r="AC258" s="238">
        <v>46038</v>
      </c>
      <c r="AI258" s="367">
        <f t="shared" ca="1" si="164"/>
        <v>46092</v>
      </c>
      <c r="AJ258" s="367" t="b">
        <f t="shared" si="158"/>
        <v>0</v>
      </c>
      <c r="AK258" s="370">
        <f t="shared" ca="1" si="159"/>
        <v>-54</v>
      </c>
      <c r="AN258">
        <f t="shared" si="160"/>
        <v>3</v>
      </c>
      <c r="AO258">
        <f t="shared" si="161"/>
        <v>2026</v>
      </c>
      <c r="AV258">
        <f t="shared" si="162"/>
        <v>1</v>
      </c>
      <c r="AW258">
        <f t="shared" si="163"/>
        <v>2026</v>
      </c>
    </row>
    <row r="259" spans="4:49" ht="15.75" x14ac:dyDescent="0.25">
      <c r="D259" s="199" t="s">
        <v>635</v>
      </c>
      <c r="E259" s="200" t="s">
        <v>162</v>
      </c>
      <c r="F259" s="287">
        <v>650</v>
      </c>
      <c r="G259" s="201" t="s">
        <v>6</v>
      </c>
      <c r="H259" s="219">
        <v>9.3699999999999992</v>
      </c>
      <c r="I259" s="202">
        <v>45975</v>
      </c>
      <c r="J259" s="200" t="s">
        <v>14</v>
      </c>
      <c r="K259" s="200"/>
      <c r="L259" s="203">
        <v>0.15</v>
      </c>
      <c r="M259" s="204">
        <f ca="1">IF(ISERROR(OFFSET(Tabella!$A$1,MATCH(J259,Tabella!$A:$A,0)-1,MATCH(L259,Tabella!$A$1:$AC$1,0)-1)=TRUE),0,+OFFSET(Tabella!$A$1,MATCH(J259,Tabella!$A:$A,0)-1,MATCH(L259,Tabella!$A$1:$AC$1,0)-1))</f>
        <v>0</v>
      </c>
      <c r="N259" s="205">
        <f ca="1">IF(ISERROR(OFFSET(Ottone!$A$1,MATCH(J259,Ottone!$A:$A,0)-1,MATCH(L259,Ottone!$A$1:$Z$1,0)-1)=TRUE),0,OFFSET(Ottone!$A$1,MATCH(J259,Ottone!$A:$A,0)-1,MATCH(L259,Ottone!$A$1:$Z$1,0)-1))*IF(G259="Ottone",1,0)</f>
        <v>0</v>
      </c>
      <c r="O259" s="205">
        <f ca="1">IF(ISERROR(OFFSET(Rame!$A$1,MATCH(J259,Rame!$A:$A,0)-1,MATCH(L259,Rame!$A$1:$AA$1,0)-1)=TRUE),0,OFFSET(Rame!$A$1,MATCH(J259,Rame!$A:$A,0)-1,MATCH(L259,Rame!$A$1:$AA$1,0)-1))*IF(G259="Rame",1,0)</f>
        <v>1</v>
      </c>
      <c r="P259" s="205">
        <v>0</v>
      </c>
      <c r="Q259" s="205">
        <f t="shared" ca="1" si="157"/>
        <v>1</v>
      </c>
      <c r="R259" s="205">
        <f ca="1">+IF(ISERROR(OFFSET(Tabella!$G$1,MATCH(J259,Tabella!$G:$G,0)-1,MATCH(K259,Tabella!$G$1:$FG$1,0)-1)=TRUE),0,OFFSET(Tabella!$G$1,MATCH(J259,Tabella!$G:$G,0)-1,MATCH(K259,Tabella!$G$1:$AB$1,0)-1))</f>
        <v>0</v>
      </c>
      <c r="S259" s="205">
        <f ca="1">IF(ISERROR(OFFSET(Ottone!$F$1,MATCH(J259,Ottone!$A:$A,0)-1,MATCH(K259,Ottone!$F$1:$FF$1,0)-1)=TRUE),0,OFFSET(Ottone!$F$1,MATCH(J259,Ottone!$A:$A,0)-1,MATCH(K259,Ottone!$F$1:$FF$1,0)-1))*IF(G259="Ottone",1,0)</f>
        <v>0</v>
      </c>
      <c r="T259" s="205">
        <f ca="1">IF(ISERROR(OFFSET(Rame!$F$1,MATCH(J259,Rame!$F:$F,0)-1,MATCH(K259,Rame!$F$1:$FF$1,0)-1)=TRUE),0,OFFSET(Rame!$F$1,MATCH(J259,Rame!$F:$F,0)-1,MATCH(K259,Rame!$F$1:$FF$1,0)-1))*IF(G259="Rame",1,0)</f>
        <v>0</v>
      </c>
      <c r="U259" s="205">
        <f ca="1">IF(ISERROR(OFFSET(Bronzo!$A$1,MATCH(J259,Bronzo!$A:$A,0)-1,MATCH(K259,Bronzo!$A$1:$AA$1,0)-1)=TRUE),0,OFFSET(Bronzo!$A$1,MATCH(J259,Bronzo!$A:$A,0)-1,MATCH(K259,Bronzo!$A$1:$AA$1,0)-1))</f>
        <v>0</v>
      </c>
      <c r="V259" s="205">
        <f t="shared" ca="1" si="153"/>
        <v>0</v>
      </c>
      <c r="W259" s="204"/>
      <c r="X259" s="205">
        <v>0</v>
      </c>
      <c r="Y259" s="206">
        <f t="shared" ca="1" si="154"/>
        <v>1</v>
      </c>
      <c r="Z259" s="277">
        <f t="shared" si="155"/>
        <v>97.5</v>
      </c>
      <c r="AA259" s="203">
        <v>13.2</v>
      </c>
      <c r="AB259" s="203">
        <f t="shared" ca="1" si="156"/>
        <v>2.83</v>
      </c>
      <c r="AC259" s="238">
        <v>46038</v>
      </c>
      <c r="AI259" s="367">
        <f t="shared" ca="1" si="164"/>
        <v>46092</v>
      </c>
      <c r="AJ259" s="367" t="b">
        <f t="shared" si="158"/>
        <v>0</v>
      </c>
      <c r="AK259" s="370">
        <f t="shared" ca="1" si="159"/>
        <v>-54</v>
      </c>
      <c r="AN259">
        <f t="shared" si="160"/>
        <v>3</v>
      </c>
      <c r="AO259">
        <f t="shared" si="161"/>
        <v>2026</v>
      </c>
      <c r="AV259">
        <f t="shared" si="162"/>
        <v>1</v>
      </c>
      <c r="AW259">
        <f t="shared" si="163"/>
        <v>2026</v>
      </c>
    </row>
    <row r="260" spans="4:49" ht="15.75" x14ac:dyDescent="0.25">
      <c r="D260" s="199" t="s">
        <v>635</v>
      </c>
      <c r="E260" s="200" t="s">
        <v>162</v>
      </c>
      <c r="F260" s="287">
        <v>780</v>
      </c>
      <c r="G260" s="201" t="s">
        <v>6</v>
      </c>
      <c r="H260" s="219">
        <v>9.3699999999999992</v>
      </c>
      <c r="I260" s="202">
        <v>45975</v>
      </c>
      <c r="J260" s="200" t="s">
        <v>14</v>
      </c>
      <c r="K260" s="200"/>
      <c r="L260" s="203">
        <v>0.15</v>
      </c>
      <c r="M260" s="204">
        <f ca="1">IF(ISERROR(OFFSET(Tabella!$A$1,MATCH(J260,Tabella!$A:$A,0)-1,MATCH(L260,Tabella!$A$1:$AC$1,0)-1)=TRUE),0,+OFFSET(Tabella!$A$1,MATCH(J260,Tabella!$A:$A,0)-1,MATCH(L260,Tabella!$A$1:$AC$1,0)-1))</f>
        <v>0</v>
      </c>
      <c r="N260" s="205">
        <f ca="1">IF(ISERROR(OFFSET(Ottone!$A$1,MATCH(J260,Ottone!$A:$A,0)-1,MATCH(L260,Ottone!$A$1:$Z$1,0)-1)=TRUE),0,OFFSET(Ottone!$A$1,MATCH(J260,Ottone!$A:$A,0)-1,MATCH(L260,Ottone!$A$1:$Z$1,0)-1))*IF(G260="Ottone",1,0)</f>
        <v>0</v>
      </c>
      <c r="O260" s="205">
        <f ca="1">IF(ISERROR(OFFSET(Rame!$A$1,MATCH(J260,Rame!$A:$A,0)-1,MATCH(L260,Rame!$A$1:$AA$1,0)-1)=TRUE),0,OFFSET(Rame!$A$1,MATCH(J260,Rame!$A:$A,0)-1,MATCH(L260,Rame!$A$1:$AA$1,0)-1))*IF(G260="Rame",1,0)</f>
        <v>1</v>
      </c>
      <c r="P260" s="205">
        <v>0</v>
      </c>
      <c r="Q260" s="205">
        <f t="shared" ca="1" si="157"/>
        <v>1</v>
      </c>
      <c r="R260" s="205">
        <f ca="1">+IF(ISERROR(OFFSET(Tabella!$G$1,MATCH(J260,Tabella!$G:$G,0)-1,MATCH(K260,Tabella!$G$1:$FG$1,0)-1)=TRUE),0,OFFSET(Tabella!$G$1,MATCH(J260,Tabella!$G:$G,0)-1,MATCH(K260,Tabella!$G$1:$AB$1,0)-1))</f>
        <v>0</v>
      </c>
      <c r="S260" s="205">
        <f ca="1">IF(ISERROR(OFFSET(Ottone!$F$1,MATCH(J260,Ottone!$A:$A,0)-1,MATCH(K260,Ottone!$F$1:$FF$1,0)-1)=TRUE),0,OFFSET(Ottone!$F$1,MATCH(J260,Ottone!$A:$A,0)-1,MATCH(K260,Ottone!$F$1:$FF$1,0)-1))*IF(G260="Ottone",1,0)</f>
        <v>0</v>
      </c>
      <c r="T260" s="205">
        <f ca="1">IF(ISERROR(OFFSET(Rame!$F$1,MATCH(J260,Rame!$F:$F,0)-1,MATCH(K260,Rame!$F$1:$FF$1,0)-1)=TRUE),0,OFFSET(Rame!$F$1,MATCH(J260,Rame!$F:$F,0)-1,MATCH(K260,Rame!$F$1:$FF$1,0)-1))*IF(G260="Rame",1,0)</f>
        <v>0</v>
      </c>
      <c r="U260" s="205">
        <f ca="1">IF(ISERROR(OFFSET(Bronzo!$A$1,MATCH(J260,Bronzo!$A:$A,0)-1,MATCH(K260,Bronzo!$A$1:$AA$1,0)-1)=TRUE),0,OFFSET(Bronzo!$A$1,MATCH(J260,Bronzo!$A:$A,0)-1,MATCH(K260,Bronzo!$A$1:$AA$1,0)-1))</f>
        <v>0</v>
      </c>
      <c r="V260" s="205">
        <f t="shared" ca="1" si="153"/>
        <v>0</v>
      </c>
      <c r="W260" s="204"/>
      <c r="X260" s="205">
        <v>0</v>
      </c>
      <c r="Y260" s="206">
        <f t="shared" ca="1" si="154"/>
        <v>1</v>
      </c>
      <c r="Z260" s="277">
        <f t="shared" si="155"/>
        <v>117</v>
      </c>
      <c r="AA260" s="203">
        <v>13.15</v>
      </c>
      <c r="AB260" s="203">
        <f t="shared" ca="1" si="156"/>
        <v>2.7800000000000011</v>
      </c>
      <c r="AC260" s="238">
        <v>46038</v>
      </c>
      <c r="AI260" s="367">
        <f t="shared" ca="1" si="164"/>
        <v>46092</v>
      </c>
      <c r="AJ260" s="367" t="b">
        <f t="shared" si="158"/>
        <v>0</v>
      </c>
      <c r="AK260" s="370">
        <f t="shared" ca="1" si="159"/>
        <v>-54</v>
      </c>
      <c r="AN260">
        <f t="shared" si="160"/>
        <v>3</v>
      </c>
      <c r="AO260">
        <f t="shared" si="161"/>
        <v>2026</v>
      </c>
      <c r="AV260">
        <f t="shared" si="162"/>
        <v>1</v>
      </c>
      <c r="AW260">
        <f t="shared" si="163"/>
        <v>2026</v>
      </c>
    </row>
    <row r="261" spans="4:49" ht="15.75" x14ac:dyDescent="0.25">
      <c r="D261" s="199" t="s">
        <v>602</v>
      </c>
      <c r="E261" s="200" t="s">
        <v>252</v>
      </c>
      <c r="F261" s="287">
        <v>400</v>
      </c>
      <c r="G261" s="201" t="s">
        <v>6</v>
      </c>
      <c r="H261" s="219">
        <v>9.3699999999999992</v>
      </c>
      <c r="I261" s="202">
        <v>45975</v>
      </c>
      <c r="J261" s="200" t="s">
        <v>14</v>
      </c>
      <c r="K261" s="200"/>
      <c r="L261" s="203">
        <v>0.1</v>
      </c>
      <c r="M261" s="204">
        <f ca="1">IF(ISERROR(OFFSET(Tabella!$A$1,MATCH(J261,Tabella!$A:$A,0)-1,MATCH(L261,Tabella!$A$1:$AC$1,0)-1)=TRUE),0,+OFFSET(Tabella!$A$1,MATCH(J261,Tabella!$A:$A,0)-1,MATCH(L261,Tabella!$A$1:$AC$1,0)-1))</f>
        <v>0</v>
      </c>
      <c r="N261" s="205">
        <f ca="1">IF(ISERROR(OFFSET(Ottone!$A$1,MATCH(J261,Ottone!$A:$A,0)-1,MATCH(L261,Ottone!$A$1:$Z$1,0)-1)=TRUE),0,OFFSET(Ottone!$A$1,MATCH(J261,Ottone!$A:$A,0)-1,MATCH(L261,Ottone!$A$1:$Z$1,0)-1))*IF(G261="Ottone",1,0)</f>
        <v>0</v>
      </c>
      <c r="O261" s="205">
        <f ca="1">IF(ISERROR(OFFSET(Rame!$A$1,MATCH(J261,Rame!$A:$A,0)-1,MATCH(L261,Rame!$A$1:$AA$1,0)-1)=TRUE),0,OFFSET(Rame!$A$1,MATCH(J261,Rame!$A:$A,0)-1,MATCH(L261,Rame!$A$1:$AA$1,0)-1))*IF(G261="Rame",1,0)</f>
        <v>0.95</v>
      </c>
      <c r="P261" s="205">
        <v>0</v>
      </c>
      <c r="Q261" s="205">
        <f t="shared" ca="1" si="157"/>
        <v>0.95</v>
      </c>
      <c r="R261" s="205">
        <f ca="1">+IF(ISERROR(OFFSET(Tabella!$G$1,MATCH(J261,Tabella!$G:$G,0)-1,MATCH(K261,Tabella!$G$1:$FG$1,0)-1)=TRUE),0,OFFSET(Tabella!$G$1,MATCH(J261,Tabella!$G:$G,0)-1,MATCH(K261,Tabella!$G$1:$AB$1,0)-1))</f>
        <v>0</v>
      </c>
      <c r="S261" s="205">
        <f ca="1">IF(ISERROR(OFFSET(Ottone!$F$1,MATCH(J261,Ottone!$A:$A,0)-1,MATCH(K261,Ottone!$F$1:$FF$1,0)-1)=TRUE),0,OFFSET(Ottone!$F$1,MATCH(J261,Ottone!$A:$A,0)-1,MATCH(K261,Ottone!$F$1:$FF$1,0)-1))*IF(G261="Ottone",1,0)</f>
        <v>0</v>
      </c>
      <c r="T261" s="205">
        <f ca="1">IF(ISERROR(OFFSET(Rame!$F$1,MATCH(J261,Rame!$F:$F,0)-1,MATCH(K261,Rame!$F$1:$FF$1,0)-1)=TRUE),0,OFFSET(Rame!$F$1,MATCH(J261,Rame!$F:$F,0)-1,MATCH(K261,Rame!$F$1:$FF$1,0)-1))*IF(G261="Rame",1,0)</f>
        <v>0</v>
      </c>
      <c r="U261" s="205">
        <f ca="1">IF(ISERROR(OFFSET(Bronzo!$A$1,MATCH(J261,Bronzo!$A:$A,0)-1,MATCH(K261,Bronzo!$A$1:$AA$1,0)-1)=TRUE),0,OFFSET(Bronzo!$A$1,MATCH(J261,Bronzo!$A:$A,0)-1,MATCH(K261,Bronzo!$A$1:$AA$1,0)-1))</f>
        <v>0</v>
      </c>
      <c r="V261" s="205">
        <f t="shared" ca="1" si="153"/>
        <v>0</v>
      </c>
      <c r="W261" s="204"/>
      <c r="X261" s="205">
        <v>0</v>
      </c>
      <c r="Y261" s="206">
        <f t="shared" ca="1" si="154"/>
        <v>0.95</v>
      </c>
      <c r="Z261" s="277">
        <f t="shared" si="155"/>
        <v>40</v>
      </c>
      <c r="AA261" s="203">
        <v>12.8</v>
      </c>
      <c r="AB261" s="203">
        <f t="shared" ca="1" si="156"/>
        <v>2.4800000000000022</v>
      </c>
      <c r="AC261" s="238">
        <v>46037</v>
      </c>
      <c r="AI261" s="367">
        <f t="shared" ca="1" si="164"/>
        <v>46092</v>
      </c>
      <c r="AJ261" s="367" t="b">
        <f t="shared" si="158"/>
        <v>0</v>
      </c>
      <c r="AK261" s="370">
        <f t="shared" ca="1" si="159"/>
        <v>-55</v>
      </c>
      <c r="AN261">
        <f t="shared" si="160"/>
        <v>3</v>
      </c>
      <c r="AO261">
        <f t="shared" si="161"/>
        <v>2026</v>
      </c>
      <c r="AV261">
        <f t="shared" si="162"/>
        <v>1</v>
      </c>
      <c r="AW261">
        <f t="shared" si="163"/>
        <v>2026</v>
      </c>
    </row>
    <row r="262" spans="4:49" ht="15.75" x14ac:dyDescent="0.25">
      <c r="D262" s="199" t="s">
        <v>602</v>
      </c>
      <c r="E262" s="200" t="s">
        <v>252</v>
      </c>
      <c r="F262" s="287">
        <v>250</v>
      </c>
      <c r="G262" s="201" t="s">
        <v>6</v>
      </c>
      <c r="H262" s="219">
        <v>9.3699999999999992</v>
      </c>
      <c r="I262" s="202">
        <v>45975</v>
      </c>
      <c r="J262" s="200" t="s">
        <v>16</v>
      </c>
      <c r="K262" s="200"/>
      <c r="L262" s="203">
        <v>0.1</v>
      </c>
      <c r="M262" s="204">
        <f ca="1">IF(ISERROR(OFFSET(Tabella!$A$1,MATCH(J262,Tabella!$A:$A,0)-1,MATCH(L262,Tabella!$A$1:$AC$1,0)-1)=TRUE),0,+OFFSET(Tabella!$A$1,MATCH(J262,Tabella!$A:$A,0)-1,MATCH(L262,Tabella!$A$1:$AC$1,0)-1))</f>
        <v>0</v>
      </c>
      <c r="N262" s="205">
        <f ca="1">IF(ISERROR(OFFSET(Ottone!$A$1,MATCH(J262,Ottone!$A:$A,0)-1,MATCH(L262,Ottone!$A$1:$Z$1,0)-1)=TRUE),0,OFFSET(Ottone!$A$1,MATCH(J262,Ottone!$A:$A,0)-1,MATCH(L262,Ottone!$A$1:$Z$1,0)-1))*IF(G262="Ottone",1,0)</f>
        <v>0</v>
      </c>
      <c r="O262" s="205">
        <f ca="1">IF(ISERROR(OFFSET(Rame!$A$1,MATCH(J262,Rame!$A:$A,0)-1,MATCH(L262,Rame!$A$1:$AA$1,0)-1)=TRUE),0,OFFSET(Rame!$A$1,MATCH(J262,Rame!$A:$A,0)-1,MATCH(L262,Rame!$A$1:$AA$1,0)-1))*IF(G262="Rame",1,0)</f>
        <v>0.82</v>
      </c>
      <c r="P262" s="205">
        <v>0</v>
      </c>
      <c r="Q262" s="205">
        <f t="shared" ca="1" si="157"/>
        <v>0.82</v>
      </c>
      <c r="R262" s="205">
        <f ca="1">+IF(ISERROR(OFFSET(Tabella!$G$1,MATCH(J262,Tabella!$G:$G,0)-1,MATCH(K262,Tabella!$G$1:$FG$1,0)-1)=TRUE),0,OFFSET(Tabella!$G$1,MATCH(J262,Tabella!$G:$G,0)-1,MATCH(K262,Tabella!$G$1:$AB$1,0)-1))</f>
        <v>0</v>
      </c>
      <c r="S262" s="205">
        <f ca="1">IF(ISERROR(OFFSET(Ottone!$F$1,MATCH(J262,Ottone!$A:$A,0)-1,MATCH(K262,Ottone!$F$1:$FF$1,0)-1)=TRUE),0,OFFSET(Ottone!$F$1,MATCH(J262,Ottone!$A:$A,0)-1,MATCH(K262,Ottone!$F$1:$FF$1,0)-1))*IF(G262="Ottone",1,0)</f>
        <v>0</v>
      </c>
      <c r="T262" s="205">
        <f ca="1">IF(ISERROR(OFFSET(Rame!$F$1,MATCH(J262,Rame!$F:$F,0)-1,MATCH(K262,Rame!$F$1:$FF$1,0)-1)=TRUE),0,OFFSET(Rame!$F$1,MATCH(J262,Rame!$F:$F,0)-1,MATCH(K262,Rame!$F$1:$FF$1,0)-1))*IF(G262="Rame",1,0)</f>
        <v>0</v>
      </c>
      <c r="U262" s="205">
        <f ca="1">IF(ISERROR(OFFSET(Bronzo!$A$1,MATCH(J262,Bronzo!$A:$A,0)-1,MATCH(K262,Bronzo!$A$1:$AA$1,0)-1)=TRUE),0,OFFSET(Bronzo!$A$1,MATCH(J262,Bronzo!$A:$A,0)-1,MATCH(K262,Bronzo!$A$1:$AA$1,0)-1))</f>
        <v>0</v>
      </c>
      <c r="V262" s="205">
        <f t="shared" ca="1" si="153"/>
        <v>0</v>
      </c>
      <c r="W262" s="204"/>
      <c r="X262" s="205">
        <v>0</v>
      </c>
      <c r="Y262" s="206">
        <f t="shared" ca="1" si="154"/>
        <v>0.82</v>
      </c>
      <c r="Z262" s="277">
        <f t="shared" si="155"/>
        <v>25</v>
      </c>
      <c r="AA262" s="203">
        <v>12.8</v>
      </c>
      <c r="AB262" s="203">
        <f t="shared" ca="1" si="156"/>
        <v>2.6100000000000012</v>
      </c>
      <c r="AC262" s="238">
        <v>46037</v>
      </c>
      <c r="AI262" s="367">
        <f t="shared" ca="1" si="164"/>
        <v>46092</v>
      </c>
      <c r="AJ262" s="367" t="b">
        <f t="shared" si="158"/>
        <v>0</v>
      </c>
      <c r="AK262" s="370">
        <f t="shared" ca="1" si="159"/>
        <v>-55</v>
      </c>
      <c r="AN262">
        <f t="shared" si="160"/>
        <v>3</v>
      </c>
      <c r="AO262">
        <f t="shared" si="161"/>
        <v>2026</v>
      </c>
      <c r="AV262">
        <f t="shared" si="162"/>
        <v>1</v>
      </c>
      <c r="AW262">
        <f t="shared" si="163"/>
        <v>2026</v>
      </c>
    </row>
    <row r="263" spans="4:49" ht="15.75" x14ac:dyDescent="0.25">
      <c r="D263" s="199" t="s">
        <v>602</v>
      </c>
      <c r="E263" s="200" t="s">
        <v>252</v>
      </c>
      <c r="F263" s="287">
        <v>800</v>
      </c>
      <c r="G263" s="201" t="s">
        <v>6</v>
      </c>
      <c r="H263" s="219">
        <v>9.3699999999999992</v>
      </c>
      <c r="I263" s="202">
        <v>45975</v>
      </c>
      <c r="J263" s="200" t="s">
        <v>18</v>
      </c>
      <c r="K263" s="200"/>
      <c r="L263" s="203">
        <v>0.1</v>
      </c>
      <c r="M263" s="204">
        <f ca="1">IF(ISERROR(OFFSET(Tabella!$A$1,MATCH(J263,Tabella!$A:$A,0)-1,MATCH(L263,Tabella!$A$1:$AC$1,0)-1)=TRUE),0,+OFFSET(Tabella!$A$1,MATCH(J263,Tabella!$A:$A,0)-1,MATCH(L263,Tabella!$A$1:$AC$1,0)-1))</f>
        <v>0</v>
      </c>
      <c r="N263" s="205">
        <f ca="1">IF(ISERROR(OFFSET(Ottone!$A$1,MATCH(J263,Ottone!$A:$A,0)-1,MATCH(L263,Ottone!$A$1:$Z$1,0)-1)=TRUE),0,OFFSET(Ottone!$A$1,MATCH(J263,Ottone!$A:$A,0)-1,MATCH(L263,Ottone!$A$1:$Z$1,0)-1))*IF(G263="Ottone",1,0)</f>
        <v>0</v>
      </c>
      <c r="O263" s="205">
        <f ca="1">IF(ISERROR(OFFSET(Rame!$A$1,MATCH(J263,Rame!$A:$A,0)-1,MATCH(L263,Rame!$A$1:$AA$1,0)-1)=TRUE),0,OFFSET(Rame!$A$1,MATCH(J263,Rame!$A:$A,0)-1,MATCH(L263,Rame!$A$1:$AA$1,0)-1))*IF(G263="Rame",1,0)</f>
        <v>0.78</v>
      </c>
      <c r="P263" s="205">
        <v>0</v>
      </c>
      <c r="Q263" s="205">
        <f t="shared" ca="1" si="157"/>
        <v>0.78</v>
      </c>
      <c r="R263" s="205">
        <f ca="1">+IF(ISERROR(OFFSET(Tabella!$G$1,MATCH(J263,Tabella!$G:$G,0)-1,MATCH(K263,Tabella!$G$1:$FG$1,0)-1)=TRUE),0,OFFSET(Tabella!$G$1,MATCH(J263,Tabella!$G:$G,0)-1,MATCH(K263,Tabella!$G$1:$AB$1,0)-1))</f>
        <v>0</v>
      </c>
      <c r="S263" s="205">
        <f ca="1">IF(ISERROR(OFFSET(Ottone!$F$1,MATCH(J263,Ottone!$A:$A,0)-1,MATCH(K263,Ottone!$F$1:$FF$1,0)-1)=TRUE),0,OFFSET(Ottone!$F$1,MATCH(J263,Ottone!$A:$A,0)-1,MATCH(K263,Ottone!$F$1:$FF$1,0)-1))*IF(G263="Ottone",1,0)</f>
        <v>0</v>
      </c>
      <c r="T263" s="205">
        <f ca="1">IF(ISERROR(OFFSET(Rame!$F$1,MATCH(J263,Rame!$F:$F,0)-1,MATCH(K263,Rame!$F$1:$FF$1,0)-1)=TRUE),0,OFFSET(Rame!$F$1,MATCH(J263,Rame!$F:$F,0)-1,MATCH(K263,Rame!$F$1:$FF$1,0)-1))*IF(G263="Rame",1,0)</f>
        <v>0</v>
      </c>
      <c r="U263" s="205">
        <f ca="1">IF(ISERROR(OFFSET(Bronzo!$A$1,MATCH(J263,Bronzo!$A:$A,0)-1,MATCH(K263,Bronzo!$A$1:$AA$1,0)-1)=TRUE),0,OFFSET(Bronzo!$A$1,MATCH(J263,Bronzo!$A:$A,0)-1,MATCH(K263,Bronzo!$A$1:$AA$1,0)-1))</f>
        <v>0</v>
      </c>
      <c r="V263" s="205">
        <f t="shared" ca="1" si="153"/>
        <v>0</v>
      </c>
      <c r="W263" s="204"/>
      <c r="X263" s="205">
        <v>0</v>
      </c>
      <c r="Y263" s="206">
        <f t="shared" ca="1" si="154"/>
        <v>0.78</v>
      </c>
      <c r="Z263" s="277">
        <f t="shared" si="155"/>
        <v>80</v>
      </c>
      <c r="AA263" s="203">
        <v>12.7</v>
      </c>
      <c r="AB263" s="203">
        <f t="shared" ca="1" si="156"/>
        <v>2.5500000000000007</v>
      </c>
      <c r="AC263" s="238">
        <v>46037</v>
      </c>
      <c r="AI263" s="367">
        <f t="shared" ca="1" si="164"/>
        <v>46092</v>
      </c>
      <c r="AJ263" s="367" t="b">
        <f t="shared" si="158"/>
        <v>0</v>
      </c>
      <c r="AK263" s="370">
        <f t="shared" ca="1" si="159"/>
        <v>-55</v>
      </c>
      <c r="AN263">
        <f t="shared" si="160"/>
        <v>3</v>
      </c>
      <c r="AO263">
        <f t="shared" si="161"/>
        <v>2026</v>
      </c>
      <c r="AV263">
        <f t="shared" si="162"/>
        <v>1</v>
      </c>
      <c r="AW263">
        <f t="shared" si="163"/>
        <v>2026</v>
      </c>
    </row>
    <row r="264" spans="4:49" ht="15.75" x14ac:dyDescent="0.25">
      <c r="D264" s="199" t="s">
        <v>600</v>
      </c>
      <c r="E264" s="200" t="s">
        <v>269</v>
      </c>
      <c r="F264" s="287">
        <v>1000</v>
      </c>
      <c r="G264" s="201" t="s">
        <v>4</v>
      </c>
      <c r="H264" s="219">
        <v>2.4500000000000002</v>
      </c>
      <c r="I264" s="202">
        <v>45978</v>
      </c>
      <c r="J264" s="200" t="s">
        <v>26</v>
      </c>
      <c r="K264" s="200"/>
      <c r="L264" s="203">
        <v>0.13</v>
      </c>
      <c r="M264" s="204">
        <f ca="1">IF(ISERROR(OFFSET(Tabella!$A$1,MATCH(J264,Tabella!$A:$A,0)-1,MATCH(L264,Tabella!$A$1:$AC$1,0)-1)=TRUE),0,+OFFSET(Tabella!$A$1,MATCH(J264,Tabella!$A:$A,0)-1,MATCH(L264,Tabella!$A$1:$AC$1,0)-1))</f>
        <v>0</v>
      </c>
      <c r="N264" s="205">
        <f ca="1">IF(ISERROR(OFFSET(Ottone!$A$1,MATCH(J264,Ottone!$A:$A,0)-1,MATCH(L264,Ottone!$A$1:$Z$1,0)-1)=TRUE),0,OFFSET(Ottone!$A$1,MATCH(J264,Ottone!$A:$A,0)-1,MATCH(L264,Ottone!$A$1:$Z$1,0)-1))*IF(G264="Ottone",1,0)</f>
        <v>0</v>
      </c>
      <c r="O264" s="205">
        <f ca="1">IF(ISERROR(OFFSET(Rame!$A$1,MATCH(J264,Rame!$A:$A,0)-1,MATCH(L264,Rame!$A$1:$AA$1,0)-1)=TRUE),0,OFFSET(Rame!$A$1,MATCH(J264,Rame!$A:$A,0)-1,MATCH(L264,Rame!$A$1:$AA$1,0)-1))*IF(G264="Rame",1,0)</f>
        <v>0</v>
      </c>
      <c r="P264" s="205">
        <v>0</v>
      </c>
      <c r="Q264" s="205">
        <v>1.79</v>
      </c>
      <c r="R264" s="205">
        <f ca="1">+IF(ISERROR(OFFSET(Tabella!$G$1,MATCH(J264,Tabella!$G:$G,0)-1,MATCH(K264,Tabella!$G$1:$FG$1,0)-1)=TRUE),0,OFFSET(Tabella!$G$1,MATCH(J264,Tabella!$G:$G,0)-1,MATCH(K264,Tabella!$G$1:$AB$1,0)-1))</f>
        <v>0</v>
      </c>
      <c r="S264" s="205">
        <f ca="1">IF(ISERROR(OFFSET(Ottone!$F$1,MATCH(J264,Ottone!$A:$A,0)-1,MATCH(K264,Ottone!$F$1:$FF$1,0)-1)=TRUE),0,OFFSET(Ottone!$F$1,MATCH(J264,Ottone!$A:$A,0)-1,MATCH(K264,Ottone!$F$1:$FF$1,0)-1))*IF(G264="Ottone",1,0)</f>
        <v>0</v>
      </c>
      <c r="T264" s="205">
        <f ca="1">IF(ISERROR(OFFSET(Rame!$F$1,MATCH(J264,Rame!$F:$F,0)-1,MATCH(K264,Rame!$F$1:$FF$1,0)-1)=TRUE),0,OFFSET(Rame!$F$1,MATCH(J264,Rame!$F:$F,0)-1,MATCH(K264,Rame!$F$1:$FF$1,0)-1))*IF(G264="Rame",1,0)</f>
        <v>0</v>
      </c>
      <c r="U264" s="205">
        <f ca="1">IF(ISERROR(OFFSET(Bronzo!$A$1,MATCH(J264,Bronzo!$A:$A,0)-1,MATCH(K264,Bronzo!$A$1:$AA$1,0)-1)=TRUE),0,OFFSET(Bronzo!$A$1,MATCH(J264,Bronzo!$A:$A,0)-1,MATCH(K264,Bronzo!$A$1:$AA$1,0)-1))</f>
        <v>0</v>
      </c>
      <c r="V264" s="205">
        <f t="shared" ca="1" si="153"/>
        <v>0</v>
      </c>
      <c r="W264" s="204"/>
      <c r="X264" s="205">
        <v>0</v>
      </c>
      <c r="Y264" s="206">
        <f t="shared" ca="1" si="154"/>
        <v>1.79</v>
      </c>
      <c r="Z264" s="277">
        <f t="shared" si="155"/>
        <v>130</v>
      </c>
      <c r="AA264" s="203">
        <v>4.3499999999999996</v>
      </c>
      <c r="AB264" s="203">
        <f t="shared" ca="1" si="156"/>
        <v>0.10999999999999943</v>
      </c>
      <c r="AC264" s="238">
        <v>45999</v>
      </c>
      <c r="AI264" s="367">
        <f t="shared" ca="1" si="164"/>
        <v>46092</v>
      </c>
      <c r="AJ264" s="367" t="b">
        <f t="shared" si="158"/>
        <v>0</v>
      </c>
      <c r="AK264" s="370">
        <f t="shared" ca="1" si="159"/>
        <v>-93</v>
      </c>
      <c r="AN264">
        <f t="shared" si="160"/>
        <v>50</v>
      </c>
      <c r="AO264">
        <f t="shared" si="161"/>
        <v>2025</v>
      </c>
      <c r="AV264">
        <f t="shared" si="162"/>
        <v>12</v>
      </c>
      <c r="AW264">
        <f t="shared" si="163"/>
        <v>2025</v>
      </c>
    </row>
    <row r="265" spans="4:49" ht="15.75" x14ac:dyDescent="0.25">
      <c r="D265" s="199" t="s">
        <v>599</v>
      </c>
      <c r="E265" s="200" t="s">
        <v>102</v>
      </c>
      <c r="F265" s="287">
        <v>1300</v>
      </c>
      <c r="G265" s="201" t="s">
        <v>4</v>
      </c>
      <c r="H265" s="219">
        <v>2.2400000000000002</v>
      </c>
      <c r="I265" s="202">
        <v>45911</v>
      </c>
      <c r="J265" s="200" t="s">
        <v>24</v>
      </c>
      <c r="K265" s="200"/>
      <c r="L265" s="203">
        <v>7.0000000000000007E-2</v>
      </c>
      <c r="M265" s="204">
        <f ca="1">IF(ISERROR(OFFSET(Tabella!$A$1,MATCH(J265,Tabella!$A:$A,0)-1,MATCH(L265,Tabella!$A$1:$AC$1,0)-1)=TRUE),0,+OFFSET(Tabella!$A$1,MATCH(J265,Tabella!$A:$A,0)-1,MATCH(L265,Tabella!$A$1:$AC$1,0)-1))</f>
        <v>1.25</v>
      </c>
      <c r="N265" s="205">
        <f ca="1">IF(ISERROR(OFFSET(Ottone!$A$1,MATCH(J265,Ottone!$A:$A,0)-1,MATCH(L265,Ottone!$A$1:$Z$1,0)-1)=TRUE),0,OFFSET(Ottone!$A$1,MATCH(J265,Ottone!$A:$A,0)-1,MATCH(L265,Ottone!$A$1:$Z$1,0)-1))*IF(G265="Ottone",1,0)</f>
        <v>0</v>
      </c>
      <c r="O265" s="205">
        <f ca="1">IF(ISERROR(OFFSET(Rame!$A$1,MATCH(J265,Rame!$A:$A,0)-1,MATCH(L265,Rame!$A$1:$AA$1,0)-1)=TRUE),0,OFFSET(Rame!$A$1,MATCH(J265,Rame!$A:$A,0)-1,MATCH(L265,Rame!$A$1:$AA$1,0)-1))*IF(G265="Rame",1,0)</f>
        <v>0</v>
      </c>
      <c r="P265" s="205">
        <v>0</v>
      </c>
      <c r="Q265" s="205">
        <f t="shared" ca="1" si="157"/>
        <v>1.25</v>
      </c>
      <c r="R265" s="205">
        <f ca="1">+IF(ISERROR(OFFSET(Tabella!$G$1,MATCH(J265,Tabella!$G:$G,0)-1,MATCH(K265,Tabella!$G$1:$FG$1,0)-1)=TRUE),0,OFFSET(Tabella!$G$1,MATCH(J265,Tabella!$G:$G,0)-1,MATCH(K265,Tabella!$G$1:$AB$1,0)-1))</f>
        <v>0</v>
      </c>
      <c r="S265" s="205">
        <f ca="1">IF(ISERROR(OFFSET(Ottone!$F$1,MATCH(J265,Ottone!$A:$A,0)-1,MATCH(K265,Ottone!$F$1:$FF$1,0)-1)=TRUE),0,OFFSET(Ottone!$F$1,MATCH(J265,Ottone!$A:$A,0)-1,MATCH(K265,Ottone!$F$1:$FF$1,0)-1))*IF(G265="Ottone",1,0)</f>
        <v>0</v>
      </c>
      <c r="T265" s="205">
        <f ca="1">IF(ISERROR(OFFSET(Rame!$F$1,MATCH(J265,Rame!$F:$F,0)-1,MATCH(K265,Rame!$F$1:$FF$1,0)-1)=TRUE),0,OFFSET(Rame!$F$1,MATCH(J265,Rame!$F:$F,0)-1,MATCH(K265,Rame!$F$1:$FF$1,0)-1))*IF(G265="Rame",1,0)</f>
        <v>0</v>
      </c>
      <c r="U265" s="205">
        <f ca="1">IF(ISERROR(OFFSET(Bronzo!$A$1,MATCH(J265,Bronzo!$A:$A,0)-1,MATCH(K265,Bronzo!$A$1:$AA$1,0)-1)=TRUE),0,OFFSET(Bronzo!$A$1,MATCH(J265,Bronzo!$A:$A,0)-1,MATCH(K265,Bronzo!$A$1:$AA$1,0)-1))</f>
        <v>0</v>
      </c>
      <c r="V265" s="205">
        <f t="shared" ca="1" si="153"/>
        <v>0</v>
      </c>
      <c r="W265" s="204"/>
      <c r="X265" s="205">
        <v>0</v>
      </c>
      <c r="Y265" s="206">
        <f t="shared" ca="1" si="154"/>
        <v>1.25</v>
      </c>
      <c r="Z265" s="277">
        <f t="shared" si="155"/>
        <v>91.000000000000014</v>
      </c>
      <c r="AA265" s="203">
        <v>3.75</v>
      </c>
      <c r="AB265" s="203">
        <f t="shared" ca="1" si="156"/>
        <v>0.25999999999999979</v>
      </c>
      <c r="AC265" s="238">
        <v>46038</v>
      </c>
      <c r="AI265" s="367">
        <f t="shared" ca="1" si="164"/>
        <v>46092</v>
      </c>
      <c r="AJ265" s="367" t="b">
        <f t="shared" si="158"/>
        <v>0</v>
      </c>
      <c r="AK265" s="370">
        <f t="shared" ca="1" si="159"/>
        <v>-54</v>
      </c>
      <c r="AN265">
        <f t="shared" si="160"/>
        <v>3</v>
      </c>
      <c r="AO265">
        <f t="shared" si="161"/>
        <v>2026</v>
      </c>
      <c r="AV265">
        <f t="shared" si="162"/>
        <v>1</v>
      </c>
      <c r="AW265">
        <f t="shared" si="163"/>
        <v>2026</v>
      </c>
    </row>
    <row r="266" spans="4:49" ht="15.75" x14ac:dyDescent="0.25">
      <c r="D266" s="199" t="s">
        <v>599</v>
      </c>
      <c r="E266" s="200" t="s">
        <v>102</v>
      </c>
      <c r="F266" s="287">
        <v>800</v>
      </c>
      <c r="G266" s="201" t="s">
        <v>4</v>
      </c>
      <c r="H266" s="219">
        <v>2.2400000000000002</v>
      </c>
      <c r="I266" s="202">
        <v>45911</v>
      </c>
      <c r="J266" s="200" t="s">
        <v>29</v>
      </c>
      <c r="K266" s="200"/>
      <c r="L266" s="203">
        <v>7.0000000000000007E-2</v>
      </c>
      <c r="M266" s="204">
        <f ca="1">IF(ISERROR(OFFSET(Tabella!$A$1,MATCH(J266,Tabella!$A:$A,0)-1,MATCH(L266,Tabella!$A$1:$AC$1,0)-1)=TRUE),0,+OFFSET(Tabella!$A$1,MATCH(J266,Tabella!$A:$A,0)-1,MATCH(L266,Tabella!$A$1:$AC$1,0)-1))</f>
        <v>1.3</v>
      </c>
      <c r="N266" s="205">
        <f ca="1">IF(ISERROR(OFFSET(Ottone!$A$1,MATCH(J266,Ottone!$A:$A,0)-1,MATCH(L266,Ottone!$A$1:$Z$1,0)-1)=TRUE),0,OFFSET(Ottone!$A$1,MATCH(J266,Ottone!$A:$A,0)-1,MATCH(L266,Ottone!$A$1:$Z$1,0)-1))*IF(G266="Ottone",1,0)</f>
        <v>0</v>
      </c>
      <c r="O266" s="205">
        <f ca="1">IF(ISERROR(OFFSET(Rame!$A$1,MATCH(J266,Rame!$A:$A,0)-1,MATCH(L266,Rame!$A$1:$AA$1,0)-1)=TRUE),0,OFFSET(Rame!$A$1,MATCH(J266,Rame!$A:$A,0)-1,MATCH(L266,Rame!$A$1:$AA$1,0)-1))*IF(G266="Rame",1,0)</f>
        <v>0</v>
      </c>
      <c r="P266" s="205">
        <v>0</v>
      </c>
      <c r="Q266" s="205">
        <f t="shared" ca="1" si="157"/>
        <v>1.3</v>
      </c>
      <c r="R266" s="205">
        <f ca="1">+IF(ISERROR(OFFSET(Tabella!$G$1,MATCH(J266,Tabella!$G:$G,0)-1,MATCH(K266,Tabella!$G$1:$FG$1,0)-1)=TRUE),0,OFFSET(Tabella!$G$1,MATCH(J266,Tabella!$G:$G,0)-1,MATCH(K266,Tabella!$G$1:$AB$1,0)-1))</f>
        <v>0</v>
      </c>
      <c r="S266" s="205">
        <f ca="1">IF(ISERROR(OFFSET(Ottone!$F$1,MATCH(J266,Ottone!$A:$A,0)-1,MATCH(K266,Ottone!$F$1:$FF$1,0)-1)=TRUE),0,OFFSET(Ottone!$F$1,MATCH(J266,Ottone!$A:$A,0)-1,MATCH(K266,Ottone!$F$1:$FF$1,0)-1))*IF(G266="Ottone",1,0)</f>
        <v>0</v>
      </c>
      <c r="T266" s="205">
        <f ca="1">IF(ISERROR(OFFSET(Rame!$F$1,MATCH(J266,Rame!$F:$F,0)-1,MATCH(K266,Rame!$F$1:$FF$1,0)-1)=TRUE),0,OFFSET(Rame!$F$1,MATCH(J266,Rame!$F:$F,0)-1,MATCH(K266,Rame!$F$1:$FF$1,0)-1))*IF(G266="Rame",1,0)</f>
        <v>0</v>
      </c>
      <c r="U266" s="205">
        <f ca="1">IF(ISERROR(OFFSET(Bronzo!$A$1,MATCH(J266,Bronzo!$A:$A,0)-1,MATCH(K266,Bronzo!$A$1:$AA$1,0)-1)=TRUE),0,OFFSET(Bronzo!$A$1,MATCH(J266,Bronzo!$A:$A,0)-1,MATCH(K266,Bronzo!$A$1:$AA$1,0)-1))</f>
        <v>0</v>
      </c>
      <c r="V266" s="205">
        <f t="shared" ca="1" si="153"/>
        <v>0</v>
      </c>
      <c r="W266" s="204"/>
      <c r="X266" s="205">
        <v>0</v>
      </c>
      <c r="Y266" s="206">
        <f t="shared" ca="1" si="154"/>
        <v>1.3</v>
      </c>
      <c r="Z266" s="277">
        <f t="shared" si="155"/>
        <v>56.000000000000007</v>
      </c>
      <c r="AA266" s="203">
        <v>3.75</v>
      </c>
      <c r="AB266" s="203">
        <f t="shared" ca="1" si="156"/>
        <v>0.20999999999999996</v>
      </c>
      <c r="AC266" s="238">
        <v>46038</v>
      </c>
      <c r="AI266" s="367">
        <f t="shared" ca="1" si="164"/>
        <v>46092</v>
      </c>
      <c r="AJ266" s="367" t="b">
        <f t="shared" si="158"/>
        <v>0</v>
      </c>
      <c r="AK266" s="370">
        <f t="shared" ca="1" si="159"/>
        <v>-54</v>
      </c>
      <c r="AN266">
        <f t="shared" si="160"/>
        <v>3</v>
      </c>
      <c r="AO266">
        <f t="shared" si="161"/>
        <v>2026</v>
      </c>
      <c r="AV266">
        <f t="shared" si="162"/>
        <v>1</v>
      </c>
      <c r="AW266">
        <f t="shared" si="163"/>
        <v>2026</v>
      </c>
    </row>
    <row r="267" spans="4:49" ht="15.75" x14ac:dyDescent="0.25">
      <c r="D267" s="199" t="s">
        <v>599</v>
      </c>
      <c r="E267" s="200" t="s">
        <v>102</v>
      </c>
      <c r="F267" s="287">
        <v>1400</v>
      </c>
      <c r="G267" s="201" t="s">
        <v>4</v>
      </c>
      <c r="H267" s="219">
        <v>2.2400000000000002</v>
      </c>
      <c r="I267" s="202">
        <v>45911</v>
      </c>
      <c r="J267" s="200" t="s">
        <v>17</v>
      </c>
      <c r="K267" s="200"/>
      <c r="L267" s="203">
        <v>7.0000000000000007E-2</v>
      </c>
      <c r="M267" s="204">
        <f ca="1">IF(ISERROR(OFFSET(Tabella!$A$1,MATCH(J267,Tabella!$A:$A,0)-1,MATCH(L267,Tabella!$A$1:$AC$1,0)-1)=TRUE),0,+OFFSET(Tabella!$A$1,MATCH(J267,Tabella!$A:$A,0)-1,MATCH(L267,Tabella!$A$1:$AC$1,0)-1))</f>
        <v>1.4</v>
      </c>
      <c r="N267" s="205">
        <f ca="1">IF(ISERROR(OFFSET(Ottone!$A$1,MATCH(J267,Ottone!$A:$A,0)-1,MATCH(L267,Ottone!$A$1:$Z$1,0)-1)=TRUE),0,OFFSET(Ottone!$A$1,MATCH(J267,Ottone!$A:$A,0)-1,MATCH(L267,Ottone!$A$1:$Z$1,0)-1))*IF(G267="Ottone",1,0)</f>
        <v>0</v>
      </c>
      <c r="O267" s="205">
        <f ca="1">IF(ISERROR(OFFSET(Rame!$A$1,MATCH(J267,Rame!$A:$A,0)-1,MATCH(L267,Rame!$A$1:$AA$1,0)-1)=TRUE),0,OFFSET(Rame!$A$1,MATCH(J267,Rame!$A:$A,0)-1,MATCH(L267,Rame!$A$1:$AA$1,0)-1))*IF(G267="Rame",1,0)</f>
        <v>0</v>
      </c>
      <c r="P267" s="205">
        <v>0</v>
      </c>
      <c r="Q267" s="205">
        <f t="shared" ca="1" si="157"/>
        <v>1.4</v>
      </c>
      <c r="R267" s="205">
        <f ca="1">+IF(ISERROR(OFFSET(Tabella!$G$1,MATCH(J267,Tabella!$G:$G,0)-1,MATCH(K267,Tabella!$G$1:$FG$1,0)-1)=TRUE),0,OFFSET(Tabella!$G$1,MATCH(J267,Tabella!$G:$G,0)-1,MATCH(K267,Tabella!$G$1:$AB$1,0)-1))</f>
        <v>0</v>
      </c>
      <c r="S267" s="205">
        <f ca="1">IF(ISERROR(OFFSET(Ottone!$F$1,MATCH(J267,Ottone!$A:$A,0)-1,MATCH(K267,Ottone!$F$1:$FF$1,0)-1)=TRUE),0,OFFSET(Ottone!$F$1,MATCH(J267,Ottone!$A:$A,0)-1,MATCH(K267,Ottone!$F$1:$FF$1,0)-1))*IF(G267="Ottone",1,0)</f>
        <v>0</v>
      </c>
      <c r="T267" s="205">
        <f ca="1">IF(ISERROR(OFFSET(Rame!$F$1,MATCH(J267,Rame!$F:$F,0)-1,MATCH(K267,Rame!$F$1:$FF$1,0)-1)=TRUE),0,OFFSET(Rame!$F$1,MATCH(J267,Rame!$F:$F,0)-1,MATCH(K267,Rame!$F$1:$FF$1,0)-1))*IF(G267="Rame",1,0)</f>
        <v>0</v>
      </c>
      <c r="U267" s="205">
        <f ca="1">IF(ISERROR(OFFSET(Bronzo!$A$1,MATCH(J267,Bronzo!$A:$A,0)-1,MATCH(K267,Bronzo!$A$1:$AA$1,0)-1)=TRUE),0,OFFSET(Bronzo!$A$1,MATCH(J267,Bronzo!$A:$A,0)-1,MATCH(K267,Bronzo!$A$1:$AA$1,0)-1))</f>
        <v>0</v>
      </c>
      <c r="V267" s="205">
        <f t="shared" ca="1" si="153"/>
        <v>0</v>
      </c>
      <c r="W267" s="204"/>
      <c r="X267" s="205">
        <v>0</v>
      </c>
      <c r="Y267" s="206">
        <f t="shared" ca="1" si="154"/>
        <v>1.4</v>
      </c>
      <c r="Z267" s="277">
        <f t="shared" si="155"/>
        <v>98.000000000000014</v>
      </c>
      <c r="AA267" s="203">
        <v>3.85</v>
      </c>
      <c r="AB267" s="203">
        <f t="shared" ca="1" si="156"/>
        <v>0.20999999999999996</v>
      </c>
      <c r="AC267" s="238">
        <v>46056</v>
      </c>
      <c r="AI267" s="367">
        <f t="shared" ca="1" si="164"/>
        <v>46092</v>
      </c>
      <c r="AJ267" s="367" t="b">
        <f t="shared" si="158"/>
        <v>0</v>
      </c>
      <c r="AK267" s="370">
        <f t="shared" ca="1" si="159"/>
        <v>-36</v>
      </c>
      <c r="AN267">
        <f t="shared" si="160"/>
        <v>6</v>
      </c>
      <c r="AO267">
        <f t="shared" si="161"/>
        <v>2026</v>
      </c>
      <c r="AV267">
        <f t="shared" si="162"/>
        <v>2</v>
      </c>
      <c r="AW267">
        <f t="shared" si="163"/>
        <v>2026</v>
      </c>
    </row>
    <row r="268" spans="4:49" ht="15.75" x14ac:dyDescent="0.25">
      <c r="D268" s="199" t="s">
        <v>599</v>
      </c>
      <c r="E268" s="200" t="s">
        <v>102</v>
      </c>
      <c r="F268" s="287">
        <v>2000</v>
      </c>
      <c r="G268" s="201" t="s">
        <v>4</v>
      </c>
      <c r="H268" s="219">
        <v>2.2400000000000002</v>
      </c>
      <c r="I268" s="202">
        <v>45911</v>
      </c>
      <c r="J268" s="200" t="s">
        <v>26</v>
      </c>
      <c r="K268" s="200"/>
      <c r="L268" s="203">
        <v>7.0000000000000007E-2</v>
      </c>
      <c r="M268" s="204">
        <f ca="1">IF(ISERROR(OFFSET(Tabella!$A$1,MATCH(J268,Tabella!$A:$A,0)-1,MATCH(L268,Tabella!$A$1:$AC$1,0)-1)=TRUE),0,+OFFSET(Tabella!$A$1,MATCH(J268,Tabella!$A:$A,0)-1,MATCH(L268,Tabella!$A$1:$AC$1,0)-1))</f>
        <v>1.25</v>
      </c>
      <c r="N268" s="205">
        <f ca="1">IF(ISERROR(OFFSET(Ottone!$A$1,MATCH(J268,Ottone!$A:$A,0)-1,MATCH(L268,Ottone!$A$1:$Z$1,0)-1)=TRUE),0,OFFSET(Ottone!$A$1,MATCH(J268,Ottone!$A:$A,0)-1,MATCH(L268,Ottone!$A$1:$Z$1,0)-1))*IF(G268="Ottone",1,0)</f>
        <v>0</v>
      </c>
      <c r="O268" s="205">
        <f ca="1">IF(ISERROR(OFFSET(Rame!$A$1,MATCH(J268,Rame!$A:$A,0)-1,MATCH(L268,Rame!$A$1:$AA$1,0)-1)=TRUE),0,OFFSET(Rame!$A$1,MATCH(J268,Rame!$A:$A,0)-1,MATCH(L268,Rame!$A$1:$AA$1,0)-1))*IF(G268="Rame",1,0)</f>
        <v>0</v>
      </c>
      <c r="P268" s="205">
        <v>0</v>
      </c>
      <c r="Q268" s="205">
        <f t="shared" ca="1" si="157"/>
        <v>1.25</v>
      </c>
      <c r="R268" s="205">
        <f ca="1">+IF(ISERROR(OFFSET(Tabella!$G$1,MATCH(J268,Tabella!$G:$G,0)-1,MATCH(K268,Tabella!$G$1:$FG$1,0)-1)=TRUE),0,OFFSET(Tabella!$G$1,MATCH(J268,Tabella!$G:$G,0)-1,MATCH(K268,Tabella!$G$1:$AB$1,0)-1))</f>
        <v>0</v>
      </c>
      <c r="S268" s="205">
        <f ca="1">IF(ISERROR(OFFSET(Ottone!$F$1,MATCH(J268,Ottone!$A:$A,0)-1,MATCH(K268,Ottone!$F$1:$FF$1,0)-1)=TRUE),0,OFFSET(Ottone!$F$1,MATCH(J268,Ottone!$A:$A,0)-1,MATCH(K268,Ottone!$F$1:$FF$1,0)-1))*IF(G268="Ottone",1,0)</f>
        <v>0</v>
      </c>
      <c r="T268" s="205">
        <f ca="1">IF(ISERROR(OFFSET(Rame!$F$1,MATCH(J268,Rame!$F:$F,0)-1,MATCH(K268,Rame!$F$1:$FF$1,0)-1)=TRUE),0,OFFSET(Rame!$F$1,MATCH(J268,Rame!$F:$F,0)-1,MATCH(K268,Rame!$F$1:$FF$1,0)-1))*IF(G268="Rame",1,0)</f>
        <v>0</v>
      </c>
      <c r="U268" s="205">
        <f ca="1">IF(ISERROR(OFFSET(Bronzo!$A$1,MATCH(J268,Bronzo!$A:$A,0)-1,MATCH(K268,Bronzo!$A$1:$AA$1,0)-1)=TRUE),0,OFFSET(Bronzo!$A$1,MATCH(J268,Bronzo!$A:$A,0)-1,MATCH(K268,Bronzo!$A$1:$AA$1,0)-1))</f>
        <v>0</v>
      </c>
      <c r="V268" s="205">
        <f t="shared" ca="1" si="153"/>
        <v>0</v>
      </c>
      <c r="W268" s="204"/>
      <c r="X268" s="205">
        <v>0</v>
      </c>
      <c r="Y268" s="206">
        <f t="shared" ca="1" si="154"/>
        <v>1.25</v>
      </c>
      <c r="Z268" s="277">
        <f t="shared" si="155"/>
        <v>140</v>
      </c>
      <c r="AA268" s="203">
        <v>3.75</v>
      </c>
      <c r="AB268" s="203">
        <f t="shared" ca="1" si="156"/>
        <v>0.25999999999999979</v>
      </c>
      <c r="AC268" s="238">
        <v>46056</v>
      </c>
      <c r="AI268" s="367">
        <f t="shared" ca="1" si="164"/>
        <v>46092</v>
      </c>
      <c r="AJ268" s="367" t="b">
        <f t="shared" si="158"/>
        <v>0</v>
      </c>
      <c r="AK268" s="370">
        <f t="shared" ca="1" si="159"/>
        <v>-36</v>
      </c>
      <c r="AN268">
        <f t="shared" si="160"/>
        <v>6</v>
      </c>
      <c r="AO268">
        <f t="shared" si="161"/>
        <v>2026</v>
      </c>
      <c r="AV268">
        <f t="shared" si="162"/>
        <v>2</v>
      </c>
      <c r="AW268">
        <f t="shared" si="163"/>
        <v>2026</v>
      </c>
    </row>
    <row r="269" spans="4:49" ht="15.75" x14ac:dyDescent="0.25">
      <c r="D269" s="199" t="s">
        <v>597</v>
      </c>
      <c r="E269" s="200" t="s">
        <v>102</v>
      </c>
      <c r="F269" s="287">
        <v>1000</v>
      </c>
      <c r="G269" s="201" t="s">
        <v>4</v>
      </c>
      <c r="H269" s="219">
        <v>2.4500000000000002</v>
      </c>
      <c r="I269" s="202">
        <v>45978</v>
      </c>
      <c r="J269" s="200" t="s">
        <v>30</v>
      </c>
      <c r="K269" s="200"/>
      <c r="L269" s="203">
        <v>0.1</v>
      </c>
      <c r="M269" s="204">
        <f ca="1">IF(ISERROR(OFFSET(Tabella!$A$1,MATCH(J269,Tabella!$A:$A,0)-1,MATCH(L269,Tabella!$A$1:$AC$1,0)-1)=TRUE),0,+OFFSET(Tabella!$A$1,MATCH(J269,Tabella!$A:$A,0)-1,MATCH(L269,Tabella!$A$1:$AC$1,0)-1))</f>
        <v>1.5</v>
      </c>
      <c r="N269" s="205">
        <f ca="1">IF(ISERROR(OFFSET(Ottone!$A$1,MATCH(J269,Ottone!$A:$A,0)-1,MATCH(L269,Ottone!$A$1:$Z$1,0)-1)=TRUE),0,OFFSET(Ottone!$A$1,MATCH(J269,Ottone!$A:$A,0)-1,MATCH(L269,Ottone!$A$1:$Z$1,0)-1))*IF(G269="Ottone",1,0)</f>
        <v>0</v>
      </c>
      <c r="O269" s="205">
        <f ca="1">IF(ISERROR(OFFSET(Rame!$A$1,MATCH(J269,Rame!$A:$A,0)-1,MATCH(L269,Rame!$A$1:$AA$1,0)-1)=TRUE),0,OFFSET(Rame!$A$1,MATCH(J269,Rame!$A:$A,0)-1,MATCH(L269,Rame!$A$1:$AA$1,0)-1))*IF(G269="Rame",1,0)</f>
        <v>0</v>
      </c>
      <c r="P269" s="205">
        <v>0</v>
      </c>
      <c r="Q269" s="205">
        <f t="shared" ref="Q269:Q334" ca="1" si="165">SUM(M269:P269)</f>
        <v>1.5</v>
      </c>
      <c r="R269" s="205">
        <f ca="1">+IF(ISERROR(OFFSET(Tabella!$G$1,MATCH(J269,Tabella!$G:$G,0)-1,MATCH(K269,Tabella!$G$1:$FG$1,0)-1)=TRUE),0,OFFSET(Tabella!$G$1,MATCH(J269,Tabella!$G:$G,0)-1,MATCH(K269,Tabella!$G$1:$AB$1,0)-1))</f>
        <v>0</v>
      </c>
      <c r="S269" s="205">
        <f ca="1">IF(ISERROR(OFFSET(Ottone!$F$1,MATCH(J269,Ottone!$A:$A,0)-1,MATCH(K269,Ottone!$F$1:$FF$1,0)-1)=TRUE),0,OFFSET(Ottone!$F$1,MATCH(J269,Ottone!$A:$A,0)-1,MATCH(K269,Ottone!$F$1:$FF$1,0)-1))*IF(G269="Ottone",1,0)</f>
        <v>0</v>
      </c>
      <c r="T269" s="205">
        <f ca="1">IF(ISERROR(OFFSET(Rame!$F$1,MATCH(J269,Rame!$F:$F,0)-1,MATCH(K269,Rame!$F$1:$FF$1,0)-1)=TRUE),0,OFFSET(Rame!$F$1,MATCH(J269,Rame!$F:$F,0)-1,MATCH(K269,Rame!$F$1:$FF$1,0)-1))*IF(G269="Rame",1,0)</f>
        <v>0</v>
      </c>
      <c r="U269" s="205">
        <f ca="1">IF(ISERROR(OFFSET(Bronzo!$A$1,MATCH(J269,Bronzo!$A:$A,0)-1,MATCH(K269,Bronzo!$A$1:$AA$1,0)-1)=TRUE),0,OFFSET(Bronzo!$A$1,MATCH(J269,Bronzo!$A:$A,0)-1,MATCH(K269,Bronzo!$A$1:$AA$1,0)-1))</f>
        <v>0</v>
      </c>
      <c r="V269" s="205">
        <f t="shared" ref="V269:V334" ca="1" si="166">SUM(R269:U269)</f>
        <v>0</v>
      </c>
      <c r="W269" s="204"/>
      <c r="X269" s="205">
        <v>0</v>
      </c>
      <c r="Y269" s="206">
        <f t="shared" ref="Y269:Y334" ca="1" si="167">+Q269+V269+W269+X269</f>
        <v>1.5</v>
      </c>
      <c r="Z269" s="277">
        <f t="shared" ref="Z269:Z334" si="168">+L269*F269</f>
        <v>100</v>
      </c>
      <c r="AA269" s="203">
        <v>4.3</v>
      </c>
      <c r="AB269" s="203">
        <f t="shared" ref="AB269:AB334" ca="1" si="169">+AA269-Y269-H269</f>
        <v>0.34999999999999964</v>
      </c>
      <c r="AC269" s="238">
        <v>46056</v>
      </c>
      <c r="AH269" t="s">
        <v>586</v>
      </c>
      <c r="AI269" s="367">
        <f t="shared" ca="1" si="164"/>
        <v>46092</v>
      </c>
      <c r="AJ269" s="367" t="b">
        <f t="shared" si="158"/>
        <v>0</v>
      </c>
      <c r="AK269" s="370">
        <f t="shared" ca="1" si="159"/>
        <v>-36</v>
      </c>
      <c r="AN269">
        <f t="shared" si="160"/>
        <v>6</v>
      </c>
      <c r="AO269">
        <f t="shared" si="161"/>
        <v>2026</v>
      </c>
      <c r="AV269">
        <f t="shared" si="162"/>
        <v>2</v>
      </c>
      <c r="AW269">
        <f t="shared" si="163"/>
        <v>2026</v>
      </c>
    </row>
    <row r="270" spans="4:49" ht="15.75" x14ac:dyDescent="0.25">
      <c r="D270" s="199" t="s">
        <v>597</v>
      </c>
      <c r="E270" s="200" t="s">
        <v>102</v>
      </c>
      <c r="F270" s="287">
        <v>500</v>
      </c>
      <c r="G270" s="201" t="s">
        <v>4</v>
      </c>
      <c r="H270" s="219">
        <v>2.4500000000000002</v>
      </c>
      <c r="I270" s="202">
        <v>45978</v>
      </c>
      <c r="J270" s="200" t="s">
        <v>30</v>
      </c>
      <c r="K270" s="200"/>
      <c r="L270" s="203">
        <v>0.1</v>
      </c>
      <c r="M270" s="204">
        <f ca="1">IF(ISERROR(OFFSET(Tabella!$A$1,MATCH(J270,Tabella!$A:$A,0)-1,MATCH(L270,Tabella!$A$1:$AC$1,0)-1)=TRUE),0,+OFFSET(Tabella!$A$1,MATCH(J270,Tabella!$A:$A,0)-1,MATCH(L270,Tabella!$A$1:$AC$1,0)-1))</f>
        <v>1.5</v>
      </c>
      <c r="N270" s="205">
        <f ca="1">IF(ISERROR(OFFSET(Ottone!$A$1,MATCH(J270,Ottone!$A:$A,0)-1,MATCH(L270,Ottone!$A$1:$Z$1,0)-1)=TRUE),0,OFFSET(Ottone!$A$1,MATCH(J270,Ottone!$A:$A,0)-1,MATCH(L270,Ottone!$A$1:$Z$1,0)-1))*IF(G270="Ottone",1,0)</f>
        <v>0</v>
      </c>
      <c r="O270" s="205">
        <f ca="1">IF(ISERROR(OFFSET(Rame!$A$1,MATCH(J270,Rame!$A:$A,0)-1,MATCH(L270,Rame!$A$1:$AA$1,0)-1)=TRUE),0,OFFSET(Rame!$A$1,MATCH(J270,Rame!$A:$A,0)-1,MATCH(L270,Rame!$A$1:$AA$1,0)-1))*IF(G270="Rame",1,0)</f>
        <v>0</v>
      </c>
      <c r="P270" s="205">
        <v>0</v>
      </c>
      <c r="Q270" s="205">
        <f t="shared" ca="1" si="165"/>
        <v>1.5</v>
      </c>
      <c r="R270" s="205">
        <f ca="1">+IF(ISERROR(OFFSET(Tabella!$G$1,MATCH(J270,Tabella!$G:$G,0)-1,MATCH(K270,Tabella!$G$1:$FG$1,0)-1)=TRUE),0,OFFSET(Tabella!$G$1,MATCH(J270,Tabella!$G:$G,0)-1,MATCH(K270,Tabella!$G$1:$AB$1,0)-1))</f>
        <v>0</v>
      </c>
      <c r="S270" s="205">
        <f ca="1">IF(ISERROR(OFFSET(Ottone!$F$1,MATCH(J270,Ottone!$A:$A,0)-1,MATCH(K270,Ottone!$F$1:$FF$1,0)-1)=TRUE),0,OFFSET(Ottone!$F$1,MATCH(J270,Ottone!$A:$A,0)-1,MATCH(K270,Ottone!$F$1:$FF$1,0)-1))*IF(G270="Ottone",1,0)</f>
        <v>0</v>
      </c>
      <c r="T270" s="205">
        <f ca="1">IF(ISERROR(OFFSET(Rame!$F$1,MATCH(J270,Rame!$F:$F,0)-1,MATCH(K270,Rame!$F$1:$FF$1,0)-1)=TRUE),0,OFFSET(Rame!$F$1,MATCH(J270,Rame!$F:$F,0)-1,MATCH(K270,Rame!$F$1:$FF$1,0)-1))*IF(G270="Rame",1,0)</f>
        <v>0</v>
      </c>
      <c r="U270" s="205">
        <f ca="1">IF(ISERROR(OFFSET(Bronzo!$A$1,MATCH(J270,Bronzo!$A:$A,0)-1,MATCH(K270,Bronzo!$A$1:$AA$1,0)-1)=TRUE),0,OFFSET(Bronzo!$A$1,MATCH(J270,Bronzo!$A:$A,0)-1,MATCH(K270,Bronzo!$A$1:$AA$1,0)-1))</f>
        <v>0</v>
      </c>
      <c r="V270" s="205">
        <f t="shared" ca="1" si="166"/>
        <v>0</v>
      </c>
      <c r="W270" s="204"/>
      <c r="X270" s="205">
        <v>0</v>
      </c>
      <c r="Y270" s="206">
        <f t="shared" ca="1" si="167"/>
        <v>1.5</v>
      </c>
      <c r="Z270" s="277">
        <f t="shared" si="168"/>
        <v>50</v>
      </c>
      <c r="AA270" s="203">
        <v>4.3</v>
      </c>
      <c r="AB270" s="203">
        <f t="shared" ca="1" si="169"/>
        <v>0.34999999999999964</v>
      </c>
      <c r="AC270" s="238">
        <v>46056</v>
      </c>
      <c r="AH270" t="s">
        <v>586</v>
      </c>
      <c r="AI270" s="367">
        <f t="shared" ca="1" si="164"/>
        <v>46092</v>
      </c>
      <c r="AJ270" s="367" t="b">
        <f t="shared" si="158"/>
        <v>0</v>
      </c>
      <c r="AK270" s="370">
        <f t="shared" ca="1" si="159"/>
        <v>-36</v>
      </c>
      <c r="AN270">
        <f t="shared" si="160"/>
        <v>6</v>
      </c>
      <c r="AO270">
        <f t="shared" si="161"/>
        <v>2026</v>
      </c>
      <c r="AV270">
        <f t="shared" si="162"/>
        <v>2</v>
      </c>
      <c r="AW270">
        <f t="shared" si="163"/>
        <v>2026</v>
      </c>
    </row>
    <row r="271" spans="4:49" ht="15.75" x14ac:dyDescent="0.25">
      <c r="D271" s="199" t="s">
        <v>601</v>
      </c>
      <c r="E271" s="200" t="s">
        <v>210</v>
      </c>
      <c r="F271" s="287">
        <v>500</v>
      </c>
      <c r="G271" s="201" t="s">
        <v>6</v>
      </c>
      <c r="H271" s="219">
        <v>9.3000000000000007</v>
      </c>
      <c r="I271" s="202">
        <v>45978</v>
      </c>
      <c r="J271" s="200" t="s">
        <v>14</v>
      </c>
      <c r="K271" s="200"/>
      <c r="L271" s="203">
        <v>0.1</v>
      </c>
      <c r="M271" s="204">
        <f ca="1">IF(ISERROR(OFFSET(Tabella!$A$1,MATCH(J271,Tabella!$A:$A,0)-1,MATCH(L271,Tabella!$A$1:$AC$1,0)-1)=TRUE),0,+OFFSET(Tabella!$A$1,MATCH(J271,Tabella!$A:$A,0)-1,MATCH(L271,Tabella!$A$1:$AC$1,0)-1))</f>
        <v>0</v>
      </c>
      <c r="N271" s="205">
        <f ca="1">IF(ISERROR(OFFSET(Ottone!$A$1,MATCH(J271,Ottone!$A:$A,0)-1,MATCH(L271,Ottone!$A$1:$Z$1,0)-1)=TRUE),0,OFFSET(Ottone!$A$1,MATCH(J271,Ottone!$A:$A,0)-1,MATCH(L271,Ottone!$A$1:$Z$1,0)-1))*IF(G271="Ottone",1,0)</f>
        <v>0</v>
      </c>
      <c r="O271" s="205">
        <f ca="1">IF(ISERROR(OFFSET(Rame!$A$1,MATCH(J271,Rame!$A:$A,0)-1,MATCH(L271,Rame!$A$1:$AA$1,0)-1)=TRUE),0,OFFSET(Rame!$A$1,MATCH(J271,Rame!$A:$A,0)-1,MATCH(L271,Rame!$A$1:$AA$1,0)-1))*IF(G271="Rame",1,0)</f>
        <v>0.95</v>
      </c>
      <c r="P271" s="205">
        <v>0</v>
      </c>
      <c r="Q271" s="205">
        <f t="shared" ca="1" si="165"/>
        <v>0.95</v>
      </c>
      <c r="R271" s="205">
        <f ca="1">+IF(ISERROR(OFFSET(Tabella!$G$1,MATCH(J271,Tabella!$G:$G,0)-1,MATCH(K271,Tabella!$G$1:$FG$1,0)-1)=TRUE),0,OFFSET(Tabella!$G$1,MATCH(J271,Tabella!$G:$G,0)-1,MATCH(K271,Tabella!$G$1:$AB$1,0)-1))</f>
        <v>0</v>
      </c>
      <c r="S271" s="205">
        <f ca="1">IF(ISERROR(OFFSET(Ottone!$F$1,MATCH(J271,Ottone!$A:$A,0)-1,MATCH(K271,Ottone!$F$1:$FF$1,0)-1)=TRUE),0,OFFSET(Ottone!$F$1,MATCH(J271,Ottone!$A:$A,0)-1,MATCH(K271,Ottone!$F$1:$FF$1,0)-1))*IF(G271="Ottone",1,0)</f>
        <v>0</v>
      </c>
      <c r="T271" s="205">
        <f ca="1">IF(ISERROR(OFFSET(Rame!$F$1,MATCH(J271,Rame!$F:$F,0)-1,MATCH(K271,Rame!$F$1:$FF$1,0)-1)=TRUE),0,OFFSET(Rame!$F$1,MATCH(J271,Rame!$F:$F,0)-1,MATCH(K271,Rame!$F$1:$FF$1,0)-1))*IF(G271="Rame",1,0)</f>
        <v>0</v>
      </c>
      <c r="U271" s="205">
        <f ca="1">IF(ISERROR(OFFSET(Bronzo!$A$1,MATCH(J271,Bronzo!$A:$A,0)-1,MATCH(K271,Bronzo!$A$1:$AA$1,0)-1)=TRUE),0,OFFSET(Bronzo!$A$1,MATCH(J271,Bronzo!$A:$A,0)-1,MATCH(K271,Bronzo!$A$1:$AA$1,0)-1))</f>
        <v>0</v>
      </c>
      <c r="V271" s="205">
        <f t="shared" ca="1" si="166"/>
        <v>0</v>
      </c>
      <c r="W271" s="204"/>
      <c r="X271" s="205">
        <v>0</v>
      </c>
      <c r="Y271" s="206">
        <f t="shared" ca="1" si="167"/>
        <v>0.95</v>
      </c>
      <c r="Z271" s="277">
        <f t="shared" si="168"/>
        <v>50</v>
      </c>
      <c r="AA271" s="203">
        <v>12.85</v>
      </c>
      <c r="AB271" s="203">
        <f t="shared" ca="1" si="169"/>
        <v>2.5999999999999996</v>
      </c>
      <c r="AC271" s="238">
        <v>46001</v>
      </c>
      <c r="AI271" s="367">
        <f t="shared" ca="1" si="164"/>
        <v>46092</v>
      </c>
      <c r="AJ271" s="367" t="b">
        <f t="shared" si="158"/>
        <v>0</v>
      </c>
      <c r="AK271" s="370">
        <f t="shared" ca="1" si="159"/>
        <v>-91</v>
      </c>
      <c r="AN271">
        <f t="shared" si="160"/>
        <v>50</v>
      </c>
      <c r="AO271">
        <f t="shared" si="161"/>
        <v>2025</v>
      </c>
      <c r="AV271">
        <f t="shared" si="162"/>
        <v>12</v>
      </c>
      <c r="AW271">
        <f t="shared" si="163"/>
        <v>2025</v>
      </c>
    </row>
    <row r="272" spans="4:49" ht="15.75" x14ac:dyDescent="0.25">
      <c r="D272" s="199" t="s">
        <v>636</v>
      </c>
      <c r="E272" s="200" t="s">
        <v>592</v>
      </c>
      <c r="F272" s="287">
        <v>700</v>
      </c>
      <c r="G272" s="201" t="s">
        <v>4</v>
      </c>
      <c r="H272" s="219">
        <v>2.44</v>
      </c>
      <c r="I272" s="202">
        <v>45978</v>
      </c>
      <c r="J272" s="200" t="s">
        <v>21</v>
      </c>
      <c r="K272" s="200"/>
      <c r="L272" s="203">
        <v>0.1</v>
      </c>
      <c r="M272" s="204">
        <f ca="1">IF(ISERROR(OFFSET(Tabella!$A$1,MATCH(J272,Tabella!$A:$A,0)-1,MATCH(L272,Tabella!$A$1:$AC$1,0)-1)=TRUE),0,+OFFSET(Tabella!$A$1,MATCH(J272,Tabella!$A:$A,0)-1,MATCH(L272,Tabella!$A$1:$AC$1,0)-1))</f>
        <v>1.4</v>
      </c>
      <c r="N272" s="205">
        <f ca="1">IF(ISERROR(OFFSET(Ottone!$A$1,MATCH(J272,Ottone!$A:$A,0)-1,MATCH(L272,Ottone!$A$1:$Z$1,0)-1)=TRUE),0,OFFSET(Ottone!$A$1,MATCH(J272,Ottone!$A:$A,0)-1,MATCH(L272,Ottone!$A$1:$Z$1,0)-1))*IF(G272="Ottone",1,0)</f>
        <v>0</v>
      </c>
      <c r="O272" s="205">
        <f ca="1">IF(ISERROR(OFFSET(Rame!$A$1,MATCH(J272,Rame!$A:$A,0)-1,MATCH(L272,Rame!$A$1:$AA$1,0)-1)=TRUE),0,OFFSET(Rame!$A$1,MATCH(J272,Rame!$A:$A,0)-1,MATCH(L272,Rame!$A$1:$AA$1,0)-1))*IF(G272="Rame",1,0)</f>
        <v>0</v>
      </c>
      <c r="P272" s="205">
        <v>0</v>
      </c>
      <c r="Q272" s="205">
        <f t="shared" ca="1" si="165"/>
        <v>1.4</v>
      </c>
      <c r="R272" s="205">
        <f ca="1">+IF(ISERROR(OFFSET(Tabella!$G$1,MATCH(J272,Tabella!$G:$G,0)-1,MATCH(K272,Tabella!$G$1:$FG$1,0)-1)=TRUE),0,OFFSET(Tabella!$G$1,MATCH(J272,Tabella!$G:$G,0)-1,MATCH(K272,Tabella!$G$1:$AB$1,0)-1))</f>
        <v>0</v>
      </c>
      <c r="S272" s="205">
        <f ca="1">IF(ISERROR(OFFSET(Ottone!$F$1,MATCH(J272,Ottone!$A:$A,0)-1,MATCH(K272,Ottone!$F$1:$FF$1,0)-1)=TRUE),0,OFFSET(Ottone!$F$1,MATCH(J272,Ottone!$A:$A,0)-1,MATCH(K272,Ottone!$F$1:$FF$1,0)-1))*IF(G272="Ottone",1,0)</f>
        <v>0</v>
      </c>
      <c r="T272" s="205">
        <f ca="1">IF(ISERROR(OFFSET(Rame!$F$1,MATCH(J272,Rame!$F:$F,0)-1,MATCH(K272,Rame!$F$1:$FF$1,0)-1)=TRUE),0,OFFSET(Rame!$F$1,MATCH(J272,Rame!$F:$F,0)-1,MATCH(K272,Rame!$F$1:$FF$1,0)-1))*IF(G272="Rame",1,0)</f>
        <v>0</v>
      </c>
      <c r="U272" s="205">
        <f ca="1">IF(ISERROR(OFFSET(Bronzo!$A$1,MATCH(J272,Bronzo!$A:$A,0)-1,MATCH(K272,Bronzo!$A$1:$AA$1,0)-1)=TRUE),0,OFFSET(Bronzo!$A$1,MATCH(J272,Bronzo!$A:$A,0)-1,MATCH(K272,Bronzo!$A$1:$AA$1,0)-1))</f>
        <v>0</v>
      </c>
      <c r="V272" s="205">
        <f t="shared" ca="1" si="166"/>
        <v>0</v>
      </c>
      <c r="W272" s="204"/>
      <c r="X272" s="205">
        <v>0</v>
      </c>
      <c r="Y272" s="206">
        <f t="shared" ca="1" si="167"/>
        <v>1.4</v>
      </c>
      <c r="Z272" s="277">
        <f t="shared" si="168"/>
        <v>70</v>
      </c>
      <c r="AA272" s="203">
        <v>4.05</v>
      </c>
      <c r="AB272" s="203">
        <f t="shared" ca="1" si="169"/>
        <v>0.20999999999999996</v>
      </c>
      <c r="AC272" s="238">
        <v>46034</v>
      </c>
      <c r="AI272" s="367">
        <f t="shared" ca="1" si="164"/>
        <v>46092</v>
      </c>
      <c r="AJ272" s="367" t="b">
        <f t="shared" si="158"/>
        <v>0</v>
      </c>
      <c r="AK272" s="370">
        <f t="shared" ca="1" si="159"/>
        <v>-58</v>
      </c>
      <c r="AN272">
        <f t="shared" si="160"/>
        <v>3</v>
      </c>
      <c r="AO272">
        <f t="shared" si="161"/>
        <v>2026</v>
      </c>
      <c r="AV272">
        <f t="shared" si="162"/>
        <v>1</v>
      </c>
      <c r="AW272">
        <f t="shared" si="163"/>
        <v>2026</v>
      </c>
    </row>
    <row r="273" spans="4:49" ht="15.75" x14ac:dyDescent="0.25">
      <c r="D273" s="199" t="s">
        <v>636</v>
      </c>
      <c r="E273" s="200" t="s">
        <v>592</v>
      </c>
      <c r="F273" s="287">
        <v>1300</v>
      </c>
      <c r="G273" s="201" t="s">
        <v>4</v>
      </c>
      <c r="H273" s="219">
        <v>2.44</v>
      </c>
      <c r="I273" s="202">
        <v>45978</v>
      </c>
      <c r="J273" s="200" t="s">
        <v>21</v>
      </c>
      <c r="K273" s="200"/>
      <c r="L273" s="203">
        <v>0.1</v>
      </c>
      <c r="M273" s="204">
        <f ca="1">IF(ISERROR(OFFSET(Tabella!$A$1,MATCH(J273,Tabella!$A:$A,0)-1,MATCH(L273,Tabella!$A$1:$AC$1,0)-1)=TRUE),0,+OFFSET(Tabella!$A$1,MATCH(J273,Tabella!$A:$A,0)-1,MATCH(L273,Tabella!$A$1:$AC$1,0)-1))</f>
        <v>1.4</v>
      </c>
      <c r="N273" s="205">
        <f ca="1">IF(ISERROR(OFFSET(Ottone!$A$1,MATCH(J273,Ottone!$A:$A,0)-1,MATCH(L273,Ottone!$A$1:$Z$1,0)-1)=TRUE),0,OFFSET(Ottone!$A$1,MATCH(J273,Ottone!$A:$A,0)-1,MATCH(L273,Ottone!$A$1:$Z$1,0)-1))*IF(G273="Ottone",1,0)</f>
        <v>0</v>
      </c>
      <c r="O273" s="205">
        <f ca="1">IF(ISERROR(OFFSET(Rame!$A$1,MATCH(J273,Rame!$A:$A,0)-1,MATCH(L273,Rame!$A$1:$AA$1,0)-1)=TRUE),0,OFFSET(Rame!$A$1,MATCH(J273,Rame!$A:$A,0)-1,MATCH(L273,Rame!$A$1:$AA$1,0)-1))*IF(G273="Rame",1,0)</f>
        <v>0</v>
      </c>
      <c r="P273" s="205">
        <v>0</v>
      </c>
      <c r="Q273" s="205">
        <f t="shared" ca="1" si="165"/>
        <v>1.4</v>
      </c>
      <c r="R273" s="205">
        <f ca="1">+IF(ISERROR(OFFSET(Tabella!$G$1,MATCH(J273,Tabella!$G:$G,0)-1,MATCH(K273,Tabella!$G$1:$FG$1,0)-1)=TRUE),0,OFFSET(Tabella!$G$1,MATCH(J273,Tabella!$G:$G,0)-1,MATCH(K273,Tabella!$G$1:$AB$1,0)-1))</f>
        <v>0</v>
      </c>
      <c r="S273" s="205">
        <f ca="1">IF(ISERROR(OFFSET(Ottone!$F$1,MATCH(J273,Ottone!$A:$A,0)-1,MATCH(K273,Ottone!$F$1:$FF$1,0)-1)=TRUE),0,OFFSET(Ottone!$F$1,MATCH(J273,Ottone!$A:$A,0)-1,MATCH(K273,Ottone!$F$1:$FF$1,0)-1))*IF(G273="Ottone",1,0)</f>
        <v>0</v>
      </c>
      <c r="T273" s="205">
        <f ca="1">IF(ISERROR(OFFSET(Rame!$F$1,MATCH(J273,Rame!$F:$F,0)-1,MATCH(K273,Rame!$F$1:$FF$1,0)-1)=TRUE),0,OFFSET(Rame!$F$1,MATCH(J273,Rame!$F:$F,0)-1,MATCH(K273,Rame!$F$1:$FF$1,0)-1))*IF(G273="Rame",1,0)</f>
        <v>0</v>
      </c>
      <c r="U273" s="205">
        <f ca="1">IF(ISERROR(OFFSET(Bronzo!$A$1,MATCH(J273,Bronzo!$A:$A,0)-1,MATCH(K273,Bronzo!$A$1:$AA$1,0)-1)=TRUE),0,OFFSET(Bronzo!$A$1,MATCH(J273,Bronzo!$A:$A,0)-1,MATCH(K273,Bronzo!$A$1:$AA$1,0)-1))</f>
        <v>0</v>
      </c>
      <c r="V273" s="205">
        <f t="shared" ca="1" si="166"/>
        <v>0</v>
      </c>
      <c r="W273" s="204"/>
      <c r="X273" s="205">
        <v>0</v>
      </c>
      <c r="Y273" s="206">
        <f t="shared" ca="1" si="167"/>
        <v>1.4</v>
      </c>
      <c r="Z273" s="277">
        <f t="shared" si="168"/>
        <v>130</v>
      </c>
      <c r="AA273" s="203">
        <v>4.05</v>
      </c>
      <c r="AB273" s="203">
        <f t="shared" ca="1" si="169"/>
        <v>0.20999999999999996</v>
      </c>
      <c r="AC273" s="238">
        <v>46042</v>
      </c>
      <c r="AI273" s="367">
        <f t="shared" ca="1" si="164"/>
        <v>46092</v>
      </c>
      <c r="AJ273" s="367" t="b">
        <f t="shared" si="158"/>
        <v>0</v>
      </c>
      <c r="AK273" s="370">
        <f t="shared" ca="1" si="159"/>
        <v>-50</v>
      </c>
      <c r="AN273">
        <f t="shared" si="160"/>
        <v>4</v>
      </c>
      <c r="AO273">
        <f t="shared" si="161"/>
        <v>2026</v>
      </c>
      <c r="AV273">
        <f t="shared" si="162"/>
        <v>1</v>
      </c>
      <c r="AW273">
        <f t="shared" si="163"/>
        <v>2026</v>
      </c>
    </row>
    <row r="274" spans="4:49" ht="15.75" x14ac:dyDescent="0.25">
      <c r="D274" s="199" t="s">
        <v>636</v>
      </c>
      <c r="E274" s="200" t="s">
        <v>592</v>
      </c>
      <c r="F274" s="287">
        <v>1100</v>
      </c>
      <c r="G274" s="201" t="s">
        <v>4</v>
      </c>
      <c r="H274" s="219">
        <v>2.44</v>
      </c>
      <c r="I274" s="202">
        <v>45978</v>
      </c>
      <c r="J274" s="200" t="s">
        <v>21</v>
      </c>
      <c r="K274" s="200"/>
      <c r="L274" s="203">
        <v>0.1</v>
      </c>
      <c r="M274" s="204">
        <f ca="1">IF(ISERROR(OFFSET(Tabella!$A$1,MATCH(J274,Tabella!$A:$A,0)-1,MATCH(L274,Tabella!$A$1:$AC$1,0)-1)=TRUE),0,+OFFSET(Tabella!$A$1,MATCH(J274,Tabella!$A:$A,0)-1,MATCH(L274,Tabella!$A$1:$AC$1,0)-1))</f>
        <v>1.4</v>
      </c>
      <c r="N274" s="205">
        <f ca="1">IF(ISERROR(OFFSET(Ottone!$A$1,MATCH(J274,Ottone!$A:$A,0)-1,MATCH(L274,Ottone!$A$1:$Z$1,0)-1)=TRUE),0,OFFSET(Ottone!$A$1,MATCH(J274,Ottone!$A:$A,0)-1,MATCH(L274,Ottone!$A$1:$Z$1,0)-1))*IF(G274="Ottone",1,0)</f>
        <v>0</v>
      </c>
      <c r="O274" s="205">
        <f ca="1">IF(ISERROR(OFFSET(Rame!$A$1,MATCH(J274,Rame!$A:$A,0)-1,MATCH(L274,Rame!$A$1:$AA$1,0)-1)=TRUE),0,OFFSET(Rame!$A$1,MATCH(J274,Rame!$A:$A,0)-1,MATCH(L274,Rame!$A$1:$AA$1,0)-1))*IF(G274="Rame",1,0)</f>
        <v>0</v>
      </c>
      <c r="P274" s="205">
        <v>0</v>
      </c>
      <c r="Q274" s="205">
        <f t="shared" ca="1" si="165"/>
        <v>1.4</v>
      </c>
      <c r="R274" s="205">
        <f ca="1">+IF(ISERROR(OFFSET(Tabella!$G$1,MATCH(J274,Tabella!$G:$G,0)-1,MATCH(K274,Tabella!$G$1:$FG$1,0)-1)=TRUE),0,OFFSET(Tabella!$G$1,MATCH(J274,Tabella!$G:$G,0)-1,MATCH(K274,Tabella!$G$1:$AB$1,0)-1))</f>
        <v>0</v>
      </c>
      <c r="S274" s="205">
        <f ca="1">IF(ISERROR(OFFSET(Ottone!$F$1,MATCH(J274,Ottone!$A:$A,0)-1,MATCH(K274,Ottone!$F$1:$FF$1,0)-1)=TRUE),0,OFFSET(Ottone!$F$1,MATCH(J274,Ottone!$A:$A,0)-1,MATCH(K274,Ottone!$F$1:$FF$1,0)-1))*IF(G274="Ottone",1,0)</f>
        <v>0</v>
      </c>
      <c r="T274" s="205">
        <f ca="1">IF(ISERROR(OFFSET(Rame!$F$1,MATCH(J274,Rame!$F:$F,0)-1,MATCH(K274,Rame!$F$1:$FF$1,0)-1)=TRUE),0,OFFSET(Rame!$F$1,MATCH(J274,Rame!$F:$F,0)-1,MATCH(K274,Rame!$F$1:$FF$1,0)-1))*IF(G274="Rame",1,0)</f>
        <v>0</v>
      </c>
      <c r="U274" s="205">
        <f ca="1">IF(ISERROR(OFFSET(Bronzo!$A$1,MATCH(J274,Bronzo!$A:$A,0)-1,MATCH(K274,Bronzo!$A$1:$AA$1,0)-1)=TRUE),0,OFFSET(Bronzo!$A$1,MATCH(J274,Bronzo!$A:$A,0)-1,MATCH(K274,Bronzo!$A$1:$AA$1,0)-1))</f>
        <v>0</v>
      </c>
      <c r="V274" s="205">
        <f t="shared" ca="1" si="166"/>
        <v>0</v>
      </c>
      <c r="W274" s="204"/>
      <c r="X274" s="205">
        <v>0</v>
      </c>
      <c r="Y274" s="206">
        <f t="shared" ca="1" si="167"/>
        <v>1.4</v>
      </c>
      <c r="Z274" s="277">
        <f t="shared" si="168"/>
        <v>110</v>
      </c>
      <c r="AA274" s="203">
        <v>4.05</v>
      </c>
      <c r="AB274" s="203">
        <f t="shared" ca="1" si="169"/>
        <v>0.20999999999999996</v>
      </c>
      <c r="AC274" s="238">
        <v>46056</v>
      </c>
      <c r="AI274" s="367">
        <f t="shared" ca="1" si="164"/>
        <v>46092</v>
      </c>
      <c r="AJ274" s="367" t="b">
        <f t="shared" si="158"/>
        <v>0</v>
      </c>
      <c r="AK274" s="370">
        <f t="shared" ca="1" si="159"/>
        <v>-36</v>
      </c>
      <c r="AN274">
        <f t="shared" si="160"/>
        <v>6</v>
      </c>
      <c r="AO274">
        <f t="shared" si="161"/>
        <v>2026</v>
      </c>
      <c r="AV274">
        <f t="shared" si="162"/>
        <v>2</v>
      </c>
      <c r="AW274">
        <f t="shared" si="163"/>
        <v>2026</v>
      </c>
    </row>
    <row r="275" spans="4:49" ht="15.75" x14ac:dyDescent="0.25">
      <c r="D275" s="199" t="s">
        <v>611</v>
      </c>
      <c r="E275" s="200" t="s">
        <v>297</v>
      </c>
      <c r="F275" s="287">
        <v>900</v>
      </c>
      <c r="G275" s="201" t="s">
        <v>4</v>
      </c>
      <c r="H275" s="219">
        <v>2.44</v>
      </c>
      <c r="I275" s="202">
        <v>45978</v>
      </c>
      <c r="J275" s="200" t="s">
        <v>26</v>
      </c>
      <c r="K275" s="200"/>
      <c r="L275" s="203">
        <v>0.05</v>
      </c>
      <c r="M275" s="204">
        <f ca="1">IF(ISERROR(OFFSET(Tabella!$A$1,MATCH(J275,Tabella!$A:$A,0)-1,MATCH(L275,Tabella!$A$1:$AC$1,0)-1)=TRUE),0,+OFFSET(Tabella!$A$1,MATCH(J275,Tabella!$A:$A,0)-1,MATCH(L275,Tabella!$A$1:$AC$1,0)-1))</f>
        <v>0</v>
      </c>
      <c r="N275" s="205">
        <f ca="1">IF(ISERROR(OFFSET(Ottone!$A$1,MATCH(J275,Ottone!$A:$A,0)-1,MATCH(L275,Ottone!$A$1:$Z$1,0)-1)=TRUE),0,OFFSET(Ottone!$A$1,MATCH(J275,Ottone!$A:$A,0)-1,MATCH(L275,Ottone!$A$1:$Z$1,0)-1))*IF(G275="Ottone",1,0)</f>
        <v>0</v>
      </c>
      <c r="O275" s="205">
        <f ca="1">IF(ISERROR(OFFSET(Rame!$A$1,MATCH(J275,Rame!$A:$A,0)-1,MATCH(L275,Rame!$A$1:$AA$1,0)-1)=TRUE),0,OFFSET(Rame!$A$1,MATCH(J275,Rame!$A:$A,0)-1,MATCH(L275,Rame!$A$1:$AA$1,0)-1))*IF(G275="Rame",1,0)</f>
        <v>0</v>
      </c>
      <c r="P275" s="205">
        <v>0</v>
      </c>
      <c r="Q275" s="205">
        <v>1.5</v>
      </c>
      <c r="R275" s="205">
        <f ca="1">+IF(ISERROR(OFFSET(Tabella!$G$1,MATCH(J275,Tabella!$G:$G,0)-1,MATCH(K275,Tabella!$G$1:$FG$1,0)-1)=TRUE),0,OFFSET(Tabella!$G$1,MATCH(J275,Tabella!$G:$G,0)-1,MATCH(K275,Tabella!$G$1:$AB$1,0)-1))</f>
        <v>0</v>
      </c>
      <c r="S275" s="205">
        <f ca="1">IF(ISERROR(OFFSET(Ottone!$F$1,MATCH(J275,Ottone!$A:$A,0)-1,MATCH(K275,Ottone!$F$1:$FF$1,0)-1)=TRUE),0,OFFSET(Ottone!$F$1,MATCH(J275,Ottone!$A:$A,0)-1,MATCH(K275,Ottone!$F$1:$FF$1,0)-1))*IF(G275="Ottone",1,0)</f>
        <v>0</v>
      </c>
      <c r="T275" s="205">
        <f ca="1">IF(ISERROR(OFFSET(Rame!$F$1,MATCH(J275,Rame!$F:$F,0)-1,MATCH(K275,Rame!$F$1:$FF$1,0)-1)=TRUE),0,OFFSET(Rame!$F$1,MATCH(J275,Rame!$F:$F,0)-1,MATCH(K275,Rame!$F$1:$FF$1,0)-1))*IF(G275="Rame",1,0)</f>
        <v>0</v>
      </c>
      <c r="U275" s="205">
        <f ca="1">IF(ISERROR(OFFSET(Bronzo!$A$1,MATCH(J275,Bronzo!$A:$A,0)-1,MATCH(K275,Bronzo!$A$1:$AA$1,0)-1)=TRUE),0,OFFSET(Bronzo!$A$1,MATCH(J275,Bronzo!$A:$A,0)-1,MATCH(K275,Bronzo!$A$1:$AA$1,0)-1))</f>
        <v>0</v>
      </c>
      <c r="V275" s="205">
        <f t="shared" ca="1" si="166"/>
        <v>0</v>
      </c>
      <c r="W275" s="204"/>
      <c r="X275" s="205">
        <v>0</v>
      </c>
      <c r="Y275" s="206">
        <f t="shared" ca="1" si="167"/>
        <v>1.5</v>
      </c>
      <c r="Z275" s="277">
        <f t="shared" si="168"/>
        <v>45</v>
      </c>
      <c r="AA275" s="203">
        <v>3.9</v>
      </c>
      <c r="AB275" s="203">
        <f t="shared" ca="1" si="169"/>
        <v>-4.0000000000000036E-2</v>
      </c>
      <c r="AC275" s="238">
        <v>46001</v>
      </c>
      <c r="AI275" s="367">
        <f t="shared" ca="1" si="164"/>
        <v>46092</v>
      </c>
      <c r="AJ275" s="367" t="b">
        <f t="shared" si="158"/>
        <v>0</v>
      </c>
      <c r="AK275" s="370">
        <f t="shared" ca="1" si="159"/>
        <v>-91</v>
      </c>
      <c r="AN275">
        <f t="shared" si="160"/>
        <v>50</v>
      </c>
      <c r="AO275">
        <f t="shared" si="161"/>
        <v>2025</v>
      </c>
      <c r="AV275">
        <f t="shared" si="162"/>
        <v>12</v>
      </c>
      <c r="AW275">
        <f t="shared" si="163"/>
        <v>2025</v>
      </c>
    </row>
    <row r="276" spans="4:49" ht="15.75" x14ac:dyDescent="0.25">
      <c r="D276" s="199" t="s">
        <v>611</v>
      </c>
      <c r="E276" s="200" t="s">
        <v>297</v>
      </c>
      <c r="F276" s="287">
        <v>700</v>
      </c>
      <c r="G276" s="201" t="s">
        <v>4</v>
      </c>
      <c r="H276" s="219">
        <v>2.44</v>
      </c>
      <c r="I276" s="202">
        <v>45978</v>
      </c>
      <c r="J276" s="200" t="s">
        <v>308</v>
      </c>
      <c r="K276" s="200"/>
      <c r="L276" s="203">
        <v>0.05</v>
      </c>
      <c r="M276" s="204">
        <f ca="1">IF(ISERROR(OFFSET(Tabella!$A$1,MATCH(J276,Tabella!$A:$A,0)-1,MATCH(L276,Tabella!$A$1:$AC$1,0)-1)=TRUE),0,+OFFSET(Tabella!$A$1,MATCH(J276,Tabella!$A:$A,0)-1,MATCH(L276,Tabella!$A$1:$AC$1,0)-1))</f>
        <v>0</v>
      </c>
      <c r="N276" s="205">
        <f ca="1">IF(ISERROR(OFFSET(Ottone!$A$1,MATCH(J276,Ottone!$A:$A,0)-1,MATCH(L276,Ottone!$A$1:$Z$1,0)-1)=TRUE),0,OFFSET(Ottone!$A$1,MATCH(J276,Ottone!$A:$A,0)-1,MATCH(L276,Ottone!$A$1:$Z$1,0)-1))*IF(G276="Ottone",1,0)</f>
        <v>0</v>
      </c>
      <c r="O276" s="205">
        <f ca="1">IF(ISERROR(OFFSET(Rame!$A$1,MATCH(J276,Rame!$A:$A,0)-1,MATCH(L276,Rame!$A$1:$AA$1,0)-1)=TRUE),0,OFFSET(Rame!$A$1,MATCH(J276,Rame!$A:$A,0)-1,MATCH(L276,Rame!$A$1:$AA$1,0)-1))*IF(G276="Rame",1,0)</f>
        <v>0</v>
      </c>
      <c r="P276" s="205">
        <v>0</v>
      </c>
      <c r="Q276" s="205">
        <v>1.5</v>
      </c>
      <c r="R276" s="205">
        <f ca="1">+IF(ISERROR(OFFSET(Tabella!$G$1,MATCH(J276,Tabella!$G:$G,0)-1,MATCH(K276,Tabella!$G$1:$FG$1,0)-1)=TRUE),0,OFFSET(Tabella!$G$1,MATCH(J276,Tabella!$G:$G,0)-1,MATCH(K276,Tabella!$G$1:$AB$1,0)-1))</f>
        <v>0</v>
      </c>
      <c r="S276" s="205">
        <f ca="1">IF(ISERROR(OFFSET(Ottone!$F$1,MATCH(J276,Ottone!$A:$A,0)-1,MATCH(K276,Ottone!$F$1:$FF$1,0)-1)=TRUE),0,OFFSET(Ottone!$F$1,MATCH(J276,Ottone!$A:$A,0)-1,MATCH(K276,Ottone!$F$1:$FF$1,0)-1))*IF(G276="Ottone",1,0)</f>
        <v>0</v>
      </c>
      <c r="T276" s="205">
        <f ca="1">IF(ISERROR(OFFSET(Rame!$F$1,MATCH(J276,Rame!$F:$F,0)-1,MATCH(K276,Rame!$F$1:$FF$1,0)-1)=TRUE),0,OFFSET(Rame!$F$1,MATCH(J276,Rame!$F:$F,0)-1,MATCH(K276,Rame!$F$1:$FF$1,0)-1))*IF(G276="Rame",1,0)</f>
        <v>0</v>
      </c>
      <c r="U276" s="205">
        <f ca="1">IF(ISERROR(OFFSET(Bronzo!$A$1,MATCH(J276,Bronzo!$A:$A,0)-1,MATCH(K276,Bronzo!$A$1:$AA$1,0)-1)=TRUE),0,OFFSET(Bronzo!$A$1,MATCH(J276,Bronzo!$A:$A,0)-1,MATCH(K276,Bronzo!$A$1:$AA$1,0)-1))</f>
        <v>0</v>
      </c>
      <c r="V276" s="205">
        <f t="shared" ca="1" si="166"/>
        <v>0</v>
      </c>
      <c r="W276" s="204"/>
      <c r="X276" s="205">
        <v>0</v>
      </c>
      <c r="Y276" s="206">
        <f t="shared" ca="1" si="167"/>
        <v>1.5</v>
      </c>
      <c r="Z276" s="277">
        <f t="shared" si="168"/>
        <v>35</v>
      </c>
      <c r="AA276" s="203">
        <v>3.9</v>
      </c>
      <c r="AB276" s="203">
        <f t="shared" ca="1" si="169"/>
        <v>-4.0000000000000036E-2</v>
      </c>
      <c r="AC276" s="238">
        <v>46001</v>
      </c>
      <c r="AI276" s="367">
        <f t="shared" ca="1" si="164"/>
        <v>46092</v>
      </c>
      <c r="AJ276" s="367" t="b">
        <f t="shared" si="158"/>
        <v>0</v>
      </c>
      <c r="AK276" s="370">
        <f t="shared" ca="1" si="159"/>
        <v>-91</v>
      </c>
      <c r="AN276">
        <f t="shared" si="160"/>
        <v>50</v>
      </c>
      <c r="AO276">
        <f t="shared" si="161"/>
        <v>2025</v>
      </c>
      <c r="AV276">
        <f t="shared" si="162"/>
        <v>12</v>
      </c>
      <c r="AW276">
        <f t="shared" si="163"/>
        <v>2025</v>
      </c>
    </row>
    <row r="277" spans="4:49" ht="15.75" x14ac:dyDescent="0.25">
      <c r="D277" s="199" t="s">
        <v>611</v>
      </c>
      <c r="E277" s="200" t="s">
        <v>297</v>
      </c>
      <c r="F277" s="287">
        <v>400</v>
      </c>
      <c r="G277" s="201" t="s">
        <v>4</v>
      </c>
      <c r="H277" s="219">
        <v>2.44</v>
      </c>
      <c r="I277" s="202">
        <v>45978</v>
      </c>
      <c r="J277" s="200" t="s">
        <v>19</v>
      </c>
      <c r="K277" s="200"/>
      <c r="L277" s="203">
        <v>0.05</v>
      </c>
      <c r="M277" s="204">
        <f ca="1">IF(ISERROR(OFFSET(Tabella!$A$1,MATCH(J277,Tabella!$A:$A,0)-1,MATCH(L277,Tabella!$A$1:$AC$1,0)-1)=TRUE),0,+OFFSET(Tabella!$A$1,MATCH(J277,Tabella!$A:$A,0)-1,MATCH(L277,Tabella!$A$1:$AC$1,0)-1))</f>
        <v>0</v>
      </c>
      <c r="N277" s="205">
        <f ca="1">IF(ISERROR(OFFSET(Ottone!$A$1,MATCH(J277,Ottone!$A:$A,0)-1,MATCH(L277,Ottone!$A$1:$Z$1,0)-1)=TRUE),0,OFFSET(Ottone!$A$1,MATCH(J277,Ottone!$A:$A,0)-1,MATCH(L277,Ottone!$A$1:$Z$1,0)-1))*IF(G277="Ottone",1,0)</f>
        <v>0</v>
      </c>
      <c r="O277" s="205">
        <f ca="1">IF(ISERROR(OFFSET(Rame!$A$1,MATCH(J277,Rame!$A:$A,0)-1,MATCH(L277,Rame!$A$1:$AA$1,0)-1)=TRUE),0,OFFSET(Rame!$A$1,MATCH(J277,Rame!$A:$A,0)-1,MATCH(L277,Rame!$A$1:$AA$1,0)-1))*IF(G277="Rame",1,0)</f>
        <v>0</v>
      </c>
      <c r="P277" s="205">
        <v>0</v>
      </c>
      <c r="Q277" s="205">
        <v>1.5</v>
      </c>
      <c r="R277" s="205">
        <f ca="1">+IF(ISERROR(OFFSET(Tabella!$G$1,MATCH(J277,Tabella!$G:$G,0)-1,MATCH(K277,Tabella!$G$1:$FG$1,0)-1)=TRUE),0,OFFSET(Tabella!$G$1,MATCH(J277,Tabella!$G:$G,0)-1,MATCH(K277,Tabella!$G$1:$AB$1,0)-1))</f>
        <v>0</v>
      </c>
      <c r="S277" s="205">
        <f ca="1">IF(ISERROR(OFFSET(Ottone!$F$1,MATCH(J277,Ottone!$A:$A,0)-1,MATCH(K277,Ottone!$F$1:$FF$1,0)-1)=TRUE),0,OFFSET(Ottone!$F$1,MATCH(J277,Ottone!$A:$A,0)-1,MATCH(K277,Ottone!$F$1:$FF$1,0)-1))*IF(G277="Ottone",1,0)</f>
        <v>0</v>
      </c>
      <c r="T277" s="205">
        <f ca="1">IF(ISERROR(OFFSET(Rame!$F$1,MATCH(J277,Rame!$F:$F,0)-1,MATCH(K277,Rame!$F$1:$FF$1,0)-1)=TRUE),0,OFFSET(Rame!$F$1,MATCH(J277,Rame!$F:$F,0)-1,MATCH(K277,Rame!$F$1:$FF$1,0)-1))*IF(G277="Rame",1,0)</f>
        <v>0</v>
      </c>
      <c r="U277" s="205">
        <f ca="1">IF(ISERROR(OFFSET(Bronzo!$A$1,MATCH(J277,Bronzo!$A:$A,0)-1,MATCH(K277,Bronzo!$A$1:$AA$1,0)-1)=TRUE),0,OFFSET(Bronzo!$A$1,MATCH(J277,Bronzo!$A:$A,0)-1,MATCH(K277,Bronzo!$A$1:$AA$1,0)-1))</f>
        <v>0</v>
      </c>
      <c r="V277" s="205">
        <f t="shared" ca="1" si="166"/>
        <v>0</v>
      </c>
      <c r="W277" s="204"/>
      <c r="X277" s="205">
        <v>0</v>
      </c>
      <c r="Y277" s="206">
        <f t="shared" ca="1" si="167"/>
        <v>1.5</v>
      </c>
      <c r="Z277" s="277">
        <f t="shared" si="168"/>
        <v>20</v>
      </c>
      <c r="AA277" s="203">
        <v>3.9</v>
      </c>
      <c r="AB277" s="203">
        <f t="shared" ca="1" si="169"/>
        <v>-4.0000000000000036E-2</v>
      </c>
      <c r="AC277" s="238">
        <v>46001</v>
      </c>
      <c r="AI277" s="367">
        <f t="shared" ca="1" si="164"/>
        <v>46092</v>
      </c>
      <c r="AJ277" s="367" t="b">
        <f t="shared" si="158"/>
        <v>0</v>
      </c>
      <c r="AK277" s="370">
        <f t="shared" ca="1" si="159"/>
        <v>-91</v>
      </c>
      <c r="AN277">
        <f t="shared" si="160"/>
        <v>50</v>
      </c>
      <c r="AO277">
        <f t="shared" si="161"/>
        <v>2025</v>
      </c>
      <c r="AV277">
        <f t="shared" si="162"/>
        <v>12</v>
      </c>
      <c r="AW277">
        <f t="shared" si="163"/>
        <v>2025</v>
      </c>
    </row>
    <row r="278" spans="4:49" ht="15.75" x14ac:dyDescent="0.25">
      <c r="D278" s="199" t="s">
        <v>614</v>
      </c>
      <c r="E278" s="200" t="s">
        <v>297</v>
      </c>
      <c r="F278" s="287">
        <v>400</v>
      </c>
      <c r="G278" s="201" t="s">
        <v>4</v>
      </c>
      <c r="H278" s="219">
        <v>2.44</v>
      </c>
      <c r="I278" s="202">
        <v>45978</v>
      </c>
      <c r="J278" s="200" t="s">
        <v>21</v>
      </c>
      <c r="K278" s="200"/>
      <c r="L278" s="203">
        <v>0.05</v>
      </c>
      <c r="M278" s="204">
        <f ca="1">IF(ISERROR(OFFSET(Tabella!$A$1,MATCH(J278,Tabella!$A:$A,0)-1,MATCH(L278,Tabella!$A$1:$AC$1,0)-1)=TRUE),0,+OFFSET(Tabella!$A$1,MATCH(J278,Tabella!$A:$A,0)-1,MATCH(L278,Tabella!$A$1:$AC$1,0)-1))</f>
        <v>0</v>
      </c>
      <c r="N278" s="205">
        <f ca="1">IF(ISERROR(OFFSET(Ottone!$A$1,MATCH(J278,Ottone!$A:$A,0)-1,MATCH(L278,Ottone!$A$1:$Z$1,0)-1)=TRUE),0,OFFSET(Ottone!$A$1,MATCH(J278,Ottone!$A:$A,0)-1,MATCH(L278,Ottone!$A$1:$Z$1,0)-1))*IF(G278="Ottone",1,0)</f>
        <v>0</v>
      </c>
      <c r="O278" s="205">
        <f ca="1">IF(ISERROR(OFFSET(Rame!$A$1,MATCH(J278,Rame!$A:$A,0)-1,MATCH(L278,Rame!$A$1:$AA$1,0)-1)=TRUE),0,OFFSET(Rame!$A$1,MATCH(J278,Rame!$A:$A,0)-1,MATCH(L278,Rame!$A$1:$AA$1,0)-1))*IF(G278="Rame",1,0)</f>
        <v>0</v>
      </c>
      <c r="P278" s="205">
        <v>0</v>
      </c>
      <c r="Q278" s="205">
        <v>1.5</v>
      </c>
      <c r="R278" s="205">
        <f ca="1">+IF(ISERROR(OFFSET(Tabella!$G$1,MATCH(J278,Tabella!$G:$G,0)-1,MATCH(K278,Tabella!$G$1:$FG$1,0)-1)=TRUE),0,OFFSET(Tabella!$G$1,MATCH(J278,Tabella!$G:$G,0)-1,MATCH(K278,Tabella!$G$1:$AB$1,0)-1))</f>
        <v>0</v>
      </c>
      <c r="S278" s="205">
        <f ca="1">IF(ISERROR(OFFSET(Ottone!$F$1,MATCH(J278,Ottone!$A:$A,0)-1,MATCH(K278,Ottone!$F$1:$FF$1,0)-1)=TRUE),0,OFFSET(Ottone!$F$1,MATCH(J278,Ottone!$A:$A,0)-1,MATCH(K278,Ottone!$F$1:$FF$1,0)-1))*IF(G278="Ottone",1,0)</f>
        <v>0</v>
      </c>
      <c r="T278" s="205">
        <f ca="1">IF(ISERROR(OFFSET(Rame!$F$1,MATCH(J278,Rame!$F:$F,0)-1,MATCH(K278,Rame!$F$1:$FF$1,0)-1)=TRUE),0,OFFSET(Rame!$F$1,MATCH(J278,Rame!$F:$F,0)-1,MATCH(K278,Rame!$F$1:$FF$1,0)-1))*IF(G278="Rame",1,0)</f>
        <v>0</v>
      </c>
      <c r="U278" s="205">
        <f ca="1">IF(ISERROR(OFFSET(Bronzo!$A$1,MATCH(J278,Bronzo!$A:$A,0)-1,MATCH(K278,Bronzo!$A$1:$AA$1,0)-1)=TRUE),0,OFFSET(Bronzo!$A$1,MATCH(J278,Bronzo!$A:$A,0)-1,MATCH(K278,Bronzo!$A$1:$AA$1,0)-1))</f>
        <v>0</v>
      </c>
      <c r="V278" s="205">
        <f t="shared" ca="1" si="166"/>
        <v>0</v>
      </c>
      <c r="W278" s="204"/>
      <c r="X278" s="205">
        <v>0</v>
      </c>
      <c r="Y278" s="206">
        <f t="shared" ca="1" si="167"/>
        <v>1.5</v>
      </c>
      <c r="Z278" s="277">
        <f t="shared" si="168"/>
        <v>20</v>
      </c>
      <c r="AA278" s="203">
        <v>3.9</v>
      </c>
      <c r="AB278" s="203">
        <f t="shared" ca="1" si="169"/>
        <v>-4.0000000000000036E-2</v>
      </c>
      <c r="AC278" s="238">
        <v>46007</v>
      </c>
      <c r="AI278" s="367">
        <f t="shared" ca="1" si="164"/>
        <v>46092</v>
      </c>
      <c r="AJ278" s="367" t="b">
        <f t="shared" si="158"/>
        <v>0</v>
      </c>
      <c r="AK278" s="370">
        <f t="shared" ca="1" si="159"/>
        <v>-85</v>
      </c>
      <c r="AN278">
        <f t="shared" si="160"/>
        <v>51</v>
      </c>
      <c r="AO278">
        <f t="shared" si="161"/>
        <v>2025</v>
      </c>
      <c r="AV278">
        <f t="shared" si="162"/>
        <v>12</v>
      </c>
      <c r="AW278">
        <f t="shared" si="163"/>
        <v>2025</v>
      </c>
    </row>
    <row r="279" spans="4:49" ht="15.75" x14ac:dyDescent="0.25">
      <c r="D279" s="199" t="s">
        <v>630</v>
      </c>
      <c r="E279" s="200" t="s">
        <v>108</v>
      </c>
      <c r="F279" s="287">
        <v>5000</v>
      </c>
      <c r="G279" s="201" t="s">
        <v>4</v>
      </c>
      <c r="H279" s="219">
        <v>2.2799999999999998</v>
      </c>
      <c r="I279" s="202">
        <v>45930</v>
      </c>
      <c r="J279" s="200" t="s">
        <v>28</v>
      </c>
      <c r="K279" s="200"/>
      <c r="L279" s="203">
        <v>7.0000000000000007E-2</v>
      </c>
      <c r="M279" s="204">
        <f ca="1">IF(ISERROR(OFFSET(Tabella!$A$1,MATCH(J279,Tabella!$A:$A,0)-1,MATCH(L279,Tabella!$A$1:$AC$1,0)-1)=TRUE),0,+OFFSET(Tabella!$A$1,MATCH(J279,Tabella!$A:$A,0)-1,MATCH(L279,Tabella!$A$1:$AC$1,0)-1))</f>
        <v>1.25</v>
      </c>
      <c r="N279" s="205">
        <f ca="1">IF(ISERROR(OFFSET(Ottone!$A$1,MATCH(J279,Ottone!$A:$A,0)-1,MATCH(L279,Ottone!$A$1:$Z$1,0)-1)=TRUE),0,OFFSET(Ottone!$A$1,MATCH(J279,Ottone!$A:$A,0)-1,MATCH(L279,Ottone!$A$1:$Z$1,0)-1))*IF(G279="Ottone",1,0)</f>
        <v>0</v>
      </c>
      <c r="O279" s="205">
        <f ca="1">IF(ISERROR(OFFSET(Rame!$A$1,MATCH(J279,Rame!$A:$A,0)-1,MATCH(L279,Rame!$A$1:$AA$1,0)-1)=TRUE),0,OFFSET(Rame!$A$1,MATCH(J279,Rame!$A:$A,0)-1,MATCH(L279,Rame!$A$1:$AA$1,0)-1))*IF(G279="Rame",1,0)</f>
        <v>0</v>
      </c>
      <c r="P279" s="205">
        <v>0</v>
      </c>
      <c r="Q279" s="205">
        <f t="shared" ca="1" si="165"/>
        <v>1.25</v>
      </c>
      <c r="R279" s="205">
        <f ca="1">+IF(ISERROR(OFFSET(Tabella!$G$1,MATCH(J279,Tabella!$G:$G,0)-1,MATCH(K279,Tabella!$G$1:$FG$1,0)-1)=TRUE),0,OFFSET(Tabella!$G$1,MATCH(J279,Tabella!$G:$G,0)-1,MATCH(K279,Tabella!$G$1:$AB$1,0)-1))</f>
        <v>0</v>
      </c>
      <c r="S279" s="205">
        <f ca="1">IF(ISERROR(OFFSET(Ottone!$F$1,MATCH(J279,Ottone!$A:$A,0)-1,MATCH(K279,Ottone!$F$1:$FF$1,0)-1)=TRUE),0,OFFSET(Ottone!$F$1,MATCH(J279,Ottone!$A:$A,0)-1,MATCH(K279,Ottone!$F$1:$FF$1,0)-1))*IF(G279="Ottone",1,0)</f>
        <v>0</v>
      </c>
      <c r="T279" s="205">
        <f ca="1">IF(ISERROR(OFFSET(Rame!$F$1,MATCH(J279,Rame!$F:$F,0)-1,MATCH(K279,Rame!$F$1:$FF$1,0)-1)=TRUE),0,OFFSET(Rame!$F$1,MATCH(J279,Rame!$F:$F,0)-1,MATCH(K279,Rame!$F$1:$FF$1,0)-1))*IF(G279="Rame",1,0)</f>
        <v>0</v>
      </c>
      <c r="U279" s="205">
        <f ca="1">IF(ISERROR(OFFSET(Bronzo!$A$1,MATCH(J279,Bronzo!$A:$A,0)-1,MATCH(K279,Bronzo!$A$1:$AA$1,0)-1)=TRUE),0,OFFSET(Bronzo!$A$1,MATCH(J279,Bronzo!$A:$A,0)-1,MATCH(K279,Bronzo!$A$1:$AA$1,0)-1))</f>
        <v>0</v>
      </c>
      <c r="V279" s="205">
        <f t="shared" ca="1" si="166"/>
        <v>0</v>
      </c>
      <c r="W279" s="204"/>
      <c r="X279" s="205">
        <v>0</v>
      </c>
      <c r="Y279" s="206">
        <f t="shared" ca="1" si="167"/>
        <v>1.25</v>
      </c>
      <c r="Z279" s="277">
        <f t="shared" si="168"/>
        <v>350.00000000000006</v>
      </c>
      <c r="AA279" s="203">
        <v>3.78</v>
      </c>
      <c r="AB279" s="203">
        <f t="shared" ca="1" si="169"/>
        <v>0.25</v>
      </c>
      <c r="AC279" s="238">
        <v>46002</v>
      </c>
      <c r="AI279" s="367">
        <f t="shared" ca="1" si="164"/>
        <v>46092</v>
      </c>
      <c r="AJ279" s="367" t="b">
        <f t="shared" si="158"/>
        <v>0</v>
      </c>
      <c r="AK279" s="370">
        <f t="shared" ca="1" si="159"/>
        <v>-90</v>
      </c>
      <c r="AN279">
        <f t="shared" si="160"/>
        <v>50</v>
      </c>
      <c r="AO279">
        <f t="shared" si="161"/>
        <v>2025</v>
      </c>
      <c r="AV279">
        <f t="shared" si="162"/>
        <v>12</v>
      </c>
      <c r="AW279">
        <f t="shared" si="163"/>
        <v>2025</v>
      </c>
    </row>
    <row r="280" spans="4:49" ht="15.75" x14ac:dyDescent="0.25">
      <c r="D280" s="199" t="s">
        <v>630</v>
      </c>
      <c r="E280" s="200" t="s">
        <v>108</v>
      </c>
      <c r="F280" s="287">
        <v>4000</v>
      </c>
      <c r="G280" s="201" t="s">
        <v>4</v>
      </c>
      <c r="H280" s="219">
        <v>2.2799999999999998</v>
      </c>
      <c r="I280" s="202">
        <v>45930</v>
      </c>
      <c r="J280" s="200" t="s">
        <v>326</v>
      </c>
      <c r="K280" s="200"/>
      <c r="L280" s="203">
        <v>7.0000000000000007E-2</v>
      </c>
      <c r="M280" s="204">
        <f ca="1">IF(ISERROR(OFFSET(Tabella!$A$1,MATCH(J280,Tabella!$A:$A,0)-1,MATCH(L280,Tabella!$A$1:$AC$1,0)-1)=TRUE),0,+OFFSET(Tabella!$A$1,MATCH(J280,Tabella!$A:$A,0)-1,MATCH(L280,Tabella!$A$1:$AC$1,0)-1))</f>
        <v>1.25</v>
      </c>
      <c r="N280" s="205">
        <f ca="1">IF(ISERROR(OFFSET(Ottone!$A$1,MATCH(J280,Ottone!$A:$A,0)-1,MATCH(L280,Ottone!$A$1:$Z$1,0)-1)=TRUE),0,OFFSET(Ottone!$A$1,MATCH(J280,Ottone!$A:$A,0)-1,MATCH(L280,Ottone!$A$1:$Z$1,0)-1))*IF(G280="Ottone",1,0)</f>
        <v>0</v>
      </c>
      <c r="O280" s="205">
        <f ca="1">IF(ISERROR(OFFSET(Rame!$A$1,MATCH(J280,Rame!$A:$A,0)-1,MATCH(L280,Rame!$A$1:$AA$1,0)-1)=TRUE),0,OFFSET(Rame!$A$1,MATCH(J280,Rame!$A:$A,0)-1,MATCH(L280,Rame!$A$1:$AA$1,0)-1))*IF(G280="Rame",1,0)</f>
        <v>0</v>
      </c>
      <c r="P280" s="205">
        <v>0</v>
      </c>
      <c r="Q280" s="205">
        <f t="shared" ca="1" si="165"/>
        <v>1.25</v>
      </c>
      <c r="R280" s="205">
        <f ca="1">+IF(ISERROR(OFFSET(Tabella!$G$1,MATCH(J280,Tabella!$G:$G,0)-1,MATCH(K280,Tabella!$G$1:$FG$1,0)-1)=TRUE),0,OFFSET(Tabella!$G$1,MATCH(J280,Tabella!$G:$G,0)-1,MATCH(K280,Tabella!$G$1:$AB$1,0)-1))</f>
        <v>0</v>
      </c>
      <c r="S280" s="205">
        <f ca="1">IF(ISERROR(OFFSET(Ottone!$F$1,MATCH(J280,Ottone!$A:$A,0)-1,MATCH(K280,Ottone!$F$1:$FF$1,0)-1)=TRUE),0,OFFSET(Ottone!$F$1,MATCH(J280,Ottone!$A:$A,0)-1,MATCH(K280,Ottone!$F$1:$FF$1,0)-1))*IF(G280="Ottone",1,0)</f>
        <v>0</v>
      </c>
      <c r="T280" s="205">
        <f ca="1">IF(ISERROR(OFFSET(Rame!$F$1,MATCH(J280,Rame!$F:$F,0)-1,MATCH(K280,Rame!$F$1:$FF$1,0)-1)=TRUE),0,OFFSET(Rame!$F$1,MATCH(J280,Rame!$F:$F,0)-1,MATCH(K280,Rame!$F$1:$FF$1,0)-1))*IF(G280="Rame",1,0)</f>
        <v>0</v>
      </c>
      <c r="U280" s="205">
        <f ca="1">IF(ISERROR(OFFSET(Bronzo!$A$1,MATCH(J280,Bronzo!$A:$A,0)-1,MATCH(K280,Bronzo!$A$1:$AA$1,0)-1)=TRUE),0,OFFSET(Bronzo!$A$1,MATCH(J280,Bronzo!$A:$A,0)-1,MATCH(K280,Bronzo!$A$1:$AA$1,0)-1))</f>
        <v>0</v>
      </c>
      <c r="V280" s="205">
        <f t="shared" ca="1" si="166"/>
        <v>0</v>
      </c>
      <c r="W280" s="204"/>
      <c r="X280" s="205">
        <v>0</v>
      </c>
      <c r="Y280" s="206">
        <f t="shared" ca="1" si="167"/>
        <v>1.25</v>
      </c>
      <c r="Z280" s="277">
        <f t="shared" si="168"/>
        <v>280</v>
      </c>
      <c r="AA280" s="203">
        <v>3.78</v>
      </c>
      <c r="AB280" s="203">
        <f t="shared" ca="1" si="169"/>
        <v>0.25</v>
      </c>
      <c r="AC280" s="238">
        <v>46002</v>
      </c>
      <c r="AI280" s="367">
        <f t="shared" ca="1" si="164"/>
        <v>46092</v>
      </c>
      <c r="AJ280" s="367" t="b">
        <f t="shared" si="158"/>
        <v>0</v>
      </c>
      <c r="AK280" s="370">
        <f t="shared" ca="1" si="159"/>
        <v>-90</v>
      </c>
      <c r="AN280">
        <f t="shared" si="160"/>
        <v>50</v>
      </c>
      <c r="AO280">
        <f t="shared" si="161"/>
        <v>2025</v>
      </c>
      <c r="AV280">
        <f t="shared" si="162"/>
        <v>12</v>
      </c>
      <c r="AW280">
        <f t="shared" si="163"/>
        <v>2025</v>
      </c>
    </row>
    <row r="281" spans="4:49" ht="15.75" x14ac:dyDescent="0.25">
      <c r="D281" s="199" t="s">
        <v>630</v>
      </c>
      <c r="E281" s="200" t="s">
        <v>108</v>
      </c>
      <c r="F281" s="287">
        <v>1500</v>
      </c>
      <c r="G281" s="201" t="s">
        <v>4</v>
      </c>
      <c r="H281" s="219">
        <v>2.2799999999999998</v>
      </c>
      <c r="I281" s="202">
        <v>45930</v>
      </c>
      <c r="J281" s="200" t="s">
        <v>314</v>
      </c>
      <c r="K281" s="200"/>
      <c r="L281" s="203">
        <v>7.0000000000000007E-2</v>
      </c>
      <c r="M281" s="204">
        <f ca="1">IF(ISERROR(OFFSET(Tabella!$A$1,MATCH(J281,Tabella!$A:$A,0)-1,MATCH(L281,Tabella!$A$1:$AC$1,0)-1)=TRUE),0,+OFFSET(Tabella!$A$1,MATCH(J281,Tabella!$A:$A,0)-1,MATCH(L281,Tabella!$A$1:$AC$1,0)-1))</f>
        <v>1.25</v>
      </c>
      <c r="N281" s="205">
        <f ca="1">IF(ISERROR(OFFSET(Ottone!$A$1,MATCH(J281,Ottone!$A:$A,0)-1,MATCH(L281,Ottone!$A$1:$Z$1,0)-1)=TRUE),0,OFFSET(Ottone!$A$1,MATCH(J281,Ottone!$A:$A,0)-1,MATCH(L281,Ottone!$A$1:$Z$1,0)-1))*IF(G281="Ottone",1,0)</f>
        <v>0</v>
      </c>
      <c r="O281" s="205">
        <f ca="1">IF(ISERROR(OFFSET(Rame!$A$1,MATCH(J281,Rame!$A:$A,0)-1,MATCH(L281,Rame!$A$1:$AA$1,0)-1)=TRUE),0,OFFSET(Rame!$A$1,MATCH(J281,Rame!$A:$A,0)-1,MATCH(L281,Rame!$A$1:$AA$1,0)-1))*IF(G281="Rame",1,0)</f>
        <v>0</v>
      </c>
      <c r="P281" s="205">
        <v>0</v>
      </c>
      <c r="Q281" s="205">
        <f t="shared" ca="1" si="165"/>
        <v>1.25</v>
      </c>
      <c r="R281" s="205">
        <f ca="1">+IF(ISERROR(OFFSET(Tabella!$G$1,MATCH(J281,Tabella!$G:$G,0)-1,MATCH(K281,Tabella!$G$1:$FG$1,0)-1)=TRUE),0,OFFSET(Tabella!$G$1,MATCH(J281,Tabella!$G:$G,0)-1,MATCH(K281,Tabella!$G$1:$AB$1,0)-1))</f>
        <v>0</v>
      </c>
      <c r="S281" s="205">
        <f ca="1">IF(ISERROR(OFFSET(Ottone!$F$1,MATCH(J281,Ottone!$A:$A,0)-1,MATCH(K281,Ottone!$F$1:$FF$1,0)-1)=TRUE),0,OFFSET(Ottone!$F$1,MATCH(J281,Ottone!$A:$A,0)-1,MATCH(K281,Ottone!$F$1:$FF$1,0)-1))*IF(G281="Ottone",1,0)</f>
        <v>0</v>
      </c>
      <c r="T281" s="205">
        <f ca="1">IF(ISERROR(OFFSET(Rame!$F$1,MATCH(J281,Rame!$F:$F,0)-1,MATCH(K281,Rame!$F$1:$FF$1,0)-1)=TRUE),0,OFFSET(Rame!$F$1,MATCH(J281,Rame!$F:$F,0)-1,MATCH(K281,Rame!$F$1:$FF$1,0)-1))*IF(G281="Rame",1,0)</f>
        <v>0</v>
      </c>
      <c r="U281" s="205">
        <f ca="1">IF(ISERROR(OFFSET(Bronzo!$A$1,MATCH(J281,Bronzo!$A:$A,0)-1,MATCH(K281,Bronzo!$A$1:$AA$1,0)-1)=TRUE),0,OFFSET(Bronzo!$A$1,MATCH(J281,Bronzo!$A:$A,0)-1,MATCH(K281,Bronzo!$A$1:$AA$1,0)-1))</f>
        <v>0</v>
      </c>
      <c r="V281" s="205">
        <f t="shared" ca="1" si="166"/>
        <v>0</v>
      </c>
      <c r="W281" s="204"/>
      <c r="X281" s="205">
        <v>0</v>
      </c>
      <c r="Y281" s="206">
        <f t="shared" ca="1" si="167"/>
        <v>1.25</v>
      </c>
      <c r="Z281" s="277">
        <f t="shared" si="168"/>
        <v>105.00000000000001</v>
      </c>
      <c r="AA281" s="203">
        <v>3.78</v>
      </c>
      <c r="AB281" s="203">
        <f t="shared" ca="1" si="169"/>
        <v>0.25</v>
      </c>
      <c r="AC281" s="238">
        <v>46002</v>
      </c>
      <c r="AI281" s="367">
        <f t="shared" ca="1" si="164"/>
        <v>46092</v>
      </c>
      <c r="AJ281" s="367" t="b">
        <f t="shared" si="158"/>
        <v>0</v>
      </c>
      <c r="AK281" s="370">
        <f t="shared" ca="1" si="159"/>
        <v>-90</v>
      </c>
      <c r="AN281">
        <f t="shared" si="160"/>
        <v>50</v>
      </c>
      <c r="AO281">
        <f t="shared" si="161"/>
        <v>2025</v>
      </c>
      <c r="AV281">
        <f t="shared" si="162"/>
        <v>12</v>
      </c>
      <c r="AW281">
        <f t="shared" si="163"/>
        <v>2025</v>
      </c>
    </row>
    <row r="282" spans="4:49" ht="15.75" x14ac:dyDescent="0.25">
      <c r="D282" s="199" t="s">
        <v>613</v>
      </c>
      <c r="E282" s="200" t="s">
        <v>330</v>
      </c>
      <c r="F282" s="287">
        <v>4600</v>
      </c>
      <c r="G282" s="201" t="s">
        <v>4</v>
      </c>
      <c r="H282" s="381">
        <v>1.6</v>
      </c>
      <c r="I282" s="202">
        <v>45978</v>
      </c>
      <c r="J282" s="200" t="s">
        <v>22</v>
      </c>
      <c r="K282" s="200"/>
      <c r="L282" s="203">
        <v>7.0000000000000007E-2</v>
      </c>
      <c r="M282" s="204">
        <f ca="1">IF(ISERROR(OFFSET(Tabella!$A$1,MATCH(J282,Tabella!$A:$A,0)-1,MATCH(L282,Tabella!$A$1:$AC$1,0)-1)=TRUE),0,+OFFSET(Tabella!$A$1,MATCH(J282,Tabella!$A:$A,0)-1,MATCH(L282,Tabella!$A$1:$AC$1,0)-1))</f>
        <v>1.25</v>
      </c>
      <c r="N282" s="205">
        <f ca="1">IF(ISERROR(OFFSET(Ottone!$A$1,MATCH(J282,Ottone!$A:$A,0)-1,MATCH(L282,Ottone!$A$1:$Z$1,0)-1)=TRUE),0,OFFSET(Ottone!$A$1,MATCH(J282,Ottone!$A:$A,0)-1,MATCH(L282,Ottone!$A$1:$Z$1,0)-1))*IF(G282="Ottone",1,0)</f>
        <v>0</v>
      </c>
      <c r="O282" s="205">
        <f ca="1">IF(ISERROR(OFFSET(Rame!$A$1,MATCH(J282,Rame!$A:$A,0)-1,MATCH(L282,Rame!$A$1:$AA$1,0)-1)=TRUE),0,OFFSET(Rame!$A$1,MATCH(J282,Rame!$A:$A,0)-1,MATCH(L282,Rame!$A$1:$AA$1,0)-1))*IF(G282="Rame",1,0)</f>
        <v>0</v>
      </c>
      <c r="P282" s="205">
        <v>0</v>
      </c>
      <c r="Q282" s="205">
        <f t="shared" ca="1" si="165"/>
        <v>1.25</v>
      </c>
      <c r="R282" s="205">
        <f ca="1">+IF(ISERROR(OFFSET(Tabella!$G$1,MATCH(J282,Tabella!$G:$G,0)-1,MATCH(K282,Tabella!$G$1:$FG$1,0)-1)=TRUE),0,OFFSET(Tabella!$G$1,MATCH(J282,Tabella!$G:$G,0)-1,MATCH(K282,Tabella!$G$1:$AB$1,0)-1))</f>
        <v>0</v>
      </c>
      <c r="S282" s="205">
        <f ca="1">IF(ISERROR(OFFSET(Ottone!$F$1,MATCH(J282,Ottone!$A:$A,0)-1,MATCH(K282,Ottone!$F$1:$FF$1,0)-1)=TRUE),0,OFFSET(Ottone!$F$1,MATCH(J282,Ottone!$A:$A,0)-1,MATCH(K282,Ottone!$F$1:$FF$1,0)-1))*IF(G282="Ottone",1,0)</f>
        <v>0</v>
      </c>
      <c r="T282" s="205">
        <f ca="1">IF(ISERROR(OFFSET(Rame!$F$1,MATCH(J282,Rame!$F:$F,0)-1,MATCH(K282,Rame!$F$1:$FF$1,0)-1)=TRUE),0,OFFSET(Rame!$F$1,MATCH(J282,Rame!$F:$F,0)-1,MATCH(K282,Rame!$F$1:$FF$1,0)-1))*IF(G282="Rame",1,0)</f>
        <v>0</v>
      </c>
      <c r="U282" s="205">
        <f ca="1">IF(ISERROR(OFFSET(Bronzo!$A$1,MATCH(J282,Bronzo!$A:$A,0)-1,MATCH(K282,Bronzo!$A$1:$AA$1,0)-1)=TRUE),0,OFFSET(Bronzo!$A$1,MATCH(J282,Bronzo!$A:$A,0)-1,MATCH(K282,Bronzo!$A$1:$AA$1,0)-1))</f>
        <v>0</v>
      </c>
      <c r="V282" s="205">
        <f t="shared" ca="1" si="166"/>
        <v>0</v>
      </c>
      <c r="W282" s="204"/>
      <c r="X282" s="205">
        <v>0</v>
      </c>
      <c r="Y282" s="206">
        <f t="shared" ca="1" si="167"/>
        <v>1.25</v>
      </c>
      <c r="Z282" s="277">
        <f t="shared" si="168"/>
        <v>322.00000000000006</v>
      </c>
      <c r="AA282" s="382">
        <v>1.6</v>
      </c>
      <c r="AB282" s="203">
        <f t="shared" ca="1" si="169"/>
        <v>-1.25</v>
      </c>
      <c r="AC282" s="238">
        <v>46073</v>
      </c>
      <c r="AI282" s="367">
        <f t="shared" ca="1" si="164"/>
        <v>46092</v>
      </c>
      <c r="AJ282" s="367" t="b">
        <f t="shared" si="158"/>
        <v>0</v>
      </c>
      <c r="AK282" s="370">
        <f t="shared" ca="1" si="159"/>
        <v>-19</v>
      </c>
      <c r="AN282">
        <f t="shared" si="160"/>
        <v>8</v>
      </c>
      <c r="AO282">
        <f t="shared" si="161"/>
        <v>2026</v>
      </c>
      <c r="AV282">
        <f t="shared" si="162"/>
        <v>2</v>
      </c>
      <c r="AW282">
        <f t="shared" si="163"/>
        <v>2026</v>
      </c>
    </row>
    <row r="283" spans="4:49" ht="15.75" x14ac:dyDescent="0.25">
      <c r="D283" s="199" t="s">
        <v>613</v>
      </c>
      <c r="E283" s="200" t="s">
        <v>330</v>
      </c>
      <c r="F283" s="287">
        <v>5500</v>
      </c>
      <c r="G283" s="201" t="s">
        <v>4</v>
      </c>
      <c r="H283" s="381">
        <v>1.6</v>
      </c>
      <c r="I283" s="202">
        <v>45978</v>
      </c>
      <c r="J283" s="200" t="s">
        <v>28</v>
      </c>
      <c r="K283" s="200"/>
      <c r="L283" s="203">
        <v>7.0000000000000007E-2</v>
      </c>
      <c r="M283" s="204">
        <f ca="1">IF(ISERROR(OFFSET(Tabella!$A$1,MATCH(J283,Tabella!$A:$A,0)-1,MATCH(L283,Tabella!$A$1:$AC$1,0)-1)=TRUE),0,+OFFSET(Tabella!$A$1,MATCH(J283,Tabella!$A:$A,0)-1,MATCH(L283,Tabella!$A$1:$AC$1,0)-1))</f>
        <v>1.25</v>
      </c>
      <c r="N283" s="205">
        <f ca="1">IF(ISERROR(OFFSET(Ottone!$A$1,MATCH(J283,Ottone!$A:$A,0)-1,MATCH(L283,Ottone!$A$1:$Z$1,0)-1)=TRUE),0,OFFSET(Ottone!$A$1,MATCH(J283,Ottone!$A:$A,0)-1,MATCH(L283,Ottone!$A$1:$Z$1,0)-1))*IF(G283="Ottone",1,0)</f>
        <v>0</v>
      </c>
      <c r="O283" s="205">
        <f ca="1">IF(ISERROR(OFFSET(Rame!$A$1,MATCH(J283,Rame!$A:$A,0)-1,MATCH(L283,Rame!$A$1:$AA$1,0)-1)=TRUE),0,OFFSET(Rame!$A$1,MATCH(J283,Rame!$A:$A,0)-1,MATCH(L283,Rame!$A$1:$AA$1,0)-1))*IF(G283="Rame",1,0)</f>
        <v>0</v>
      </c>
      <c r="P283" s="205">
        <v>0</v>
      </c>
      <c r="Q283" s="205">
        <f t="shared" ca="1" si="165"/>
        <v>1.25</v>
      </c>
      <c r="R283" s="205">
        <f ca="1">+IF(ISERROR(OFFSET(Tabella!$G$1,MATCH(J283,Tabella!$G:$G,0)-1,MATCH(K283,Tabella!$G$1:$FG$1,0)-1)=TRUE),0,OFFSET(Tabella!$G$1,MATCH(J283,Tabella!$G:$G,0)-1,MATCH(K283,Tabella!$G$1:$AB$1,0)-1))</f>
        <v>0</v>
      </c>
      <c r="S283" s="205">
        <f ca="1">IF(ISERROR(OFFSET(Ottone!$F$1,MATCH(J283,Ottone!$A:$A,0)-1,MATCH(K283,Ottone!$F$1:$FF$1,0)-1)=TRUE),0,OFFSET(Ottone!$F$1,MATCH(J283,Ottone!$A:$A,0)-1,MATCH(K283,Ottone!$F$1:$FF$1,0)-1))*IF(G283="Ottone",1,0)</f>
        <v>0</v>
      </c>
      <c r="T283" s="205">
        <f ca="1">IF(ISERROR(OFFSET(Rame!$F$1,MATCH(J283,Rame!$F:$F,0)-1,MATCH(K283,Rame!$F$1:$FF$1,0)-1)=TRUE),0,OFFSET(Rame!$F$1,MATCH(J283,Rame!$F:$F,0)-1,MATCH(K283,Rame!$F$1:$FF$1,0)-1))*IF(G283="Rame",1,0)</f>
        <v>0</v>
      </c>
      <c r="U283" s="205">
        <f ca="1">IF(ISERROR(OFFSET(Bronzo!$A$1,MATCH(J283,Bronzo!$A:$A,0)-1,MATCH(K283,Bronzo!$A$1:$AA$1,0)-1)=TRUE),0,OFFSET(Bronzo!$A$1,MATCH(J283,Bronzo!$A:$A,0)-1,MATCH(K283,Bronzo!$A$1:$AA$1,0)-1))</f>
        <v>0</v>
      </c>
      <c r="V283" s="205">
        <f t="shared" ca="1" si="166"/>
        <v>0</v>
      </c>
      <c r="W283" s="204"/>
      <c r="X283" s="205">
        <v>0</v>
      </c>
      <c r="Y283" s="206">
        <f t="shared" ca="1" si="167"/>
        <v>1.25</v>
      </c>
      <c r="Z283" s="277">
        <f t="shared" si="168"/>
        <v>385.00000000000006</v>
      </c>
      <c r="AA283" s="382">
        <v>1.6</v>
      </c>
      <c r="AB283" s="203">
        <f t="shared" ca="1" si="169"/>
        <v>-1.25</v>
      </c>
      <c r="AC283" s="238">
        <v>46044</v>
      </c>
      <c r="AI283" s="367">
        <f t="shared" ca="1" si="164"/>
        <v>46092</v>
      </c>
      <c r="AJ283" s="367" t="b">
        <f t="shared" si="158"/>
        <v>0</v>
      </c>
      <c r="AK283" s="370">
        <f t="shared" ca="1" si="159"/>
        <v>-48</v>
      </c>
      <c r="AN283">
        <f t="shared" si="160"/>
        <v>4</v>
      </c>
      <c r="AO283">
        <f t="shared" si="161"/>
        <v>2026</v>
      </c>
      <c r="AV283">
        <f t="shared" si="162"/>
        <v>1</v>
      </c>
      <c r="AW283">
        <f t="shared" si="163"/>
        <v>2026</v>
      </c>
    </row>
    <row r="284" spans="4:49" ht="15.75" x14ac:dyDescent="0.25">
      <c r="D284" s="199" t="s">
        <v>613</v>
      </c>
      <c r="E284" s="200" t="s">
        <v>330</v>
      </c>
      <c r="F284" s="287">
        <v>2000</v>
      </c>
      <c r="G284" s="201" t="s">
        <v>4</v>
      </c>
      <c r="H284" s="381">
        <v>1.6</v>
      </c>
      <c r="I284" s="202">
        <v>45978</v>
      </c>
      <c r="J284" s="200" t="s">
        <v>28</v>
      </c>
      <c r="K284" s="200"/>
      <c r="L284" s="203">
        <v>7.0000000000000007E-2</v>
      </c>
      <c r="M284" s="204">
        <f ca="1">IF(ISERROR(OFFSET(Tabella!$A$1,MATCH(J284,Tabella!$A:$A,0)-1,MATCH(L284,Tabella!$A$1:$AC$1,0)-1)=TRUE),0,+OFFSET(Tabella!$A$1,MATCH(J284,Tabella!$A:$A,0)-1,MATCH(L284,Tabella!$A$1:$AC$1,0)-1))</f>
        <v>1.25</v>
      </c>
      <c r="N284" s="205">
        <f ca="1">IF(ISERROR(OFFSET(Ottone!$A$1,MATCH(J284,Ottone!$A:$A,0)-1,MATCH(L284,Ottone!$A$1:$Z$1,0)-1)=TRUE),0,OFFSET(Ottone!$A$1,MATCH(J284,Ottone!$A:$A,0)-1,MATCH(L284,Ottone!$A$1:$Z$1,0)-1))*IF(G284="Ottone",1,0)</f>
        <v>0</v>
      </c>
      <c r="O284" s="205">
        <f ca="1">IF(ISERROR(OFFSET(Rame!$A$1,MATCH(J284,Rame!$A:$A,0)-1,MATCH(L284,Rame!$A$1:$AA$1,0)-1)=TRUE),0,OFFSET(Rame!$A$1,MATCH(J284,Rame!$A:$A,0)-1,MATCH(L284,Rame!$A$1:$AA$1,0)-1))*IF(G284="Rame",1,0)</f>
        <v>0</v>
      </c>
      <c r="P284" s="205">
        <v>0</v>
      </c>
      <c r="Q284" s="205">
        <f t="shared" ca="1" si="165"/>
        <v>1.25</v>
      </c>
      <c r="R284" s="205">
        <f ca="1">+IF(ISERROR(OFFSET(Tabella!$G$1,MATCH(J284,Tabella!$G:$G,0)-1,MATCH(K284,Tabella!$G$1:$FG$1,0)-1)=TRUE),0,OFFSET(Tabella!$G$1,MATCH(J284,Tabella!$G:$G,0)-1,MATCH(K284,Tabella!$G$1:$AB$1,0)-1))</f>
        <v>0</v>
      </c>
      <c r="S284" s="205">
        <f ca="1">IF(ISERROR(OFFSET(Ottone!$F$1,MATCH(J284,Ottone!$A:$A,0)-1,MATCH(K284,Ottone!$F$1:$FF$1,0)-1)=TRUE),0,OFFSET(Ottone!$F$1,MATCH(J284,Ottone!$A:$A,0)-1,MATCH(K284,Ottone!$F$1:$FF$1,0)-1))*IF(G284="Ottone",1,0)</f>
        <v>0</v>
      </c>
      <c r="T284" s="205">
        <f ca="1">IF(ISERROR(OFFSET(Rame!$F$1,MATCH(J284,Rame!$F:$F,0)-1,MATCH(K284,Rame!$F$1:$FF$1,0)-1)=TRUE),0,OFFSET(Rame!$F$1,MATCH(J284,Rame!$F:$F,0)-1,MATCH(K284,Rame!$F$1:$FF$1,0)-1))*IF(G284="Rame",1,0)</f>
        <v>0</v>
      </c>
      <c r="U284" s="205">
        <f ca="1">IF(ISERROR(OFFSET(Bronzo!$A$1,MATCH(J284,Bronzo!$A:$A,0)-1,MATCH(K284,Bronzo!$A$1:$AA$1,0)-1)=TRUE),0,OFFSET(Bronzo!$A$1,MATCH(J284,Bronzo!$A:$A,0)-1,MATCH(K284,Bronzo!$A$1:$AA$1,0)-1))</f>
        <v>0</v>
      </c>
      <c r="V284" s="205">
        <f t="shared" ca="1" si="166"/>
        <v>0</v>
      </c>
      <c r="W284" s="204"/>
      <c r="X284" s="205">
        <v>0</v>
      </c>
      <c r="Y284" s="206">
        <f t="shared" ca="1" si="167"/>
        <v>1.25</v>
      </c>
      <c r="Z284" s="277">
        <f t="shared" si="168"/>
        <v>140</v>
      </c>
      <c r="AA284" s="382">
        <v>1.6</v>
      </c>
      <c r="AB284" s="203">
        <f t="shared" ca="1" si="169"/>
        <v>-1.25</v>
      </c>
      <c r="AC284" s="238">
        <v>46065</v>
      </c>
      <c r="AI284" s="367">
        <f t="shared" ca="1" si="164"/>
        <v>46092</v>
      </c>
      <c r="AJ284" s="367" t="b">
        <f t="shared" si="158"/>
        <v>0</v>
      </c>
      <c r="AK284" s="370">
        <f t="shared" ca="1" si="159"/>
        <v>-27</v>
      </c>
      <c r="AN284">
        <f t="shared" si="160"/>
        <v>7</v>
      </c>
      <c r="AO284">
        <f t="shared" si="161"/>
        <v>2026</v>
      </c>
      <c r="AV284">
        <f t="shared" si="162"/>
        <v>2</v>
      </c>
      <c r="AW284">
        <f t="shared" si="163"/>
        <v>2026</v>
      </c>
    </row>
    <row r="285" spans="4:49" ht="15.75" x14ac:dyDescent="0.25">
      <c r="D285" s="199" t="s">
        <v>613</v>
      </c>
      <c r="E285" s="200" t="s">
        <v>330</v>
      </c>
      <c r="F285" s="287">
        <v>2000</v>
      </c>
      <c r="G285" s="201" t="s">
        <v>4</v>
      </c>
      <c r="H285" s="381">
        <v>1.6</v>
      </c>
      <c r="I285" s="202">
        <v>45978</v>
      </c>
      <c r="J285" s="200" t="s">
        <v>24</v>
      </c>
      <c r="K285" s="200"/>
      <c r="L285" s="203">
        <v>7.0000000000000007E-2</v>
      </c>
      <c r="M285" s="204">
        <f ca="1">IF(ISERROR(OFFSET(Tabella!$A$1,MATCH(J285,Tabella!$A:$A,0)-1,MATCH(L285,Tabella!$A$1:$AC$1,0)-1)=TRUE),0,+OFFSET(Tabella!$A$1,MATCH(J285,Tabella!$A:$A,0)-1,MATCH(L285,Tabella!$A$1:$AC$1,0)-1))</f>
        <v>1.25</v>
      </c>
      <c r="N285" s="205">
        <f ca="1">IF(ISERROR(OFFSET(Ottone!$A$1,MATCH(J285,Ottone!$A:$A,0)-1,MATCH(L285,Ottone!$A$1:$Z$1,0)-1)=TRUE),0,OFFSET(Ottone!$A$1,MATCH(J285,Ottone!$A:$A,0)-1,MATCH(L285,Ottone!$A$1:$Z$1,0)-1))*IF(G285="Ottone",1,0)</f>
        <v>0</v>
      </c>
      <c r="O285" s="205">
        <f ca="1">IF(ISERROR(OFFSET(Rame!$A$1,MATCH(J285,Rame!$A:$A,0)-1,MATCH(L285,Rame!$A$1:$AA$1,0)-1)=TRUE),0,OFFSET(Rame!$A$1,MATCH(J285,Rame!$A:$A,0)-1,MATCH(L285,Rame!$A$1:$AA$1,0)-1))*IF(G285="Rame",1,0)</f>
        <v>0</v>
      </c>
      <c r="P285" s="205">
        <v>0</v>
      </c>
      <c r="Q285" s="205">
        <f t="shared" ca="1" si="165"/>
        <v>1.25</v>
      </c>
      <c r="R285" s="205">
        <f ca="1">+IF(ISERROR(OFFSET(Tabella!$G$1,MATCH(J285,Tabella!$G:$G,0)-1,MATCH(K285,Tabella!$G$1:$FG$1,0)-1)=TRUE),0,OFFSET(Tabella!$G$1,MATCH(J285,Tabella!$G:$G,0)-1,MATCH(K285,Tabella!$G$1:$AB$1,0)-1))</f>
        <v>0</v>
      </c>
      <c r="S285" s="205">
        <f ca="1">IF(ISERROR(OFFSET(Ottone!$F$1,MATCH(J285,Ottone!$A:$A,0)-1,MATCH(K285,Ottone!$F$1:$FF$1,0)-1)=TRUE),0,OFFSET(Ottone!$F$1,MATCH(J285,Ottone!$A:$A,0)-1,MATCH(K285,Ottone!$F$1:$FF$1,0)-1))*IF(G285="Ottone",1,0)</f>
        <v>0</v>
      </c>
      <c r="T285" s="205">
        <f ca="1">IF(ISERROR(OFFSET(Rame!$F$1,MATCH(J285,Rame!$F:$F,0)-1,MATCH(K285,Rame!$F$1:$FF$1,0)-1)=TRUE),0,OFFSET(Rame!$F$1,MATCH(J285,Rame!$F:$F,0)-1,MATCH(K285,Rame!$F$1:$FF$1,0)-1))*IF(G285="Rame",1,0)</f>
        <v>0</v>
      </c>
      <c r="U285" s="205">
        <f ca="1">IF(ISERROR(OFFSET(Bronzo!$A$1,MATCH(J285,Bronzo!$A:$A,0)-1,MATCH(K285,Bronzo!$A$1:$AA$1,0)-1)=TRUE),0,OFFSET(Bronzo!$A$1,MATCH(J285,Bronzo!$A:$A,0)-1,MATCH(K285,Bronzo!$A$1:$AA$1,0)-1))</f>
        <v>0</v>
      </c>
      <c r="V285" s="205">
        <f t="shared" ca="1" si="166"/>
        <v>0</v>
      </c>
      <c r="W285" s="204"/>
      <c r="X285" s="205">
        <v>0</v>
      </c>
      <c r="Y285" s="206">
        <f t="shared" ca="1" si="167"/>
        <v>1.25</v>
      </c>
      <c r="Z285" s="277">
        <f t="shared" si="168"/>
        <v>140</v>
      </c>
      <c r="AA285" s="382">
        <v>1.6</v>
      </c>
      <c r="AB285" s="203">
        <f t="shared" ca="1" si="169"/>
        <v>-1.25</v>
      </c>
      <c r="AC285" s="238"/>
      <c r="AI285" s="367">
        <f t="shared" ca="1" si="164"/>
        <v>46092</v>
      </c>
      <c r="AJ285" s="367" t="b">
        <f t="shared" si="158"/>
        <v>1</v>
      </c>
      <c r="AK285" s="370" t="str">
        <f t="shared" si="159"/>
        <v/>
      </c>
      <c r="AN285">
        <f t="shared" si="160"/>
        <v>0</v>
      </c>
      <c r="AO285">
        <f t="shared" si="161"/>
        <v>1900</v>
      </c>
      <c r="AV285">
        <f t="shared" si="162"/>
        <v>0</v>
      </c>
      <c r="AW285">
        <f t="shared" si="163"/>
        <v>0</v>
      </c>
    </row>
    <row r="286" spans="4:49" ht="15.75" x14ac:dyDescent="0.25">
      <c r="D286" s="199" t="s">
        <v>608</v>
      </c>
      <c r="E286" s="200" t="s">
        <v>97</v>
      </c>
      <c r="F286" s="287">
        <v>800</v>
      </c>
      <c r="G286" s="201" t="s">
        <v>4</v>
      </c>
      <c r="H286" s="219">
        <v>2.4</v>
      </c>
      <c r="I286" s="202">
        <v>45979</v>
      </c>
      <c r="J286" s="200" t="s">
        <v>25</v>
      </c>
      <c r="K286" s="200"/>
      <c r="L286" s="203">
        <v>0.05</v>
      </c>
      <c r="M286" s="204">
        <f ca="1">IF(ISERROR(OFFSET(Tabella!$A$1,MATCH(J286,Tabella!$A:$A,0)-1,MATCH(L286,Tabella!$A$1:$AC$1,0)-1)=TRUE),0,+OFFSET(Tabella!$A$1,MATCH(J286,Tabella!$A:$A,0)-1,MATCH(L286,Tabella!$A$1:$AC$1,0)-1))</f>
        <v>0</v>
      </c>
      <c r="N286" s="205">
        <f ca="1">IF(ISERROR(OFFSET(Ottone!$A$1,MATCH(J286,Ottone!$A:$A,0)-1,MATCH(L286,Ottone!$A$1:$Z$1,0)-1)=TRUE),0,OFFSET(Ottone!$A$1,MATCH(J286,Ottone!$A:$A,0)-1,MATCH(L286,Ottone!$A$1:$Z$1,0)-1))*IF(G286="Ottone",1,0)</f>
        <v>0</v>
      </c>
      <c r="O286" s="205">
        <f ca="1">IF(ISERROR(OFFSET(Rame!$A$1,MATCH(J286,Rame!$A:$A,0)-1,MATCH(L286,Rame!$A$1:$AA$1,0)-1)=TRUE),0,OFFSET(Rame!$A$1,MATCH(J286,Rame!$A:$A,0)-1,MATCH(L286,Rame!$A$1:$AA$1,0)-1))*IF(G286="Rame",1,0)</f>
        <v>0</v>
      </c>
      <c r="P286" s="205">
        <v>0</v>
      </c>
      <c r="Q286" s="205">
        <v>1.5</v>
      </c>
      <c r="R286" s="205">
        <f ca="1">+IF(ISERROR(OFFSET(Tabella!$G$1,MATCH(J286,Tabella!$G:$G,0)-1,MATCH(K286,Tabella!$G$1:$FG$1,0)-1)=TRUE),0,OFFSET(Tabella!$G$1,MATCH(J286,Tabella!$G:$G,0)-1,MATCH(K286,Tabella!$G$1:$AB$1,0)-1))</f>
        <v>0</v>
      </c>
      <c r="S286" s="205">
        <f ca="1">IF(ISERROR(OFFSET(Ottone!$F$1,MATCH(J286,Ottone!$A:$A,0)-1,MATCH(K286,Ottone!$F$1:$FF$1,0)-1)=TRUE),0,OFFSET(Ottone!$F$1,MATCH(J286,Ottone!$A:$A,0)-1,MATCH(K286,Ottone!$F$1:$FF$1,0)-1))*IF(G286="Ottone",1,0)</f>
        <v>0</v>
      </c>
      <c r="T286" s="205">
        <f ca="1">IF(ISERROR(OFFSET(Rame!$F$1,MATCH(J286,Rame!$F:$F,0)-1,MATCH(K286,Rame!$F$1:$FF$1,0)-1)=TRUE),0,OFFSET(Rame!$F$1,MATCH(J286,Rame!$F:$F,0)-1,MATCH(K286,Rame!$F$1:$FF$1,0)-1))*IF(G286="Rame",1,0)</f>
        <v>0</v>
      </c>
      <c r="U286" s="205">
        <f ca="1">IF(ISERROR(OFFSET(Bronzo!$A$1,MATCH(J286,Bronzo!$A:$A,0)-1,MATCH(K286,Bronzo!$A$1:$AA$1,0)-1)=TRUE),0,OFFSET(Bronzo!$A$1,MATCH(J286,Bronzo!$A:$A,0)-1,MATCH(K286,Bronzo!$A$1:$AA$1,0)-1))</f>
        <v>0</v>
      </c>
      <c r="V286" s="205">
        <f t="shared" ca="1" si="166"/>
        <v>0</v>
      </c>
      <c r="W286" s="204"/>
      <c r="X286" s="205">
        <v>0</v>
      </c>
      <c r="Y286" s="206">
        <f t="shared" ca="1" si="167"/>
        <v>1.5</v>
      </c>
      <c r="Z286" s="277">
        <f t="shared" si="168"/>
        <v>40</v>
      </c>
      <c r="AA286" s="203">
        <v>3.85</v>
      </c>
      <c r="AB286" s="203">
        <f t="shared" ca="1" si="169"/>
        <v>-4.9999999999999822E-2</v>
      </c>
      <c r="AC286" s="238">
        <v>46001</v>
      </c>
      <c r="AI286" s="367">
        <f t="shared" ca="1" si="164"/>
        <v>46092</v>
      </c>
      <c r="AJ286" s="367" t="b">
        <f t="shared" ref="AJ286:AJ351" si="170">ISBLANK(AC286)</f>
        <v>0</v>
      </c>
      <c r="AK286" s="370">
        <f t="shared" ref="AK286:AK351" ca="1" si="171">IF(AJ286=FALSE,_xlfn.DAYS(AC286,AI286),"")</f>
        <v>-91</v>
      </c>
      <c r="AN286">
        <f t="shared" ref="AN286:AN351" si="172">WEEKNUM(AC286)</f>
        <v>50</v>
      </c>
      <c r="AO286">
        <f t="shared" ref="AO286:AO351" si="173">YEAR(AC286)</f>
        <v>2025</v>
      </c>
      <c r="AV286">
        <f t="shared" ref="AV286:AV351" si="174">IF(AC286="",0,MONTH(AC286))</f>
        <v>12</v>
      </c>
      <c r="AW286">
        <f t="shared" ref="AW286:AW351" si="175">IF(AC286="",0,YEAR(AC286))</f>
        <v>2025</v>
      </c>
    </row>
    <row r="287" spans="4:49" ht="15.75" x14ac:dyDescent="0.25">
      <c r="D287" s="199" t="s">
        <v>608</v>
      </c>
      <c r="E287" s="200" t="s">
        <v>97</v>
      </c>
      <c r="F287" s="287">
        <v>500</v>
      </c>
      <c r="G287" s="201" t="s">
        <v>6</v>
      </c>
      <c r="H287" s="219">
        <v>9.1999999999999993</v>
      </c>
      <c r="I287" s="202">
        <v>45979</v>
      </c>
      <c r="J287" s="200" t="s">
        <v>14</v>
      </c>
      <c r="K287" s="200"/>
      <c r="L287" s="203">
        <v>0.05</v>
      </c>
      <c r="M287" s="204">
        <f ca="1">IF(ISERROR(OFFSET(Tabella!$A$1,MATCH(J287,Tabella!$A:$A,0)-1,MATCH(L287,Tabella!$A$1:$AC$1,0)-1)=TRUE),0,+OFFSET(Tabella!$A$1,MATCH(J287,Tabella!$A:$A,0)-1,MATCH(L287,Tabella!$A$1:$AC$1,0)-1))</f>
        <v>0</v>
      </c>
      <c r="N287" s="205">
        <f ca="1">IF(ISERROR(OFFSET(Ottone!$A$1,MATCH(J287,Ottone!$A:$A,0)-1,MATCH(L287,Ottone!$A$1:$Z$1,0)-1)=TRUE),0,OFFSET(Ottone!$A$1,MATCH(J287,Ottone!$A:$A,0)-1,MATCH(L287,Ottone!$A$1:$Z$1,0)-1))*IF(G287="Ottone",1,0)</f>
        <v>0</v>
      </c>
      <c r="O287" s="205">
        <f ca="1">IF(ISERROR(OFFSET(Rame!$A$1,MATCH(J287,Rame!$A:$A,0)-1,MATCH(L287,Rame!$A$1:$AA$1,0)-1)=TRUE),0,OFFSET(Rame!$A$1,MATCH(J287,Rame!$A:$A,0)-1,MATCH(L287,Rame!$A$1:$AA$1,0)-1))*IF(G287="Rame",1,0)</f>
        <v>0</v>
      </c>
      <c r="P287" s="205">
        <v>0</v>
      </c>
      <c r="Q287" s="205">
        <v>3.25</v>
      </c>
      <c r="R287" s="205">
        <f ca="1">+IF(ISERROR(OFFSET(Tabella!$G$1,MATCH(J287,Tabella!$G:$G,0)-1,MATCH(K287,Tabella!$G$1:$FG$1,0)-1)=TRUE),0,OFFSET(Tabella!$G$1,MATCH(J287,Tabella!$G:$G,0)-1,MATCH(K287,Tabella!$G$1:$AB$1,0)-1))</f>
        <v>0</v>
      </c>
      <c r="S287" s="205">
        <f ca="1">IF(ISERROR(OFFSET(Ottone!$F$1,MATCH(J287,Ottone!$A:$A,0)-1,MATCH(K287,Ottone!$F$1:$FF$1,0)-1)=TRUE),0,OFFSET(Ottone!$F$1,MATCH(J287,Ottone!$A:$A,0)-1,MATCH(K287,Ottone!$F$1:$FF$1,0)-1))*IF(G287="Ottone",1,0)</f>
        <v>0</v>
      </c>
      <c r="T287" s="205">
        <f ca="1">IF(ISERROR(OFFSET(Rame!$F$1,MATCH(J287,Rame!$F:$F,0)-1,MATCH(K287,Rame!$F$1:$FF$1,0)-1)=TRUE),0,OFFSET(Rame!$F$1,MATCH(J287,Rame!$F:$F,0)-1,MATCH(K287,Rame!$F$1:$FF$1,0)-1))*IF(G287="Rame",1,0)</f>
        <v>0</v>
      </c>
      <c r="U287" s="205">
        <f ca="1">IF(ISERROR(OFFSET(Bronzo!$A$1,MATCH(J287,Bronzo!$A:$A,0)-1,MATCH(K287,Bronzo!$A$1:$AA$1,0)-1)=TRUE),0,OFFSET(Bronzo!$A$1,MATCH(J287,Bronzo!$A:$A,0)-1,MATCH(K287,Bronzo!$A$1:$AA$1,0)-1))</f>
        <v>0</v>
      </c>
      <c r="V287" s="205">
        <f t="shared" ca="1" si="166"/>
        <v>0</v>
      </c>
      <c r="W287" s="204"/>
      <c r="X287" s="205">
        <v>0</v>
      </c>
      <c r="Y287" s="206">
        <f t="shared" ca="1" si="167"/>
        <v>3.25</v>
      </c>
      <c r="Z287" s="277">
        <f t="shared" si="168"/>
        <v>25</v>
      </c>
      <c r="AA287" s="203">
        <v>12.45</v>
      </c>
      <c r="AB287" s="203">
        <f t="shared" ca="1" si="169"/>
        <v>0</v>
      </c>
      <c r="AC287" s="238">
        <v>46001</v>
      </c>
      <c r="AI287" s="367">
        <f t="shared" ca="1" si="164"/>
        <v>46092</v>
      </c>
      <c r="AJ287" s="367" t="b">
        <f t="shared" si="170"/>
        <v>0</v>
      </c>
      <c r="AK287" s="370">
        <f t="shared" ca="1" si="171"/>
        <v>-91</v>
      </c>
      <c r="AN287">
        <f t="shared" si="172"/>
        <v>50</v>
      </c>
      <c r="AO287">
        <f t="shared" si="173"/>
        <v>2025</v>
      </c>
      <c r="AV287">
        <f t="shared" si="174"/>
        <v>12</v>
      </c>
      <c r="AW287">
        <f t="shared" si="175"/>
        <v>2025</v>
      </c>
    </row>
    <row r="288" spans="4:49" ht="15.75" x14ac:dyDescent="0.25">
      <c r="D288" s="199" t="s">
        <v>612</v>
      </c>
      <c r="E288" s="200" t="s">
        <v>297</v>
      </c>
      <c r="F288" s="287">
        <v>800</v>
      </c>
      <c r="G288" s="201" t="s">
        <v>4</v>
      </c>
      <c r="H288" s="219">
        <v>2.4</v>
      </c>
      <c r="I288" s="202">
        <v>45979</v>
      </c>
      <c r="J288" s="200" t="s">
        <v>13</v>
      </c>
      <c r="K288" s="200"/>
      <c r="L288" s="203">
        <v>7.0000000000000007E-2</v>
      </c>
      <c r="M288" s="204">
        <f ca="1">IF(ISERROR(OFFSET(Tabella!$A$1,MATCH(J288,Tabella!$A:$A,0)-1,MATCH(L288,Tabella!$A$1:$AC$1,0)-1)=TRUE),0,+OFFSET(Tabella!$A$1,MATCH(J288,Tabella!$A:$A,0)-1,MATCH(L288,Tabella!$A$1:$AC$1,0)-1))</f>
        <v>1.4</v>
      </c>
      <c r="N288" s="205">
        <f ca="1">IF(ISERROR(OFFSET(Ottone!$A$1,MATCH(J288,Ottone!$A:$A,0)-1,MATCH(L288,Ottone!$A$1:$Z$1,0)-1)=TRUE),0,OFFSET(Ottone!$A$1,MATCH(J288,Ottone!$A:$A,0)-1,MATCH(L288,Ottone!$A$1:$Z$1,0)-1))*IF(G288="Ottone",1,0)</f>
        <v>0</v>
      </c>
      <c r="O288" s="205">
        <f ca="1">IF(ISERROR(OFFSET(Rame!$A$1,MATCH(J288,Rame!$A:$A,0)-1,MATCH(L288,Rame!$A$1:$AA$1,0)-1)=TRUE),0,OFFSET(Rame!$A$1,MATCH(J288,Rame!$A:$A,0)-1,MATCH(L288,Rame!$A$1:$AA$1,0)-1))*IF(G288="Rame",1,0)</f>
        <v>0</v>
      </c>
      <c r="P288" s="205">
        <v>0</v>
      </c>
      <c r="Q288" s="205">
        <f t="shared" ca="1" si="165"/>
        <v>1.4</v>
      </c>
      <c r="R288" s="205">
        <f ca="1">+IF(ISERROR(OFFSET(Tabella!$G$1,MATCH(J288,Tabella!$G:$G,0)-1,MATCH(K288,Tabella!$G$1:$FG$1,0)-1)=TRUE),0,OFFSET(Tabella!$G$1,MATCH(J288,Tabella!$G:$G,0)-1,MATCH(K288,Tabella!$G$1:$AB$1,0)-1))</f>
        <v>0</v>
      </c>
      <c r="S288" s="205">
        <f ca="1">IF(ISERROR(OFFSET(Ottone!$F$1,MATCH(J288,Ottone!$A:$A,0)-1,MATCH(K288,Ottone!$F$1:$FF$1,0)-1)=TRUE),0,OFFSET(Ottone!$F$1,MATCH(J288,Ottone!$A:$A,0)-1,MATCH(K288,Ottone!$F$1:$FF$1,0)-1))*IF(G288="Ottone",1,0)</f>
        <v>0</v>
      </c>
      <c r="T288" s="205">
        <f ca="1">IF(ISERROR(OFFSET(Rame!$F$1,MATCH(J288,Rame!$F:$F,0)-1,MATCH(K288,Rame!$F$1:$FF$1,0)-1)=TRUE),0,OFFSET(Rame!$F$1,MATCH(J288,Rame!$F:$F,0)-1,MATCH(K288,Rame!$F$1:$FF$1,0)-1))*IF(G288="Rame",1,0)</f>
        <v>0</v>
      </c>
      <c r="U288" s="205">
        <f ca="1">IF(ISERROR(OFFSET(Bronzo!$A$1,MATCH(J288,Bronzo!$A:$A,0)-1,MATCH(K288,Bronzo!$A$1:$AA$1,0)-1)=TRUE),0,OFFSET(Bronzo!$A$1,MATCH(J288,Bronzo!$A:$A,0)-1,MATCH(K288,Bronzo!$A$1:$AA$1,0)-1))</f>
        <v>0</v>
      </c>
      <c r="V288" s="205">
        <f t="shared" ca="1" si="166"/>
        <v>0</v>
      </c>
      <c r="W288" s="204"/>
      <c r="X288" s="205">
        <v>0</v>
      </c>
      <c r="Y288" s="206">
        <f t="shared" ca="1" si="167"/>
        <v>1.4</v>
      </c>
      <c r="Z288" s="277">
        <f t="shared" si="168"/>
        <v>56.000000000000007</v>
      </c>
      <c r="AA288" s="203">
        <v>4.05</v>
      </c>
      <c r="AB288" s="203">
        <f t="shared" ca="1" si="169"/>
        <v>0.25</v>
      </c>
      <c r="AC288" s="238">
        <v>46037</v>
      </c>
      <c r="AI288" s="367">
        <f t="shared" ca="1" si="164"/>
        <v>46092</v>
      </c>
      <c r="AJ288" s="367" t="b">
        <f t="shared" si="170"/>
        <v>0</v>
      </c>
      <c r="AK288" s="370">
        <f t="shared" ca="1" si="171"/>
        <v>-55</v>
      </c>
      <c r="AN288">
        <f t="shared" si="172"/>
        <v>3</v>
      </c>
      <c r="AO288">
        <f t="shared" si="173"/>
        <v>2026</v>
      </c>
      <c r="AV288">
        <f t="shared" si="174"/>
        <v>1</v>
      </c>
      <c r="AW288">
        <f t="shared" si="175"/>
        <v>2026</v>
      </c>
    </row>
    <row r="289" spans="4:49" ht="15.75" x14ac:dyDescent="0.25">
      <c r="D289" s="199" t="s">
        <v>606</v>
      </c>
      <c r="E289" s="200" t="s">
        <v>376</v>
      </c>
      <c r="F289" s="287">
        <v>300</v>
      </c>
      <c r="G289" s="201" t="s">
        <v>4</v>
      </c>
      <c r="H289" s="219">
        <v>2.4500000000000002</v>
      </c>
      <c r="I289" s="202">
        <v>45978</v>
      </c>
      <c r="J289" s="200" t="s">
        <v>21</v>
      </c>
      <c r="K289" s="200"/>
      <c r="L289" s="203">
        <v>7.0000000000000007E-2</v>
      </c>
      <c r="M289" s="204">
        <f ca="1">IF(ISERROR(OFFSET(Tabella!$A$1,MATCH(J289,Tabella!$A:$A,0)-1,MATCH(L289,Tabella!$A$1:$AC$1,0)-1)=TRUE),0,+OFFSET(Tabella!$A$1,MATCH(J289,Tabella!$A:$A,0)-1,MATCH(L289,Tabella!$A$1:$AC$1,0)-1))</f>
        <v>1.25</v>
      </c>
      <c r="N289" s="205">
        <f ca="1">IF(ISERROR(OFFSET(Ottone!$A$1,MATCH(J289,Ottone!$A:$A,0)-1,MATCH(L289,Ottone!$A$1:$Z$1,0)-1)=TRUE),0,OFFSET(Ottone!$A$1,MATCH(J289,Ottone!$A:$A,0)-1,MATCH(L289,Ottone!$A$1:$Z$1,0)-1))*IF(G289="Ottone",1,0)</f>
        <v>0</v>
      </c>
      <c r="O289" s="205">
        <f ca="1">IF(ISERROR(OFFSET(Rame!$A$1,MATCH(J289,Rame!$A:$A,0)-1,MATCH(L289,Rame!$A$1:$AA$1,0)-1)=TRUE),0,OFFSET(Rame!$A$1,MATCH(J289,Rame!$A:$A,0)-1,MATCH(L289,Rame!$A$1:$AA$1,0)-1))*IF(G289="Rame",1,0)</f>
        <v>0</v>
      </c>
      <c r="P289" s="205">
        <v>0</v>
      </c>
      <c r="Q289" s="205">
        <f t="shared" ca="1" si="165"/>
        <v>1.25</v>
      </c>
      <c r="R289" s="205">
        <f ca="1">+IF(ISERROR(OFFSET(Tabella!$G$1,MATCH(J289,Tabella!$G:$G,0)-1,MATCH(K289,Tabella!$G$1:$FG$1,0)-1)=TRUE),0,OFFSET(Tabella!$G$1,MATCH(J289,Tabella!$G:$G,0)-1,MATCH(K289,Tabella!$G$1:$AB$1,0)-1))</f>
        <v>0</v>
      </c>
      <c r="S289" s="205">
        <f ca="1">IF(ISERROR(OFFSET(Ottone!$F$1,MATCH(J289,Ottone!$A:$A,0)-1,MATCH(K289,Ottone!$F$1:$FF$1,0)-1)=TRUE),0,OFFSET(Ottone!$F$1,MATCH(J289,Ottone!$A:$A,0)-1,MATCH(K289,Ottone!$F$1:$FF$1,0)-1))*IF(G289="Ottone",1,0)</f>
        <v>0</v>
      </c>
      <c r="T289" s="205">
        <f ca="1">IF(ISERROR(OFFSET(Rame!$F$1,MATCH(J289,Rame!$F:$F,0)-1,MATCH(K289,Rame!$F$1:$FF$1,0)-1)=TRUE),0,OFFSET(Rame!$F$1,MATCH(J289,Rame!$F:$F,0)-1,MATCH(K289,Rame!$F$1:$FF$1,0)-1))*IF(G289="Rame",1,0)</f>
        <v>0</v>
      </c>
      <c r="U289" s="205">
        <f ca="1">IF(ISERROR(OFFSET(Bronzo!$A$1,MATCH(J289,Bronzo!$A:$A,0)-1,MATCH(K289,Bronzo!$A$1:$AA$1,0)-1)=TRUE),0,OFFSET(Bronzo!$A$1,MATCH(J289,Bronzo!$A:$A,0)-1,MATCH(K289,Bronzo!$A$1:$AA$1,0)-1))</f>
        <v>0</v>
      </c>
      <c r="V289" s="205">
        <f t="shared" ca="1" si="166"/>
        <v>0</v>
      </c>
      <c r="W289" s="204"/>
      <c r="X289" s="205">
        <v>0</v>
      </c>
      <c r="Y289" s="206">
        <f t="shared" ca="1" si="167"/>
        <v>1.25</v>
      </c>
      <c r="Z289" s="277">
        <f t="shared" si="168"/>
        <v>21.000000000000004</v>
      </c>
      <c r="AA289" s="203">
        <v>3.95</v>
      </c>
      <c r="AB289" s="203">
        <f t="shared" ca="1" si="169"/>
        <v>0.25</v>
      </c>
      <c r="AC289" s="238">
        <v>45996</v>
      </c>
      <c r="AI289" s="367">
        <f t="shared" ca="1" si="164"/>
        <v>46092</v>
      </c>
      <c r="AJ289" s="367" t="b">
        <f t="shared" si="170"/>
        <v>0</v>
      </c>
      <c r="AK289" s="370">
        <f t="shared" ca="1" si="171"/>
        <v>-96</v>
      </c>
      <c r="AN289">
        <f t="shared" si="172"/>
        <v>49</v>
      </c>
      <c r="AO289">
        <f t="shared" si="173"/>
        <v>2025</v>
      </c>
      <c r="AV289">
        <f t="shared" si="174"/>
        <v>12</v>
      </c>
      <c r="AW289">
        <f t="shared" si="175"/>
        <v>2025</v>
      </c>
    </row>
    <row r="290" spans="4:49" ht="15.75" x14ac:dyDescent="0.25">
      <c r="D290" s="199"/>
      <c r="E290" s="200" t="s">
        <v>212</v>
      </c>
      <c r="F290" s="287">
        <v>2400</v>
      </c>
      <c r="G290" s="201" t="s">
        <v>4</v>
      </c>
      <c r="H290" s="219">
        <v>2.39</v>
      </c>
      <c r="I290" s="202">
        <v>45979</v>
      </c>
      <c r="J290" s="200" t="s">
        <v>17</v>
      </c>
      <c r="K290" s="200"/>
      <c r="L290" s="203">
        <v>0.05</v>
      </c>
      <c r="M290" s="204">
        <f ca="1">IF(ISERROR(OFFSET(Tabella!$A$1,MATCH(J290,Tabella!$A:$A,0)-1,MATCH(L290,Tabella!$A$1:$AC$1,0)-1)=TRUE),0,+OFFSET(Tabella!$A$1,MATCH(J290,Tabella!$A:$A,0)-1,MATCH(L290,Tabella!$A$1:$AC$1,0)-1))</f>
        <v>0</v>
      </c>
      <c r="N290" s="205">
        <f ca="1">IF(ISERROR(OFFSET(Ottone!$A$1,MATCH(J290,Ottone!$A:$A,0)-1,MATCH(L290,Ottone!$A$1:$Z$1,0)-1)=TRUE),0,OFFSET(Ottone!$A$1,MATCH(J290,Ottone!$A:$A,0)-1,MATCH(L290,Ottone!$A$1:$Z$1,0)-1))*IF(G290="Ottone",1,0)</f>
        <v>0</v>
      </c>
      <c r="O290" s="205">
        <f ca="1">IF(ISERROR(OFFSET(Rame!$A$1,MATCH(J290,Rame!$A:$A,0)-1,MATCH(L290,Rame!$A$1:$AA$1,0)-1)=TRUE),0,OFFSET(Rame!$A$1,MATCH(J290,Rame!$A:$A,0)-1,MATCH(L290,Rame!$A$1:$AA$1,0)-1))*IF(G290="Rame",1,0)</f>
        <v>0</v>
      </c>
      <c r="P290" s="205">
        <v>0</v>
      </c>
      <c r="Q290" s="205">
        <v>1.57</v>
      </c>
      <c r="R290" s="205">
        <f ca="1">+IF(ISERROR(OFFSET(Tabella!$G$1,MATCH(J290,Tabella!$G:$G,0)-1,MATCH(K290,Tabella!$G$1:$FG$1,0)-1)=TRUE),0,OFFSET(Tabella!$G$1,MATCH(J290,Tabella!$G:$G,0)-1,MATCH(K290,Tabella!$G$1:$AB$1,0)-1))</f>
        <v>0</v>
      </c>
      <c r="S290" s="205">
        <f ca="1">IF(ISERROR(OFFSET(Ottone!$F$1,MATCH(J290,Ottone!$A:$A,0)-1,MATCH(K290,Ottone!$F$1:$FF$1,0)-1)=TRUE),0,OFFSET(Ottone!$F$1,MATCH(J290,Ottone!$A:$A,0)-1,MATCH(K290,Ottone!$F$1:$FF$1,0)-1))*IF(G290="Ottone",1,0)</f>
        <v>0</v>
      </c>
      <c r="T290" s="205">
        <f ca="1">IF(ISERROR(OFFSET(Rame!$F$1,MATCH(J290,Rame!$F:$F,0)-1,MATCH(K290,Rame!$F$1:$FF$1,0)-1)=TRUE),0,OFFSET(Rame!$F$1,MATCH(J290,Rame!$F:$F,0)-1,MATCH(K290,Rame!$F$1:$FF$1,0)-1))*IF(G290="Rame",1,0)</f>
        <v>0</v>
      </c>
      <c r="U290" s="205">
        <f ca="1">IF(ISERROR(OFFSET(Bronzo!$A$1,MATCH(J290,Bronzo!$A:$A,0)-1,MATCH(K290,Bronzo!$A$1:$AA$1,0)-1)=TRUE),0,OFFSET(Bronzo!$A$1,MATCH(J290,Bronzo!$A:$A,0)-1,MATCH(K290,Bronzo!$A$1:$AA$1,0)-1))</f>
        <v>0</v>
      </c>
      <c r="V290" s="205">
        <f t="shared" ca="1" si="166"/>
        <v>0</v>
      </c>
      <c r="W290" s="204"/>
      <c r="X290" s="205">
        <v>0</v>
      </c>
      <c r="Y290" s="206">
        <f t="shared" ca="1" si="167"/>
        <v>1.57</v>
      </c>
      <c r="Z290" s="277">
        <f t="shared" si="168"/>
        <v>120</v>
      </c>
      <c r="AA290" s="203">
        <v>3.91</v>
      </c>
      <c r="AB290" s="203" t="s">
        <v>607</v>
      </c>
      <c r="AC290" s="238"/>
      <c r="AI290" s="367">
        <f t="shared" ca="1" si="164"/>
        <v>46092</v>
      </c>
      <c r="AJ290" s="367" t="b">
        <f t="shared" si="170"/>
        <v>1</v>
      </c>
      <c r="AK290" s="370" t="str">
        <f t="shared" si="171"/>
        <v/>
      </c>
      <c r="AN290">
        <f t="shared" si="172"/>
        <v>0</v>
      </c>
      <c r="AO290">
        <f t="shared" si="173"/>
        <v>1900</v>
      </c>
      <c r="AV290">
        <f t="shared" si="174"/>
        <v>0</v>
      </c>
      <c r="AW290">
        <f t="shared" si="175"/>
        <v>0</v>
      </c>
    </row>
    <row r="291" spans="4:49" ht="15.75" x14ac:dyDescent="0.25">
      <c r="D291" s="199" t="s">
        <v>640</v>
      </c>
      <c r="E291" s="200" t="s">
        <v>396</v>
      </c>
      <c r="F291" s="287">
        <v>700</v>
      </c>
      <c r="G291" s="201" t="s">
        <v>4</v>
      </c>
      <c r="H291" s="219">
        <v>2.4</v>
      </c>
      <c r="I291" s="202">
        <v>45979</v>
      </c>
      <c r="J291" s="200" t="s">
        <v>308</v>
      </c>
      <c r="K291" s="200"/>
      <c r="L291" s="203">
        <v>0.1</v>
      </c>
      <c r="M291" s="204">
        <f ca="1">IF(ISERROR(OFFSET(Tabella!$A$1,MATCH(J291,Tabella!$A:$A,0)-1,MATCH(L291,Tabella!$A$1:$AC$1,0)-1)=TRUE),0,+OFFSET(Tabella!$A$1,MATCH(J291,Tabella!$A:$A,0)-1,MATCH(L291,Tabella!$A$1:$AC$1,0)-1))</f>
        <v>1.4</v>
      </c>
      <c r="N291" s="205">
        <f ca="1">IF(ISERROR(OFFSET(Ottone!$A$1,MATCH(J291,Ottone!$A:$A,0)-1,MATCH(L291,Ottone!$A$1:$Z$1,0)-1)=TRUE),0,OFFSET(Ottone!$A$1,MATCH(J291,Ottone!$A:$A,0)-1,MATCH(L291,Ottone!$A$1:$Z$1,0)-1))*IF(G291="Ottone",1,0)</f>
        <v>0</v>
      </c>
      <c r="O291" s="205">
        <f ca="1">IF(ISERROR(OFFSET(Rame!$A$1,MATCH(J291,Rame!$A:$A,0)-1,MATCH(L291,Rame!$A$1:$AA$1,0)-1)=TRUE),0,OFFSET(Rame!$A$1,MATCH(J291,Rame!$A:$A,0)-1,MATCH(L291,Rame!$A$1:$AA$1,0)-1))*IF(G291="Rame",1,0)</f>
        <v>0</v>
      </c>
      <c r="P291" s="205">
        <v>0</v>
      </c>
      <c r="Q291" s="205">
        <f t="shared" ca="1" si="165"/>
        <v>1.4</v>
      </c>
      <c r="R291" s="205">
        <f ca="1">+IF(ISERROR(OFFSET(Tabella!$G$1,MATCH(J291,Tabella!$G:$G,0)-1,MATCH(K291,Tabella!$G$1:$FG$1,0)-1)=TRUE),0,OFFSET(Tabella!$G$1,MATCH(J291,Tabella!$G:$G,0)-1,MATCH(K291,Tabella!$G$1:$AB$1,0)-1))</f>
        <v>0</v>
      </c>
      <c r="S291" s="205">
        <f ca="1">IF(ISERROR(OFFSET(Ottone!$F$1,MATCH(J291,Ottone!$A:$A,0)-1,MATCH(K291,Ottone!$F$1:$FF$1,0)-1)=TRUE),0,OFFSET(Ottone!$F$1,MATCH(J291,Ottone!$A:$A,0)-1,MATCH(K291,Ottone!$F$1:$FF$1,0)-1))*IF(G291="Ottone",1,0)</f>
        <v>0</v>
      </c>
      <c r="T291" s="205">
        <f ca="1">IF(ISERROR(OFFSET(Rame!$F$1,MATCH(J291,Rame!$F:$F,0)-1,MATCH(K291,Rame!$F$1:$FF$1,0)-1)=TRUE),0,OFFSET(Rame!$F$1,MATCH(J291,Rame!$F:$F,0)-1,MATCH(K291,Rame!$F$1:$FF$1,0)-1))*IF(G291="Rame",1,0)</f>
        <v>0</v>
      </c>
      <c r="U291" s="205">
        <f ca="1">IF(ISERROR(OFFSET(Bronzo!$A$1,MATCH(J291,Bronzo!$A:$A,0)-1,MATCH(K291,Bronzo!$A$1:$AA$1,0)-1)=TRUE),0,OFFSET(Bronzo!$A$1,MATCH(J291,Bronzo!$A:$A,0)-1,MATCH(K291,Bronzo!$A$1:$AA$1,0)-1))</f>
        <v>0</v>
      </c>
      <c r="V291" s="205">
        <f t="shared" ca="1" si="166"/>
        <v>0</v>
      </c>
      <c r="W291" s="204"/>
      <c r="X291" s="205">
        <v>0</v>
      </c>
      <c r="Y291" s="206">
        <f t="shared" ca="1" si="167"/>
        <v>1.4</v>
      </c>
      <c r="Z291" s="277">
        <f t="shared" si="168"/>
        <v>70</v>
      </c>
      <c r="AA291" s="203">
        <v>4.32</v>
      </c>
      <c r="AB291" s="203">
        <f t="shared" ca="1" si="169"/>
        <v>0.52000000000000046</v>
      </c>
      <c r="AC291" s="238">
        <v>46084</v>
      </c>
      <c r="AI291" s="367">
        <f t="shared" ca="1" si="164"/>
        <v>46092</v>
      </c>
      <c r="AJ291" s="367" t="b">
        <f t="shared" si="170"/>
        <v>0</v>
      </c>
      <c r="AK291" s="370">
        <f t="shared" ca="1" si="171"/>
        <v>-8</v>
      </c>
      <c r="AN291">
        <f t="shared" si="172"/>
        <v>10</v>
      </c>
      <c r="AO291">
        <f t="shared" si="173"/>
        <v>2026</v>
      </c>
      <c r="AV291">
        <f t="shared" si="174"/>
        <v>3</v>
      </c>
      <c r="AW291">
        <f t="shared" si="175"/>
        <v>2026</v>
      </c>
    </row>
    <row r="292" spans="4:49" ht="15.75" x14ac:dyDescent="0.25">
      <c r="D292" s="199" t="s">
        <v>633</v>
      </c>
      <c r="E292" s="200" t="s">
        <v>396</v>
      </c>
      <c r="F292" s="287">
        <v>500</v>
      </c>
      <c r="G292" s="201" t="s">
        <v>4</v>
      </c>
      <c r="H292" s="219">
        <v>2.4</v>
      </c>
      <c r="I292" s="202">
        <v>45979</v>
      </c>
      <c r="J292" s="200" t="s">
        <v>308</v>
      </c>
      <c r="K292" s="200"/>
      <c r="L292" s="203">
        <v>0.1</v>
      </c>
      <c r="M292" s="204">
        <f ca="1">IF(ISERROR(OFFSET(Tabella!$A$1,MATCH(J292,Tabella!$A:$A,0)-1,MATCH(L292,Tabella!$A$1:$AC$1,0)-1)=TRUE),0,+OFFSET(Tabella!$A$1,MATCH(J292,Tabella!$A:$A,0)-1,MATCH(L292,Tabella!$A$1:$AC$1,0)-1))</f>
        <v>1.4</v>
      </c>
      <c r="N292" s="205">
        <f ca="1">IF(ISERROR(OFFSET(Ottone!$A$1,MATCH(J292,Ottone!$A:$A,0)-1,MATCH(L292,Ottone!$A$1:$Z$1,0)-1)=TRUE),0,OFFSET(Ottone!$A$1,MATCH(J292,Ottone!$A:$A,0)-1,MATCH(L292,Ottone!$A$1:$Z$1,0)-1))*IF(G292="Ottone",1,0)</f>
        <v>0</v>
      </c>
      <c r="O292" s="205">
        <f ca="1">IF(ISERROR(OFFSET(Rame!$A$1,MATCH(J292,Rame!$A:$A,0)-1,MATCH(L292,Rame!$A$1:$AA$1,0)-1)=TRUE),0,OFFSET(Rame!$A$1,MATCH(J292,Rame!$A:$A,0)-1,MATCH(L292,Rame!$A$1:$AA$1,0)-1))*IF(G292="Rame",1,0)</f>
        <v>0</v>
      </c>
      <c r="P292" s="205">
        <v>0</v>
      </c>
      <c r="Q292" s="205">
        <f t="shared" ca="1" si="165"/>
        <v>1.4</v>
      </c>
      <c r="R292" s="205">
        <f ca="1">+IF(ISERROR(OFFSET(Tabella!$G$1,MATCH(J292,Tabella!$G:$G,0)-1,MATCH(K292,Tabella!$G$1:$FG$1,0)-1)=TRUE),0,OFFSET(Tabella!$G$1,MATCH(J292,Tabella!$G:$G,0)-1,MATCH(K292,Tabella!$G$1:$AB$1,0)-1))</f>
        <v>0</v>
      </c>
      <c r="S292" s="205">
        <f ca="1">IF(ISERROR(OFFSET(Ottone!$F$1,MATCH(J292,Ottone!$A:$A,0)-1,MATCH(K292,Ottone!$F$1:$FF$1,0)-1)=TRUE),0,OFFSET(Ottone!$F$1,MATCH(J292,Ottone!$A:$A,0)-1,MATCH(K292,Ottone!$F$1:$FF$1,0)-1))*IF(G292="Ottone",1,0)</f>
        <v>0</v>
      </c>
      <c r="T292" s="205">
        <f ca="1">IF(ISERROR(OFFSET(Rame!$F$1,MATCH(J292,Rame!$F:$F,0)-1,MATCH(K292,Rame!$F$1:$FF$1,0)-1)=TRUE),0,OFFSET(Rame!$F$1,MATCH(J292,Rame!$F:$F,0)-1,MATCH(K292,Rame!$F$1:$FF$1,0)-1))*IF(G292="Rame",1,0)</f>
        <v>0</v>
      </c>
      <c r="U292" s="205">
        <f ca="1">IF(ISERROR(OFFSET(Bronzo!$A$1,MATCH(J292,Bronzo!$A:$A,0)-1,MATCH(K292,Bronzo!$A$1:$AA$1,0)-1)=TRUE),0,OFFSET(Bronzo!$A$1,MATCH(J292,Bronzo!$A:$A,0)-1,MATCH(K292,Bronzo!$A$1:$AA$1,0)-1))</f>
        <v>0</v>
      </c>
      <c r="V292" s="205">
        <f t="shared" ca="1" si="166"/>
        <v>0</v>
      </c>
      <c r="W292" s="204"/>
      <c r="X292" s="205">
        <v>0</v>
      </c>
      <c r="Y292" s="206">
        <f t="shared" ca="1" si="167"/>
        <v>1.4</v>
      </c>
      <c r="Z292" s="277">
        <f t="shared" si="168"/>
        <v>50</v>
      </c>
      <c r="AA292" s="203">
        <v>4.32</v>
      </c>
      <c r="AB292" s="203">
        <f t="shared" ca="1" si="169"/>
        <v>0.52000000000000046</v>
      </c>
      <c r="AC292" s="238">
        <v>46042</v>
      </c>
      <c r="AI292" s="367">
        <f t="shared" ca="1" si="164"/>
        <v>46092</v>
      </c>
      <c r="AJ292" s="367" t="b">
        <f t="shared" si="170"/>
        <v>0</v>
      </c>
      <c r="AK292" s="370">
        <f t="shared" ca="1" si="171"/>
        <v>-50</v>
      </c>
      <c r="AN292">
        <f t="shared" si="172"/>
        <v>4</v>
      </c>
      <c r="AO292">
        <f t="shared" si="173"/>
        <v>2026</v>
      </c>
      <c r="AV292">
        <f t="shared" si="174"/>
        <v>1</v>
      </c>
      <c r="AW292">
        <f t="shared" si="175"/>
        <v>2026</v>
      </c>
    </row>
    <row r="293" spans="4:49" ht="15.75" x14ac:dyDescent="0.25">
      <c r="D293" s="199" t="s">
        <v>615</v>
      </c>
      <c r="E293" s="375" t="s">
        <v>399</v>
      </c>
      <c r="F293" s="376">
        <v>20000</v>
      </c>
      <c r="G293" s="201" t="s">
        <v>4</v>
      </c>
      <c r="H293" s="219">
        <v>2.42</v>
      </c>
      <c r="I293" s="202">
        <v>45980</v>
      </c>
      <c r="J293" s="200" t="s">
        <v>21</v>
      </c>
      <c r="K293" s="200"/>
      <c r="L293" s="203">
        <v>7.0000000000000007E-2</v>
      </c>
      <c r="M293" s="204">
        <f ca="1">IF(ISERROR(OFFSET(Tabella!$A$1,MATCH(J293,Tabella!$A:$A,0)-1,MATCH(L293,Tabella!$A$1:$AC$1,0)-1)=TRUE),0,+OFFSET(Tabella!$A$1,MATCH(J293,Tabella!$A:$A,0)-1,MATCH(L293,Tabella!$A$1:$AC$1,0)-1))</f>
        <v>1.25</v>
      </c>
      <c r="N293" s="205">
        <f ca="1">IF(ISERROR(OFFSET(Ottone!$A$1,MATCH(J293,Ottone!$A:$A,0)-1,MATCH(L293,Ottone!$A$1:$Z$1,0)-1)=TRUE),0,OFFSET(Ottone!$A$1,MATCH(J293,Ottone!$A:$A,0)-1,MATCH(L293,Ottone!$A$1:$Z$1,0)-1))*IF(G293="Ottone",1,0)</f>
        <v>0</v>
      </c>
      <c r="O293" s="205">
        <f ca="1">IF(ISERROR(OFFSET(Rame!$A$1,MATCH(J293,Rame!$A:$A,0)-1,MATCH(L293,Rame!$A$1:$AA$1,0)-1)=TRUE),0,OFFSET(Rame!$A$1,MATCH(J293,Rame!$A:$A,0)-1,MATCH(L293,Rame!$A$1:$AA$1,0)-1))*IF(G293="Rame",1,0)</f>
        <v>0</v>
      </c>
      <c r="P293" s="205">
        <v>0</v>
      </c>
      <c r="Q293" s="205">
        <f t="shared" ca="1" si="165"/>
        <v>1.25</v>
      </c>
      <c r="R293" s="205">
        <f ca="1">+IF(ISERROR(OFFSET(Tabella!$G$1,MATCH(J293,Tabella!$G:$G,0)-1,MATCH(K293,Tabella!$G$1:$FG$1,0)-1)=TRUE),0,OFFSET(Tabella!$G$1,MATCH(J293,Tabella!$G:$G,0)-1,MATCH(K293,Tabella!$G$1:$AB$1,0)-1))</f>
        <v>0</v>
      </c>
      <c r="S293" s="205">
        <f ca="1">IF(ISERROR(OFFSET(Ottone!$F$1,MATCH(J293,Ottone!$A:$A,0)-1,MATCH(K293,Ottone!$F$1:$FF$1,0)-1)=TRUE),0,OFFSET(Ottone!$F$1,MATCH(J293,Ottone!$A:$A,0)-1,MATCH(K293,Ottone!$F$1:$FF$1,0)-1))*IF(G293="Ottone",1,0)</f>
        <v>0</v>
      </c>
      <c r="T293" s="205">
        <f ca="1">IF(ISERROR(OFFSET(Rame!$F$1,MATCH(J293,Rame!$F:$F,0)-1,MATCH(K293,Rame!$F$1:$FF$1,0)-1)=TRUE),0,OFFSET(Rame!$F$1,MATCH(J293,Rame!$F:$F,0)-1,MATCH(K293,Rame!$F$1:$FF$1,0)-1))*IF(G293="Rame",1,0)</f>
        <v>0</v>
      </c>
      <c r="U293" s="205">
        <f ca="1">IF(ISERROR(OFFSET(Bronzo!$A$1,MATCH(J293,Bronzo!$A:$A,0)-1,MATCH(K293,Bronzo!$A$1:$AA$1,0)-1)=TRUE),0,OFFSET(Bronzo!$A$1,MATCH(J293,Bronzo!$A:$A,0)-1,MATCH(K293,Bronzo!$A$1:$AA$1,0)-1))</f>
        <v>0</v>
      </c>
      <c r="V293" s="205">
        <f t="shared" ca="1" si="166"/>
        <v>0</v>
      </c>
      <c r="W293" s="204"/>
      <c r="X293" s="205">
        <v>0</v>
      </c>
      <c r="Y293" s="206">
        <f t="shared" ca="1" si="167"/>
        <v>1.25</v>
      </c>
      <c r="Z293" s="377">
        <f t="shared" si="168"/>
        <v>1400.0000000000002</v>
      </c>
      <c r="AA293" s="203">
        <v>3.92</v>
      </c>
      <c r="AB293" s="203">
        <f t="shared" ca="1" si="169"/>
        <v>0.25</v>
      </c>
      <c r="AC293" s="238">
        <v>46112</v>
      </c>
      <c r="AI293" s="367">
        <f t="shared" ca="1" si="164"/>
        <v>46092</v>
      </c>
      <c r="AJ293" s="367" t="b">
        <f t="shared" si="170"/>
        <v>0</v>
      </c>
      <c r="AK293" s="370">
        <f t="shared" ca="1" si="171"/>
        <v>20</v>
      </c>
      <c r="AN293">
        <f t="shared" si="172"/>
        <v>14</v>
      </c>
      <c r="AO293">
        <f t="shared" si="173"/>
        <v>2026</v>
      </c>
      <c r="AV293">
        <f t="shared" si="174"/>
        <v>3</v>
      </c>
      <c r="AW293">
        <f t="shared" si="175"/>
        <v>2026</v>
      </c>
    </row>
    <row r="294" spans="4:49" ht="15.75" x14ac:dyDescent="0.25">
      <c r="D294" s="199" t="s">
        <v>645</v>
      </c>
      <c r="E294" s="200" t="s">
        <v>238</v>
      </c>
      <c r="F294" s="287">
        <v>400</v>
      </c>
      <c r="G294" s="201" t="s">
        <v>4</v>
      </c>
      <c r="H294" s="219">
        <v>2.4500000000000002</v>
      </c>
      <c r="I294" s="202">
        <v>45958</v>
      </c>
      <c r="J294" s="200" t="s">
        <v>25</v>
      </c>
      <c r="K294" s="200"/>
      <c r="L294" s="203">
        <v>7.0000000000000007E-2</v>
      </c>
      <c r="M294" s="204">
        <f ca="1">IF(ISERROR(OFFSET(Tabella!$A$1,MATCH(J294,Tabella!$A:$A,0)-1,MATCH(L294,Tabella!$A$1:$AC$1,0)-1)=TRUE),0,+OFFSET(Tabella!$A$1,MATCH(J294,Tabella!$A:$A,0)-1,MATCH(L294,Tabella!$A$1:$AC$1,0)-1))</f>
        <v>1.25</v>
      </c>
      <c r="N294" s="205">
        <f ca="1">IF(ISERROR(OFFSET(Ottone!$A$1,MATCH(J294,Ottone!$A:$A,0)-1,MATCH(L294,Ottone!$A$1:$Z$1,0)-1)=TRUE),0,OFFSET(Ottone!$A$1,MATCH(J294,Ottone!$A:$A,0)-1,MATCH(L294,Ottone!$A$1:$Z$1,0)-1))*IF(G294="Ottone",1,0)</f>
        <v>0</v>
      </c>
      <c r="O294" s="205">
        <f ca="1">IF(ISERROR(OFFSET(Rame!$A$1,MATCH(J294,Rame!$A:$A,0)-1,MATCH(L294,Rame!$A$1:$AA$1,0)-1)=TRUE),0,OFFSET(Rame!$A$1,MATCH(J294,Rame!$A:$A,0)-1,MATCH(L294,Rame!$A$1:$AA$1,0)-1))*IF(G294="Rame",1,0)</f>
        <v>0</v>
      </c>
      <c r="P294" s="205">
        <v>0</v>
      </c>
      <c r="Q294" s="205">
        <f t="shared" ca="1" si="165"/>
        <v>1.25</v>
      </c>
      <c r="R294" s="205">
        <f ca="1">+IF(ISERROR(OFFSET(Tabella!$G$1,MATCH(J294,Tabella!$G:$G,0)-1,MATCH(K294,Tabella!$G$1:$FG$1,0)-1)=TRUE),0,OFFSET(Tabella!$G$1,MATCH(J294,Tabella!$G:$G,0)-1,MATCH(K294,Tabella!$G$1:$AB$1,0)-1))</f>
        <v>0</v>
      </c>
      <c r="S294" s="205">
        <f ca="1">IF(ISERROR(OFFSET(Ottone!$F$1,MATCH(J294,Ottone!$A:$A,0)-1,MATCH(K294,Ottone!$F$1:$FF$1,0)-1)=TRUE),0,OFFSET(Ottone!$F$1,MATCH(J294,Ottone!$A:$A,0)-1,MATCH(K294,Ottone!$F$1:$FF$1,0)-1))*IF(G294="Ottone",1,0)</f>
        <v>0</v>
      </c>
      <c r="T294" s="205">
        <f ca="1">IF(ISERROR(OFFSET(Rame!$F$1,MATCH(J294,Rame!$F:$F,0)-1,MATCH(K294,Rame!$F$1:$FF$1,0)-1)=TRUE),0,OFFSET(Rame!$F$1,MATCH(J294,Rame!$F:$F,0)-1,MATCH(K294,Rame!$F$1:$FF$1,0)-1))*IF(G294="Rame",1,0)</f>
        <v>0</v>
      </c>
      <c r="U294" s="205">
        <f ca="1">IF(ISERROR(OFFSET(Bronzo!$A$1,MATCH(J294,Bronzo!$A:$A,0)-1,MATCH(K294,Bronzo!$A$1:$AA$1,0)-1)=TRUE),0,OFFSET(Bronzo!$A$1,MATCH(J294,Bronzo!$A:$A,0)-1,MATCH(K294,Bronzo!$A$1:$AA$1,0)-1))</f>
        <v>0</v>
      </c>
      <c r="V294" s="205">
        <f t="shared" ca="1" si="166"/>
        <v>0</v>
      </c>
      <c r="W294" s="204"/>
      <c r="X294" s="205">
        <v>0</v>
      </c>
      <c r="Y294" s="206">
        <f t="shared" ca="1" si="167"/>
        <v>1.25</v>
      </c>
      <c r="Z294" s="277">
        <f t="shared" si="168"/>
        <v>28.000000000000004</v>
      </c>
      <c r="AA294" s="203">
        <v>3.95</v>
      </c>
      <c r="AB294" s="203">
        <f t="shared" ca="1" si="169"/>
        <v>0.25</v>
      </c>
      <c r="AC294" s="238">
        <v>46006</v>
      </c>
      <c r="AI294" s="367">
        <f t="shared" ca="1" si="164"/>
        <v>46092</v>
      </c>
      <c r="AJ294" s="367" t="b">
        <f t="shared" si="170"/>
        <v>0</v>
      </c>
      <c r="AK294" s="370">
        <f t="shared" ca="1" si="171"/>
        <v>-86</v>
      </c>
      <c r="AN294">
        <f t="shared" si="172"/>
        <v>51</v>
      </c>
      <c r="AO294">
        <f t="shared" si="173"/>
        <v>2025</v>
      </c>
      <c r="AV294">
        <f t="shared" si="174"/>
        <v>12</v>
      </c>
      <c r="AW294">
        <f t="shared" si="175"/>
        <v>2025</v>
      </c>
    </row>
    <row r="295" spans="4:49" ht="15.75" x14ac:dyDescent="0.25">
      <c r="D295" s="199" t="s">
        <v>631</v>
      </c>
      <c r="E295" s="200" t="s">
        <v>399</v>
      </c>
      <c r="F295" s="287">
        <v>1500</v>
      </c>
      <c r="G295" s="201" t="s">
        <v>4</v>
      </c>
      <c r="H295" s="219">
        <v>2.37</v>
      </c>
      <c r="I295" s="202">
        <v>45951</v>
      </c>
      <c r="J295" s="200" t="s">
        <v>15</v>
      </c>
      <c r="K295" s="200"/>
      <c r="L295" s="203">
        <v>7.0000000000000007E-2</v>
      </c>
      <c r="M295" s="204">
        <f ca="1">IF(ISERROR(OFFSET(Tabella!$A$1,MATCH(J295,Tabella!$A:$A,0)-1,MATCH(L295,Tabella!$A$1:$AC$1,0)-1)=TRUE),0,+OFFSET(Tabella!$A$1,MATCH(J295,Tabella!$A:$A,0)-1,MATCH(L295,Tabella!$A$1:$AC$1,0)-1))</f>
        <v>1.4</v>
      </c>
      <c r="N295" s="205">
        <f ca="1">IF(ISERROR(OFFSET(Ottone!$A$1,MATCH(J295,Ottone!$A:$A,0)-1,MATCH(L295,Ottone!$A$1:$Z$1,0)-1)=TRUE),0,OFFSET(Ottone!$A$1,MATCH(J295,Ottone!$A:$A,0)-1,MATCH(L295,Ottone!$A$1:$Z$1,0)-1))*IF(G295="Ottone",1,0)</f>
        <v>0</v>
      </c>
      <c r="O295" s="205">
        <f ca="1">IF(ISERROR(OFFSET(Rame!$A$1,MATCH(J295,Rame!$A:$A,0)-1,MATCH(L295,Rame!$A$1:$AA$1,0)-1)=TRUE),0,OFFSET(Rame!$A$1,MATCH(J295,Rame!$A:$A,0)-1,MATCH(L295,Rame!$A$1:$AA$1,0)-1))*IF(G295="Rame",1,0)</f>
        <v>0</v>
      </c>
      <c r="P295" s="205">
        <v>0</v>
      </c>
      <c r="Q295" s="205">
        <f t="shared" ca="1" si="165"/>
        <v>1.4</v>
      </c>
      <c r="R295" s="205">
        <f ca="1">+IF(ISERROR(OFFSET(Tabella!$G$1,MATCH(J295,Tabella!$G:$G,0)-1,MATCH(K295,Tabella!$G$1:$FG$1,0)-1)=TRUE),0,OFFSET(Tabella!$G$1,MATCH(J295,Tabella!$G:$G,0)-1,MATCH(K295,Tabella!$G$1:$AB$1,0)-1))</f>
        <v>0</v>
      </c>
      <c r="S295" s="205">
        <f ca="1">IF(ISERROR(OFFSET(Ottone!$F$1,MATCH(J295,Ottone!$A:$A,0)-1,MATCH(K295,Ottone!$F$1:$FF$1,0)-1)=TRUE),0,OFFSET(Ottone!$F$1,MATCH(J295,Ottone!$A:$A,0)-1,MATCH(K295,Ottone!$F$1:$FF$1,0)-1))*IF(G295="Ottone",1,0)</f>
        <v>0</v>
      </c>
      <c r="T295" s="205">
        <f ca="1">IF(ISERROR(OFFSET(Rame!$F$1,MATCH(J295,Rame!$F:$F,0)-1,MATCH(K295,Rame!$F$1:$FF$1,0)-1)=TRUE),0,OFFSET(Rame!$F$1,MATCH(J295,Rame!$F:$F,0)-1,MATCH(K295,Rame!$F$1:$FF$1,0)-1))*IF(G295="Rame",1,0)</f>
        <v>0</v>
      </c>
      <c r="U295" s="205">
        <f ca="1">IF(ISERROR(OFFSET(Bronzo!$A$1,MATCH(J295,Bronzo!$A:$A,0)-1,MATCH(K295,Bronzo!$A$1:$AA$1,0)-1)=TRUE),0,OFFSET(Bronzo!$A$1,MATCH(J295,Bronzo!$A:$A,0)-1,MATCH(K295,Bronzo!$A$1:$AA$1,0)-1))</f>
        <v>0</v>
      </c>
      <c r="V295" s="205">
        <f t="shared" ca="1" si="166"/>
        <v>0</v>
      </c>
      <c r="W295" s="204"/>
      <c r="X295" s="205">
        <v>0</v>
      </c>
      <c r="Y295" s="206">
        <f t="shared" ca="1" si="167"/>
        <v>1.4</v>
      </c>
      <c r="Z295" s="277">
        <f t="shared" si="168"/>
        <v>105.00000000000001</v>
      </c>
      <c r="AA295" s="203">
        <v>4</v>
      </c>
      <c r="AB295" s="203">
        <f t="shared" ca="1" si="169"/>
        <v>0.22999999999999998</v>
      </c>
      <c r="AC295" s="238">
        <v>45995</v>
      </c>
      <c r="AI295" s="367">
        <f t="shared" ca="1" si="164"/>
        <v>46092</v>
      </c>
      <c r="AJ295" s="367" t="b">
        <f t="shared" si="170"/>
        <v>0</v>
      </c>
      <c r="AK295" s="370">
        <f t="shared" ca="1" si="171"/>
        <v>-97</v>
      </c>
      <c r="AN295">
        <f t="shared" si="172"/>
        <v>49</v>
      </c>
      <c r="AO295">
        <f t="shared" si="173"/>
        <v>2025</v>
      </c>
      <c r="AV295">
        <f t="shared" si="174"/>
        <v>12</v>
      </c>
      <c r="AW295">
        <f t="shared" si="175"/>
        <v>2025</v>
      </c>
    </row>
    <row r="296" spans="4:49" ht="15.75" x14ac:dyDescent="0.25">
      <c r="D296" s="199" t="s">
        <v>631</v>
      </c>
      <c r="E296" s="200" t="s">
        <v>399</v>
      </c>
      <c r="F296" s="287">
        <v>1000</v>
      </c>
      <c r="G296" s="201" t="s">
        <v>4</v>
      </c>
      <c r="H296" s="219">
        <v>2.37</v>
      </c>
      <c r="I296" s="202">
        <v>45951</v>
      </c>
      <c r="J296" s="200" t="s">
        <v>15</v>
      </c>
      <c r="K296" s="200"/>
      <c r="L296" s="203">
        <v>7.0000000000000007E-2</v>
      </c>
      <c r="M296" s="204">
        <f ca="1">IF(ISERROR(OFFSET(Tabella!$A$1,MATCH(J296,Tabella!$A:$A,0)-1,MATCH(L296,Tabella!$A$1:$AC$1,0)-1)=TRUE),0,+OFFSET(Tabella!$A$1,MATCH(J296,Tabella!$A:$A,0)-1,MATCH(L296,Tabella!$A$1:$AC$1,0)-1))</f>
        <v>1.4</v>
      </c>
      <c r="N296" s="205">
        <f ca="1">IF(ISERROR(OFFSET(Ottone!$A$1,MATCH(J296,Ottone!$A:$A,0)-1,MATCH(L296,Ottone!$A$1:$Z$1,0)-1)=TRUE),0,OFFSET(Ottone!$A$1,MATCH(J296,Ottone!$A:$A,0)-1,MATCH(L296,Ottone!$A$1:$Z$1,0)-1))*IF(G296="Ottone",1,0)</f>
        <v>0</v>
      </c>
      <c r="O296" s="205">
        <f ca="1">IF(ISERROR(OFFSET(Rame!$A$1,MATCH(J296,Rame!$A:$A,0)-1,MATCH(L296,Rame!$A$1:$AA$1,0)-1)=TRUE),0,OFFSET(Rame!$A$1,MATCH(J296,Rame!$A:$A,0)-1,MATCH(L296,Rame!$A$1:$AA$1,0)-1))*IF(G296="Rame",1,0)</f>
        <v>0</v>
      </c>
      <c r="P296" s="205">
        <v>0</v>
      </c>
      <c r="Q296" s="205">
        <f t="shared" ca="1" si="165"/>
        <v>1.4</v>
      </c>
      <c r="R296" s="205">
        <f ca="1">+IF(ISERROR(OFFSET(Tabella!$G$1,MATCH(J296,Tabella!$G:$G,0)-1,MATCH(K296,Tabella!$G$1:$FG$1,0)-1)=TRUE),0,OFFSET(Tabella!$G$1,MATCH(J296,Tabella!$G:$G,0)-1,MATCH(K296,Tabella!$G$1:$AB$1,0)-1))</f>
        <v>0</v>
      </c>
      <c r="S296" s="205">
        <f ca="1">IF(ISERROR(OFFSET(Ottone!$F$1,MATCH(J296,Ottone!$A:$A,0)-1,MATCH(K296,Ottone!$F$1:$FF$1,0)-1)=TRUE),0,OFFSET(Ottone!$F$1,MATCH(J296,Ottone!$A:$A,0)-1,MATCH(K296,Ottone!$F$1:$FF$1,0)-1))*IF(G296="Ottone",1,0)</f>
        <v>0</v>
      </c>
      <c r="T296" s="205">
        <f ca="1">IF(ISERROR(OFFSET(Rame!$F$1,MATCH(J296,Rame!$F:$F,0)-1,MATCH(K296,Rame!$F$1:$FF$1,0)-1)=TRUE),0,OFFSET(Rame!$F$1,MATCH(J296,Rame!$F:$F,0)-1,MATCH(K296,Rame!$F$1:$FF$1,0)-1))*IF(G296="Rame",1,0)</f>
        <v>0</v>
      </c>
      <c r="U296" s="205">
        <f ca="1">IF(ISERROR(OFFSET(Bronzo!$A$1,MATCH(J296,Bronzo!$A:$A,0)-1,MATCH(K296,Bronzo!$A$1:$AA$1,0)-1)=TRUE),0,OFFSET(Bronzo!$A$1,MATCH(J296,Bronzo!$A:$A,0)-1,MATCH(K296,Bronzo!$A$1:$AA$1,0)-1))</f>
        <v>0</v>
      </c>
      <c r="V296" s="205">
        <f t="shared" ca="1" si="166"/>
        <v>0</v>
      </c>
      <c r="W296" s="204"/>
      <c r="X296" s="205">
        <v>0</v>
      </c>
      <c r="Y296" s="206">
        <f t="shared" ca="1" si="167"/>
        <v>1.4</v>
      </c>
      <c r="Z296" s="277">
        <f t="shared" si="168"/>
        <v>70</v>
      </c>
      <c r="AA296" s="203">
        <v>4</v>
      </c>
      <c r="AB296" s="203">
        <f t="shared" ca="1" si="169"/>
        <v>0.22999999999999998</v>
      </c>
      <c r="AC296" s="238">
        <v>45995</v>
      </c>
      <c r="AI296" s="367">
        <f t="shared" ca="1" si="164"/>
        <v>46092</v>
      </c>
      <c r="AJ296" s="367" t="b">
        <f t="shared" si="170"/>
        <v>0</v>
      </c>
      <c r="AK296" s="370">
        <f t="shared" ca="1" si="171"/>
        <v>-97</v>
      </c>
      <c r="AN296">
        <f t="shared" si="172"/>
        <v>49</v>
      </c>
      <c r="AO296">
        <f t="shared" si="173"/>
        <v>2025</v>
      </c>
      <c r="AV296">
        <f t="shared" si="174"/>
        <v>12</v>
      </c>
      <c r="AW296">
        <f t="shared" si="175"/>
        <v>2025</v>
      </c>
    </row>
    <row r="297" spans="4:49" ht="15.75" x14ac:dyDescent="0.25">
      <c r="D297" s="199" t="s">
        <v>631</v>
      </c>
      <c r="E297" s="200" t="s">
        <v>399</v>
      </c>
      <c r="F297" s="287">
        <v>500</v>
      </c>
      <c r="G297" s="201" t="s">
        <v>4</v>
      </c>
      <c r="H297" s="219">
        <v>2.37</v>
      </c>
      <c r="I297" s="202">
        <v>45951</v>
      </c>
      <c r="J297" s="200" t="s">
        <v>22</v>
      </c>
      <c r="K297" s="200"/>
      <c r="L297" s="203">
        <v>7.0000000000000007E-2</v>
      </c>
      <c r="M297" s="204">
        <f ca="1">IF(ISERROR(OFFSET(Tabella!$A$1,MATCH(J297,Tabella!$A:$A,0)-1,MATCH(L297,Tabella!$A$1:$AC$1,0)-1)=TRUE),0,+OFFSET(Tabella!$A$1,MATCH(J297,Tabella!$A:$A,0)-1,MATCH(L297,Tabella!$A$1:$AC$1,0)-1))</f>
        <v>1.25</v>
      </c>
      <c r="N297" s="205">
        <f ca="1">IF(ISERROR(OFFSET(Ottone!$A$1,MATCH(J297,Ottone!$A:$A,0)-1,MATCH(L297,Ottone!$A$1:$Z$1,0)-1)=TRUE),0,OFFSET(Ottone!$A$1,MATCH(J297,Ottone!$A:$A,0)-1,MATCH(L297,Ottone!$A$1:$Z$1,0)-1))*IF(G297="Ottone",1,0)</f>
        <v>0</v>
      </c>
      <c r="O297" s="205">
        <f ca="1">IF(ISERROR(OFFSET(Rame!$A$1,MATCH(J297,Rame!$A:$A,0)-1,MATCH(L297,Rame!$A$1:$AA$1,0)-1)=TRUE),0,OFFSET(Rame!$A$1,MATCH(J297,Rame!$A:$A,0)-1,MATCH(L297,Rame!$A$1:$AA$1,0)-1))*IF(G297="Rame",1,0)</f>
        <v>0</v>
      </c>
      <c r="P297" s="205">
        <v>0</v>
      </c>
      <c r="Q297" s="205">
        <f t="shared" ca="1" si="165"/>
        <v>1.25</v>
      </c>
      <c r="R297" s="205">
        <f ca="1">+IF(ISERROR(OFFSET(Tabella!$G$1,MATCH(J297,Tabella!$G:$G,0)-1,MATCH(K297,Tabella!$G$1:$FG$1,0)-1)=TRUE),0,OFFSET(Tabella!$G$1,MATCH(J297,Tabella!$G:$G,0)-1,MATCH(K297,Tabella!$G$1:$AB$1,0)-1))</f>
        <v>0</v>
      </c>
      <c r="S297" s="205">
        <f ca="1">IF(ISERROR(OFFSET(Ottone!$F$1,MATCH(J297,Ottone!$A:$A,0)-1,MATCH(K297,Ottone!$F$1:$FF$1,0)-1)=TRUE),0,OFFSET(Ottone!$F$1,MATCH(J297,Ottone!$A:$A,0)-1,MATCH(K297,Ottone!$F$1:$FF$1,0)-1))*IF(G297="Ottone",1,0)</f>
        <v>0</v>
      </c>
      <c r="T297" s="205">
        <f ca="1">IF(ISERROR(OFFSET(Rame!$F$1,MATCH(J297,Rame!$F:$F,0)-1,MATCH(K297,Rame!$F$1:$FF$1,0)-1)=TRUE),0,OFFSET(Rame!$F$1,MATCH(J297,Rame!$F:$F,0)-1,MATCH(K297,Rame!$F$1:$FF$1,0)-1))*IF(G297="Rame",1,0)</f>
        <v>0</v>
      </c>
      <c r="U297" s="205">
        <f ca="1">IF(ISERROR(OFFSET(Bronzo!$A$1,MATCH(J297,Bronzo!$A:$A,0)-1,MATCH(K297,Bronzo!$A$1:$AA$1,0)-1)=TRUE),0,OFFSET(Bronzo!$A$1,MATCH(J297,Bronzo!$A:$A,0)-1,MATCH(K297,Bronzo!$A$1:$AA$1,0)-1))</f>
        <v>0</v>
      </c>
      <c r="V297" s="205">
        <f t="shared" ca="1" si="166"/>
        <v>0</v>
      </c>
      <c r="W297" s="204"/>
      <c r="X297" s="205">
        <v>0</v>
      </c>
      <c r="Y297" s="206">
        <f t="shared" ca="1" si="167"/>
        <v>1.25</v>
      </c>
      <c r="Z297" s="277">
        <f t="shared" si="168"/>
        <v>35</v>
      </c>
      <c r="AA297" s="203">
        <v>3.85</v>
      </c>
      <c r="AB297" s="203">
        <f t="shared" ca="1" si="169"/>
        <v>0.22999999999999998</v>
      </c>
      <c r="AC297" s="238">
        <v>45995</v>
      </c>
      <c r="AI297" s="367">
        <f t="shared" ca="1" si="164"/>
        <v>46092</v>
      </c>
      <c r="AJ297" s="367" t="b">
        <f t="shared" si="170"/>
        <v>0</v>
      </c>
      <c r="AK297" s="370">
        <f t="shared" ca="1" si="171"/>
        <v>-97</v>
      </c>
      <c r="AN297">
        <f t="shared" si="172"/>
        <v>49</v>
      </c>
      <c r="AO297">
        <f t="shared" si="173"/>
        <v>2025</v>
      </c>
      <c r="AV297">
        <f t="shared" si="174"/>
        <v>12</v>
      </c>
      <c r="AW297">
        <f t="shared" si="175"/>
        <v>2025</v>
      </c>
    </row>
    <row r="298" spans="4:49" ht="15.75" x14ac:dyDescent="0.25">
      <c r="D298" s="199" t="s">
        <v>646</v>
      </c>
      <c r="E298" s="200" t="s">
        <v>228</v>
      </c>
      <c r="F298" s="287">
        <v>133</v>
      </c>
      <c r="G298" s="201" t="s">
        <v>6</v>
      </c>
      <c r="H298" s="219">
        <v>9.32</v>
      </c>
      <c r="I298" s="202">
        <v>45981</v>
      </c>
      <c r="J298" s="200" t="s">
        <v>14</v>
      </c>
      <c r="K298" s="200"/>
      <c r="L298" s="203">
        <v>0.15</v>
      </c>
      <c r="M298" s="204">
        <f ca="1">IF(ISERROR(OFFSET(Tabella!$A$1,MATCH(J298,Tabella!$A:$A,0)-1,MATCH(L298,Tabella!$A$1:$AC$1,0)-1)=TRUE),0,+OFFSET(Tabella!$A$1,MATCH(J298,Tabella!$A:$A,0)-1,MATCH(L298,Tabella!$A$1:$AC$1,0)-1))</f>
        <v>0</v>
      </c>
      <c r="N298" s="205">
        <f ca="1">IF(ISERROR(OFFSET(Ottone!$A$1,MATCH(J298,Ottone!$A:$A,0)-1,MATCH(L298,Ottone!$A$1:$Z$1,0)-1)=TRUE),0,OFFSET(Ottone!$A$1,MATCH(J298,Ottone!$A:$A,0)-1,MATCH(L298,Ottone!$A$1:$Z$1,0)-1))*IF(G298="Ottone",1,0)</f>
        <v>0</v>
      </c>
      <c r="O298" s="205">
        <f ca="1">IF(ISERROR(OFFSET(Rame!$A$1,MATCH(J298,Rame!$A:$A,0)-1,MATCH(L298,Rame!$A$1:$AA$1,0)-1)=TRUE),0,OFFSET(Rame!$A$1,MATCH(J298,Rame!$A:$A,0)-1,MATCH(L298,Rame!$A$1:$AA$1,0)-1))*IF(G298="Rame",1,0)</f>
        <v>1</v>
      </c>
      <c r="P298" s="205">
        <v>0</v>
      </c>
      <c r="Q298" s="205">
        <f t="shared" ca="1" si="165"/>
        <v>1</v>
      </c>
      <c r="R298" s="205">
        <f ca="1">+IF(ISERROR(OFFSET(Tabella!$G$1,MATCH(J298,Tabella!$G:$G,0)-1,MATCH(K298,Tabella!$G$1:$FG$1,0)-1)=TRUE),0,OFFSET(Tabella!$G$1,MATCH(J298,Tabella!$G:$G,0)-1,MATCH(K298,Tabella!$G$1:$AB$1,0)-1))</f>
        <v>0</v>
      </c>
      <c r="S298" s="205">
        <f ca="1">IF(ISERROR(OFFSET(Ottone!$F$1,MATCH(J298,Ottone!$A:$A,0)-1,MATCH(K298,Ottone!$F$1:$FF$1,0)-1)=TRUE),0,OFFSET(Ottone!$F$1,MATCH(J298,Ottone!$A:$A,0)-1,MATCH(K298,Ottone!$F$1:$FF$1,0)-1))*IF(G298="Ottone",1,0)</f>
        <v>0</v>
      </c>
      <c r="T298" s="205">
        <f ca="1">IF(ISERROR(OFFSET(Rame!$F$1,MATCH(J298,Rame!$F:$F,0)-1,MATCH(K298,Rame!$F$1:$FF$1,0)-1)=TRUE),0,OFFSET(Rame!$F$1,MATCH(J298,Rame!$F:$F,0)-1,MATCH(K298,Rame!$F$1:$FF$1,0)-1))*IF(G298="Rame",1,0)</f>
        <v>0</v>
      </c>
      <c r="U298" s="205">
        <f ca="1">IF(ISERROR(OFFSET(Bronzo!$A$1,MATCH(J298,Bronzo!$A:$A,0)-1,MATCH(K298,Bronzo!$A$1:$AA$1,0)-1)=TRUE),0,OFFSET(Bronzo!$A$1,MATCH(J298,Bronzo!$A:$A,0)-1,MATCH(K298,Bronzo!$A$1:$AA$1,0)-1))</f>
        <v>0</v>
      </c>
      <c r="V298" s="205">
        <f t="shared" ca="1" si="166"/>
        <v>0</v>
      </c>
      <c r="W298" s="204"/>
      <c r="X298" s="205">
        <v>0</v>
      </c>
      <c r="Y298" s="206">
        <f t="shared" ca="1" si="167"/>
        <v>1</v>
      </c>
      <c r="Z298" s="277">
        <f t="shared" si="168"/>
        <v>19.95</v>
      </c>
      <c r="AA298" s="203">
        <v>12.92</v>
      </c>
      <c r="AB298" s="203">
        <f t="shared" ca="1" si="169"/>
        <v>2.5999999999999996</v>
      </c>
      <c r="AC298" s="238">
        <v>46001</v>
      </c>
      <c r="AI298" s="367">
        <f t="shared" ca="1" si="164"/>
        <v>46092</v>
      </c>
      <c r="AJ298" s="367" t="b">
        <f t="shared" si="170"/>
        <v>0</v>
      </c>
      <c r="AK298" s="370">
        <f t="shared" ca="1" si="171"/>
        <v>-91</v>
      </c>
      <c r="AN298">
        <f t="shared" si="172"/>
        <v>50</v>
      </c>
      <c r="AO298">
        <f t="shared" si="173"/>
        <v>2025</v>
      </c>
      <c r="AV298">
        <f t="shared" si="174"/>
        <v>12</v>
      </c>
      <c r="AW298">
        <f t="shared" si="175"/>
        <v>2025</v>
      </c>
    </row>
    <row r="299" spans="4:49" ht="15.75" x14ac:dyDescent="0.25">
      <c r="D299" s="199" t="s">
        <v>644</v>
      </c>
      <c r="E299" s="200" t="s">
        <v>228</v>
      </c>
      <c r="F299" s="287">
        <v>220</v>
      </c>
      <c r="G299" s="201" t="s">
        <v>4</v>
      </c>
      <c r="H299" s="219">
        <v>2.44</v>
      </c>
      <c r="I299" s="202">
        <v>45981</v>
      </c>
      <c r="J299" s="200" t="s">
        <v>19</v>
      </c>
      <c r="K299" s="200"/>
      <c r="L299" s="203">
        <v>0.3</v>
      </c>
      <c r="M299" s="204">
        <f ca="1">IF(ISERROR(OFFSET(Tabella!$A$1,MATCH(J299,Tabella!$A:$A,0)-1,MATCH(L299,Tabella!$A$1:$AC$1,0)-1)=TRUE),0,+OFFSET(Tabella!$A$1,MATCH(J299,Tabella!$A:$A,0)-1,MATCH(L299,Tabella!$A$1:$AC$1,0)-1))</f>
        <v>0</v>
      </c>
      <c r="N299" s="205">
        <f ca="1">IF(ISERROR(OFFSET(Ottone!$A$1,MATCH(J299,Ottone!$A:$A,0)-1,MATCH(L299,Ottone!$A$1:$Z$1,0)-1)=TRUE),0,OFFSET(Ottone!$A$1,MATCH(J299,Ottone!$A:$A,0)-1,MATCH(L299,Ottone!$A$1:$Z$1,0)-1))*IF(G299="Ottone",1,0)</f>
        <v>0</v>
      </c>
      <c r="O299" s="205">
        <f ca="1">IF(ISERROR(OFFSET(Rame!$A$1,MATCH(J299,Rame!$A:$A,0)-1,MATCH(L299,Rame!$A$1:$AA$1,0)-1)=TRUE),0,OFFSET(Rame!$A$1,MATCH(J299,Rame!$A:$A,0)-1,MATCH(L299,Rame!$A$1:$AA$1,0)-1))*IF(G299="Rame",1,0)</f>
        <v>0</v>
      </c>
      <c r="P299" s="205">
        <v>0</v>
      </c>
      <c r="Q299" s="205">
        <v>1.5</v>
      </c>
      <c r="R299" s="205">
        <f ca="1">+IF(ISERROR(OFFSET(Tabella!$G$1,MATCH(J299,Tabella!$G:$G,0)-1,MATCH(K299,Tabella!$G$1:$FG$1,0)-1)=TRUE),0,OFFSET(Tabella!$G$1,MATCH(J299,Tabella!$G:$G,0)-1,MATCH(K299,Tabella!$G$1:$AB$1,0)-1))</f>
        <v>0</v>
      </c>
      <c r="S299" s="205">
        <f ca="1">IF(ISERROR(OFFSET(Ottone!$F$1,MATCH(J299,Ottone!$A:$A,0)-1,MATCH(K299,Ottone!$F$1:$FF$1,0)-1)=TRUE),0,OFFSET(Ottone!$F$1,MATCH(J299,Ottone!$A:$A,0)-1,MATCH(K299,Ottone!$F$1:$FF$1,0)-1))*IF(G299="Ottone",1,0)</f>
        <v>0</v>
      </c>
      <c r="T299" s="205">
        <f ca="1">IF(ISERROR(OFFSET(Rame!$F$1,MATCH(J299,Rame!$F:$F,0)-1,MATCH(K299,Rame!$F$1:$FF$1,0)-1)=TRUE),0,OFFSET(Rame!$F$1,MATCH(J299,Rame!$F:$F,0)-1,MATCH(K299,Rame!$F$1:$FF$1,0)-1))*IF(G299="Rame",1,0)</f>
        <v>0</v>
      </c>
      <c r="U299" s="205">
        <f ca="1">IF(ISERROR(OFFSET(Bronzo!$A$1,MATCH(J299,Bronzo!$A:$A,0)-1,MATCH(K299,Bronzo!$A$1:$AA$1,0)-1)=TRUE),0,OFFSET(Bronzo!$A$1,MATCH(J299,Bronzo!$A:$A,0)-1,MATCH(K299,Bronzo!$A$1:$AA$1,0)-1))</f>
        <v>0</v>
      </c>
      <c r="V299" s="205">
        <f t="shared" ca="1" si="166"/>
        <v>0</v>
      </c>
      <c r="W299" s="204"/>
      <c r="X299" s="205">
        <v>0</v>
      </c>
      <c r="Y299" s="206">
        <f t="shared" ca="1" si="167"/>
        <v>1.5</v>
      </c>
      <c r="Z299" s="277">
        <f t="shared" si="168"/>
        <v>66</v>
      </c>
      <c r="AA299" s="203">
        <v>4.9000000000000004</v>
      </c>
      <c r="AB299" s="203">
        <f t="shared" ca="1" si="169"/>
        <v>0.96000000000000041</v>
      </c>
      <c r="AC299" s="238">
        <v>46037</v>
      </c>
      <c r="AI299" s="367">
        <f t="shared" ca="1" si="164"/>
        <v>46092</v>
      </c>
      <c r="AJ299" s="367" t="b">
        <f t="shared" si="170"/>
        <v>0</v>
      </c>
      <c r="AK299" s="370">
        <f t="shared" ca="1" si="171"/>
        <v>-55</v>
      </c>
      <c r="AN299">
        <f t="shared" si="172"/>
        <v>3</v>
      </c>
      <c r="AO299">
        <f t="shared" si="173"/>
        <v>2026</v>
      </c>
      <c r="AV299">
        <f t="shared" si="174"/>
        <v>1</v>
      </c>
      <c r="AW299">
        <f t="shared" si="175"/>
        <v>2026</v>
      </c>
    </row>
    <row r="300" spans="4:49" ht="15.75" x14ac:dyDescent="0.25">
      <c r="D300" s="199"/>
      <c r="E300" s="200" t="s">
        <v>521</v>
      </c>
      <c r="F300" s="287">
        <v>1500</v>
      </c>
      <c r="G300" s="201" t="s">
        <v>6</v>
      </c>
      <c r="H300" s="219">
        <v>9.31</v>
      </c>
      <c r="I300" s="202">
        <v>45981</v>
      </c>
      <c r="J300" s="200" t="s">
        <v>20</v>
      </c>
      <c r="K300" s="200"/>
      <c r="L300" s="203">
        <v>0.15</v>
      </c>
      <c r="M300" s="204">
        <f ca="1">IF(ISERROR(OFFSET(Tabella!$A$1,MATCH(J300,Tabella!$A:$A,0)-1,MATCH(L300,Tabella!$A$1:$AC$1,0)-1)=TRUE),0,+OFFSET(Tabella!$A$1,MATCH(J300,Tabella!$A:$A,0)-1,MATCH(L300,Tabella!$A$1:$AC$1,0)-1))</f>
        <v>0</v>
      </c>
      <c r="N300" s="205">
        <f ca="1">IF(ISERROR(OFFSET(Ottone!$A$1,MATCH(J300,Ottone!$A:$A,0)-1,MATCH(L300,Ottone!$A$1:$Z$1,0)-1)=TRUE),0,OFFSET(Ottone!$A$1,MATCH(J300,Ottone!$A:$A,0)-1,MATCH(L300,Ottone!$A$1:$Z$1,0)-1))*IF(G300="Ottone",1,0)</f>
        <v>0</v>
      </c>
      <c r="O300" s="205">
        <f ca="1">IF(ISERROR(OFFSET(Rame!$A$1,MATCH(J300,Rame!$A:$A,0)-1,MATCH(L300,Rame!$A$1:$AA$1,0)-1)=TRUE),0,OFFSET(Rame!$A$1,MATCH(J300,Rame!$A:$A,0)-1,MATCH(L300,Rame!$A$1:$AA$1,0)-1))*IF(G300="Rame",1,0)</f>
        <v>1</v>
      </c>
      <c r="P300" s="205">
        <v>0</v>
      </c>
      <c r="Q300" s="205">
        <f t="shared" ca="1" si="165"/>
        <v>1</v>
      </c>
      <c r="R300" s="205">
        <f ca="1">+IF(ISERROR(OFFSET(Tabella!$G$1,MATCH(J300,Tabella!$G:$G,0)-1,MATCH(K300,Tabella!$G$1:$FG$1,0)-1)=TRUE),0,OFFSET(Tabella!$G$1,MATCH(J300,Tabella!$G:$G,0)-1,MATCH(K300,Tabella!$G$1:$AB$1,0)-1))</f>
        <v>0</v>
      </c>
      <c r="S300" s="205">
        <f ca="1">IF(ISERROR(OFFSET(Ottone!$F$1,MATCH(J300,Ottone!$A:$A,0)-1,MATCH(K300,Ottone!$F$1:$FF$1,0)-1)=TRUE),0,OFFSET(Ottone!$F$1,MATCH(J300,Ottone!$A:$A,0)-1,MATCH(K300,Ottone!$F$1:$FF$1,0)-1))*IF(G300="Ottone",1,0)</f>
        <v>0</v>
      </c>
      <c r="T300" s="205">
        <f ca="1">IF(ISERROR(OFFSET(Rame!$F$1,MATCH(J300,Rame!$F:$F,0)-1,MATCH(K300,Rame!$F$1:$FF$1,0)-1)=TRUE),0,OFFSET(Rame!$F$1,MATCH(J300,Rame!$F:$F,0)-1,MATCH(K300,Rame!$F$1:$FF$1,0)-1))*IF(G300="Rame",1,0)</f>
        <v>0</v>
      </c>
      <c r="U300" s="205">
        <f ca="1">IF(ISERROR(OFFSET(Bronzo!$A$1,MATCH(J300,Bronzo!$A:$A,0)-1,MATCH(K300,Bronzo!$A$1:$AA$1,0)-1)=TRUE),0,OFFSET(Bronzo!$A$1,MATCH(J300,Bronzo!$A:$A,0)-1,MATCH(K300,Bronzo!$A$1:$AA$1,0)-1))</f>
        <v>0</v>
      </c>
      <c r="V300" s="205">
        <f t="shared" ca="1" si="166"/>
        <v>0</v>
      </c>
      <c r="W300" s="204"/>
      <c r="X300" s="205">
        <v>0</v>
      </c>
      <c r="Y300" s="206">
        <f t="shared" ca="1" si="167"/>
        <v>1</v>
      </c>
      <c r="Z300" s="277">
        <f t="shared" si="168"/>
        <v>225</v>
      </c>
      <c r="AA300" s="203">
        <v>12.9</v>
      </c>
      <c r="AB300" s="203">
        <f t="shared" ca="1" si="169"/>
        <v>2.59</v>
      </c>
      <c r="AC300" s="238"/>
      <c r="AI300" s="367">
        <f t="shared" ca="1" si="164"/>
        <v>46092</v>
      </c>
      <c r="AJ300" s="367" t="b">
        <f t="shared" si="170"/>
        <v>1</v>
      </c>
      <c r="AK300" s="370" t="str">
        <f t="shared" si="171"/>
        <v/>
      </c>
      <c r="AN300">
        <f t="shared" si="172"/>
        <v>0</v>
      </c>
      <c r="AO300">
        <f t="shared" si="173"/>
        <v>1900</v>
      </c>
      <c r="AV300">
        <f t="shared" si="174"/>
        <v>0</v>
      </c>
      <c r="AW300">
        <f t="shared" si="175"/>
        <v>0</v>
      </c>
    </row>
    <row r="301" spans="4:49" ht="15.75" x14ac:dyDescent="0.25">
      <c r="D301" s="199" t="s">
        <v>639</v>
      </c>
      <c r="E301" s="200" t="s">
        <v>260</v>
      </c>
      <c r="F301" s="287">
        <v>800</v>
      </c>
      <c r="G301" s="201" t="s">
        <v>4</v>
      </c>
      <c r="H301" s="219">
        <v>2.4</v>
      </c>
      <c r="I301" s="202">
        <v>45981</v>
      </c>
      <c r="J301" s="200" t="s">
        <v>24</v>
      </c>
      <c r="K301" s="200"/>
      <c r="L301" s="203">
        <v>7.0000000000000007E-2</v>
      </c>
      <c r="M301" s="204">
        <f ca="1">IF(ISERROR(OFFSET(Tabella!$A$1,MATCH(J301,Tabella!$A:$A,0)-1,MATCH(L301,Tabella!$A$1:$AC$1,0)-1)=TRUE),0,+OFFSET(Tabella!$A$1,MATCH(J301,Tabella!$A:$A,0)-1,MATCH(L301,Tabella!$A$1:$AC$1,0)-1))</f>
        <v>1.25</v>
      </c>
      <c r="N301" s="205">
        <f ca="1">IF(ISERROR(OFFSET(Ottone!$A$1,MATCH(J301,Ottone!$A:$A,0)-1,MATCH(L301,Ottone!$A$1:$Z$1,0)-1)=TRUE),0,OFFSET(Ottone!$A$1,MATCH(J301,Ottone!$A:$A,0)-1,MATCH(L301,Ottone!$A$1:$Z$1,0)-1))*IF(G301="Ottone",1,0)</f>
        <v>0</v>
      </c>
      <c r="O301" s="205">
        <f ca="1">IF(ISERROR(OFFSET(Rame!$A$1,MATCH(J301,Rame!$A:$A,0)-1,MATCH(L301,Rame!$A$1:$AA$1,0)-1)=TRUE),0,OFFSET(Rame!$A$1,MATCH(J301,Rame!$A:$A,0)-1,MATCH(L301,Rame!$A$1:$AA$1,0)-1))*IF(G301="Rame",1,0)</f>
        <v>0</v>
      </c>
      <c r="P301" s="205">
        <v>0</v>
      </c>
      <c r="Q301" s="205">
        <f t="shared" ca="1" si="165"/>
        <v>1.25</v>
      </c>
      <c r="R301" s="205">
        <f ca="1">+IF(ISERROR(OFFSET(Tabella!$G$1,MATCH(J301,Tabella!$G:$G,0)-1,MATCH(K301,Tabella!$G$1:$FG$1,0)-1)=TRUE),0,OFFSET(Tabella!$G$1,MATCH(J301,Tabella!$G:$G,0)-1,MATCH(K301,Tabella!$G$1:$AB$1,0)-1))</f>
        <v>0</v>
      </c>
      <c r="S301" s="205">
        <f ca="1">IF(ISERROR(OFFSET(Ottone!$F$1,MATCH(J301,Ottone!$A:$A,0)-1,MATCH(K301,Ottone!$F$1:$FF$1,0)-1)=TRUE),0,OFFSET(Ottone!$F$1,MATCH(J301,Ottone!$A:$A,0)-1,MATCH(K301,Ottone!$F$1:$FF$1,0)-1))*IF(G301="Ottone",1,0)</f>
        <v>0</v>
      </c>
      <c r="T301" s="205">
        <f ca="1">IF(ISERROR(OFFSET(Rame!$F$1,MATCH(J301,Rame!$F:$F,0)-1,MATCH(K301,Rame!$F$1:$FF$1,0)-1)=TRUE),0,OFFSET(Rame!$F$1,MATCH(J301,Rame!$F:$F,0)-1,MATCH(K301,Rame!$F$1:$FF$1,0)-1))*IF(G301="Rame",1,0)</f>
        <v>0</v>
      </c>
      <c r="U301" s="205">
        <f ca="1">IF(ISERROR(OFFSET(Bronzo!$A$1,MATCH(J301,Bronzo!$A:$A,0)-1,MATCH(K301,Bronzo!$A$1:$AA$1,0)-1)=TRUE),0,OFFSET(Bronzo!$A$1,MATCH(J301,Bronzo!$A:$A,0)-1,MATCH(K301,Bronzo!$A$1:$AA$1,0)-1))</f>
        <v>0</v>
      </c>
      <c r="V301" s="205">
        <f t="shared" ca="1" si="166"/>
        <v>0</v>
      </c>
      <c r="W301" s="204"/>
      <c r="X301" s="205">
        <v>0</v>
      </c>
      <c r="Y301" s="206">
        <f t="shared" ca="1" si="167"/>
        <v>1.25</v>
      </c>
      <c r="Z301" s="277">
        <f t="shared" si="168"/>
        <v>56.000000000000007</v>
      </c>
      <c r="AA301" s="203">
        <v>3.94</v>
      </c>
      <c r="AB301" s="203">
        <f t="shared" ca="1" si="169"/>
        <v>0.29000000000000004</v>
      </c>
      <c r="AC301" s="238">
        <v>45996</v>
      </c>
      <c r="AI301" s="367">
        <f t="shared" ca="1" si="164"/>
        <v>46092</v>
      </c>
      <c r="AJ301" s="367" t="b">
        <f t="shared" si="170"/>
        <v>0</v>
      </c>
      <c r="AK301" s="370">
        <f t="shared" ca="1" si="171"/>
        <v>-96</v>
      </c>
      <c r="AN301">
        <f t="shared" si="172"/>
        <v>49</v>
      </c>
      <c r="AO301">
        <f t="shared" si="173"/>
        <v>2025</v>
      </c>
      <c r="AV301">
        <f t="shared" si="174"/>
        <v>12</v>
      </c>
      <c r="AW301">
        <f t="shared" si="175"/>
        <v>2025</v>
      </c>
    </row>
    <row r="302" spans="4:49" ht="15.75" x14ac:dyDescent="0.25">
      <c r="D302" s="199" t="s">
        <v>638</v>
      </c>
      <c r="E302" s="200" t="s">
        <v>260</v>
      </c>
      <c r="F302" s="287">
        <v>577</v>
      </c>
      <c r="G302" s="201" t="s">
        <v>4</v>
      </c>
      <c r="H302" s="219">
        <v>2.4</v>
      </c>
      <c r="I302" s="202">
        <v>45981</v>
      </c>
      <c r="J302" s="200" t="s">
        <v>24</v>
      </c>
      <c r="K302" s="200"/>
      <c r="L302" s="203">
        <v>7.0000000000000007E-2</v>
      </c>
      <c r="M302" s="204">
        <f ca="1">IF(ISERROR(OFFSET(Tabella!$A$1,MATCH(J302,Tabella!$A:$A,0)-1,MATCH(L302,Tabella!$A$1:$AC$1,0)-1)=TRUE),0,+OFFSET(Tabella!$A$1,MATCH(J302,Tabella!$A:$A,0)-1,MATCH(L302,Tabella!$A$1:$AC$1,0)-1))</f>
        <v>1.25</v>
      </c>
      <c r="N302" s="205">
        <f ca="1">IF(ISERROR(OFFSET(Ottone!$A$1,MATCH(J302,Ottone!$A:$A,0)-1,MATCH(L302,Ottone!$A$1:$Z$1,0)-1)=TRUE),0,OFFSET(Ottone!$A$1,MATCH(J302,Ottone!$A:$A,0)-1,MATCH(L302,Ottone!$A$1:$Z$1,0)-1))*IF(G302="Ottone",1,0)</f>
        <v>0</v>
      </c>
      <c r="O302" s="205">
        <f ca="1">IF(ISERROR(OFFSET(Rame!$A$1,MATCH(J302,Rame!$A:$A,0)-1,MATCH(L302,Rame!$A$1:$AA$1,0)-1)=TRUE),0,OFFSET(Rame!$A$1,MATCH(J302,Rame!$A:$A,0)-1,MATCH(L302,Rame!$A$1:$AA$1,0)-1))*IF(G302="Rame",1,0)</f>
        <v>0</v>
      </c>
      <c r="P302" s="205">
        <v>0</v>
      </c>
      <c r="Q302" s="205">
        <f t="shared" ca="1" si="165"/>
        <v>1.25</v>
      </c>
      <c r="R302" s="205">
        <f ca="1">+IF(ISERROR(OFFSET(Tabella!$G$1,MATCH(J302,Tabella!$G:$G,0)-1,MATCH(K302,Tabella!$G$1:$FG$1,0)-1)=TRUE),0,OFFSET(Tabella!$G$1,MATCH(J302,Tabella!$G:$G,0)-1,MATCH(K302,Tabella!$G$1:$AB$1,0)-1))</f>
        <v>0</v>
      </c>
      <c r="S302" s="205">
        <f ca="1">IF(ISERROR(OFFSET(Ottone!$F$1,MATCH(J302,Ottone!$A:$A,0)-1,MATCH(K302,Ottone!$F$1:$FF$1,0)-1)=TRUE),0,OFFSET(Ottone!$F$1,MATCH(J302,Ottone!$A:$A,0)-1,MATCH(K302,Ottone!$F$1:$FF$1,0)-1))*IF(G302="Ottone",1,0)</f>
        <v>0</v>
      </c>
      <c r="T302" s="205">
        <f ca="1">IF(ISERROR(OFFSET(Rame!$F$1,MATCH(J302,Rame!$F:$F,0)-1,MATCH(K302,Rame!$F$1:$FF$1,0)-1)=TRUE),0,OFFSET(Rame!$F$1,MATCH(J302,Rame!$F:$F,0)-1,MATCH(K302,Rame!$F$1:$FF$1,0)-1))*IF(G302="Rame",1,0)</f>
        <v>0</v>
      </c>
      <c r="U302" s="205">
        <f ca="1">IF(ISERROR(OFFSET(Bronzo!$A$1,MATCH(J302,Bronzo!$A:$A,0)-1,MATCH(K302,Bronzo!$A$1:$AA$1,0)-1)=TRUE),0,OFFSET(Bronzo!$A$1,MATCH(J302,Bronzo!$A:$A,0)-1,MATCH(K302,Bronzo!$A$1:$AA$1,0)-1))</f>
        <v>0</v>
      </c>
      <c r="V302" s="205">
        <f t="shared" ca="1" si="166"/>
        <v>0</v>
      </c>
      <c r="W302" s="204"/>
      <c r="X302" s="205">
        <v>0</v>
      </c>
      <c r="Y302" s="206">
        <f t="shared" ca="1" si="167"/>
        <v>1.25</v>
      </c>
      <c r="Z302" s="277">
        <f t="shared" si="168"/>
        <v>40.39</v>
      </c>
      <c r="AA302" s="203">
        <v>3.94</v>
      </c>
      <c r="AB302" s="203">
        <f t="shared" ca="1" si="169"/>
        <v>0.29000000000000004</v>
      </c>
      <c r="AC302" s="238">
        <v>46003</v>
      </c>
      <c r="AI302" s="367">
        <f t="shared" ca="1" si="164"/>
        <v>46092</v>
      </c>
      <c r="AJ302" s="367" t="b">
        <f t="shared" si="170"/>
        <v>0</v>
      </c>
      <c r="AK302" s="370">
        <f t="shared" ca="1" si="171"/>
        <v>-89</v>
      </c>
      <c r="AN302">
        <f t="shared" si="172"/>
        <v>50</v>
      </c>
      <c r="AO302">
        <f t="shared" si="173"/>
        <v>2025</v>
      </c>
      <c r="AV302">
        <f t="shared" si="174"/>
        <v>12</v>
      </c>
      <c r="AW302">
        <f t="shared" si="175"/>
        <v>2025</v>
      </c>
    </row>
    <row r="303" spans="4:49" ht="15.75" x14ac:dyDescent="0.25">
      <c r="D303" s="199" t="s">
        <v>637</v>
      </c>
      <c r="E303" s="200" t="s">
        <v>260</v>
      </c>
      <c r="F303" s="287">
        <v>800</v>
      </c>
      <c r="G303" s="201" t="s">
        <v>4</v>
      </c>
      <c r="H303" s="219">
        <v>2.4</v>
      </c>
      <c r="I303" s="202">
        <v>45981</v>
      </c>
      <c r="J303" s="200" t="s">
        <v>24</v>
      </c>
      <c r="K303" s="200"/>
      <c r="L303" s="203">
        <v>7.0000000000000007E-2</v>
      </c>
      <c r="M303" s="204">
        <f ca="1">IF(ISERROR(OFFSET(Tabella!$A$1,MATCH(J303,Tabella!$A:$A,0)-1,MATCH(L303,Tabella!$A$1:$AC$1,0)-1)=TRUE),0,+OFFSET(Tabella!$A$1,MATCH(J303,Tabella!$A:$A,0)-1,MATCH(L303,Tabella!$A$1:$AC$1,0)-1))</f>
        <v>1.25</v>
      </c>
      <c r="N303" s="205">
        <f ca="1">IF(ISERROR(OFFSET(Ottone!$A$1,MATCH(J303,Ottone!$A:$A,0)-1,MATCH(L303,Ottone!$A$1:$Z$1,0)-1)=TRUE),0,OFFSET(Ottone!$A$1,MATCH(J303,Ottone!$A:$A,0)-1,MATCH(L303,Ottone!$A$1:$Z$1,0)-1))*IF(G303="Ottone",1,0)</f>
        <v>0</v>
      </c>
      <c r="O303" s="205">
        <f ca="1">IF(ISERROR(OFFSET(Rame!$A$1,MATCH(J303,Rame!$A:$A,0)-1,MATCH(L303,Rame!$A$1:$AA$1,0)-1)=TRUE),0,OFFSET(Rame!$A$1,MATCH(J303,Rame!$A:$A,0)-1,MATCH(L303,Rame!$A$1:$AA$1,0)-1))*IF(G303="Rame",1,0)</f>
        <v>0</v>
      </c>
      <c r="P303" s="205">
        <v>0</v>
      </c>
      <c r="Q303" s="205">
        <f t="shared" ca="1" si="165"/>
        <v>1.25</v>
      </c>
      <c r="R303" s="205">
        <f ca="1">+IF(ISERROR(OFFSET(Tabella!$G$1,MATCH(J303,Tabella!$G:$G,0)-1,MATCH(K303,Tabella!$G$1:$FG$1,0)-1)=TRUE),0,OFFSET(Tabella!$G$1,MATCH(J303,Tabella!$G:$G,0)-1,MATCH(K303,Tabella!$G$1:$AB$1,0)-1))</f>
        <v>0</v>
      </c>
      <c r="S303" s="205">
        <f ca="1">IF(ISERROR(OFFSET(Ottone!$F$1,MATCH(J303,Ottone!$A:$A,0)-1,MATCH(K303,Ottone!$F$1:$FF$1,0)-1)=TRUE),0,OFFSET(Ottone!$F$1,MATCH(J303,Ottone!$A:$A,0)-1,MATCH(K303,Ottone!$F$1:$FF$1,0)-1))*IF(G303="Ottone",1,0)</f>
        <v>0</v>
      </c>
      <c r="T303" s="205">
        <f ca="1">IF(ISERROR(OFFSET(Rame!$F$1,MATCH(J303,Rame!$F:$F,0)-1,MATCH(K303,Rame!$F$1:$FF$1,0)-1)=TRUE),0,OFFSET(Rame!$F$1,MATCH(J303,Rame!$F:$F,0)-1,MATCH(K303,Rame!$F$1:$FF$1,0)-1))*IF(G303="Rame",1,0)</f>
        <v>0</v>
      </c>
      <c r="U303" s="205">
        <f ca="1">IF(ISERROR(OFFSET(Bronzo!$A$1,MATCH(J303,Bronzo!$A:$A,0)-1,MATCH(K303,Bronzo!$A$1:$AA$1,0)-1)=TRUE),0,OFFSET(Bronzo!$A$1,MATCH(J303,Bronzo!$A:$A,0)-1,MATCH(K303,Bronzo!$A$1:$AA$1,0)-1))</f>
        <v>0</v>
      </c>
      <c r="V303" s="205">
        <f t="shared" ca="1" si="166"/>
        <v>0</v>
      </c>
      <c r="W303" s="204"/>
      <c r="X303" s="205">
        <v>0</v>
      </c>
      <c r="Y303" s="206">
        <f t="shared" ca="1" si="167"/>
        <v>1.25</v>
      </c>
      <c r="Z303" s="277">
        <f t="shared" si="168"/>
        <v>56.000000000000007</v>
      </c>
      <c r="AA303" s="203">
        <v>3.94</v>
      </c>
      <c r="AB303" s="203">
        <f t="shared" ca="1" si="169"/>
        <v>0.29000000000000004</v>
      </c>
      <c r="AC303" s="238">
        <v>46003</v>
      </c>
      <c r="AI303" s="367">
        <f t="shared" ca="1" si="164"/>
        <v>46092</v>
      </c>
      <c r="AJ303" s="367" t="b">
        <f t="shared" si="170"/>
        <v>0</v>
      </c>
      <c r="AK303" s="370">
        <f t="shared" ca="1" si="171"/>
        <v>-89</v>
      </c>
      <c r="AN303">
        <f t="shared" si="172"/>
        <v>50</v>
      </c>
      <c r="AO303">
        <f t="shared" si="173"/>
        <v>2025</v>
      </c>
      <c r="AV303">
        <f t="shared" si="174"/>
        <v>12</v>
      </c>
      <c r="AW303">
        <f t="shared" si="175"/>
        <v>2025</v>
      </c>
    </row>
    <row r="304" spans="4:49" ht="15.75" x14ac:dyDescent="0.25">
      <c r="D304" s="199" t="s">
        <v>632</v>
      </c>
      <c r="E304" s="200" t="s">
        <v>260</v>
      </c>
      <c r="F304" s="287">
        <v>355</v>
      </c>
      <c r="G304" s="201" t="s">
        <v>4</v>
      </c>
      <c r="H304" s="219">
        <v>2.4</v>
      </c>
      <c r="I304" s="202">
        <v>45981</v>
      </c>
      <c r="J304" s="200" t="s">
        <v>24</v>
      </c>
      <c r="K304" s="200"/>
      <c r="L304" s="203">
        <v>7.0000000000000007E-2</v>
      </c>
      <c r="M304" s="204">
        <f ca="1">IF(ISERROR(OFFSET(Tabella!$A$1,MATCH(J304,Tabella!$A:$A,0)-1,MATCH(L304,Tabella!$A$1:$AC$1,0)-1)=TRUE),0,+OFFSET(Tabella!$A$1,MATCH(J304,Tabella!$A:$A,0)-1,MATCH(L304,Tabella!$A$1:$AC$1,0)-1))</f>
        <v>1.25</v>
      </c>
      <c r="N304" s="205">
        <f ca="1">IF(ISERROR(OFFSET(Ottone!$A$1,MATCH(J304,Ottone!$A:$A,0)-1,MATCH(L304,Ottone!$A$1:$Z$1,0)-1)=TRUE),0,OFFSET(Ottone!$A$1,MATCH(J304,Ottone!$A:$A,0)-1,MATCH(L304,Ottone!$A$1:$Z$1,0)-1))*IF(G304="Ottone",1,0)</f>
        <v>0</v>
      </c>
      <c r="O304" s="205">
        <f ca="1">IF(ISERROR(OFFSET(Rame!$A$1,MATCH(J304,Rame!$A:$A,0)-1,MATCH(L304,Rame!$A$1:$AA$1,0)-1)=TRUE),0,OFFSET(Rame!$A$1,MATCH(J304,Rame!$A:$A,0)-1,MATCH(L304,Rame!$A$1:$AA$1,0)-1))*IF(G304="Rame",1,0)</f>
        <v>0</v>
      </c>
      <c r="P304" s="205">
        <v>0</v>
      </c>
      <c r="Q304" s="205">
        <f t="shared" ca="1" si="165"/>
        <v>1.25</v>
      </c>
      <c r="R304" s="205">
        <f ca="1">+IF(ISERROR(OFFSET(Tabella!$G$1,MATCH(J304,Tabella!$G:$G,0)-1,MATCH(K304,Tabella!$G$1:$FG$1,0)-1)=TRUE),0,OFFSET(Tabella!$G$1,MATCH(J304,Tabella!$G:$G,0)-1,MATCH(K304,Tabella!$G$1:$AB$1,0)-1))</f>
        <v>0</v>
      </c>
      <c r="S304" s="205">
        <f ca="1">IF(ISERROR(OFFSET(Ottone!$F$1,MATCH(J304,Ottone!$A:$A,0)-1,MATCH(K304,Ottone!$F$1:$FF$1,0)-1)=TRUE),0,OFFSET(Ottone!$F$1,MATCH(J304,Ottone!$A:$A,0)-1,MATCH(K304,Ottone!$F$1:$FF$1,0)-1))*IF(G304="Ottone",1,0)</f>
        <v>0</v>
      </c>
      <c r="T304" s="205">
        <f ca="1">IF(ISERROR(OFFSET(Rame!$F$1,MATCH(J304,Rame!$F:$F,0)-1,MATCH(K304,Rame!$F$1:$FF$1,0)-1)=TRUE),0,OFFSET(Rame!$F$1,MATCH(J304,Rame!$F:$F,0)-1,MATCH(K304,Rame!$F$1:$FF$1,0)-1))*IF(G304="Rame",1,0)</f>
        <v>0</v>
      </c>
      <c r="U304" s="205">
        <f ca="1">IF(ISERROR(OFFSET(Bronzo!$A$1,MATCH(J304,Bronzo!$A:$A,0)-1,MATCH(K304,Bronzo!$A$1:$AA$1,0)-1)=TRUE),0,OFFSET(Bronzo!$A$1,MATCH(J304,Bronzo!$A:$A,0)-1,MATCH(K304,Bronzo!$A$1:$AA$1,0)-1))</f>
        <v>0</v>
      </c>
      <c r="V304" s="205">
        <f t="shared" ca="1" si="166"/>
        <v>0</v>
      </c>
      <c r="W304" s="204"/>
      <c r="X304" s="205">
        <v>0</v>
      </c>
      <c r="Y304" s="206">
        <f t="shared" ca="1" si="167"/>
        <v>1.25</v>
      </c>
      <c r="Z304" s="277">
        <f t="shared" si="168"/>
        <v>24.85</v>
      </c>
      <c r="AA304" s="203">
        <v>3.94</v>
      </c>
      <c r="AB304" s="203">
        <f t="shared" ca="1" si="169"/>
        <v>0.29000000000000004</v>
      </c>
      <c r="AC304" s="238">
        <v>45996</v>
      </c>
      <c r="AI304" s="367">
        <f t="shared" ca="1" si="164"/>
        <v>46092</v>
      </c>
      <c r="AJ304" s="367" t="b">
        <f t="shared" si="170"/>
        <v>0</v>
      </c>
      <c r="AK304" s="370">
        <f t="shared" ca="1" si="171"/>
        <v>-96</v>
      </c>
      <c r="AN304">
        <f t="shared" si="172"/>
        <v>49</v>
      </c>
      <c r="AO304">
        <f t="shared" si="173"/>
        <v>2025</v>
      </c>
      <c r="AV304">
        <f t="shared" si="174"/>
        <v>12</v>
      </c>
      <c r="AW304">
        <f t="shared" si="175"/>
        <v>2025</v>
      </c>
    </row>
    <row r="305" spans="4:49" ht="15.75" x14ac:dyDescent="0.25">
      <c r="D305" s="199" t="s">
        <v>634</v>
      </c>
      <c r="E305" s="200" t="s">
        <v>423</v>
      </c>
      <c r="F305" s="287">
        <v>2300</v>
      </c>
      <c r="G305" s="201" t="s">
        <v>4</v>
      </c>
      <c r="H305" s="219">
        <v>2.4</v>
      </c>
      <c r="I305" s="202">
        <v>45981</v>
      </c>
      <c r="J305" s="200" t="s">
        <v>27</v>
      </c>
      <c r="K305" s="200"/>
      <c r="L305" s="203">
        <v>0.13</v>
      </c>
      <c r="M305" s="204">
        <f ca="1">IF(ISERROR(OFFSET(Tabella!$A$1,MATCH(J305,Tabella!$A:$A,0)-1,MATCH(L305,Tabella!$A$1:$AC$1,0)-1)=TRUE),0,+OFFSET(Tabella!$A$1,MATCH(J305,Tabella!$A:$A,0)-1,MATCH(L305,Tabella!$A$1:$AC$1,0)-1))</f>
        <v>0</v>
      </c>
      <c r="N305" s="205">
        <f ca="1">IF(ISERROR(OFFSET(Ottone!$A$1,MATCH(J305,Ottone!$A:$A,0)-1,MATCH(L305,Ottone!$A$1:$Z$1,0)-1)=TRUE),0,OFFSET(Ottone!$A$1,MATCH(J305,Ottone!$A:$A,0)-1,MATCH(L305,Ottone!$A$1:$Z$1,0)-1))*IF(G305="Ottone",1,0)</f>
        <v>0</v>
      </c>
      <c r="O305" s="205">
        <f ca="1">IF(ISERROR(OFFSET(Rame!$A$1,MATCH(J305,Rame!$A:$A,0)-1,MATCH(L305,Rame!$A$1:$AA$1,0)-1)=TRUE),0,OFFSET(Rame!$A$1,MATCH(J305,Rame!$A:$A,0)-1,MATCH(L305,Rame!$A$1:$AA$1,0)-1))*IF(G305="Rame",1,0)</f>
        <v>0</v>
      </c>
      <c r="P305" s="205">
        <v>0</v>
      </c>
      <c r="Q305" s="205">
        <v>1.79</v>
      </c>
      <c r="R305" s="205">
        <f ca="1">+IF(ISERROR(OFFSET(Tabella!$G$1,MATCH(J305,Tabella!$G:$G,0)-1,MATCH(K305,Tabella!$G$1:$FG$1,0)-1)=TRUE),0,OFFSET(Tabella!$G$1,MATCH(J305,Tabella!$G:$G,0)-1,MATCH(K305,Tabella!$G$1:$AB$1,0)-1))</f>
        <v>0</v>
      </c>
      <c r="S305" s="205">
        <f ca="1">IF(ISERROR(OFFSET(Ottone!$F$1,MATCH(J305,Ottone!$A:$A,0)-1,MATCH(K305,Ottone!$F$1:$FF$1,0)-1)=TRUE),0,OFFSET(Ottone!$F$1,MATCH(J305,Ottone!$A:$A,0)-1,MATCH(K305,Ottone!$F$1:$FF$1,0)-1))*IF(G305="Ottone",1,0)</f>
        <v>0</v>
      </c>
      <c r="T305" s="205">
        <f ca="1">IF(ISERROR(OFFSET(Rame!$F$1,MATCH(J305,Rame!$F:$F,0)-1,MATCH(K305,Rame!$F$1:$FF$1,0)-1)=TRUE),0,OFFSET(Rame!$F$1,MATCH(J305,Rame!$F:$F,0)-1,MATCH(K305,Rame!$F$1:$FF$1,0)-1))*IF(G305="Rame",1,0)</f>
        <v>0</v>
      </c>
      <c r="U305" s="205">
        <f ca="1">IF(ISERROR(OFFSET(Bronzo!$A$1,MATCH(J305,Bronzo!$A:$A,0)-1,MATCH(K305,Bronzo!$A$1:$AA$1,0)-1)=TRUE),0,OFFSET(Bronzo!$A$1,MATCH(J305,Bronzo!$A:$A,0)-1,MATCH(K305,Bronzo!$A$1:$AA$1,0)-1))</f>
        <v>0</v>
      </c>
      <c r="V305" s="205">
        <f t="shared" ca="1" si="166"/>
        <v>0</v>
      </c>
      <c r="W305" s="204"/>
      <c r="X305" s="205">
        <v>0</v>
      </c>
      <c r="Y305" s="206">
        <f t="shared" ca="1" si="167"/>
        <v>1.79</v>
      </c>
      <c r="Z305" s="277">
        <f t="shared" si="168"/>
        <v>299</v>
      </c>
      <c r="AA305" s="203">
        <v>4.25</v>
      </c>
      <c r="AB305" s="203">
        <f t="shared" ca="1" si="169"/>
        <v>6.0000000000000053E-2</v>
      </c>
      <c r="AC305" s="238">
        <v>45987</v>
      </c>
      <c r="AI305" s="367">
        <f t="shared" ca="1" si="164"/>
        <v>46092</v>
      </c>
      <c r="AJ305" s="367" t="b">
        <f t="shared" si="170"/>
        <v>0</v>
      </c>
      <c r="AK305" s="370">
        <f t="shared" ca="1" si="171"/>
        <v>-105</v>
      </c>
      <c r="AN305">
        <f t="shared" si="172"/>
        <v>48</v>
      </c>
      <c r="AO305">
        <f t="shared" si="173"/>
        <v>2025</v>
      </c>
      <c r="AV305">
        <f t="shared" si="174"/>
        <v>11</v>
      </c>
      <c r="AW305">
        <f t="shared" si="175"/>
        <v>2025</v>
      </c>
    </row>
    <row r="306" spans="4:49" ht="15.75" x14ac:dyDescent="0.25">
      <c r="D306" s="199" t="s">
        <v>629</v>
      </c>
      <c r="E306" s="378" t="s">
        <v>102</v>
      </c>
      <c r="F306" s="379">
        <v>143</v>
      </c>
      <c r="G306" s="201" t="s">
        <v>4</v>
      </c>
      <c r="H306" s="219">
        <v>2.2400000000000002</v>
      </c>
      <c r="I306" s="202">
        <v>45911</v>
      </c>
      <c r="J306" s="200" t="s">
        <v>9</v>
      </c>
      <c r="K306" s="200"/>
      <c r="L306" s="203">
        <v>7.0000000000000007E-2</v>
      </c>
      <c r="M306" s="204">
        <f ca="1">IF(ISERROR(OFFSET(Tabella!$A$1,MATCH(J306,Tabella!$A:$A,0)-1,MATCH(L306,Tabella!$A$1:$AC$1,0)-1)=TRUE),0,+OFFSET(Tabella!$A$1,MATCH(J306,Tabella!$A:$A,0)-1,MATCH(L306,Tabella!$A$1:$AC$1,0)-1))</f>
        <v>1.6</v>
      </c>
      <c r="N306" s="205">
        <f ca="1">IF(ISERROR(OFFSET(Ottone!$A$1,MATCH(J306,Ottone!$A:$A,0)-1,MATCH(L306,Ottone!$A$1:$Z$1,0)-1)=TRUE),0,OFFSET(Ottone!$A$1,MATCH(J306,Ottone!$A:$A,0)-1,MATCH(L306,Ottone!$A$1:$Z$1,0)-1))*IF(G306="Ottone",1,0)</f>
        <v>0</v>
      </c>
      <c r="O306" s="205">
        <f ca="1">IF(ISERROR(OFFSET(Rame!$A$1,MATCH(J306,Rame!$A:$A,0)-1,MATCH(L306,Rame!$A$1:$AA$1,0)-1)=TRUE),0,OFFSET(Rame!$A$1,MATCH(J306,Rame!$A:$A,0)-1,MATCH(L306,Rame!$A$1:$AA$1,0)-1))*IF(G306="Rame",1,0)</f>
        <v>0</v>
      </c>
      <c r="P306" s="205">
        <v>0</v>
      </c>
      <c r="Q306" s="205">
        <f t="shared" ca="1" si="165"/>
        <v>1.6</v>
      </c>
      <c r="R306" s="205">
        <f ca="1">+IF(ISERROR(OFFSET(Tabella!$G$1,MATCH(J306,Tabella!$G:$G,0)-1,MATCH(K306,Tabella!$G$1:$FG$1,0)-1)=TRUE),0,OFFSET(Tabella!$G$1,MATCH(J306,Tabella!$G:$G,0)-1,MATCH(K306,Tabella!$G$1:$AB$1,0)-1))</f>
        <v>0</v>
      </c>
      <c r="S306" s="205">
        <f ca="1">IF(ISERROR(OFFSET(Ottone!$F$1,MATCH(J306,Ottone!$A:$A,0)-1,MATCH(K306,Ottone!$F$1:$FF$1,0)-1)=TRUE),0,OFFSET(Ottone!$F$1,MATCH(J306,Ottone!$A:$A,0)-1,MATCH(K306,Ottone!$F$1:$FF$1,0)-1))*IF(G306="Ottone",1,0)</f>
        <v>0</v>
      </c>
      <c r="T306" s="205">
        <f ca="1">IF(ISERROR(OFFSET(Rame!$F$1,MATCH(J306,Rame!$F:$F,0)-1,MATCH(K306,Rame!$F$1:$FF$1,0)-1)=TRUE),0,OFFSET(Rame!$F$1,MATCH(J306,Rame!$F:$F,0)-1,MATCH(K306,Rame!$F$1:$FF$1,0)-1))*IF(G306="Rame",1,0)</f>
        <v>0</v>
      </c>
      <c r="U306" s="205">
        <f ca="1">IF(ISERROR(OFFSET(Bronzo!$A$1,MATCH(J306,Bronzo!$A:$A,0)-1,MATCH(K306,Bronzo!$A$1:$AA$1,0)-1)=TRUE),0,OFFSET(Bronzo!$A$1,MATCH(J306,Bronzo!$A:$A,0)-1,MATCH(K306,Bronzo!$A$1:$AA$1,0)-1))</f>
        <v>0</v>
      </c>
      <c r="V306" s="205">
        <f t="shared" ca="1" si="166"/>
        <v>0</v>
      </c>
      <c r="W306" s="204"/>
      <c r="X306" s="205">
        <v>0</v>
      </c>
      <c r="Y306" s="206">
        <f t="shared" ca="1" si="167"/>
        <v>1.6</v>
      </c>
      <c r="Z306" s="380">
        <f t="shared" si="168"/>
        <v>10.010000000000002</v>
      </c>
      <c r="AA306" s="203">
        <v>4</v>
      </c>
      <c r="AB306" s="203">
        <f t="shared" ca="1" si="169"/>
        <v>0.1599999999999997</v>
      </c>
      <c r="AC306" s="238"/>
      <c r="AG306" t="s">
        <v>404</v>
      </c>
      <c r="AI306" s="367">
        <f t="shared" ca="1" si="164"/>
        <v>46092</v>
      </c>
      <c r="AJ306" s="367" t="b">
        <f t="shared" si="170"/>
        <v>1</v>
      </c>
      <c r="AK306" s="370" t="str">
        <f t="shared" si="171"/>
        <v/>
      </c>
      <c r="AN306">
        <f t="shared" si="172"/>
        <v>0</v>
      </c>
      <c r="AO306">
        <f t="shared" si="173"/>
        <v>1900</v>
      </c>
      <c r="AV306">
        <f t="shared" si="174"/>
        <v>0</v>
      </c>
      <c r="AW306">
        <f t="shared" si="175"/>
        <v>0</v>
      </c>
    </row>
    <row r="307" spans="4:49" ht="15.75" x14ac:dyDescent="0.25">
      <c r="D307" s="199" t="s">
        <v>642</v>
      </c>
      <c r="E307" s="200" t="s">
        <v>106</v>
      </c>
      <c r="F307" s="287">
        <v>500</v>
      </c>
      <c r="G307" s="201" t="s">
        <v>4</v>
      </c>
      <c r="H307" s="219">
        <v>2.44</v>
      </c>
      <c r="I307" s="202">
        <v>45982</v>
      </c>
      <c r="J307" s="200" t="s">
        <v>326</v>
      </c>
      <c r="K307" s="200"/>
      <c r="L307" s="203">
        <v>7.0000000000000007E-2</v>
      </c>
      <c r="M307" s="204">
        <f ca="1">IF(ISERROR(OFFSET(Tabella!$A$1,MATCH(J307,Tabella!$A:$A,0)-1,MATCH(L307,Tabella!$A$1:$AC$1,0)-1)=TRUE),0,+OFFSET(Tabella!$A$1,MATCH(J307,Tabella!$A:$A,0)-1,MATCH(L307,Tabella!$A$1:$AC$1,0)-1))</f>
        <v>1.25</v>
      </c>
      <c r="N307" s="205">
        <f ca="1">IF(ISERROR(OFFSET(Ottone!$A$1,MATCH(J307,Ottone!$A:$A,0)-1,MATCH(L307,Ottone!$A$1:$Z$1,0)-1)=TRUE),0,OFFSET(Ottone!$A$1,MATCH(J307,Ottone!$A:$A,0)-1,MATCH(L307,Ottone!$A$1:$Z$1,0)-1))*IF(G307="Ottone",1,0)</f>
        <v>0</v>
      </c>
      <c r="O307" s="205">
        <f ca="1">IF(ISERROR(OFFSET(Rame!$A$1,MATCH(J307,Rame!$A:$A,0)-1,MATCH(L307,Rame!$A$1:$AA$1,0)-1)=TRUE),0,OFFSET(Rame!$A$1,MATCH(J307,Rame!$A:$A,0)-1,MATCH(L307,Rame!$A$1:$AA$1,0)-1))*IF(G307="Rame",1,0)</f>
        <v>0</v>
      </c>
      <c r="P307" s="205">
        <v>0</v>
      </c>
      <c r="Q307" s="205">
        <f t="shared" ca="1" si="165"/>
        <v>1.25</v>
      </c>
      <c r="R307" s="205">
        <f ca="1">+IF(ISERROR(OFFSET(Tabella!$G$1,MATCH(J307,Tabella!$G:$G,0)-1,MATCH(K307,Tabella!$G$1:$FG$1,0)-1)=TRUE),0,OFFSET(Tabella!$G$1,MATCH(J307,Tabella!$G:$G,0)-1,MATCH(K307,Tabella!$G$1:$AB$1,0)-1))</f>
        <v>0</v>
      </c>
      <c r="S307" s="205">
        <f ca="1">IF(ISERROR(OFFSET(Ottone!$F$1,MATCH(J307,Ottone!$A:$A,0)-1,MATCH(K307,Ottone!$F$1:$FF$1,0)-1)=TRUE),0,OFFSET(Ottone!$F$1,MATCH(J307,Ottone!$A:$A,0)-1,MATCH(K307,Ottone!$F$1:$FF$1,0)-1))*IF(G307="Ottone",1,0)</f>
        <v>0</v>
      </c>
      <c r="T307" s="205">
        <f ca="1">IF(ISERROR(OFFSET(Rame!$F$1,MATCH(J307,Rame!$F:$F,0)-1,MATCH(K307,Rame!$F$1:$FF$1,0)-1)=TRUE),0,OFFSET(Rame!$F$1,MATCH(J307,Rame!$F:$F,0)-1,MATCH(K307,Rame!$F$1:$FF$1,0)-1))*IF(G307="Rame",1,0)</f>
        <v>0</v>
      </c>
      <c r="U307" s="205">
        <f ca="1">IF(ISERROR(OFFSET(Bronzo!$A$1,MATCH(J307,Bronzo!$A:$A,0)-1,MATCH(K307,Bronzo!$A$1:$AA$1,0)-1)=TRUE),0,OFFSET(Bronzo!$A$1,MATCH(J307,Bronzo!$A:$A,0)-1,MATCH(K307,Bronzo!$A$1:$AA$1,0)-1))</f>
        <v>0</v>
      </c>
      <c r="V307" s="205">
        <f t="shared" ca="1" si="166"/>
        <v>0</v>
      </c>
      <c r="W307" s="204"/>
      <c r="X307" s="205">
        <v>0</v>
      </c>
      <c r="Y307" s="206">
        <f t="shared" ca="1" si="167"/>
        <v>1.25</v>
      </c>
      <c r="Z307" s="277">
        <f t="shared" si="168"/>
        <v>35</v>
      </c>
      <c r="AA307" s="203">
        <v>3.94</v>
      </c>
      <c r="AB307" s="203">
        <f t="shared" ca="1" si="169"/>
        <v>0.25</v>
      </c>
      <c r="AC307" s="238">
        <v>46006</v>
      </c>
      <c r="AI307" s="367">
        <f t="shared" ca="1" si="164"/>
        <v>46092</v>
      </c>
      <c r="AJ307" s="367" t="b">
        <f t="shared" si="170"/>
        <v>0</v>
      </c>
      <c r="AK307" s="370">
        <f t="shared" ca="1" si="171"/>
        <v>-86</v>
      </c>
      <c r="AN307">
        <f t="shared" si="172"/>
        <v>51</v>
      </c>
      <c r="AO307">
        <f t="shared" si="173"/>
        <v>2025</v>
      </c>
      <c r="AV307">
        <f t="shared" si="174"/>
        <v>12</v>
      </c>
      <c r="AW307">
        <f t="shared" si="175"/>
        <v>2025</v>
      </c>
    </row>
    <row r="308" spans="4:49" ht="15.75" x14ac:dyDescent="0.25">
      <c r="D308" s="199"/>
      <c r="E308" s="200" t="s">
        <v>208</v>
      </c>
      <c r="F308" s="287">
        <v>800</v>
      </c>
      <c r="G308" s="201" t="s">
        <v>4</v>
      </c>
      <c r="H308" s="219">
        <v>2.33</v>
      </c>
      <c r="I308" s="202">
        <v>45938</v>
      </c>
      <c r="J308" s="200" t="s">
        <v>322</v>
      </c>
      <c r="K308" s="200"/>
      <c r="L308" s="203">
        <v>7.0000000000000007E-2</v>
      </c>
      <c r="M308" s="204">
        <f ca="1">IF(ISERROR(OFFSET(Tabella!$A$1,MATCH(J308,Tabella!$A:$A,0)-1,MATCH(L308,Tabella!$A$1:$AC$1,0)-1)=TRUE),0,+OFFSET(Tabella!$A$1,MATCH(J308,Tabella!$A:$A,0)-1,MATCH(L308,Tabella!$A$1:$AC$1,0)-1))</f>
        <v>1.25</v>
      </c>
      <c r="N308" s="205">
        <f ca="1">IF(ISERROR(OFFSET(Ottone!$A$1,MATCH(J308,Ottone!$A:$A,0)-1,MATCH(L308,Ottone!$A$1:$Z$1,0)-1)=TRUE),0,OFFSET(Ottone!$A$1,MATCH(J308,Ottone!$A:$A,0)-1,MATCH(L308,Ottone!$A$1:$Z$1,0)-1))*IF(G308="Ottone",1,0)</f>
        <v>0</v>
      </c>
      <c r="O308" s="205">
        <f ca="1">IF(ISERROR(OFFSET(Rame!$A$1,MATCH(J308,Rame!$A:$A,0)-1,MATCH(L308,Rame!$A$1:$AA$1,0)-1)=TRUE),0,OFFSET(Rame!$A$1,MATCH(J308,Rame!$A:$A,0)-1,MATCH(L308,Rame!$A$1:$AA$1,0)-1))*IF(G308="Rame",1,0)</f>
        <v>0</v>
      </c>
      <c r="P308" s="205">
        <v>0</v>
      </c>
      <c r="Q308" s="205">
        <v>1.5</v>
      </c>
      <c r="R308" s="205">
        <f ca="1">+IF(ISERROR(OFFSET(Tabella!$G$1,MATCH(J308,Tabella!$G:$G,0)-1,MATCH(K308,Tabella!$G$1:$FG$1,0)-1)=TRUE),0,OFFSET(Tabella!$G$1,MATCH(J308,Tabella!$G:$G,0)-1,MATCH(K308,Tabella!$G$1:$AB$1,0)-1))</f>
        <v>0</v>
      </c>
      <c r="S308" s="205">
        <f ca="1">IF(ISERROR(OFFSET(Ottone!$F$1,MATCH(J308,Ottone!$A:$A,0)-1,MATCH(K308,Ottone!$F$1:$FF$1,0)-1)=TRUE),0,OFFSET(Ottone!$F$1,MATCH(J308,Ottone!$A:$A,0)-1,MATCH(K308,Ottone!$F$1:$FF$1,0)-1))*IF(G308="Ottone",1,0)</f>
        <v>0</v>
      </c>
      <c r="T308" s="205">
        <f ca="1">IF(ISERROR(OFFSET(Rame!$F$1,MATCH(J308,Rame!$F:$F,0)-1,MATCH(K308,Rame!$F$1:$FF$1,0)-1)=TRUE),0,OFFSET(Rame!$F$1,MATCH(J308,Rame!$F:$F,0)-1,MATCH(K308,Rame!$F$1:$FF$1,0)-1))*IF(G308="Rame",1,0)</f>
        <v>0</v>
      </c>
      <c r="U308" s="205">
        <f ca="1">IF(ISERROR(OFFSET(Bronzo!$A$1,MATCH(J308,Bronzo!$A:$A,0)-1,MATCH(K308,Bronzo!$A$1:$AA$1,0)-1)=TRUE),0,OFFSET(Bronzo!$A$1,MATCH(J308,Bronzo!$A:$A,0)-1,MATCH(K308,Bronzo!$A$1:$AA$1,0)-1))</f>
        <v>0</v>
      </c>
      <c r="V308" s="205">
        <f t="shared" ca="1" si="166"/>
        <v>0</v>
      </c>
      <c r="W308" s="204"/>
      <c r="X308" s="205">
        <v>0</v>
      </c>
      <c r="Y308" s="206">
        <f t="shared" ca="1" si="167"/>
        <v>1.5</v>
      </c>
      <c r="Z308" s="277">
        <f t="shared" si="168"/>
        <v>56.000000000000007</v>
      </c>
      <c r="AA308" s="203">
        <v>3.83</v>
      </c>
      <c r="AB308" s="203">
        <f t="shared" ca="1" si="169"/>
        <v>0</v>
      </c>
      <c r="AC308" s="238"/>
      <c r="AI308" s="367">
        <f t="shared" ca="1" si="164"/>
        <v>46092</v>
      </c>
      <c r="AJ308" s="367" t="b">
        <f t="shared" si="170"/>
        <v>1</v>
      </c>
      <c r="AK308" s="370" t="str">
        <f t="shared" si="171"/>
        <v/>
      </c>
      <c r="AN308">
        <f t="shared" si="172"/>
        <v>0</v>
      </c>
      <c r="AO308">
        <f t="shared" si="173"/>
        <v>1900</v>
      </c>
      <c r="AV308">
        <f t="shared" si="174"/>
        <v>0</v>
      </c>
      <c r="AW308">
        <f t="shared" si="175"/>
        <v>0</v>
      </c>
    </row>
    <row r="309" spans="4:49" ht="15.75" x14ac:dyDescent="0.25">
      <c r="D309" s="199"/>
      <c r="E309" s="200" t="s">
        <v>208</v>
      </c>
      <c r="F309" s="287">
        <v>500</v>
      </c>
      <c r="G309" s="201" t="s">
        <v>4</v>
      </c>
      <c r="H309" s="219">
        <v>2.33</v>
      </c>
      <c r="I309" s="202">
        <v>45938</v>
      </c>
      <c r="J309" s="200" t="s">
        <v>309</v>
      </c>
      <c r="K309" s="200"/>
      <c r="L309" s="203">
        <v>7.0000000000000007E-2</v>
      </c>
      <c r="M309" s="204">
        <f ca="1">IF(ISERROR(OFFSET(Tabella!$A$1,MATCH(J309,Tabella!$A:$A,0)-1,MATCH(L309,Tabella!$A$1:$AC$1,0)-1)=TRUE),0,+OFFSET(Tabella!$A$1,MATCH(J309,Tabella!$A:$A,0)-1,MATCH(L309,Tabella!$A$1:$AC$1,0)-1))</f>
        <v>1.25</v>
      </c>
      <c r="N309" s="205">
        <f ca="1">IF(ISERROR(OFFSET(Ottone!$A$1,MATCH(J309,Ottone!$A:$A,0)-1,MATCH(L309,Ottone!$A$1:$Z$1,0)-1)=TRUE),0,OFFSET(Ottone!$A$1,MATCH(J309,Ottone!$A:$A,0)-1,MATCH(L309,Ottone!$A$1:$Z$1,0)-1))*IF(G309="Ottone",1,0)</f>
        <v>0</v>
      </c>
      <c r="O309" s="205">
        <f ca="1">IF(ISERROR(OFFSET(Rame!$A$1,MATCH(J309,Rame!$A:$A,0)-1,MATCH(L309,Rame!$A$1:$AA$1,0)-1)=TRUE),0,OFFSET(Rame!$A$1,MATCH(J309,Rame!$A:$A,0)-1,MATCH(L309,Rame!$A$1:$AA$1,0)-1))*IF(G309="Rame",1,0)</f>
        <v>0</v>
      </c>
      <c r="P309" s="205">
        <v>0</v>
      </c>
      <c r="Q309" s="205">
        <v>1.5</v>
      </c>
      <c r="R309" s="205">
        <f ca="1">+IF(ISERROR(OFFSET(Tabella!$G$1,MATCH(J309,Tabella!$G:$G,0)-1,MATCH(K309,Tabella!$G$1:$FG$1,0)-1)=TRUE),0,OFFSET(Tabella!$G$1,MATCH(J309,Tabella!$G:$G,0)-1,MATCH(K309,Tabella!$G$1:$AB$1,0)-1))</f>
        <v>0</v>
      </c>
      <c r="S309" s="205">
        <f ca="1">IF(ISERROR(OFFSET(Ottone!$F$1,MATCH(J309,Ottone!$A:$A,0)-1,MATCH(K309,Ottone!$F$1:$FF$1,0)-1)=TRUE),0,OFFSET(Ottone!$F$1,MATCH(J309,Ottone!$A:$A,0)-1,MATCH(K309,Ottone!$F$1:$FF$1,0)-1))*IF(G309="Ottone",1,0)</f>
        <v>0</v>
      </c>
      <c r="T309" s="205">
        <f ca="1">IF(ISERROR(OFFSET(Rame!$F$1,MATCH(J309,Rame!$F:$F,0)-1,MATCH(K309,Rame!$F$1:$FF$1,0)-1)=TRUE),0,OFFSET(Rame!$F$1,MATCH(J309,Rame!$F:$F,0)-1,MATCH(K309,Rame!$F$1:$FF$1,0)-1))*IF(G309="Rame",1,0)</f>
        <v>0</v>
      </c>
      <c r="U309" s="205">
        <f ca="1">IF(ISERROR(OFFSET(Bronzo!$A$1,MATCH(J309,Bronzo!$A:$A,0)-1,MATCH(K309,Bronzo!$A$1:$AA$1,0)-1)=TRUE),0,OFFSET(Bronzo!$A$1,MATCH(J309,Bronzo!$A:$A,0)-1,MATCH(K309,Bronzo!$A$1:$AA$1,0)-1))</f>
        <v>0</v>
      </c>
      <c r="V309" s="205">
        <f t="shared" ca="1" si="166"/>
        <v>0</v>
      </c>
      <c r="W309" s="204"/>
      <c r="X309" s="205">
        <v>0</v>
      </c>
      <c r="Y309" s="206">
        <f t="shared" ca="1" si="167"/>
        <v>1.5</v>
      </c>
      <c r="Z309" s="277">
        <f t="shared" si="168"/>
        <v>35</v>
      </c>
      <c r="AA309" s="203">
        <v>3.92</v>
      </c>
      <c r="AB309" s="203">
        <f ca="1">+AA309-Y309-H309</f>
        <v>8.9999999999999858E-2</v>
      </c>
      <c r="AC309" s="238"/>
      <c r="AI309" s="367">
        <f t="shared" ca="1" si="164"/>
        <v>46092</v>
      </c>
      <c r="AJ309" s="367" t="b">
        <f t="shared" si="170"/>
        <v>1</v>
      </c>
      <c r="AK309" s="370" t="str">
        <f t="shared" si="171"/>
        <v/>
      </c>
      <c r="AN309">
        <f t="shared" si="172"/>
        <v>0</v>
      </c>
      <c r="AO309">
        <f t="shared" si="173"/>
        <v>1900</v>
      </c>
      <c r="AV309">
        <f t="shared" si="174"/>
        <v>0</v>
      </c>
      <c r="AW309">
        <f t="shared" si="175"/>
        <v>0</v>
      </c>
    </row>
    <row r="310" spans="4:49" ht="15.75" x14ac:dyDescent="0.25">
      <c r="D310" s="199"/>
      <c r="E310" s="200" t="s">
        <v>208</v>
      </c>
      <c r="F310" s="287">
        <v>1000</v>
      </c>
      <c r="G310" s="201" t="s">
        <v>4</v>
      </c>
      <c r="H310" s="219">
        <v>2.42</v>
      </c>
      <c r="I310" s="202">
        <v>45982</v>
      </c>
      <c r="J310" s="200" t="s">
        <v>22</v>
      </c>
      <c r="K310" s="200"/>
      <c r="L310" s="203">
        <v>7.0000000000000007E-2</v>
      </c>
      <c r="M310" s="204">
        <f ca="1">IF(ISERROR(OFFSET(Tabella!$A$1,MATCH(J310,Tabella!$A:$A,0)-1,MATCH(L310,Tabella!$A$1:$AC$1,0)-1)=TRUE),0,+OFFSET(Tabella!$A$1,MATCH(J310,Tabella!$A:$A,0)-1,MATCH(L310,Tabella!$A$1:$AC$1,0)-1))</f>
        <v>1.25</v>
      </c>
      <c r="N310" s="205">
        <f ca="1">IF(ISERROR(OFFSET(Ottone!$A$1,MATCH(J310,Ottone!$A:$A,0)-1,MATCH(L310,Ottone!$A$1:$Z$1,0)-1)=TRUE),0,OFFSET(Ottone!$A$1,MATCH(J310,Ottone!$A:$A,0)-1,MATCH(L310,Ottone!$A$1:$Z$1,0)-1))*IF(G310="Ottone",1,0)</f>
        <v>0</v>
      </c>
      <c r="O310" s="205">
        <f ca="1">IF(ISERROR(OFFSET(Rame!$A$1,MATCH(J310,Rame!$A:$A,0)-1,MATCH(L310,Rame!$A$1:$AA$1,0)-1)=TRUE),0,OFFSET(Rame!$A$1,MATCH(J310,Rame!$A:$A,0)-1,MATCH(L310,Rame!$A$1:$AA$1,0)-1))*IF(G310="Rame",1,0)</f>
        <v>0</v>
      </c>
      <c r="P310" s="205">
        <v>0</v>
      </c>
      <c r="Q310" s="205">
        <v>1.5</v>
      </c>
      <c r="R310" s="205">
        <f ca="1">+IF(ISERROR(OFFSET(Tabella!$G$1,MATCH(J310,Tabella!$G:$G,0)-1,MATCH(K310,Tabella!$G$1:$FG$1,0)-1)=TRUE),0,OFFSET(Tabella!$G$1,MATCH(J310,Tabella!$G:$G,0)-1,MATCH(K310,Tabella!$G$1:$AB$1,0)-1))</f>
        <v>0</v>
      </c>
      <c r="S310" s="205">
        <f ca="1">IF(ISERROR(OFFSET(Ottone!$F$1,MATCH(J310,Ottone!$A:$A,0)-1,MATCH(K310,Ottone!$F$1:$FF$1,0)-1)=TRUE),0,OFFSET(Ottone!$F$1,MATCH(J310,Ottone!$A:$A,0)-1,MATCH(K310,Ottone!$F$1:$FF$1,0)-1))*IF(G310="Ottone",1,0)</f>
        <v>0</v>
      </c>
      <c r="T310" s="205">
        <f ca="1">IF(ISERROR(OFFSET(Rame!$F$1,MATCH(J310,Rame!$F:$F,0)-1,MATCH(K310,Rame!$F$1:$FF$1,0)-1)=TRUE),0,OFFSET(Rame!$F$1,MATCH(J310,Rame!$F:$F,0)-1,MATCH(K310,Rame!$F$1:$FF$1,0)-1))*IF(G310="Rame",1,0)</f>
        <v>0</v>
      </c>
      <c r="U310" s="205">
        <f ca="1">IF(ISERROR(OFFSET(Bronzo!$A$1,MATCH(J310,Bronzo!$A:$A,0)-1,MATCH(K310,Bronzo!$A$1:$AA$1,0)-1)=TRUE),0,OFFSET(Bronzo!$A$1,MATCH(J310,Bronzo!$A:$A,0)-1,MATCH(K310,Bronzo!$A$1:$AA$1,0)-1))</f>
        <v>0</v>
      </c>
      <c r="V310" s="205">
        <f t="shared" ca="1" si="166"/>
        <v>0</v>
      </c>
      <c r="W310" s="204"/>
      <c r="X310" s="205">
        <v>0</v>
      </c>
      <c r="Y310" s="206">
        <f t="shared" ca="1" si="167"/>
        <v>1.5</v>
      </c>
      <c r="Z310" s="277">
        <f t="shared" si="168"/>
        <v>70</v>
      </c>
      <c r="AA310" s="203">
        <v>3.92</v>
      </c>
      <c r="AB310" s="203">
        <f t="shared" ca="1" si="169"/>
        <v>0</v>
      </c>
      <c r="AC310" s="238"/>
      <c r="AI310" s="367">
        <f t="shared" ca="1" si="164"/>
        <v>46092</v>
      </c>
      <c r="AJ310" s="367" t="b">
        <f t="shared" si="170"/>
        <v>1</v>
      </c>
      <c r="AK310" s="370" t="str">
        <f t="shared" si="171"/>
        <v/>
      </c>
      <c r="AN310">
        <f t="shared" si="172"/>
        <v>0</v>
      </c>
      <c r="AO310">
        <f t="shared" si="173"/>
        <v>1900</v>
      </c>
      <c r="AV310">
        <f t="shared" si="174"/>
        <v>0</v>
      </c>
      <c r="AW310">
        <f t="shared" si="175"/>
        <v>0</v>
      </c>
    </row>
    <row r="311" spans="4:49" ht="15.75" x14ac:dyDescent="0.25">
      <c r="D311" s="199"/>
      <c r="E311" s="200" t="s">
        <v>208</v>
      </c>
      <c r="F311" s="287">
        <v>800</v>
      </c>
      <c r="G311" s="201" t="s">
        <v>4</v>
      </c>
      <c r="H311" s="219">
        <v>2.42</v>
      </c>
      <c r="I311" s="202">
        <v>45982</v>
      </c>
      <c r="J311" s="200" t="s">
        <v>322</v>
      </c>
      <c r="K311" s="200"/>
      <c r="L311" s="203">
        <v>7.0000000000000007E-2</v>
      </c>
      <c r="M311" s="204"/>
      <c r="N311" s="205"/>
      <c r="O311" s="205"/>
      <c r="P311" s="205"/>
      <c r="Q311" s="205">
        <v>1.5</v>
      </c>
      <c r="R311" s="205"/>
      <c r="S311" s="205"/>
      <c r="T311" s="205"/>
      <c r="U311" s="205"/>
      <c r="V311" s="205"/>
      <c r="W311" s="204"/>
      <c r="X311" s="205"/>
      <c r="Y311" s="206">
        <f t="shared" si="167"/>
        <v>1.5</v>
      </c>
      <c r="Z311" s="277">
        <f t="shared" si="168"/>
        <v>56.000000000000007</v>
      </c>
      <c r="AA311" s="203">
        <v>3.92</v>
      </c>
      <c r="AB311" s="203">
        <f t="shared" si="169"/>
        <v>0</v>
      </c>
      <c r="AC311" s="238"/>
      <c r="AK311" s="370"/>
    </row>
    <row r="312" spans="4:49" ht="15.75" x14ac:dyDescent="0.25">
      <c r="D312" s="199"/>
      <c r="E312" s="200" t="s">
        <v>208</v>
      </c>
      <c r="F312" s="287">
        <v>500</v>
      </c>
      <c r="G312" s="201" t="s">
        <v>4</v>
      </c>
      <c r="H312" s="219">
        <v>2.42</v>
      </c>
      <c r="I312" s="202">
        <v>45982</v>
      </c>
      <c r="J312" s="200" t="s">
        <v>309</v>
      </c>
      <c r="K312" s="200"/>
      <c r="L312" s="203">
        <v>7.0000000000000007E-2</v>
      </c>
      <c r="M312" s="204"/>
      <c r="N312" s="205"/>
      <c r="O312" s="205"/>
      <c r="P312" s="205"/>
      <c r="Q312" s="205">
        <v>1.5</v>
      </c>
      <c r="R312" s="205"/>
      <c r="S312" s="205"/>
      <c r="T312" s="205"/>
      <c r="U312" s="205"/>
      <c r="V312" s="205"/>
      <c r="W312" s="204"/>
      <c r="X312" s="205"/>
      <c r="Y312" s="206">
        <f t="shared" si="167"/>
        <v>1.5</v>
      </c>
      <c r="Z312" s="277">
        <f t="shared" si="168"/>
        <v>35</v>
      </c>
      <c r="AA312" s="203">
        <v>3.92</v>
      </c>
      <c r="AB312" s="203">
        <f t="shared" si="169"/>
        <v>0</v>
      </c>
      <c r="AC312" s="238"/>
      <c r="AK312" s="370"/>
    </row>
    <row r="313" spans="4:49" ht="15.75" x14ac:dyDescent="0.25">
      <c r="D313" s="199" t="s">
        <v>643</v>
      </c>
      <c r="E313" s="200" t="s">
        <v>162</v>
      </c>
      <c r="F313" s="287">
        <v>450</v>
      </c>
      <c r="G313" s="201" t="s">
        <v>4</v>
      </c>
      <c r="H313" s="219">
        <v>2.42</v>
      </c>
      <c r="I313" s="202">
        <v>45982</v>
      </c>
      <c r="J313" s="200" t="s">
        <v>13</v>
      </c>
      <c r="K313" s="200"/>
      <c r="L313" s="203">
        <v>0.2</v>
      </c>
      <c r="M313" s="204">
        <f ca="1">IF(ISERROR(OFFSET(Tabella!$A$1,MATCH(J313,Tabella!$A:$A,0)-1,MATCH(L313,Tabella!$A$1:$AC$1,0)-1)=TRUE),0,+OFFSET(Tabella!$A$1,MATCH(J313,Tabella!$A:$A,0)-1,MATCH(L313,Tabella!$A$1:$AC$1,0)-1))</f>
        <v>0</v>
      </c>
      <c r="N313" s="205">
        <f ca="1">IF(ISERROR(OFFSET(Ottone!$A$1,MATCH(J313,Ottone!$A:$A,0)-1,MATCH(L313,Ottone!$A$1:$Z$1,0)-1)=TRUE),0,OFFSET(Ottone!$A$1,MATCH(J313,Ottone!$A:$A,0)-1,MATCH(L313,Ottone!$A$1:$Z$1,0)-1))*IF(G313="Ottone",1,0)</f>
        <v>0</v>
      </c>
      <c r="O313" s="205">
        <f ca="1">IF(ISERROR(OFFSET(Rame!$A$1,MATCH(J313,Rame!$A:$A,0)-1,MATCH(L313,Rame!$A$1:$AA$1,0)-1)=TRUE),0,OFFSET(Rame!$A$1,MATCH(J313,Rame!$A:$A,0)-1,MATCH(L313,Rame!$A$1:$AA$1,0)-1))*IF(G313="Rame",1,0)</f>
        <v>0</v>
      </c>
      <c r="P313" s="205">
        <v>0</v>
      </c>
      <c r="Q313" s="205">
        <v>1.91</v>
      </c>
      <c r="R313" s="205">
        <f ca="1">+IF(ISERROR(OFFSET(Tabella!$G$1,MATCH(J313,Tabella!$G:$G,0)-1,MATCH(K313,Tabella!$G$1:$FG$1,0)-1)=TRUE),0,OFFSET(Tabella!$G$1,MATCH(J313,Tabella!$G:$G,0)-1,MATCH(K313,Tabella!$G$1:$AB$1,0)-1))</f>
        <v>0</v>
      </c>
      <c r="S313" s="205">
        <f ca="1">IF(ISERROR(OFFSET(Ottone!$F$1,MATCH(J313,Ottone!$A:$A,0)-1,MATCH(K313,Ottone!$F$1:$FF$1,0)-1)=TRUE),0,OFFSET(Ottone!$F$1,MATCH(J313,Ottone!$A:$A,0)-1,MATCH(K313,Ottone!$F$1:$FF$1,0)-1))*IF(G313="Ottone",1,0)</f>
        <v>0</v>
      </c>
      <c r="T313" s="205">
        <f ca="1">IF(ISERROR(OFFSET(Rame!$F$1,MATCH(J313,Rame!$F:$F,0)-1,MATCH(K313,Rame!$F$1:$FF$1,0)-1)=TRUE),0,OFFSET(Rame!$F$1,MATCH(J313,Rame!$F:$F,0)-1,MATCH(K313,Rame!$F$1:$FF$1,0)-1))*IF(G313="Rame",1,0)</f>
        <v>0</v>
      </c>
      <c r="U313" s="205">
        <f ca="1">IF(ISERROR(OFFSET(Bronzo!$A$1,MATCH(J313,Bronzo!$A:$A,0)-1,MATCH(K313,Bronzo!$A$1:$AA$1,0)-1)=TRUE),0,OFFSET(Bronzo!$A$1,MATCH(J313,Bronzo!$A:$A,0)-1,MATCH(K313,Bronzo!$A$1:$AA$1,0)-1))</f>
        <v>0</v>
      </c>
      <c r="V313" s="205">
        <f t="shared" ca="1" si="166"/>
        <v>0</v>
      </c>
      <c r="W313" s="204"/>
      <c r="X313" s="205">
        <v>0</v>
      </c>
      <c r="Y313" s="206">
        <f t="shared" ca="1" si="167"/>
        <v>1.91</v>
      </c>
      <c r="Z313" s="277">
        <f t="shared" si="168"/>
        <v>90</v>
      </c>
      <c r="AA313" s="203">
        <v>5.03</v>
      </c>
      <c r="AB313" s="203">
        <f t="shared" ca="1" si="169"/>
        <v>0.70000000000000018</v>
      </c>
      <c r="AC313" s="238">
        <v>46036</v>
      </c>
      <c r="AI313" s="367">
        <f t="shared" ca="1" si="164"/>
        <v>46092</v>
      </c>
      <c r="AJ313" s="367" t="b">
        <f t="shared" si="170"/>
        <v>0</v>
      </c>
      <c r="AK313" s="370">
        <f t="shared" ca="1" si="171"/>
        <v>-56</v>
      </c>
      <c r="AN313">
        <f t="shared" si="172"/>
        <v>3</v>
      </c>
      <c r="AO313">
        <f t="shared" si="173"/>
        <v>2026</v>
      </c>
      <c r="AV313">
        <f t="shared" si="174"/>
        <v>1</v>
      </c>
      <c r="AW313">
        <f t="shared" si="175"/>
        <v>2026</v>
      </c>
    </row>
    <row r="314" spans="4:49" ht="15.75" x14ac:dyDescent="0.25">
      <c r="D314" s="199"/>
      <c r="E314" s="200" t="s">
        <v>97</v>
      </c>
      <c r="F314" s="287">
        <v>500</v>
      </c>
      <c r="G314" s="201" t="s">
        <v>6</v>
      </c>
      <c r="H314" s="219">
        <v>9.25</v>
      </c>
      <c r="I314" s="202">
        <v>45982</v>
      </c>
      <c r="J314" s="200" t="s">
        <v>18</v>
      </c>
      <c r="K314" s="200"/>
      <c r="L314" s="203">
        <v>0.1</v>
      </c>
      <c r="M314" s="204">
        <f ca="1">IF(ISERROR(OFFSET(Tabella!$A$1,MATCH(J314,Tabella!$A:$A,0)-1,MATCH(L314,Tabella!$A$1:$AC$1,0)-1)=TRUE),0,+OFFSET(Tabella!$A$1,MATCH(J314,Tabella!$A:$A,0)-1,MATCH(L314,Tabella!$A$1:$AC$1,0)-1))</f>
        <v>0</v>
      </c>
      <c r="N314" s="205">
        <f ca="1">IF(ISERROR(OFFSET(Ottone!$A$1,MATCH(J314,Ottone!$A:$A,0)-1,MATCH(L314,Ottone!$A$1:$Z$1,0)-1)=TRUE),0,OFFSET(Ottone!$A$1,MATCH(J314,Ottone!$A:$A,0)-1,MATCH(L314,Ottone!$A$1:$Z$1,0)-1))*IF(G314="Ottone",1,0)</f>
        <v>0</v>
      </c>
      <c r="O314" s="205">
        <f ca="1">IF(ISERROR(OFFSET(Rame!$A$1,MATCH(J314,Rame!$A:$A,0)-1,MATCH(L314,Rame!$A$1:$AA$1,0)-1)=TRUE),0,OFFSET(Rame!$A$1,MATCH(J314,Rame!$A:$A,0)-1,MATCH(L314,Rame!$A$1:$AA$1,0)-1))*IF(G314="Rame",1,0)</f>
        <v>0.78</v>
      </c>
      <c r="P314" s="205">
        <v>0</v>
      </c>
      <c r="Q314" s="205">
        <f t="shared" ca="1" si="165"/>
        <v>0.78</v>
      </c>
      <c r="R314" s="205">
        <f ca="1">+IF(ISERROR(OFFSET(Tabella!$G$1,MATCH(J314,Tabella!$G:$G,0)-1,MATCH(K314,Tabella!$G$1:$FG$1,0)-1)=TRUE),0,OFFSET(Tabella!$G$1,MATCH(J314,Tabella!$G:$G,0)-1,MATCH(K314,Tabella!$G$1:$AB$1,0)-1))</f>
        <v>0</v>
      </c>
      <c r="S314" s="205">
        <f ca="1">IF(ISERROR(OFFSET(Ottone!$F$1,MATCH(J314,Ottone!$A:$A,0)-1,MATCH(K314,Ottone!$F$1:$FF$1,0)-1)=TRUE),0,OFFSET(Ottone!$F$1,MATCH(J314,Ottone!$A:$A,0)-1,MATCH(K314,Ottone!$F$1:$FF$1,0)-1))*IF(G314="Ottone",1,0)</f>
        <v>0</v>
      </c>
      <c r="T314" s="205">
        <f ca="1">IF(ISERROR(OFFSET(Rame!$F$1,MATCH(J314,Rame!$F:$F,0)-1,MATCH(K314,Rame!$F$1:$FF$1,0)-1)=TRUE),0,OFFSET(Rame!$F$1,MATCH(J314,Rame!$F:$F,0)-1,MATCH(K314,Rame!$F$1:$FF$1,0)-1))*IF(G314="Rame",1,0)</f>
        <v>0</v>
      </c>
      <c r="U314" s="205">
        <f ca="1">IF(ISERROR(OFFSET(Bronzo!$A$1,MATCH(J314,Bronzo!$A:$A,0)-1,MATCH(K314,Bronzo!$A$1:$AA$1,0)-1)=TRUE),0,OFFSET(Bronzo!$A$1,MATCH(J314,Bronzo!$A:$A,0)-1,MATCH(K314,Bronzo!$A$1:$AA$1,0)-1))</f>
        <v>0</v>
      </c>
      <c r="V314" s="205">
        <f t="shared" ca="1" si="166"/>
        <v>0</v>
      </c>
      <c r="W314" s="204"/>
      <c r="X314" s="205">
        <v>0</v>
      </c>
      <c r="Y314" s="206">
        <f t="shared" ca="1" si="167"/>
        <v>0.78</v>
      </c>
      <c r="Z314" s="277">
        <f t="shared" si="168"/>
        <v>50</v>
      </c>
      <c r="AA314" s="203">
        <v>12.55</v>
      </c>
      <c r="AB314" s="203">
        <f t="shared" ca="1" si="169"/>
        <v>2.5200000000000014</v>
      </c>
      <c r="AC314" s="238"/>
      <c r="AI314" s="367">
        <f t="shared" ca="1" si="164"/>
        <v>46092</v>
      </c>
      <c r="AJ314" s="367" t="b">
        <f t="shared" si="170"/>
        <v>1</v>
      </c>
      <c r="AK314" s="370" t="str">
        <f t="shared" si="171"/>
        <v/>
      </c>
      <c r="AN314">
        <f t="shared" si="172"/>
        <v>0</v>
      </c>
      <c r="AO314">
        <f t="shared" si="173"/>
        <v>1900</v>
      </c>
      <c r="AV314">
        <f t="shared" si="174"/>
        <v>0</v>
      </c>
      <c r="AW314">
        <f t="shared" si="175"/>
        <v>0</v>
      </c>
    </row>
    <row r="315" spans="4:49" ht="15.75" x14ac:dyDescent="0.25">
      <c r="D315" s="199"/>
      <c r="E315" s="200" t="s">
        <v>97</v>
      </c>
      <c r="F315" s="287">
        <v>100</v>
      </c>
      <c r="G315" s="201" t="s">
        <v>6</v>
      </c>
      <c r="H315" s="219">
        <v>9.25</v>
      </c>
      <c r="I315" s="202">
        <v>45982</v>
      </c>
      <c r="J315" s="200" t="s">
        <v>16</v>
      </c>
      <c r="K315" s="200"/>
      <c r="L315" s="203">
        <v>0.1</v>
      </c>
      <c r="M315" s="204">
        <f ca="1">IF(ISERROR(OFFSET(Tabella!$A$1,MATCH(J315,Tabella!$A:$A,0)-1,MATCH(L315,Tabella!$A$1:$AC$1,0)-1)=TRUE),0,+OFFSET(Tabella!$A$1,MATCH(J315,Tabella!$A:$A,0)-1,MATCH(L315,Tabella!$A$1:$AC$1,0)-1))</f>
        <v>0</v>
      </c>
      <c r="N315" s="205">
        <f ca="1">IF(ISERROR(OFFSET(Ottone!$A$1,MATCH(J315,Ottone!$A:$A,0)-1,MATCH(L315,Ottone!$A$1:$Z$1,0)-1)=TRUE),0,OFFSET(Ottone!$A$1,MATCH(J315,Ottone!$A:$A,0)-1,MATCH(L315,Ottone!$A$1:$Z$1,0)-1))*IF(G315="Ottone",1,0)</f>
        <v>0</v>
      </c>
      <c r="O315" s="205">
        <f ca="1">IF(ISERROR(OFFSET(Rame!$A$1,MATCH(J315,Rame!$A:$A,0)-1,MATCH(L315,Rame!$A$1:$AA$1,0)-1)=TRUE),0,OFFSET(Rame!$A$1,MATCH(J315,Rame!$A:$A,0)-1,MATCH(L315,Rame!$A$1:$AA$1,0)-1))*IF(G315="Rame",1,0)</f>
        <v>0.82</v>
      </c>
      <c r="P315" s="205">
        <v>0</v>
      </c>
      <c r="Q315" s="205">
        <f t="shared" ca="1" si="165"/>
        <v>0.82</v>
      </c>
      <c r="R315" s="205">
        <f ca="1">+IF(ISERROR(OFFSET(Tabella!$G$1,MATCH(J315,Tabella!$G:$G,0)-1,MATCH(K315,Tabella!$G$1:$FG$1,0)-1)=TRUE),0,OFFSET(Tabella!$G$1,MATCH(J315,Tabella!$G:$G,0)-1,MATCH(K315,Tabella!$G$1:$AB$1,0)-1))</f>
        <v>0</v>
      </c>
      <c r="S315" s="205">
        <f ca="1">IF(ISERROR(OFFSET(Ottone!$F$1,MATCH(J315,Ottone!$A:$A,0)-1,MATCH(K315,Ottone!$F$1:$FF$1,0)-1)=TRUE),0,OFFSET(Ottone!$F$1,MATCH(J315,Ottone!$A:$A,0)-1,MATCH(K315,Ottone!$F$1:$FF$1,0)-1))*IF(G315="Ottone",1,0)</f>
        <v>0</v>
      </c>
      <c r="T315" s="205">
        <f ca="1">IF(ISERROR(OFFSET(Rame!$F$1,MATCH(J315,Rame!$F:$F,0)-1,MATCH(K315,Rame!$F$1:$FF$1,0)-1)=TRUE),0,OFFSET(Rame!$F$1,MATCH(J315,Rame!$F:$F,0)-1,MATCH(K315,Rame!$F$1:$FF$1,0)-1))*IF(G315="Rame",1,0)</f>
        <v>0</v>
      </c>
      <c r="U315" s="205">
        <f ca="1">IF(ISERROR(OFFSET(Bronzo!$A$1,MATCH(J315,Bronzo!$A:$A,0)-1,MATCH(K315,Bronzo!$A$1:$AA$1,0)-1)=TRUE),0,OFFSET(Bronzo!$A$1,MATCH(J315,Bronzo!$A:$A,0)-1,MATCH(K315,Bronzo!$A$1:$AA$1,0)-1))</f>
        <v>0</v>
      </c>
      <c r="V315" s="205">
        <f t="shared" ca="1" si="166"/>
        <v>0</v>
      </c>
      <c r="W315" s="204"/>
      <c r="X315" s="205">
        <v>0</v>
      </c>
      <c r="Y315" s="206">
        <f t="shared" ca="1" si="167"/>
        <v>0.82</v>
      </c>
      <c r="Z315" s="277">
        <f t="shared" si="168"/>
        <v>10</v>
      </c>
      <c r="AA315" s="203">
        <v>12.55</v>
      </c>
      <c r="AB315" s="203">
        <f t="shared" ca="1" si="169"/>
        <v>2.4800000000000004</v>
      </c>
      <c r="AC315" s="238"/>
      <c r="AI315" s="367">
        <f t="shared" ca="1" si="164"/>
        <v>46092</v>
      </c>
      <c r="AJ315" s="367" t="b">
        <f t="shared" si="170"/>
        <v>1</v>
      </c>
      <c r="AK315" s="370" t="str">
        <f t="shared" si="171"/>
        <v/>
      </c>
      <c r="AN315">
        <f t="shared" si="172"/>
        <v>0</v>
      </c>
      <c r="AO315">
        <f t="shared" si="173"/>
        <v>1900</v>
      </c>
      <c r="AV315">
        <f t="shared" si="174"/>
        <v>0</v>
      </c>
      <c r="AW315">
        <f t="shared" si="175"/>
        <v>0</v>
      </c>
    </row>
    <row r="316" spans="4:49" ht="15.75" x14ac:dyDescent="0.25">
      <c r="D316" s="199" t="s">
        <v>647</v>
      </c>
      <c r="E316" s="200" t="s">
        <v>263</v>
      </c>
      <c r="F316" s="287">
        <v>900</v>
      </c>
      <c r="G316" s="201" t="s">
        <v>4</v>
      </c>
      <c r="H316" s="219">
        <v>2.39</v>
      </c>
      <c r="I316" s="202">
        <v>45982</v>
      </c>
      <c r="J316" s="200" t="s">
        <v>15</v>
      </c>
      <c r="K316" s="200"/>
      <c r="L316" s="203">
        <v>7.0000000000000007E-2</v>
      </c>
      <c r="M316" s="204">
        <f ca="1">IF(ISERROR(OFFSET(Tabella!$A$1,MATCH(J316,Tabella!$A:$A,0)-1,MATCH(L316,Tabella!$A$1:$AC$1,0)-1)=TRUE),0,+OFFSET(Tabella!$A$1,MATCH(J316,Tabella!$A:$A,0)-1,MATCH(L316,Tabella!$A$1:$AC$1,0)-1))</f>
        <v>1.4</v>
      </c>
      <c r="N316" s="205">
        <f ca="1">IF(ISERROR(OFFSET(Ottone!$A$1,MATCH(J316,Ottone!$A:$A,0)-1,MATCH(L316,Ottone!$A$1:$Z$1,0)-1)=TRUE),0,OFFSET(Ottone!$A$1,MATCH(J316,Ottone!$A:$A,0)-1,MATCH(L316,Ottone!$A$1:$Z$1,0)-1))*IF(G316="Ottone",1,0)</f>
        <v>0</v>
      </c>
      <c r="O316" s="205">
        <f ca="1">IF(ISERROR(OFFSET(Rame!$A$1,MATCH(J316,Rame!$A:$A,0)-1,MATCH(L316,Rame!$A$1:$AA$1,0)-1)=TRUE),0,OFFSET(Rame!$A$1,MATCH(J316,Rame!$A:$A,0)-1,MATCH(L316,Rame!$A$1:$AA$1,0)-1))*IF(G316="Rame",1,0)</f>
        <v>0</v>
      </c>
      <c r="P316" s="205">
        <v>0</v>
      </c>
      <c r="Q316" s="205">
        <f t="shared" ca="1" si="165"/>
        <v>1.4</v>
      </c>
      <c r="R316" s="205">
        <f ca="1">+IF(ISERROR(OFFSET(Tabella!$G$1,MATCH(J316,Tabella!$G:$G,0)-1,MATCH(K316,Tabella!$G$1:$FG$1,0)-1)=TRUE),0,OFFSET(Tabella!$G$1,MATCH(J316,Tabella!$G:$G,0)-1,MATCH(K316,Tabella!$G$1:$AB$1,0)-1))</f>
        <v>0</v>
      </c>
      <c r="S316" s="205">
        <f ca="1">IF(ISERROR(OFFSET(Ottone!$F$1,MATCH(J316,Ottone!$A:$A,0)-1,MATCH(K316,Ottone!$F$1:$FF$1,0)-1)=TRUE),0,OFFSET(Ottone!$F$1,MATCH(J316,Ottone!$A:$A,0)-1,MATCH(K316,Ottone!$F$1:$FF$1,0)-1))*IF(G316="Ottone",1,0)</f>
        <v>0</v>
      </c>
      <c r="T316" s="205">
        <f ca="1">IF(ISERROR(OFFSET(Rame!$F$1,MATCH(J316,Rame!$F:$F,0)-1,MATCH(K316,Rame!$F$1:$FF$1,0)-1)=TRUE),0,OFFSET(Rame!$F$1,MATCH(J316,Rame!$F:$F,0)-1,MATCH(K316,Rame!$F$1:$FF$1,0)-1))*IF(G316="Rame",1,0)</f>
        <v>0</v>
      </c>
      <c r="U316" s="205">
        <f ca="1">IF(ISERROR(OFFSET(Bronzo!$A$1,MATCH(J316,Bronzo!$A:$A,0)-1,MATCH(K316,Bronzo!$A$1:$AA$1,0)-1)=TRUE),0,OFFSET(Bronzo!$A$1,MATCH(J316,Bronzo!$A:$A,0)-1,MATCH(K316,Bronzo!$A$1:$AA$1,0)-1))</f>
        <v>0</v>
      </c>
      <c r="V316" s="205">
        <f t="shared" ca="1" si="166"/>
        <v>0</v>
      </c>
      <c r="W316" s="204"/>
      <c r="X316" s="205">
        <v>0</v>
      </c>
      <c r="Y316" s="206">
        <f t="shared" ca="1" si="167"/>
        <v>1.4</v>
      </c>
      <c r="Z316" s="277">
        <f t="shared" si="168"/>
        <v>63.000000000000007</v>
      </c>
      <c r="AA316" s="203">
        <v>4.1100000000000003</v>
      </c>
      <c r="AB316" s="203">
        <f t="shared" ca="1" si="169"/>
        <v>0.32000000000000028</v>
      </c>
      <c r="AC316" s="238">
        <v>45989</v>
      </c>
      <c r="AI316" s="367">
        <f t="shared" ca="1" si="164"/>
        <v>46092</v>
      </c>
      <c r="AJ316" s="367" t="b">
        <f t="shared" si="170"/>
        <v>0</v>
      </c>
      <c r="AK316" s="370">
        <f t="shared" ca="1" si="171"/>
        <v>-103</v>
      </c>
      <c r="AN316">
        <f t="shared" si="172"/>
        <v>48</v>
      </c>
      <c r="AO316">
        <f t="shared" si="173"/>
        <v>2025</v>
      </c>
      <c r="AV316">
        <f t="shared" si="174"/>
        <v>11</v>
      </c>
      <c r="AW316">
        <f t="shared" si="175"/>
        <v>2025</v>
      </c>
    </row>
    <row r="317" spans="4:49" ht="15.75" x14ac:dyDescent="0.25">
      <c r="D317" s="199" t="s">
        <v>647</v>
      </c>
      <c r="E317" s="200" t="s">
        <v>263</v>
      </c>
      <c r="F317" s="287">
        <v>300</v>
      </c>
      <c r="G317" s="201" t="s">
        <v>4</v>
      </c>
      <c r="H317" s="219">
        <v>2.39</v>
      </c>
      <c r="I317" s="202">
        <v>45982</v>
      </c>
      <c r="J317" s="200" t="s">
        <v>9</v>
      </c>
      <c r="K317" s="200"/>
      <c r="L317" s="203">
        <v>7.0000000000000007E-2</v>
      </c>
      <c r="M317" s="204">
        <f ca="1">IF(ISERROR(OFFSET(Tabella!$A$1,MATCH(J317,Tabella!$A:$A,0)-1,MATCH(L317,Tabella!$A$1:$AC$1,0)-1)=TRUE),0,+OFFSET(Tabella!$A$1,MATCH(J317,Tabella!$A:$A,0)-1,MATCH(L317,Tabella!$A$1:$AC$1,0)-1))</f>
        <v>1.6</v>
      </c>
      <c r="N317" s="205">
        <f ca="1">IF(ISERROR(OFFSET(Ottone!$A$1,MATCH(J317,Ottone!$A:$A,0)-1,MATCH(L317,Ottone!$A$1:$Z$1,0)-1)=TRUE),0,OFFSET(Ottone!$A$1,MATCH(J317,Ottone!$A:$A,0)-1,MATCH(L317,Ottone!$A$1:$Z$1,0)-1))*IF(G317="Ottone",1,0)</f>
        <v>0</v>
      </c>
      <c r="O317" s="205">
        <f ca="1">IF(ISERROR(OFFSET(Rame!$A$1,MATCH(J317,Rame!$A:$A,0)-1,MATCH(L317,Rame!$A$1:$AA$1,0)-1)=TRUE),0,OFFSET(Rame!$A$1,MATCH(J317,Rame!$A:$A,0)-1,MATCH(L317,Rame!$A$1:$AA$1,0)-1))*IF(G317="Rame",1,0)</f>
        <v>0</v>
      </c>
      <c r="P317" s="205">
        <v>0</v>
      </c>
      <c r="Q317" s="205">
        <f t="shared" ca="1" si="165"/>
        <v>1.6</v>
      </c>
      <c r="R317" s="205">
        <f ca="1">+IF(ISERROR(OFFSET(Tabella!$G$1,MATCH(J317,Tabella!$G:$G,0)-1,MATCH(K317,Tabella!$G$1:$FG$1,0)-1)=TRUE),0,OFFSET(Tabella!$G$1,MATCH(J317,Tabella!$G:$G,0)-1,MATCH(K317,Tabella!$G$1:$AB$1,0)-1))</f>
        <v>0</v>
      </c>
      <c r="S317" s="205">
        <f ca="1">IF(ISERROR(OFFSET(Ottone!$F$1,MATCH(J317,Ottone!$A:$A,0)-1,MATCH(K317,Ottone!$F$1:$FF$1,0)-1)=TRUE),0,OFFSET(Ottone!$F$1,MATCH(J317,Ottone!$A:$A,0)-1,MATCH(K317,Ottone!$F$1:$FF$1,0)-1))*IF(G317="Ottone",1,0)</f>
        <v>0</v>
      </c>
      <c r="T317" s="205">
        <f ca="1">IF(ISERROR(OFFSET(Rame!$F$1,MATCH(J317,Rame!$F:$F,0)-1,MATCH(K317,Rame!$F$1:$FF$1,0)-1)=TRUE),0,OFFSET(Rame!$F$1,MATCH(J317,Rame!$F:$F,0)-1,MATCH(K317,Rame!$F$1:$FF$1,0)-1))*IF(G317="Rame",1,0)</f>
        <v>0</v>
      </c>
      <c r="U317" s="205">
        <f ca="1">IF(ISERROR(OFFSET(Bronzo!$A$1,MATCH(J317,Bronzo!$A:$A,0)-1,MATCH(K317,Bronzo!$A$1:$AA$1,0)-1)=TRUE),0,OFFSET(Bronzo!$A$1,MATCH(J317,Bronzo!$A:$A,0)-1,MATCH(K317,Bronzo!$A$1:$AA$1,0)-1))</f>
        <v>0</v>
      </c>
      <c r="V317" s="205">
        <f t="shared" ca="1" si="166"/>
        <v>0</v>
      </c>
      <c r="W317" s="204"/>
      <c r="X317" s="205">
        <v>0</v>
      </c>
      <c r="Y317" s="206">
        <f t="shared" ca="1" si="167"/>
        <v>1.6</v>
      </c>
      <c r="Z317" s="277">
        <f t="shared" si="168"/>
        <v>21.000000000000004</v>
      </c>
      <c r="AA317" s="203">
        <v>4.26</v>
      </c>
      <c r="AB317" s="203">
        <f t="shared" ca="1" si="169"/>
        <v>0.26999999999999957</v>
      </c>
      <c r="AC317" s="238">
        <v>45989</v>
      </c>
      <c r="AI317" s="367">
        <f t="shared" ca="1" si="164"/>
        <v>46092</v>
      </c>
      <c r="AJ317" s="367" t="b">
        <f t="shared" si="170"/>
        <v>0</v>
      </c>
      <c r="AK317" s="370">
        <f t="shared" ca="1" si="171"/>
        <v>-103</v>
      </c>
      <c r="AN317">
        <f t="shared" si="172"/>
        <v>48</v>
      </c>
      <c r="AO317">
        <f t="shared" si="173"/>
        <v>2025</v>
      </c>
      <c r="AV317">
        <f t="shared" si="174"/>
        <v>11</v>
      </c>
      <c r="AW317">
        <f t="shared" si="175"/>
        <v>2025</v>
      </c>
    </row>
    <row r="318" spans="4:49" ht="15.75" x14ac:dyDescent="0.25">
      <c r="D318" s="199" t="s">
        <v>647</v>
      </c>
      <c r="E318" s="200" t="s">
        <v>263</v>
      </c>
      <c r="F318" s="287">
        <v>300</v>
      </c>
      <c r="G318" s="201" t="s">
        <v>4</v>
      </c>
      <c r="H318" s="219">
        <v>2.39</v>
      </c>
      <c r="I318" s="202">
        <v>45982</v>
      </c>
      <c r="J318" s="200" t="s">
        <v>9</v>
      </c>
      <c r="K318" s="200"/>
      <c r="L318" s="203">
        <v>7.0000000000000007E-2</v>
      </c>
      <c r="M318" s="204">
        <f ca="1">IF(ISERROR(OFFSET(Tabella!$A$1,MATCH(J318,Tabella!$A:$A,0)-1,MATCH(L318,Tabella!$A$1:$AC$1,0)-1)=TRUE),0,+OFFSET(Tabella!$A$1,MATCH(J318,Tabella!$A:$A,0)-1,MATCH(L318,Tabella!$A$1:$AC$1,0)-1))</f>
        <v>1.6</v>
      </c>
      <c r="N318" s="205">
        <f ca="1">IF(ISERROR(OFFSET(Ottone!$A$1,MATCH(J318,Ottone!$A:$A,0)-1,MATCH(L318,Ottone!$A$1:$Z$1,0)-1)=TRUE),0,OFFSET(Ottone!$A$1,MATCH(J318,Ottone!$A:$A,0)-1,MATCH(L318,Ottone!$A$1:$Z$1,0)-1))*IF(G318="Ottone",1,0)</f>
        <v>0</v>
      </c>
      <c r="O318" s="205">
        <f ca="1">IF(ISERROR(OFFSET(Rame!$A$1,MATCH(J318,Rame!$A:$A,0)-1,MATCH(L318,Rame!$A$1:$AA$1,0)-1)=TRUE),0,OFFSET(Rame!$A$1,MATCH(J318,Rame!$A:$A,0)-1,MATCH(L318,Rame!$A$1:$AA$1,0)-1))*IF(G318="Rame",1,0)</f>
        <v>0</v>
      </c>
      <c r="P318" s="205">
        <v>0</v>
      </c>
      <c r="Q318" s="205">
        <f t="shared" ca="1" si="165"/>
        <v>1.6</v>
      </c>
      <c r="R318" s="205">
        <f ca="1">+IF(ISERROR(OFFSET(Tabella!$G$1,MATCH(J318,Tabella!$G:$G,0)-1,MATCH(K318,Tabella!$G$1:$FG$1,0)-1)=TRUE),0,OFFSET(Tabella!$G$1,MATCH(J318,Tabella!$G:$G,0)-1,MATCH(K318,Tabella!$G$1:$AB$1,0)-1))</f>
        <v>0</v>
      </c>
      <c r="S318" s="205">
        <f ca="1">IF(ISERROR(OFFSET(Ottone!$F$1,MATCH(J318,Ottone!$A:$A,0)-1,MATCH(K318,Ottone!$F$1:$FF$1,0)-1)=TRUE),0,OFFSET(Ottone!$F$1,MATCH(J318,Ottone!$A:$A,0)-1,MATCH(K318,Ottone!$F$1:$FF$1,0)-1))*IF(G318="Ottone",1,0)</f>
        <v>0</v>
      </c>
      <c r="T318" s="205">
        <f ca="1">IF(ISERROR(OFFSET(Rame!$F$1,MATCH(J318,Rame!$F:$F,0)-1,MATCH(K318,Rame!$F$1:$FF$1,0)-1)=TRUE),0,OFFSET(Rame!$F$1,MATCH(J318,Rame!$F:$F,0)-1,MATCH(K318,Rame!$F$1:$FF$1,0)-1))*IF(G318="Rame",1,0)</f>
        <v>0</v>
      </c>
      <c r="U318" s="205">
        <f ca="1">IF(ISERROR(OFFSET(Bronzo!$A$1,MATCH(J318,Bronzo!$A:$A,0)-1,MATCH(K318,Bronzo!$A$1:$AA$1,0)-1)=TRUE),0,OFFSET(Bronzo!$A$1,MATCH(J318,Bronzo!$A:$A,0)-1,MATCH(K318,Bronzo!$A$1:$AA$1,0)-1))</f>
        <v>0</v>
      </c>
      <c r="V318" s="205">
        <f t="shared" ca="1" si="166"/>
        <v>0</v>
      </c>
      <c r="W318" s="204"/>
      <c r="X318" s="205">
        <v>0</v>
      </c>
      <c r="Y318" s="206">
        <f t="shared" ca="1" si="167"/>
        <v>1.6</v>
      </c>
      <c r="Z318" s="277">
        <f t="shared" si="168"/>
        <v>21.000000000000004</v>
      </c>
      <c r="AA318" s="203">
        <v>4.26</v>
      </c>
      <c r="AB318" s="203">
        <f t="shared" ca="1" si="169"/>
        <v>0.26999999999999957</v>
      </c>
      <c r="AC318" s="238">
        <v>45989</v>
      </c>
      <c r="AI318" s="367">
        <f t="shared" ca="1" si="164"/>
        <v>46092</v>
      </c>
      <c r="AJ318" s="367" t="b">
        <f t="shared" si="170"/>
        <v>0</v>
      </c>
      <c r="AK318" s="370">
        <f t="shared" ca="1" si="171"/>
        <v>-103</v>
      </c>
      <c r="AN318">
        <f t="shared" si="172"/>
        <v>48</v>
      </c>
      <c r="AO318">
        <f t="shared" si="173"/>
        <v>2025</v>
      </c>
      <c r="AV318">
        <f t="shared" si="174"/>
        <v>11</v>
      </c>
      <c r="AW318">
        <f t="shared" si="175"/>
        <v>2025</v>
      </c>
    </row>
    <row r="319" spans="4:49" ht="15.75" x14ac:dyDescent="0.25">
      <c r="D319" s="199" t="s">
        <v>641</v>
      </c>
      <c r="E319" s="200" t="s">
        <v>336</v>
      </c>
      <c r="F319" s="287">
        <v>500</v>
      </c>
      <c r="G319" s="201" t="s">
        <v>6</v>
      </c>
      <c r="H319" s="219">
        <v>9.32</v>
      </c>
      <c r="I319" s="202">
        <v>45981</v>
      </c>
      <c r="J319" s="200" t="s">
        <v>16</v>
      </c>
      <c r="K319" s="200"/>
      <c r="L319" s="203">
        <v>0.15</v>
      </c>
      <c r="M319" s="204">
        <f ca="1">IF(ISERROR(OFFSET(Tabella!$A$1,MATCH(J319,Tabella!$A:$A,0)-1,MATCH(L319,Tabella!$A$1:$AC$1,0)-1)=TRUE),0,+OFFSET(Tabella!$A$1,MATCH(J319,Tabella!$A:$A,0)-1,MATCH(L319,Tabella!$A$1:$AC$1,0)-1))</f>
        <v>0</v>
      </c>
      <c r="N319" s="205">
        <f ca="1">IF(ISERROR(OFFSET(Ottone!$A$1,MATCH(J319,Ottone!$A:$A,0)-1,MATCH(L319,Ottone!$A$1:$Z$1,0)-1)=TRUE),0,OFFSET(Ottone!$A$1,MATCH(J319,Ottone!$A:$A,0)-1,MATCH(L319,Ottone!$A$1:$Z$1,0)-1))*IF(G319="Ottone",1,0)</f>
        <v>0</v>
      </c>
      <c r="O319" s="205">
        <f ca="1">IF(ISERROR(OFFSET(Rame!$A$1,MATCH(J319,Rame!$A:$A,0)-1,MATCH(L319,Rame!$A$1:$AA$1,0)-1)=TRUE),0,OFFSET(Rame!$A$1,MATCH(J319,Rame!$A:$A,0)-1,MATCH(L319,Rame!$A$1:$AA$1,0)-1))*IF(G319="Rame",1,0)</f>
        <v>0.85</v>
      </c>
      <c r="P319" s="205">
        <v>0</v>
      </c>
      <c r="Q319" s="205">
        <f t="shared" ca="1" si="165"/>
        <v>0.85</v>
      </c>
      <c r="R319" s="205">
        <f ca="1">+IF(ISERROR(OFFSET(Tabella!$G$1,MATCH(J319,Tabella!$G:$G,0)-1,MATCH(K319,Tabella!$G$1:$FG$1,0)-1)=TRUE),0,OFFSET(Tabella!$G$1,MATCH(J319,Tabella!$G:$G,0)-1,MATCH(K319,Tabella!$G$1:$AB$1,0)-1))</f>
        <v>0</v>
      </c>
      <c r="S319" s="205">
        <f ca="1">IF(ISERROR(OFFSET(Ottone!$F$1,MATCH(J319,Ottone!$A:$A,0)-1,MATCH(K319,Ottone!$F$1:$FF$1,0)-1)=TRUE),0,OFFSET(Ottone!$F$1,MATCH(J319,Ottone!$A:$A,0)-1,MATCH(K319,Ottone!$F$1:$FF$1,0)-1))*IF(G319="Ottone",1,0)</f>
        <v>0</v>
      </c>
      <c r="T319" s="205">
        <f ca="1">IF(ISERROR(OFFSET(Rame!$F$1,MATCH(J319,Rame!$F:$F,0)-1,MATCH(K319,Rame!$F$1:$FF$1,0)-1)=TRUE),0,OFFSET(Rame!$F$1,MATCH(J319,Rame!$F:$F,0)-1,MATCH(K319,Rame!$F$1:$FF$1,0)-1))*IF(G319="Rame",1,0)</f>
        <v>0</v>
      </c>
      <c r="U319" s="205">
        <f ca="1">IF(ISERROR(OFFSET(Bronzo!$A$1,MATCH(J319,Bronzo!$A:$A,0)-1,MATCH(K319,Bronzo!$A$1:$AA$1,0)-1)=TRUE),0,OFFSET(Bronzo!$A$1,MATCH(J319,Bronzo!$A:$A,0)-1,MATCH(K319,Bronzo!$A$1:$AA$1,0)-1))</f>
        <v>0</v>
      </c>
      <c r="V319" s="205">
        <f t="shared" ca="1" si="166"/>
        <v>0</v>
      </c>
      <c r="W319" s="204"/>
      <c r="X319" s="205">
        <v>0</v>
      </c>
      <c r="Y319" s="206">
        <f t="shared" ca="1" si="167"/>
        <v>0.85</v>
      </c>
      <c r="Z319" s="277">
        <f t="shared" si="168"/>
        <v>75</v>
      </c>
      <c r="AA319" s="203">
        <v>13.5</v>
      </c>
      <c r="AB319" s="203">
        <f t="shared" ca="1" si="169"/>
        <v>3.33</v>
      </c>
      <c r="AC319" s="238">
        <v>45994</v>
      </c>
      <c r="AI319" s="367">
        <f t="shared" ca="1" si="164"/>
        <v>46092</v>
      </c>
      <c r="AJ319" s="367" t="b">
        <f t="shared" si="170"/>
        <v>0</v>
      </c>
      <c r="AK319" s="370">
        <f t="shared" ca="1" si="171"/>
        <v>-98</v>
      </c>
      <c r="AN319">
        <f t="shared" si="172"/>
        <v>49</v>
      </c>
      <c r="AO319">
        <f t="shared" si="173"/>
        <v>2025</v>
      </c>
      <c r="AV319">
        <f t="shared" si="174"/>
        <v>12</v>
      </c>
      <c r="AW319">
        <f t="shared" si="175"/>
        <v>2025</v>
      </c>
    </row>
    <row r="320" spans="4:49" ht="15.75" x14ac:dyDescent="0.25">
      <c r="D320" s="199" t="s">
        <v>641</v>
      </c>
      <c r="E320" s="200" t="s">
        <v>336</v>
      </c>
      <c r="F320" s="287">
        <v>500</v>
      </c>
      <c r="G320" s="201" t="s">
        <v>6</v>
      </c>
      <c r="H320" s="219">
        <v>9.35</v>
      </c>
      <c r="I320" s="202">
        <v>45981</v>
      </c>
      <c r="J320" s="200" t="s">
        <v>18</v>
      </c>
      <c r="K320" s="200"/>
      <c r="L320" s="203">
        <v>0.15</v>
      </c>
      <c r="M320" s="204">
        <f ca="1">IF(ISERROR(OFFSET(Tabella!$A$1,MATCH(J320,Tabella!$A:$A,0)-1,MATCH(L320,Tabella!$A$1:$AC$1,0)-1)=TRUE),0,+OFFSET(Tabella!$A$1,MATCH(J320,Tabella!$A:$A,0)-1,MATCH(L320,Tabella!$A$1:$AC$1,0)-1))</f>
        <v>0</v>
      </c>
      <c r="N320" s="205">
        <f ca="1">IF(ISERROR(OFFSET(Ottone!$A$1,MATCH(J320,Ottone!$A:$A,0)-1,MATCH(L320,Ottone!$A$1:$Z$1,0)-1)=TRUE),0,OFFSET(Ottone!$A$1,MATCH(J320,Ottone!$A:$A,0)-1,MATCH(L320,Ottone!$A$1:$Z$1,0)-1))*IF(G320="Ottone",1,0)</f>
        <v>0</v>
      </c>
      <c r="O320" s="205">
        <f ca="1">IF(ISERROR(OFFSET(Rame!$A$1,MATCH(J320,Rame!$A:$A,0)-1,MATCH(L320,Rame!$A$1:$AA$1,0)-1)=TRUE),0,OFFSET(Rame!$A$1,MATCH(J320,Rame!$A:$A,0)-1,MATCH(L320,Rame!$A$1:$AA$1,0)-1))*IF(G320="Rame",1,0)</f>
        <v>0.82</v>
      </c>
      <c r="P320" s="205">
        <v>0</v>
      </c>
      <c r="Q320" s="205">
        <f t="shared" ca="1" si="165"/>
        <v>0.82</v>
      </c>
      <c r="R320" s="205">
        <f ca="1">+IF(ISERROR(OFFSET(Tabella!$G$1,MATCH(J320,Tabella!$G:$G,0)-1,MATCH(K320,Tabella!$G$1:$FG$1,0)-1)=TRUE),0,OFFSET(Tabella!$G$1,MATCH(J320,Tabella!$G:$G,0)-1,MATCH(K320,Tabella!$G$1:$AB$1,0)-1))</f>
        <v>0</v>
      </c>
      <c r="S320" s="205">
        <f ca="1">IF(ISERROR(OFFSET(Ottone!$F$1,MATCH(J320,Ottone!$A:$A,0)-1,MATCH(K320,Ottone!$F$1:$FF$1,0)-1)=TRUE),0,OFFSET(Ottone!$F$1,MATCH(J320,Ottone!$A:$A,0)-1,MATCH(K320,Ottone!$F$1:$FF$1,0)-1))*IF(G320="Ottone",1,0)</f>
        <v>0</v>
      </c>
      <c r="T320" s="205">
        <f ca="1">IF(ISERROR(OFFSET(Rame!$F$1,MATCH(J320,Rame!$F:$F,0)-1,MATCH(K320,Rame!$F$1:$FF$1,0)-1)=TRUE),0,OFFSET(Rame!$F$1,MATCH(J320,Rame!$F:$F,0)-1,MATCH(K320,Rame!$F$1:$FF$1,0)-1))*IF(G320="Rame",1,0)</f>
        <v>0</v>
      </c>
      <c r="U320" s="205">
        <f ca="1">IF(ISERROR(OFFSET(Bronzo!$A$1,MATCH(J320,Bronzo!$A:$A,0)-1,MATCH(K320,Bronzo!$A$1:$AA$1,0)-1)=TRUE),0,OFFSET(Bronzo!$A$1,MATCH(J320,Bronzo!$A:$A,0)-1,MATCH(K320,Bronzo!$A$1:$AA$1,0)-1))</f>
        <v>0</v>
      </c>
      <c r="V320" s="205">
        <f t="shared" ca="1" si="166"/>
        <v>0</v>
      </c>
      <c r="W320" s="204"/>
      <c r="X320" s="205">
        <v>0</v>
      </c>
      <c r="Y320" s="206">
        <f t="shared" ca="1" si="167"/>
        <v>0.82</v>
      </c>
      <c r="Z320" s="277">
        <f t="shared" si="168"/>
        <v>75</v>
      </c>
      <c r="AA320" s="203">
        <v>13.5</v>
      </c>
      <c r="AB320" s="203">
        <f t="shared" ca="1" si="169"/>
        <v>3.33</v>
      </c>
      <c r="AC320" s="238">
        <v>45994</v>
      </c>
      <c r="AI320" s="367">
        <f t="shared" ref="AI320:AI383" ca="1" si="176">TODAY()</f>
        <v>46092</v>
      </c>
      <c r="AJ320" s="367" t="b">
        <f t="shared" si="170"/>
        <v>0</v>
      </c>
      <c r="AK320" s="370">
        <f t="shared" ca="1" si="171"/>
        <v>-98</v>
      </c>
      <c r="AN320">
        <f t="shared" si="172"/>
        <v>49</v>
      </c>
      <c r="AO320">
        <f t="shared" si="173"/>
        <v>2025</v>
      </c>
      <c r="AV320">
        <f t="shared" si="174"/>
        <v>12</v>
      </c>
      <c r="AW320">
        <f t="shared" si="175"/>
        <v>2025</v>
      </c>
    </row>
    <row r="321" spans="4:49" ht="15.75" x14ac:dyDescent="0.25">
      <c r="D321" s="199"/>
      <c r="E321" s="200" t="s">
        <v>330</v>
      </c>
      <c r="F321" s="287">
        <v>1125</v>
      </c>
      <c r="G321" s="201" t="s">
        <v>4</v>
      </c>
      <c r="H321" s="381">
        <v>1.6</v>
      </c>
      <c r="I321" s="202">
        <v>45979</v>
      </c>
      <c r="J321" s="200" t="s">
        <v>22</v>
      </c>
      <c r="K321" s="200"/>
      <c r="L321" s="203">
        <v>7.0000000000000007E-2</v>
      </c>
      <c r="M321" s="204">
        <f ca="1">IF(ISERROR(OFFSET(Tabella!$A$1,MATCH(J321,Tabella!$A:$A,0)-1,MATCH(L321,Tabella!$A$1:$AC$1,0)-1)=TRUE),0,+OFFSET(Tabella!$A$1,MATCH(J321,Tabella!$A:$A,0)-1,MATCH(L321,Tabella!$A$1:$AC$1,0)-1))</f>
        <v>1.25</v>
      </c>
      <c r="N321" s="205">
        <f ca="1">IF(ISERROR(OFFSET(Ottone!$A$1,MATCH(J321,Ottone!$A:$A,0)-1,MATCH(L321,Ottone!$A$1:$Z$1,0)-1)=TRUE),0,OFFSET(Ottone!$A$1,MATCH(J321,Ottone!$A:$A,0)-1,MATCH(L321,Ottone!$A$1:$Z$1,0)-1))*IF(G321="Ottone",1,0)</f>
        <v>0</v>
      </c>
      <c r="O321" s="205">
        <f ca="1">IF(ISERROR(OFFSET(Rame!$A$1,MATCH(J321,Rame!$A:$A,0)-1,MATCH(L321,Rame!$A$1:$AA$1,0)-1)=TRUE),0,OFFSET(Rame!$A$1,MATCH(J321,Rame!$A:$A,0)-1,MATCH(L321,Rame!$A$1:$AA$1,0)-1))*IF(G321="Rame",1,0)</f>
        <v>0</v>
      </c>
      <c r="P321" s="205">
        <v>0</v>
      </c>
      <c r="Q321" s="205">
        <f t="shared" ca="1" si="165"/>
        <v>1.25</v>
      </c>
      <c r="R321" s="205">
        <f ca="1">+IF(ISERROR(OFFSET(Tabella!$G$1,MATCH(J321,Tabella!$G:$G,0)-1,MATCH(K321,Tabella!$G$1:$FG$1,0)-1)=TRUE),0,OFFSET(Tabella!$G$1,MATCH(J321,Tabella!$G:$G,0)-1,MATCH(K321,Tabella!$G$1:$AB$1,0)-1))</f>
        <v>0</v>
      </c>
      <c r="S321" s="205">
        <f ca="1">IF(ISERROR(OFFSET(Ottone!$F$1,MATCH(J321,Ottone!$A:$A,0)-1,MATCH(K321,Ottone!$F$1:$FF$1,0)-1)=TRUE),0,OFFSET(Ottone!$F$1,MATCH(J321,Ottone!$A:$A,0)-1,MATCH(K321,Ottone!$F$1:$FF$1,0)-1))*IF(G321="Ottone",1,0)</f>
        <v>0</v>
      </c>
      <c r="T321" s="205">
        <f ca="1">IF(ISERROR(OFFSET(Rame!$F$1,MATCH(J321,Rame!$F:$F,0)-1,MATCH(K321,Rame!$F$1:$FF$1,0)-1)=TRUE),0,OFFSET(Rame!$F$1,MATCH(J321,Rame!$F:$F,0)-1,MATCH(K321,Rame!$F$1:$FF$1,0)-1))*IF(G321="Rame",1,0)</f>
        <v>0</v>
      </c>
      <c r="U321" s="205">
        <f ca="1">IF(ISERROR(OFFSET(Bronzo!$A$1,MATCH(J321,Bronzo!$A:$A,0)-1,MATCH(K321,Bronzo!$A$1:$AA$1,0)-1)=TRUE),0,OFFSET(Bronzo!$A$1,MATCH(J321,Bronzo!$A:$A,0)-1,MATCH(K321,Bronzo!$A$1:$AA$1,0)-1))</f>
        <v>0</v>
      </c>
      <c r="V321" s="205">
        <f t="shared" ca="1" si="166"/>
        <v>0</v>
      </c>
      <c r="W321" s="204"/>
      <c r="X321" s="205">
        <v>0</v>
      </c>
      <c r="Y321" s="206">
        <f t="shared" ca="1" si="167"/>
        <v>1.25</v>
      </c>
      <c r="Z321" s="277">
        <f t="shared" si="168"/>
        <v>78.750000000000014</v>
      </c>
      <c r="AA321" s="382">
        <v>1.6</v>
      </c>
      <c r="AB321" s="203">
        <f t="shared" ca="1" si="169"/>
        <v>-1.25</v>
      </c>
      <c r="AC321" s="238">
        <v>46057</v>
      </c>
      <c r="AI321" s="367">
        <f t="shared" ca="1" si="176"/>
        <v>46092</v>
      </c>
      <c r="AJ321" s="367" t="b">
        <f t="shared" si="170"/>
        <v>0</v>
      </c>
      <c r="AK321" s="370">
        <f t="shared" ca="1" si="171"/>
        <v>-35</v>
      </c>
      <c r="AN321">
        <f t="shared" si="172"/>
        <v>6</v>
      </c>
      <c r="AO321">
        <f t="shared" si="173"/>
        <v>2026</v>
      </c>
      <c r="AV321">
        <f t="shared" si="174"/>
        <v>2</v>
      </c>
      <c r="AW321">
        <f t="shared" si="175"/>
        <v>2026</v>
      </c>
    </row>
    <row r="322" spans="4:49" ht="15.75" x14ac:dyDescent="0.25">
      <c r="D322" s="199"/>
      <c r="E322" s="200" t="s">
        <v>330</v>
      </c>
      <c r="F322" s="287">
        <v>1200</v>
      </c>
      <c r="G322" s="201" t="s">
        <v>4</v>
      </c>
      <c r="H322" s="381">
        <v>1.6</v>
      </c>
      <c r="I322" s="202">
        <v>45979</v>
      </c>
      <c r="J322" s="200" t="s">
        <v>310</v>
      </c>
      <c r="K322" s="200"/>
      <c r="L322" s="203">
        <v>7.0000000000000007E-2</v>
      </c>
      <c r="M322" s="204">
        <f ca="1">IF(ISERROR(OFFSET(Tabella!$A$1,MATCH(J322,Tabella!$A:$A,0)-1,MATCH(L322,Tabella!$A$1:$AC$1,0)-1)=TRUE),0,+OFFSET(Tabella!$A$1,MATCH(J322,Tabella!$A:$A,0)-1,MATCH(L322,Tabella!$A$1:$AC$1,0)-1))</f>
        <v>1.25</v>
      </c>
      <c r="N322" s="205">
        <f ca="1">IF(ISERROR(OFFSET(Ottone!$A$1,MATCH(J322,Ottone!$A:$A,0)-1,MATCH(L322,Ottone!$A$1:$Z$1,0)-1)=TRUE),0,OFFSET(Ottone!$A$1,MATCH(J322,Ottone!$A:$A,0)-1,MATCH(L322,Ottone!$A$1:$Z$1,0)-1))*IF(G322="Ottone",1,0)</f>
        <v>0</v>
      </c>
      <c r="O322" s="205">
        <f ca="1">IF(ISERROR(OFFSET(Rame!$A$1,MATCH(J322,Rame!$A:$A,0)-1,MATCH(L322,Rame!$A$1:$AA$1,0)-1)=TRUE),0,OFFSET(Rame!$A$1,MATCH(J322,Rame!$A:$A,0)-1,MATCH(L322,Rame!$A$1:$AA$1,0)-1))*IF(G322="Rame",1,0)</f>
        <v>0</v>
      </c>
      <c r="P322" s="205">
        <v>0</v>
      </c>
      <c r="Q322" s="205">
        <f t="shared" ca="1" si="165"/>
        <v>1.25</v>
      </c>
      <c r="R322" s="205">
        <f ca="1">+IF(ISERROR(OFFSET(Tabella!$G$1,MATCH(J322,Tabella!$G:$G,0)-1,MATCH(K322,Tabella!$G$1:$FG$1,0)-1)=TRUE),0,OFFSET(Tabella!$G$1,MATCH(J322,Tabella!$G:$G,0)-1,MATCH(K322,Tabella!$G$1:$AB$1,0)-1))</f>
        <v>0</v>
      </c>
      <c r="S322" s="205">
        <f ca="1">IF(ISERROR(OFFSET(Ottone!$F$1,MATCH(J322,Ottone!$A:$A,0)-1,MATCH(K322,Ottone!$F$1:$FF$1,0)-1)=TRUE),0,OFFSET(Ottone!$F$1,MATCH(J322,Ottone!$A:$A,0)-1,MATCH(K322,Ottone!$F$1:$FF$1,0)-1))*IF(G322="Ottone",1,0)</f>
        <v>0</v>
      </c>
      <c r="T322" s="205">
        <f ca="1">IF(ISERROR(OFFSET(Rame!$F$1,MATCH(J322,Rame!$F:$F,0)-1,MATCH(K322,Rame!$F$1:$FF$1,0)-1)=TRUE),0,OFFSET(Rame!$F$1,MATCH(J322,Rame!$F:$F,0)-1,MATCH(K322,Rame!$F$1:$FF$1,0)-1))*IF(G322="Rame",1,0)</f>
        <v>0</v>
      </c>
      <c r="U322" s="205">
        <f ca="1">IF(ISERROR(OFFSET(Bronzo!$A$1,MATCH(J322,Bronzo!$A:$A,0)-1,MATCH(K322,Bronzo!$A$1:$AA$1,0)-1)=TRUE),0,OFFSET(Bronzo!$A$1,MATCH(J322,Bronzo!$A:$A,0)-1,MATCH(K322,Bronzo!$A$1:$AA$1,0)-1))</f>
        <v>0</v>
      </c>
      <c r="V322" s="205">
        <f t="shared" ca="1" si="166"/>
        <v>0</v>
      </c>
      <c r="W322" s="204"/>
      <c r="X322" s="205">
        <v>0</v>
      </c>
      <c r="Y322" s="206">
        <f t="shared" ca="1" si="167"/>
        <v>1.25</v>
      </c>
      <c r="Z322" s="277">
        <f t="shared" si="168"/>
        <v>84.000000000000014</v>
      </c>
      <c r="AA322" s="382">
        <v>1.6</v>
      </c>
      <c r="AB322" s="203">
        <f t="shared" ca="1" si="169"/>
        <v>-1.25</v>
      </c>
      <c r="AC322" s="238">
        <v>46059</v>
      </c>
      <c r="AI322" s="367">
        <f t="shared" ca="1" si="176"/>
        <v>46092</v>
      </c>
      <c r="AJ322" s="367" t="b">
        <f t="shared" si="170"/>
        <v>0</v>
      </c>
      <c r="AK322" s="370">
        <f t="shared" ca="1" si="171"/>
        <v>-33</v>
      </c>
      <c r="AN322">
        <f t="shared" si="172"/>
        <v>6</v>
      </c>
      <c r="AO322">
        <f t="shared" si="173"/>
        <v>2026</v>
      </c>
      <c r="AV322">
        <f t="shared" si="174"/>
        <v>2</v>
      </c>
      <c r="AW322">
        <f t="shared" si="175"/>
        <v>2026</v>
      </c>
    </row>
    <row r="323" spans="4:49" ht="15.75" x14ac:dyDescent="0.25">
      <c r="D323" s="199"/>
      <c r="E323" s="200" t="s">
        <v>330</v>
      </c>
      <c r="F323" s="287">
        <v>1200</v>
      </c>
      <c r="G323" s="201" t="s">
        <v>4</v>
      </c>
      <c r="H323" s="381">
        <v>1.6</v>
      </c>
      <c r="I323" s="202">
        <v>45979</v>
      </c>
      <c r="J323" s="200" t="s">
        <v>310</v>
      </c>
      <c r="K323" s="200"/>
      <c r="L323" s="203">
        <v>7.0000000000000007E-2</v>
      </c>
      <c r="M323" s="204">
        <f ca="1">IF(ISERROR(OFFSET(Tabella!$A$1,MATCH(J323,Tabella!$A:$A,0)-1,MATCH(L323,Tabella!$A$1:$AC$1,0)-1)=TRUE),0,+OFFSET(Tabella!$A$1,MATCH(J323,Tabella!$A:$A,0)-1,MATCH(L323,Tabella!$A$1:$AC$1,0)-1))</f>
        <v>1.25</v>
      </c>
      <c r="N323" s="205">
        <f ca="1">IF(ISERROR(OFFSET(Ottone!$A$1,MATCH(J323,Ottone!$A:$A,0)-1,MATCH(L323,Ottone!$A$1:$Z$1,0)-1)=TRUE),0,OFFSET(Ottone!$A$1,MATCH(J323,Ottone!$A:$A,0)-1,MATCH(L323,Ottone!$A$1:$Z$1,0)-1))*IF(G323="Ottone",1,0)</f>
        <v>0</v>
      </c>
      <c r="O323" s="205">
        <f ca="1">IF(ISERROR(OFFSET(Rame!$A$1,MATCH(J323,Rame!$A:$A,0)-1,MATCH(L323,Rame!$A$1:$AA$1,0)-1)=TRUE),0,OFFSET(Rame!$A$1,MATCH(J323,Rame!$A:$A,0)-1,MATCH(L323,Rame!$A$1:$AA$1,0)-1))*IF(G323="Rame",1,0)</f>
        <v>0</v>
      </c>
      <c r="P323" s="205">
        <v>0</v>
      </c>
      <c r="Q323" s="205">
        <f t="shared" ca="1" si="165"/>
        <v>1.25</v>
      </c>
      <c r="R323" s="205">
        <f ca="1">+IF(ISERROR(OFFSET(Tabella!$G$1,MATCH(J323,Tabella!$G:$G,0)-1,MATCH(K323,Tabella!$G$1:$FG$1,0)-1)=TRUE),0,OFFSET(Tabella!$G$1,MATCH(J323,Tabella!$G:$G,0)-1,MATCH(K323,Tabella!$G$1:$AB$1,0)-1))</f>
        <v>0</v>
      </c>
      <c r="S323" s="205">
        <f ca="1">IF(ISERROR(OFFSET(Ottone!$F$1,MATCH(J323,Ottone!$A:$A,0)-1,MATCH(K323,Ottone!$F$1:$FF$1,0)-1)=TRUE),0,OFFSET(Ottone!$F$1,MATCH(J323,Ottone!$A:$A,0)-1,MATCH(K323,Ottone!$F$1:$FF$1,0)-1))*IF(G323="Ottone",1,0)</f>
        <v>0</v>
      </c>
      <c r="T323" s="205">
        <f ca="1">IF(ISERROR(OFFSET(Rame!$F$1,MATCH(J323,Rame!$F:$F,0)-1,MATCH(K323,Rame!$F$1:$FF$1,0)-1)=TRUE),0,OFFSET(Rame!$F$1,MATCH(J323,Rame!$F:$F,0)-1,MATCH(K323,Rame!$F$1:$FF$1,0)-1))*IF(G323="Rame",1,0)</f>
        <v>0</v>
      </c>
      <c r="U323" s="205">
        <f ca="1">IF(ISERROR(OFFSET(Bronzo!$A$1,MATCH(J323,Bronzo!$A:$A,0)-1,MATCH(K323,Bronzo!$A$1:$AA$1,0)-1)=TRUE),0,OFFSET(Bronzo!$A$1,MATCH(J323,Bronzo!$A:$A,0)-1,MATCH(K323,Bronzo!$A$1:$AA$1,0)-1))</f>
        <v>0</v>
      </c>
      <c r="V323" s="205">
        <f t="shared" ca="1" si="166"/>
        <v>0</v>
      </c>
      <c r="W323" s="204"/>
      <c r="X323" s="205">
        <v>0</v>
      </c>
      <c r="Y323" s="206">
        <f t="shared" ca="1" si="167"/>
        <v>1.25</v>
      </c>
      <c r="Z323" s="277">
        <f t="shared" si="168"/>
        <v>84.000000000000014</v>
      </c>
      <c r="AA323" s="382">
        <v>1.6</v>
      </c>
      <c r="AB323" s="203">
        <f t="shared" ca="1" si="169"/>
        <v>-1.25</v>
      </c>
      <c r="AC323" s="238">
        <v>46091</v>
      </c>
      <c r="AI323" s="367">
        <f t="shared" ca="1" si="176"/>
        <v>46092</v>
      </c>
      <c r="AJ323" s="367" t="b">
        <f t="shared" si="170"/>
        <v>0</v>
      </c>
      <c r="AK323" s="370">
        <f t="shared" ca="1" si="171"/>
        <v>-1</v>
      </c>
      <c r="AN323">
        <f t="shared" si="172"/>
        <v>11</v>
      </c>
      <c r="AO323">
        <f t="shared" si="173"/>
        <v>2026</v>
      </c>
      <c r="AV323">
        <f t="shared" si="174"/>
        <v>3</v>
      </c>
      <c r="AW323">
        <f t="shared" si="175"/>
        <v>2026</v>
      </c>
    </row>
    <row r="324" spans="4:49" ht="15.75" x14ac:dyDescent="0.25">
      <c r="D324" s="199"/>
      <c r="E324" s="200" t="s">
        <v>330</v>
      </c>
      <c r="F324" s="287">
        <v>400</v>
      </c>
      <c r="G324" s="201" t="s">
        <v>4</v>
      </c>
      <c r="H324" s="381">
        <v>1.6</v>
      </c>
      <c r="I324" s="202">
        <v>45979</v>
      </c>
      <c r="J324" s="200" t="s">
        <v>25</v>
      </c>
      <c r="K324" s="200"/>
      <c r="L324" s="203">
        <v>7.0000000000000007E-2</v>
      </c>
      <c r="M324" s="204">
        <f ca="1">IF(ISERROR(OFFSET(Tabella!$A$1,MATCH(J324,Tabella!$A:$A,0)-1,MATCH(L324,Tabella!$A$1:$AC$1,0)-1)=TRUE),0,+OFFSET(Tabella!$A$1,MATCH(J324,Tabella!$A:$A,0)-1,MATCH(L324,Tabella!$A$1:$AC$1,0)-1))</f>
        <v>1.25</v>
      </c>
      <c r="N324" s="205">
        <f ca="1">IF(ISERROR(OFFSET(Ottone!$A$1,MATCH(J324,Ottone!$A:$A,0)-1,MATCH(L324,Ottone!$A$1:$Z$1,0)-1)=TRUE),0,OFFSET(Ottone!$A$1,MATCH(J324,Ottone!$A:$A,0)-1,MATCH(L324,Ottone!$A$1:$Z$1,0)-1))*IF(G324="Ottone",1,0)</f>
        <v>0</v>
      </c>
      <c r="O324" s="205">
        <f ca="1">IF(ISERROR(OFFSET(Rame!$A$1,MATCH(J324,Rame!$A:$A,0)-1,MATCH(L324,Rame!$A$1:$AA$1,0)-1)=TRUE),0,OFFSET(Rame!$A$1,MATCH(J324,Rame!$A:$A,0)-1,MATCH(L324,Rame!$A$1:$AA$1,0)-1))*IF(G324="Rame",1,0)</f>
        <v>0</v>
      </c>
      <c r="P324" s="205">
        <v>0</v>
      </c>
      <c r="Q324" s="205">
        <f t="shared" ca="1" si="165"/>
        <v>1.25</v>
      </c>
      <c r="R324" s="205">
        <f ca="1">+IF(ISERROR(OFFSET(Tabella!$G$1,MATCH(J324,Tabella!$G:$G,0)-1,MATCH(K324,Tabella!$G$1:$FG$1,0)-1)=TRUE),0,OFFSET(Tabella!$G$1,MATCH(J324,Tabella!$G:$G,0)-1,MATCH(K324,Tabella!$G$1:$AB$1,0)-1))</f>
        <v>0</v>
      </c>
      <c r="S324" s="205">
        <f ca="1">IF(ISERROR(OFFSET(Ottone!$F$1,MATCH(J324,Ottone!$A:$A,0)-1,MATCH(K324,Ottone!$F$1:$FF$1,0)-1)=TRUE),0,OFFSET(Ottone!$F$1,MATCH(J324,Ottone!$A:$A,0)-1,MATCH(K324,Ottone!$F$1:$FF$1,0)-1))*IF(G324="Ottone",1,0)</f>
        <v>0</v>
      </c>
      <c r="T324" s="205">
        <f ca="1">IF(ISERROR(OFFSET(Rame!$F$1,MATCH(J324,Rame!$F:$F,0)-1,MATCH(K324,Rame!$F$1:$FF$1,0)-1)=TRUE),0,OFFSET(Rame!$F$1,MATCH(J324,Rame!$F:$F,0)-1,MATCH(K324,Rame!$F$1:$FF$1,0)-1))*IF(G324="Rame",1,0)</f>
        <v>0</v>
      </c>
      <c r="U324" s="205">
        <f ca="1">IF(ISERROR(OFFSET(Bronzo!$A$1,MATCH(J324,Bronzo!$A:$A,0)-1,MATCH(K324,Bronzo!$A$1:$AA$1,0)-1)=TRUE),0,OFFSET(Bronzo!$A$1,MATCH(J324,Bronzo!$A:$A,0)-1,MATCH(K324,Bronzo!$A$1:$AA$1,0)-1))</f>
        <v>0</v>
      </c>
      <c r="V324" s="205">
        <f t="shared" ca="1" si="166"/>
        <v>0</v>
      </c>
      <c r="W324" s="204"/>
      <c r="X324" s="205">
        <v>0</v>
      </c>
      <c r="Y324" s="206">
        <f t="shared" ca="1" si="167"/>
        <v>1.25</v>
      </c>
      <c r="Z324" s="277">
        <f t="shared" si="168"/>
        <v>28.000000000000004</v>
      </c>
      <c r="AA324" s="382">
        <v>1.6</v>
      </c>
      <c r="AB324" s="203">
        <f t="shared" ca="1" si="169"/>
        <v>-1.25</v>
      </c>
      <c r="AC324" s="238">
        <v>46036</v>
      </c>
      <c r="AI324" s="367">
        <f t="shared" ca="1" si="176"/>
        <v>46092</v>
      </c>
      <c r="AJ324" s="367" t="b">
        <f t="shared" si="170"/>
        <v>0</v>
      </c>
      <c r="AK324" s="370">
        <f t="shared" ca="1" si="171"/>
        <v>-56</v>
      </c>
      <c r="AN324">
        <f t="shared" si="172"/>
        <v>3</v>
      </c>
      <c r="AO324">
        <f t="shared" si="173"/>
        <v>2026</v>
      </c>
      <c r="AV324">
        <f t="shared" si="174"/>
        <v>1</v>
      </c>
      <c r="AW324">
        <f t="shared" si="175"/>
        <v>2026</v>
      </c>
    </row>
    <row r="325" spans="4:49" ht="15.75" x14ac:dyDescent="0.25">
      <c r="D325" s="199"/>
      <c r="E325" s="200" t="s">
        <v>238</v>
      </c>
      <c r="F325" s="287">
        <v>400</v>
      </c>
      <c r="G325" s="201" t="s">
        <v>4</v>
      </c>
      <c r="H325" s="219">
        <v>2.4500000000000002</v>
      </c>
      <c r="I325" s="202">
        <v>45958</v>
      </c>
      <c r="J325" s="200" t="s">
        <v>9</v>
      </c>
      <c r="K325" s="200"/>
      <c r="L325" s="203">
        <v>7.0000000000000007E-2</v>
      </c>
      <c r="M325" s="204">
        <f ca="1">IF(ISERROR(OFFSET(Tabella!$A$1,MATCH(J325,Tabella!$A:$A,0)-1,MATCH(L325,Tabella!$A$1:$AC$1,0)-1)=TRUE),0,+OFFSET(Tabella!$A$1,MATCH(J325,Tabella!$A:$A,0)-1,MATCH(L325,Tabella!$A$1:$AC$1,0)-1))</f>
        <v>1.6</v>
      </c>
      <c r="N325" s="205">
        <f ca="1">IF(ISERROR(OFFSET(Ottone!$A$1,MATCH(J325,Ottone!$A:$A,0)-1,MATCH(L325,Ottone!$A$1:$Z$1,0)-1)=TRUE),0,OFFSET(Ottone!$A$1,MATCH(J325,Ottone!$A:$A,0)-1,MATCH(L325,Ottone!$A$1:$Z$1,0)-1))*IF(G325="Ottone",1,0)</f>
        <v>0</v>
      </c>
      <c r="O325" s="205">
        <f ca="1">IF(ISERROR(OFFSET(Rame!$A$1,MATCH(J325,Rame!$A:$A,0)-1,MATCH(L325,Rame!$A$1:$AA$1,0)-1)=TRUE),0,OFFSET(Rame!$A$1,MATCH(J325,Rame!$A:$A,0)-1,MATCH(L325,Rame!$A$1:$AA$1,0)-1))*IF(G325="Rame",1,0)</f>
        <v>0</v>
      </c>
      <c r="P325" s="205">
        <v>0</v>
      </c>
      <c r="Q325" s="205">
        <f t="shared" ca="1" si="165"/>
        <v>1.6</v>
      </c>
      <c r="R325" s="205">
        <f ca="1">+IF(ISERROR(OFFSET(Tabella!$G$1,MATCH(J325,Tabella!$G:$G,0)-1,MATCH(K325,Tabella!$G$1:$FG$1,0)-1)=TRUE),0,OFFSET(Tabella!$G$1,MATCH(J325,Tabella!$G:$G,0)-1,MATCH(K325,Tabella!$G$1:$AB$1,0)-1))</f>
        <v>0</v>
      </c>
      <c r="S325" s="205">
        <f ca="1">IF(ISERROR(OFFSET(Ottone!$F$1,MATCH(J325,Ottone!$A:$A,0)-1,MATCH(K325,Ottone!$F$1:$FF$1,0)-1)=TRUE),0,OFFSET(Ottone!$F$1,MATCH(J325,Ottone!$A:$A,0)-1,MATCH(K325,Ottone!$F$1:$FF$1,0)-1))*IF(G325="Ottone",1,0)</f>
        <v>0</v>
      </c>
      <c r="T325" s="205">
        <f ca="1">IF(ISERROR(OFFSET(Rame!$F$1,MATCH(J325,Rame!$F:$F,0)-1,MATCH(K325,Rame!$F$1:$FF$1,0)-1)=TRUE),0,OFFSET(Rame!$F$1,MATCH(J325,Rame!$F:$F,0)-1,MATCH(K325,Rame!$F$1:$FF$1,0)-1))*IF(G325="Rame",1,0)</f>
        <v>0</v>
      </c>
      <c r="U325" s="205">
        <f ca="1">IF(ISERROR(OFFSET(Bronzo!$A$1,MATCH(J325,Bronzo!$A:$A,0)-1,MATCH(K325,Bronzo!$A$1:$AA$1,0)-1)=TRUE),0,OFFSET(Bronzo!$A$1,MATCH(J325,Bronzo!$A:$A,0)-1,MATCH(K325,Bronzo!$A$1:$AA$1,0)-1))</f>
        <v>0</v>
      </c>
      <c r="V325" s="205">
        <f t="shared" ca="1" si="166"/>
        <v>0</v>
      </c>
      <c r="W325" s="204"/>
      <c r="X325" s="205">
        <v>0</v>
      </c>
      <c r="Y325" s="206">
        <f t="shared" ca="1" si="167"/>
        <v>1.6</v>
      </c>
      <c r="Z325" s="277">
        <f t="shared" si="168"/>
        <v>28.000000000000004</v>
      </c>
      <c r="AA325" s="203">
        <v>4.1500000000000004</v>
      </c>
      <c r="AB325" s="203">
        <f t="shared" ca="1" si="169"/>
        <v>0.10000000000000009</v>
      </c>
      <c r="AC325" s="238">
        <v>46003</v>
      </c>
      <c r="AI325" s="367">
        <f t="shared" ca="1" si="176"/>
        <v>46092</v>
      </c>
      <c r="AJ325" s="367" t="b">
        <f t="shared" si="170"/>
        <v>0</v>
      </c>
      <c r="AK325" s="370">
        <f t="shared" ca="1" si="171"/>
        <v>-89</v>
      </c>
      <c r="AN325">
        <f t="shared" si="172"/>
        <v>50</v>
      </c>
      <c r="AO325">
        <f t="shared" si="173"/>
        <v>2025</v>
      </c>
      <c r="AV325">
        <f t="shared" si="174"/>
        <v>12</v>
      </c>
      <c r="AW325">
        <f t="shared" si="175"/>
        <v>2025</v>
      </c>
    </row>
    <row r="326" spans="4:49" ht="15.75" x14ac:dyDescent="0.25">
      <c r="D326" s="199"/>
      <c r="E326" s="200" t="s">
        <v>402</v>
      </c>
      <c r="F326" s="287">
        <v>400</v>
      </c>
      <c r="G326" s="201" t="s">
        <v>6</v>
      </c>
      <c r="H326" s="219">
        <v>9.34</v>
      </c>
      <c r="I326" s="202">
        <v>45985</v>
      </c>
      <c r="J326" s="200" t="s">
        <v>14</v>
      </c>
      <c r="K326" s="200"/>
      <c r="L326" s="203">
        <v>0.15</v>
      </c>
      <c r="M326" s="204">
        <f ca="1">IF(ISERROR(OFFSET(Tabella!$A$1,MATCH(J326,Tabella!$A:$A,0)-1,MATCH(L326,Tabella!$A$1:$AC$1,0)-1)=TRUE),0,+OFFSET(Tabella!$A$1,MATCH(J326,Tabella!$A:$A,0)-1,MATCH(L326,Tabella!$A$1:$AC$1,0)-1))</f>
        <v>0</v>
      </c>
      <c r="N326" s="205">
        <f ca="1">IF(ISERROR(OFFSET(Ottone!$A$1,MATCH(J326,Ottone!$A:$A,0)-1,MATCH(L326,Ottone!$A$1:$Z$1,0)-1)=TRUE),0,OFFSET(Ottone!$A$1,MATCH(J326,Ottone!$A:$A,0)-1,MATCH(L326,Ottone!$A$1:$Z$1,0)-1))*IF(G326="Ottone",1,0)</f>
        <v>0</v>
      </c>
      <c r="O326" s="205">
        <f ca="1">IF(ISERROR(OFFSET(Rame!$A$1,MATCH(J326,Rame!$A:$A,0)-1,MATCH(L326,Rame!$A$1:$AA$1,0)-1)=TRUE),0,OFFSET(Rame!$A$1,MATCH(J326,Rame!$A:$A,0)-1,MATCH(L326,Rame!$A$1:$AA$1,0)-1))*IF(G326="Rame",1,0)</f>
        <v>1</v>
      </c>
      <c r="P326" s="205">
        <v>0</v>
      </c>
      <c r="Q326" s="205">
        <f t="shared" ca="1" si="165"/>
        <v>1</v>
      </c>
      <c r="R326" s="205">
        <f ca="1">+IF(ISERROR(OFFSET(Tabella!$G$1,MATCH(J326,Tabella!$G:$G,0)-1,MATCH(K326,Tabella!$G$1:$FG$1,0)-1)=TRUE),0,OFFSET(Tabella!$G$1,MATCH(J326,Tabella!$G:$G,0)-1,MATCH(K326,Tabella!$G$1:$AB$1,0)-1))</f>
        <v>0</v>
      </c>
      <c r="S326" s="205">
        <f ca="1">IF(ISERROR(OFFSET(Ottone!$F$1,MATCH(J326,Ottone!$A:$A,0)-1,MATCH(K326,Ottone!$F$1:$FF$1,0)-1)=TRUE),0,OFFSET(Ottone!$F$1,MATCH(J326,Ottone!$A:$A,0)-1,MATCH(K326,Ottone!$F$1:$FF$1,0)-1))*IF(G326="Ottone",1,0)</f>
        <v>0</v>
      </c>
      <c r="T326" s="205">
        <f ca="1">IF(ISERROR(OFFSET(Rame!$F$1,MATCH(J326,Rame!$F:$F,0)-1,MATCH(K326,Rame!$F$1:$FF$1,0)-1)=TRUE),0,OFFSET(Rame!$F$1,MATCH(J326,Rame!$F:$F,0)-1,MATCH(K326,Rame!$F$1:$FF$1,0)-1))*IF(G326="Rame",1,0)</f>
        <v>0</v>
      </c>
      <c r="U326" s="205">
        <f ca="1">IF(ISERROR(OFFSET(Bronzo!$A$1,MATCH(J326,Bronzo!$A:$A,0)-1,MATCH(K326,Bronzo!$A$1:$AA$1,0)-1)=TRUE),0,OFFSET(Bronzo!$A$1,MATCH(J326,Bronzo!$A:$A,0)-1,MATCH(K326,Bronzo!$A$1:$AA$1,0)-1))</f>
        <v>0</v>
      </c>
      <c r="V326" s="205">
        <f t="shared" ca="1" si="166"/>
        <v>0</v>
      </c>
      <c r="W326" s="204"/>
      <c r="X326" s="205">
        <v>0</v>
      </c>
      <c r="Y326" s="206">
        <f t="shared" ca="1" si="167"/>
        <v>1</v>
      </c>
      <c r="Z326" s="277">
        <f t="shared" si="168"/>
        <v>60</v>
      </c>
      <c r="AA326" s="203">
        <v>12.95</v>
      </c>
      <c r="AB326" s="203">
        <f t="shared" ca="1" si="169"/>
        <v>2.6099999999999994</v>
      </c>
      <c r="AC326" s="238">
        <v>46003</v>
      </c>
      <c r="AI326" s="367">
        <f t="shared" ca="1" si="176"/>
        <v>46092</v>
      </c>
      <c r="AJ326" s="367" t="b">
        <f t="shared" si="170"/>
        <v>0</v>
      </c>
      <c r="AK326" s="370">
        <f t="shared" ca="1" si="171"/>
        <v>-89</v>
      </c>
      <c r="AN326">
        <f t="shared" si="172"/>
        <v>50</v>
      </c>
      <c r="AO326">
        <f t="shared" si="173"/>
        <v>2025</v>
      </c>
      <c r="AV326">
        <f t="shared" si="174"/>
        <v>12</v>
      </c>
      <c r="AW326">
        <f t="shared" si="175"/>
        <v>2025</v>
      </c>
    </row>
    <row r="327" spans="4:49" ht="15.75" x14ac:dyDescent="0.25">
      <c r="D327" s="199"/>
      <c r="E327" s="200" t="s">
        <v>402</v>
      </c>
      <c r="F327" s="287">
        <v>400</v>
      </c>
      <c r="G327" s="201" t="s">
        <v>6</v>
      </c>
      <c r="H327" s="219">
        <v>9.34</v>
      </c>
      <c r="I327" s="202">
        <v>45985</v>
      </c>
      <c r="J327" s="200" t="s">
        <v>14</v>
      </c>
      <c r="K327" s="200"/>
      <c r="L327" s="203">
        <v>0.15</v>
      </c>
      <c r="M327" s="204">
        <f ca="1">IF(ISERROR(OFFSET(Tabella!$A$1,MATCH(J327,Tabella!$A:$A,0)-1,MATCH(L327,Tabella!$A$1:$AC$1,0)-1)=TRUE),0,+OFFSET(Tabella!$A$1,MATCH(J327,Tabella!$A:$A,0)-1,MATCH(L327,Tabella!$A$1:$AC$1,0)-1))</f>
        <v>0</v>
      </c>
      <c r="N327" s="205">
        <f ca="1">IF(ISERROR(OFFSET(Ottone!$A$1,MATCH(J327,Ottone!$A:$A,0)-1,MATCH(L327,Ottone!$A$1:$Z$1,0)-1)=TRUE),0,OFFSET(Ottone!$A$1,MATCH(J327,Ottone!$A:$A,0)-1,MATCH(L327,Ottone!$A$1:$Z$1,0)-1))*IF(G327="Ottone",1,0)</f>
        <v>0</v>
      </c>
      <c r="O327" s="205">
        <f ca="1">IF(ISERROR(OFFSET(Rame!$A$1,MATCH(J327,Rame!$A:$A,0)-1,MATCH(L327,Rame!$A$1:$AA$1,0)-1)=TRUE),0,OFFSET(Rame!$A$1,MATCH(J327,Rame!$A:$A,0)-1,MATCH(L327,Rame!$A$1:$AA$1,0)-1))*IF(G327="Rame",1,0)</f>
        <v>1</v>
      </c>
      <c r="P327" s="205">
        <v>0</v>
      </c>
      <c r="Q327" s="205">
        <f t="shared" ca="1" si="165"/>
        <v>1</v>
      </c>
      <c r="R327" s="205">
        <f ca="1">+IF(ISERROR(OFFSET(Tabella!$G$1,MATCH(J327,Tabella!$G:$G,0)-1,MATCH(K327,Tabella!$G$1:$FG$1,0)-1)=TRUE),0,OFFSET(Tabella!$G$1,MATCH(J327,Tabella!$G:$G,0)-1,MATCH(K327,Tabella!$G$1:$AB$1,0)-1))</f>
        <v>0</v>
      </c>
      <c r="S327" s="205">
        <f ca="1">IF(ISERROR(OFFSET(Ottone!$F$1,MATCH(J327,Ottone!$A:$A,0)-1,MATCH(K327,Ottone!$F$1:$FF$1,0)-1)=TRUE),0,OFFSET(Ottone!$F$1,MATCH(J327,Ottone!$A:$A,0)-1,MATCH(K327,Ottone!$F$1:$FF$1,0)-1))*IF(G327="Ottone",1,0)</f>
        <v>0</v>
      </c>
      <c r="T327" s="205">
        <f ca="1">IF(ISERROR(OFFSET(Rame!$F$1,MATCH(J327,Rame!$F:$F,0)-1,MATCH(K327,Rame!$F$1:$FF$1,0)-1)=TRUE),0,OFFSET(Rame!$F$1,MATCH(J327,Rame!$F:$F,0)-1,MATCH(K327,Rame!$F$1:$FF$1,0)-1))*IF(G327="Rame",1,0)</f>
        <v>0</v>
      </c>
      <c r="U327" s="205">
        <f ca="1">IF(ISERROR(OFFSET(Bronzo!$A$1,MATCH(J327,Bronzo!$A:$A,0)-1,MATCH(K327,Bronzo!$A$1:$AA$1,0)-1)=TRUE),0,OFFSET(Bronzo!$A$1,MATCH(J327,Bronzo!$A:$A,0)-1,MATCH(K327,Bronzo!$A$1:$AA$1,0)-1))</f>
        <v>0</v>
      </c>
      <c r="V327" s="205">
        <f t="shared" ca="1" si="166"/>
        <v>0</v>
      </c>
      <c r="W327" s="204"/>
      <c r="X327" s="205">
        <v>0</v>
      </c>
      <c r="Y327" s="206">
        <f t="shared" ca="1" si="167"/>
        <v>1</v>
      </c>
      <c r="Z327" s="277">
        <f t="shared" si="168"/>
        <v>60</v>
      </c>
      <c r="AA327" s="203">
        <v>12.95</v>
      </c>
      <c r="AB327" s="203">
        <f t="shared" ca="1" si="169"/>
        <v>2.6099999999999994</v>
      </c>
      <c r="AC327" s="238">
        <v>46038</v>
      </c>
      <c r="AI327" s="367">
        <f t="shared" ca="1" si="176"/>
        <v>46092</v>
      </c>
      <c r="AJ327" s="367" t="b">
        <f t="shared" si="170"/>
        <v>0</v>
      </c>
      <c r="AK327" s="370">
        <f t="shared" ca="1" si="171"/>
        <v>-54</v>
      </c>
      <c r="AN327">
        <f t="shared" si="172"/>
        <v>3</v>
      </c>
      <c r="AO327">
        <f t="shared" si="173"/>
        <v>2026</v>
      </c>
      <c r="AV327">
        <f t="shared" si="174"/>
        <v>1</v>
      </c>
      <c r="AW327">
        <f t="shared" si="175"/>
        <v>2026</v>
      </c>
    </row>
    <row r="328" spans="4:49" ht="15.75" x14ac:dyDescent="0.25">
      <c r="D328" s="199"/>
      <c r="E328" s="200" t="s">
        <v>521</v>
      </c>
      <c r="F328" s="287">
        <v>900</v>
      </c>
      <c r="G328" s="201" t="s">
        <v>6</v>
      </c>
      <c r="H328" s="219">
        <v>9.34</v>
      </c>
      <c r="I328" s="202">
        <v>45985</v>
      </c>
      <c r="J328" s="200" t="s">
        <v>10</v>
      </c>
      <c r="K328" s="200"/>
      <c r="L328" s="203">
        <v>0.15</v>
      </c>
      <c r="M328" s="204">
        <f ca="1">IF(ISERROR(OFFSET(Tabella!$A$1,MATCH(J328,Tabella!$A:$A,0)-1,MATCH(L328,Tabella!$A$1:$AC$1,0)-1)=TRUE),0,+OFFSET(Tabella!$A$1,MATCH(J328,Tabella!$A:$A,0)-1,MATCH(L328,Tabella!$A$1:$AC$1,0)-1))</f>
        <v>0</v>
      </c>
      <c r="N328" s="205">
        <f ca="1">IF(ISERROR(OFFSET(Ottone!$A$1,MATCH(J328,Ottone!$A:$A,0)-1,MATCH(L328,Ottone!$A$1:$Z$1,0)-1)=TRUE),0,OFFSET(Ottone!$A$1,MATCH(J328,Ottone!$A:$A,0)-1,MATCH(L328,Ottone!$A$1:$Z$1,0)-1))*IF(G328="Ottone",1,0)</f>
        <v>0</v>
      </c>
      <c r="O328" s="205">
        <f ca="1">IF(ISERROR(OFFSET(Rame!$A$1,MATCH(J328,Rame!$A:$A,0)-1,MATCH(L328,Rame!$A$1:$AA$1,0)-1)=TRUE),0,OFFSET(Rame!$A$1,MATCH(J328,Rame!$A:$A,0)-1,MATCH(L328,Rame!$A$1:$AA$1,0)-1))*IF(G328="Rame",1,0)</f>
        <v>1.43</v>
      </c>
      <c r="P328" s="205">
        <v>0</v>
      </c>
      <c r="Q328" s="205">
        <f t="shared" ca="1" si="165"/>
        <v>1.43</v>
      </c>
      <c r="R328" s="205">
        <f ca="1">+IF(ISERROR(OFFSET(Tabella!$G$1,MATCH(J328,Tabella!$G:$G,0)-1,MATCH(K328,Tabella!$G$1:$FG$1,0)-1)=TRUE),0,OFFSET(Tabella!$G$1,MATCH(J328,Tabella!$G:$G,0)-1,MATCH(K328,Tabella!$G$1:$AB$1,0)-1))</f>
        <v>0</v>
      </c>
      <c r="S328" s="205">
        <f ca="1">IF(ISERROR(OFFSET(Ottone!$F$1,MATCH(J328,Ottone!$A:$A,0)-1,MATCH(K328,Ottone!$F$1:$FF$1,0)-1)=TRUE),0,OFFSET(Ottone!$F$1,MATCH(J328,Ottone!$A:$A,0)-1,MATCH(K328,Ottone!$F$1:$FF$1,0)-1))*IF(G328="Ottone",1,0)</f>
        <v>0</v>
      </c>
      <c r="T328" s="205">
        <f ca="1">IF(ISERROR(OFFSET(Rame!$F$1,MATCH(J328,Rame!$F:$F,0)-1,MATCH(K328,Rame!$F$1:$FF$1,0)-1)=TRUE),0,OFFSET(Rame!$F$1,MATCH(J328,Rame!$F:$F,0)-1,MATCH(K328,Rame!$F$1:$FF$1,0)-1))*IF(G328="Rame",1,0)</f>
        <v>0</v>
      </c>
      <c r="U328" s="205">
        <f ca="1">IF(ISERROR(OFFSET(Bronzo!$A$1,MATCH(J328,Bronzo!$A:$A,0)-1,MATCH(K328,Bronzo!$A$1:$AA$1,0)-1)=TRUE),0,OFFSET(Bronzo!$A$1,MATCH(J328,Bronzo!$A:$A,0)-1,MATCH(K328,Bronzo!$A$1:$AA$1,0)-1))</f>
        <v>0</v>
      </c>
      <c r="V328" s="205">
        <f t="shared" ca="1" si="166"/>
        <v>0</v>
      </c>
      <c r="W328" s="204"/>
      <c r="X328" s="205">
        <v>0</v>
      </c>
      <c r="Y328" s="206">
        <f t="shared" ca="1" si="167"/>
        <v>1.43</v>
      </c>
      <c r="Z328" s="277">
        <f t="shared" si="168"/>
        <v>135</v>
      </c>
      <c r="AA328" s="203">
        <v>13.12</v>
      </c>
      <c r="AB328" s="203">
        <f t="shared" ca="1" si="169"/>
        <v>2.3499999999999996</v>
      </c>
      <c r="AC328" s="238"/>
      <c r="AI328" s="367">
        <f t="shared" ca="1" si="176"/>
        <v>46092</v>
      </c>
      <c r="AJ328" s="367" t="b">
        <f t="shared" si="170"/>
        <v>1</v>
      </c>
      <c r="AK328" s="370" t="str">
        <f t="shared" si="171"/>
        <v/>
      </c>
      <c r="AN328">
        <f t="shared" si="172"/>
        <v>0</v>
      </c>
      <c r="AO328">
        <f t="shared" si="173"/>
        <v>1900</v>
      </c>
      <c r="AV328">
        <f t="shared" si="174"/>
        <v>0</v>
      </c>
      <c r="AW328">
        <f t="shared" si="175"/>
        <v>0</v>
      </c>
    </row>
    <row r="329" spans="4:49" ht="15.75" x14ac:dyDescent="0.25">
      <c r="D329" s="199"/>
      <c r="E329" s="200" t="s">
        <v>263</v>
      </c>
      <c r="F329" s="287">
        <v>700</v>
      </c>
      <c r="G329" s="201" t="s">
        <v>4</v>
      </c>
      <c r="H329" s="219">
        <v>2.39</v>
      </c>
      <c r="I329" s="202">
        <v>45985</v>
      </c>
      <c r="J329" s="200" t="s">
        <v>322</v>
      </c>
      <c r="K329" s="200"/>
      <c r="L329" s="203">
        <v>7.0000000000000007E-2</v>
      </c>
      <c r="M329" s="204">
        <f ca="1">IF(ISERROR(OFFSET(Tabella!$A$1,MATCH(J329,Tabella!$A:$A,0)-1,MATCH(L329,Tabella!$A$1:$AC$1,0)-1)=TRUE),0,+OFFSET(Tabella!$A$1,MATCH(J329,Tabella!$A:$A,0)-1,MATCH(L329,Tabella!$A$1:$AC$1,0)-1))</f>
        <v>1.25</v>
      </c>
      <c r="N329" s="205">
        <f ca="1">IF(ISERROR(OFFSET(Ottone!$A$1,MATCH(J329,Ottone!$A:$A,0)-1,MATCH(L329,Ottone!$A$1:$Z$1,0)-1)=TRUE),0,OFFSET(Ottone!$A$1,MATCH(J329,Ottone!$A:$A,0)-1,MATCH(L329,Ottone!$A$1:$Z$1,0)-1))*IF(G329="Ottone",1,0)</f>
        <v>0</v>
      </c>
      <c r="O329" s="205">
        <f ca="1">IF(ISERROR(OFFSET(Rame!$A$1,MATCH(J329,Rame!$A:$A,0)-1,MATCH(L329,Rame!$A$1:$AA$1,0)-1)=TRUE),0,OFFSET(Rame!$A$1,MATCH(J329,Rame!$A:$A,0)-1,MATCH(L329,Rame!$A$1:$AA$1,0)-1))*IF(G329="Rame",1,0)</f>
        <v>0</v>
      </c>
      <c r="P329" s="205">
        <v>0</v>
      </c>
      <c r="Q329" s="205">
        <f t="shared" ca="1" si="165"/>
        <v>1.25</v>
      </c>
      <c r="R329" s="205">
        <f ca="1">+IF(ISERROR(OFFSET(Tabella!$G$1,MATCH(J329,Tabella!$G:$G,0)-1,MATCH(K329,Tabella!$G$1:$FG$1,0)-1)=TRUE),0,OFFSET(Tabella!$G$1,MATCH(J329,Tabella!$G:$G,0)-1,MATCH(K329,Tabella!$G$1:$AB$1,0)-1))</f>
        <v>0</v>
      </c>
      <c r="S329" s="205">
        <f ca="1">IF(ISERROR(OFFSET(Ottone!$F$1,MATCH(J329,Ottone!$A:$A,0)-1,MATCH(K329,Ottone!$F$1:$FF$1,0)-1)=TRUE),0,OFFSET(Ottone!$F$1,MATCH(J329,Ottone!$A:$A,0)-1,MATCH(K329,Ottone!$F$1:$FF$1,0)-1))*IF(G329="Ottone",1,0)</f>
        <v>0</v>
      </c>
      <c r="T329" s="205">
        <f ca="1">IF(ISERROR(OFFSET(Rame!$F$1,MATCH(J329,Rame!$F:$F,0)-1,MATCH(K329,Rame!$F$1:$FF$1,0)-1)=TRUE),0,OFFSET(Rame!$F$1,MATCH(J329,Rame!$F:$F,0)-1,MATCH(K329,Rame!$F$1:$FF$1,0)-1))*IF(G329="Rame",1,0)</f>
        <v>0</v>
      </c>
      <c r="U329" s="205">
        <f ca="1">IF(ISERROR(OFFSET(Bronzo!$A$1,MATCH(J329,Bronzo!$A:$A,0)-1,MATCH(K329,Bronzo!$A$1:$AA$1,0)-1)=TRUE),0,OFFSET(Bronzo!$A$1,MATCH(J329,Bronzo!$A:$A,0)-1,MATCH(K329,Bronzo!$A$1:$AA$1,0)-1))</f>
        <v>0</v>
      </c>
      <c r="V329" s="205">
        <f t="shared" ca="1" si="166"/>
        <v>0</v>
      </c>
      <c r="W329" s="204"/>
      <c r="X329" s="205">
        <v>0</v>
      </c>
      <c r="Y329" s="206">
        <f t="shared" ca="1" si="167"/>
        <v>1.25</v>
      </c>
      <c r="Z329" s="277">
        <f t="shared" si="168"/>
        <v>49.000000000000007</v>
      </c>
      <c r="AA329" s="203">
        <v>3.96</v>
      </c>
      <c r="AB329" s="203">
        <f t="shared" ca="1" si="169"/>
        <v>0.31999999999999984</v>
      </c>
      <c r="AC329" s="238"/>
      <c r="AI329" s="367">
        <f t="shared" ca="1" si="176"/>
        <v>46092</v>
      </c>
      <c r="AJ329" s="367" t="b">
        <f t="shared" si="170"/>
        <v>1</v>
      </c>
      <c r="AK329" s="370" t="str">
        <f t="shared" si="171"/>
        <v/>
      </c>
      <c r="AN329">
        <f t="shared" si="172"/>
        <v>0</v>
      </c>
      <c r="AO329">
        <f t="shared" si="173"/>
        <v>1900</v>
      </c>
      <c r="AV329">
        <f t="shared" si="174"/>
        <v>0</v>
      </c>
      <c r="AW329">
        <f t="shared" si="175"/>
        <v>0</v>
      </c>
    </row>
    <row r="330" spans="4:49" ht="15.75" x14ac:dyDescent="0.25">
      <c r="D330" s="199"/>
      <c r="E330" s="200" t="s">
        <v>592</v>
      </c>
      <c r="F330" s="287">
        <v>480</v>
      </c>
      <c r="G330" s="201" t="s">
        <v>4</v>
      </c>
      <c r="H330" s="219">
        <v>2.44</v>
      </c>
      <c r="I330" s="202">
        <v>45985</v>
      </c>
      <c r="J330" s="200" t="s">
        <v>28</v>
      </c>
      <c r="K330" s="200"/>
      <c r="L330" s="203">
        <v>0.13</v>
      </c>
      <c r="M330" s="204">
        <f ca="1">IF(ISERROR(OFFSET(Tabella!$A$1,MATCH(J330,Tabella!$A:$A,0)-1,MATCH(L330,Tabella!$A$1:$AC$1,0)-1)=TRUE),0,+OFFSET(Tabella!$A$1,MATCH(J330,Tabella!$A:$A,0)-1,MATCH(L330,Tabella!$A$1:$AC$1,0)-1))</f>
        <v>0</v>
      </c>
      <c r="N330" s="205">
        <f ca="1">IF(ISERROR(OFFSET(Ottone!$A$1,MATCH(J330,Ottone!$A:$A,0)-1,MATCH(L330,Ottone!$A$1:$Z$1,0)-1)=TRUE),0,OFFSET(Ottone!$A$1,MATCH(J330,Ottone!$A:$A,0)-1,MATCH(L330,Ottone!$A$1:$Z$1,0)-1))*IF(G330="Ottone",1,0)</f>
        <v>0</v>
      </c>
      <c r="O330" s="205">
        <f ca="1">IF(ISERROR(OFFSET(Rame!$A$1,MATCH(J330,Rame!$A:$A,0)-1,MATCH(L330,Rame!$A$1:$AA$1,0)-1)=TRUE),0,OFFSET(Rame!$A$1,MATCH(J330,Rame!$A:$A,0)-1,MATCH(L330,Rame!$A$1:$AA$1,0)-1))*IF(G330="Rame",1,0)</f>
        <v>0</v>
      </c>
      <c r="P330" s="205">
        <v>0</v>
      </c>
      <c r="Q330" s="205">
        <v>1.79</v>
      </c>
      <c r="R330" s="205">
        <f ca="1">+IF(ISERROR(OFFSET(Tabella!$G$1,MATCH(J330,Tabella!$G:$G,0)-1,MATCH(K330,Tabella!$G$1:$FG$1,0)-1)=TRUE),0,OFFSET(Tabella!$G$1,MATCH(J330,Tabella!$G:$G,0)-1,MATCH(K330,Tabella!$G$1:$AB$1,0)-1))</f>
        <v>0</v>
      </c>
      <c r="S330" s="205">
        <f ca="1">IF(ISERROR(OFFSET(Ottone!$F$1,MATCH(J330,Ottone!$A:$A,0)-1,MATCH(K330,Ottone!$F$1:$FF$1,0)-1)=TRUE),0,OFFSET(Ottone!$F$1,MATCH(J330,Ottone!$A:$A,0)-1,MATCH(K330,Ottone!$F$1:$FF$1,0)-1))*IF(G330="Ottone",1,0)</f>
        <v>0</v>
      </c>
      <c r="T330" s="205">
        <f ca="1">IF(ISERROR(OFFSET(Rame!$F$1,MATCH(J330,Rame!$F:$F,0)-1,MATCH(K330,Rame!$F$1:$FF$1,0)-1)=TRUE),0,OFFSET(Rame!$F$1,MATCH(J330,Rame!$F:$F,0)-1,MATCH(K330,Rame!$F$1:$FF$1,0)-1))*IF(G330="Rame",1,0)</f>
        <v>0</v>
      </c>
      <c r="U330" s="205">
        <f ca="1">IF(ISERROR(OFFSET(Bronzo!$A$1,MATCH(J330,Bronzo!$A:$A,0)-1,MATCH(K330,Bronzo!$A$1:$AA$1,0)-1)=TRUE),0,OFFSET(Bronzo!$A$1,MATCH(J330,Bronzo!$A:$A,0)-1,MATCH(K330,Bronzo!$A$1:$AA$1,0)-1))</f>
        <v>0</v>
      </c>
      <c r="V330" s="205">
        <f t="shared" ca="1" si="166"/>
        <v>0</v>
      </c>
      <c r="W330" s="204"/>
      <c r="X330" s="205">
        <v>0</v>
      </c>
      <c r="Y330" s="206">
        <f t="shared" ca="1" si="167"/>
        <v>1.79</v>
      </c>
      <c r="Z330" s="277">
        <f t="shared" si="168"/>
        <v>62.400000000000006</v>
      </c>
      <c r="AA330" s="203">
        <v>4.45</v>
      </c>
      <c r="AB330" s="203">
        <f t="shared" ca="1" si="169"/>
        <v>0.2200000000000002</v>
      </c>
      <c r="AC330" s="238"/>
      <c r="AI330" s="367">
        <f t="shared" ca="1" si="176"/>
        <v>46092</v>
      </c>
      <c r="AJ330" s="367" t="b">
        <f t="shared" si="170"/>
        <v>1</v>
      </c>
      <c r="AK330" s="370" t="str">
        <f t="shared" si="171"/>
        <v/>
      </c>
      <c r="AN330">
        <f t="shared" si="172"/>
        <v>0</v>
      </c>
      <c r="AO330">
        <f t="shared" si="173"/>
        <v>1900</v>
      </c>
      <c r="AV330">
        <f t="shared" si="174"/>
        <v>0</v>
      </c>
      <c r="AW330">
        <f t="shared" si="175"/>
        <v>0</v>
      </c>
    </row>
    <row r="331" spans="4:49" ht="15.75" x14ac:dyDescent="0.25">
      <c r="D331" s="199"/>
      <c r="E331" s="200"/>
      <c r="F331" s="287"/>
      <c r="G331" s="201"/>
      <c r="H331" s="219"/>
      <c r="I331" s="202"/>
      <c r="J331" s="200"/>
      <c r="K331" s="200"/>
      <c r="L331" s="203"/>
      <c r="M331" s="204">
        <f ca="1">IF(ISERROR(OFFSET(Tabella!$A$1,MATCH(J331,Tabella!$A:$A,0)-1,MATCH(L331,Tabella!$A$1:$AC$1,0)-1)=TRUE),0,+OFFSET(Tabella!$A$1,MATCH(J331,Tabella!$A:$A,0)-1,MATCH(L331,Tabella!$A$1:$AC$1,0)-1))</f>
        <v>0</v>
      </c>
      <c r="N331" s="205">
        <f ca="1">IF(ISERROR(OFFSET(Ottone!$A$1,MATCH(J331,Ottone!$A:$A,0)-1,MATCH(L331,Ottone!$A$1:$Z$1,0)-1)=TRUE),0,OFFSET(Ottone!$A$1,MATCH(J331,Ottone!$A:$A,0)-1,MATCH(L331,Ottone!$A$1:$Z$1,0)-1))*IF(G331="Ottone",1,0)</f>
        <v>0</v>
      </c>
      <c r="O331" s="205">
        <f ca="1">IF(ISERROR(OFFSET(Rame!$A$1,MATCH(J331,Rame!$A:$A,0)-1,MATCH(L331,Rame!$A$1:$AA$1,0)-1)=TRUE),0,OFFSET(Rame!$A$1,MATCH(J331,Rame!$A:$A,0)-1,MATCH(L331,Rame!$A$1:$AA$1,0)-1))*IF(G331="Rame",1,0)</f>
        <v>0</v>
      </c>
      <c r="P331" s="205">
        <v>0</v>
      </c>
      <c r="Q331" s="205">
        <f t="shared" ca="1" si="165"/>
        <v>0</v>
      </c>
      <c r="R331" s="205">
        <f ca="1">+IF(ISERROR(OFFSET(Tabella!$G$1,MATCH(J331,Tabella!$G:$G,0)-1,MATCH(K331,Tabella!$G$1:$FG$1,0)-1)=TRUE),0,OFFSET(Tabella!$G$1,MATCH(J331,Tabella!$G:$G,0)-1,MATCH(K331,Tabella!$G$1:$AB$1,0)-1))</f>
        <v>0</v>
      </c>
      <c r="S331" s="205">
        <f ca="1">IF(ISERROR(OFFSET(Ottone!$F$1,MATCH(J331,Ottone!$A:$A,0)-1,MATCH(K331,Ottone!$F$1:$FF$1,0)-1)=TRUE),0,OFFSET(Ottone!$F$1,MATCH(J331,Ottone!$A:$A,0)-1,MATCH(K331,Ottone!$F$1:$FF$1,0)-1))*IF(G331="Ottone",1,0)</f>
        <v>0</v>
      </c>
      <c r="T331" s="205">
        <f ca="1">IF(ISERROR(OFFSET(Rame!$F$1,MATCH(J331,Rame!$F:$F,0)-1,MATCH(K331,Rame!$F$1:$FF$1,0)-1)=TRUE),0,OFFSET(Rame!$F$1,MATCH(J331,Rame!$F:$F,0)-1,MATCH(K331,Rame!$F$1:$FF$1,0)-1))*IF(G331="Rame",1,0)</f>
        <v>0</v>
      </c>
      <c r="U331" s="205">
        <f ca="1">IF(ISERROR(OFFSET(Bronzo!$A$1,MATCH(J331,Bronzo!$A:$A,0)-1,MATCH(K331,Bronzo!$A$1:$AA$1,0)-1)=TRUE),0,OFFSET(Bronzo!$A$1,MATCH(J331,Bronzo!$A:$A,0)-1,MATCH(K331,Bronzo!$A$1:$AA$1,0)-1))</f>
        <v>0</v>
      </c>
      <c r="V331" s="205">
        <f t="shared" ca="1" si="166"/>
        <v>0</v>
      </c>
      <c r="W331" s="204"/>
      <c r="X331" s="205">
        <v>0</v>
      </c>
      <c r="Y331" s="206">
        <f t="shared" ca="1" si="167"/>
        <v>0</v>
      </c>
      <c r="Z331" s="277">
        <f t="shared" si="168"/>
        <v>0</v>
      </c>
      <c r="AA331" s="203"/>
      <c r="AB331" s="203">
        <f t="shared" ca="1" si="169"/>
        <v>0</v>
      </c>
      <c r="AC331" s="238"/>
      <c r="AI331" s="367">
        <f t="shared" ca="1" si="176"/>
        <v>46092</v>
      </c>
      <c r="AJ331" s="367" t="b">
        <f t="shared" si="170"/>
        <v>1</v>
      </c>
      <c r="AK331" s="370" t="str">
        <f t="shared" si="171"/>
        <v/>
      </c>
      <c r="AN331">
        <f t="shared" si="172"/>
        <v>0</v>
      </c>
      <c r="AO331">
        <f t="shared" si="173"/>
        <v>1900</v>
      </c>
      <c r="AV331">
        <f t="shared" si="174"/>
        <v>0</v>
      </c>
      <c r="AW331">
        <f t="shared" si="175"/>
        <v>0</v>
      </c>
    </row>
    <row r="332" spans="4:49" ht="15.75" x14ac:dyDescent="0.25">
      <c r="D332" s="199"/>
      <c r="E332" s="200"/>
      <c r="F332" s="287"/>
      <c r="G332" s="201"/>
      <c r="H332" s="219"/>
      <c r="I332" s="202"/>
      <c r="J332" s="200"/>
      <c r="K332" s="200"/>
      <c r="L332" s="203"/>
      <c r="M332" s="204">
        <f ca="1">IF(ISERROR(OFFSET(Tabella!$A$1,MATCH(J332,Tabella!$A:$A,0)-1,MATCH(L332,Tabella!$A$1:$AC$1,0)-1)=TRUE),0,+OFFSET(Tabella!$A$1,MATCH(J332,Tabella!$A:$A,0)-1,MATCH(L332,Tabella!$A$1:$AC$1,0)-1))</f>
        <v>0</v>
      </c>
      <c r="N332" s="205">
        <f ca="1">IF(ISERROR(OFFSET(Ottone!$A$1,MATCH(J332,Ottone!$A:$A,0)-1,MATCH(L332,Ottone!$A$1:$Z$1,0)-1)=TRUE),0,OFFSET(Ottone!$A$1,MATCH(J332,Ottone!$A:$A,0)-1,MATCH(L332,Ottone!$A$1:$Z$1,0)-1))*IF(G332="Ottone",1,0)</f>
        <v>0</v>
      </c>
      <c r="O332" s="205">
        <f ca="1">IF(ISERROR(OFFSET(Rame!$A$1,MATCH(J332,Rame!$A:$A,0)-1,MATCH(L332,Rame!$A$1:$AA$1,0)-1)=TRUE),0,OFFSET(Rame!$A$1,MATCH(J332,Rame!$A:$A,0)-1,MATCH(L332,Rame!$A$1:$AA$1,0)-1))*IF(G332="Rame",1,0)</f>
        <v>0</v>
      </c>
      <c r="P332" s="205">
        <v>0</v>
      </c>
      <c r="Q332" s="205">
        <f t="shared" ca="1" si="165"/>
        <v>0</v>
      </c>
      <c r="R332" s="205">
        <f ca="1">+IF(ISERROR(OFFSET(Tabella!$G$1,MATCH(J332,Tabella!$G:$G,0)-1,MATCH(K332,Tabella!$G$1:$FG$1,0)-1)=TRUE),0,OFFSET(Tabella!$G$1,MATCH(J332,Tabella!$G:$G,0)-1,MATCH(K332,Tabella!$G$1:$AB$1,0)-1))</f>
        <v>0</v>
      </c>
      <c r="S332" s="205">
        <f ca="1">IF(ISERROR(OFFSET(Ottone!$F$1,MATCH(J332,Ottone!$A:$A,0)-1,MATCH(K332,Ottone!$F$1:$FF$1,0)-1)=TRUE),0,OFFSET(Ottone!$F$1,MATCH(J332,Ottone!$A:$A,0)-1,MATCH(K332,Ottone!$F$1:$FF$1,0)-1))*IF(G332="Ottone",1,0)</f>
        <v>0</v>
      </c>
      <c r="T332" s="205">
        <f ca="1">IF(ISERROR(OFFSET(Rame!$F$1,MATCH(J332,Rame!$F:$F,0)-1,MATCH(K332,Rame!$F$1:$FF$1,0)-1)=TRUE),0,OFFSET(Rame!$F$1,MATCH(J332,Rame!$F:$F,0)-1,MATCH(K332,Rame!$F$1:$FF$1,0)-1))*IF(G332="Rame",1,0)</f>
        <v>0</v>
      </c>
      <c r="U332" s="205">
        <f ca="1">IF(ISERROR(OFFSET(Bronzo!$A$1,MATCH(J332,Bronzo!$A:$A,0)-1,MATCH(K332,Bronzo!$A$1:$AA$1,0)-1)=TRUE),0,OFFSET(Bronzo!$A$1,MATCH(J332,Bronzo!$A:$A,0)-1,MATCH(K332,Bronzo!$A$1:$AA$1,0)-1))</f>
        <v>0</v>
      </c>
      <c r="V332" s="205">
        <f t="shared" ca="1" si="166"/>
        <v>0</v>
      </c>
      <c r="W332" s="204"/>
      <c r="X332" s="205">
        <v>0</v>
      </c>
      <c r="Y332" s="206">
        <f t="shared" ca="1" si="167"/>
        <v>0</v>
      </c>
      <c r="Z332" s="277">
        <f t="shared" si="168"/>
        <v>0</v>
      </c>
      <c r="AA332" s="203"/>
      <c r="AB332" s="203">
        <f t="shared" ca="1" si="169"/>
        <v>0</v>
      </c>
      <c r="AC332" s="238"/>
      <c r="AI332" s="367">
        <f t="shared" ca="1" si="176"/>
        <v>46092</v>
      </c>
      <c r="AJ332" s="367" t="b">
        <f t="shared" si="170"/>
        <v>1</v>
      </c>
      <c r="AK332" s="370" t="str">
        <f t="shared" si="171"/>
        <v/>
      </c>
      <c r="AN332">
        <f t="shared" si="172"/>
        <v>0</v>
      </c>
      <c r="AO332">
        <f t="shared" si="173"/>
        <v>1900</v>
      </c>
      <c r="AV332">
        <f t="shared" si="174"/>
        <v>0</v>
      </c>
      <c r="AW332">
        <f t="shared" si="175"/>
        <v>0</v>
      </c>
    </row>
    <row r="333" spans="4:49" ht="15.75" x14ac:dyDescent="0.25">
      <c r="D333" s="199"/>
      <c r="E333" s="200"/>
      <c r="F333" s="287"/>
      <c r="G333" s="201"/>
      <c r="H333" s="219"/>
      <c r="I333" s="202"/>
      <c r="J333" s="200"/>
      <c r="K333" s="200"/>
      <c r="L333" s="203"/>
      <c r="M333" s="204">
        <f ca="1">IF(ISERROR(OFFSET(Tabella!$A$1,MATCH(J333,Tabella!$A:$A,0)-1,MATCH(L333,Tabella!$A$1:$AC$1,0)-1)=TRUE),0,+OFFSET(Tabella!$A$1,MATCH(J333,Tabella!$A:$A,0)-1,MATCH(L333,Tabella!$A$1:$AC$1,0)-1))</f>
        <v>0</v>
      </c>
      <c r="N333" s="205">
        <f ca="1">IF(ISERROR(OFFSET(Ottone!$A$1,MATCH(J333,Ottone!$A:$A,0)-1,MATCH(L333,Ottone!$A$1:$Z$1,0)-1)=TRUE),0,OFFSET(Ottone!$A$1,MATCH(J333,Ottone!$A:$A,0)-1,MATCH(L333,Ottone!$A$1:$Z$1,0)-1))*IF(G333="Ottone",1,0)</f>
        <v>0</v>
      </c>
      <c r="O333" s="205">
        <f ca="1">IF(ISERROR(OFFSET(Rame!$A$1,MATCH(J333,Rame!$A:$A,0)-1,MATCH(L333,Rame!$A$1:$AA$1,0)-1)=TRUE),0,OFFSET(Rame!$A$1,MATCH(J333,Rame!$A:$A,0)-1,MATCH(L333,Rame!$A$1:$AA$1,0)-1))*IF(G333="Rame",1,0)</f>
        <v>0</v>
      </c>
      <c r="P333" s="205">
        <v>0</v>
      </c>
      <c r="Q333" s="205">
        <f t="shared" ca="1" si="165"/>
        <v>0</v>
      </c>
      <c r="R333" s="205">
        <f ca="1">+IF(ISERROR(OFFSET(Tabella!$G$1,MATCH(J333,Tabella!$G:$G,0)-1,MATCH(K333,Tabella!$G$1:$FG$1,0)-1)=TRUE),0,OFFSET(Tabella!$G$1,MATCH(J333,Tabella!$G:$G,0)-1,MATCH(K333,Tabella!$G$1:$AB$1,0)-1))</f>
        <v>0</v>
      </c>
      <c r="S333" s="205">
        <f ca="1">IF(ISERROR(OFFSET(Ottone!$F$1,MATCH(J333,Ottone!$A:$A,0)-1,MATCH(K333,Ottone!$F$1:$FF$1,0)-1)=TRUE),0,OFFSET(Ottone!$F$1,MATCH(J333,Ottone!$A:$A,0)-1,MATCH(K333,Ottone!$F$1:$FF$1,0)-1))*IF(G333="Ottone",1,0)</f>
        <v>0</v>
      </c>
      <c r="T333" s="205">
        <f ca="1">IF(ISERROR(OFFSET(Rame!$F$1,MATCH(J333,Rame!$F:$F,0)-1,MATCH(K333,Rame!$F$1:$FF$1,0)-1)=TRUE),0,OFFSET(Rame!$F$1,MATCH(J333,Rame!$F:$F,0)-1,MATCH(K333,Rame!$F$1:$FF$1,0)-1))*IF(G333="Rame",1,0)</f>
        <v>0</v>
      </c>
      <c r="U333" s="205">
        <f ca="1">IF(ISERROR(OFFSET(Bronzo!$A$1,MATCH(J333,Bronzo!$A:$A,0)-1,MATCH(K333,Bronzo!$A$1:$AA$1,0)-1)=TRUE),0,OFFSET(Bronzo!$A$1,MATCH(J333,Bronzo!$A:$A,0)-1,MATCH(K333,Bronzo!$A$1:$AA$1,0)-1))</f>
        <v>0</v>
      </c>
      <c r="V333" s="205">
        <f t="shared" ca="1" si="166"/>
        <v>0</v>
      </c>
      <c r="W333" s="204"/>
      <c r="X333" s="205">
        <v>0</v>
      </c>
      <c r="Y333" s="206">
        <f t="shared" ca="1" si="167"/>
        <v>0</v>
      </c>
      <c r="Z333" s="277">
        <f t="shared" si="168"/>
        <v>0</v>
      </c>
      <c r="AA333" s="203"/>
      <c r="AB333" s="203">
        <f t="shared" ca="1" si="169"/>
        <v>0</v>
      </c>
      <c r="AC333" s="238"/>
      <c r="AI333" s="367">
        <f t="shared" ca="1" si="176"/>
        <v>46092</v>
      </c>
      <c r="AJ333" s="367" t="b">
        <f t="shared" si="170"/>
        <v>1</v>
      </c>
      <c r="AK333" s="370" t="str">
        <f t="shared" si="171"/>
        <v/>
      </c>
      <c r="AN333">
        <f t="shared" si="172"/>
        <v>0</v>
      </c>
      <c r="AO333">
        <f t="shared" si="173"/>
        <v>1900</v>
      </c>
      <c r="AV333">
        <f t="shared" si="174"/>
        <v>0</v>
      </c>
      <c r="AW333">
        <f t="shared" si="175"/>
        <v>0</v>
      </c>
    </row>
    <row r="334" spans="4:49" ht="15.75" x14ac:dyDescent="0.25">
      <c r="D334" s="199"/>
      <c r="E334" s="200"/>
      <c r="F334" s="287"/>
      <c r="G334" s="201"/>
      <c r="H334" s="219"/>
      <c r="I334" s="202"/>
      <c r="J334" s="200"/>
      <c r="K334" s="200"/>
      <c r="L334" s="203"/>
      <c r="M334" s="204">
        <f ca="1">IF(ISERROR(OFFSET(Tabella!$A$1,MATCH(J334,Tabella!$A:$A,0)-1,MATCH(L334,Tabella!$A$1:$AC$1,0)-1)=TRUE),0,+OFFSET(Tabella!$A$1,MATCH(J334,Tabella!$A:$A,0)-1,MATCH(L334,Tabella!$A$1:$AC$1,0)-1))</f>
        <v>0</v>
      </c>
      <c r="N334" s="205">
        <f ca="1">IF(ISERROR(OFFSET(Ottone!$A$1,MATCH(J334,Ottone!$A:$A,0)-1,MATCH(L334,Ottone!$A$1:$Z$1,0)-1)=TRUE),0,OFFSET(Ottone!$A$1,MATCH(J334,Ottone!$A:$A,0)-1,MATCH(L334,Ottone!$A$1:$Z$1,0)-1))*IF(G334="Ottone",1,0)</f>
        <v>0</v>
      </c>
      <c r="O334" s="205">
        <f ca="1">IF(ISERROR(OFFSET(Rame!$A$1,MATCH(J334,Rame!$A:$A,0)-1,MATCH(L334,Rame!$A$1:$AA$1,0)-1)=TRUE),0,OFFSET(Rame!$A$1,MATCH(J334,Rame!$A:$A,0)-1,MATCH(L334,Rame!$A$1:$AA$1,0)-1))*IF(G334="Rame",1,0)</f>
        <v>0</v>
      </c>
      <c r="P334" s="205">
        <v>0</v>
      </c>
      <c r="Q334" s="205">
        <f t="shared" ca="1" si="165"/>
        <v>0</v>
      </c>
      <c r="R334" s="205">
        <f ca="1">+IF(ISERROR(OFFSET(Tabella!$G$1,MATCH(J334,Tabella!$G:$G,0)-1,MATCH(K334,Tabella!$G$1:$FG$1,0)-1)=TRUE),0,OFFSET(Tabella!$G$1,MATCH(J334,Tabella!$G:$G,0)-1,MATCH(K334,Tabella!$G$1:$AB$1,0)-1))</f>
        <v>0</v>
      </c>
      <c r="S334" s="205">
        <f ca="1">IF(ISERROR(OFFSET(Ottone!$F$1,MATCH(J334,Ottone!$A:$A,0)-1,MATCH(K334,Ottone!$F$1:$FF$1,0)-1)=TRUE),0,OFFSET(Ottone!$F$1,MATCH(J334,Ottone!$A:$A,0)-1,MATCH(K334,Ottone!$F$1:$FF$1,0)-1))*IF(G334="Ottone",1,0)</f>
        <v>0</v>
      </c>
      <c r="T334" s="205">
        <f ca="1">IF(ISERROR(OFFSET(Rame!$F$1,MATCH(J334,Rame!$F:$F,0)-1,MATCH(K334,Rame!$F$1:$FF$1,0)-1)=TRUE),0,OFFSET(Rame!$F$1,MATCH(J334,Rame!$F:$F,0)-1,MATCH(K334,Rame!$F$1:$FF$1,0)-1))*IF(G334="Rame",1,0)</f>
        <v>0</v>
      </c>
      <c r="U334" s="205">
        <f ca="1">IF(ISERROR(OFFSET(Bronzo!$A$1,MATCH(J334,Bronzo!$A:$A,0)-1,MATCH(K334,Bronzo!$A$1:$AA$1,0)-1)=TRUE),0,OFFSET(Bronzo!$A$1,MATCH(J334,Bronzo!$A:$A,0)-1,MATCH(K334,Bronzo!$A$1:$AA$1,0)-1))</f>
        <v>0</v>
      </c>
      <c r="V334" s="205">
        <f t="shared" ca="1" si="166"/>
        <v>0</v>
      </c>
      <c r="W334" s="204"/>
      <c r="X334" s="205">
        <v>0</v>
      </c>
      <c r="Y334" s="206">
        <f t="shared" ca="1" si="167"/>
        <v>0</v>
      </c>
      <c r="Z334" s="277">
        <f t="shared" si="168"/>
        <v>0</v>
      </c>
      <c r="AA334" s="203"/>
      <c r="AB334" s="203">
        <f t="shared" ca="1" si="169"/>
        <v>0</v>
      </c>
      <c r="AC334" s="238"/>
      <c r="AI334" s="367">
        <f t="shared" ca="1" si="176"/>
        <v>46092</v>
      </c>
      <c r="AJ334" s="367" t="b">
        <f t="shared" si="170"/>
        <v>1</v>
      </c>
      <c r="AK334" s="370" t="str">
        <f t="shared" si="171"/>
        <v/>
      </c>
      <c r="AN334">
        <f t="shared" si="172"/>
        <v>0</v>
      </c>
      <c r="AO334">
        <f t="shared" si="173"/>
        <v>1900</v>
      </c>
      <c r="AV334">
        <f t="shared" si="174"/>
        <v>0</v>
      </c>
      <c r="AW334">
        <f t="shared" si="175"/>
        <v>0</v>
      </c>
    </row>
    <row r="335" spans="4:49" ht="15.75" x14ac:dyDescent="0.25">
      <c r="D335" s="199"/>
      <c r="E335" s="200"/>
      <c r="F335" s="287"/>
      <c r="G335" s="201"/>
      <c r="H335" s="219"/>
      <c r="I335" s="202"/>
      <c r="J335" s="200"/>
      <c r="K335" s="200"/>
      <c r="L335" s="203"/>
      <c r="M335" s="204">
        <f ca="1">IF(ISERROR(OFFSET(Tabella!$A$1,MATCH(J335,Tabella!$A:$A,0)-1,MATCH(L335,Tabella!$A$1:$AC$1,0)-1)=TRUE),0,+OFFSET(Tabella!$A$1,MATCH(J335,Tabella!$A:$A,0)-1,MATCH(L335,Tabella!$A$1:$AC$1,0)-1))</f>
        <v>0</v>
      </c>
      <c r="N335" s="205">
        <f ca="1">IF(ISERROR(OFFSET(Ottone!$A$1,MATCH(J335,Ottone!$A:$A,0)-1,MATCH(L335,Ottone!$A$1:$Z$1,0)-1)=TRUE),0,OFFSET(Ottone!$A$1,MATCH(J335,Ottone!$A:$A,0)-1,MATCH(L335,Ottone!$A$1:$Z$1,0)-1))*IF(G335="Ottone",1,0)</f>
        <v>0</v>
      </c>
      <c r="O335" s="205">
        <f ca="1">IF(ISERROR(OFFSET(Rame!$A$1,MATCH(J335,Rame!$A:$A,0)-1,MATCH(L335,Rame!$A$1:$AA$1,0)-1)=TRUE),0,OFFSET(Rame!$A$1,MATCH(J335,Rame!$A:$A,0)-1,MATCH(L335,Rame!$A$1:$AA$1,0)-1))*IF(G335="Rame",1,0)</f>
        <v>0</v>
      </c>
      <c r="P335" s="205">
        <v>0</v>
      </c>
      <c r="Q335" s="205">
        <f t="shared" ref="Q335:Q398" ca="1" si="177">SUM(M335:P335)</f>
        <v>0</v>
      </c>
      <c r="R335" s="205">
        <f ca="1">+IF(ISERROR(OFFSET(Tabella!$G$1,MATCH(J335,Tabella!$G:$G,0)-1,MATCH(K335,Tabella!$G$1:$FG$1,0)-1)=TRUE),0,OFFSET(Tabella!$G$1,MATCH(J335,Tabella!$G:$G,0)-1,MATCH(K335,Tabella!$G$1:$AB$1,0)-1))</f>
        <v>0</v>
      </c>
      <c r="S335" s="205">
        <f ca="1">IF(ISERROR(OFFSET(Ottone!$F$1,MATCH(J335,Ottone!$A:$A,0)-1,MATCH(K335,Ottone!$F$1:$FF$1,0)-1)=TRUE),0,OFFSET(Ottone!$F$1,MATCH(J335,Ottone!$A:$A,0)-1,MATCH(K335,Ottone!$F$1:$FF$1,0)-1))*IF(G335="Ottone",1,0)</f>
        <v>0</v>
      </c>
      <c r="T335" s="205">
        <f ca="1">IF(ISERROR(OFFSET(Rame!$F$1,MATCH(J335,Rame!$F:$F,0)-1,MATCH(K335,Rame!$F$1:$FF$1,0)-1)=TRUE),0,OFFSET(Rame!$F$1,MATCH(J335,Rame!$F:$F,0)-1,MATCH(K335,Rame!$F$1:$FF$1,0)-1))*IF(G335="Rame",1,0)</f>
        <v>0</v>
      </c>
      <c r="U335" s="205">
        <f ca="1">IF(ISERROR(OFFSET(Bronzo!$A$1,MATCH(J335,Bronzo!$A:$A,0)-1,MATCH(K335,Bronzo!$A$1:$AA$1,0)-1)=TRUE),0,OFFSET(Bronzo!$A$1,MATCH(J335,Bronzo!$A:$A,0)-1,MATCH(K335,Bronzo!$A$1:$AA$1,0)-1))</f>
        <v>0</v>
      </c>
      <c r="V335" s="205">
        <f t="shared" ref="V335:V398" ca="1" si="178">SUM(R335:U335)</f>
        <v>0</v>
      </c>
      <c r="W335" s="204"/>
      <c r="X335" s="205">
        <v>0</v>
      </c>
      <c r="Y335" s="206">
        <f t="shared" ref="Y335:Y398" ca="1" si="179">+Q335+V335+W335+X335</f>
        <v>0</v>
      </c>
      <c r="Z335" s="277">
        <f t="shared" ref="Z335:Z398" si="180">+L335*F335</f>
        <v>0</v>
      </c>
      <c r="AA335" s="203"/>
      <c r="AB335" s="203">
        <f t="shared" ref="AB335:AB398" ca="1" si="181">+AA335-Y335-H335</f>
        <v>0</v>
      </c>
      <c r="AC335" s="238"/>
      <c r="AI335" s="367">
        <f t="shared" ca="1" si="176"/>
        <v>46092</v>
      </c>
      <c r="AJ335" s="367" t="b">
        <f t="shared" si="170"/>
        <v>1</v>
      </c>
      <c r="AK335" s="370" t="str">
        <f t="shared" si="171"/>
        <v/>
      </c>
      <c r="AN335">
        <f t="shared" si="172"/>
        <v>0</v>
      </c>
      <c r="AO335">
        <f t="shared" si="173"/>
        <v>1900</v>
      </c>
      <c r="AV335">
        <f t="shared" si="174"/>
        <v>0</v>
      </c>
      <c r="AW335">
        <f t="shared" si="175"/>
        <v>0</v>
      </c>
    </row>
    <row r="336" spans="4:49" ht="15.75" x14ac:dyDescent="0.25">
      <c r="D336" s="199"/>
      <c r="E336" s="200"/>
      <c r="F336" s="287"/>
      <c r="G336" s="201"/>
      <c r="H336" s="219"/>
      <c r="I336" s="202"/>
      <c r="J336" s="200"/>
      <c r="K336" s="200"/>
      <c r="L336" s="203"/>
      <c r="M336" s="204">
        <f ca="1">IF(ISERROR(OFFSET(Tabella!$A$1,MATCH(J336,Tabella!$A:$A,0)-1,MATCH(L336,Tabella!$A$1:$AC$1,0)-1)=TRUE),0,+OFFSET(Tabella!$A$1,MATCH(J336,Tabella!$A:$A,0)-1,MATCH(L336,Tabella!$A$1:$AC$1,0)-1))</f>
        <v>0</v>
      </c>
      <c r="N336" s="205">
        <f ca="1">IF(ISERROR(OFFSET(Ottone!$A$1,MATCH(J336,Ottone!$A:$A,0)-1,MATCH(L336,Ottone!$A$1:$Z$1,0)-1)=TRUE),0,OFFSET(Ottone!$A$1,MATCH(J336,Ottone!$A:$A,0)-1,MATCH(L336,Ottone!$A$1:$Z$1,0)-1))*IF(G336="Ottone",1,0)</f>
        <v>0</v>
      </c>
      <c r="O336" s="205">
        <f ca="1">IF(ISERROR(OFFSET(Rame!$A$1,MATCH(J336,Rame!$A:$A,0)-1,MATCH(L336,Rame!$A$1:$AA$1,0)-1)=TRUE),0,OFFSET(Rame!$A$1,MATCH(J336,Rame!$A:$A,0)-1,MATCH(L336,Rame!$A$1:$AA$1,0)-1))*IF(G336="Rame",1,0)</f>
        <v>0</v>
      </c>
      <c r="P336" s="205">
        <v>0</v>
      </c>
      <c r="Q336" s="205">
        <f t="shared" ca="1" si="177"/>
        <v>0</v>
      </c>
      <c r="R336" s="205">
        <f ca="1">+IF(ISERROR(OFFSET(Tabella!$G$1,MATCH(J336,Tabella!$G:$G,0)-1,MATCH(K336,Tabella!$G$1:$FG$1,0)-1)=TRUE),0,OFFSET(Tabella!$G$1,MATCH(J336,Tabella!$G:$G,0)-1,MATCH(K336,Tabella!$G$1:$AB$1,0)-1))</f>
        <v>0</v>
      </c>
      <c r="S336" s="205">
        <f ca="1">IF(ISERROR(OFFSET(Ottone!$F$1,MATCH(J336,Ottone!$A:$A,0)-1,MATCH(K336,Ottone!$F$1:$FF$1,0)-1)=TRUE),0,OFFSET(Ottone!$F$1,MATCH(J336,Ottone!$A:$A,0)-1,MATCH(K336,Ottone!$F$1:$FF$1,0)-1))*IF(G336="Ottone",1,0)</f>
        <v>0</v>
      </c>
      <c r="T336" s="205">
        <f ca="1">IF(ISERROR(OFFSET(Rame!$F$1,MATCH(J336,Rame!$F:$F,0)-1,MATCH(K336,Rame!$F$1:$FF$1,0)-1)=TRUE),0,OFFSET(Rame!$F$1,MATCH(J336,Rame!$F:$F,0)-1,MATCH(K336,Rame!$F$1:$FF$1,0)-1))*IF(G336="Rame",1,0)</f>
        <v>0</v>
      </c>
      <c r="U336" s="205">
        <f ca="1">IF(ISERROR(OFFSET(Bronzo!$A$1,MATCH(J336,Bronzo!$A:$A,0)-1,MATCH(K336,Bronzo!$A$1:$AA$1,0)-1)=TRUE),0,OFFSET(Bronzo!$A$1,MATCH(J336,Bronzo!$A:$A,0)-1,MATCH(K336,Bronzo!$A$1:$AA$1,0)-1))</f>
        <v>0</v>
      </c>
      <c r="V336" s="205">
        <f t="shared" ca="1" si="178"/>
        <v>0</v>
      </c>
      <c r="W336" s="204"/>
      <c r="X336" s="205">
        <v>0</v>
      </c>
      <c r="Y336" s="206">
        <f t="shared" ca="1" si="179"/>
        <v>0</v>
      </c>
      <c r="Z336" s="277">
        <f t="shared" si="180"/>
        <v>0</v>
      </c>
      <c r="AA336" s="203"/>
      <c r="AB336" s="203">
        <f t="shared" ca="1" si="181"/>
        <v>0</v>
      </c>
      <c r="AC336" s="238"/>
      <c r="AI336" s="367">
        <f t="shared" ca="1" si="176"/>
        <v>46092</v>
      </c>
      <c r="AJ336" s="367" t="b">
        <f t="shared" si="170"/>
        <v>1</v>
      </c>
      <c r="AK336" s="370" t="str">
        <f t="shared" si="171"/>
        <v/>
      </c>
      <c r="AN336">
        <f t="shared" si="172"/>
        <v>0</v>
      </c>
      <c r="AO336">
        <f t="shared" si="173"/>
        <v>1900</v>
      </c>
      <c r="AV336">
        <f t="shared" si="174"/>
        <v>0</v>
      </c>
      <c r="AW336">
        <f t="shared" si="175"/>
        <v>0</v>
      </c>
    </row>
    <row r="337" spans="4:49" ht="15.75" x14ac:dyDescent="0.25">
      <c r="D337" s="199"/>
      <c r="E337" s="200"/>
      <c r="F337" s="287"/>
      <c r="G337" s="201"/>
      <c r="H337" s="219"/>
      <c r="I337" s="202"/>
      <c r="J337" s="200"/>
      <c r="K337" s="200"/>
      <c r="L337" s="203"/>
      <c r="M337" s="204">
        <f ca="1">IF(ISERROR(OFFSET(Tabella!$A$1,MATCH(J337,Tabella!$A:$A,0)-1,MATCH(L337,Tabella!$A$1:$AC$1,0)-1)=TRUE),0,+OFFSET(Tabella!$A$1,MATCH(J337,Tabella!$A:$A,0)-1,MATCH(L337,Tabella!$A$1:$AC$1,0)-1))</f>
        <v>0</v>
      </c>
      <c r="N337" s="205">
        <f ca="1">IF(ISERROR(OFFSET(Ottone!$A$1,MATCH(J337,Ottone!$A:$A,0)-1,MATCH(L337,Ottone!$A$1:$Z$1,0)-1)=TRUE),0,OFFSET(Ottone!$A$1,MATCH(J337,Ottone!$A:$A,0)-1,MATCH(L337,Ottone!$A$1:$Z$1,0)-1))*IF(G337="Ottone",1,0)</f>
        <v>0</v>
      </c>
      <c r="O337" s="205">
        <f ca="1">IF(ISERROR(OFFSET(Rame!$A$1,MATCH(J337,Rame!$A:$A,0)-1,MATCH(L337,Rame!$A$1:$AA$1,0)-1)=TRUE),0,OFFSET(Rame!$A$1,MATCH(J337,Rame!$A:$A,0)-1,MATCH(L337,Rame!$A$1:$AA$1,0)-1))*IF(G337="Rame",1,0)</f>
        <v>0</v>
      </c>
      <c r="P337" s="205">
        <v>0</v>
      </c>
      <c r="Q337" s="205">
        <f t="shared" ca="1" si="177"/>
        <v>0</v>
      </c>
      <c r="R337" s="205">
        <f ca="1">+IF(ISERROR(OFFSET(Tabella!$G$1,MATCH(J337,Tabella!$G:$G,0)-1,MATCH(K337,Tabella!$G$1:$FG$1,0)-1)=TRUE),0,OFFSET(Tabella!$G$1,MATCH(J337,Tabella!$G:$G,0)-1,MATCH(K337,Tabella!$G$1:$AB$1,0)-1))</f>
        <v>0</v>
      </c>
      <c r="S337" s="205">
        <f ca="1">IF(ISERROR(OFFSET(Ottone!$F$1,MATCH(J337,Ottone!$A:$A,0)-1,MATCH(K337,Ottone!$F$1:$FF$1,0)-1)=TRUE),0,OFFSET(Ottone!$F$1,MATCH(J337,Ottone!$A:$A,0)-1,MATCH(K337,Ottone!$F$1:$FF$1,0)-1))*IF(G337="Ottone",1,0)</f>
        <v>0</v>
      </c>
      <c r="T337" s="205">
        <f ca="1">IF(ISERROR(OFFSET(Rame!$F$1,MATCH(J337,Rame!$F:$F,0)-1,MATCH(K337,Rame!$F$1:$FF$1,0)-1)=TRUE),0,OFFSET(Rame!$F$1,MATCH(J337,Rame!$F:$F,0)-1,MATCH(K337,Rame!$F$1:$FF$1,0)-1))*IF(G337="Rame",1,0)</f>
        <v>0</v>
      </c>
      <c r="U337" s="205">
        <f ca="1">IF(ISERROR(OFFSET(Bronzo!$A$1,MATCH(J337,Bronzo!$A:$A,0)-1,MATCH(K337,Bronzo!$A$1:$AA$1,0)-1)=TRUE),0,OFFSET(Bronzo!$A$1,MATCH(J337,Bronzo!$A:$A,0)-1,MATCH(K337,Bronzo!$A$1:$AA$1,0)-1))</f>
        <v>0</v>
      </c>
      <c r="V337" s="205">
        <f t="shared" ca="1" si="178"/>
        <v>0</v>
      </c>
      <c r="W337" s="204"/>
      <c r="X337" s="205">
        <v>0</v>
      </c>
      <c r="Y337" s="206">
        <f t="shared" ca="1" si="179"/>
        <v>0</v>
      </c>
      <c r="Z337" s="277">
        <f t="shared" si="180"/>
        <v>0</v>
      </c>
      <c r="AA337" s="203"/>
      <c r="AB337" s="203">
        <f t="shared" ca="1" si="181"/>
        <v>0</v>
      </c>
      <c r="AC337" s="238"/>
      <c r="AI337" s="367">
        <f t="shared" ca="1" si="176"/>
        <v>46092</v>
      </c>
      <c r="AJ337" s="367" t="b">
        <f t="shared" si="170"/>
        <v>1</v>
      </c>
      <c r="AK337" s="370" t="str">
        <f t="shared" si="171"/>
        <v/>
      </c>
      <c r="AN337">
        <f t="shared" si="172"/>
        <v>0</v>
      </c>
      <c r="AO337">
        <f t="shared" si="173"/>
        <v>1900</v>
      </c>
      <c r="AV337">
        <f t="shared" si="174"/>
        <v>0</v>
      </c>
      <c r="AW337">
        <f t="shared" si="175"/>
        <v>0</v>
      </c>
    </row>
    <row r="338" spans="4:49" ht="15.75" x14ac:dyDescent="0.25">
      <c r="D338" s="199"/>
      <c r="E338" s="200"/>
      <c r="F338" s="287"/>
      <c r="G338" s="201"/>
      <c r="H338" s="219"/>
      <c r="I338" s="202"/>
      <c r="J338" s="200"/>
      <c r="K338" s="200"/>
      <c r="L338" s="203"/>
      <c r="M338" s="204">
        <f ca="1">IF(ISERROR(OFFSET(Tabella!$A$1,MATCH(J338,Tabella!$A:$A,0)-1,MATCH(L338,Tabella!$A$1:$AC$1,0)-1)=TRUE),0,+OFFSET(Tabella!$A$1,MATCH(J338,Tabella!$A:$A,0)-1,MATCH(L338,Tabella!$A$1:$AC$1,0)-1))</f>
        <v>0</v>
      </c>
      <c r="N338" s="205">
        <f ca="1">IF(ISERROR(OFFSET(Ottone!$A$1,MATCH(J338,Ottone!$A:$A,0)-1,MATCH(L338,Ottone!$A$1:$Z$1,0)-1)=TRUE),0,OFFSET(Ottone!$A$1,MATCH(J338,Ottone!$A:$A,0)-1,MATCH(L338,Ottone!$A$1:$Z$1,0)-1))*IF(G338="Ottone",1,0)</f>
        <v>0</v>
      </c>
      <c r="O338" s="205">
        <f ca="1">IF(ISERROR(OFFSET(Rame!$A$1,MATCH(J338,Rame!$A:$A,0)-1,MATCH(L338,Rame!$A$1:$AA$1,0)-1)=TRUE),0,OFFSET(Rame!$A$1,MATCH(J338,Rame!$A:$A,0)-1,MATCH(L338,Rame!$A$1:$AA$1,0)-1))*IF(G338="Rame",1,0)</f>
        <v>0</v>
      </c>
      <c r="P338" s="205">
        <v>0</v>
      </c>
      <c r="Q338" s="205">
        <f t="shared" ca="1" si="177"/>
        <v>0</v>
      </c>
      <c r="R338" s="205">
        <f ca="1">+IF(ISERROR(OFFSET(Tabella!$G$1,MATCH(J338,Tabella!$G:$G,0)-1,MATCH(K338,Tabella!$G$1:$FG$1,0)-1)=TRUE),0,OFFSET(Tabella!$G$1,MATCH(J338,Tabella!$G:$G,0)-1,MATCH(K338,Tabella!$G$1:$AB$1,0)-1))</f>
        <v>0</v>
      </c>
      <c r="S338" s="205">
        <f ca="1">IF(ISERROR(OFFSET(Ottone!$F$1,MATCH(J338,Ottone!$A:$A,0)-1,MATCH(K338,Ottone!$F$1:$FF$1,0)-1)=TRUE),0,OFFSET(Ottone!$F$1,MATCH(J338,Ottone!$A:$A,0)-1,MATCH(K338,Ottone!$F$1:$FF$1,0)-1))*IF(G338="Ottone",1,0)</f>
        <v>0</v>
      </c>
      <c r="T338" s="205">
        <f ca="1">IF(ISERROR(OFFSET(Rame!$F$1,MATCH(J338,Rame!$F:$F,0)-1,MATCH(K338,Rame!$F$1:$FF$1,0)-1)=TRUE),0,OFFSET(Rame!$F$1,MATCH(J338,Rame!$F:$F,0)-1,MATCH(K338,Rame!$F$1:$FF$1,0)-1))*IF(G338="Rame",1,0)</f>
        <v>0</v>
      </c>
      <c r="U338" s="205">
        <f ca="1">IF(ISERROR(OFFSET(Bronzo!$A$1,MATCH(J338,Bronzo!$A:$A,0)-1,MATCH(K338,Bronzo!$A$1:$AA$1,0)-1)=TRUE),0,OFFSET(Bronzo!$A$1,MATCH(J338,Bronzo!$A:$A,0)-1,MATCH(K338,Bronzo!$A$1:$AA$1,0)-1))</f>
        <v>0</v>
      </c>
      <c r="V338" s="205">
        <f t="shared" ca="1" si="178"/>
        <v>0</v>
      </c>
      <c r="W338" s="204"/>
      <c r="X338" s="205">
        <v>0</v>
      </c>
      <c r="Y338" s="206">
        <f t="shared" ca="1" si="179"/>
        <v>0</v>
      </c>
      <c r="Z338" s="277">
        <f t="shared" si="180"/>
        <v>0</v>
      </c>
      <c r="AA338" s="203"/>
      <c r="AB338" s="203">
        <f t="shared" ca="1" si="181"/>
        <v>0</v>
      </c>
      <c r="AC338" s="238"/>
      <c r="AI338" s="367">
        <f t="shared" ca="1" si="176"/>
        <v>46092</v>
      </c>
      <c r="AJ338" s="367" t="b">
        <f t="shared" si="170"/>
        <v>1</v>
      </c>
      <c r="AK338" s="370" t="str">
        <f t="shared" si="171"/>
        <v/>
      </c>
      <c r="AN338">
        <f t="shared" si="172"/>
        <v>0</v>
      </c>
      <c r="AO338">
        <f t="shared" si="173"/>
        <v>1900</v>
      </c>
      <c r="AV338">
        <f t="shared" si="174"/>
        <v>0</v>
      </c>
      <c r="AW338">
        <f t="shared" si="175"/>
        <v>0</v>
      </c>
    </row>
    <row r="339" spans="4:49" ht="15.75" x14ac:dyDescent="0.25">
      <c r="D339" s="199"/>
      <c r="E339" s="200"/>
      <c r="F339" s="287"/>
      <c r="G339" s="201"/>
      <c r="H339" s="219"/>
      <c r="I339" s="202"/>
      <c r="J339" s="200"/>
      <c r="K339" s="200"/>
      <c r="L339" s="203"/>
      <c r="M339" s="204">
        <f ca="1">IF(ISERROR(OFFSET(Tabella!$A$1,MATCH(J339,Tabella!$A:$A,0)-1,MATCH(L339,Tabella!$A$1:$AC$1,0)-1)=TRUE),0,+OFFSET(Tabella!$A$1,MATCH(J339,Tabella!$A:$A,0)-1,MATCH(L339,Tabella!$A$1:$AC$1,0)-1))</f>
        <v>0</v>
      </c>
      <c r="N339" s="205">
        <f ca="1">IF(ISERROR(OFFSET(Ottone!$A$1,MATCH(J339,Ottone!$A:$A,0)-1,MATCH(L339,Ottone!$A$1:$Z$1,0)-1)=TRUE),0,OFFSET(Ottone!$A$1,MATCH(J339,Ottone!$A:$A,0)-1,MATCH(L339,Ottone!$A$1:$Z$1,0)-1))*IF(G339="Ottone",1,0)</f>
        <v>0</v>
      </c>
      <c r="O339" s="205">
        <f ca="1">IF(ISERROR(OFFSET(Rame!$A$1,MATCH(J339,Rame!$A:$A,0)-1,MATCH(L339,Rame!$A$1:$AA$1,0)-1)=TRUE),0,OFFSET(Rame!$A$1,MATCH(J339,Rame!$A:$A,0)-1,MATCH(L339,Rame!$A$1:$AA$1,0)-1))*IF(G339="Rame",1,0)</f>
        <v>0</v>
      </c>
      <c r="P339" s="205">
        <v>0</v>
      </c>
      <c r="Q339" s="205">
        <f t="shared" ca="1" si="177"/>
        <v>0</v>
      </c>
      <c r="R339" s="205">
        <f ca="1">+IF(ISERROR(OFFSET(Tabella!$G$1,MATCH(J339,Tabella!$G:$G,0)-1,MATCH(K339,Tabella!$G$1:$FG$1,0)-1)=TRUE),0,OFFSET(Tabella!$G$1,MATCH(J339,Tabella!$G:$G,0)-1,MATCH(K339,Tabella!$G$1:$AB$1,0)-1))</f>
        <v>0</v>
      </c>
      <c r="S339" s="205">
        <f ca="1">IF(ISERROR(OFFSET(Ottone!$F$1,MATCH(J339,Ottone!$A:$A,0)-1,MATCH(K339,Ottone!$F$1:$FF$1,0)-1)=TRUE),0,OFFSET(Ottone!$F$1,MATCH(J339,Ottone!$A:$A,0)-1,MATCH(K339,Ottone!$F$1:$FF$1,0)-1))*IF(G339="Ottone",1,0)</f>
        <v>0</v>
      </c>
      <c r="T339" s="205">
        <f ca="1">IF(ISERROR(OFFSET(Rame!$F$1,MATCH(J339,Rame!$F:$F,0)-1,MATCH(K339,Rame!$F$1:$FF$1,0)-1)=TRUE),0,OFFSET(Rame!$F$1,MATCH(J339,Rame!$F:$F,0)-1,MATCH(K339,Rame!$F$1:$FF$1,0)-1))*IF(G339="Rame",1,0)</f>
        <v>0</v>
      </c>
      <c r="U339" s="205">
        <f ca="1">IF(ISERROR(OFFSET(Bronzo!$A$1,MATCH(J339,Bronzo!$A:$A,0)-1,MATCH(K339,Bronzo!$A$1:$AA$1,0)-1)=TRUE),0,OFFSET(Bronzo!$A$1,MATCH(J339,Bronzo!$A:$A,0)-1,MATCH(K339,Bronzo!$A$1:$AA$1,0)-1))</f>
        <v>0</v>
      </c>
      <c r="V339" s="205">
        <f t="shared" ca="1" si="178"/>
        <v>0</v>
      </c>
      <c r="W339" s="204"/>
      <c r="X339" s="205">
        <v>0</v>
      </c>
      <c r="Y339" s="206">
        <f t="shared" ca="1" si="179"/>
        <v>0</v>
      </c>
      <c r="Z339" s="277">
        <f t="shared" si="180"/>
        <v>0</v>
      </c>
      <c r="AA339" s="203"/>
      <c r="AB339" s="203">
        <f t="shared" ca="1" si="181"/>
        <v>0</v>
      </c>
      <c r="AC339" s="238"/>
      <c r="AI339" s="367">
        <f t="shared" ca="1" si="176"/>
        <v>46092</v>
      </c>
      <c r="AJ339" s="367" t="b">
        <f t="shared" si="170"/>
        <v>1</v>
      </c>
      <c r="AK339" s="370" t="str">
        <f t="shared" si="171"/>
        <v/>
      </c>
      <c r="AN339">
        <f t="shared" si="172"/>
        <v>0</v>
      </c>
      <c r="AO339">
        <f t="shared" si="173"/>
        <v>1900</v>
      </c>
      <c r="AV339">
        <f t="shared" si="174"/>
        <v>0</v>
      </c>
      <c r="AW339">
        <f t="shared" si="175"/>
        <v>0</v>
      </c>
    </row>
    <row r="340" spans="4:49" ht="15.75" x14ac:dyDescent="0.25">
      <c r="D340" s="199"/>
      <c r="E340" s="200"/>
      <c r="F340" s="287"/>
      <c r="G340" s="201"/>
      <c r="H340" s="219"/>
      <c r="I340" s="202"/>
      <c r="J340" s="200"/>
      <c r="K340" s="200"/>
      <c r="L340" s="203"/>
      <c r="M340" s="204">
        <f ca="1">IF(ISERROR(OFFSET(Tabella!$A$1,MATCH(J340,Tabella!$A:$A,0)-1,MATCH(L340,Tabella!$A$1:$AC$1,0)-1)=TRUE),0,+OFFSET(Tabella!$A$1,MATCH(J340,Tabella!$A:$A,0)-1,MATCH(L340,Tabella!$A$1:$AC$1,0)-1))</f>
        <v>0</v>
      </c>
      <c r="N340" s="205">
        <f ca="1">IF(ISERROR(OFFSET(Ottone!$A$1,MATCH(J340,Ottone!$A:$A,0)-1,MATCH(L340,Ottone!$A$1:$Z$1,0)-1)=TRUE),0,OFFSET(Ottone!$A$1,MATCH(J340,Ottone!$A:$A,0)-1,MATCH(L340,Ottone!$A$1:$Z$1,0)-1))*IF(G340="Ottone",1,0)</f>
        <v>0</v>
      </c>
      <c r="O340" s="205">
        <f ca="1">IF(ISERROR(OFFSET(Rame!$A$1,MATCH(J340,Rame!$A:$A,0)-1,MATCH(L340,Rame!$A$1:$AA$1,0)-1)=TRUE),0,OFFSET(Rame!$A$1,MATCH(J340,Rame!$A:$A,0)-1,MATCH(L340,Rame!$A$1:$AA$1,0)-1))*IF(G340="Rame",1,0)</f>
        <v>0</v>
      </c>
      <c r="P340" s="205">
        <v>0</v>
      </c>
      <c r="Q340" s="205">
        <f t="shared" ca="1" si="177"/>
        <v>0</v>
      </c>
      <c r="R340" s="205">
        <f ca="1">+IF(ISERROR(OFFSET(Tabella!$G$1,MATCH(J340,Tabella!$G:$G,0)-1,MATCH(K340,Tabella!$G$1:$FG$1,0)-1)=TRUE),0,OFFSET(Tabella!$G$1,MATCH(J340,Tabella!$G:$G,0)-1,MATCH(K340,Tabella!$G$1:$AB$1,0)-1))</f>
        <v>0</v>
      </c>
      <c r="S340" s="205">
        <f ca="1">IF(ISERROR(OFFSET(Ottone!$F$1,MATCH(J340,Ottone!$A:$A,0)-1,MATCH(K340,Ottone!$F$1:$FF$1,0)-1)=TRUE),0,OFFSET(Ottone!$F$1,MATCH(J340,Ottone!$A:$A,0)-1,MATCH(K340,Ottone!$F$1:$FF$1,0)-1))*IF(G340="Ottone",1,0)</f>
        <v>0</v>
      </c>
      <c r="T340" s="205">
        <f ca="1">IF(ISERROR(OFFSET(Rame!$F$1,MATCH(J340,Rame!$F:$F,0)-1,MATCH(K340,Rame!$F$1:$FF$1,0)-1)=TRUE),0,OFFSET(Rame!$F$1,MATCH(J340,Rame!$F:$F,0)-1,MATCH(K340,Rame!$F$1:$FF$1,0)-1))*IF(G340="Rame",1,0)</f>
        <v>0</v>
      </c>
      <c r="U340" s="205">
        <f ca="1">IF(ISERROR(OFFSET(Bronzo!$A$1,MATCH(J340,Bronzo!$A:$A,0)-1,MATCH(K340,Bronzo!$A$1:$AA$1,0)-1)=TRUE),0,OFFSET(Bronzo!$A$1,MATCH(J340,Bronzo!$A:$A,0)-1,MATCH(K340,Bronzo!$A$1:$AA$1,0)-1))</f>
        <v>0</v>
      </c>
      <c r="V340" s="205">
        <f t="shared" ca="1" si="178"/>
        <v>0</v>
      </c>
      <c r="W340" s="204"/>
      <c r="X340" s="205">
        <v>0</v>
      </c>
      <c r="Y340" s="206">
        <f t="shared" ca="1" si="179"/>
        <v>0</v>
      </c>
      <c r="Z340" s="277">
        <f t="shared" si="180"/>
        <v>0</v>
      </c>
      <c r="AA340" s="203"/>
      <c r="AB340" s="203">
        <f t="shared" ca="1" si="181"/>
        <v>0</v>
      </c>
      <c r="AC340" s="238"/>
      <c r="AI340" s="367">
        <f t="shared" ca="1" si="176"/>
        <v>46092</v>
      </c>
      <c r="AJ340" s="367" t="b">
        <f t="shared" si="170"/>
        <v>1</v>
      </c>
      <c r="AK340" s="370" t="str">
        <f t="shared" si="171"/>
        <v/>
      </c>
      <c r="AN340">
        <f t="shared" si="172"/>
        <v>0</v>
      </c>
      <c r="AO340">
        <f t="shared" si="173"/>
        <v>1900</v>
      </c>
      <c r="AV340">
        <f t="shared" si="174"/>
        <v>0</v>
      </c>
      <c r="AW340">
        <f t="shared" si="175"/>
        <v>0</v>
      </c>
    </row>
    <row r="341" spans="4:49" ht="15.75" x14ac:dyDescent="0.25">
      <c r="D341" s="199"/>
      <c r="E341" s="200"/>
      <c r="F341" s="287"/>
      <c r="G341" s="201"/>
      <c r="H341" s="219"/>
      <c r="I341" s="202"/>
      <c r="J341" s="200"/>
      <c r="K341" s="200"/>
      <c r="L341" s="203"/>
      <c r="M341" s="204">
        <f ca="1">IF(ISERROR(OFFSET(Tabella!$A$1,MATCH(J341,Tabella!$A:$A,0)-1,MATCH(L341,Tabella!$A$1:$AC$1,0)-1)=TRUE),0,+OFFSET(Tabella!$A$1,MATCH(J341,Tabella!$A:$A,0)-1,MATCH(L341,Tabella!$A$1:$AC$1,0)-1))</f>
        <v>0</v>
      </c>
      <c r="N341" s="205">
        <f ca="1">IF(ISERROR(OFFSET(Ottone!$A$1,MATCH(J341,Ottone!$A:$A,0)-1,MATCH(L341,Ottone!$A$1:$Z$1,0)-1)=TRUE),0,OFFSET(Ottone!$A$1,MATCH(J341,Ottone!$A:$A,0)-1,MATCH(L341,Ottone!$A$1:$Z$1,0)-1))*IF(G341="Ottone",1,0)</f>
        <v>0</v>
      </c>
      <c r="O341" s="205">
        <f ca="1">IF(ISERROR(OFFSET(Rame!$A$1,MATCH(J341,Rame!$A:$A,0)-1,MATCH(L341,Rame!$A$1:$AA$1,0)-1)=TRUE),0,OFFSET(Rame!$A$1,MATCH(J341,Rame!$A:$A,0)-1,MATCH(L341,Rame!$A$1:$AA$1,0)-1))*IF(G341="Rame",1,0)</f>
        <v>0</v>
      </c>
      <c r="P341" s="205">
        <v>0</v>
      </c>
      <c r="Q341" s="205">
        <f t="shared" ca="1" si="177"/>
        <v>0</v>
      </c>
      <c r="R341" s="205">
        <f ca="1">+IF(ISERROR(OFFSET(Tabella!$G$1,MATCH(J341,Tabella!$G:$G,0)-1,MATCH(K341,Tabella!$G$1:$FG$1,0)-1)=TRUE),0,OFFSET(Tabella!$G$1,MATCH(J341,Tabella!$G:$G,0)-1,MATCH(K341,Tabella!$G$1:$AB$1,0)-1))</f>
        <v>0</v>
      </c>
      <c r="S341" s="205">
        <f ca="1">IF(ISERROR(OFFSET(Ottone!$F$1,MATCH(J341,Ottone!$A:$A,0)-1,MATCH(K341,Ottone!$F$1:$FF$1,0)-1)=TRUE),0,OFFSET(Ottone!$F$1,MATCH(J341,Ottone!$A:$A,0)-1,MATCH(K341,Ottone!$F$1:$FF$1,0)-1))*IF(G341="Ottone",1,0)</f>
        <v>0</v>
      </c>
      <c r="T341" s="205">
        <f ca="1">IF(ISERROR(OFFSET(Rame!$F$1,MATCH(J341,Rame!$F:$F,0)-1,MATCH(K341,Rame!$F$1:$FF$1,0)-1)=TRUE),0,OFFSET(Rame!$F$1,MATCH(J341,Rame!$F:$F,0)-1,MATCH(K341,Rame!$F$1:$FF$1,0)-1))*IF(G341="Rame",1,0)</f>
        <v>0</v>
      </c>
      <c r="U341" s="205">
        <f ca="1">IF(ISERROR(OFFSET(Bronzo!$A$1,MATCH(J341,Bronzo!$A:$A,0)-1,MATCH(K341,Bronzo!$A$1:$AA$1,0)-1)=TRUE),0,OFFSET(Bronzo!$A$1,MATCH(J341,Bronzo!$A:$A,0)-1,MATCH(K341,Bronzo!$A$1:$AA$1,0)-1))</f>
        <v>0</v>
      </c>
      <c r="V341" s="205">
        <f t="shared" ca="1" si="178"/>
        <v>0</v>
      </c>
      <c r="W341" s="204"/>
      <c r="X341" s="205">
        <v>0</v>
      </c>
      <c r="Y341" s="206">
        <f t="shared" ca="1" si="179"/>
        <v>0</v>
      </c>
      <c r="Z341" s="277">
        <f t="shared" si="180"/>
        <v>0</v>
      </c>
      <c r="AA341" s="203"/>
      <c r="AB341" s="203">
        <f t="shared" ca="1" si="181"/>
        <v>0</v>
      </c>
      <c r="AC341" s="238"/>
      <c r="AI341" s="367">
        <f t="shared" ca="1" si="176"/>
        <v>46092</v>
      </c>
      <c r="AJ341" s="367" t="b">
        <f t="shared" si="170"/>
        <v>1</v>
      </c>
      <c r="AK341" s="370" t="str">
        <f t="shared" si="171"/>
        <v/>
      </c>
      <c r="AN341">
        <f t="shared" si="172"/>
        <v>0</v>
      </c>
      <c r="AO341">
        <f t="shared" si="173"/>
        <v>1900</v>
      </c>
      <c r="AV341">
        <f t="shared" si="174"/>
        <v>0</v>
      </c>
      <c r="AW341">
        <f t="shared" si="175"/>
        <v>0</v>
      </c>
    </row>
    <row r="342" spans="4:49" ht="15.75" x14ac:dyDescent="0.25">
      <c r="D342" s="199"/>
      <c r="E342" s="200"/>
      <c r="F342" s="287"/>
      <c r="G342" s="201"/>
      <c r="H342" s="219"/>
      <c r="I342" s="202"/>
      <c r="J342" s="200"/>
      <c r="K342" s="200"/>
      <c r="L342" s="203"/>
      <c r="M342" s="204">
        <f ca="1">IF(ISERROR(OFFSET(Tabella!$A$1,MATCH(J342,Tabella!$A:$A,0)-1,MATCH(L342,Tabella!$A$1:$AC$1,0)-1)=TRUE),0,+OFFSET(Tabella!$A$1,MATCH(J342,Tabella!$A:$A,0)-1,MATCH(L342,Tabella!$A$1:$AC$1,0)-1))</f>
        <v>0</v>
      </c>
      <c r="N342" s="205">
        <f ca="1">IF(ISERROR(OFFSET(Ottone!$A$1,MATCH(J342,Ottone!$A:$A,0)-1,MATCH(L342,Ottone!$A$1:$Z$1,0)-1)=TRUE),0,OFFSET(Ottone!$A$1,MATCH(J342,Ottone!$A:$A,0)-1,MATCH(L342,Ottone!$A$1:$Z$1,0)-1))*IF(G342="Ottone",1,0)</f>
        <v>0</v>
      </c>
      <c r="O342" s="205">
        <f ca="1">IF(ISERROR(OFFSET(Rame!$A$1,MATCH(J342,Rame!$A:$A,0)-1,MATCH(L342,Rame!$A$1:$AA$1,0)-1)=TRUE),0,OFFSET(Rame!$A$1,MATCH(J342,Rame!$A:$A,0)-1,MATCH(L342,Rame!$A$1:$AA$1,0)-1))*IF(G342="Rame",1,0)</f>
        <v>0</v>
      </c>
      <c r="P342" s="205">
        <v>0</v>
      </c>
      <c r="Q342" s="205">
        <f t="shared" ca="1" si="177"/>
        <v>0</v>
      </c>
      <c r="R342" s="205">
        <f ca="1">+IF(ISERROR(OFFSET(Tabella!$G$1,MATCH(J342,Tabella!$G:$G,0)-1,MATCH(K342,Tabella!$G$1:$FG$1,0)-1)=TRUE),0,OFFSET(Tabella!$G$1,MATCH(J342,Tabella!$G:$G,0)-1,MATCH(K342,Tabella!$G$1:$AB$1,0)-1))</f>
        <v>0</v>
      </c>
      <c r="S342" s="205">
        <f ca="1">IF(ISERROR(OFFSET(Ottone!$F$1,MATCH(J342,Ottone!$A:$A,0)-1,MATCH(K342,Ottone!$F$1:$FF$1,0)-1)=TRUE),0,OFFSET(Ottone!$F$1,MATCH(J342,Ottone!$A:$A,0)-1,MATCH(K342,Ottone!$F$1:$FF$1,0)-1))*IF(G342="Ottone",1,0)</f>
        <v>0</v>
      </c>
      <c r="T342" s="205">
        <f ca="1">IF(ISERROR(OFFSET(Rame!$F$1,MATCH(J342,Rame!$F:$F,0)-1,MATCH(K342,Rame!$F$1:$FF$1,0)-1)=TRUE),0,OFFSET(Rame!$F$1,MATCH(J342,Rame!$F:$F,0)-1,MATCH(K342,Rame!$F$1:$FF$1,0)-1))*IF(G342="Rame",1,0)</f>
        <v>0</v>
      </c>
      <c r="U342" s="205">
        <f ca="1">IF(ISERROR(OFFSET(Bronzo!$A$1,MATCH(J342,Bronzo!$A:$A,0)-1,MATCH(K342,Bronzo!$A$1:$AA$1,0)-1)=TRUE),0,OFFSET(Bronzo!$A$1,MATCH(J342,Bronzo!$A:$A,0)-1,MATCH(K342,Bronzo!$A$1:$AA$1,0)-1))</f>
        <v>0</v>
      </c>
      <c r="V342" s="205">
        <f t="shared" ca="1" si="178"/>
        <v>0</v>
      </c>
      <c r="W342" s="204"/>
      <c r="X342" s="205">
        <v>0</v>
      </c>
      <c r="Y342" s="206">
        <f t="shared" ca="1" si="179"/>
        <v>0</v>
      </c>
      <c r="Z342" s="277">
        <f t="shared" si="180"/>
        <v>0</v>
      </c>
      <c r="AA342" s="203"/>
      <c r="AB342" s="203">
        <f t="shared" ca="1" si="181"/>
        <v>0</v>
      </c>
      <c r="AC342" s="238"/>
      <c r="AI342" s="367">
        <f t="shared" ca="1" si="176"/>
        <v>46092</v>
      </c>
      <c r="AJ342" s="367" t="b">
        <f t="shared" si="170"/>
        <v>1</v>
      </c>
      <c r="AK342" s="370" t="str">
        <f t="shared" si="171"/>
        <v/>
      </c>
      <c r="AN342">
        <f t="shared" si="172"/>
        <v>0</v>
      </c>
      <c r="AO342">
        <f t="shared" si="173"/>
        <v>1900</v>
      </c>
      <c r="AV342">
        <f t="shared" si="174"/>
        <v>0</v>
      </c>
      <c r="AW342">
        <f t="shared" si="175"/>
        <v>0</v>
      </c>
    </row>
    <row r="343" spans="4:49" ht="15.75" x14ac:dyDescent="0.25">
      <c r="D343" s="199"/>
      <c r="E343" s="200"/>
      <c r="F343" s="287"/>
      <c r="G343" s="201"/>
      <c r="H343" s="219"/>
      <c r="I343" s="202"/>
      <c r="J343" s="200"/>
      <c r="K343" s="200"/>
      <c r="L343" s="203"/>
      <c r="M343" s="204">
        <f ca="1">IF(ISERROR(OFFSET(Tabella!$A$1,MATCH(J343,Tabella!$A:$A,0)-1,MATCH(L343,Tabella!$A$1:$AC$1,0)-1)=TRUE),0,+OFFSET(Tabella!$A$1,MATCH(J343,Tabella!$A:$A,0)-1,MATCH(L343,Tabella!$A$1:$AC$1,0)-1))</f>
        <v>0</v>
      </c>
      <c r="N343" s="205">
        <f ca="1">IF(ISERROR(OFFSET(Ottone!$A$1,MATCH(J343,Ottone!$A:$A,0)-1,MATCH(L343,Ottone!$A$1:$Z$1,0)-1)=TRUE),0,OFFSET(Ottone!$A$1,MATCH(J343,Ottone!$A:$A,0)-1,MATCH(L343,Ottone!$A$1:$Z$1,0)-1))*IF(G343="Ottone",1,0)</f>
        <v>0</v>
      </c>
      <c r="O343" s="205">
        <f ca="1">IF(ISERROR(OFFSET(Rame!$A$1,MATCH(J343,Rame!$A:$A,0)-1,MATCH(L343,Rame!$A$1:$AA$1,0)-1)=TRUE),0,OFFSET(Rame!$A$1,MATCH(J343,Rame!$A:$A,0)-1,MATCH(L343,Rame!$A$1:$AA$1,0)-1))*IF(G343="Rame",1,0)</f>
        <v>0</v>
      </c>
      <c r="P343" s="205">
        <v>0</v>
      </c>
      <c r="Q343" s="205">
        <f t="shared" ca="1" si="177"/>
        <v>0</v>
      </c>
      <c r="R343" s="205">
        <f ca="1">+IF(ISERROR(OFFSET(Tabella!$G$1,MATCH(J343,Tabella!$G:$G,0)-1,MATCH(K343,Tabella!$G$1:$FG$1,0)-1)=TRUE),0,OFFSET(Tabella!$G$1,MATCH(J343,Tabella!$G:$G,0)-1,MATCH(K343,Tabella!$G$1:$AB$1,0)-1))</f>
        <v>0</v>
      </c>
      <c r="S343" s="205">
        <f ca="1">IF(ISERROR(OFFSET(Ottone!$F$1,MATCH(J343,Ottone!$A:$A,0)-1,MATCH(K343,Ottone!$F$1:$FF$1,0)-1)=TRUE),0,OFFSET(Ottone!$F$1,MATCH(J343,Ottone!$A:$A,0)-1,MATCH(K343,Ottone!$F$1:$FF$1,0)-1))*IF(G343="Ottone",1,0)</f>
        <v>0</v>
      </c>
      <c r="T343" s="205">
        <f ca="1">IF(ISERROR(OFFSET(Rame!$F$1,MATCH(J343,Rame!$F:$F,0)-1,MATCH(K343,Rame!$F$1:$FF$1,0)-1)=TRUE),0,OFFSET(Rame!$F$1,MATCH(J343,Rame!$F:$F,0)-1,MATCH(K343,Rame!$F$1:$FF$1,0)-1))*IF(G343="Rame",1,0)</f>
        <v>0</v>
      </c>
      <c r="U343" s="205">
        <f ca="1">IF(ISERROR(OFFSET(Bronzo!$A$1,MATCH(J343,Bronzo!$A:$A,0)-1,MATCH(K343,Bronzo!$A$1:$AA$1,0)-1)=TRUE),0,OFFSET(Bronzo!$A$1,MATCH(J343,Bronzo!$A:$A,0)-1,MATCH(K343,Bronzo!$A$1:$AA$1,0)-1))</f>
        <v>0</v>
      </c>
      <c r="V343" s="205">
        <f t="shared" ca="1" si="178"/>
        <v>0</v>
      </c>
      <c r="W343" s="204"/>
      <c r="X343" s="205">
        <v>0</v>
      </c>
      <c r="Y343" s="206">
        <f t="shared" ca="1" si="179"/>
        <v>0</v>
      </c>
      <c r="Z343" s="277">
        <f t="shared" si="180"/>
        <v>0</v>
      </c>
      <c r="AA343" s="203"/>
      <c r="AB343" s="203">
        <f t="shared" ca="1" si="181"/>
        <v>0</v>
      </c>
      <c r="AC343" s="238"/>
      <c r="AI343" s="367">
        <f t="shared" ca="1" si="176"/>
        <v>46092</v>
      </c>
      <c r="AJ343" s="367" t="b">
        <f t="shared" si="170"/>
        <v>1</v>
      </c>
      <c r="AK343" s="370" t="str">
        <f t="shared" si="171"/>
        <v/>
      </c>
      <c r="AN343">
        <f t="shared" si="172"/>
        <v>0</v>
      </c>
      <c r="AO343">
        <f t="shared" si="173"/>
        <v>1900</v>
      </c>
      <c r="AV343">
        <f t="shared" si="174"/>
        <v>0</v>
      </c>
      <c r="AW343">
        <f t="shared" si="175"/>
        <v>0</v>
      </c>
    </row>
    <row r="344" spans="4:49" ht="15.75" x14ac:dyDescent="0.25">
      <c r="D344" s="199"/>
      <c r="E344" s="200"/>
      <c r="F344" s="287"/>
      <c r="G344" s="201"/>
      <c r="H344" s="219"/>
      <c r="I344" s="202"/>
      <c r="J344" s="200"/>
      <c r="K344" s="200"/>
      <c r="L344" s="203"/>
      <c r="M344" s="204">
        <f ca="1">IF(ISERROR(OFFSET(Tabella!$A$1,MATCH(J344,Tabella!$A:$A,0)-1,MATCH(L344,Tabella!$A$1:$AC$1,0)-1)=TRUE),0,+OFFSET(Tabella!$A$1,MATCH(J344,Tabella!$A:$A,0)-1,MATCH(L344,Tabella!$A$1:$AC$1,0)-1))</f>
        <v>0</v>
      </c>
      <c r="N344" s="205">
        <f ca="1">IF(ISERROR(OFFSET(Ottone!$A$1,MATCH(J344,Ottone!$A:$A,0)-1,MATCH(L344,Ottone!$A$1:$Z$1,0)-1)=TRUE),0,OFFSET(Ottone!$A$1,MATCH(J344,Ottone!$A:$A,0)-1,MATCH(L344,Ottone!$A$1:$Z$1,0)-1))*IF(G344="Ottone",1,0)</f>
        <v>0</v>
      </c>
      <c r="O344" s="205">
        <f ca="1">IF(ISERROR(OFFSET(Rame!$A$1,MATCH(J344,Rame!$A:$A,0)-1,MATCH(L344,Rame!$A$1:$AA$1,0)-1)=TRUE),0,OFFSET(Rame!$A$1,MATCH(J344,Rame!$A:$A,0)-1,MATCH(L344,Rame!$A$1:$AA$1,0)-1))*IF(G344="Rame",1,0)</f>
        <v>0</v>
      </c>
      <c r="P344" s="205">
        <v>0</v>
      </c>
      <c r="Q344" s="205">
        <f t="shared" ca="1" si="177"/>
        <v>0</v>
      </c>
      <c r="R344" s="205">
        <f ca="1">+IF(ISERROR(OFFSET(Tabella!$G$1,MATCH(J344,Tabella!$G:$G,0)-1,MATCH(K344,Tabella!$G$1:$FG$1,0)-1)=TRUE),0,OFFSET(Tabella!$G$1,MATCH(J344,Tabella!$G:$G,0)-1,MATCH(K344,Tabella!$G$1:$AB$1,0)-1))</f>
        <v>0</v>
      </c>
      <c r="S344" s="205">
        <f ca="1">IF(ISERROR(OFFSET(Ottone!$F$1,MATCH(J344,Ottone!$A:$A,0)-1,MATCH(K344,Ottone!$F$1:$FF$1,0)-1)=TRUE),0,OFFSET(Ottone!$F$1,MATCH(J344,Ottone!$A:$A,0)-1,MATCH(K344,Ottone!$F$1:$FF$1,0)-1))*IF(G344="Ottone",1,0)</f>
        <v>0</v>
      </c>
      <c r="T344" s="205">
        <f ca="1">IF(ISERROR(OFFSET(Rame!$F$1,MATCH(J344,Rame!$F:$F,0)-1,MATCH(K344,Rame!$F$1:$FF$1,0)-1)=TRUE),0,OFFSET(Rame!$F$1,MATCH(J344,Rame!$F:$F,0)-1,MATCH(K344,Rame!$F$1:$FF$1,0)-1))*IF(G344="Rame",1,0)</f>
        <v>0</v>
      </c>
      <c r="U344" s="205">
        <f ca="1">IF(ISERROR(OFFSET(Bronzo!$A$1,MATCH(J344,Bronzo!$A:$A,0)-1,MATCH(K344,Bronzo!$A$1:$AA$1,0)-1)=TRUE),0,OFFSET(Bronzo!$A$1,MATCH(J344,Bronzo!$A:$A,0)-1,MATCH(K344,Bronzo!$A$1:$AA$1,0)-1))</f>
        <v>0</v>
      </c>
      <c r="V344" s="205">
        <f t="shared" ca="1" si="178"/>
        <v>0</v>
      </c>
      <c r="W344" s="204"/>
      <c r="X344" s="205">
        <v>0</v>
      </c>
      <c r="Y344" s="206">
        <f t="shared" ca="1" si="179"/>
        <v>0</v>
      </c>
      <c r="Z344" s="277">
        <f t="shared" si="180"/>
        <v>0</v>
      </c>
      <c r="AA344" s="203"/>
      <c r="AB344" s="203">
        <f t="shared" ca="1" si="181"/>
        <v>0</v>
      </c>
      <c r="AC344" s="238"/>
      <c r="AI344" s="367">
        <f t="shared" ca="1" si="176"/>
        <v>46092</v>
      </c>
      <c r="AJ344" s="367" t="b">
        <f t="shared" si="170"/>
        <v>1</v>
      </c>
      <c r="AK344" s="370" t="str">
        <f t="shared" si="171"/>
        <v/>
      </c>
      <c r="AN344">
        <f t="shared" si="172"/>
        <v>0</v>
      </c>
      <c r="AO344">
        <f t="shared" si="173"/>
        <v>1900</v>
      </c>
      <c r="AV344">
        <f t="shared" si="174"/>
        <v>0</v>
      </c>
      <c r="AW344">
        <f t="shared" si="175"/>
        <v>0</v>
      </c>
    </row>
    <row r="345" spans="4:49" ht="15.75" x14ac:dyDescent="0.25">
      <c r="D345" s="199"/>
      <c r="E345" s="200"/>
      <c r="F345" s="287"/>
      <c r="G345" s="201"/>
      <c r="H345" s="219"/>
      <c r="I345" s="202"/>
      <c r="J345" s="200"/>
      <c r="K345" s="200"/>
      <c r="L345" s="203"/>
      <c r="M345" s="204">
        <f ca="1">IF(ISERROR(OFFSET(Tabella!$A$1,MATCH(J345,Tabella!$A:$A,0)-1,MATCH(L345,Tabella!$A$1:$AC$1,0)-1)=TRUE),0,+OFFSET(Tabella!$A$1,MATCH(J345,Tabella!$A:$A,0)-1,MATCH(L345,Tabella!$A$1:$AC$1,0)-1))</f>
        <v>0</v>
      </c>
      <c r="N345" s="205">
        <f ca="1">IF(ISERROR(OFFSET(Ottone!$A$1,MATCH(J345,Ottone!$A:$A,0)-1,MATCH(L345,Ottone!$A$1:$Z$1,0)-1)=TRUE),0,OFFSET(Ottone!$A$1,MATCH(J345,Ottone!$A:$A,0)-1,MATCH(L345,Ottone!$A$1:$Z$1,0)-1))*IF(G345="Ottone",1,0)</f>
        <v>0</v>
      </c>
      <c r="O345" s="205">
        <f ca="1">IF(ISERROR(OFFSET(Rame!$A$1,MATCH(J345,Rame!$A:$A,0)-1,MATCH(L345,Rame!$A$1:$AA$1,0)-1)=TRUE),0,OFFSET(Rame!$A$1,MATCH(J345,Rame!$A:$A,0)-1,MATCH(L345,Rame!$A$1:$AA$1,0)-1))*IF(G345="Rame",1,0)</f>
        <v>0</v>
      </c>
      <c r="P345" s="205">
        <v>0</v>
      </c>
      <c r="Q345" s="205">
        <f t="shared" ca="1" si="177"/>
        <v>0</v>
      </c>
      <c r="R345" s="205">
        <f ca="1">+IF(ISERROR(OFFSET(Tabella!$G$1,MATCH(J345,Tabella!$G:$G,0)-1,MATCH(K345,Tabella!$G$1:$FG$1,0)-1)=TRUE),0,OFFSET(Tabella!$G$1,MATCH(J345,Tabella!$G:$G,0)-1,MATCH(K345,Tabella!$G$1:$AB$1,0)-1))</f>
        <v>0</v>
      </c>
      <c r="S345" s="205">
        <f ca="1">IF(ISERROR(OFFSET(Ottone!$F$1,MATCH(J345,Ottone!$A:$A,0)-1,MATCH(K345,Ottone!$F$1:$FF$1,0)-1)=TRUE),0,OFFSET(Ottone!$F$1,MATCH(J345,Ottone!$A:$A,0)-1,MATCH(K345,Ottone!$F$1:$FF$1,0)-1))*IF(G345="Ottone",1,0)</f>
        <v>0</v>
      </c>
      <c r="T345" s="205">
        <f ca="1">IF(ISERROR(OFFSET(Rame!$F$1,MATCH(J345,Rame!$F:$F,0)-1,MATCH(K345,Rame!$F$1:$FF$1,0)-1)=TRUE),0,OFFSET(Rame!$F$1,MATCH(J345,Rame!$F:$F,0)-1,MATCH(K345,Rame!$F$1:$FF$1,0)-1))*IF(G345="Rame",1,0)</f>
        <v>0</v>
      </c>
      <c r="U345" s="205">
        <f ca="1">IF(ISERROR(OFFSET(Bronzo!$A$1,MATCH(J345,Bronzo!$A:$A,0)-1,MATCH(K345,Bronzo!$A$1:$AA$1,0)-1)=TRUE),0,OFFSET(Bronzo!$A$1,MATCH(J345,Bronzo!$A:$A,0)-1,MATCH(K345,Bronzo!$A$1:$AA$1,0)-1))</f>
        <v>0</v>
      </c>
      <c r="V345" s="205">
        <f t="shared" ca="1" si="178"/>
        <v>0</v>
      </c>
      <c r="W345" s="204"/>
      <c r="X345" s="205">
        <v>0</v>
      </c>
      <c r="Y345" s="206">
        <f t="shared" ca="1" si="179"/>
        <v>0</v>
      </c>
      <c r="Z345" s="277">
        <f t="shared" si="180"/>
        <v>0</v>
      </c>
      <c r="AA345" s="203"/>
      <c r="AB345" s="203">
        <f t="shared" ca="1" si="181"/>
        <v>0</v>
      </c>
      <c r="AC345" s="238"/>
      <c r="AI345" s="367">
        <f t="shared" ca="1" si="176"/>
        <v>46092</v>
      </c>
      <c r="AJ345" s="367" t="b">
        <f t="shared" si="170"/>
        <v>1</v>
      </c>
      <c r="AK345" s="370" t="str">
        <f t="shared" si="171"/>
        <v/>
      </c>
      <c r="AN345">
        <f t="shared" si="172"/>
        <v>0</v>
      </c>
      <c r="AO345">
        <f t="shared" si="173"/>
        <v>1900</v>
      </c>
      <c r="AV345">
        <f t="shared" si="174"/>
        <v>0</v>
      </c>
      <c r="AW345">
        <f t="shared" si="175"/>
        <v>0</v>
      </c>
    </row>
    <row r="346" spans="4:49" ht="15.75" x14ac:dyDescent="0.25">
      <c r="D346" s="199"/>
      <c r="E346" s="200"/>
      <c r="F346" s="287"/>
      <c r="G346" s="201"/>
      <c r="H346" s="219"/>
      <c r="I346" s="202"/>
      <c r="J346" s="200"/>
      <c r="K346" s="200"/>
      <c r="L346" s="203"/>
      <c r="M346" s="204">
        <f ca="1">IF(ISERROR(OFFSET(Tabella!$A$1,MATCH(J346,Tabella!$A:$A,0)-1,MATCH(L346,Tabella!$A$1:$AC$1,0)-1)=TRUE),0,+OFFSET(Tabella!$A$1,MATCH(J346,Tabella!$A:$A,0)-1,MATCH(L346,Tabella!$A$1:$AC$1,0)-1))</f>
        <v>0</v>
      </c>
      <c r="N346" s="205">
        <f ca="1">IF(ISERROR(OFFSET(Ottone!$A$1,MATCH(J346,Ottone!$A:$A,0)-1,MATCH(L346,Ottone!$A$1:$Z$1,0)-1)=TRUE),0,OFFSET(Ottone!$A$1,MATCH(J346,Ottone!$A:$A,0)-1,MATCH(L346,Ottone!$A$1:$Z$1,0)-1))*IF(G346="Ottone",1,0)</f>
        <v>0</v>
      </c>
      <c r="O346" s="205">
        <f ca="1">IF(ISERROR(OFFSET(Rame!$A$1,MATCH(J346,Rame!$A:$A,0)-1,MATCH(L346,Rame!$A$1:$AA$1,0)-1)=TRUE),0,OFFSET(Rame!$A$1,MATCH(J346,Rame!$A:$A,0)-1,MATCH(L346,Rame!$A$1:$AA$1,0)-1))*IF(G346="Rame",1,0)</f>
        <v>0</v>
      </c>
      <c r="P346" s="205">
        <v>0</v>
      </c>
      <c r="Q346" s="205">
        <f t="shared" ca="1" si="177"/>
        <v>0</v>
      </c>
      <c r="R346" s="205">
        <f ca="1">+IF(ISERROR(OFFSET(Tabella!$G$1,MATCH(J346,Tabella!$G:$G,0)-1,MATCH(K346,Tabella!$G$1:$FG$1,0)-1)=TRUE),0,OFFSET(Tabella!$G$1,MATCH(J346,Tabella!$G:$G,0)-1,MATCH(K346,Tabella!$G$1:$AB$1,0)-1))</f>
        <v>0</v>
      </c>
      <c r="S346" s="205">
        <f ca="1">IF(ISERROR(OFFSET(Ottone!$F$1,MATCH(J346,Ottone!$A:$A,0)-1,MATCH(K346,Ottone!$F$1:$FF$1,0)-1)=TRUE),0,OFFSET(Ottone!$F$1,MATCH(J346,Ottone!$A:$A,0)-1,MATCH(K346,Ottone!$F$1:$FF$1,0)-1))*IF(G346="Ottone",1,0)</f>
        <v>0</v>
      </c>
      <c r="T346" s="205">
        <f ca="1">IF(ISERROR(OFFSET(Rame!$F$1,MATCH(J346,Rame!$F:$F,0)-1,MATCH(K346,Rame!$F$1:$FF$1,0)-1)=TRUE),0,OFFSET(Rame!$F$1,MATCH(J346,Rame!$F:$F,0)-1,MATCH(K346,Rame!$F$1:$FF$1,0)-1))*IF(G346="Rame",1,0)</f>
        <v>0</v>
      </c>
      <c r="U346" s="205">
        <f ca="1">IF(ISERROR(OFFSET(Bronzo!$A$1,MATCH(J346,Bronzo!$A:$A,0)-1,MATCH(K346,Bronzo!$A$1:$AA$1,0)-1)=TRUE),0,OFFSET(Bronzo!$A$1,MATCH(J346,Bronzo!$A:$A,0)-1,MATCH(K346,Bronzo!$A$1:$AA$1,0)-1))</f>
        <v>0</v>
      </c>
      <c r="V346" s="205">
        <f t="shared" ca="1" si="178"/>
        <v>0</v>
      </c>
      <c r="W346" s="204"/>
      <c r="X346" s="205">
        <v>0</v>
      </c>
      <c r="Y346" s="206">
        <f t="shared" ca="1" si="179"/>
        <v>0</v>
      </c>
      <c r="Z346" s="277">
        <f t="shared" si="180"/>
        <v>0</v>
      </c>
      <c r="AA346" s="203"/>
      <c r="AB346" s="203">
        <f t="shared" ca="1" si="181"/>
        <v>0</v>
      </c>
      <c r="AC346" s="238"/>
      <c r="AI346" s="367">
        <f t="shared" ca="1" si="176"/>
        <v>46092</v>
      </c>
      <c r="AJ346" s="367" t="b">
        <f t="shared" si="170"/>
        <v>1</v>
      </c>
      <c r="AK346" s="370" t="str">
        <f t="shared" si="171"/>
        <v/>
      </c>
      <c r="AN346">
        <f t="shared" si="172"/>
        <v>0</v>
      </c>
      <c r="AO346">
        <f t="shared" si="173"/>
        <v>1900</v>
      </c>
      <c r="AV346">
        <f t="shared" si="174"/>
        <v>0</v>
      </c>
      <c r="AW346">
        <f t="shared" si="175"/>
        <v>0</v>
      </c>
    </row>
    <row r="347" spans="4:49" ht="15.75" x14ac:dyDescent="0.25">
      <c r="D347" s="199"/>
      <c r="E347" s="200"/>
      <c r="F347" s="287"/>
      <c r="G347" s="201"/>
      <c r="H347" s="219"/>
      <c r="I347" s="202"/>
      <c r="J347" s="200"/>
      <c r="K347" s="200"/>
      <c r="L347" s="203"/>
      <c r="M347" s="204">
        <f ca="1">IF(ISERROR(OFFSET(Tabella!$A$1,MATCH(J347,Tabella!$A:$A,0)-1,MATCH(L347,Tabella!$A$1:$AC$1,0)-1)=TRUE),0,+OFFSET(Tabella!$A$1,MATCH(J347,Tabella!$A:$A,0)-1,MATCH(L347,Tabella!$A$1:$AC$1,0)-1))</f>
        <v>0</v>
      </c>
      <c r="N347" s="205">
        <f ca="1">IF(ISERROR(OFFSET(Ottone!$A$1,MATCH(J347,Ottone!$A:$A,0)-1,MATCH(L347,Ottone!$A$1:$Z$1,0)-1)=TRUE),0,OFFSET(Ottone!$A$1,MATCH(J347,Ottone!$A:$A,0)-1,MATCH(L347,Ottone!$A$1:$Z$1,0)-1))*IF(G347="Ottone",1,0)</f>
        <v>0</v>
      </c>
      <c r="O347" s="205">
        <f ca="1">IF(ISERROR(OFFSET(Rame!$A$1,MATCH(J347,Rame!$A:$A,0)-1,MATCH(L347,Rame!$A$1:$AA$1,0)-1)=TRUE),0,OFFSET(Rame!$A$1,MATCH(J347,Rame!$A:$A,0)-1,MATCH(L347,Rame!$A$1:$AA$1,0)-1))*IF(G347="Rame",1,0)</f>
        <v>0</v>
      </c>
      <c r="P347" s="205">
        <v>0</v>
      </c>
      <c r="Q347" s="205">
        <f t="shared" ca="1" si="177"/>
        <v>0</v>
      </c>
      <c r="R347" s="205">
        <f ca="1">+IF(ISERROR(OFFSET(Tabella!$G$1,MATCH(J347,Tabella!$G:$G,0)-1,MATCH(K347,Tabella!$G$1:$FG$1,0)-1)=TRUE),0,OFFSET(Tabella!$G$1,MATCH(J347,Tabella!$G:$G,0)-1,MATCH(K347,Tabella!$G$1:$AB$1,0)-1))</f>
        <v>0</v>
      </c>
      <c r="S347" s="205">
        <f ca="1">IF(ISERROR(OFFSET(Ottone!$F$1,MATCH(J347,Ottone!$A:$A,0)-1,MATCH(K347,Ottone!$F$1:$FF$1,0)-1)=TRUE),0,OFFSET(Ottone!$F$1,MATCH(J347,Ottone!$A:$A,0)-1,MATCH(K347,Ottone!$F$1:$FF$1,0)-1))*IF(G347="Ottone",1,0)</f>
        <v>0</v>
      </c>
      <c r="T347" s="205">
        <f ca="1">IF(ISERROR(OFFSET(Rame!$F$1,MATCH(J347,Rame!$F:$F,0)-1,MATCH(K347,Rame!$F$1:$FF$1,0)-1)=TRUE),0,OFFSET(Rame!$F$1,MATCH(J347,Rame!$F:$F,0)-1,MATCH(K347,Rame!$F$1:$FF$1,0)-1))*IF(G347="Rame",1,0)</f>
        <v>0</v>
      </c>
      <c r="U347" s="205">
        <f ca="1">IF(ISERROR(OFFSET(Bronzo!$A$1,MATCH(J347,Bronzo!$A:$A,0)-1,MATCH(K347,Bronzo!$A$1:$AA$1,0)-1)=TRUE),0,OFFSET(Bronzo!$A$1,MATCH(J347,Bronzo!$A:$A,0)-1,MATCH(K347,Bronzo!$A$1:$AA$1,0)-1))</f>
        <v>0</v>
      </c>
      <c r="V347" s="205">
        <f t="shared" ca="1" si="178"/>
        <v>0</v>
      </c>
      <c r="W347" s="204"/>
      <c r="X347" s="205">
        <v>0</v>
      </c>
      <c r="Y347" s="206">
        <f t="shared" ca="1" si="179"/>
        <v>0</v>
      </c>
      <c r="Z347" s="277">
        <f t="shared" si="180"/>
        <v>0</v>
      </c>
      <c r="AA347" s="203"/>
      <c r="AB347" s="203">
        <f t="shared" ca="1" si="181"/>
        <v>0</v>
      </c>
      <c r="AC347" s="238"/>
      <c r="AI347" s="367">
        <f t="shared" ca="1" si="176"/>
        <v>46092</v>
      </c>
      <c r="AJ347" s="367" t="b">
        <f t="shared" si="170"/>
        <v>1</v>
      </c>
      <c r="AK347" s="370" t="str">
        <f t="shared" si="171"/>
        <v/>
      </c>
      <c r="AN347">
        <f t="shared" si="172"/>
        <v>0</v>
      </c>
      <c r="AO347">
        <f t="shared" si="173"/>
        <v>1900</v>
      </c>
      <c r="AV347">
        <f t="shared" si="174"/>
        <v>0</v>
      </c>
      <c r="AW347">
        <f t="shared" si="175"/>
        <v>0</v>
      </c>
    </row>
    <row r="348" spans="4:49" ht="15.75" x14ac:dyDescent="0.25">
      <c r="D348" s="199"/>
      <c r="E348" s="200"/>
      <c r="F348" s="287"/>
      <c r="G348" s="201"/>
      <c r="H348" s="219"/>
      <c r="I348" s="202"/>
      <c r="J348" s="200"/>
      <c r="K348" s="200"/>
      <c r="L348" s="203"/>
      <c r="M348" s="204">
        <f ca="1">IF(ISERROR(OFFSET(Tabella!$A$1,MATCH(J348,Tabella!$A:$A,0)-1,MATCH(L348,Tabella!$A$1:$AC$1,0)-1)=TRUE),0,+OFFSET(Tabella!$A$1,MATCH(J348,Tabella!$A:$A,0)-1,MATCH(L348,Tabella!$A$1:$AC$1,0)-1))</f>
        <v>0</v>
      </c>
      <c r="N348" s="205">
        <f ca="1">IF(ISERROR(OFFSET(Ottone!$A$1,MATCH(J348,Ottone!$A:$A,0)-1,MATCH(L348,Ottone!$A$1:$Z$1,0)-1)=TRUE),0,OFFSET(Ottone!$A$1,MATCH(J348,Ottone!$A:$A,0)-1,MATCH(L348,Ottone!$A$1:$Z$1,0)-1))*IF(G348="Ottone",1,0)</f>
        <v>0</v>
      </c>
      <c r="O348" s="205">
        <f ca="1">IF(ISERROR(OFFSET(Rame!$A$1,MATCH(J348,Rame!$A:$A,0)-1,MATCH(L348,Rame!$A$1:$AA$1,0)-1)=TRUE),0,OFFSET(Rame!$A$1,MATCH(J348,Rame!$A:$A,0)-1,MATCH(L348,Rame!$A$1:$AA$1,0)-1))*IF(G348="Rame",1,0)</f>
        <v>0</v>
      </c>
      <c r="P348" s="205">
        <v>0</v>
      </c>
      <c r="Q348" s="205">
        <f t="shared" ca="1" si="177"/>
        <v>0</v>
      </c>
      <c r="R348" s="205">
        <f ca="1">+IF(ISERROR(OFFSET(Tabella!$G$1,MATCH(J348,Tabella!$G:$G,0)-1,MATCH(K348,Tabella!$G$1:$FG$1,0)-1)=TRUE),0,OFFSET(Tabella!$G$1,MATCH(J348,Tabella!$G:$G,0)-1,MATCH(K348,Tabella!$G$1:$AB$1,0)-1))</f>
        <v>0</v>
      </c>
      <c r="S348" s="205">
        <f ca="1">IF(ISERROR(OFFSET(Ottone!$F$1,MATCH(J348,Ottone!$A:$A,0)-1,MATCH(K348,Ottone!$F$1:$FF$1,0)-1)=TRUE),0,OFFSET(Ottone!$F$1,MATCH(J348,Ottone!$A:$A,0)-1,MATCH(K348,Ottone!$F$1:$FF$1,0)-1))*IF(G348="Ottone",1,0)</f>
        <v>0</v>
      </c>
      <c r="T348" s="205">
        <f ca="1">IF(ISERROR(OFFSET(Rame!$F$1,MATCH(J348,Rame!$F:$F,0)-1,MATCH(K348,Rame!$F$1:$FF$1,0)-1)=TRUE),0,OFFSET(Rame!$F$1,MATCH(J348,Rame!$F:$F,0)-1,MATCH(K348,Rame!$F$1:$FF$1,0)-1))*IF(G348="Rame",1,0)</f>
        <v>0</v>
      </c>
      <c r="U348" s="205">
        <f ca="1">IF(ISERROR(OFFSET(Bronzo!$A$1,MATCH(J348,Bronzo!$A:$A,0)-1,MATCH(K348,Bronzo!$A$1:$AA$1,0)-1)=TRUE),0,OFFSET(Bronzo!$A$1,MATCH(J348,Bronzo!$A:$A,0)-1,MATCH(K348,Bronzo!$A$1:$AA$1,0)-1))</f>
        <v>0</v>
      </c>
      <c r="V348" s="205">
        <f t="shared" ca="1" si="178"/>
        <v>0</v>
      </c>
      <c r="W348" s="204"/>
      <c r="X348" s="205">
        <v>0</v>
      </c>
      <c r="Y348" s="206">
        <f t="shared" ca="1" si="179"/>
        <v>0</v>
      </c>
      <c r="Z348" s="277">
        <f t="shared" si="180"/>
        <v>0</v>
      </c>
      <c r="AA348" s="203"/>
      <c r="AB348" s="203">
        <f t="shared" ca="1" si="181"/>
        <v>0</v>
      </c>
      <c r="AC348" s="238"/>
      <c r="AI348" s="367">
        <f t="shared" ca="1" si="176"/>
        <v>46092</v>
      </c>
      <c r="AJ348" s="367" t="b">
        <f t="shared" si="170"/>
        <v>1</v>
      </c>
      <c r="AK348" s="370" t="str">
        <f t="shared" si="171"/>
        <v/>
      </c>
      <c r="AN348">
        <f t="shared" si="172"/>
        <v>0</v>
      </c>
      <c r="AO348">
        <f t="shared" si="173"/>
        <v>1900</v>
      </c>
      <c r="AV348">
        <f t="shared" si="174"/>
        <v>0</v>
      </c>
      <c r="AW348">
        <f t="shared" si="175"/>
        <v>0</v>
      </c>
    </row>
    <row r="349" spans="4:49" ht="15.75" x14ac:dyDescent="0.25">
      <c r="D349" s="199"/>
      <c r="E349" s="200"/>
      <c r="F349" s="287"/>
      <c r="G349" s="201"/>
      <c r="H349" s="219"/>
      <c r="I349" s="202"/>
      <c r="J349" s="200"/>
      <c r="K349" s="200"/>
      <c r="L349" s="203"/>
      <c r="M349" s="204">
        <f ca="1">IF(ISERROR(OFFSET(Tabella!$A$1,MATCH(J349,Tabella!$A:$A,0)-1,MATCH(L349,Tabella!$A$1:$AC$1,0)-1)=TRUE),0,+OFFSET(Tabella!$A$1,MATCH(J349,Tabella!$A:$A,0)-1,MATCH(L349,Tabella!$A$1:$AC$1,0)-1))</f>
        <v>0</v>
      </c>
      <c r="N349" s="205">
        <f ca="1">IF(ISERROR(OFFSET(Ottone!$A$1,MATCH(J349,Ottone!$A:$A,0)-1,MATCH(L349,Ottone!$A$1:$Z$1,0)-1)=TRUE),0,OFFSET(Ottone!$A$1,MATCH(J349,Ottone!$A:$A,0)-1,MATCH(L349,Ottone!$A$1:$Z$1,0)-1))*IF(G349="Ottone",1,0)</f>
        <v>0</v>
      </c>
      <c r="O349" s="205">
        <f ca="1">IF(ISERROR(OFFSET(Rame!$A$1,MATCH(J349,Rame!$A:$A,0)-1,MATCH(L349,Rame!$A$1:$AA$1,0)-1)=TRUE),0,OFFSET(Rame!$A$1,MATCH(J349,Rame!$A:$A,0)-1,MATCH(L349,Rame!$A$1:$AA$1,0)-1))*IF(G349="Rame",1,0)</f>
        <v>0</v>
      </c>
      <c r="P349" s="205">
        <v>0</v>
      </c>
      <c r="Q349" s="205">
        <f t="shared" ca="1" si="177"/>
        <v>0</v>
      </c>
      <c r="R349" s="205">
        <f ca="1">+IF(ISERROR(OFFSET(Tabella!$G$1,MATCH(J349,Tabella!$G:$G,0)-1,MATCH(K349,Tabella!$G$1:$FG$1,0)-1)=TRUE),0,OFFSET(Tabella!$G$1,MATCH(J349,Tabella!$G:$G,0)-1,MATCH(K349,Tabella!$G$1:$AB$1,0)-1))</f>
        <v>0</v>
      </c>
      <c r="S349" s="205">
        <f ca="1">IF(ISERROR(OFFSET(Ottone!$F$1,MATCH(J349,Ottone!$A:$A,0)-1,MATCH(K349,Ottone!$F$1:$FF$1,0)-1)=TRUE),0,OFFSET(Ottone!$F$1,MATCH(J349,Ottone!$A:$A,0)-1,MATCH(K349,Ottone!$F$1:$FF$1,0)-1))*IF(G349="Ottone",1,0)</f>
        <v>0</v>
      </c>
      <c r="T349" s="205">
        <f ca="1">IF(ISERROR(OFFSET(Rame!$F$1,MATCH(J349,Rame!$F:$F,0)-1,MATCH(K349,Rame!$F$1:$FF$1,0)-1)=TRUE),0,OFFSET(Rame!$F$1,MATCH(J349,Rame!$F:$F,0)-1,MATCH(K349,Rame!$F$1:$FF$1,0)-1))*IF(G349="Rame",1,0)</f>
        <v>0</v>
      </c>
      <c r="U349" s="205">
        <f ca="1">IF(ISERROR(OFFSET(Bronzo!$A$1,MATCH(J349,Bronzo!$A:$A,0)-1,MATCH(K349,Bronzo!$A$1:$AA$1,0)-1)=TRUE),0,OFFSET(Bronzo!$A$1,MATCH(J349,Bronzo!$A:$A,0)-1,MATCH(K349,Bronzo!$A$1:$AA$1,0)-1))</f>
        <v>0</v>
      </c>
      <c r="V349" s="205">
        <f t="shared" ca="1" si="178"/>
        <v>0</v>
      </c>
      <c r="W349" s="204"/>
      <c r="X349" s="205">
        <v>0</v>
      </c>
      <c r="Y349" s="206">
        <f t="shared" ca="1" si="179"/>
        <v>0</v>
      </c>
      <c r="Z349" s="277">
        <f t="shared" si="180"/>
        <v>0</v>
      </c>
      <c r="AA349" s="203"/>
      <c r="AB349" s="203">
        <f t="shared" ca="1" si="181"/>
        <v>0</v>
      </c>
      <c r="AC349" s="238"/>
      <c r="AI349" s="367">
        <f t="shared" ca="1" si="176"/>
        <v>46092</v>
      </c>
      <c r="AJ349" s="367" t="b">
        <f t="shared" si="170"/>
        <v>1</v>
      </c>
      <c r="AK349" s="370" t="str">
        <f t="shared" si="171"/>
        <v/>
      </c>
      <c r="AN349">
        <f t="shared" si="172"/>
        <v>0</v>
      </c>
      <c r="AO349">
        <f t="shared" si="173"/>
        <v>1900</v>
      </c>
      <c r="AV349">
        <f t="shared" si="174"/>
        <v>0</v>
      </c>
      <c r="AW349">
        <f t="shared" si="175"/>
        <v>0</v>
      </c>
    </row>
    <row r="350" spans="4:49" ht="15.75" x14ac:dyDescent="0.25">
      <c r="D350" s="199"/>
      <c r="E350" s="200"/>
      <c r="F350" s="287"/>
      <c r="G350" s="201"/>
      <c r="H350" s="219"/>
      <c r="I350" s="202"/>
      <c r="J350" s="200"/>
      <c r="K350" s="200"/>
      <c r="L350" s="203"/>
      <c r="M350" s="204">
        <f ca="1">IF(ISERROR(OFFSET(Tabella!$A$1,MATCH(J350,Tabella!$A:$A,0)-1,MATCH(L350,Tabella!$A$1:$AC$1,0)-1)=TRUE),0,+OFFSET(Tabella!$A$1,MATCH(J350,Tabella!$A:$A,0)-1,MATCH(L350,Tabella!$A$1:$AC$1,0)-1))</f>
        <v>0</v>
      </c>
      <c r="N350" s="205">
        <f ca="1">IF(ISERROR(OFFSET(Ottone!$A$1,MATCH(J350,Ottone!$A:$A,0)-1,MATCH(L350,Ottone!$A$1:$Z$1,0)-1)=TRUE),0,OFFSET(Ottone!$A$1,MATCH(J350,Ottone!$A:$A,0)-1,MATCH(L350,Ottone!$A$1:$Z$1,0)-1))*IF(G350="Ottone",1,0)</f>
        <v>0</v>
      </c>
      <c r="O350" s="205">
        <f ca="1">IF(ISERROR(OFFSET(Rame!$A$1,MATCH(J350,Rame!$A:$A,0)-1,MATCH(L350,Rame!$A$1:$AA$1,0)-1)=TRUE),0,OFFSET(Rame!$A$1,MATCH(J350,Rame!$A:$A,0)-1,MATCH(L350,Rame!$A$1:$AA$1,0)-1))*IF(G350="Rame",1,0)</f>
        <v>0</v>
      </c>
      <c r="P350" s="205">
        <v>0</v>
      </c>
      <c r="Q350" s="205">
        <f t="shared" ca="1" si="177"/>
        <v>0</v>
      </c>
      <c r="R350" s="205">
        <f ca="1">+IF(ISERROR(OFFSET(Tabella!$G$1,MATCH(J350,Tabella!$G:$G,0)-1,MATCH(K350,Tabella!$G$1:$FG$1,0)-1)=TRUE),0,OFFSET(Tabella!$G$1,MATCH(J350,Tabella!$G:$G,0)-1,MATCH(K350,Tabella!$G$1:$AB$1,0)-1))</f>
        <v>0</v>
      </c>
      <c r="S350" s="205">
        <f ca="1">IF(ISERROR(OFFSET(Ottone!$F$1,MATCH(J350,Ottone!$A:$A,0)-1,MATCH(K350,Ottone!$F$1:$FF$1,0)-1)=TRUE),0,OFFSET(Ottone!$F$1,MATCH(J350,Ottone!$A:$A,0)-1,MATCH(K350,Ottone!$F$1:$FF$1,0)-1))*IF(G350="Ottone",1,0)</f>
        <v>0</v>
      </c>
      <c r="T350" s="205">
        <f ca="1">IF(ISERROR(OFFSET(Rame!$F$1,MATCH(J350,Rame!$F:$F,0)-1,MATCH(K350,Rame!$F$1:$FF$1,0)-1)=TRUE),0,OFFSET(Rame!$F$1,MATCH(J350,Rame!$F:$F,0)-1,MATCH(K350,Rame!$F$1:$FF$1,0)-1))*IF(G350="Rame",1,0)</f>
        <v>0</v>
      </c>
      <c r="U350" s="205">
        <f ca="1">IF(ISERROR(OFFSET(Bronzo!$A$1,MATCH(J350,Bronzo!$A:$A,0)-1,MATCH(K350,Bronzo!$A$1:$AA$1,0)-1)=TRUE),0,OFFSET(Bronzo!$A$1,MATCH(J350,Bronzo!$A:$A,0)-1,MATCH(K350,Bronzo!$A$1:$AA$1,0)-1))</f>
        <v>0</v>
      </c>
      <c r="V350" s="205">
        <f t="shared" ca="1" si="178"/>
        <v>0</v>
      </c>
      <c r="W350" s="204"/>
      <c r="X350" s="205">
        <v>0</v>
      </c>
      <c r="Y350" s="206">
        <f t="shared" ca="1" si="179"/>
        <v>0</v>
      </c>
      <c r="Z350" s="277">
        <f t="shared" si="180"/>
        <v>0</v>
      </c>
      <c r="AA350" s="203"/>
      <c r="AB350" s="203">
        <f t="shared" ca="1" si="181"/>
        <v>0</v>
      </c>
      <c r="AC350" s="238"/>
      <c r="AI350" s="367">
        <f t="shared" ca="1" si="176"/>
        <v>46092</v>
      </c>
      <c r="AJ350" s="367" t="b">
        <f t="shared" si="170"/>
        <v>1</v>
      </c>
      <c r="AK350" s="370" t="str">
        <f t="shared" si="171"/>
        <v/>
      </c>
      <c r="AN350">
        <f t="shared" si="172"/>
        <v>0</v>
      </c>
      <c r="AO350">
        <f t="shared" si="173"/>
        <v>1900</v>
      </c>
      <c r="AV350">
        <f t="shared" si="174"/>
        <v>0</v>
      </c>
      <c r="AW350">
        <f t="shared" si="175"/>
        <v>0</v>
      </c>
    </row>
    <row r="351" spans="4:49" ht="15.75" x14ac:dyDescent="0.25">
      <c r="D351" s="199"/>
      <c r="E351" s="200"/>
      <c r="F351" s="287"/>
      <c r="G351" s="201"/>
      <c r="H351" s="219"/>
      <c r="I351" s="202"/>
      <c r="J351" s="200"/>
      <c r="K351" s="200"/>
      <c r="L351" s="203"/>
      <c r="M351" s="204">
        <f ca="1">IF(ISERROR(OFFSET(Tabella!$A$1,MATCH(J351,Tabella!$A:$A,0)-1,MATCH(L351,Tabella!$A$1:$AC$1,0)-1)=TRUE),0,+OFFSET(Tabella!$A$1,MATCH(J351,Tabella!$A:$A,0)-1,MATCH(L351,Tabella!$A$1:$AC$1,0)-1))</f>
        <v>0</v>
      </c>
      <c r="N351" s="205">
        <f ca="1">IF(ISERROR(OFFSET(Ottone!$A$1,MATCH(J351,Ottone!$A:$A,0)-1,MATCH(L351,Ottone!$A$1:$Z$1,0)-1)=TRUE),0,OFFSET(Ottone!$A$1,MATCH(J351,Ottone!$A:$A,0)-1,MATCH(L351,Ottone!$A$1:$Z$1,0)-1))*IF(G351="Ottone",1,0)</f>
        <v>0</v>
      </c>
      <c r="O351" s="205">
        <f ca="1">IF(ISERROR(OFFSET(Rame!$A$1,MATCH(J351,Rame!$A:$A,0)-1,MATCH(L351,Rame!$A$1:$AA$1,0)-1)=TRUE),0,OFFSET(Rame!$A$1,MATCH(J351,Rame!$A:$A,0)-1,MATCH(L351,Rame!$A$1:$AA$1,0)-1))*IF(G351="Rame",1,0)</f>
        <v>0</v>
      </c>
      <c r="P351" s="205">
        <v>0</v>
      </c>
      <c r="Q351" s="205">
        <f t="shared" ca="1" si="177"/>
        <v>0</v>
      </c>
      <c r="R351" s="205">
        <f ca="1">+IF(ISERROR(OFFSET(Tabella!$G$1,MATCH(J351,Tabella!$G:$G,0)-1,MATCH(K351,Tabella!$G$1:$FG$1,0)-1)=TRUE),0,OFFSET(Tabella!$G$1,MATCH(J351,Tabella!$G:$G,0)-1,MATCH(K351,Tabella!$G$1:$AB$1,0)-1))</f>
        <v>0</v>
      </c>
      <c r="S351" s="205">
        <f ca="1">IF(ISERROR(OFFSET(Ottone!$F$1,MATCH(J351,Ottone!$A:$A,0)-1,MATCH(K351,Ottone!$F$1:$FF$1,0)-1)=TRUE),0,OFFSET(Ottone!$F$1,MATCH(J351,Ottone!$A:$A,0)-1,MATCH(K351,Ottone!$F$1:$FF$1,0)-1))*IF(G351="Ottone",1,0)</f>
        <v>0</v>
      </c>
      <c r="T351" s="205">
        <f ca="1">IF(ISERROR(OFFSET(Rame!$F$1,MATCH(J351,Rame!$F:$F,0)-1,MATCH(K351,Rame!$F$1:$FF$1,0)-1)=TRUE),0,OFFSET(Rame!$F$1,MATCH(J351,Rame!$F:$F,0)-1,MATCH(K351,Rame!$F$1:$FF$1,0)-1))*IF(G351="Rame",1,0)</f>
        <v>0</v>
      </c>
      <c r="U351" s="205">
        <f ca="1">IF(ISERROR(OFFSET(Bronzo!$A$1,MATCH(J351,Bronzo!$A:$A,0)-1,MATCH(K351,Bronzo!$A$1:$AA$1,0)-1)=TRUE),0,OFFSET(Bronzo!$A$1,MATCH(J351,Bronzo!$A:$A,0)-1,MATCH(K351,Bronzo!$A$1:$AA$1,0)-1))</f>
        <v>0</v>
      </c>
      <c r="V351" s="205">
        <f t="shared" ca="1" si="178"/>
        <v>0</v>
      </c>
      <c r="W351" s="204"/>
      <c r="X351" s="205">
        <v>0</v>
      </c>
      <c r="Y351" s="206">
        <f t="shared" ca="1" si="179"/>
        <v>0</v>
      </c>
      <c r="Z351" s="277">
        <f t="shared" si="180"/>
        <v>0</v>
      </c>
      <c r="AA351" s="203"/>
      <c r="AB351" s="203">
        <f t="shared" ca="1" si="181"/>
        <v>0</v>
      </c>
      <c r="AC351" s="238"/>
      <c r="AI351" s="367">
        <f t="shared" ca="1" si="176"/>
        <v>46092</v>
      </c>
      <c r="AJ351" s="367" t="b">
        <f t="shared" si="170"/>
        <v>1</v>
      </c>
      <c r="AK351" s="370" t="str">
        <f t="shared" si="171"/>
        <v/>
      </c>
      <c r="AN351">
        <f t="shared" si="172"/>
        <v>0</v>
      </c>
      <c r="AO351">
        <f t="shared" si="173"/>
        <v>1900</v>
      </c>
      <c r="AV351">
        <f t="shared" si="174"/>
        <v>0</v>
      </c>
      <c r="AW351">
        <f t="shared" si="175"/>
        <v>0</v>
      </c>
    </row>
    <row r="352" spans="4:49" ht="15.75" x14ac:dyDescent="0.25">
      <c r="D352" s="199"/>
      <c r="E352" s="200"/>
      <c r="F352" s="287"/>
      <c r="G352" s="201"/>
      <c r="H352" s="219"/>
      <c r="I352" s="202"/>
      <c r="J352" s="200"/>
      <c r="K352" s="200"/>
      <c r="L352" s="203"/>
      <c r="M352" s="204">
        <f ca="1">IF(ISERROR(OFFSET(Tabella!$A$1,MATCH(J352,Tabella!$A:$A,0)-1,MATCH(L352,Tabella!$A$1:$AC$1,0)-1)=TRUE),0,+OFFSET(Tabella!$A$1,MATCH(J352,Tabella!$A:$A,0)-1,MATCH(L352,Tabella!$A$1:$AC$1,0)-1))</f>
        <v>0</v>
      </c>
      <c r="N352" s="205">
        <f ca="1">IF(ISERROR(OFFSET(Ottone!$A$1,MATCH(J352,Ottone!$A:$A,0)-1,MATCH(L352,Ottone!$A$1:$Z$1,0)-1)=TRUE),0,OFFSET(Ottone!$A$1,MATCH(J352,Ottone!$A:$A,0)-1,MATCH(L352,Ottone!$A$1:$Z$1,0)-1))*IF(G352="Ottone",1,0)</f>
        <v>0</v>
      </c>
      <c r="O352" s="205">
        <f ca="1">IF(ISERROR(OFFSET(Rame!$A$1,MATCH(J352,Rame!$A:$A,0)-1,MATCH(L352,Rame!$A$1:$AA$1,0)-1)=TRUE),0,OFFSET(Rame!$A$1,MATCH(J352,Rame!$A:$A,0)-1,MATCH(L352,Rame!$A$1:$AA$1,0)-1))*IF(G352="Rame",1,0)</f>
        <v>0</v>
      </c>
      <c r="P352" s="205">
        <v>0</v>
      </c>
      <c r="Q352" s="205">
        <f t="shared" ca="1" si="177"/>
        <v>0</v>
      </c>
      <c r="R352" s="205">
        <f ca="1">+IF(ISERROR(OFFSET(Tabella!$G$1,MATCH(J352,Tabella!$G:$G,0)-1,MATCH(K352,Tabella!$G$1:$FG$1,0)-1)=TRUE),0,OFFSET(Tabella!$G$1,MATCH(J352,Tabella!$G:$G,0)-1,MATCH(K352,Tabella!$G$1:$AB$1,0)-1))</f>
        <v>0</v>
      </c>
      <c r="S352" s="205">
        <f ca="1">IF(ISERROR(OFFSET(Ottone!$F$1,MATCH(J352,Ottone!$A:$A,0)-1,MATCH(K352,Ottone!$F$1:$FF$1,0)-1)=TRUE),0,OFFSET(Ottone!$F$1,MATCH(J352,Ottone!$A:$A,0)-1,MATCH(K352,Ottone!$F$1:$FF$1,0)-1))*IF(G352="Ottone",1,0)</f>
        <v>0</v>
      </c>
      <c r="T352" s="205">
        <f ca="1">IF(ISERROR(OFFSET(Rame!$F$1,MATCH(J352,Rame!$F:$F,0)-1,MATCH(K352,Rame!$F$1:$FF$1,0)-1)=TRUE),0,OFFSET(Rame!$F$1,MATCH(J352,Rame!$F:$F,0)-1,MATCH(K352,Rame!$F$1:$FF$1,0)-1))*IF(G352="Rame",1,0)</f>
        <v>0</v>
      </c>
      <c r="U352" s="205">
        <f ca="1">IF(ISERROR(OFFSET(Bronzo!$A$1,MATCH(J352,Bronzo!$A:$A,0)-1,MATCH(K352,Bronzo!$A$1:$AA$1,0)-1)=TRUE),0,OFFSET(Bronzo!$A$1,MATCH(J352,Bronzo!$A:$A,0)-1,MATCH(K352,Bronzo!$A$1:$AA$1,0)-1))</f>
        <v>0</v>
      </c>
      <c r="V352" s="205">
        <f t="shared" ca="1" si="178"/>
        <v>0</v>
      </c>
      <c r="W352" s="204"/>
      <c r="X352" s="205">
        <v>0</v>
      </c>
      <c r="Y352" s="206">
        <f t="shared" ca="1" si="179"/>
        <v>0</v>
      </c>
      <c r="Z352" s="277">
        <f t="shared" si="180"/>
        <v>0</v>
      </c>
      <c r="AA352" s="203"/>
      <c r="AB352" s="203">
        <f t="shared" ca="1" si="181"/>
        <v>0</v>
      </c>
      <c r="AC352" s="238"/>
      <c r="AI352" s="367">
        <f t="shared" ca="1" si="176"/>
        <v>46092</v>
      </c>
      <c r="AJ352" s="367" t="b">
        <f t="shared" ref="AJ352:AJ415" si="182">ISBLANK(AC352)</f>
        <v>1</v>
      </c>
      <c r="AK352" s="370" t="str">
        <f t="shared" ref="AK352:AK415" si="183">IF(AJ352=FALSE,_xlfn.DAYS(AC352,AI352),"")</f>
        <v/>
      </c>
      <c r="AN352">
        <f t="shared" ref="AN352:AN415" si="184">WEEKNUM(AC352)</f>
        <v>0</v>
      </c>
      <c r="AO352">
        <f t="shared" ref="AO352:AO415" si="185">YEAR(AC352)</f>
        <v>1900</v>
      </c>
      <c r="AV352">
        <f t="shared" ref="AV352:AV415" si="186">IF(AC352="",0,MONTH(AC352))</f>
        <v>0</v>
      </c>
      <c r="AW352">
        <f t="shared" ref="AW352:AW415" si="187">IF(AC352="",0,YEAR(AC352))</f>
        <v>0</v>
      </c>
    </row>
    <row r="353" spans="4:49" ht="15.75" x14ac:dyDescent="0.25">
      <c r="D353" s="199"/>
      <c r="E353" s="200"/>
      <c r="F353" s="287"/>
      <c r="G353" s="201"/>
      <c r="H353" s="219"/>
      <c r="I353" s="202"/>
      <c r="J353" s="200"/>
      <c r="K353" s="200"/>
      <c r="L353" s="203"/>
      <c r="M353" s="204">
        <f ca="1">IF(ISERROR(OFFSET(Tabella!$A$1,MATCH(J353,Tabella!$A:$A,0)-1,MATCH(L353,Tabella!$A$1:$AC$1,0)-1)=TRUE),0,+OFFSET(Tabella!$A$1,MATCH(J353,Tabella!$A:$A,0)-1,MATCH(L353,Tabella!$A$1:$AC$1,0)-1))</f>
        <v>0</v>
      </c>
      <c r="N353" s="205">
        <f ca="1">IF(ISERROR(OFFSET(Ottone!$A$1,MATCH(J353,Ottone!$A:$A,0)-1,MATCH(L353,Ottone!$A$1:$Z$1,0)-1)=TRUE),0,OFFSET(Ottone!$A$1,MATCH(J353,Ottone!$A:$A,0)-1,MATCH(L353,Ottone!$A$1:$Z$1,0)-1))*IF(G353="Ottone",1,0)</f>
        <v>0</v>
      </c>
      <c r="O353" s="205">
        <f ca="1">IF(ISERROR(OFFSET(Rame!$A$1,MATCH(J353,Rame!$A:$A,0)-1,MATCH(L353,Rame!$A$1:$AA$1,0)-1)=TRUE),0,OFFSET(Rame!$A$1,MATCH(J353,Rame!$A:$A,0)-1,MATCH(L353,Rame!$A$1:$AA$1,0)-1))*IF(G353="Rame",1,0)</f>
        <v>0</v>
      </c>
      <c r="P353" s="205">
        <v>0</v>
      </c>
      <c r="Q353" s="205">
        <f t="shared" ca="1" si="177"/>
        <v>0</v>
      </c>
      <c r="R353" s="205">
        <f ca="1">+IF(ISERROR(OFFSET(Tabella!$G$1,MATCH(J353,Tabella!$G:$G,0)-1,MATCH(K353,Tabella!$G$1:$FG$1,0)-1)=TRUE),0,OFFSET(Tabella!$G$1,MATCH(J353,Tabella!$G:$G,0)-1,MATCH(K353,Tabella!$G$1:$AB$1,0)-1))</f>
        <v>0</v>
      </c>
      <c r="S353" s="205">
        <f ca="1">IF(ISERROR(OFFSET(Ottone!$F$1,MATCH(J353,Ottone!$A:$A,0)-1,MATCH(K353,Ottone!$F$1:$FF$1,0)-1)=TRUE),0,OFFSET(Ottone!$F$1,MATCH(J353,Ottone!$A:$A,0)-1,MATCH(K353,Ottone!$F$1:$FF$1,0)-1))*IF(G353="Ottone",1,0)</f>
        <v>0</v>
      </c>
      <c r="T353" s="205">
        <f ca="1">IF(ISERROR(OFFSET(Rame!$F$1,MATCH(J353,Rame!$F:$F,0)-1,MATCH(K353,Rame!$F$1:$FF$1,0)-1)=TRUE),0,OFFSET(Rame!$F$1,MATCH(J353,Rame!$F:$F,0)-1,MATCH(K353,Rame!$F$1:$FF$1,0)-1))*IF(G353="Rame",1,0)</f>
        <v>0</v>
      </c>
      <c r="U353" s="205">
        <f ca="1">IF(ISERROR(OFFSET(Bronzo!$A$1,MATCH(J353,Bronzo!$A:$A,0)-1,MATCH(K353,Bronzo!$A$1:$AA$1,0)-1)=TRUE),0,OFFSET(Bronzo!$A$1,MATCH(J353,Bronzo!$A:$A,0)-1,MATCH(K353,Bronzo!$A$1:$AA$1,0)-1))</f>
        <v>0</v>
      </c>
      <c r="V353" s="205">
        <f t="shared" ca="1" si="178"/>
        <v>0</v>
      </c>
      <c r="W353" s="204"/>
      <c r="X353" s="205">
        <v>0</v>
      </c>
      <c r="Y353" s="206">
        <f t="shared" ca="1" si="179"/>
        <v>0</v>
      </c>
      <c r="Z353" s="277">
        <f t="shared" si="180"/>
        <v>0</v>
      </c>
      <c r="AA353" s="203"/>
      <c r="AB353" s="203">
        <f t="shared" ca="1" si="181"/>
        <v>0</v>
      </c>
      <c r="AC353" s="238"/>
      <c r="AI353" s="367">
        <f t="shared" ca="1" si="176"/>
        <v>46092</v>
      </c>
      <c r="AJ353" s="367" t="b">
        <f t="shared" si="182"/>
        <v>1</v>
      </c>
      <c r="AK353" s="370" t="str">
        <f t="shared" si="183"/>
        <v/>
      </c>
      <c r="AN353">
        <f t="shared" si="184"/>
        <v>0</v>
      </c>
      <c r="AO353">
        <f t="shared" si="185"/>
        <v>1900</v>
      </c>
      <c r="AV353">
        <f t="shared" si="186"/>
        <v>0</v>
      </c>
      <c r="AW353">
        <f t="shared" si="187"/>
        <v>0</v>
      </c>
    </row>
    <row r="354" spans="4:49" ht="15.75" x14ac:dyDescent="0.25">
      <c r="D354" s="199"/>
      <c r="E354" s="200"/>
      <c r="F354" s="287"/>
      <c r="G354" s="201"/>
      <c r="H354" s="219"/>
      <c r="I354" s="202"/>
      <c r="J354" s="200"/>
      <c r="K354" s="200"/>
      <c r="L354" s="203"/>
      <c r="M354" s="204">
        <f ca="1">IF(ISERROR(OFFSET(Tabella!$A$1,MATCH(J354,Tabella!$A:$A,0)-1,MATCH(L354,Tabella!$A$1:$AC$1,0)-1)=TRUE),0,+OFFSET(Tabella!$A$1,MATCH(J354,Tabella!$A:$A,0)-1,MATCH(L354,Tabella!$A$1:$AC$1,0)-1))</f>
        <v>0</v>
      </c>
      <c r="N354" s="205">
        <f ca="1">IF(ISERROR(OFFSET(Ottone!$A$1,MATCH(J354,Ottone!$A:$A,0)-1,MATCH(L354,Ottone!$A$1:$Z$1,0)-1)=TRUE),0,OFFSET(Ottone!$A$1,MATCH(J354,Ottone!$A:$A,0)-1,MATCH(L354,Ottone!$A$1:$Z$1,0)-1))*IF(G354="Ottone",1,0)</f>
        <v>0</v>
      </c>
      <c r="O354" s="205">
        <f ca="1">IF(ISERROR(OFFSET(Rame!$A$1,MATCH(J354,Rame!$A:$A,0)-1,MATCH(L354,Rame!$A$1:$AA$1,0)-1)=TRUE),0,OFFSET(Rame!$A$1,MATCH(J354,Rame!$A:$A,0)-1,MATCH(L354,Rame!$A$1:$AA$1,0)-1))*IF(G354="Rame",1,0)</f>
        <v>0</v>
      </c>
      <c r="P354" s="205">
        <v>0</v>
      </c>
      <c r="Q354" s="205">
        <f t="shared" ca="1" si="177"/>
        <v>0</v>
      </c>
      <c r="R354" s="205">
        <f ca="1">+IF(ISERROR(OFFSET(Tabella!$G$1,MATCH(J354,Tabella!$G:$G,0)-1,MATCH(K354,Tabella!$G$1:$FG$1,0)-1)=TRUE),0,OFFSET(Tabella!$G$1,MATCH(J354,Tabella!$G:$G,0)-1,MATCH(K354,Tabella!$G$1:$AB$1,0)-1))</f>
        <v>0</v>
      </c>
      <c r="S354" s="205">
        <f ca="1">IF(ISERROR(OFFSET(Ottone!$F$1,MATCH(J354,Ottone!$A:$A,0)-1,MATCH(K354,Ottone!$F$1:$FF$1,0)-1)=TRUE),0,OFFSET(Ottone!$F$1,MATCH(J354,Ottone!$A:$A,0)-1,MATCH(K354,Ottone!$F$1:$FF$1,0)-1))*IF(G354="Ottone",1,0)</f>
        <v>0</v>
      </c>
      <c r="T354" s="205">
        <f ca="1">IF(ISERROR(OFFSET(Rame!$F$1,MATCH(J354,Rame!$F:$F,0)-1,MATCH(K354,Rame!$F$1:$FF$1,0)-1)=TRUE),0,OFFSET(Rame!$F$1,MATCH(J354,Rame!$F:$F,0)-1,MATCH(K354,Rame!$F$1:$FF$1,0)-1))*IF(G354="Rame",1,0)</f>
        <v>0</v>
      </c>
      <c r="U354" s="205">
        <f ca="1">IF(ISERROR(OFFSET(Bronzo!$A$1,MATCH(J354,Bronzo!$A:$A,0)-1,MATCH(K354,Bronzo!$A$1:$AA$1,0)-1)=TRUE),0,OFFSET(Bronzo!$A$1,MATCH(J354,Bronzo!$A:$A,0)-1,MATCH(K354,Bronzo!$A$1:$AA$1,0)-1))</f>
        <v>0</v>
      </c>
      <c r="V354" s="205">
        <f t="shared" ca="1" si="178"/>
        <v>0</v>
      </c>
      <c r="W354" s="204"/>
      <c r="X354" s="205">
        <v>0</v>
      </c>
      <c r="Y354" s="206">
        <f t="shared" ca="1" si="179"/>
        <v>0</v>
      </c>
      <c r="Z354" s="277">
        <f t="shared" si="180"/>
        <v>0</v>
      </c>
      <c r="AA354" s="203"/>
      <c r="AB354" s="203">
        <f t="shared" ca="1" si="181"/>
        <v>0</v>
      </c>
      <c r="AC354" s="238"/>
      <c r="AI354" s="367">
        <f t="shared" ca="1" si="176"/>
        <v>46092</v>
      </c>
      <c r="AJ354" s="367" t="b">
        <f t="shared" si="182"/>
        <v>1</v>
      </c>
      <c r="AK354" s="370" t="str">
        <f t="shared" si="183"/>
        <v/>
      </c>
      <c r="AN354">
        <f t="shared" si="184"/>
        <v>0</v>
      </c>
      <c r="AO354">
        <f t="shared" si="185"/>
        <v>1900</v>
      </c>
      <c r="AV354">
        <f t="shared" si="186"/>
        <v>0</v>
      </c>
      <c r="AW354">
        <f t="shared" si="187"/>
        <v>0</v>
      </c>
    </row>
    <row r="355" spans="4:49" ht="15.75" x14ac:dyDescent="0.25">
      <c r="D355" s="199"/>
      <c r="E355" s="200"/>
      <c r="F355" s="287"/>
      <c r="G355" s="201"/>
      <c r="H355" s="219"/>
      <c r="I355" s="202"/>
      <c r="J355" s="200"/>
      <c r="K355" s="200"/>
      <c r="L355" s="203"/>
      <c r="M355" s="204">
        <f ca="1">IF(ISERROR(OFFSET(Tabella!$A$1,MATCH(J355,Tabella!$A:$A,0)-1,MATCH(L355,Tabella!$A$1:$AC$1,0)-1)=TRUE),0,+OFFSET(Tabella!$A$1,MATCH(J355,Tabella!$A:$A,0)-1,MATCH(L355,Tabella!$A$1:$AC$1,0)-1))</f>
        <v>0</v>
      </c>
      <c r="N355" s="205">
        <f ca="1">IF(ISERROR(OFFSET(Ottone!$A$1,MATCH(J355,Ottone!$A:$A,0)-1,MATCH(L355,Ottone!$A$1:$Z$1,0)-1)=TRUE),0,OFFSET(Ottone!$A$1,MATCH(J355,Ottone!$A:$A,0)-1,MATCH(L355,Ottone!$A$1:$Z$1,0)-1))*IF(G355="Ottone",1,0)</f>
        <v>0</v>
      </c>
      <c r="O355" s="205">
        <f ca="1">IF(ISERROR(OFFSET(Rame!$A$1,MATCH(J355,Rame!$A:$A,0)-1,MATCH(L355,Rame!$A$1:$AA$1,0)-1)=TRUE),0,OFFSET(Rame!$A$1,MATCH(J355,Rame!$A:$A,0)-1,MATCH(L355,Rame!$A$1:$AA$1,0)-1))*IF(G355="Rame",1,0)</f>
        <v>0</v>
      </c>
      <c r="P355" s="205">
        <v>0</v>
      </c>
      <c r="Q355" s="205">
        <f t="shared" ca="1" si="177"/>
        <v>0</v>
      </c>
      <c r="R355" s="205">
        <f ca="1">+IF(ISERROR(OFFSET(Tabella!$G$1,MATCH(J355,Tabella!$G:$G,0)-1,MATCH(K355,Tabella!$G$1:$FG$1,0)-1)=TRUE),0,OFFSET(Tabella!$G$1,MATCH(J355,Tabella!$G:$G,0)-1,MATCH(K355,Tabella!$G$1:$AB$1,0)-1))</f>
        <v>0</v>
      </c>
      <c r="S355" s="205">
        <f ca="1">IF(ISERROR(OFFSET(Ottone!$F$1,MATCH(J355,Ottone!$A:$A,0)-1,MATCH(K355,Ottone!$F$1:$FF$1,0)-1)=TRUE),0,OFFSET(Ottone!$F$1,MATCH(J355,Ottone!$A:$A,0)-1,MATCH(K355,Ottone!$F$1:$FF$1,0)-1))*IF(G355="Ottone",1,0)</f>
        <v>0</v>
      </c>
      <c r="T355" s="205">
        <f ca="1">IF(ISERROR(OFFSET(Rame!$F$1,MATCH(J355,Rame!$F:$F,0)-1,MATCH(K355,Rame!$F$1:$FF$1,0)-1)=TRUE),0,OFFSET(Rame!$F$1,MATCH(J355,Rame!$F:$F,0)-1,MATCH(K355,Rame!$F$1:$FF$1,0)-1))*IF(G355="Rame",1,0)</f>
        <v>0</v>
      </c>
      <c r="U355" s="205">
        <f ca="1">IF(ISERROR(OFFSET(Bronzo!$A$1,MATCH(J355,Bronzo!$A:$A,0)-1,MATCH(K355,Bronzo!$A$1:$AA$1,0)-1)=TRUE),0,OFFSET(Bronzo!$A$1,MATCH(J355,Bronzo!$A:$A,0)-1,MATCH(K355,Bronzo!$A$1:$AA$1,0)-1))</f>
        <v>0</v>
      </c>
      <c r="V355" s="205">
        <f t="shared" ca="1" si="178"/>
        <v>0</v>
      </c>
      <c r="W355" s="204"/>
      <c r="X355" s="205">
        <v>0</v>
      </c>
      <c r="Y355" s="206">
        <f t="shared" ca="1" si="179"/>
        <v>0</v>
      </c>
      <c r="Z355" s="277">
        <f t="shared" si="180"/>
        <v>0</v>
      </c>
      <c r="AA355" s="203"/>
      <c r="AB355" s="203">
        <f t="shared" ca="1" si="181"/>
        <v>0</v>
      </c>
      <c r="AC355" s="238"/>
      <c r="AI355" s="367">
        <f t="shared" ca="1" si="176"/>
        <v>46092</v>
      </c>
      <c r="AJ355" s="367" t="b">
        <f t="shared" si="182"/>
        <v>1</v>
      </c>
      <c r="AK355" s="370" t="str">
        <f t="shared" si="183"/>
        <v/>
      </c>
      <c r="AN355">
        <f t="shared" si="184"/>
        <v>0</v>
      </c>
      <c r="AO355">
        <f t="shared" si="185"/>
        <v>1900</v>
      </c>
      <c r="AV355">
        <f t="shared" si="186"/>
        <v>0</v>
      </c>
      <c r="AW355">
        <f t="shared" si="187"/>
        <v>0</v>
      </c>
    </row>
    <row r="356" spans="4:49" ht="15.75" x14ac:dyDescent="0.25">
      <c r="D356" s="199"/>
      <c r="E356" s="200"/>
      <c r="F356" s="287"/>
      <c r="G356" s="201"/>
      <c r="H356" s="219"/>
      <c r="I356" s="202"/>
      <c r="J356" s="200"/>
      <c r="K356" s="200"/>
      <c r="L356" s="203"/>
      <c r="M356" s="204">
        <f ca="1">IF(ISERROR(OFFSET(Tabella!$A$1,MATCH(J356,Tabella!$A:$A,0)-1,MATCH(L356,Tabella!$A$1:$AC$1,0)-1)=TRUE),0,+OFFSET(Tabella!$A$1,MATCH(J356,Tabella!$A:$A,0)-1,MATCH(L356,Tabella!$A$1:$AC$1,0)-1))</f>
        <v>0</v>
      </c>
      <c r="N356" s="205">
        <f ca="1">IF(ISERROR(OFFSET(Ottone!$A$1,MATCH(J356,Ottone!$A:$A,0)-1,MATCH(L356,Ottone!$A$1:$Z$1,0)-1)=TRUE),0,OFFSET(Ottone!$A$1,MATCH(J356,Ottone!$A:$A,0)-1,MATCH(L356,Ottone!$A$1:$Z$1,0)-1))*IF(G356="Ottone",1,0)</f>
        <v>0</v>
      </c>
      <c r="O356" s="205">
        <f ca="1">IF(ISERROR(OFFSET(Rame!$A$1,MATCH(J356,Rame!$A:$A,0)-1,MATCH(L356,Rame!$A$1:$AA$1,0)-1)=TRUE),0,OFFSET(Rame!$A$1,MATCH(J356,Rame!$A:$A,0)-1,MATCH(L356,Rame!$A$1:$AA$1,0)-1))*IF(G356="Rame",1,0)</f>
        <v>0</v>
      </c>
      <c r="P356" s="205">
        <v>0</v>
      </c>
      <c r="Q356" s="205">
        <f t="shared" ca="1" si="177"/>
        <v>0</v>
      </c>
      <c r="R356" s="205">
        <f ca="1">+IF(ISERROR(OFFSET(Tabella!$G$1,MATCH(J356,Tabella!$G:$G,0)-1,MATCH(K356,Tabella!$G$1:$FG$1,0)-1)=TRUE),0,OFFSET(Tabella!$G$1,MATCH(J356,Tabella!$G:$G,0)-1,MATCH(K356,Tabella!$G$1:$AB$1,0)-1))</f>
        <v>0</v>
      </c>
      <c r="S356" s="205">
        <f ca="1">IF(ISERROR(OFFSET(Ottone!$F$1,MATCH(J356,Ottone!$A:$A,0)-1,MATCH(K356,Ottone!$F$1:$FF$1,0)-1)=TRUE),0,OFFSET(Ottone!$F$1,MATCH(J356,Ottone!$A:$A,0)-1,MATCH(K356,Ottone!$F$1:$FF$1,0)-1))*IF(G356="Ottone",1,0)</f>
        <v>0</v>
      </c>
      <c r="T356" s="205">
        <f ca="1">IF(ISERROR(OFFSET(Rame!$F$1,MATCH(J356,Rame!$F:$F,0)-1,MATCH(K356,Rame!$F$1:$FF$1,0)-1)=TRUE),0,OFFSET(Rame!$F$1,MATCH(J356,Rame!$F:$F,0)-1,MATCH(K356,Rame!$F$1:$FF$1,0)-1))*IF(G356="Rame",1,0)</f>
        <v>0</v>
      </c>
      <c r="U356" s="205">
        <f ca="1">IF(ISERROR(OFFSET(Bronzo!$A$1,MATCH(J356,Bronzo!$A:$A,0)-1,MATCH(K356,Bronzo!$A$1:$AA$1,0)-1)=TRUE),0,OFFSET(Bronzo!$A$1,MATCH(J356,Bronzo!$A:$A,0)-1,MATCH(K356,Bronzo!$A$1:$AA$1,0)-1))</f>
        <v>0</v>
      </c>
      <c r="V356" s="205">
        <f t="shared" ca="1" si="178"/>
        <v>0</v>
      </c>
      <c r="W356" s="204"/>
      <c r="X356" s="205">
        <v>0</v>
      </c>
      <c r="Y356" s="206">
        <f t="shared" ca="1" si="179"/>
        <v>0</v>
      </c>
      <c r="Z356" s="277">
        <f t="shared" si="180"/>
        <v>0</v>
      </c>
      <c r="AA356" s="203"/>
      <c r="AB356" s="203">
        <f t="shared" ca="1" si="181"/>
        <v>0</v>
      </c>
      <c r="AC356" s="238"/>
      <c r="AI356" s="367">
        <f t="shared" ca="1" si="176"/>
        <v>46092</v>
      </c>
      <c r="AJ356" s="367" t="b">
        <f t="shared" si="182"/>
        <v>1</v>
      </c>
      <c r="AK356" s="370" t="str">
        <f t="shared" si="183"/>
        <v/>
      </c>
      <c r="AN356">
        <f t="shared" si="184"/>
        <v>0</v>
      </c>
      <c r="AO356">
        <f t="shared" si="185"/>
        <v>1900</v>
      </c>
      <c r="AV356">
        <f t="shared" si="186"/>
        <v>0</v>
      </c>
      <c r="AW356">
        <f t="shared" si="187"/>
        <v>0</v>
      </c>
    </row>
    <row r="357" spans="4:49" ht="15.75" x14ac:dyDescent="0.25">
      <c r="D357" s="199"/>
      <c r="E357" s="200"/>
      <c r="F357" s="287"/>
      <c r="G357" s="201"/>
      <c r="H357" s="219"/>
      <c r="I357" s="202"/>
      <c r="J357" s="200"/>
      <c r="K357" s="200"/>
      <c r="L357" s="203"/>
      <c r="M357" s="204">
        <f ca="1">IF(ISERROR(OFFSET(Tabella!$A$1,MATCH(J357,Tabella!$A:$A,0)-1,MATCH(L357,Tabella!$A$1:$AC$1,0)-1)=TRUE),0,+OFFSET(Tabella!$A$1,MATCH(J357,Tabella!$A:$A,0)-1,MATCH(L357,Tabella!$A$1:$AC$1,0)-1))</f>
        <v>0</v>
      </c>
      <c r="N357" s="205">
        <f ca="1">IF(ISERROR(OFFSET(Ottone!$A$1,MATCH(J357,Ottone!$A:$A,0)-1,MATCH(L357,Ottone!$A$1:$Z$1,0)-1)=TRUE),0,OFFSET(Ottone!$A$1,MATCH(J357,Ottone!$A:$A,0)-1,MATCH(L357,Ottone!$A$1:$Z$1,0)-1))*IF(G357="Ottone",1,0)</f>
        <v>0</v>
      </c>
      <c r="O357" s="205">
        <f ca="1">IF(ISERROR(OFFSET(Rame!$A$1,MATCH(J357,Rame!$A:$A,0)-1,MATCH(L357,Rame!$A$1:$AA$1,0)-1)=TRUE),0,OFFSET(Rame!$A$1,MATCH(J357,Rame!$A:$A,0)-1,MATCH(L357,Rame!$A$1:$AA$1,0)-1))*IF(G357="Rame",1,0)</f>
        <v>0</v>
      </c>
      <c r="P357" s="205">
        <v>0</v>
      </c>
      <c r="Q357" s="205">
        <f t="shared" ca="1" si="177"/>
        <v>0</v>
      </c>
      <c r="R357" s="205">
        <f ca="1">+IF(ISERROR(OFFSET(Tabella!$G$1,MATCH(J357,Tabella!$G:$G,0)-1,MATCH(K357,Tabella!$G$1:$FG$1,0)-1)=TRUE),0,OFFSET(Tabella!$G$1,MATCH(J357,Tabella!$G:$G,0)-1,MATCH(K357,Tabella!$G$1:$AB$1,0)-1))</f>
        <v>0</v>
      </c>
      <c r="S357" s="205">
        <f ca="1">IF(ISERROR(OFFSET(Ottone!$F$1,MATCH(J357,Ottone!$A:$A,0)-1,MATCH(K357,Ottone!$F$1:$FF$1,0)-1)=TRUE),0,OFFSET(Ottone!$F$1,MATCH(J357,Ottone!$A:$A,0)-1,MATCH(K357,Ottone!$F$1:$FF$1,0)-1))*IF(G357="Ottone",1,0)</f>
        <v>0</v>
      </c>
      <c r="T357" s="205">
        <f ca="1">IF(ISERROR(OFFSET(Rame!$F$1,MATCH(J357,Rame!$F:$F,0)-1,MATCH(K357,Rame!$F$1:$FF$1,0)-1)=TRUE),0,OFFSET(Rame!$F$1,MATCH(J357,Rame!$F:$F,0)-1,MATCH(K357,Rame!$F$1:$FF$1,0)-1))*IF(G357="Rame",1,0)</f>
        <v>0</v>
      </c>
      <c r="U357" s="205">
        <f ca="1">IF(ISERROR(OFFSET(Bronzo!$A$1,MATCH(J357,Bronzo!$A:$A,0)-1,MATCH(K357,Bronzo!$A$1:$AA$1,0)-1)=TRUE),0,OFFSET(Bronzo!$A$1,MATCH(J357,Bronzo!$A:$A,0)-1,MATCH(K357,Bronzo!$A$1:$AA$1,0)-1))</f>
        <v>0</v>
      </c>
      <c r="V357" s="205">
        <f t="shared" ca="1" si="178"/>
        <v>0</v>
      </c>
      <c r="W357" s="204"/>
      <c r="X357" s="205">
        <v>0</v>
      </c>
      <c r="Y357" s="206">
        <f t="shared" ca="1" si="179"/>
        <v>0</v>
      </c>
      <c r="Z357" s="277">
        <f t="shared" si="180"/>
        <v>0</v>
      </c>
      <c r="AA357" s="203"/>
      <c r="AB357" s="203">
        <f t="shared" ca="1" si="181"/>
        <v>0</v>
      </c>
      <c r="AC357" s="238"/>
      <c r="AI357" s="367">
        <f t="shared" ca="1" si="176"/>
        <v>46092</v>
      </c>
      <c r="AJ357" s="367" t="b">
        <f t="shared" si="182"/>
        <v>1</v>
      </c>
      <c r="AK357" s="370" t="str">
        <f t="shared" si="183"/>
        <v/>
      </c>
      <c r="AN357">
        <f t="shared" si="184"/>
        <v>0</v>
      </c>
      <c r="AO357">
        <f t="shared" si="185"/>
        <v>1900</v>
      </c>
      <c r="AV357">
        <f t="shared" si="186"/>
        <v>0</v>
      </c>
      <c r="AW357">
        <f t="shared" si="187"/>
        <v>0</v>
      </c>
    </row>
    <row r="358" spans="4:49" ht="15.75" x14ac:dyDescent="0.25">
      <c r="D358" s="199"/>
      <c r="E358" s="200"/>
      <c r="F358" s="287"/>
      <c r="G358" s="201"/>
      <c r="H358" s="219"/>
      <c r="I358" s="202"/>
      <c r="J358" s="200"/>
      <c r="K358" s="200"/>
      <c r="L358" s="203"/>
      <c r="M358" s="204">
        <f ca="1">IF(ISERROR(OFFSET(Tabella!$A$1,MATCH(J358,Tabella!$A:$A,0)-1,MATCH(L358,Tabella!$A$1:$AC$1,0)-1)=TRUE),0,+OFFSET(Tabella!$A$1,MATCH(J358,Tabella!$A:$A,0)-1,MATCH(L358,Tabella!$A$1:$AC$1,0)-1))</f>
        <v>0</v>
      </c>
      <c r="N358" s="205">
        <f ca="1">IF(ISERROR(OFFSET(Ottone!$A$1,MATCH(J358,Ottone!$A:$A,0)-1,MATCH(L358,Ottone!$A$1:$Z$1,0)-1)=TRUE),0,OFFSET(Ottone!$A$1,MATCH(J358,Ottone!$A:$A,0)-1,MATCH(L358,Ottone!$A$1:$Z$1,0)-1))*IF(G358="Ottone",1,0)</f>
        <v>0</v>
      </c>
      <c r="O358" s="205">
        <f ca="1">IF(ISERROR(OFFSET(Rame!$A$1,MATCH(J358,Rame!$A:$A,0)-1,MATCH(L358,Rame!$A$1:$AA$1,0)-1)=TRUE),0,OFFSET(Rame!$A$1,MATCH(J358,Rame!$A:$A,0)-1,MATCH(L358,Rame!$A$1:$AA$1,0)-1))*IF(G358="Rame",1,0)</f>
        <v>0</v>
      </c>
      <c r="P358" s="205">
        <v>0</v>
      </c>
      <c r="Q358" s="205">
        <f t="shared" ca="1" si="177"/>
        <v>0</v>
      </c>
      <c r="R358" s="205">
        <f ca="1">+IF(ISERROR(OFFSET(Tabella!$G$1,MATCH(J358,Tabella!$G:$G,0)-1,MATCH(K358,Tabella!$G$1:$FG$1,0)-1)=TRUE),0,OFFSET(Tabella!$G$1,MATCH(J358,Tabella!$G:$G,0)-1,MATCH(K358,Tabella!$G$1:$AB$1,0)-1))</f>
        <v>0</v>
      </c>
      <c r="S358" s="205">
        <f ca="1">IF(ISERROR(OFFSET(Ottone!$F$1,MATCH(J358,Ottone!$A:$A,0)-1,MATCH(K358,Ottone!$F$1:$FF$1,0)-1)=TRUE),0,OFFSET(Ottone!$F$1,MATCH(J358,Ottone!$A:$A,0)-1,MATCH(K358,Ottone!$F$1:$FF$1,0)-1))*IF(G358="Ottone",1,0)</f>
        <v>0</v>
      </c>
      <c r="T358" s="205">
        <f ca="1">IF(ISERROR(OFFSET(Rame!$F$1,MATCH(J358,Rame!$F:$F,0)-1,MATCH(K358,Rame!$F$1:$FF$1,0)-1)=TRUE),0,OFFSET(Rame!$F$1,MATCH(J358,Rame!$F:$F,0)-1,MATCH(K358,Rame!$F$1:$FF$1,0)-1))*IF(G358="Rame",1,0)</f>
        <v>0</v>
      </c>
      <c r="U358" s="205">
        <f ca="1">IF(ISERROR(OFFSET(Bronzo!$A$1,MATCH(J358,Bronzo!$A:$A,0)-1,MATCH(K358,Bronzo!$A$1:$AA$1,0)-1)=TRUE),0,OFFSET(Bronzo!$A$1,MATCH(J358,Bronzo!$A:$A,0)-1,MATCH(K358,Bronzo!$A$1:$AA$1,0)-1))</f>
        <v>0</v>
      </c>
      <c r="V358" s="205">
        <f t="shared" ca="1" si="178"/>
        <v>0</v>
      </c>
      <c r="W358" s="204"/>
      <c r="X358" s="205">
        <v>0</v>
      </c>
      <c r="Y358" s="206">
        <f t="shared" ca="1" si="179"/>
        <v>0</v>
      </c>
      <c r="Z358" s="277">
        <f t="shared" si="180"/>
        <v>0</v>
      </c>
      <c r="AA358" s="203"/>
      <c r="AB358" s="203">
        <f t="shared" ca="1" si="181"/>
        <v>0</v>
      </c>
      <c r="AC358" s="238"/>
      <c r="AI358" s="367">
        <f t="shared" ca="1" si="176"/>
        <v>46092</v>
      </c>
      <c r="AJ358" s="367" t="b">
        <f t="shared" si="182"/>
        <v>1</v>
      </c>
      <c r="AK358" s="370" t="str">
        <f t="shared" si="183"/>
        <v/>
      </c>
      <c r="AN358">
        <f t="shared" si="184"/>
        <v>0</v>
      </c>
      <c r="AO358">
        <f t="shared" si="185"/>
        <v>1900</v>
      </c>
      <c r="AV358">
        <f t="shared" si="186"/>
        <v>0</v>
      </c>
      <c r="AW358">
        <f t="shared" si="187"/>
        <v>0</v>
      </c>
    </row>
    <row r="359" spans="4:49" ht="15.75" x14ac:dyDescent="0.25">
      <c r="D359" s="199"/>
      <c r="E359" s="200"/>
      <c r="F359" s="287"/>
      <c r="G359" s="201"/>
      <c r="H359" s="219"/>
      <c r="I359" s="202"/>
      <c r="J359" s="200"/>
      <c r="K359" s="200"/>
      <c r="L359" s="203"/>
      <c r="M359" s="204">
        <f ca="1">IF(ISERROR(OFFSET(Tabella!$A$1,MATCH(J359,Tabella!$A:$A,0)-1,MATCH(L359,Tabella!$A$1:$AC$1,0)-1)=TRUE),0,+OFFSET(Tabella!$A$1,MATCH(J359,Tabella!$A:$A,0)-1,MATCH(L359,Tabella!$A$1:$AC$1,0)-1))</f>
        <v>0</v>
      </c>
      <c r="N359" s="205">
        <f ca="1">IF(ISERROR(OFFSET(Ottone!$A$1,MATCH(J359,Ottone!$A:$A,0)-1,MATCH(L359,Ottone!$A$1:$Z$1,0)-1)=TRUE),0,OFFSET(Ottone!$A$1,MATCH(J359,Ottone!$A:$A,0)-1,MATCH(L359,Ottone!$A$1:$Z$1,0)-1))*IF(G359="Ottone",1,0)</f>
        <v>0</v>
      </c>
      <c r="O359" s="205">
        <f ca="1">IF(ISERROR(OFFSET(Rame!$A$1,MATCH(J359,Rame!$A:$A,0)-1,MATCH(L359,Rame!$A$1:$AA$1,0)-1)=TRUE),0,OFFSET(Rame!$A$1,MATCH(J359,Rame!$A:$A,0)-1,MATCH(L359,Rame!$A$1:$AA$1,0)-1))*IF(G359="Rame",1,0)</f>
        <v>0</v>
      </c>
      <c r="P359" s="205">
        <v>0</v>
      </c>
      <c r="Q359" s="205">
        <f t="shared" ca="1" si="177"/>
        <v>0</v>
      </c>
      <c r="R359" s="205">
        <f ca="1">+IF(ISERROR(OFFSET(Tabella!$G$1,MATCH(J359,Tabella!$G:$G,0)-1,MATCH(K359,Tabella!$G$1:$FG$1,0)-1)=TRUE),0,OFFSET(Tabella!$G$1,MATCH(J359,Tabella!$G:$G,0)-1,MATCH(K359,Tabella!$G$1:$AB$1,0)-1))</f>
        <v>0</v>
      </c>
      <c r="S359" s="205">
        <f ca="1">IF(ISERROR(OFFSET(Ottone!$F$1,MATCH(J359,Ottone!$A:$A,0)-1,MATCH(K359,Ottone!$F$1:$FF$1,0)-1)=TRUE),0,OFFSET(Ottone!$F$1,MATCH(J359,Ottone!$A:$A,0)-1,MATCH(K359,Ottone!$F$1:$FF$1,0)-1))*IF(G359="Ottone",1,0)</f>
        <v>0</v>
      </c>
      <c r="T359" s="205">
        <f ca="1">IF(ISERROR(OFFSET(Rame!$F$1,MATCH(J359,Rame!$F:$F,0)-1,MATCH(K359,Rame!$F$1:$FF$1,0)-1)=TRUE),0,OFFSET(Rame!$F$1,MATCH(J359,Rame!$F:$F,0)-1,MATCH(K359,Rame!$F$1:$FF$1,0)-1))*IF(G359="Rame",1,0)</f>
        <v>0</v>
      </c>
      <c r="U359" s="205">
        <f ca="1">IF(ISERROR(OFFSET(Bronzo!$A$1,MATCH(J359,Bronzo!$A:$A,0)-1,MATCH(K359,Bronzo!$A$1:$AA$1,0)-1)=TRUE),0,OFFSET(Bronzo!$A$1,MATCH(J359,Bronzo!$A:$A,0)-1,MATCH(K359,Bronzo!$A$1:$AA$1,0)-1))</f>
        <v>0</v>
      </c>
      <c r="V359" s="205">
        <f t="shared" ca="1" si="178"/>
        <v>0</v>
      </c>
      <c r="W359" s="204"/>
      <c r="X359" s="205">
        <v>0</v>
      </c>
      <c r="Y359" s="206">
        <f t="shared" ca="1" si="179"/>
        <v>0</v>
      </c>
      <c r="Z359" s="277">
        <f t="shared" si="180"/>
        <v>0</v>
      </c>
      <c r="AA359" s="203"/>
      <c r="AB359" s="203">
        <f t="shared" ca="1" si="181"/>
        <v>0</v>
      </c>
      <c r="AC359" s="238"/>
      <c r="AI359" s="367">
        <f t="shared" ca="1" si="176"/>
        <v>46092</v>
      </c>
      <c r="AJ359" s="367" t="b">
        <f t="shared" si="182"/>
        <v>1</v>
      </c>
      <c r="AK359" s="370" t="str">
        <f t="shared" si="183"/>
        <v/>
      </c>
      <c r="AN359">
        <f t="shared" si="184"/>
        <v>0</v>
      </c>
      <c r="AO359">
        <f t="shared" si="185"/>
        <v>1900</v>
      </c>
      <c r="AV359">
        <f t="shared" si="186"/>
        <v>0</v>
      </c>
      <c r="AW359">
        <f t="shared" si="187"/>
        <v>0</v>
      </c>
    </row>
    <row r="360" spans="4:49" ht="15.75" x14ac:dyDescent="0.25">
      <c r="D360" s="199"/>
      <c r="E360" s="200"/>
      <c r="F360" s="287"/>
      <c r="G360" s="201"/>
      <c r="H360" s="219"/>
      <c r="I360" s="202"/>
      <c r="J360" s="200"/>
      <c r="K360" s="200"/>
      <c r="L360" s="203"/>
      <c r="M360" s="204">
        <f ca="1">IF(ISERROR(OFFSET(Tabella!$A$1,MATCH(J360,Tabella!$A:$A,0)-1,MATCH(L360,Tabella!$A$1:$AC$1,0)-1)=TRUE),0,+OFFSET(Tabella!$A$1,MATCH(J360,Tabella!$A:$A,0)-1,MATCH(L360,Tabella!$A$1:$AC$1,0)-1))</f>
        <v>0</v>
      </c>
      <c r="N360" s="205">
        <f ca="1">IF(ISERROR(OFFSET(Ottone!$A$1,MATCH(J360,Ottone!$A:$A,0)-1,MATCH(L360,Ottone!$A$1:$Z$1,0)-1)=TRUE),0,OFFSET(Ottone!$A$1,MATCH(J360,Ottone!$A:$A,0)-1,MATCH(L360,Ottone!$A$1:$Z$1,0)-1))*IF(G360="Ottone",1,0)</f>
        <v>0</v>
      </c>
      <c r="O360" s="205">
        <f ca="1">IF(ISERROR(OFFSET(Rame!$A$1,MATCH(J360,Rame!$A:$A,0)-1,MATCH(L360,Rame!$A$1:$AA$1,0)-1)=TRUE),0,OFFSET(Rame!$A$1,MATCH(J360,Rame!$A:$A,0)-1,MATCH(L360,Rame!$A$1:$AA$1,0)-1))*IF(G360="Rame",1,0)</f>
        <v>0</v>
      </c>
      <c r="P360" s="205">
        <v>0</v>
      </c>
      <c r="Q360" s="205">
        <f t="shared" ca="1" si="177"/>
        <v>0</v>
      </c>
      <c r="R360" s="205">
        <f ca="1">+IF(ISERROR(OFFSET(Tabella!$G$1,MATCH(J360,Tabella!$G:$G,0)-1,MATCH(K360,Tabella!$G$1:$FG$1,0)-1)=TRUE),0,OFFSET(Tabella!$G$1,MATCH(J360,Tabella!$G:$G,0)-1,MATCH(K360,Tabella!$G$1:$AB$1,0)-1))</f>
        <v>0</v>
      </c>
      <c r="S360" s="205">
        <f ca="1">IF(ISERROR(OFFSET(Ottone!$F$1,MATCH(J360,Ottone!$A:$A,0)-1,MATCH(K360,Ottone!$F$1:$FF$1,0)-1)=TRUE),0,OFFSET(Ottone!$F$1,MATCH(J360,Ottone!$A:$A,0)-1,MATCH(K360,Ottone!$F$1:$FF$1,0)-1))*IF(G360="Ottone",1,0)</f>
        <v>0</v>
      </c>
      <c r="T360" s="205">
        <f ca="1">IF(ISERROR(OFFSET(Rame!$F$1,MATCH(J360,Rame!$F:$F,0)-1,MATCH(K360,Rame!$F$1:$FF$1,0)-1)=TRUE),0,OFFSET(Rame!$F$1,MATCH(J360,Rame!$F:$F,0)-1,MATCH(K360,Rame!$F$1:$FF$1,0)-1))*IF(G360="Rame",1,0)</f>
        <v>0</v>
      </c>
      <c r="U360" s="205">
        <f ca="1">IF(ISERROR(OFFSET(Bronzo!$A$1,MATCH(J360,Bronzo!$A:$A,0)-1,MATCH(K360,Bronzo!$A$1:$AA$1,0)-1)=TRUE),0,OFFSET(Bronzo!$A$1,MATCH(J360,Bronzo!$A:$A,0)-1,MATCH(K360,Bronzo!$A$1:$AA$1,0)-1))</f>
        <v>0</v>
      </c>
      <c r="V360" s="205">
        <f t="shared" ca="1" si="178"/>
        <v>0</v>
      </c>
      <c r="W360" s="204"/>
      <c r="X360" s="205">
        <v>0</v>
      </c>
      <c r="Y360" s="206">
        <f t="shared" ca="1" si="179"/>
        <v>0</v>
      </c>
      <c r="Z360" s="277">
        <f t="shared" si="180"/>
        <v>0</v>
      </c>
      <c r="AA360" s="203"/>
      <c r="AB360" s="203">
        <f t="shared" ca="1" si="181"/>
        <v>0</v>
      </c>
      <c r="AC360" s="238"/>
      <c r="AI360" s="367">
        <f t="shared" ca="1" si="176"/>
        <v>46092</v>
      </c>
      <c r="AJ360" s="367" t="b">
        <f t="shared" si="182"/>
        <v>1</v>
      </c>
      <c r="AK360" s="370" t="str">
        <f t="shared" si="183"/>
        <v/>
      </c>
      <c r="AN360">
        <f t="shared" si="184"/>
        <v>0</v>
      </c>
      <c r="AO360">
        <f t="shared" si="185"/>
        <v>1900</v>
      </c>
      <c r="AV360">
        <f t="shared" si="186"/>
        <v>0</v>
      </c>
      <c r="AW360">
        <f t="shared" si="187"/>
        <v>0</v>
      </c>
    </row>
    <row r="361" spans="4:49" ht="15.75" x14ac:dyDescent="0.25">
      <c r="D361" s="199"/>
      <c r="E361" s="200"/>
      <c r="F361" s="287"/>
      <c r="G361" s="201"/>
      <c r="H361" s="219"/>
      <c r="I361" s="202"/>
      <c r="J361" s="200"/>
      <c r="K361" s="200"/>
      <c r="L361" s="203"/>
      <c r="M361" s="204">
        <f ca="1">IF(ISERROR(OFFSET(Tabella!$A$1,MATCH(J361,Tabella!$A:$A,0)-1,MATCH(L361,Tabella!$A$1:$AC$1,0)-1)=TRUE),0,+OFFSET(Tabella!$A$1,MATCH(J361,Tabella!$A:$A,0)-1,MATCH(L361,Tabella!$A$1:$AC$1,0)-1))</f>
        <v>0</v>
      </c>
      <c r="N361" s="205">
        <f ca="1">IF(ISERROR(OFFSET(Ottone!$A$1,MATCH(J361,Ottone!$A:$A,0)-1,MATCH(L361,Ottone!$A$1:$Z$1,0)-1)=TRUE),0,OFFSET(Ottone!$A$1,MATCH(J361,Ottone!$A:$A,0)-1,MATCH(L361,Ottone!$A$1:$Z$1,0)-1))*IF(G361="Ottone",1,0)</f>
        <v>0</v>
      </c>
      <c r="O361" s="205">
        <f ca="1">IF(ISERROR(OFFSET(Rame!$A$1,MATCH(J361,Rame!$A:$A,0)-1,MATCH(L361,Rame!$A$1:$AA$1,0)-1)=TRUE),0,OFFSET(Rame!$A$1,MATCH(J361,Rame!$A:$A,0)-1,MATCH(L361,Rame!$A$1:$AA$1,0)-1))*IF(G361="Rame",1,0)</f>
        <v>0</v>
      </c>
      <c r="P361" s="205">
        <v>0</v>
      </c>
      <c r="Q361" s="205">
        <f t="shared" ca="1" si="177"/>
        <v>0</v>
      </c>
      <c r="R361" s="205">
        <f ca="1">+IF(ISERROR(OFFSET(Tabella!$G$1,MATCH(J361,Tabella!$G:$G,0)-1,MATCH(K361,Tabella!$G$1:$FG$1,0)-1)=TRUE),0,OFFSET(Tabella!$G$1,MATCH(J361,Tabella!$G:$G,0)-1,MATCH(K361,Tabella!$G$1:$AB$1,0)-1))</f>
        <v>0</v>
      </c>
      <c r="S361" s="205">
        <f ca="1">IF(ISERROR(OFFSET(Ottone!$F$1,MATCH(J361,Ottone!$A:$A,0)-1,MATCH(K361,Ottone!$F$1:$FF$1,0)-1)=TRUE),0,OFFSET(Ottone!$F$1,MATCH(J361,Ottone!$A:$A,0)-1,MATCH(K361,Ottone!$F$1:$FF$1,0)-1))*IF(G361="Ottone",1,0)</f>
        <v>0</v>
      </c>
      <c r="T361" s="205">
        <f ca="1">IF(ISERROR(OFFSET(Rame!$F$1,MATCH(J361,Rame!$F:$F,0)-1,MATCH(K361,Rame!$F$1:$FF$1,0)-1)=TRUE),0,OFFSET(Rame!$F$1,MATCH(J361,Rame!$F:$F,0)-1,MATCH(K361,Rame!$F$1:$FF$1,0)-1))*IF(G361="Rame",1,0)</f>
        <v>0</v>
      </c>
      <c r="U361" s="205">
        <f ca="1">IF(ISERROR(OFFSET(Bronzo!$A$1,MATCH(J361,Bronzo!$A:$A,0)-1,MATCH(K361,Bronzo!$A$1:$AA$1,0)-1)=TRUE),0,OFFSET(Bronzo!$A$1,MATCH(J361,Bronzo!$A:$A,0)-1,MATCH(K361,Bronzo!$A$1:$AA$1,0)-1))</f>
        <v>0</v>
      </c>
      <c r="V361" s="205">
        <f t="shared" ca="1" si="178"/>
        <v>0</v>
      </c>
      <c r="W361" s="204"/>
      <c r="X361" s="205">
        <v>0</v>
      </c>
      <c r="Y361" s="206">
        <f t="shared" ca="1" si="179"/>
        <v>0</v>
      </c>
      <c r="Z361" s="277">
        <f t="shared" si="180"/>
        <v>0</v>
      </c>
      <c r="AA361" s="203"/>
      <c r="AB361" s="203">
        <f t="shared" ca="1" si="181"/>
        <v>0</v>
      </c>
      <c r="AC361" s="238"/>
      <c r="AI361" s="367">
        <f t="shared" ca="1" si="176"/>
        <v>46092</v>
      </c>
      <c r="AJ361" s="367" t="b">
        <f t="shared" si="182"/>
        <v>1</v>
      </c>
      <c r="AK361" s="370" t="str">
        <f t="shared" si="183"/>
        <v/>
      </c>
      <c r="AN361">
        <f t="shared" si="184"/>
        <v>0</v>
      </c>
      <c r="AO361">
        <f t="shared" si="185"/>
        <v>1900</v>
      </c>
      <c r="AV361">
        <f t="shared" si="186"/>
        <v>0</v>
      </c>
      <c r="AW361">
        <f t="shared" si="187"/>
        <v>0</v>
      </c>
    </row>
    <row r="362" spans="4:49" ht="15.75" x14ac:dyDescent="0.25">
      <c r="D362" s="199"/>
      <c r="E362" s="200"/>
      <c r="F362" s="287"/>
      <c r="G362" s="201"/>
      <c r="H362" s="219"/>
      <c r="I362" s="202"/>
      <c r="J362" s="200"/>
      <c r="K362" s="200"/>
      <c r="L362" s="203"/>
      <c r="M362" s="204">
        <f ca="1">IF(ISERROR(OFFSET(Tabella!$A$1,MATCH(J362,Tabella!$A:$A,0)-1,MATCH(L362,Tabella!$A$1:$AC$1,0)-1)=TRUE),0,+OFFSET(Tabella!$A$1,MATCH(J362,Tabella!$A:$A,0)-1,MATCH(L362,Tabella!$A$1:$AC$1,0)-1))</f>
        <v>0</v>
      </c>
      <c r="N362" s="205">
        <f ca="1">IF(ISERROR(OFFSET(Ottone!$A$1,MATCH(J362,Ottone!$A:$A,0)-1,MATCH(L362,Ottone!$A$1:$Z$1,0)-1)=TRUE),0,OFFSET(Ottone!$A$1,MATCH(J362,Ottone!$A:$A,0)-1,MATCH(L362,Ottone!$A$1:$Z$1,0)-1))*IF(G362="Ottone",1,0)</f>
        <v>0</v>
      </c>
      <c r="O362" s="205">
        <f ca="1">IF(ISERROR(OFFSET(Rame!$A$1,MATCH(J362,Rame!$A:$A,0)-1,MATCH(L362,Rame!$A$1:$AA$1,0)-1)=TRUE),0,OFFSET(Rame!$A$1,MATCH(J362,Rame!$A:$A,0)-1,MATCH(L362,Rame!$A$1:$AA$1,0)-1))*IF(G362="Rame",1,0)</f>
        <v>0</v>
      </c>
      <c r="P362" s="205">
        <v>0</v>
      </c>
      <c r="Q362" s="205">
        <f t="shared" ca="1" si="177"/>
        <v>0</v>
      </c>
      <c r="R362" s="205">
        <f ca="1">+IF(ISERROR(OFFSET(Tabella!$G$1,MATCH(J362,Tabella!$G:$G,0)-1,MATCH(K362,Tabella!$G$1:$FG$1,0)-1)=TRUE),0,OFFSET(Tabella!$G$1,MATCH(J362,Tabella!$G:$G,0)-1,MATCH(K362,Tabella!$G$1:$AB$1,0)-1))</f>
        <v>0</v>
      </c>
      <c r="S362" s="205">
        <f ca="1">IF(ISERROR(OFFSET(Ottone!$F$1,MATCH(J362,Ottone!$A:$A,0)-1,MATCH(K362,Ottone!$F$1:$FF$1,0)-1)=TRUE),0,OFFSET(Ottone!$F$1,MATCH(J362,Ottone!$A:$A,0)-1,MATCH(K362,Ottone!$F$1:$FF$1,0)-1))*IF(G362="Ottone",1,0)</f>
        <v>0</v>
      </c>
      <c r="T362" s="205">
        <f ca="1">IF(ISERROR(OFFSET(Rame!$F$1,MATCH(J362,Rame!$F:$F,0)-1,MATCH(K362,Rame!$F$1:$FF$1,0)-1)=TRUE),0,OFFSET(Rame!$F$1,MATCH(J362,Rame!$F:$F,0)-1,MATCH(K362,Rame!$F$1:$FF$1,0)-1))*IF(G362="Rame",1,0)</f>
        <v>0</v>
      </c>
      <c r="U362" s="205">
        <f ca="1">IF(ISERROR(OFFSET(Bronzo!$A$1,MATCH(J362,Bronzo!$A:$A,0)-1,MATCH(K362,Bronzo!$A$1:$AA$1,0)-1)=TRUE),0,OFFSET(Bronzo!$A$1,MATCH(J362,Bronzo!$A:$A,0)-1,MATCH(K362,Bronzo!$A$1:$AA$1,0)-1))</f>
        <v>0</v>
      </c>
      <c r="V362" s="205">
        <f t="shared" ca="1" si="178"/>
        <v>0</v>
      </c>
      <c r="W362" s="204"/>
      <c r="X362" s="205">
        <v>0</v>
      </c>
      <c r="Y362" s="206">
        <f t="shared" ca="1" si="179"/>
        <v>0</v>
      </c>
      <c r="Z362" s="277">
        <f t="shared" si="180"/>
        <v>0</v>
      </c>
      <c r="AA362" s="203"/>
      <c r="AB362" s="203">
        <f t="shared" ca="1" si="181"/>
        <v>0</v>
      </c>
      <c r="AC362" s="238"/>
      <c r="AI362" s="367">
        <f t="shared" ca="1" si="176"/>
        <v>46092</v>
      </c>
      <c r="AJ362" s="367" t="b">
        <f t="shared" si="182"/>
        <v>1</v>
      </c>
      <c r="AK362" s="370" t="str">
        <f t="shared" si="183"/>
        <v/>
      </c>
      <c r="AN362">
        <f t="shared" si="184"/>
        <v>0</v>
      </c>
      <c r="AO362">
        <f t="shared" si="185"/>
        <v>1900</v>
      </c>
      <c r="AV362">
        <f t="shared" si="186"/>
        <v>0</v>
      </c>
      <c r="AW362">
        <f t="shared" si="187"/>
        <v>0</v>
      </c>
    </row>
    <row r="363" spans="4:49" ht="15.75" x14ac:dyDescent="0.25">
      <c r="D363" s="199"/>
      <c r="E363" s="200"/>
      <c r="F363" s="287"/>
      <c r="G363" s="201"/>
      <c r="H363" s="219"/>
      <c r="I363" s="202"/>
      <c r="J363" s="200"/>
      <c r="K363" s="200"/>
      <c r="L363" s="203"/>
      <c r="M363" s="204">
        <f ca="1">IF(ISERROR(OFFSET(Tabella!$A$1,MATCH(J363,Tabella!$A:$A,0)-1,MATCH(L363,Tabella!$A$1:$AC$1,0)-1)=TRUE),0,+OFFSET(Tabella!$A$1,MATCH(J363,Tabella!$A:$A,0)-1,MATCH(L363,Tabella!$A$1:$AC$1,0)-1))</f>
        <v>0</v>
      </c>
      <c r="N363" s="205">
        <f ca="1">IF(ISERROR(OFFSET(Ottone!$A$1,MATCH(J363,Ottone!$A:$A,0)-1,MATCH(L363,Ottone!$A$1:$Z$1,0)-1)=TRUE),0,OFFSET(Ottone!$A$1,MATCH(J363,Ottone!$A:$A,0)-1,MATCH(L363,Ottone!$A$1:$Z$1,0)-1))*IF(G363="Ottone",1,0)</f>
        <v>0</v>
      </c>
      <c r="O363" s="205">
        <f ca="1">IF(ISERROR(OFFSET(Rame!$A$1,MATCH(J363,Rame!$A:$A,0)-1,MATCH(L363,Rame!$A$1:$AA$1,0)-1)=TRUE),0,OFFSET(Rame!$A$1,MATCH(J363,Rame!$A:$A,0)-1,MATCH(L363,Rame!$A$1:$AA$1,0)-1))*IF(G363="Rame",1,0)</f>
        <v>0</v>
      </c>
      <c r="P363" s="205">
        <v>0</v>
      </c>
      <c r="Q363" s="205">
        <f t="shared" ca="1" si="177"/>
        <v>0</v>
      </c>
      <c r="R363" s="205">
        <f ca="1">+IF(ISERROR(OFFSET(Tabella!$G$1,MATCH(J363,Tabella!$G:$G,0)-1,MATCH(K363,Tabella!$G$1:$FG$1,0)-1)=TRUE),0,OFFSET(Tabella!$G$1,MATCH(J363,Tabella!$G:$G,0)-1,MATCH(K363,Tabella!$G$1:$AB$1,0)-1))</f>
        <v>0</v>
      </c>
      <c r="S363" s="205">
        <f ca="1">IF(ISERROR(OFFSET(Ottone!$F$1,MATCH(J363,Ottone!$A:$A,0)-1,MATCH(K363,Ottone!$F$1:$FF$1,0)-1)=TRUE),0,OFFSET(Ottone!$F$1,MATCH(J363,Ottone!$A:$A,0)-1,MATCH(K363,Ottone!$F$1:$FF$1,0)-1))*IF(G363="Ottone",1,0)</f>
        <v>0</v>
      </c>
      <c r="T363" s="205">
        <f ca="1">IF(ISERROR(OFFSET(Rame!$F$1,MATCH(J363,Rame!$F:$F,0)-1,MATCH(K363,Rame!$F$1:$FF$1,0)-1)=TRUE),0,OFFSET(Rame!$F$1,MATCH(J363,Rame!$F:$F,0)-1,MATCH(K363,Rame!$F$1:$FF$1,0)-1))*IF(G363="Rame",1,0)</f>
        <v>0</v>
      </c>
      <c r="U363" s="205">
        <f ca="1">IF(ISERROR(OFFSET(Bronzo!$A$1,MATCH(J363,Bronzo!$A:$A,0)-1,MATCH(K363,Bronzo!$A$1:$AA$1,0)-1)=TRUE),0,OFFSET(Bronzo!$A$1,MATCH(J363,Bronzo!$A:$A,0)-1,MATCH(K363,Bronzo!$A$1:$AA$1,0)-1))</f>
        <v>0</v>
      </c>
      <c r="V363" s="205">
        <f t="shared" ca="1" si="178"/>
        <v>0</v>
      </c>
      <c r="W363" s="204"/>
      <c r="X363" s="205">
        <v>0</v>
      </c>
      <c r="Y363" s="206">
        <f t="shared" ca="1" si="179"/>
        <v>0</v>
      </c>
      <c r="Z363" s="277">
        <f t="shared" si="180"/>
        <v>0</v>
      </c>
      <c r="AA363" s="203"/>
      <c r="AB363" s="203">
        <f t="shared" ca="1" si="181"/>
        <v>0</v>
      </c>
      <c r="AC363" s="238"/>
      <c r="AI363" s="367">
        <f t="shared" ca="1" si="176"/>
        <v>46092</v>
      </c>
      <c r="AJ363" s="367" t="b">
        <f t="shared" si="182"/>
        <v>1</v>
      </c>
      <c r="AK363" s="370" t="str">
        <f t="shared" si="183"/>
        <v/>
      </c>
      <c r="AN363">
        <f t="shared" si="184"/>
        <v>0</v>
      </c>
      <c r="AO363">
        <f t="shared" si="185"/>
        <v>1900</v>
      </c>
      <c r="AV363">
        <f t="shared" si="186"/>
        <v>0</v>
      </c>
      <c r="AW363">
        <f t="shared" si="187"/>
        <v>0</v>
      </c>
    </row>
    <row r="364" spans="4:49" ht="15.75" x14ac:dyDescent="0.25">
      <c r="D364" s="199"/>
      <c r="E364" s="200"/>
      <c r="F364" s="287"/>
      <c r="G364" s="201"/>
      <c r="H364" s="219"/>
      <c r="I364" s="202"/>
      <c r="J364" s="200"/>
      <c r="K364" s="200"/>
      <c r="L364" s="203"/>
      <c r="M364" s="204">
        <f ca="1">IF(ISERROR(OFFSET(Tabella!$A$1,MATCH(J364,Tabella!$A:$A,0)-1,MATCH(L364,Tabella!$A$1:$AC$1,0)-1)=TRUE),0,+OFFSET(Tabella!$A$1,MATCH(J364,Tabella!$A:$A,0)-1,MATCH(L364,Tabella!$A$1:$AC$1,0)-1))</f>
        <v>0</v>
      </c>
      <c r="N364" s="205">
        <f ca="1">IF(ISERROR(OFFSET(Ottone!$A$1,MATCH(J364,Ottone!$A:$A,0)-1,MATCH(L364,Ottone!$A$1:$Z$1,0)-1)=TRUE),0,OFFSET(Ottone!$A$1,MATCH(J364,Ottone!$A:$A,0)-1,MATCH(L364,Ottone!$A$1:$Z$1,0)-1))*IF(G364="Ottone",1,0)</f>
        <v>0</v>
      </c>
      <c r="O364" s="205">
        <f ca="1">IF(ISERROR(OFFSET(Rame!$A$1,MATCH(J364,Rame!$A:$A,0)-1,MATCH(L364,Rame!$A$1:$AA$1,0)-1)=TRUE),0,OFFSET(Rame!$A$1,MATCH(J364,Rame!$A:$A,0)-1,MATCH(L364,Rame!$A$1:$AA$1,0)-1))*IF(G364="Rame",1,0)</f>
        <v>0</v>
      </c>
      <c r="P364" s="205">
        <v>0</v>
      </c>
      <c r="Q364" s="205">
        <f t="shared" ca="1" si="177"/>
        <v>0</v>
      </c>
      <c r="R364" s="205">
        <f ca="1">+IF(ISERROR(OFFSET(Tabella!$G$1,MATCH(J364,Tabella!$G:$G,0)-1,MATCH(K364,Tabella!$G$1:$FG$1,0)-1)=TRUE),0,OFFSET(Tabella!$G$1,MATCH(J364,Tabella!$G:$G,0)-1,MATCH(K364,Tabella!$G$1:$AB$1,0)-1))</f>
        <v>0</v>
      </c>
      <c r="S364" s="205">
        <f ca="1">IF(ISERROR(OFFSET(Ottone!$F$1,MATCH(J364,Ottone!$A:$A,0)-1,MATCH(K364,Ottone!$F$1:$FF$1,0)-1)=TRUE),0,OFFSET(Ottone!$F$1,MATCH(J364,Ottone!$A:$A,0)-1,MATCH(K364,Ottone!$F$1:$FF$1,0)-1))*IF(G364="Ottone",1,0)</f>
        <v>0</v>
      </c>
      <c r="T364" s="205">
        <f ca="1">IF(ISERROR(OFFSET(Rame!$F$1,MATCH(J364,Rame!$F:$F,0)-1,MATCH(K364,Rame!$F$1:$FF$1,0)-1)=TRUE),0,OFFSET(Rame!$F$1,MATCH(J364,Rame!$F:$F,0)-1,MATCH(K364,Rame!$F$1:$FF$1,0)-1))*IF(G364="Rame",1,0)</f>
        <v>0</v>
      </c>
      <c r="U364" s="205">
        <f ca="1">IF(ISERROR(OFFSET(Bronzo!$A$1,MATCH(J364,Bronzo!$A:$A,0)-1,MATCH(K364,Bronzo!$A$1:$AA$1,0)-1)=TRUE),0,OFFSET(Bronzo!$A$1,MATCH(J364,Bronzo!$A:$A,0)-1,MATCH(K364,Bronzo!$A$1:$AA$1,0)-1))</f>
        <v>0</v>
      </c>
      <c r="V364" s="205">
        <f t="shared" ca="1" si="178"/>
        <v>0</v>
      </c>
      <c r="W364" s="204"/>
      <c r="X364" s="205">
        <v>0</v>
      </c>
      <c r="Y364" s="206">
        <f t="shared" ca="1" si="179"/>
        <v>0</v>
      </c>
      <c r="Z364" s="277">
        <f t="shared" si="180"/>
        <v>0</v>
      </c>
      <c r="AA364" s="203"/>
      <c r="AB364" s="203">
        <f t="shared" ca="1" si="181"/>
        <v>0</v>
      </c>
      <c r="AC364" s="238"/>
      <c r="AI364" s="367">
        <f t="shared" ca="1" si="176"/>
        <v>46092</v>
      </c>
      <c r="AJ364" s="367" t="b">
        <f t="shared" si="182"/>
        <v>1</v>
      </c>
      <c r="AK364" s="370" t="str">
        <f t="shared" si="183"/>
        <v/>
      </c>
      <c r="AN364">
        <f t="shared" si="184"/>
        <v>0</v>
      </c>
      <c r="AO364">
        <f t="shared" si="185"/>
        <v>1900</v>
      </c>
      <c r="AV364">
        <f t="shared" si="186"/>
        <v>0</v>
      </c>
      <c r="AW364">
        <f t="shared" si="187"/>
        <v>0</v>
      </c>
    </row>
    <row r="365" spans="4:49" ht="15.75" x14ac:dyDescent="0.25">
      <c r="D365" s="199"/>
      <c r="E365" s="200"/>
      <c r="F365" s="287"/>
      <c r="G365" s="201"/>
      <c r="H365" s="219"/>
      <c r="I365" s="202"/>
      <c r="J365" s="200"/>
      <c r="K365" s="200"/>
      <c r="L365" s="203"/>
      <c r="M365" s="204">
        <f ca="1">IF(ISERROR(OFFSET(Tabella!$A$1,MATCH(J365,Tabella!$A:$A,0)-1,MATCH(L365,Tabella!$A$1:$AC$1,0)-1)=TRUE),0,+OFFSET(Tabella!$A$1,MATCH(J365,Tabella!$A:$A,0)-1,MATCH(L365,Tabella!$A$1:$AC$1,0)-1))</f>
        <v>0</v>
      </c>
      <c r="N365" s="205">
        <f ca="1">IF(ISERROR(OFFSET(Ottone!$A$1,MATCH(J365,Ottone!$A:$A,0)-1,MATCH(L365,Ottone!$A$1:$Z$1,0)-1)=TRUE),0,OFFSET(Ottone!$A$1,MATCH(J365,Ottone!$A:$A,0)-1,MATCH(L365,Ottone!$A$1:$Z$1,0)-1))*IF(G365="Ottone",1,0)</f>
        <v>0</v>
      </c>
      <c r="O365" s="205">
        <f ca="1">IF(ISERROR(OFFSET(Rame!$A$1,MATCH(J365,Rame!$A:$A,0)-1,MATCH(L365,Rame!$A$1:$AA$1,0)-1)=TRUE),0,OFFSET(Rame!$A$1,MATCH(J365,Rame!$A:$A,0)-1,MATCH(L365,Rame!$A$1:$AA$1,0)-1))*IF(G365="Rame",1,0)</f>
        <v>0</v>
      </c>
      <c r="P365" s="205">
        <v>0</v>
      </c>
      <c r="Q365" s="205">
        <f t="shared" ca="1" si="177"/>
        <v>0</v>
      </c>
      <c r="R365" s="205">
        <f ca="1">+IF(ISERROR(OFFSET(Tabella!$G$1,MATCH(J365,Tabella!$G:$G,0)-1,MATCH(K365,Tabella!$G$1:$FG$1,0)-1)=TRUE),0,OFFSET(Tabella!$G$1,MATCH(J365,Tabella!$G:$G,0)-1,MATCH(K365,Tabella!$G$1:$AB$1,0)-1))</f>
        <v>0</v>
      </c>
      <c r="S365" s="205">
        <f ca="1">IF(ISERROR(OFFSET(Ottone!$F$1,MATCH(J365,Ottone!$A:$A,0)-1,MATCH(K365,Ottone!$F$1:$FF$1,0)-1)=TRUE),0,OFFSET(Ottone!$F$1,MATCH(J365,Ottone!$A:$A,0)-1,MATCH(K365,Ottone!$F$1:$FF$1,0)-1))*IF(G365="Ottone",1,0)</f>
        <v>0</v>
      </c>
      <c r="T365" s="205">
        <f ca="1">IF(ISERROR(OFFSET(Rame!$F$1,MATCH(J365,Rame!$F:$F,0)-1,MATCH(K365,Rame!$F$1:$FF$1,0)-1)=TRUE),0,OFFSET(Rame!$F$1,MATCH(J365,Rame!$F:$F,0)-1,MATCH(K365,Rame!$F$1:$FF$1,0)-1))*IF(G365="Rame",1,0)</f>
        <v>0</v>
      </c>
      <c r="U365" s="205">
        <f ca="1">IF(ISERROR(OFFSET(Bronzo!$A$1,MATCH(J365,Bronzo!$A:$A,0)-1,MATCH(K365,Bronzo!$A$1:$AA$1,0)-1)=TRUE),0,OFFSET(Bronzo!$A$1,MATCH(J365,Bronzo!$A:$A,0)-1,MATCH(K365,Bronzo!$A$1:$AA$1,0)-1))</f>
        <v>0</v>
      </c>
      <c r="V365" s="205">
        <f t="shared" ca="1" si="178"/>
        <v>0</v>
      </c>
      <c r="W365" s="204"/>
      <c r="X365" s="205">
        <v>0</v>
      </c>
      <c r="Y365" s="206">
        <f t="shared" ca="1" si="179"/>
        <v>0</v>
      </c>
      <c r="Z365" s="277">
        <f t="shared" si="180"/>
        <v>0</v>
      </c>
      <c r="AA365" s="203"/>
      <c r="AB365" s="203">
        <f t="shared" ca="1" si="181"/>
        <v>0</v>
      </c>
      <c r="AC365" s="238"/>
      <c r="AI365" s="367">
        <f t="shared" ca="1" si="176"/>
        <v>46092</v>
      </c>
      <c r="AJ365" s="367" t="b">
        <f t="shared" si="182"/>
        <v>1</v>
      </c>
      <c r="AK365" s="370" t="str">
        <f t="shared" si="183"/>
        <v/>
      </c>
      <c r="AN365">
        <f t="shared" si="184"/>
        <v>0</v>
      </c>
      <c r="AO365">
        <f t="shared" si="185"/>
        <v>1900</v>
      </c>
      <c r="AV365">
        <f t="shared" si="186"/>
        <v>0</v>
      </c>
      <c r="AW365">
        <f t="shared" si="187"/>
        <v>0</v>
      </c>
    </row>
    <row r="366" spans="4:49" ht="15.75" x14ac:dyDescent="0.25">
      <c r="D366" s="199"/>
      <c r="E366" s="200"/>
      <c r="F366" s="287"/>
      <c r="G366" s="201"/>
      <c r="H366" s="219"/>
      <c r="I366" s="202"/>
      <c r="J366" s="200"/>
      <c r="K366" s="200"/>
      <c r="L366" s="203"/>
      <c r="M366" s="204">
        <f ca="1">IF(ISERROR(OFFSET(Tabella!$A$1,MATCH(J366,Tabella!$A:$A,0)-1,MATCH(L366,Tabella!$A$1:$AC$1,0)-1)=TRUE),0,+OFFSET(Tabella!$A$1,MATCH(J366,Tabella!$A:$A,0)-1,MATCH(L366,Tabella!$A$1:$AC$1,0)-1))</f>
        <v>0</v>
      </c>
      <c r="N366" s="205">
        <f ca="1">IF(ISERROR(OFFSET(Ottone!$A$1,MATCH(J366,Ottone!$A:$A,0)-1,MATCH(L366,Ottone!$A$1:$Z$1,0)-1)=TRUE),0,OFFSET(Ottone!$A$1,MATCH(J366,Ottone!$A:$A,0)-1,MATCH(L366,Ottone!$A$1:$Z$1,0)-1))*IF(G366="Ottone",1,0)</f>
        <v>0</v>
      </c>
      <c r="O366" s="205">
        <f ca="1">IF(ISERROR(OFFSET(Rame!$A$1,MATCH(J366,Rame!$A:$A,0)-1,MATCH(L366,Rame!$A$1:$AA$1,0)-1)=TRUE),0,OFFSET(Rame!$A$1,MATCH(J366,Rame!$A:$A,0)-1,MATCH(L366,Rame!$A$1:$AA$1,0)-1))*IF(G366="Rame",1,0)</f>
        <v>0</v>
      </c>
      <c r="P366" s="205">
        <v>0</v>
      </c>
      <c r="Q366" s="205">
        <f t="shared" ca="1" si="177"/>
        <v>0</v>
      </c>
      <c r="R366" s="205">
        <f ca="1">+IF(ISERROR(OFFSET(Tabella!$G$1,MATCH(J366,Tabella!$G:$G,0)-1,MATCH(K366,Tabella!$G$1:$FG$1,0)-1)=TRUE),0,OFFSET(Tabella!$G$1,MATCH(J366,Tabella!$G:$G,0)-1,MATCH(K366,Tabella!$G$1:$AB$1,0)-1))</f>
        <v>0</v>
      </c>
      <c r="S366" s="205">
        <f ca="1">IF(ISERROR(OFFSET(Ottone!$F$1,MATCH(J366,Ottone!$A:$A,0)-1,MATCH(K366,Ottone!$F$1:$FF$1,0)-1)=TRUE),0,OFFSET(Ottone!$F$1,MATCH(J366,Ottone!$A:$A,0)-1,MATCH(K366,Ottone!$F$1:$FF$1,0)-1))*IF(G366="Ottone",1,0)</f>
        <v>0</v>
      </c>
      <c r="T366" s="205">
        <f ca="1">IF(ISERROR(OFFSET(Rame!$F$1,MATCH(J366,Rame!$F:$F,0)-1,MATCH(K366,Rame!$F$1:$FF$1,0)-1)=TRUE),0,OFFSET(Rame!$F$1,MATCH(J366,Rame!$F:$F,0)-1,MATCH(K366,Rame!$F$1:$FF$1,0)-1))*IF(G366="Rame",1,0)</f>
        <v>0</v>
      </c>
      <c r="U366" s="205">
        <f ca="1">IF(ISERROR(OFFSET(Bronzo!$A$1,MATCH(J366,Bronzo!$A:$A,0)-1,MATCH(K366,Bronzo!$A$1:$AA$1,0)-1)=TRUE),0,OFFSET(Bronzo!$A$1,MATCH(J366,Bronzo!$A:$A,0)-1,MATCH(K366,Bronzo!$A$1:$AA$1,0)-1))</f>
        <v>0</v>
      </c>
      <c r="V366" s="205">
        <f t="shared" ca="1" si="178"/>
        <v>0</v>
      </c>
      <c r="W366" s="204"/>
      <c r="X366" s="205">
        <v>0</v>
      </c>
      <c r="Y366" s="206">
        <f t="shared" ca="1" si="179"/>
        <v>0</v>
      </c>
      <c r="Z366" s="277">
        <f t="shared" si="180"/>
        <v>0</v>
      </c>
      <c r="AA366" s="203"/>
      <c r="AB366" s="203">
        <f t="shared" ca="1" si="181"/>
        <v>0</v>
      </c>
      <c r="AC366" s="238"/>
      <c r="AI366" s="367">
        <f t="shared" ca="1" si="176"/>
        <v>46092</v>
      </c>
      <c r="AJ366" s="367" t="b">
        <f t="shared" si="182"/>
        <v>1</v>
      </c>
      <c r="AK366" s="370" t="str">
        <f t="shared" si="183"/>
        <v/>
      </c>
      <c r="AN366">
        <f t="shared" si="184"/>
        <v>0</v>
      </c>
      <c r="AO366">
        <f t="shared" si="185"/>
        <v>1900</v>
      </c>
      <c r="AV366">
        <f t="shared" si="186"/>
        <v>0</v>
      </c>
      <c r="AW366">
        <f t="shared" si="187"/>
        <v>0</v>
      </c>
    </row>
    <row r="367" spans="4:49" ht="15.75" x14ac:dyDescent="0.25">
      <c r="D367" s="199"/>
      <c r="E367" s="200"/>
      <c r="F367" s="287"/>
      <c r="G367" s="201"/>
      <c r="H367" s="219"/>
      <c r="I367" s="202"/>
      <c r="J367" s="200"/>
      <c r="K367" s="200"/>
      <c r="L367" s="203"/>
      <c r="M367" s="204">
        <f ca="1">IF(ISERROR(OFFSET(Tabella!$A$1,MATCH(J367,Tabella!$A:$A,0)-1,MATCH(L367,Tabella!$A$1:$AC$1,0)-1)=TRUE),0,+OFFSET(Tabella!$A$1,MATCH(J367,Tabella!$A:$A,0)-1,MATCH(L367,Tabella!$A$1:$AC$1,0)-1))</f>
        <v>0</v>
      </c>
      <c r="N367" s="205">
        <f ca="1">IF(ISERROR(OFFSET(Ottone!$A$1,MATCH(J367,Ottone!$A:$A,0)-1,MATCH(L367,Ottone!$A$1:$Z$1,0)-1)=TRUE),0,OFFSET(Ottone!$A$1,MATCH(J367,Ottone!$A:$A,0)-1,MATCH(L367,Ottone!$A$1:$Z$1,0)-1))*IF(G367="Ottone",1,0)</f>
        <v>0</v>
      </c>
      <c r="O367" s="205">
        <f ca="1">IF(ISERROR(OFFSET(Rame!$A$1,MATCH(J367,Rame!$A:$A,0)-1,MATCH(L367,Rame!$A$1:$AA$1,0)-1)=TRUE),0,OFFSET(Rame!$A$1,MATCH(J367,Rame!$A:$A,0)-1,MATCH(L367,Rame!$A$1:$AA$1,0)-1))*IF(G367="Rame",1,0)</f>
        <v>0</v>
      </c>
      <c r="P367" s="205">
        <v>0</v>
      </c>
      <c r="Q367" s="205">
        <f t="shared" ca="1" si="177"/>
        <v>0</v>
      </c>
      <c r="R367" s="205">
        <f ca="1">+IF(ISERROR(OFFSET(Tabella!$G$1,MATCH(J367,Tabella!$G:$G,0)-1,MATCH(K367,Tabella!$G$1:$FG$1,0)-1)=TRUE),0,OFFSET(Tabella!$G$1,MATCH(J367,Tabella!$G:$G,0)-1,MATCH(K367,Tabella!$G$1:$AB$1,0)-1))</f>
        <v>0</v>
      </c>
      <c r="S367" s="205">
        <f ca="1">IF(ISERROR(OFFSET(Ottone!$F$1,MATCH(J367,Ottone!$A:$A,0)-1,MATCH(K367,Ottone!$F$1:$FF$1,0)-1)=TRUE),0,OFFSET(Ottone!$F$1,MATCH(J367,Ottone!$A:$A,0)-1,MATCH(K367,Ottone!$F$1:$FF$1,0)-1))*IF(G367="Ottone",1,0)</f>
        <v>0</v>
      </c>
      <c r="T367" s="205">
        <f ca="1">IF(ISERROR(OFFSET(Rame!$F$1,MATCH(J367,Rame!$F:$F,0)-1,MATCH(K367,Rame!$F$1:$FF$1,0)-1)=TRUE),0,OFFSET(Rame!$F$1,MATCH(J367,Rame!$F:$F,0)-1,MATCH(K367,Rame!$F$1:$FF$1,0)-1))*IF(G367="Rame",1,0)</f>
        <v>0</v>
      </c>
      <c r="U367" s="205">
        <f ca="1">IF(ISERROR(OFFSET(Bronzo!$A$1,MATCH(J367,Bronzo!$A:$A,0)-1,MATCH(K367,Bronzo!$A$1:$AA$1,0)-1)=TRUE),0,OFFSET(Bronzo!$A$1,MATCH(J367,Bronzo!$A:$A,0)-1,MATCH(K367,Bronzo!$A$1:$AA$1,0)-1))</f>
        <v>0</v>
      </c>
      <c r="V367" s="205">
        <f t="shared" ca="1" si="178"/>
        <v>0</v>
      </c>
      <c r="W367" s="204"/>
      <c r="X367" s="205">
        <v>0</v>
      </c>
      <c r="Y367" s="206">
        <f t="shared" ca="1" si="179"/>
        <v>0</v>
      </c>
      <c r="Z367" s="277">
        <f t="shared" si="180"/>
        <v>0</v>
      </c>
      <c r="AA367" s="203"/>
      <c r="AB367" s="203">
        <f t="shared" ca="1" si="181"/>
        <v>0</v>
      </c>
      <c r="AC367" s="238"/>
      <c r="AI367" s="367">
        <f t="shared" ca="1" si="176"/>
        <v>46092</v>
      </c>
      <c r="AJ367" s="367" t="b">
        <f t="shared" si="182"/>
        <v>1</v>
      </c>
      <c r="AK367" s="370" t="str">
        <f t="shared" si="183"/>
        <v/>
      </c>
      <c r="AN367">
        <f t="shared" si="184"/>
        <v>0</v>
      </c>
      <c r="AO367">
        <f t="shared" si="185"/>
        <v>1900</v>
      </c>
      <c r="AV367">
        <f t="shared" si="186"/>
        <v>0</v>
      </c>
      <c r="AW367">
        <f t="shared" si="187"/>
        <v>0</v>
      </c>
    </row>
    <row r="368" spans="4:49" ht="15.75" x14ac:dyDescent="0.25">
      <c r="D368" s="199"/>
      <c r="E368" s="200"/>
      <c r="F368" s="287"/>
      <c r="G368" s="201"/>
      <c r="H368" s="219"/>
      <c r="I368" s="202"/>
      <c r="J368" s="200"/>
      <c r="K368" s="200"/>
      <c r="L368" s="203"/>
      <c r="M368" s="204">
        <f ca="1">IF(ISERROR(OFFSET(Tabella!$A$1,MATCH(J368,Tabella!$A:$A,0)-1,MATCH(L368,Tabella!$A$1:$AC$1,0)-1)=TRUE),0,+OFFSET(Tabella!$A$1,MATCH(J368,Tabella!$A:$A,0)-1,MATCH(L368,Tabella!$A$1:$AC$1,0)-1))</f>
        <v>0</v>
      </c>
      <c r="N368" s="205">
        <f ca="1">IF(ISERROR(OFFSET(Ottone!$A$1,MATCH(J368,Ottone!$A:$A,0)-1,MATCH(L368,Ottone!$A$1:$Z$1,0)-1)=TRUE),0,OFFSET(Ottone!$A$1,MATCH(J368,Ottone!$A:$A,0)-1,MATCH(L368,Ottone!$A$1:$Z$1,0)-1))*IF(G368="Ottone",1,0)</f>
        <v>0</v>
      </c>
      <c r="O368" s="205">
        <f ca="1">IF(ISERROR(OFFSET(Rame!$A$1,MATCH(J368,Rame!$A:$A,0)-1,MATCH(L368,Rame!$A$1:$AA$1,0)-1)=TRUE),0,OFFSET(Rame!$A$1,MATCH(J368,Rame!$A:$A,0)-1,MATCH(L368,Rame!$A$1:$AA$1,0)-1))*IF(G368="Rame",1,0)</f>
        <v>0</v>
      </c>
      <c r="P368" s="205">
        <v>0</v>
      </c>
      <c r="Q368" s="205">
        <f t="shared" ca="1" si="177"/>
        <v>0</v>
      </c>
      <c r="R368" s="205">
        <f ca="1">+IF(ISERROR(OFFSET(Tabella!$G$1,MATCH(J368,Tabella!$G:$G,0)-1,MATCH(K368,Tabella!$G$1:$FG$1,0)-1)=TRUE),0,OFFSET(Tabella!$G$1,MATCH(J368,Tabella!$G:$G,0)-1,MATCH(K368,Tabella!$G$1:$AB$1,0)-1))</f>
        <v>0</v>
      </c>
      <c r="S368" s="205">
        <f ca="1">IF(ISERROR(OFFSET(Ottone!$F$1,MATCH(J368,Ottone!$A:$A,0)-1,MATCH(K368,Ottone!$F$1:$FF$1,0)-1)=TRUE),0,OFFSET(Ottone!$F$1,MATCH(J368,Ottone!$A:$A,0)-1,MATCH(K368,Ottone!$F$1:$FF$1,0)-1))*IF(G368="Ottone",1,0)</f>
        <v>0</v>
      </c>
      <c r="T368" s="205">
        <f ca="1">IF(ISERROR(OFFSET(Rame!$F$1,MATCH(J368,Rame!$F:$F,0)-1,MATCH(K368,Rame!$F$1:$FF$1,0)-1)=TRUE),0,OFFSET(Rame!$F$1,MATCH(J368,Rame!$F:$F,0)-1,MATCH(K368,Rame!$F$1:$FF$1,0)-1))*IF(G368="Rame",1,0)</f>
        <v>0</v>
      </c>
      <c r="U368" s="205">
        <f ca="1">IF(ISERROR(OFFSET(Bronzo!$A$1,MATCH(J368,Bronzo!$A:$A,0)-1,MATCH(K368,Bronzo!$A$1:$AA$1,0)-1)=TRUE),0,OFFSET(Bronzo!$A$1,MATCH(J368,Bronzo!$A:$A,0)-1,MATCH(K368,Bronzo!$A$1:$AA$1,0)-1))</f>
        <v>0</v>
      </c>
      <c r="V368" s="205">
        <f t="shared" ca="1" si="178"/>
        <v>0</v>
      </c>
      <c r="W368" s="204"/>
      <c r="X368" s="205">
        <v>0</v>
      </c>
      <c r="Y368" s="206">
        <f t="shared" ca="1" si="179"/>
        <v>0</v>
      </c>
      <c r="Z368" s="277">
        <f t="shared" si="180"/>
        <v>0</v>
      </c>
      <c r="AA368" s="203"/>
      <c r="AB368" s="203">
        <f t="shared" ca="1" si="181"/>
        <v>0</v>
      </c>
      <c r="AC368" s="238"/>
      <c r="AI368" s="367">
        <f t="shared" ca="1" si="176"/>
        <v>46092</v>
      </c>
      <c r="AJ368" s="367" t="b">
        <f t="shared" si="182"/>
        <v>1</v>
      </c>
      <c r="AK368" s="370" t="str">
        <f t="shared" si="183"/>
        <v/>
      </c>
      <c r="AN368">
        <f t="shared" si="184"/>
        <v>0</v>
      </c>
      <c r="AO368">
        <f t="shared" si="185"/>
        <v>1900</v>
      </c>
      <c r="AV368">
        <f t="shared" si="186"/>
        <v>0</v>
      </c>
      <c r="AW368">
        <f t="shared" si="187"/>
        <v>0</v>
      </c>
    </row>
    <row r="369" spans="4:49" ht="15.75" x14ac:dyDescent="0.25">
      <c r="D369" s="199"/>
      <c r="E369" s="200"/>
      <c r="F369" s="287"/>
      <c r="G369" s="201"/>
      <c r="H369" s="219"/>
      <c r="I369" s="202"/>
      <c r="J369" s="200"/>
      <c r="K369" s="200"/>
      <c r="L369" s="203"/>
      <c r="M369" s="204">
        <f ca="1">IF(ISERROR(OFFSET(Tabella!$A$1,MATCH(J369,Tabella!$A:$A,0)-1,MATCH(L369,Tabella!$A$1:$AC$1,0)-1)=TRUE),0,+OFFSET(Tabella!$A$1,MATCH(J369,Tabella!$A:$A,0)-1,MATCH(L369,Tabella!$A$1:$AC$1,0)-1))</f>
        <v>0</v>
      </c>
      <c r="N369" s="205">
        <f ca="1">IF(ISERROR(OFFSET(Ottone!$A$1,MATCH(J369,Ottone!$A:$A,0)-1,MATCH(L369,Ottone!$A$1:$Z$1,0)-1)=TRUE),0,OFFSET(Ottone!$A$1,MATCH(J369,Ottone!$A:$A,0)-1,MATCH(L369,Ottone!$A$1:$Z$1,0)-1))*IF(G369="Ottone",1,0)</f>
        <v>0</v>
      </c>
      <c r="O369" s="205">
        <f ca="1">IF(ISERROR(OFFSET(Rame!$A$1,MATCH(J369,Rame!$A:$A,0)-1,MATCH(L369,Rame!$A$1:$AA$1,0)-1)=TRUE),0,OFFSET(Rame!$A$1,MATCH(J369,Rame!$A:$A,0)-1,MATCH(L369,Rame!$A$1:$AA$1,0)-1))*IF(G369="Rame",1,0)</f>
        <v>0</v>
      </c>
      <c r="P369" s="205">
        <v>0</v>
      </c>
      <c r="Q369" s="205">
        <f t="shared" ca="1" si="177"/>
        <v>0</v>
      </c>
      <c r="R369" s="205">
        <f ca="1">+IF(ISERROR(OFFSET(Tabella!$G$1,MATCH(J369,Tabella!$G:$G,0)-1,MATCH(K369,Tabella!$G$1:$FG$1,0)-1)=TRUE),0,OFFSET(Tabella!$G$1,MATCH(J369,Tabella!$G:$G,0)-1,MATCH(K369,Tabella!$G$1:$AB$1,0)-1))</f>
        <v>0</v>
      </c>
      <c r="S369" s="205">
        <f ca="1">IF(ISERROR(OFFSET(Ottone!$F$1,MATCH(J369,Ottone!$A:$A,0)-1,MATCH(K369,Ottone!$F$1:$FF$1,0)-1)=TRUE),0,OFFSET(Ottone!$F$1,MATCH(J369,Ottone!$A:$A,0)-1,MATCH(K369,Ottone!$F$1:$FF$1,0)-1))*IF(G369="Ottone",1,0)</f>
        <v>0</v>
      </c>
      <c r="T369" s="205">
        <f ca="1">IF(ISERROR(OFFSET(Rame!$F$1,MATCH(J369,Rame!$F:$F,0)-1,MATCH(K369,Rame!$F$1:$FF$1,0)-1)=TRUE),0,OFFSET(Rame!$F$1,MATCH(J369,Rame!$F:$F,0)-1,MATCH(K369,Rame!$F$1:$FF$1,0)-1))*IF(G369="Rame",1,0)</f>
        <v>0</v>
      </c>
      <c r="U369" s="205">
        <f ca="1">IF(ISERROR(OFFSET(Bronzo!$A$1,MATCH(J369,Bronzo!$A:$A,0)-1,MATCH(K369,Bronzo!$A$1:$AA$1,0)-1)=TRUE),0,OFFSET(Bronzo!$A$1,MATCH(J369,Bronzo!$A:$A,0)-1,MATCH(K369,Bronzo!$A$1:$AA$1,0)-1))</f>
        <v>0</v>
      </c>
      <c r="V369" s="205">
        <f t="shared" ca="1" si="178"/>
        <v>0</v>
      </c>
      <c r="W369" s="204"/>
      <c r="X369" s="205">
        <v>0</v>
      </c>
      <c r="Y369" s="206">
        <f t="shared" ca="1" si="179"/>
        <v>0</v>
      </c>
      <c r="Z369" s="277">
        <f t="shared" si="180"/>
        <v>0</v>
      </c>
      <c r="AA369" s="203"/>
      <c r="AB369" s="203">
        <f t="shared" ca="1" si="181"/>
        <v>0</v>
      </c>
      <c r="AC369" s="238"/>
      <c r="AI369" s="367">
        <f t="shared" ca="1" si="176"/>
        <v>46092</v>
      </c>
      <c r="AJ369" s="367" t="b">
        <f t="shared" si="182"/>
        <v>1</v>
      </c>
      <c r="AK369" s="370" t="str">
        <f t="shared" si="183"/>
        <v/>
      </c>
      <c r="AN369">
        <f t="shared" si="184"/>
        <v>0</v>
      </c>
      <c r="AO369">
        <f t="shared" si="185"/>
        <v>1900</v>
      </c>
      <c r="AV369">
        <f t="shared" si="186"/>
        <v>0</v>
      </c>
      <c r="AW369">
        <f t="shared" si="187"/>
        <v>0</v>
      </c>
    </row>
    <row r="370" spans="4:49" ht="15.75" x14ac:dyDescent="0.25">
      <c r="D370" s="199"/>
      <c r="E370" s="200"/>
      <c r="F370" s="287"/>
      <c r="G370" s="201"/>
      <c r="H370" s="219"/>
      <c r="I370" s="202"/>
      <c r="J370" s="200"/>
      <c r="K370" s="200"/>
      <c r="L370" s="203"/>
      <c r="M370" s="204">
        <f ca="1">IF(ISERROR(OFFSET(Tabella!$A$1,MATCH(J370,Tabella!$A:$A,0)-1,MATCH(L370,Tabella!$A$1:$AC$1,0)-1)=TRUE),0,+OFFSET(Tabella!$A$1,MATCH(J370,Tabella!$A:$A,0)-1,MATCH(L370,Tabella!$A$1:$AC$1,0)-1))</f>
        <v>0</v>
      </c>
      <c r="N370" s="205">
        <f ca="1">IF(ISERROR(OFFSET(Ottone!$A$1,MATCH(J370,Ottone!$A:$A,0)-1,MATCH(L370,Ottone!$A$1:$Z$1,0)-1)=TRUE),0,OFFSET(Ottone!$A$1,MATCH(J370,Ottone!$A:$A,0)-1,MATCH(L370,Ottone!$A$1:$Z$1,0)-1))*IF(G370="Ottone",1,0)</f>
        <v>0</v>
      </c>
      <c r="O370" s="205">
        <f ca="1">IF(ISERROR(OFFSET(Rame!$A$1,MATCH(J370,Rame!$A:$A,0)-1,MATCH(L370,Rame!$A$1:$AA$1,0)-1)=TRUE),0,OFFSET(Rame!$A$1,MATCH(J370,Rame!$A:$A,0)-1,MATCH(L370,Rame!$A$1:$AA$1,0)-1))*IF(G370="Rame",1,0)</f>
        <v>0</v>
      </c>
      <c r="P370" s="205">
        <v>0</v>
      </c>
      <c r="Q370" s="205">
        <f t="shared" ca="1" si="177"/>
        <v>0</v>
      </c>
      <c r="R370" s="205">
        <f ca="1">+IF(ISERROR(OFFSET(Tabella!$G$1,MATCH(J370,Tabella!$G:$G,0)-1,MATCH(K370,Tabella!$G$1:$FG$1,0)-1)=TRUE),0,OFFSET(Tabella!$G$1,MATCH(J370,Tabella!$G:$G,0)-1,MATCH(K370,Tabella!$G$1:$AB$1,0)-1))</f>
        <v>0</v>
      </c>
      <c r="S370" s="205">
        <f ca="1">IF(ISERROR(OFFSET(Ottone!$F$1,MATCH(J370,Ottone!$A:$A,0)-1,MATCH(K370,Ottone!$F$1:$FF$1,0)-1)=TRUE),0,OFFSET(Ottone!$F$1,MATCH(J370,Ottone!$A:$A,0)-1,MATCH(K370,Ottone!$F$1:$FF$1,0)-1))*IF(G370="Ottone",1,0)</f>
        <v>0</v>
      </c>
      <c r="T370" s="205">
        <f ca="1">IF(ISERROR(OFFSET(Rame!$F$1,MATCH(J370,Rame!$F:$F,0)-1,MATCH(K370,Rame!$F$1:$FF$1,0)-1)=TRUE),0,OFFSET(Rame!$F$1,MATCH(J370,Rame!$F:$F,0)-1,MATCH(K370,Rame!$F$1:$FF$1,0)-1))*IF(G370="Rame",1,0)</f>
        <v>0</v>
      </c>
      <c r="U370" s="205">
        <f ca="1">IF(ISERROR(OFFSET(Bronzo!$A$1,MATCH(J370,Bronzo!$A:$A,0)-1,MATCH(K370,Bronzo!$A$1:$AA$1,0)-1)=TRUE),0,OFFSET(Bronzo!$A$1,MATCH(J370,Bronzo!$A:$A,0)-1,MATCH(K370,Bronzo!$A$1:$AA$1,0)-1))</f>
        <v>0</v>
      </c>
      <c r="V370" s="205">
        <f t="shared" ca="1" si="178"/>
        <v>0</v>
      </c>
      <c r="W370" s="204"/>
      <c r="X370" s="205">
        <v>0</v>
      </c>
      <c r="Y370" s="206">
        <f t="shared" ca="1" si="179"/>
        <v>0</v>
      </c>
      <c r="Z370" s="277">
        <f t="shared" si="180"/>
        <v>0</v>
      </c>
      <c r="AA370" s="203"/>
      <c r="AB370" s="203">
        <f t="shared" ca="1" si="181"/>
        <v>0</v>
      </c>
      <c r="AC370" s="238"/>
      <c r="AI370" s="367">
        <f t="shared" ca="1" si="176"/>
        <v>46092</v>
      </c>
      <c r="AJ370" s="367" t="b">
        <f t="shared" si="182"/>
        <v>1</v>
      </c>
      <c r="AK370" s="370" t="str">
        <f t="shared" si="183"/>
        <v/>
      </c>
      <c r="AN370">
        <f t="shared" si="184"/>
        <v>0</v>
      </c>
      <c r="AO370">
        <f t="shared" si="185"/>
        <v>1900</v>
      </c>
      <c r="AV370">
        <f t="shared" si="186"/>
        <v>0</v>
      </c>
      <c r="AW370">
        <f t="shared" si="187"/>
        <v>0</v>
      </c>
    </row>
    <row r="371" spans="4:49" ht="15.75" x14ac:dyDescent="0.25">
      <c r="D371" s="199"/>
      <c r="E371" s="200"/>
      <c r="F371" s="287"/>
      <c r="G371" s="201"/>
      <c r="H371" s="219"/>
      <c r="I371" s="202"/>
      <c r="J371" s="200"/>
      <c r="K371" s="200"/>
      <c r="L371" s="203"/>
      <c r="M371" s="204">
        <f ca="1">IF(ISERROR(OFFSET(Tabella!$A$1,MATCH(J371,Tabella!$A:$A,0)-1,MATCH(L371,Tabella!$A$1:$AC$1,0)-1)=TRUE),0,+OFFSET(Tabella!$A$1,MATCH(J371,Tabella!$A:$A,0)-1,MATCH(L371,Tabella!$A$1:$AC$1,0)-1))</f>
        <v>0</v>
      </c>
      <c r="N371" s="205">
        <f ca="1">IF(ISERROR(OFFSET(Ottone!$A$1,MATCH(J371,Ottone!$A:$A,0)-1,MATCH(L371,Ottone!$A$1:$Z$1,0)-1)=TRUE),0,OFFSET(Ottone!$A$1,MATCH(J371,Ottone!$A:$A,0)-1,MATCH(L371,Ottone!$A$1:$Z$1,0)-1))*IF(G371="Ottone",1,0)</f>
        <v>0</v>
      </c>
      <c r="O371" s="205">
        <f ca="1">IF(ISERROR(OFFSET(Rame!$A$1,MATCH(J371,Rame!$A:$A,0)-1,MATCH(L371,Rame!$A$1:$AA$1,0)-1)=TRUE),0,OFFSET(Rame!$A$1,MATCH(J371,Rame!$A:$A,0)-1,MATCH(L371,Rame!$A$1:$AA$1,0)-1))*IF(G371="Rame",1,0)</f>
        <v>0</v>
      </c>
      <c r="P371" s="205">
        <v>0</v>
      </c>
      <c r="Q371" s="205">
        <f t="shared" ca="1" si="177"/>
        <v>0</v>
      </c>
      <c r="R371" s="205">
        <f ca="1">+IF(ISERROR(OFFSET(Tabella!$G$1,MATCH(J371,Tabella!$G:$G,0)-1,MATCH(K371,Tabella!$G$1:$FG$1,0)-1)=TRUE),0,OFFSET(Tabella!$G$1,MATCH(J371,Tabella!$G:$G,0)-1,MATCH(K371,Tabella!$G$1:$AB$1,0)-1))</f>
        <v>0</v>
      </c>
      <c r="S371" s="205">
        <f ca="1">IF(ISERROR(OFFSET(Ottone!$F$1,MATCH(J371,Ottone!$A:$A,0)-1,MATCH(K371,Ottone!$F$1:$FF$1,0)-1)=TRUE),0,OFFSET(Ottone!$F$1,MATCH(J371,Ottone!$A:$A,0)-1,MATCH(K371,Ottone!$F$1:$FF$1,0)-1))*IF(G371="Ottone",1,0)</f>
        <v>0</v>
      </c>
      <c r="T371" s="205">
        <f ca="1">IF(ISERROR(OFFSET(Rame!$F$1,MATCH(J371,Rame!$F:$F,0)-1,MATCH(K371,Rame!$F$1:$FF$1,0)-1)=TRUE),0,OFFSET(Rame!$F$1,MATCH(J371,Rame!$F:$F,0)-1,MATCH(K371,Rame!$F$1:$FF$1,0)-1))*IF(G371="Rame",1,0)</f>
        <v>0</v>
      </c>
      <c r="U371" s="205">
        <f ca="1">IF(ISERROR(OFFSET(Bronzo!$A$1,MATCH(J371,Bronzo!$A:$A,0)-1,MATCH(K371,Bronzo!$A$1:$AA$1,0)-1)=TRUE),0,OFFSET(Bronzo!$A$1,MATCH(J371,Bronzo!$A:$A,0)-1,MATCH(K371,Bronzo!$A$1:$AA$1,0)-1))</f>
        <v>0</v>
      </c>
      <c r="V371" s="205">
        <f t="shared" ca="1" si="178"/>
        <v>0</v>
      </c>
      <c r="W371" s="204"/>
      <c r="X371" s="205">
        <v>0</v>
      </c>
      <c r="Y371" s="206">
        <f t="shared" ca="1" si="179"/>
        <v>0</v>
      </c>
      <c r="Z371" s="277">
        <f t="shared" si="180"/>
        <v>0</v>
      </c>
      <c r="AA371" s="203"/>
      <c r="AB371" s="203">
        <f t="shared" ca="1" si="181"/>
        <v>0</v>
      </c>
      <c r="AC371" s="238"/>
      <c r="AI371" s="367">
        <f t="shared" ca="1" si="176"/>
        <v>46092</v>
      </c>
      <c r="AJ371" s="367" t="b">
        <f t="shared" si="182"/>
        <v>1</v>
      </c>
      <c r="AK371" s="370" t="str">
        <f t="shared" si="183"/>
        <v/>
      </c>
      <c r="AN371">
        <f t="shared" si="184"/>
        <v>0</v>
      </c>
      <c r="AO371">
        <f t="shared" si="185"/>
        <v>1900</v>
      </c>
      <c r="AV371">
        <f t="shared" si="186"/>
        <v>0</v>
      </c>
      <c r="AW371">
        <f t="shared" si="187"/>
        <v>0</v>
      </c>
    </row>
    <row r="372" spans="4:49" ht="15.75" x14ac:dyDescent="0.25">
      <c r="D372" s="199"/>
      <c r="E372" s="200"/>
      <c r="F372" s="287"/>
      <c r="G372" s="201"/>
      <c r="H372" s="219"/>
      <c r="I372" s="202"/>
      <c r="J372" s="200"/>
      <c r="K372" s="200"/>
      <c r="L372" s="203"/>
      <c r="M372" s="204">
        <f ca="1">IF(ISERROR(OFFSET(Tabella!$A$1,MATCH(J372,Tabella!$A:$A,0)-1,MATCH(L372,Tabella!$A$1:$AC$1,0)-1)=TRUE),0,+OFFSET(Tabella!$A$1,MATCH(J372,Tabella!$A:$A,0)-1,MATCH(L372,Tabella!$A$1:$AC$1,0)-1))</f>
        <v>0</v>
      </c>
      <c r="N372" s="205">
        <f ca="1">IF(ISERROR(OFFSET(Ottone!$A$1,MATCH(J372,Ottone!$A:$A,0)-1,MATCH(L372,Ottone!$A$1:$Z$1,0)-1)=TRUE),0,OFFSET(Ottone!$A$1,MATCH(J372,Ottone!$A:$A,0)-1,MATCH(L372,Ottone!$A$1:$Z$1,0)-1))*IF(G372="Ottone",1,0)</f>
        <v>0</v>
      </c>
      <c r="O372" s="205">
        <f ca="1">IF(ISERROR(OFFSET(Rame!$A$1,MATCH(J372,Rame!$A:$A,0)-1,MATCH(L372,Rame!$A$1:$AA$1,0)-1)=TRUE),0,OFFSET(Rame!$A$1,MATCH(J372,Rame!$A:$A,0)-1,MATCH(L372,Rame!$A$1:$AA$1,0)-1))*IF(G372="Rame",1,0)</f>
        <v>0</v>
      </c>
      <c r="P372" s="205">
        <v>0</v>
      </c>
      <c r="Q372" s="205">
        <f t="shared" ca="1" si="177"/>
        <v>0</v>
      </c>
      <c r="R372" s="205">
        <f ca="1">+IF(ISERROR(OFFSET(Tabella!$G$1,MATCH(J372,Tabella!$G:$G,0)-1,MATCH(K372,Tabella!$G$1:$FG$1,0)-1)=TRUE),0,OFFSET(Tabella!$G$1,MATCH(J372,Tabella!$G:$G,0)-1,MATCH(K372,Tabella!$G$1:$AB$1,0)-1))</f>
        <v>0</v>
      </c>
      <c r="S372" s="205">
        <f ca="1">IF(ISERROR(OFFSET(Ottone!$F$1,MATCH(J372,Ottone!$A:$A,0)-1,MATCH(K372,Ottone!$F$1:$FF$1,0)-1)=TRUE),0,OFFSET(Ottone!$F$1,MATCH(J372,Ottone!$A:$A,0)-1,MATCH(K372,Ottone!$F$1:$FF$1,0)-1))*IF(G372="Ottone",1,0)</f>
        <v>0</v>
      </c>
      <c r="T372" s="205">
        <f ca="1">IF(ISERROR(OFFSET(Rame!$F$1,MATCH(J372,Rame!$F:$F,0)-1,MATCH(K372,Rame!$F$1:$FF$1,0)-1)=TRUE),0,OFFSET(Rame!$F$1,MATCH(J372,Rame!$F:$F,0)-1,MATCH(K372,Rame!$F$1:$FF$1,0)-1))*IF(G372="Rame",1,0)</f>
        <v>0</v>
      </c>
      <c r="U372" s="205">
        <f ca="1">IF(ISERROR(OFFSET(Bronzo!$A$1,MATCH(J372,Bronzo!$A:$A,0)-1,MATCH(K372,Bronzo!$A$1:$AA$1,0)-1)=TRUE),0,OFFSET(Bronzo!$A$1,MATCH(J372,Bronzo!$A:$A,0)-1,MATCH(K372,Bronzo!$A$1:$AA$1,0)-1))</f>
        <v>0</v>
      </c>
      <c r="V372" s="205">
        <f t="shared" ca="1" si="178"/>
        <v>0</v>
      </c>
      <c r="W372" s="204"/>
      <c r="X372" s="205">
        <v>0</v>
      </c>
      <c r="Y372" s="206">
        <f t="shared" ca="1" si="179"/>
        <v>0</v>
      </c>
      <c r="Z372" s="277">
        <f t="shared" si="180"/>
        <v>0</v>
      </c>
      <c r="AA372" s="203"/>
      <c r="AB372" s="203">
        <f t="shared" ca="1" si="181"/>
        <v>0</v>
      </c>
      <c r="AC372" s="238"/>
      <c r="AI372" s="367">
        <f t="shared" ca="1" si="176"/>
        <v>46092</v>
      </c>
      <c r="AJ372" s="367" t="b">
        <f t="shared" si="182"/>
        <v>1</v>
      </c>
      <c r="AK372" s="370" t="str">
        <f t="shared" si="183"/>
        <v/>
      </c>
      <c r="AN372">
        <f t="shared" si="184"/>
        <v>0</v>
      </c>
      <c r="AO372">
        <f t="shared" si="185"/>
        <v>1900</v>
      </c>
      <c r="AV372">
        <f t="shared" si="186"/>
        <v>0</v>
      </c>
      <c r="AW372">
        <f t="shared" si="187"/>
        <v>0</v>
      </c>
    </row>
    <row r="373" spans="4:49" ht="15.75" x14ac:dyDescent="0.25">
      <c r="D373" s="199"/>
      <c r="E373" s="200"/>
      <c r="F373" s="287"/>
      <c r="G373" s="201"/>
      <c r="H373" s="219"/>
      <c r="I373" s="202"/>
      <c r="J373" s="200"/>
      <c r="K373" s="200"/>
      <c r="L373" s="203"/>
      <c r="M373" s="204">
        <f ca="1">IF(ISERROR(OFFSET(Tabella!$A$1,MATCH(J373,Tabella!$A:$A,0)-1,MATCH(L373,Tabella!$A$1:$AC$1,0)-1)=TRUE),0,+OFFSET(Tabella!$A$1,MATCH(J373,Tabella!$A:$A,0)-1,MATCH(L373,Tabella!$A$1:$AC$1,0)-1))</f>
        <v>0</v>
      </c>
      <c r="N373" s="205">
        <f ca="1">IF(ISERROR(OFFSET(Ottone!$A$1,MATCH(J373,Ottone!$A:$A,0)-1,MATCH(L373,Ottone!$A$1:$Z$1,0)-1)=TRUE),0,OFFSET(Ottone!$A$1,MATCH(J373,Ottone!$A:$A,0)-1,MATCH(L373,Ottone!$A$1:$Z$1,0)-1))*IF(G373="Ottone",1,0)</f>
        <v>0</v>
      </c>
      <c r="O373" s="205">
        <f ca="1">IF(ISERROR(OFFSET(Rame!$A$1,MATCH(J373,Rame!$A:$A,0)-1,MATCH(L373,Rame!$A$1:$AA$1,0)-1)=TRUE),0,OFFSET(Rame!$A$1,MATCH(J373,Rame!$A:$A,0)-1,MATCH(L373,Rame!$A$1:$AA$1,0)-1))*IF(G373="Rame",1,0)</f>
        <v>0</v>
      </c>
      <c r="P373" s="205">
        <v>0</v>
      </c>
      <c r="Q373" s="205">
        <f t="shared" ca="1" si="177"/>
        <v>0</v>
      </c>
      <c r="R373" s="205">
        <f ca="1">+IF(ISERROR(OFFSET(Tabella!$G$1,MATCH(J373,Tabella!$G:$G,0)-1,MATCH(K373,Tabella!$G$1:$FG$1,0)-1)=TRUE),0,OFFSET(Tabella!$G$1,MATCH(J373,Tabella!$G:$G,0)-1,MATCH(K373,Tabella!$G$1:$AB$1,0)-1))</f>
        <v>0</v>
      </c>
      <c r="S373" s="205">
        <f ca="1">IF(ISERROR(OFFSET(Ottone!$F$1,MATCH(J373,Ottone!$A:$A,0)-1,MATCH(K373,Ottone!$F$1:$FF$1,0)-1)=TRUE),0,OFFSET(Ottone!$F$1,MATCH(J373,Ottone!$A:$A,0)-1,MATCH(K373,Ottone!$F$1:$FF$1,0)-1))*IF(G373="Ottone",1,0)</f>
        <v>0</v>
      </c>
      <c r="T373" s="205">
        <f ca="1">IF(ISERROR(OFFSET(Rame!$F$1,MATCH(J373,Rame!$F:$F,0)-1,MATCH(K373,Rame!$F$1:$FF$1,0)-1)=TRUE),0,OFFSET(Rame!$F$1,MATCH(J373,Rame!$F:$F,0)-1,MATCH(K373,Rame!$F$1:$FF$1,0)-1))*IF(G373="Rame",1,0)</f>
        <v>0</v>
      </c>
      <c r="U373" s="205">
        <f ca="1">IF(ISERROR(OFFSET(Bronzo!$A$1,MATCH(J373,Bronzo!$A:$A,0)-1,MATCH(K373,Bronzo!$A$1:$AA$1,0)-1)=TRUE),0,OFFSET(Bronzo!$A$1,MATCH(J373,Bronzo!$A:$A,0)-1,MATCH(K373,Bronzo!$A$1:$AA$1,0)-1))</f>
        <v>0</v>
      </c>
      <c r="V373" s="205">
        <f t="shared" ca="1" si="178"/>
        <v>0</v>
      </c>
      <c r="W373" s="204"/>
      <c r="X373" s="205">
        <v>0</v>
      </c>
      <c r="Y373" s="206">
        <f t="shared" ca="1" si="179"/>
        <v>0</v>
      </c>
      <c r="Z373" s="277">
        <f t="shared" si="180"/>
        <v>0</v>
      </c>
      <c r="AA373" s="203"/>
      <c r="AB373" s="203">
        <f t="shared" ca="1" si="181"/>
        <v>0</v>
      </c>
      <c r="AC373" s="238"/>
      <c r="AI373" s="367">
        <f t="shared" ca="1" si="176"/>
        <v>46092</v>
      </c>
      <c r="AJ373" s="367" t="b">
        <f t="shared" si="182"/>
        <v>1</v>
      </c>
      <c r="AK373" s="370" t="str">
        <f t="shared" si="183"/>
        <v/>
      </c>
      <c r="AN373">
        <f t="shared" si="184"/>
        <v>0</v>
      </c>
      <c r="AO373">
        <f t="shared" si="185"/>
        <v>1900</v>
      </c>
      <c r="AV373">
        <f t="shared" si="186"/>
        <v>0</v>
      </c>
      <c r="AW373">
        <f t="shared" si="187"/>
        <v>0</v>
      </c>
    </row>
    <row r="374" spans="4:49" ht="15.75" x14ac:dyDescent="0.25">
      <c r="D374" s="199"/>
      <c r="E374" s="200"/>
      <c r="F374" s="287"/>
      <c r="G374" s="201"/>
      <c r="H374" s="219"/>
      <c r="I374" s="202"/>
      <c r="J374" s="200"/>
      <c r="K374" s="200"/>
      <c r="L374" s="203"/>
      <c r="M374" s="204">
        <f ca="1">IF(ISERROR(OFFSET(Tabella!$A$1,MATCH(J374,Tabella!$A:$A,0)-1,MATCH(L374,Tabella!$A$1:$AC$1,0)-1)=TRUE),0,+OFFSET(Tabella!$A$1,MATCH(J374,Tabella!$A:$A,0)-1,MATCH(L374,Tabella!$A$1:$AC$1,0)-1))</f>
        <v>0</v>
      </c>
      <c r="N374" s="205">
        <f ca="1">IF(ISERROR(OFFSET(Ottone!$A$1,MATCH(J374,Ottone!$A:$A,0)-1,MATCH(L374,Ottone!$A$1:$Z$1,0)-1)=TRUE),0,OFFSET(Ottone!$A$1,MATCH(J374,Ottone!$A:$A,0)-1,MATCH(L374,Ottone!$A$1:$Z$1,0)-1))*IF(G374="Ottone",1,0)</f>
        <v>0</v>
      </c>
      <c r="O374" s="205">
        <f ca="1">IF(ISERROR(OFFSET(Rame!$A$1,MATCH(J374,Rame!$A:$A,0)-1,MATCH(L374,Rame!$A$1:$AA$1,0)-1)=TRUE),0,OFFSET(Rame!$A$1,MATCH(J374,Rame!$A:$A,0)-1,MATCH(L374,Rame!$A$1:$AA$1,0)-1))*IF(G374="Rame",1,0)</f>
        <v>0</v>
      </c>
      <c r="P374" s="205">
        <v>0</v>
      </c>
      <c r="Q374" s="205">
        <f t="shared" ca="1" si="177"/>
        <v>0</v>
      </c>
      <c r="R374" s="205">
        <f ca="1">+IF(ISERROR(OFFSET(Tabella!$G$1,MATCH(J374,Tabella!$G:$G,0)-1,MATCH(K374,Tabella!$G$1:$FG$1,0)-1)=TRUE),0,OFFSET(Tabella!$G$1,MATCH(J374,Tabella!$G:$G,0)-1,MATCH(K374,Tabella!$G$1:$AB$1,0)-1))</f>
        <v>0</v>
      </c>
      <c r="S374" s="205">
        <f ca="1">IF(ISERROR(OFFSET(Ottone!$F$1,MATCH(J374,Ottone!$A:$A,0)-1,MATCH(K374,Ottone!$F$1:$FF$1,0)-1)=TRUE),0,OFFSET(Ottone!$F$1,MATCH(J374,Ottone!$A:$A,0)-1,MATCH(K374,Ottone!$F$1:$FF$1,0)-1))*IF(G374="Ottone",1,0)</f>
        <v>0</v>
      </c>
      <c r="T374" s="205">
        <f ca="1">IF(ISERROR(OFFSET(Rame!$F$1,MATCH(J374,Rame!$F:$F,0)-1,MATCH(K374,Rame!$F$1:$FF$1,0)-1)=TRUE),0,OFFSET(Rame!$F$1,MATCH(J374,Rame!$F:$F,0)-1,MATCH(K374,Rame!$F$1:$FF$1,0)-1))*IF(G374="Rame",1,0)</f>
        <v>0</v>
      </c>
      <c r="U374" s="205">
        <f ca="1">IF(ISERROR(OFFSET(Bronzo!$A$1,MATCH(J374,Bronzo!$A:$A,0)-1,MATCH(K374,Bronzo!$A$1:$AA$1,0)-1)=TRUE),0,OFFSET(Bronzo!$A$1,MATCH(J374,Bronzo!$A:$A,0)-1,MATCH(K374,Bronzo!$A$1:$AA$1,0)-1))</f>
        <v>0</v>
      </c>
      <c r="V374" s="205">
        <f t="shared" ca="1" si="178"/>
        <v>0</v>
      </c>
      <c r="W374" s="204"/>
      <c r="X374" s="205">
        <v>0</v>
      </c>
      <c r="Y374" s="206">
        <f t="shared" ca="1" si="179"/>
        <v>0</v>
      </c>
      <c r="Z374" s="277">
        <f t="shared" si="180"/>
        <v>0</v>
      </c>
      <c r="AA374" s="203"/>
      <c r="AB374" s="203">
        <f t="shared" ca="1" si="181"/>
        <v>0</v>
      </c>
      <c r="AC374" s="238"/>
      <c r="AI374" s="367">
        <f t="shared" ca="1" si="176"/>
        <v>46092</v>
      </c>
      <c r="AJ374" s="367" t="b">
        <f t="shared" si="182"/>
        <v>1</v>
      </c>
      <c r="AK374" s="370" t="str">
        <f t="shared" si="183"/>
        <v/>
      </c>
      <c r="AN374">
        <f t="shared" si="184"/>
        <v>0</v>
      </c>
      <c r="AO374">
        <f t="shared" si="185"/>
        <v>1900</v>
      </c>
      <c r="AV374">
        <f t="shared" si="186"/>
        <v>0</v>
      </c>
      <c r="AW374">
        <f t="shared" si="187"/>
        <v>0</v>
      </c>
    </row>
    <row r="375" spans="4:49" ht="15.75" x14ac:dyDescent="0.25">
      <c r="D375" s="199"/>
      <c r="E375" s="200"/>
      <c r="F375" s="287"/>
      <c r="G375" s="201"/>
      <c r="H375" s="219"/>
      <c r="I375" s="202"/>
      <c r="J375" s="200"/>
      <c r="K375" s="200"/>
      <c r="L375" s="203"/>
      <c r="M375" s="204">
        <f ca="1">IF(ISERROR(OFFSET(Tabella!$A$1,MATCH(J375,Tabella!$A:$A,0)-1,MATCH(L375,Tabella!$A$1:$AC$1,0)-1)=TRUE),0,+OFFSET(Tabella!$A$1,MATCH(J375,Tabella!$A:$A,0)-1,MATCH(L375,Tabella!$A$1:$AC$1,0)-1))</f>
        <v>0</v>
      </c>
      <c r="N375" s="205">
        <f ca="1">IF(ISERROR(OFFSET(Ottone!$A$1,MATCH(J375,Ottone!$A:$A,0)-1,MATCH(L375,Ottone!$A$1:$Z$1,0)-1)=TRUE),0,OFFSET(Ottone!$A$1,MATCH(J375,Ottone!$A:$A,0)-1,MATCH(L375,Ottone!$A$1:$Z$1,0)-1))*IF(G375="Ottone",1,0)</f>
        <v>0</v>
      </c>
      <c r="O375" s="205">
        <f ca="1">IF(ISERROR(OFFSET(Rame!$A$1,MATCH(J375,Rame!$A:$A,0)-1,MATCH(L375,Rame!$A$1:$AA$1,0)-1)=TRUE),0,OFFSET(Rame!$A$1,MATCH(J375,Rame!$A:$A,0)-1,MATCH(L375,Rame!$A$1:$AA$1,0)-1))*IF(G375="Rame",1,0)</f>
        <v>0</v>
      </c>
      <c r="P375" s="205">
        <v>0</v>
      </c>
      <c r="Q375" s="205">
        <f t="shared" ca="1" si="177"/>
        <v>0</v>
      </c>
      <c r="R375" s="205">
        <f ca="1">+IF(ISERROR(OFFSET(Tabella!$G$1,MATCH(J375,Tabella!$G:$G,0)-1,MATCH(K375,Tabella!$G$1:$FG$1,0)-1)=TRUE),0,OFFSET(Tabella!$G$1,MATCH(J375,Tabella!$G:$G,0)-1,MATCH(K375,Tabella!$G$1:$AB$1,0)-1))</f>
        <v>0</v>
      </c>
      <c r="S375" s="205">
        <f ca="1">IF(ISERROR(OFFSET(Ottone!$F$1,MATCH(J375,Ottone!$A:$A,0)-1,MATCH(K375,Ottone!$F$1:$FF$1,0)-1)=TRUE),0,OFFSET(Ottone!$F$1,MATCH(J375,Ottone!$A:$A,0)-1,MATCH(K375,Ottone!$F$1:$FF$1,0)-1))*IF(G375="Ottone",1,0)</f>
        <v>0</v>
      </c>
      <c r="T375" s="205">
        <f ca="1">IF(ISERROR(OFFSET(Rame!$F$1,MATCH(J375,Rame!$F:$F,0)-1,MATCH(K375,Rame!$F$1:$FF$1,0)-1)=TRUE),0,OFFSET(Rame!$F$1,MATCH(J375,Rame!$F:$F,0)-1,MATCH(K375,Rame!$F$1:$FF$1,0)-1))*IF(G375="Rame",1,0)</f>
        <v>0</v>
      </c>
      <c r="U375" s="205">
        <f ca="1">IF(ISERROR(OFFSET(Bronzo!$A$1,MATCH(J375,Bronzo!$A:$A,0)-1,MATCH(K375,Bronzo!$A$1:$AA$1,0)-1)=TRUE),0,OFFSET(Bronzo!$A$1,MATCH(J375,Bronzo!$A:$A,0)-1,MATCH(K375,Bronzo!$A$1:$AA$1,0)-1))</f>
        <v>0</v>
      </c>
      <c r="V375" s="205">
        <f t="shared" ca="1" si="178"/>
        <v>0</v>
      </c>
      <c r="W375" s="204"/>
      <c r="X375" s="205">
        <v>0</v>
      </c>
      <c r="Y375" s="206">
        <f t="shared" ca="1" si="179"/>
        <v>0</v>
      </c>
      <c r="Z375" s="277">
        <f t="shared" si="180"/>
        <v>0</v>
      </c>
      <c r="AA375" s="203"/>
      <c r="AB375" s="203">
        <f t="shared" ca="1" si="181"/>
        <v>0</v>
      </c>
      <c r="AC375" s="238"/>
      <c r="AI375" s="367">
        <f t="shared" ca="1" si="176"/>
        <v>46092</v>
      </c>
      <c r="AJ375" s="367" t="b">
        <f t="shared" si="182"/>
        <v>1</v>
      </c>
      <c r="AK375" s="370" t="str">
        <f t="shared" si="183"/>
        <v/>
      </c>
      <c r="AN375">
        <f t="shared" si="184"/>
        <v>0</v>
      </c>
      <c r="AO375">
        <f t="shared" si="185"/>
        <v>1900</v>
      </c>
      <c r="AV375">
        <f t="shared" si="186"/>
        <v>0</v>
      </c>
      <c r="AW375">
        <f t="shared" si="187"/>
        <v>0</v>
      </c>
    </row>
    <row r="376" spans="4:49" ht="15.75" x14ac:dyDescent="0.25">
      <c r="D376" s="199"/>
      <c r="E376" s="200"/>
      <c r="F376" s="287"/>
      <c r="G376" s="201"/>
      <c r="H376" s="219"/>
      <c r="I376" s="202"/>
      <c r="J376" s="200"/>
      <c r="K376" s="200"/>
      <c r="L376" s="203"/>
      <c r="M376" s="204">
        <f ca="1">IF(ISERROR(OFFSET(Tabella!$A$1,MATCH(J376,Tabella!$A:$A,0)-1,MATCH(L376,Tabella!$A$1:$AC$1,0)-1)=TRUE),0,+OFFSET(Tabella!$A$1,MATCH(J376,Tabella!$A:$A,0)-1,MATCH(L376,Tabella!$A$1:$AC$1,0)-1))</f>
        <v>0</v>
      </c>
      <c r="N376" s="205">
        <f ca="1">IF(ISERROR(OFFSET(Ottone!$A$1,MATCH(J376,Ottone!$A:$A,0)-1,MATCH(L376,Ottone!$A$1:$Z$1,0)-1)=TRUE),0,OFFSET(Ottone!$A$1,MATCH(J376,Ottone!$A:$A,0)-1,MATCH(L376,Ottone!$A$1:$Z$1,0)-1))*IF(G376="Ottone",1,0)</f>
        <v>0</v>
      </c>
      <c r="O376" s="205">
        <f ca="1">IF(ISERROR(OFFSET(Rame!$A$1,MATCH(J376,Rame!$A:$A,0)-1,MATCH(L376,Rame!$A$1:$AA$1,0)-1)=TRUE),0,OFFSET(Rame!$A$1,MATCH(J376,Rame!$A:$A,0)-1,MATCH(L376,Rame!$A$1:$AA$1,0)-1))*IF(G376="Rame",1,0)</f>
        <v>0</v>
      </c>
      <c r="P376" s="205">
        <v>0</v>
      </c>
      <c r="Q376" s="205">
        <f t="shared" ca="1" si="177"/>
        <v>0</v>
      </c>
      <c r="R376" s="205">
        <f ca="1">+IF(ISERROR(OFFSET(Tabella!$G$1,MATCH(J376,Tabella!$G:$G,0)-1,MATCH(K376,Tabella!$G$1:$FG$1,0)-1)=TRUE),0,OFFSET(Tabella!$G$1,MATCH(J376,Tabella!$G:$G,0)-1,MATCH(K376,Tabella!$G$1:$AB$1,0)-1))</f>
        <v>0</v>
      </c>
      <c r="S376" s="205">
        <f ca="1">IF(ISERROR(OFFSET(Ottone!$F$1,MATCH(J376,Ottone!$A:$A,0)-1,MATCH(K376,Ottone!$F$1:$FF$1,0)-1)=TRUE),0,OFFSET(Ottone!$F$1,MATCH(J376,Ottone!$A:$A,0)-1,MATCH(K376,Ottone!$F$1:$FF$1,0)-1))*IF(G376="Ottone",1,0)</f>
        <v>0</v>
      </c>
      <c r="T376" s="205">
        <f ca="1">IF(ISERROR(OFFSET(Rame!$F$1,MATCH(J376,Rame!$F:$F,0)-1,MATCH(K376,Rame!$F$1:$FF$1,0)-1)=TRUE),0,OFFSET(Rame!$F$1,MATCH(J376,Rame!$F:$F,0)-1,MATCH(K376,Rame!$F$1:$FF$1,0)-1))*IF(G376="Rame",1,0)</f>
        <v>0</v>
      </c>
      <c r="U376" s="205">
        <f ca="1">IF(ISERROR(OFFSET(Bronzo!$A$1,MATCH(J376,Bronzo!$A:$A,0)-1,MATCH(K376,Bronzo!$A$1:$AA$1,0)-1)=TRUE),0,OFFSET(Bronzo!$A$1,MATCH(J376,Bronzo!$A:$A,0)-1,MATCH(K376,Bronzo!$A$1:$AA$1,0)-1))</f>
        <v>0</v>
      </c>
      <c r="V376" s="205">
        <f t="shared" ca="1" si="178"/>
        <v>0</v>
      </c>
      <c r="W376" s="204"/>
      <c r="X376" s="205">
        <v>0</v>
      </c>
      <c r="Y376" s="206">
        <f t="shared" ca="1" si="179"/>
        <v>0</v>
      </c>
      <c r="Z376" s="277">
        <f t="shared" si="180"/>
        <v>0</v>
      </c>
      <c r="AA376" s="203"/>
      <c r="AB376" s="203">
        <f t="shared" ca="1" si="181"/>
        <v>0</v>
      </c>
      <c r="AC376" s="238"/>
      <c r="AI376" s="367">
        <f t="shared" ca="1" si="176"/>
        <v>46092</v>
      </c>
      <c r="AJ376" s="367" t="b">
        <f t="shared" si="182"/>
        <v>1</v>
      </c>
      <c r="AK376" s="370" t="str">
        <f t="shared" si="183"/>
        <v/>
      </c>
      <c r="AN376">
        <f t="shared" si="184"/>
        <v>0</v>
      </c>
      <c r="AO376">
        <f t="shared" si="185"/>
        <v>1900</v>
      </c>
      <c r="AV376">
        <f t="shared" si="186"/>
        <v>0</v>
      </c>
      <c r="AW376">
        <f t="shared" si="187"/>
        <v>0</v>
      </c>
    </row>
    <row r="377" spans="4:49" ht="15.75" x14ac:dyDescent="0.25">
      <c r="D377" s="199"/>
      <c r="E377" s="200"/>
      <c r="F377" s="287"/>
      <c r="G377" s="201"/>
      <c r="H377" s="219"/>
      <c r="I377" s="202"/>
      <c r="J377" s="200"/>
      <c r="K377" s="200"/>
      <c r="L377" s="203"/>
      <c r="M377" s="204">
        <f ca="1">IF(ISERROR(OFFSET(Tabella!$A$1,MATCH(J377,Tabella!$A:$A,0)-1,MATCH(L377,Tabella!$A$1:$AC$1,0)-1)=TRUE),0,+OFFSET(Tabella!$A$1,MATCH(J377,Tabella!$A:$A,0)-1,MATCH(L377,Tabella!$A$1:$AC$1,0)-1))</f>
        <v>0</v>
      </c>
      <c r="N377" s="205">
        <f ca="1">IF(ISERROR(OFFSET(Ottone!$A$1,MATCH(J377,Ottone!$A:$A,0)-1,MATCH(L377,Ottone!$A$1:$Z$1,0)-1)=TRUE),0,OFFSET(Ottone!$A$1,MATCH(J377,Ottone!$A:$A,0)-1,MATCH(L377,Ottone!$A$1:$Z$1,0)-1))*IF(G377="Ottone",1,0)</f>
        <v>0</v>
      </c>
      <c r="O377" s="205">
        <f ca="1">IF(ISERROR(OFFSET(Rame!$A$1,MATCH(J377,Rame!$A:$A,0)-1,MATCH(L377,Rame!$A$1:$AA$1,0)-1)=TRUE),0,OFFSET(Rame!$A$1,MATCH(J377,Rame!$A:$A,0)-1,MATCH(L377,Rame!$A$1:$AA$1,0)-1))*IF(G377="Rame",1,0)</f>
        <v>0</v>
      </c>
      <c r="P377" s="205">
        <v>0</v>
      </c>
      <c r="Q377" s="205">
        <f t="shared" ca="1" si="177"/>
        <v>0</v>
      </c>
      <c r="R377" s="205">
        <f ca="1">+IF(ISERROR(OFFSET(Tabella!$G$1,MATCH(J377,Tabella!$G:$G,0)-1,MATCH(K377,Tabella!$G$1:$FG$1,0)-1)=TRUE),0,OFFSET(Tabella!$G$1,MATCH(J377,Tabella!$G:$G,0)-1,MATCH(K377,Tabella!$G$1:$AB$1,0)-1))</f>
        <v>0</v>
      </c>
      <c r="S377" s="205">
        <f ca="1">IF(ISERROR(OFFSET(Ottone!$F$1,MATCH(J377,Ottone!$A:$A,0)-1,MATCH(K377,Ottone!$F$1:$FF$1,0)-1)=TRUE),0,OFFSET(Ottone!$F$1,MATCH(J377,Ottone!$A:$A,0)-1,MATCH(K377,Ottone!$F$1:$FF$1,0)-1))*IF(G377="Ottone",1,0)</f>
        <v>0</v>
      </c>
      <c r="T377" s="205">
        <f ca="1">IF(ISERROR(OFFSET(Rame!$F$1,MATCH(J377,Rame!$F:$F,0)-1,MATCH(K377,Rame!$F$1:$FF$1,0)-1)=TRUE),0,OFFSET(Rame!$F$1,MATCH(J377,Rame!$F:$F,0)-1,MATCH(K377,Rame!$F$1:$FF$1,0)-1))*IF(G377="Rame",1,0)</f>
        <v>0</v>
      </c>
      <c r="U377" s="205">
        <f ca="1">IF(ISERROR(OFFSET(Bronzo!$A$1,MATCH(J377,Bronzo!$A:$A,0)-1,MATCH(K377,Bronzo!$A$1:$AA$1,0)-1)=TRUE),0,OFFSET(Bronzo!$A$1,MATCH(J377,Bronzo!$A:$A,0)-1,MATCH(K377,Bronzo!$A$1:$AA$1,0)-1))</f>
        <v>0</v>
      </c>
      <c r="V377" s="205">
        <f t="shared" ca="1" si="178"/>
        <v>0</v>
      </c>
      <c r="W377" s="204"/>
      <c r="X377" s="205">
        <v>0</v>
      </c>
      <c r="Y377" s="206">
        <f t="shared" ca="1" si="179"/>
        <v>0</v>
      </c>
      <c r="Z377" s="277">
        <f t="shared" si="180"/>
        <v>0</v>
      </c>
      <c r="AA377" s="203"/>
      <c r="AB377" s="203">
        <f t="shared" ca="1" si="181"/>
        <v>0</v>
      </c>
      <c r="AC377" s="238"/>
      <c r="AI377" s="367">
        <f t="shared" ca="1" si="176"/>
        <v>46092</v>
      </c>
      <c r="AJ377" s="367" t="b">
        <f t="shared" si="182"/>
        <v>1</v>
      </c>
      <c r="AK377" s="370" t="str">
        <f t="shared" si="183"/>
        <v/>
      </c>
      <c r="AN377">
        <f t="shared" si="184"/>
        <v>0</v>
      </c>
      <c r="AO377">
        <f t="shared" si="185"/>
        <v>1900</v>
      </c>
      <c r="AV377">
        <f t="shared" si="186"/>
        <v>0</v>
      </c>
      <c r="AW377">
        <f t="shared" si="187"/>
        <v>0</v>
      </c>
    </row>
    <row r="378" spans="4:49" ht="15.75" x14ac:dyDescent="0.25">
      <c r="D378" s="199"/>
      <c r="E378" s="200"/>
      <c r="F378" s="287"/>
      <c r="G378" s="201"/>
      <c r="H378" s="219"/>
      <c r="I378" s="202"/>
      <c r="J378" s="200"/>
      <c r="K378" s="200"/>
      <c r="L378" s="203"/>
      <c r="M378" s="204">
        <f ca="1">IF(ISERROR(OFFSET(Tabella!$A$1,MATCH(J378,Tabella!$A:$A,0)-1,MATCH(L378,Tabella!$A$1:$AC$1,0)-1)=TRUE),0,+OFFSET(Tabella!$A$1,MATCH(J378,Tabella!$A:$A,0)-1,MATCH(L378,Tabella!$A$1:$AC$1,0)-1))</f>
        <v>0</v>
      </c>
      <c r="N378" s="205">
        <f ca="1">IF(ISERROR(OFFSET(Ottone!$A$1,MATCH(J378,Ottone!$A:$A,0)-1,MATCH(L378,Ottone!$A$1:$Z$1,0)-1)=TRUE),0,OFFSET(Ottone!$A$1,MATCH(J378,Ottone!$A:$A,0)-1,MATCH(L378,Ottone!$A$1:$Z$1,0)-1))*IF(G378="Ottone",1,0)</f>
        <v>0</v>
      </c>
      <c r="O378" s="205">
        <f ca="1">IF(ISERROR(OFFSET(Rame!$A$1,MATCH(J378,Rame!$A:$A,0)-1,MATCH(L378,Rame!$A$1:$AA$1,0)-1)=TRUE),0,OFFSET(Rame!$A$1,MATCH(J378,Rame!$A:$A,0)-1,MATCH(L378,Rame!$A$1:$AA$1,0)-1))*IF(G378="Rame",1,0)</f>
        <v>0</v>
      </c>
      <c r="P378" s="205">
        <v>0</v>
      </c>
      <c r="Q378" s="205">
        <f t="shared" ca="1" si="177"/>
        <v>0</v>
      </c>
      <c r="R378" s="205">
        <f ca="1">+IF(ISERROR(OFFSET(Tabella!$G$1,MATCH(J378,Tabella!$G:$G,0)-1,MATCH(K378,Tabella!$G$1:$FG$1,0)-1)=TRUE),0,OFFSET(Tabella!$G$1,MATCH(J378,Tabella!$G:$G,0)-1,MATCH(K378,Tabella!$G$1:$AB$1,0)-1))</f>
        <v>0</v>
      </c>
      <c r="S378" s="205">
        <f ca="1">IF(ISERROR(OFFSET(Ottone!$F$1,MATCH(J378,Ottone!$A:$A,0)-1,MATCH(K378,Ottone!$F$1:$FF$1,0)-1)=TRUE),0,OFFSET(Ottone!$F$1,MATCH(J378,Ottone!$A:$A,0)-1,MATCH(K378,Ottone!$F$1:$FF$1,0)-1))*IF(G378="Ottone",1,0)</f>
        <v>0</v>
      </c>
      <c r="T378" s="205">
        <f ca="1">IF(ISERROR(OFFSET(Rame!$F$1,MATCH(J378,Rame!$F:$F,0)-1,MATCH(K378,Rame!$F$1:$FF$1,0)-1)=TRUE),0,OFFSET(Rame!$F$1,MATCH(J378,Rame!$F:$F,0)-1,MATCH(K378,Rame!$F$1:$FF$1,0)-1))*IF(G378="Rame",1,0)</f>
        <v>0</v>
      </c>
      <c r="U378" s="205">
        <f ca="1">IF(ISERROR(OFFSET(Bronzo!$A$1,MATCH(J378,Bronzo!$A:$A,0)-1,MATCH(K378,Bronzo!$A$1:$AA$1,0)-1)=TRUE),0,OFFSET(Bronzo!$A$1,MATCH(J378,Bronzo!$A:$A,0)-1,MATCH(K378,Bronzo!$A$1:$AA$1,0)-1))</f>
        <v>0</v>
      </c>
      <c r="V378" s="205">
        <f t="shared" ca="1" si="178"/>
        <v>0</v>
      </c>
      <c r="W378" s="204"/>
      <c r="X378" s="205">
        <v>0</v>
      </c>
      <c r="Y378" s="206">
        <f t="shared" ca="1" si="179"/>
        <v>0</v>
      </c>
      <c r="Z378" s="277">
        <f t="shared" si="180"/>
        <v>0</v>
      </c>
      <c r="AA378" s="203"/>
      <c r="AB378" s="203">
        <f t="shared" ca="1" si="181"/>
        <v>0</v>
      </c>
      <c r="AC378" s="238"/>
      <c r="AI378" s="367">
        <f t="shared" ca="1" si="176"/>
        <v>46092</v>
      </c>
      <c r="AJ378" s="367" t="b">
        <f t="shared" si="182"/>
        <v>1</v>
      </c>
      <c r="AK378" s="370" t="str">
        <f t="shared" si="183"/>
        <v/>
      </c>
      <c r="AN378">
        <f t="shared" si="184"/>
        <v>0</v>
      </c>
      <c r="AO378">
        <f t="shared" si="185"/>
        <v>1900</v>
      </c>
      <c r="AV378">
        <f t="shared" si="186"/>
        <v>0</v>
      </c>
      <c r="AW378">
        <f t="shared" si="187"/>
        <v>0</v>
      </c>
    </row>
    <row r="379" spans="4:49" ht="15.75" x14ac:dyDescent="0.25">
      <c r="D379" s="199"/>
      <c r="E379" s="200"/>
      <c r="F379" s="287"/>
      <c r="G379" s="201"/>
      <c r="H379" s="219"/>
      <c r="I379" s="202"/>
      <c r="J379" s="200"/>
      <c r="K379" s="200"/>
      <c r="L379" s="203"/>
      <c r="M379" s="204">
        <f ca="1">IF(ISERROR(OFFSET(Tabella!$A$1,MATCH(J379,Tabella!$A:$A,0)-1,MATCH(L379,Tabella!$A$1:$AC$1,0)-1)=TRUE),0,+OFFSET(Tabella!$A$1,MATCH(J379,Tabella!$A:$A,0)-1,MATCH(L379,Tabella!$A$1:$AC$1,0)-1))</f>
        <v>0</v>
      </c>
      <c r="N379" s="205">
        <f ca="1">IF(ISERROR(OFFSET(Ottone!$A$1,MATCH(J379,Ottone!$A:$A,0)-1,MATCH(L379,Ottone!$A$1:$Z$1,0)-1)=TRUE),0,OFFSET(Ottone!$A$1,MATCH(J379,Ottone!$A:$A,0)-1,MATCH(L379,Ottone!$A$1:$Z$1,0)-1))*IF(G379="Ottone",1,0)</f>
        <v>0</v>
      </c>
      <c r="O379" s="205">
        <f ca="1">IF(ISERROR(OFFSET(Rame!$A$1,MATCH(J379,Rame!$A:$A,0)-1,MATCH(L379,Rame!$A$1:$AA$1,0)-1)=TRUE),0,OFFSET(Rame!$A$1,MATCH(J379,Rame!$A:$A,0)-1,MATCH(L379,Rame!$A$1:$AA$1,0)-1))*IF(G379="Rame",1,0)</f>
        <v>0</v>
      </c>
      <c r="P379" s="205">
        <v>0</v>
      </c>
      <c r="Q379" s="205">
        <f t="shared" ca="1" si="177"/>
        <v>0</v>
      </c>
      <c r="R379" s="205">
        <f ca="1">+IF(ISERROR(OFFSET(Tabella!$G$1,MATCH(J379,Tabella!$G:$G,0)-1,MATCH(K379,Tabella!$G$1:$FG$1,0)-1)=TRUE),0,OFFSET(Tabella!$G$1,MATCH(J379,Tabella!$G:$G,0)-1,MATCH(K379,Tabella!$G$1:$AB$1,0)-1))</f>
        <v>0</v>
      </c>
      <c r="S379" s="205">
        <f ca="1">IF(ISERROR(OFFSET(Ottone!$F$1,MATCH(J379,Ottone!$A:$A,0)-1,MATCH(K379,Ottone!$F$1:$FF$1,0)-1)=TRUE),0,OFFSET(Ottone!$F$1,MATCH(J379,Ottone!$A:$A,0)-1,MATCH(K379,Ottone!$F$1:$FF$1,0)-1))*IF(G379="Ottone",1,0)</f>
        <v>0</v>
      </c>
      <c r="T379" s="205">
        <f ca="1">IF(ISERROR(OFFSET(Rame!$F$1,MATCH(J379,Rame!$F:$F,0)-1,MATCH(K379,Rame!$F$1:$FF$1,0)-1)=TRUE),0,OFFSET(Rame!$F$1,MATCH(J379,Rame!$F:$F,0)-1,MATCH(K379,Rame!$F$1:$FF$1,0)-1))*IF(G379="Rame",1,0)</f>
        <v>0</v>
      </c>
      <c r="U379" s="205">
        <f ca="1">IF(ISERROR(OFFSET(Bronzo!$A$1,MATCH(J379,Bronzo!$A:$A,0)-1,MATCH(K379,Bronzo!$A$1:$AA$1,0)-1)=TRUE),0,OFFSET(Bronzo!$A$1,MATCH(J379,Bronzo!$A:$A,0)-1,MATCH(K379,Bronzo!$A$1:$AA$1,0)-1))</f>
        <v>0</v>
      </c>
      <c r="V379" s="205">
        <f t="shared" ca="1" si="178"/>
        <v>0</v>
      </c>
      <c r="W379" s="204"/>
      <c r="X379" s="205">
        <v>0</v>
      </c>
      <c r="Y379" s="206">
        <f t="shared" ca="1" si="179"/>
        <v>0</v>
      </c>
      <c r="Z379" s="277">
        <f t="shared" si="180"/>
        <v>0</v>
      </c>
      <c r="AA379" s="203"/>
      <c r="AB379" s="203">
        <f t="shared" ca="1" si="181"/>
        <v>0</v>
      </c>
      <c r="AC379" s="238"/>
      <c r="AI379" s="367">
        <f t="shared" ca="1" si="176"/>
        <v>46092</v>
      </c>
      <c r="AJ379" s="367" t="b">
        <f t="shared" si="182"/>
        <v>1</v>
      </c>
      <c r="AK379" s="370" t="str">
        <f t="shared" si="183"/>
        <v/>
      </c>
      <c r="AN379">
        <f t="shared" si="184"/>
        <v>0</v>
      </c>
      <c r="AO379">
        <f t="shared" si="185"/>
        <v>1900</v>
      </c>
      <c r="AV379">
        <f t="shared" si="186"/>
        <v>0</v>
      </c>
      <c r="AW379">
        <f t="shared" si="187"/>
        <v>0</v>
      </c>
    </row>
    <row r="380" spans="4:49" ht="15.75" x14ac:dyDescent="0.25">
      <c r="D380" s="199"/>
      <c r="E380" s="200"/>
      <c r="F380" s="287"/>
      <c r="G380" s="201"/>
      <c r="H380" s="219"/>
      <c r="I380" s="202"/>
      <c r="J380" s="200"/>
      <c r="K380" s="200"/>
      <c r="L380" s="203"/>
      <c r="M380" s="204">
        <f ca="1">IF(ISERROR(OFFSET(Tabella!$A$1,MATCH(J380,Tabella!$A:$A,0)-1,MATCH(L380,Tabella!$A$1:$AC$1,0)-1)=TRUE),0,+OFFSET(Tabella!$A$1,MATCH(J380,Tabella!$A:$A,0)-1,MATCH(L380,Tabella!$A$1:$AC$1,0)-1))</f>
        <v>0</v>
      </c>
      <c r="N380" s="205">
        <f ca="1">IF(ISERROR(OFFSET(Ottone!$A$1,MATCH(J380,Ottone!$A:$A,0)-1,MATCH(L380,Ottone!$A$1:$Z$1,0)-1)=TRUE),0,OFFSET(Ottone!$A$1,MATCH(J380,Ottone!$A:$A,0)-1,MATCH(L380,Ottone!$A$1:$Z$1,0)-1))*IF(G380="Ottone",1,0)</f>
        <v>0</v>
      </c>
      <c r="O380" s="205">
        <f ca="1">IF(ISERROR(OFFSET(Rame!$A$1,MATCH(J380,Rame!$A:$A,0)-1,MATCH(L380,Rame!$A$1:$AA$1,0)-1)=TRUE),0,OFFSET(Rame!$A$1,MATCH(J380,Rame!$A:$A,0)-1,MATCH(L380,Rame!$A$1:$AA$1,0)-1))*IF(G380="Rame",1,0)</f>
        <v>0</v>
      </c>
      <c r="P380" s="205">
        <v>0</v>
      </c>
      <c r="Q380" s="205">
        <f t="shared" ca="1" si="177"/>
        <v>0</v>
      </c>
      <c r="R380" s="205">
        <f ca="1">+IF(ISERROR(OFFSET(Tabella!$G$1,MATCH(J380,Tabella!$G:$G,0)-1,MATCH(K380,Tabella!$G$1:$FG$1,0)-1)=TRUE),0,OFFSET(Tabella!$G$1,MATCH(J380,Tabella!$G:$G,0)-1,MATCH(K380,Tabella!$G$1:$AB$1,0)-1))</f>
        <v>0</v>
      </c>
      <c r="S380" s="205">
        <f ca="1">IF(ISERROR(OFFSET(Ottone!$F$1,MATCH(J380,Ottone!$A:$A,0)-1,MATCH(K380,Ottone!$F$1:$FF$1,0)-1)=TRUE),0,OFFSET(Ottone!$F$1,MATCH(J380,Ottone!$A:$A,0)-1,MATCH(K380,Ottone!$F$1:$FF$1,0)-1))*IF(G380="Ottone",1,0)</f>
        <v>0</v>
      </c>
      <c r="T380" s="205">
        <f ca="1">IF(ISERROR(OFFSET(Rame!$F$1,MATCH(J380,Rame!$F:$F,0)-1,MATCH(K380,Rame!$F$1:$FF$1,0)-1)=TRUE),0,OFFSET(Rame!$F$1,MATCH(J380,Rame!$F:$F,0)-1,MATCH(K380,Rame!$F$1:$FF$1,0)-1))*IF(G380="Rame",1,0)</f>
        <v>0</v>
      </c>
      <c r="U380" s="205">
        <f ca="1">IF(ISERROR(OFFSET(Bronzo!$A$1,MATCH(J380,Bronzo!$A:$A,0)-1,MATCH(K380,Bronzo!$A$1:$AA$1,0)-1)=TRUE),0,OFFSET(Bronzo!$A$1,MATCH(J380,Bronzo!$A:$A,0)-1,MATCH(K380,Bronzo!$A$1:$AA$1,0)-1))</f>
        <v>0</v>
      </c>
      <c r="V380" s="205">
        <f t="shared" ca="1" si="178"/>
        <v>0</v>
      </c>
      <c r="W380" s="204"/>
      <c r="X380" s="205">
        <v>0</v>
      </c>
      <c r="Y380" s="206">
        <f t="shared" ca="1" si="179"/>
        <v>0</v>
      </c>
      <c r="Z380" s="277">
        <f t="shared" si="180"/>
        <v>0</v>
      </c>
      <c r="AA380" s="203"/>
      <c r="AB380" s="203">
        <f t="shared" ca="1" si="181"/>
        <v>0</v>
      </c>
      <c r="AC380" s="238"/>
      <c r="AI380" s="367">
        <f t="shared" ca="1" si="176"/>
        <v>46092</v>
      </c>
      <c r="AJ380" s="367" t="b">
        <f t="shared" si="182"/>
        <v>1</v>
      </c>
      <c r="AK380" s="370" t="str">
        <f t="shared" si="183"/>
        <v/>
      </c>
      <c r="AN380">
        <f t="shared" si="184"/>
        <v>0</v>
      </c>
      <c r="AO380">
        <f t="shared" si="185"/>
        <v>1900</v>
      </c>
      <c r="AV380">
        <f t="shared" si="186"/>
        <v>0</v>
      </c>
      <c r="AW380">
        <f t="shared" si="187"/>
        <v>0</v>
      </c>
    </row>
    <row r="381" spans="4:49" ht="15.75" x14ac:dyDescent="0.25">
      <c r="D381" s="199"/>
      <c r="E381" s="200"/>
      <c r="F381" s="287"/>
      <c r="G381" s="201"/>
      <c r="H381" s="219"/>
      <c r="I381" s="202"/>
      <c r="J381" s="200"/>
      <c r="K381" s="200"/>
      <c r="L381" s="203"/>
      <c r="M381" s="204">
        <f ca="1">IF(ISERROR(OFFSET(Tabella!$A$1,MATCH(J381,Tabella!$A:$A,0)-1,MATCH(L381,Tabella!$A$1:$AC$1,0)-1)=TRUE),0,+OFFSET(Tabella!$A$1,MATCH(J381,Tabella!$A:$A,0)-1,MATCH(L381,Tabella!$A$1:$AC$1,0)-1))</f>
        <v>0</v>
      </c>
      <c r="N381" s="205">
        <f ca="1">IF(ISERROR(OFFSET(Ottone!$A$1,MATCH(J381,Ottone!$A:$A,0)-1,MATCH(L381,Ottone!$A$1:$Z$1,0)-1)=TRUE),0,OFFSET(Ottone!$A$1,MATCH(J381,Ottone!$A:$A,0)-1,MATCH(L381,Ottone!$A$1:$Z$1,0)-1))*IF(G381="Ottone",1,0)</f>
        <v>0</v>
      </c>
      <c r="O381" s="205">
        <f ca="1">IF(ISERROR(OFFSET(Rame!$A$1,MATCH(J381,Rame!$A:$A,0)-1,MATCH(L381,Rame!$A$1:$AA$1,0)-1)=TRUE),0,OFFSET(Rame!$A$1,MATCH(J381,Rame!$A:$A,0)-1,MATCH(L381,Rame!$A$1:$AA$1,0)-1))*IF(G381="Rame",1,0)</f>
        <v>0</v>
      </c>
      <c r="P381" s="205">
        <v>0</v>
      </c>
      <c r="Q381" s="205">
        <f t="shared" ca="1" si="177"/>
        <v>0</v>
      </c>
      <c r="R381" s="205">
        <f ca="1">+IF(ISERROR(OFFSET(Tabella!$G$1,MATCH(J381,Tabella!$G:$G,0)-1,MATCH(K381,Tabella!$G$1:$FG$1,0)-1)=TRUE),0,OFFSET(Tabella!$G$1,MATCH(J381,Tabella!$G:$G,0)-1,MATCH(K381,Tabella!$G$1:$AB$1,0)-1))</f>
        <v>0</v>
      </c>
      <c r="S381" s="205">
        <f ca="1">IF(ISERROR(OFFSET(Ottone!$F$1,MATCH(J381,Ottone!$A:$A,0)-1,MATCH(K381,Ottone!$F$1:$FF$1,0)-1)=TRUE),0,OFFSET(Ottone!$F$1,MATCH(J381,Ottone!$A:$A,0)-1,MATCH(K381,Ottone!$F$1:$FF$1,0)-1))*IF(G381="Ottone",1,0)</f>
        <v>0</v>
      </c>
      <c r="T381" s="205">
        <f ca="1">IF(ISERROR(OFFSET(Rame!$F$1,MATCH(J381,Rame!$F:$F,0)-1,MATCH(K381,Rame!$F$1:$FF$1,0)-1)=TRUE),0,OFFSET(Rame!$F$1,MATCH(J381,Rame!$F:$F,0)-1,MATCH(K381,Rame!$F$1:$FF$1,0)-1))*IF(G381="Rame",1,0)</f>
        <v>0</v>
      </c>
      <c r="U381" s="205">
        <f ca="1">IF(ISERROR(OFFSET(Bronzo!$A$1,MATCH(J381,Bronzo!$A:$A,0)-1,MATCH(K381,Bronzo!$A$1:$AA$1,0)-1)=TRUE),0,OFFSET(Bronzo!$A$1,MATCH(J381,Bronzo!$A:$A,0)-1,MATCH(K381,Bronzo!$A$1:$AA$1,0)-1))</f>
        <v>0</v>
      </c>
      <c r="V381" s="205">
        <f t="shared" ca="1" si="178"/>
        <v>0</v>
      </c>
      <c r="W381" s="204"/>
      <c r="X381" s="205">
        <v>0</v>
      </c>
      <c r="Y381" s="206">
        <f t="shared" ca="1" si="179"/>
        <v>0</v>
      </c>
      <c r="Z381" s="277">
        <f t="shared" si="180"/>
        <v>0</v>
      </c>
      <c r="AA381" s="203"/>
      <c r="AB381" s="203">
        <f t="shared" ca="1" si="181"/>
        <v>0</v>
      </c>
      <c r="AC381" s="238"/>
      <c r="AI381" s="367">
        <f t="shared" ca="1" si="176"/>
        <v>46092</v>
      </c>
      <c r="AJ381" s="367" t="b">
        <f t="shared" si="182"/>
        <v>1</v>
      </c>
      <c r="AK381" s="370" t="str">
        <f t="shared" si="183"/>
        <v/>
      </c>
      <c r="AN381">
        <f t="shared" si="184"/>
        <v>0</v>
      </c>
      <c r="AO381">
        <f t="shared" si="185"/>
        <v>1900</v>
      </c>
      <c r="AV381">
        <f t="shared" si="186"/>
        <v>0</v>
      </c>
      <c r="AW381">
        <f t="shared" si="187"/>
        <v>0</v>
      </c>
    </row>
    <row r="382" spans="4:49" ht="15.75" x14ac:dyDescent="0.25">
      <c r="D382" s="199"/>
      <c r="E382" s="200"/>
      <c r="F382" s="287"/>
      <c r="G382" s="201"/>
      <c r="H382" s="219"/>
      <c r="I382" s="202"/>
      <c r="J382" s="200"/>
      <c r="K382" s="200"/>
      <c r="L382" s="203"/>
      <c r="M382" s="204">
        <f ca="1">IF(ISERROR(OFFSET(Tabella!$A$1,MATCH(J382,Tabella!$A:$A,0)-1,MATCH(L382,Tabella!$A$1:$AC$1,0)-1)=TRUE),0,+OFFSET(Tabella!$A$1,MATCH(J382,Tabella!$A:$A,0)-1,MATCH(L382,Tabella!$A$1:$AC$1,0)-1))</f>
        <v>0</v>
      </c>
      <c r="N382" s="205">
        <f ca="1">IF(ISERROR(OFFSET(Ottone!$A$1,MATCH(J382,Ottone!$A:$A,0)-1,MATCH(L382,Ottone!$A$1:$Z$1,0)-1)=TRUE),0,OFFSET(Ottone!$A$1,MATCH(J382,Ottone!$A:$A,0)-1,MATCH(L382,Ottone!$A$1:$Z$1,0)-1))*IF(G382="Ottone",1,0)</f>
        <v>0</v>
      </c>
      <c r="O382" s="205">
        <f ca="1">IF(ISERROR(OFFSET(Rame!$A$1,MATCH(J382,Rame!$A:$A,0)-1,MATCH(L382,Rame!$A$1:$AA$1,0)-1)=TRUE),0,OFFSET(Rame!$A$1,MATCH(J382,Rame!$A:$A,0)-1,MATCH(L382,Rame!$A$1:$AA$1,0)-1))*IF(G382="Rame",1,0)</f>
        <v>0</v>
      </c>
      <c r="P382" s="205">
        <v>0</v>
      </c>
      <c r="Q382" s="205">
        <f t="shared" ca="1" si="177"/>
        <v>0</v>
      </c>
      <c r="R382" s="205">
        <f ca="1">+IF(ISERROR(OFFSET(Tabella!$G$1,MATCH(J382,Tabella!$G:$G,0)-1,MATCH(K382,Tabella!$G$1:$FG$1,0)-1)=TRUE),0,OFFSET(Tabella!$G$1,MATCH(J382,Tabella!$G:$G,0)-1,MATCH(K382,Tabella!$G$1:$AB$1,0)-1))</f>
        <v>0</v>
      </c>
      <c r="S382" s="205">
        <f ca="1">IF(ISERROR(OFFSET(Ottone!$F$1,MATCH(J382,Ottone!$A:$A,0)-1,MATCH(K382,Ottone!$F$1:$FF$1,0)-1)=TRUE),0,OFFSET(Ottone!$F$1,MATCH(J382,Ottone!$A:$A,0)-1,MATCH(K382,Ottone!$F$1:$FF$1,0)-1))*IF(G382="Ottone",1,0)</f>
        <v>0</v>
      </c>
      <c r="T382" s="205">
        <f ca="1">IF(ISERROR(OFFSET(Rame!$F$1,MATCH(J382,Rame!$F:$F,0)-1,MATCH(K382,Rame!$F$1:$FF$1,0)-1)=TRUE),0,OFFSET(Rame!$F$1,MATCH(J382,Rame!$F:$F,0)-1,MATCH(K382,Rame!$F$1:$FF$1,0)-1))*IF(G382="Rame",1,0)</f>
        <v>0</v>
      </c>
      <c r="U382" s="205">
        <f ca="1">IF(ISERROR(OFFSET(Bronzo!$A$1,MATCH(J382,Bronzo!$A:$A,0)-1,MATCH(K382,Bronzo!$A$1:$AA$1,0)-1)=TRUE),0,OFFSET(Bronzo!$A$1,MATCH(J382,Bronzo!$A:$A,0)-1,MATCH(K382,Bronzo!$A$1:$AA$1,0)-1))</f>
        <v>0</v>
      </c>
      <c r="V382" s="205">
        <f t="shared" ca="1" si="178"/>
        <v>0</v>
      </c>
      <c r="W382" s="204"/>
      <c r="X382" s="205">
        <v>0</v>
      </c>
      <c r="Y382" s="206">
        <f t="shared" ca="1" si="179"/>
        <v>0</v>
      </c>
      <c r="Z382" s="277">
        <f t="shared" si="180"/>
        <v>0</v>
      </c>
      <c r="AA382" s="203"/>
      <c r="AB382" s="203">
        <f t="shared" ca="1" si="181"/>
        <v>0</v>
      </c>
      <c r="AC382" s="238"/>
      <c r="AI382" s="367">
        <f t="shared" ca="1" si="176"/>
        <v>46092</v>
      </c>
      <c r="AJ382" s="367" t="b">
        <f t="shared" si="182"/>
        <v>1</v>
      </c>
      <c r="AK382" s="370" t="str">
        <f t="shared" si="183"/>
        <v/>
      </c>
      <c r="AN382">
        <f t="shared" si="184"/>
        <v>0</v>
      </c>
      <c r="AO382">
        <f t="shared" si="185"/>
        <v>1900</v>
      </c>
      <c r="AV382">
        <f t="shared" si="186"/>
        <v>0</v>
      </c>
      <c r="AW382">
        <f t="shared" si="187"/>
        <v>0</v>
      </c>
    </row>
    <row r="383" spans="4:49" ht="15.75" x14ac:dyDescent="0.25">
      <c r="D383" s="199"/>
      <c r="E383" s="200"/>
      <c r="F383" s="287"/>
      <c r="G383" s="201"/>
      <c r="H383" s="219"/>
      <c r="I383" s="202"/>
      <c r="J383" s="200"/>
      <c r="K383" s="200"/>
      <c r="L383" s="203"/>
      <c r="M383" s="204">
        <f ca="1">IF(ISERROR(OFFSET(Tabella!$A$1,MATCH(J383,Tabella!$A:$A,0)-1,MATCH(L383,Tabella!$A$1:$AC$1,0)-1)=TRUE),0,+OFFSET(Tabella!$A$1,MATCH(J383,Tabella!$A:$A,0)-1,MATCH(L383,Tabella!$A$1:$AC$1,0)-1))</f>
        <v>0</v>
      </c>
      <c r="N383" s="205">
        <f ca="1">IF(ISERROR(OFFSET(Ottone!$A$1,MATCH(J383,Ottone!$A:$A,0)-1,MATCH(L383,Ottone!$A$1:$Z$1,0)-1)=TRUE),0,OFFSET(Ottone!$A$1,MATCH(J383,Ottone!$A:$A,0)-1,MATCH(L383,Ottone!$A$1:$Z$1,0)-1))*IF(G383="Ottone",1,0)</f>
        <v>0</v>
      </c>
      <c r="O383" s="205">
        <f ca="1">IF(ISERROR(OFFSET(Rame!$A$1,MATCH(J383,Rame!$A:$A,0)-1,MATCH(L383,Rame!$A$1:$AA$1,0)-1)=TRUE),0,OFFSET(Rame!$A$1,MATCH(J383,Rame!$A:$A,0)-1,MATCH(L383,Rame!$A$1:$AA$1,0)-1))*IF(G383="Rame",1,0)</f>
        <v>0</v>
      </c>
      <c r="P383" s="205">
        <v>0</v>
      </c>
      <c r="Q383" s="205">
        <f t="shared" ca="1" si="177"/>
        <v>0</v>
      </c>
      <c r="R383" s="205">
        <f ca="1">+IF(ISERROR(OFFSET(Tabella!$G$1,MATCH(J383,Tabella!$G:$G,0)-1,MATCH(K383,Tabella!$G$1:$FG$1,0)-1)=TRUE),0,OFFSET(Tabella!$G$1,MATCH(J383,Tabella!$G:$G,0)-1,MATCH(K383,Tabella!$G$1:$AB$1,0)-1))</f>
        <v>0</v>
      </c>
      <c r="S383" s="205">
        <f ca="1">IF(ISERROR(OFFSET(Ottone!$F$1,MATCH(J383,Ottone!$A:$A,0)-1,MATCH(K383,Ottone!$F$1:$FF$1,0)-1)=TRUE),0,OFFSET(Ottone!$F$1,MATCH(J383,Ottone!$A:$A,0)-1,MATCH(K383,Ottone!$F$1:$FF$1,0)-1))*IF(G383="Ottone",1,0)</f>
        <v>0</v>
      </c>
      <c r="T383" s="205">
        <f ca="1">IF(ISERROR(OFFSET(Rame!$F$1,MATCH(J383,Rame!$F:$F,0)-1,MATCH(K383,Rame!$F$1:$FF$1,0)-1)=TRUE),0,OFFSET(Rame!$F$1,MATCH(J383,Rame!$F:$F,0)-1,MATCH(K383,Rame!$F$1:$FF$1,0)-1))*IF(G383="Rame",1,0)</f>
        <v>0</v>
      </c>
      <c r="U383" s="205">
        <f ca="1">IF(ISERROR(OFFSET(Bronzo!$A$1,MATCH(J383,Bronzo!$A:$A,0)-1,MATCH(K383,Bronzo!$A$1:$AA$1,0)-1)=TRUE),0,OFFSET(Bronzo!$A$1,MATCH(J383,Bronzo!$A:$A,0)-1,MATCH(K383,Bronzo!$A$1:$AA$1,0)-1))</f>
        <v>0</v>
      </c>
      <c r="V383" s="205">
        <f t="shared" ca="1" si="178"/>
        <v>0</v>
      </c>
      <c r="W383" s="204"/>
      <c r="X383" s="205">
        <v>0</v>
      </c>
      <c r="Y383" s="206">
        <f t="shared" ca="1" si="179"/>
        <v>0</v>
      </c>
      <c r="Z383" s="277">
        <f t="shared" si="180"/>
        <v>0</v>
      </c>
      <c r="AA383" s="203"/>
      <c r="AB383" s="203">
        <f t="shared" ca="1" si="181"/>
        <v>0</v>
      </c>
      <c r="AC383" s="238"/>
      <c r="AI383" s="367">
        <f t="shared" ca="1" si="176"/>
        <v>46092</v>
      </c>
      <c r="AJ383" s="367" t="b">
        <f t="shared" si="182"/>
        <v>1</v>
      </c>
      <c r="AK383" s="370" t="str">
        <f t="shared" si="183"/>
        <v/>
      </c>
      <c r="AN383">
        <f t="shared" si="184"/>
        <v>0</v>
      </c>
      <c r="AO383">
        <f t="shared" si="185"/>
        <v>1900</v>
      </c>
      <c r="AV383">
        <f t="shared" si="186"/>
        <v>0</v>
      </c>
      <c r="AW383">
        <f t="shared" si="187"/>
        <v>0</v>
      </c>
    </row>
    <row r="384" spans="4:49" ht="15.75" x14ac:dyDescent="0.25">
      <c r="D384" s="199"/>
      <c r="E384" s="200"/>
      <c r="F384" s="287"/>
      <c r="G384" s="201"/>
      <c r="H384" s="219"/>
      <c r="I384" s="202"/>
      <c r="J384" s="200"/>
      <c r="K384" s="200"/>
      <c r="L384" s="203"/>
      <c r="M384" s="204">
        <f ca="1">IF(ISERROR(OFFSET(Tabella!$A$1,MATCH(J384,Tabella!$A:$A,0)-1,MATCH(L384,Tabella!$A$1:$AC$1,0)-1)=TRUE),0,+OFFSET(Tabella!$A$1,MATCH(J384,Tabella!$A:$A,0)-1,MATCH(L384,Tabella!$A$1:$AC$1,0)-1))</f>
        <v>0</v>
      </c>
      <c r="N384" s="205">
        <f ca="1">IF(ISERROR(OFFSET(Ottone!$A$1,MATCH(J384,Ottone!$A:$A,0)-1,MATCH(L384,Ottone!$A$1:$Z$1,0)-1)=TRUE),0,OFFSET(Ottone!$A$1,MATCH(J384,Ottone!$A:$A,0)-1,MATCH(L384,Ottone!$A$1:$Z$1,0)-1))*IF(G384="Ottone",1,0)</f>
        <v>0</v>
      </c>
      <c r="O384" s="205">
        <f ca="1">IF(ISERROR(OFFSET(Rame!$A$1,MATCH(J384,Rame!$A:$A,0)-1,MATCH(L384,Rame!$A$1:$AA$1,0)-1)=TRUE),0,OFFSET(Rame!$A$1,MATCH(J384,Rame!$A:$A,0)-1,MATCH(L384,Rame!$A$1:$AA$1,0)-1))*IF(G384="Rame",1,0)</f>
        <v>0</v>
      </c>
      <c r="P384" s="205">
        <v>0</v>
      </c>
      <c r="Q384" s="205">
        <f t="shared" ca="1" si="177"/>
        <v>0</v>
      </c>
      <c r="R384" s="205">
        <f ca="1">+IF(ISERROR(OFFSET(Tabella!$G$1,MATCH(J384,Tabella!$G:$G,0)-1,MATCH(K384,Tabella!$G$1:$FG$1,0)-1)=TRUE),0,OFFSET(Tabella!$G$1,MATCH(J384,Tabella!$G:$G,0)-1,MATCH(K384,Tabella!$G$1:$AB$1,0)-1))</f>
        <v>0</v>
      </c>
      <c r="S384" s="205">
        <f ca="1">IF(ISERROR(OFFSET(Ottone!$F$1,MATCH(J384,Ottone!$A:$A,0)-1,MATCH(K384,Ottone!$F$1:$FF$1,0)-1)=TRUE),0,OFFSET(Ottone!$F$1,MATCH(J384,Ottone!$A:$A,0)-1,MATCH(K384,Ottone!$F$1:$FF$1,0)-1))*IF(G384="Ottone",1,0)</f>
        <v>0</v>
      </c>
      <c r="T384" s="205">
        <f ca="1">IF(ISERROR(OFFSET(Rame!$F$1,MATCH(J384,Rame!$F:$F,0)-1,MATCH(K384,Rame!$F$1:$FF$1,0)-1)=TRUE),0,OFFSET(Rame!$F$1,MATCH(J384,Rame!$F:$F,0)-1,MATCH(K384,Rame!$F$1:$FF$1,0)-1))*IF(G384="Rame",1,0)</f>
        <v>0</v>
      </c>
      <c r="U384" s="205">
        <f ca="1">IF(ISERROR(OFFSET(Bronzo!$A$1,MATCH(J384,Bronzo!$A:$A,0)-1,MATCH(K384,Bronzo!$A$1:$AA$1,0)-1)=TRUE),0,OFFSET(Bronzo!$A$1,MATCH(J384,Bronzo!$A:$A,0)-1,MATCH(K384,Bronzo!$A$1:$AA$1,0)-1))</f>
        <v>0</v>
      </c>
      <c r="V384" s="205">
        <f t="shared" ca="1" si="178"/>
        <v>0</v>
      </c>
      <c r="W384" s="204"/>
      <c r="X384" s="205">
        <v>0</v>
      </c>
      <c r="Y384" s="206">
        <f t="shared" ca="1" si="179"/>
        <v>0</v>
      </c>
      <c r="Z384" s="277">
        <f t="shared" si="180"/>
        <v>0</v>
      </c>
      <c r="AA384" s="203"/>
      <c r="AB384" s="203">
        <f t="shared" ca="1" si="181"/>
        <v>0</v>
      </c>
      <c r="AC384" s="238"/>
      <c r="AI384" s="367">
        <f t="shared" ref="AI384:AI447" ca="1" si="188">TODAY()</f>
        <v>46092</v>
      </c>
      <c r="AJ384" s="367" t="b">
        <f t="shared" si="182"/>
        <v>1</v>
      </c>
      <c r="AK384" s="370" t="str">
        <f t="shared" si="183"/>
        <v/>
      </c>
      <c r="AN384">
        <f t="shared" si="184"/>
        <v>0</v>
      </c>
      <c r="AO384">
        <f t="shared" si="185"/>
        <v>1900</v>
      </c>
      <c r="AV384">
        <f t="shared" si="186"/>
        <v>0</v>
      </c>
      <c r="AW384">
        <f t="shared" si="187"/>
        <v>0</v>
      </c>
    </row>
    <row r="385" spans="4:49" ht="15.75" x14ac:dyDescent="0.25">
      <c r="D385" s="199"/>
      <c r="E385" s="200"/>
      <c r="F385" s="287"/>
      <c r="G385" s="201"/>
      <c r="H385" s="219"/>
      <c r="I385" s="202"/>
      <c r="J385" s="200"/>
      <c r="K385" s="200"/>
      <c r="L385" s="203"/>
      <c r="M385" s="204">
        <f ca="1">IF(ISERROR(OFFSET(Tabella!$A$1,MATCH(J385,Tabella!$A:$A,0)-1,MATCH(L385,Tabella!$A$1:$AC$1,0)-1)=TRUE),0,+OFFSET(Tabella!$A$1,MATCH(J385,Tabella!$A:$A,0)-1,MATCH(L385,Tabella!$A$1:$AC$1,0)-1))</f>
        <v>0</v>
      </c>
      <c r="N385" s="205">
        <f ca="1">IF(ISERROR(OFFSET(Ottone!$A$1,MATCH(J385,Ottone!$A:$A,0)-1,MATCH(L385,Ottone!$A$1:$Z$1,0)-1)=TRUE),0,OFFSET(Ottone!$A$1,MATCH(J385,Ottone!$A:$A,0)-1,MATCH(L385,Ottone!$A$1:$Z$1,0)-1))*IF(G385="Ottone",1,0)</f>
        <v>0</v>
      </c>
      <c r="O385" s="205">
        <f ca="1">IF(ISERROR(OFFSET(Rame!$A$1,MATCH(J385,Rame!$A:$A,0)-1,MATCH(L385,Rame!$A$1:$AA$1,0)-1)=TRUE),0,OFFSET(Rame!$A$1,MATCH(J385,Rame!$A:$A,0)-1,MATCH(L385,Rame!$A$1:$AA$1,0)-1))*IF(G385="Rame",1,0)</f>
        <v>0</v>
      </c>
      <c r="P385" s="205">
        <v>0</v>
      </c>
      <c r="Q385" s="205">
        <f t="shared" ca="1" si="177"/>
        <v>0</v>
      </c>
      <c r="R385" s="205">
        <f ca="1">+IF(ISERROR(OFFSET(Tabella!$G$1,MATCH(J385,Tabella!$G:$G,0)-1,MATCH(K385,Tabella!$G$1:$FG$1,0)-1)=TRUE),0,OFFSET(Tabella!$G$1,MATCH(J385,Tabella!$G:$G,0)-1,MATCH(K385,Tabella!$G$1:$AB$1,0)-1))</f>
        <v>0</v>
      </c>
      <c r="S385" s="205">
        <f ca="1">IF(ISERROR(OFFSET(Ottone!$F$1,MATCH(J385,Ottone!$A:$A,0)-1,MATCH(K385,Ottone!$F$1:$FF$1,0)-1)=TRUE),0,OFFSET(Ottone!$F$1,MATCH(J385,Ottone!$A:$A,0)-1,MATCH(K385,Ottone!$F$1:$FF$1,0)-1))*IF(G385="Ottone",1,0)</f>
        <v>0</v>
      </c>
      <c r="T385" s="205">
        <f ca="1">IF(ISERROR(OFFSET(Rame!$F$1,MATCH(J385,Rame!$F:$F,0)-1,MATCH(K385,Rame!$F$1:$FF$1,0)-1)=TRUE),0,OFFSET(Rame!$F$1,MATCH(J385,Rame!$F:$F,0)-1,MATCH(K385,Rame!$F$1:$FF$1,0)-1))*IF(G385="Rame",1,0)</f>
        <v>0</v>
      </c>
      <c r="U385" s="205">
        <f ca="1">IF(ISERROR(OFFSET(Bronzo!$A$1,MATCH(J385,Bronzo!$A:$A,0)-1,MATCH(K385,Bronzo!$A$1:$AA$1,0)-1)=TRUE),0,OFFSET(Bronzo!$A$1,MATCH(J385,Bronzo!$A:$A,0)-1,MATCH(K385,Bronzo!$A$1:$AA$1,0)-1))</f>
        <v>0</v>
      </c>
      <c r="V385" s="205">
        <f t="shared" ca="1" si="178"/>
        <v>0</v>
      </c>
      <c r="W385" s="204"/>
      <c r="X385" s="205">
        <v>0</v>
      </c>
      <c r="Y385" s="206">
        <f t="shared" ca="1" si="179"/>
        <v>0</v>
      </c>
      <c r="Z385" s="277">
        <f t="shared" si="180"/>
        <v>0</v>
      </c>
      <c r="AA385" s="203"/>
      <c r="AB385" s="203">
        <f t="shared" ca="1" si="181"/>
        <v>0</v>
      </c>
      <c r="AC385" s="238"/>
      <c r="AI385" s="367">
        <f t="shared" ca="1" si="188"/>
        <v>46092</v>
      </c>
      <c r="AJ385" s="367" t="b">
        <f t="shared" si="182"/>
        <v>1</v>
      </c>
      <c r="AK385" s="370" t="str">
        <f t="shared" si="183"/>
        <v/>
      </c>
      <c r="AN385">
        <f t="shared" si="184"/>
        <v>0</v>
      </c>
      <c r="AO385">
        <f t="shared" si="185"/>
        <v>1900</v>
      </c>
      <c r="AV385">
        <f t="shared" si="186"/>
        <v>0</v>
      </c>
      <c r="AW385">
        <f t="shared" si="187"/>
        <v>0</v>
      </c>
    </row>
    <row r="386" spans="4:49" ht="15.75" x14ac:dyDescent="0.25">
      <c r="D386" s="199"/>
      <c r="E386" s="200"/>
      <c r="F386" s="287"/>
      <c r="G386" s="201"/>
      <c r="H386" s="219"/>
      <c r="I386" s="202"/>
      <c r="J386" s="200"/>
      <c r="K386" s="200"/>
      <c r="L386" s="203"/>
      <c r="M386" s="204">
        <f ca="1">IF(ISERROR(OFFSET(Tabella!$A$1,MATCH(J386,Tabella!$A:$A,0)-1,MATCH(L386,Tabella!$A$1:$AC$1,0)-1)=TRUE),0,+OFFSET(Tabella!$A$1,MATCH(J386,Tabella!$A:$A,0)-1,MATCH(L386,Tabella!$A$1:$AC$1,0)-1))</f>
        <v>0</v>
      </c>
      <c r="N386" s="205">
        <f ca="1">IF(ISERROR(OFFSET(Ottone!$A$1,MATCH(J386,Ottone!$A:$A,0)-1,MATCH(L386,Ottone!$A$1:$Z$1,0)-1)=TRUE),0,OFFSET(Ottone!$A$1,MATCH(J386,Ottone!$A:$A,0)-1,MATCH(L386,Ottone!$A$1:$Z$1,0)-1))*IF(G386="Ottone",1,0)</f>
        <v>0</v>
      </c>
      <c r="O386" s="205">
        <f ca="1">IF(ISERROR(OFFSET(Rame!$A$1,MATCH(J386,Rame!$A:$A,0)-1,MATCH(L386,Rame!$A$1:$AA$1,0)-1)=TRUE),0,OFFSET(Rame!$A$1,MATCH(J386,Rame!$A:$A,0)-1,MATCH(L386,Rame!$A$1:$AA$1,0)-1))*IF(G386="Rame",1,0)</f>
        <v>0</v>
      </c>
      <c r="P386" s="205">
        <v>0</v>
      </c>
      <c r="Q386" s="205">
        <f t="shared" ca="1" si="177"/>
        <v>0</v>
      </c>
      <c r="R386" s="205">
        <f ca="1">+IF(ISERROR(OFFSET(Tabella!$G$1,MATCH(J386,Tabella!$G:$G,0)-1,MATCH(K386,Tabella!$G$1:$FG$1,0)-1)=TRUE),0,OFFSET(Tabella!$G$1,MATCH(J386,Tabella!$G:$G,0)-1,MATCH(K386,Tabella!$G$1:$AB$1,0)-1))</f>
        <v>0</v>
      </c>
      <c r="S386" s="205">
        <f ca="1">IF(ISERROR(OFFSET(Ottone!$F$1,MATCH(J386,Ottone!$A:$A,0)-1,MATCH(K386,Ottone!$F$1:$FF$1,0)-1)=TRUE),0,OFFSET(Ottone!$F$1,MATCH(J386,Ottone!$A:$A,0)-1,MATCH(K386,Ottone!$F$1:$FF$1,0)-1))*IF(G386="Ottone",1,0)</f>
        <v>0</v>
      </c>
      <c r="T386" s="205">
        <f ca="1">IF(ISERROR(OFFSET(Rame!$F$1,MATCH(J386,Rame!$F:$F,0)-1,MATCH(K386,Rame!$F$1:$FF$1,0)-1)=TRUE),0,OFFSET(Rame!$F$1,MATCH(J386,Rame!$F:$F,0)-1,MATCH(K386,Rame!$F$1:$FF$1,0)-1))*IF(G386="Rame",1,0)</f>
        <v>0</v>
      </c>
      <c r="U386" s="205">
        <f ca="1">IF(ISERROR(OFFSET(Bronzo!$A$1,MATCH(J386,Bronzo!$A:$A,0)-1,MATCH(K386,Bronzo!$A$1:$AA$1,0)-1)=TRUE),0,OFFSET(Bronzo!$A$1,MATCH(J386,Bronzo!$A:$A,0)-1,MATCH(K386,Bronzo!$A$1:$AA$1,0)-1))</f>
        <v>0</v>
      </c>
      <c r="V386" s="205">
        <f t="shared" ca="1" si="178"/>
        <v>0</v>
      </c>
      <c r="W386" s="204"/>
      <c r="X386" s="205">
        <v>0</v>
      </c>
      <c r="Y386" s="206">
        <f t="shared" ca="1" si="179"/>
        <v>0</v>
      </c>
      <c r="Z386" s="277">
        <f t="shared" si="180"/>
        <v>0</v>
      </c>
      <c r="AA386" s="203"/>
      <c r="AB386" s="203">
        <f t="shared" ca="1" si="181"/>
        <v>0</v>
      </c>
      <c r="AC386" s="238"/>
      <c r="AI386" s="367">
        <f t="shared" ca="1" si="188"/>
        <v>46092</v>
      </c>
      <c r="AJ386" s="367" t="b">
        <f t="shared" si="182"/>
        <v>1</v>
      </c>
      <c r="AK386" s="370" t="str">
        <f t="shared" si="183"/>
        <v/>
      </c>
      <c r="AN386">
        <f t="shared" si="184"/>
        <v>0</v>
      </c>
      <c r="AO386">
        <f t="shared" si="185"/>
        <v>1900</v>
      </c>
      <c r="AV386">
        <f t="shared" si="186"/>
        <v>0</v>
      </c>
      <c r="AW386">
        <f t="shared" si="187"/>
        <v>0</v>
      </c>
    </row>
    <row r="387" spans="4:49" ht="15.75" x14ac:dyDescent="0.25">
      <c r="D387" s="199"/>
      <c r="E387" s="200"/>
      <c r="F387" s="287"/>
      <c r="G387" s="201"/>
      <c r="H387" s="219"/>
      <c r="I387" s="202"/>
      <c r="J387" s="200"/>
      <c r="K387" s="200"/>
      <c r="L387" s="203"/>
      <c r="M387" s="204">
        <f ca="1">IF(ISERROR(OFFSET(Tabella!$A$1,MATCH(J387,Tabella!$A:$A,0)-1,MATCH(L387,Tabella!$A$1:$AC$1,0)-1)=TRUE),0,+OFFSET(Tabella!$A$1,MATCH(J387,Tabella!$A:$A,0)-1,MATCH(L387,Tabella!$A$1:$AC$1,0)-1))</f>
        <v>0</v>
      </c>
      <c r="N387" s="205">
        <f ca="1">IF(ISERROR(OFFSET(Ottone!$A$1,MATCH(J387,Ottone!$A:$A,0)-1,MATCH(L387,Ottone!$A$1:$Z$1,0)-1)=TRUE),0,OFFSET(Ottone!$A$1,MATCH(J387,Ottone!$A:$A,0)-1,MATCH(L387,Ottone!$A$1:$Z$1,0)-1))*IF(G387="Ottone",1,0)</f>
        <v>0</v>
      </c>
      <c r="O387" s="205">
        <f ca="1">IF(ISERROR(OFFSET(Rame!$A$1,MATCH(J387,Rame!$A:$A,0)-1,MATCH(L387,Rame!$A$1:$AA$1,0)-1)=TRUE),0,OFFSET(Rame!$A$1,MATCH(J387,Rame!$A:$A,0)-1,MATCH(L387,Rame!$A$1:$AA$1,0)-1))*IF(G387="Rame",1,0)</f>
        <v>0</v>
      </c>
      <c r="P387" s="205">
        <v>0</v>
      </c>
      <c r="Q387" s="205">
        <f t="shared" ca="1" si="177"/>
        <v>0</v>
      </c>
      <c r="R387" s="205">
        <f ca="1">+IF(ISERROR(OFFSET(Tabella!$G$1,MATCH(J387,Tabella!$G:$G,0)-1,MATCH(K387,Tabella!$G$1:$FG$1,0)-1)=TRUE),0,OFFSET(Tabella!$G$1,MATCH(J387,Tabella!$G:$G,0)-1,MATCH(K387,Tabella!$G$1:$AB$1,0)-1))</f>
        <v>0</v>
      </c>
      <c r="S387" s="205">
        <f ca="1">IF(ISERROR(OFFSET(Ottone!$F$1,MATCH(J387,Ottone!$A:$A,0)-1,MATCH(K387,Ottone!$F$1:$FF$1,0)-1)=TRUE),0,OFFSET(Ottone!$F$1,MATCH(J387,Ottone!$A:$A,0)-1,MATCH(K387,Ottone!$F$1:$FF$1,0)-1))*IF(G387="Ottone",1,0)</f>
        <v>0</v>
      </c>
      <c r="T387" s="205">
        <f ca="1">IF(ISERROR(OFFSET(Rame!$F$1,MATCH(J387,Rame!$F:$F,0)-1,MATCH(K387,Rame!$F$1:$FF$1,0)-1)=TRUE),0,OFFSET(Rame!$F$1,MATCH(J387,Rame!$F:$F,0)-1,MATCH(K387,Rame!$F$1:$FF$1,0)-1))*IF(G387="Rame",1,0)</f>
        <v>0</v>
      </c>
      <c r="U387" s="205">
        <f ca="1">IF(ISERROR(OFFSET(Bronzo!$A$1,MATCH(J387,Bronzo!$A:$A,0)-1,MATCH(K387,Bronzo!$A$1:$AA$1,0)-1)=TRUE),0,OFFSET(Bronzo!$A$1,MATCH(J387,Bronzo!$A:$A,0)-1,MATCH(K387,Bronzo!$A$1:$AA$1,0)-1))</f>
        <v>0</v>
      </c>
      <c r="V387" s="205">
        <f t="shared" ca="1" si="178"/>
        <v>0</v>
      </c>
      <c r="W387" s="204"/>
      <c r="X387" s="205">
        <v>0</v>
      </c>
      <c r="Y387" s="206">
        <f t="shared" ca="1" si="179"/>
        <v>0</v>
      </c>
      <c r="Z387" s="277">
        <f t="shared" si="180"/>
        <v>0</v>
      </c>
      <c r="AA387" s="203"/>
      <c r="AB387" s="203">
        <f t="shared" ca="1" si="181"/>
        <v>0</v>
      </c>
      <c r="AC387" s="238"/>
      <c r="AI387" s="367">
        <f t="shared" ca="1" si="188"/>
        <v>46092</v>
      </c>
      <c r="AJ387" s="367" t="b">
        <f t="shared" si="182"/>
        <v>1</v>
      </c>
      <c r="AK387" s="370" t="str">
        <f t="shared" si="183"/>
        <v/>
      </c>
      <c r="AN387">
        <f t="shared" si="184"/>
        <v>0</v>
      </c>
      <c r="AO387">
        <f t="shared" si="185"/>
        <v>1900</v>
      </c>
      <c r="AV387">
        <f t="shared" si="186"/>
        <v>0</v>
      </c>
      <c r="AW387">
        <f t="shared" si="187"/>
        <v>0</v>
      </c>
    </row>
    <row r="388" spans="4:49" ht="15.75" x14ac:dyDescent="0.25">
      <c r="D388" s="199"/>
      <c r="E388" s="200"/>
      <c r="F388" s="287"/>
      <c r="G388" s="201"/>
      <c r="H388" s="219"/>
      <c r="I388" s="202"/>
      <c r="J388" s="200"/>
      <c r="K388" s="200"/>
      <c r="L388" s="203"/>
      <c r="M388" s="204">
        <f ca="1">IF(ISERROR(OFFSET(Tabella!$A$1,MATCH(J388,Tabella!$A:$A,0)-1,MATCH(L388,Tabella!$A$1:$AC$1,0)-1)=TRUE),0,+OFFSET(Tabella!$A$1,MATCH(J388,Tabella!$A:$A,0)-1,MATCH(L388,Tabella!$A$1:$AC$1,0)-1))</f>
        <v>0</v>
      </c>
      <c r="N388" s="205">
        <f ca="1">IF(ISERROR(OFFSET(Ottone!$A$1,MATCH(J388,Ottone!$A:$A,0)-1,MATCH(L388,Ottone!$A$1:$Z$1,0)-1)=TRUE),0,OFFSET(Ottone!$A$1,MATCH(J388,Ottone!$A:$A,0)-1,MATCH(L388,Ottone!$A$1:$Z$1,0)-1))*IF(G388="Ottone",1,0)</f>
        <v>0</v>
      </c>
      <c r="O388" s="205">
        <f ca="1">IF(ISERROR(OFFSET(Rame!$A$1,MATCH(J388,Rame!$A:$A,0)-1,MATCH(L388,Rame!$A$1:$AA$1,0)-1)=TRUE),0,OFFSET(Rame!$A$1,MATCH(J388,Rame!$A:$A,0)-1,MATCH(L388,Rame!$A$1:$AA$1,0)-1))*IF(G388="Rame",1,0)</f>
        <v>0</v>
      </c>
      <c r="P388" s="205">
        <v>0</v>
      </c>
      <c r="Q388" s="205">
        <f t="shared" ca="1" si="177"/>
        <v>0</v>
      </c>
      <c r="R388" s="205">
        <f ca="1">+IF(ISERROR(OFFSET(Tabella!$G$1,MATCH(J388,Tabella!$G:$G,0)-1,MATCH(K388,Tabella!$G$1:$FG$1,0)-1)=TRUE),0,OFFSET(Tabella!$G$1,MATCH(J388,Tabella!$G:$G,0)-1,MATCH(K388,Tabella!$G$1:$AB$1,0)-1))</f>
        <v>0</v>
      </c>
      <c r="S388" s="205">
        <f ca="1">IF(ISERROR(OFFSET(Ottone!$F$1,MATCH(J388,Ottone!$A:$A,0)-1,MATCH(K388,Ottone!$F$1:$FF$1,0)-1)=TRUE),0,OFFSET(Ottone!$F$1,MATCH(J388,Ottone!$A:$A,0)-1,MATCH(K388,Ottone!$F$1:$FF$1,0)-1))*IF(G388="Ottone",1,0)</f>
        <v>0</v>
      </c>
      <c r="T388" s="205">
        <f ca="1">IF(ISERROR(OFFSET(Rame!$F$1,MATCH(J388,Rame!$F:$F,0)-1,MATCH(K388,Rame!$F$1:$FF$1,0)-1)=TRUE),0,OFFSET(Rame!$F$1,MATCH(J388,Rame!$F:$F,0)-1,MATCH(K388,Rame!$F$1:$FF$1,0)-1))*IF(G388="Rame",1,0)</f>
        <v>0</v>
      </c>
      <c r="U388" s="205">
        <f ca="1">IF(ISERROR(OFFSET(Bronzo!$A$1,MATCH(J388,Bronzo!$A:$A,0)-1,MATCH(K388,Bronzo!$A$1:$AA$1,0)-1)=TRUE),0,OFFSET(Bronzo!$A$1,MATCH(J388,Bronzo!$A:$A,0)-1,MATCH(K388,Bronzo!$A$1:$AA$1,0)-1))</f>
        <v>0</v>
      </c>
      <c r="V388" s="205">
        <f t="shared" ca="1" si="178"/>
        <v>0</v>
      </c>
      <c r="W388" s="204"/>
      <c r="X388" s="205">
        <v>0</v>
      </c>
      <c r="Y388" s="206">
        <f t="shared" ca="1" si="179"/>
        <v>0</v>
      </c>
      <c r="Z388" s="277">
        <f t="shared" si="180"/>
        <v>0</v>
      </c>
      <c r="AA388" s="203"/>
      <c r="AB388" s="203">
        <f t="shared" ca="1" si="181"/>
        <v>0</v>
      </c>
      <c r="AC388" s="238"/>
      <c r="AI388" s="367">
        <f t="shared" ca="1" si="188"/>
        <v>46092</v>
      </c>
      <c r="AJ388" s="367" t="b">
        <f t="shared" si="182"/>
        <v>1</v>
      </c>
      <c r="AK388" s="370" t="str">
        <f t="shared" si="183"/>
        <v/>
      </c>
      <c r="AN388">
        <f t="shared" si="184"/>
        <v>0</v>
      </c>
      <c r="AO388">
        <f t="shared" si="185"/>
        <v>1900</v>
      </c>
      <c r="AV388">
        <f t="shared" si="186"/>
        <v>0</v>
      </c>
      <c r="AW388">
        <f t="shared" si="187"/>
        <v>0</v>
      </c>
    </row>
    <row r="389" spans="4:49" ht="15.75" x14ac:dyDescent="0.25">
      <c r="D389" s="199"/>
      <c r="E389" s="200"/>
      <c r="F389" s="287"/>
      <c r="G389" s="201"/>
      <c r="H389" s="219"/>
      <c r="I389" s="202"/>
      <c r="J389" s="200"/>
      <c r="K389" s="200"/>
      <c r="L389" s="203"/>
      <c r="M389" s="204">
        <f ca="1">IF(ISERROR(OFFSET(Tabella!$A$1,MATCH(J389,Tabella!$A:$A,0)-1,MATCH(L389,Tabella!$A$1:$AC$1,0)-1)=TRUE),0,+OFFSET(Tabella!$A$1,MATCH(J389,Tabella!$A:$A,0)-1,MATCH(L389,Tabella!$A$1:$AC$1,0)-1))</f>
        <v>0</v>
      </c>
      <c r="N389" s="205">
        <f ca="1">IF(ISERROR(OFFSET(Ottone!$A$1,MATCH(J389,Ottone!$A:$A,0)-1,MATCH(L389,Ottone!$A$1:$Z$1,0)-1)=TRUE),0,OFFSET(Ottone!$A$1,MATCH(J389,Ottone!$A:$A,0)-1,MATCH(L389,Ottone!$A$1:$Z$1,0)-1))*IF(G389="Ottone",1,0)</f>
        <v>0</v>
      </c>
      <c r="O389" s="205">
        <f ca="1">IF(ISERROR(OFFSET(Rame!$A$1,MATCH(J389,Rame!$A:$A,0)-1,MATCH(L389,Rame!$A$1:$AA$1,0)-1)=TRUE),0,OFFSET(Rame!$A$1,MATCH(J389,Rame!$A:$A,0)-1,MATCH(L389,Rame!$A$1:$AA$1,0)-1))*IF(G389="Rame",1,0)</f>
        <v>0</v>
      </c>
      <c r="P389" s="205">
        <v>0</v>
      </c>
      <c r="Q389" s="205">
        <f t="shared" ca="1" si="177"/>
        <v>0</v>
      </c>
      <c r="R389" s="205">
        <f ca="1">+IF(ISERROR(OFFSET(Tabella!$G$1,MATCH(J389,Tabella!$G:$G,0)-1,MATCH(K389,Tabella!$G$1:$FG$1,0)-1)=TRUE),0,OFFSET(Tabella!$G$1,MATCH(J389,Tabella!$G:$G,0)-1,MATCH(K389,Tabella!$G$1:$AB$1,0)-1))</f>
        <v>0</v>
      </c>
      <c r="S389" s="205">
        <f ca="1">IF(ISERROR(OFFSET(Ottone!$F$1,MATCH(J389,Ottone!$A:$A,0)-1,MATCH(K389,Ottone!$F$1:$FF$1,0)-1)=TRUE),0,OFFSET(Ottone!$F$1,MATCH(J389,Ottone!$A:$A,0)-1,MATCH(K389,Ottone!$F$1:$FF$1,0)-1))*IF(G389="Ottone",1,0)</f>
        <v>0</v>
      </c>
      <c r="T389" s="205">
        <f ca="1">IF(ISERROR(OFFSET(Rame!$F$1,MATCH(J389,Rame!$F:$F,0)-1,MATCH(K389,Rame!$F$1:$FF$1,0)-1)=TRUE),0,OFFSET(Rame!$F$1,MATCH(J389,Rame!$F:$F,0)-1,MATCH(K389,Rame!$F$1:$FF$1,0)-1))*IF(G389="Rame",1,0)</f>
        <v>0</v>
      </c>
      <c r="U389" s="205">
        <f ca="1">IF(ISERROR(OFFSET(Bronzo!$A$1,MATCH(J389,Bronzo!$A:$A,0)-1,MATCH(K389,Bronzo!$A$1:$AA$1,0)-1)=TRUE),0,OFFSET(Bronzo!$A$1,MATCH(J389,Bronzo!$A:$A,0)-1,MATCH(K389,Bronzo!$A$1:$AA$1,0)-1))</f>
        <v>0</v>
      </c>
      <c r="V389" s="205">
        <f t="shared" ca="1" si="178"/>
        <v>0</v>
      </c>
      <c r="W389" s="204"/>
      <c r="X389" s="205">
        <v>0</v>
      </c>
      <c r="Y389" s="206">
        <f t="shared" ca="1" si="179"/>
        <v>0</v>
      </c>
      <c r="Z389" s="277">
        <f t="shared" si="180"/>
        <v>0</v>
      </c>
      <c r="AA389" s="203"/>
      <c r="AB389" s="203">
        <f t="shared" ca="1" si="181"/>
        <v>0</v>
      </c>
      <c r="AC389" s="238"/>
      <c r="AI389" s="367">
        <f t="shared" ca="1" si="188"/>
        <v>46092</v>
      </c>
      <c r="AJ389" s="367" t="b">
        <f t="shared" si="182"/>
        <v>1</v>
      </c>
      <c r="AK389" s="370" t="str">
        <f t="shared" si="183"/>
        <v/>
      </c>
      <c r="AN389">
        <f t="shared" si="184"/>
        <v>0</v>
      </c>
      <c r="AO389">
        <f t="shared" si="185"/>
        <v>1900</v>
      </c>
      <c r="AV389">
        <f t="shared" si="186"/>
        <v>0</v>
      </c>
      <c r="AW389">
        <f t="shared" si="187"/>
        <v>0</v>
      </c>
    </row>
    <row r="390" spans="4:49" ht="15.75" x14ac:dyDescent="0.25">
      <c r="D390" s="199"/>
      <c r="E390" s="200"/>
      <c r="F390" s="287"/>
      <c r="G390" s="201"/>
      <c r="H390" s="219"/>
      <c r="I390" s="202"/>
      <c r="J390" s="200"/>
      <c r="K390" s="200"/>
      <c r="L390" s="203"/>
      <c r="M390" s="204">
        <f ca="1">IF(ISERROR(OFFSET(Tabella!$A$1,MATCH(J390,Tabella!$A:$A,0)-1,MATCH(L390,Tabella!$A$1:$AC$1,0)-1)=TRUE),0,+OFFSET(Tabella!$A$1,MATCH(J390,Tabella!$A:$A,0)-1,MATCH(L390,Tabella!$A$1:$AC$1,0)-1))</f>
        <v>0</v>
      </c>
      <c r="N390" s="205">
        <f ca="1">IF(ISERROR(OFFSET(Ottone!$A$1,MATCH(J390,Ottone!$A:$A,0)-1,MATCH(L390,Ottone!$A$1:$Z$1,0)-1)=TRUE),0,OFFSET(Ottone!$A$1,MATCH(J390,Ottone!$A:$A,0)-1,MATCH(L390,Ottone!$A$1:$Z$1,0)-1))*IF(G390="Ottone",1,0)</f>
        <v>0</v>
      </c>
      <c r="O390" s="205">
        <f ca="1">IF(ISERROR(OFFSET(Rame!$A$1,MATCH(J390,Rame!$A:$A,0)-1,MATCH(L390,Rame!$A$1:$AA$1,0)-1)=TRUE),0,OFFSET(Rame!$A$1,MATCH(J390,Rame!$A:$A,0)-1,MATCH(L390,Rame!$A$1:$AA$1,0)-1))*IF(G390="Rame",1,0)</f>
        <v>0</v>
      </c>
      <c r="P390" s="205">
        <v>0</v>
      </c>
      <c r="Q390" s="205">
        <f t="shared" ca="1" si="177"/>
        <v>0</v>
      </c>
      <c r="R390" s="205">
        <f ca="1">+IF(ISERROR(OFFSET(Tabella!$G$1,MATCH(J390,Tabella!$G:$G,0)-1,MATCH(K390,Tabella!$G$1:$FG$1,0)-1)=TRUE),0,OFFSET(Tabella!$G$1,MATCH(J390,Tabella!$G:$G,0)-1,MATCH(K390,Tabella!$G$1:$AB$1,0)-1))</f>
        <v>0</v>
      </c>
      <c r="S390" s="205">
        <f ca="1">IF(ISERROR(OFFSET(Ottone!$F$1,MATCH(J390,Ottone!$A:$A,0)-1,MATCH(K390,Ottone!$F$1:$FF$1,0)-1)=TRUE),0,OFFSET(Ottone!$F$1,MATCH(J390,Ottone!$A:$A,0)-1,MATCH(K390,Ottone!$F$1:$FF$1,0)-1))*IF(G390="Ottone",1,0)</f>
        <v>0</v>
      </c>
      <c r="T390" s="205">
        <f ca="1">IF(ISERROR(OFFSET(Rame!$F$1,MATCH(J390,Rame!$F:$F,0)-1,MATCH(K390,Rame!$F$1:$FF$1,0)-1)=TRUE),0,OFFSET(Rame!$F$1,MATCH(J390,Rame!$F:$F,0)-1,MATCH(K390,Rame!$F$1:$FF$1,0)-1))*IF(G390="Rame",1,0)</f>
        <v>0</v>
      </c>
      <c r="U390" s="205">
        <f ca="1">IF(ISERROR(OFFSET(Bronzo!$A$1,MATCH(J390,Bronzo!$A:$A,0)-1,MATCH(K390,Bronzo!$A$1:$AA$1,0)-1)=TRUE),0,OFFSET(Bronzo!$A$1,MATCH(J390,Bronzo!$A:$A,0)-1,MATCH(K390,Bronzo!$A$1:$AA$1,0)-1))</f>
        <v>0</v>
      </c>
      <c r="V390" s="205">
        <f t="shared" ca="1" si="178"/>
        <v>0</v>
      </c>
      <c r="W390" s="204"/>
      <c r="X390" s="205">
        <v>0</v>
      </c>
      <c r="Y390" s="206">
        <f t="shared" ca="1" si="179"/>
        <v>0</v>
      </c>
      <c r="Z390" s="277">
        <f t="shared" si="180"/>
        <v>0</v>
      </c>
      <c r="AA390" s="203"/>
      <c r="AB390" s="203">
        <f t="shared" ca="1" si="181"/>
        <v>0</v>
      </c>
      <c r="AC390" s="238"/>
      <c r="AI390" s="367">
        <f t="shared" ca="1" si="188"/>
        <v>46092</v>
      </c>
      <c r="AJ390" s="367" t="b">
        <f t="shared" si="182"/>
        <v>1</v>
      </c>
      <c r="AK390" s="370" t="str">
        <f t="shared" si="183"/>
        <v/>
      </c>
      <c r="AN390">
        <f t="shared" si="184"/>
        <v>0</v>
      </c>
      <c r="AO390">
        <f t="shared" si="185"/>
        <v>1900</v>
      </c>
      <c r="AV390">
        <f t="shared" si="186"/>
        <v>0</v>
      </c>
      <c r="AW390">
        <f t="shared" si="187"/>
        <v>0</v>
      </c>
    </row>
    <row r="391" spans="4:49" ht="15.75" x14ac:dyDescent="0.25">
      <c r="D391" s="199"/>
      <c r="E391" s="200"/>
      <c r="F391" s="287"/>
      <c r="G391" s="201"/>
      <c r="H391" s="219"/>
      <c r="I391" s="202"/>
      <c r="J391" s="200"/>
      <c r="K391" s="200"/>
      <c r="L391" s="203"/>
      <c r="M391" s="204">
        <f ca="1">IF(ISERROR(OFFSET(Tabella!$A$1,MATCH(J391,Tabella!$A:$A,0)-1,MATCH(L391,Tabella!$A$1:$AC$1,0)-1)=TRUE),0,+OFFSET(Tabella!$A$1,MATCH(J391,Tabella!$A:$A,0)-1,MATCH(L391,Tabella!$A$1:$AC$1,0)-1))</f>
        <v>0</v>
      </c>
      <c r="N391" s="205">
        <f ca="1">IF(ISERROR(OFFSET(Ottone!$A$1,MATCH(J391,Ottone!$A:$A,0)-1,MATCH(L391,Ottone!$A$1:$Z$1,0)-1)=TRUE),0,OFFSET(Ottone!$A$1,MATCH(J391,Ottone!$A:$A,0)-1,MATCH(L391,Ottone!$A$1:$Z$1,0)-1))*IF(G391="Ottone",1,0)</f>
        <v>0</v>
      </c>
      <c r="O391" s="205">
        <f ca="1">IF(ISERROR(OFFSET(Rame!$A$1,MATCH(J391,Rame!$A:$A,0)-1,MATCH(L391,Rame!$A$1:$AA$1,0)-1)=TRUE),0,OFFSET(Rame!$A$1,MATCH(J391,Rame!$A:$A,0)-1,MATCH(L391,Rame!$A$1:$AA$1,0)-1))*IF(G391="Rame",1,0)</f>
        <v>0</v>
      </c>
      <c r="P391" s="205">
        <v>0</v>
      </c>
      <c r="Q391" s="205">
        <f t="shared" ca="1" si="177"/>
        <v>0</v>
      </c>
      <c r="R391" s="205">
        <f ca="1">+IF(ISERROR(OFFSET(Tabella!$G$1,MATCH(J391,Tabella!$G:$G,0)-1,MATCH(K391,Tabella!$G$1:$FG$1,0)-1)=TRUE),0,OFFSET(Tabella!$G$1,MATCH(J391,Tabella!$G:$G,0)-1,MATCH(K391,Tabella!$G$1:$AB$1,0)-1))</f>
        <v>0</v>
      </c>
      <c r="S391" s="205">
        <f ca="1">IF(ISERROR(OFFSET(Ottone!$F$1,MATCH(J391,Ottone!$A:$A,0)-1,MATCH(K391,Ottone!$F$1:$FF$1,0)-1)=TRUE),0,OFFSET(Ottone!$F$1,MATCH(J391,Ottone!$A:$A,0)-1,MATCH(K391,Ottone!$F$1:$FF$1,0)-1))*IF(G391="Ottone",1,0)</f>
        <v>0</v>
      </c>
      <c r="T391" s="205">
        <f ca="1">IF(ISERROR(OFFSET(Rame!$F$1,MATCH(J391,Rame!$F:$F,0)-1,MATCH(K391,Rame!$F$1:$FF$1,0)-1)=TRUE),0,OFFSET(Rame!$F$1,MATCH(J391,Rame!$F:$F,0)-1,MATCH(K391,Rame!$F$1:$FF$1,0)-1))*IF(G391="Rame",1,0)</f>
        <v>0</v>
      </c>
      <c r="U391" s="205">
        <f ca="1">IF(ISERROR(OFFSET(Bronzo!$A$1,MATCH(J391,Bronzo!$A:$A,0)-1,MATCH(K391,Bronzo!$A$1:$AA$1,0)-1)=TRUE),0,OFFSET(Bronzo!$A$1,MATCH(J391,Bronzo!$A:$A,0)-1,MATCH(K391,Bronzo!$A$1:$AA$1,0)-1))</f>
        <v>0</v>
      </c>
      <c r="V391" s="205">
        <f t="shared" ca="1" si="178"/>
        <v>0</v>
      </c>
      <c r="W391" s="204"/>
      <c r="X391" s="205">
        <v>0</v>
      </c>
      <c r="Y391" s="206">
        <f t="shared" ca="1" si="179"/>
        <v>0</v>
      </c>
      <c r="Z391" s="277">
        <f t="shared" si="180"/>
        <v>0</v>
      </c>
      <c r="AA391" s="203"/>
      <c r="AB391" s="203">
        <f t="shared" ca="1" si="181"/>
        <v>0</v>
      </c>
      <c r="AC391" s="238"/>
      <c r="AI391" s="367">
        <f t="shared" ca="1" si="188"/>
        <v>46092</v>
      </c>
      <c r="AJ391" s="367" t="b">
        <f t="shared" si="182"/>
        <v>1</v>
      </c>
      <c r="AK391" s="370" t="str">
        <f t="shared" si="183"/>
        <v/>
      </c>
      <c r="AN391">
        <f t="shared" si="184"/>
        <v>0</v>
      </c>
      <c r="AO391">
        <f t="shared" si="185"/>
        <v>1900</v>
      </c>
      <c r="AV391">
        <f t="shared" si="186"/>
        <v>0</v>
      </c>
      <c r="AW391">
        <f t="shared" si="187"/>
        <v>0</v>
      </c>
    </row>
    <row r="392" spans="4:49" ht="15.75" x14ac:dyDescent="0.25">
      <c r="D392" s="199"/>
      <c r="E392" s="200"/>
      <c r="F392" s="287"/>
      <c r="G392" s="201"/>
      <c r="H392" s="219"/>
      <c r="I392" s="202"/>
      <c r="J392" s="200"/>
      <c r="K392" s="200"/>
      <c r="L392" s="203"/>
      <c r="M392" s="204">
        <f ca="1">IF(ISERROR(OFFSET(Tabella!$A$1,MATCH(J392,Tabella!$A:$A,0)-1,MATCH(L392,Tabella!$A$1:$AC$1,0)-1)=TRUE),0,+OFFSET(Tabella!$A$1,MATCH(J392,Tabella!$A:$A,0)-1,MATCH(L392,Tabella!$A$1:$AC$1,0)-1))</f>
        <v>0</v>
      </c>
      <c r="N392" s="205">
        <f ca="1">IF(ISERROR(OFFSET(Ottone!$A$1,MATCH(J392,Ottone!$A:$A,0)-1,MATCH(L392,Ottone!$A$1:$Z$1,0)-1)=TRUE),0,OFFSET(Ottone!$A$1,MATCH(J392,Ottone!$A:$A,0)-1,MATCH(L392,Ottone!$A$1:$Z$1,0)-1))*IF(G392="Ottone",1,0)</f>
        <v>0</v>
      </c>
      <c r="O392" s="205">
        <f ca="1">IF(ISERROR(OFFSET(Rame!$A$1,MATCH(J392,Rame!$A:$A,0)-1,MATCH(L392,Rame!$A$1:$AA$1,0)-1)=TRUE),0,OFFSET(Rame!$A$1,MATCH(J392,Rame!$A:$A,0)-1,MATCH(L392,Rame!$A$1:$AA$1,0)-1))*IF(G392="Rame",1,0)</f>
        <v>0</v>
      </c>
      <c r="P392" s="205">
        <v>0</v>
      </c>
      <c r="Q392" s="205">
        <f t="shared" ca="1" si="177"/>
        <v>0</v>
      </c>
      <c r="R392" s="205">
        <f ca="1">+IF(ISERROR(OFFSET(Tabella!$G$1,MATCH(J392,Tabella!$G:$G,0)-1,MATCH(K392,Tabella!$G$1:$FG$1,0)-1)=TRUE),0,OFFSET(Tabella!$G$1,MATCH(J392,Tabella!$G:$G,0)-1,MATCH(K392,Tabella!$G$1:$AB$1,0)-1))</f>
        <v>0</v>
      </c>
      <c r="S392" s="205">
        <f ca="1">IF(ISERROR(OFFSET(Ottone!$F$1,MATCH(J392,Ottone!$A:$A,0)-1,MATCH(K392,Ottone!$F$1:$FF$1,0)-1)=TRUE),0,OFFSET(Ottone!$F$1,MATCH(J392,Ottone!$A:$A,0)-1,MATCH(K392,Ottone!$F$1:$FF$1,0)-1))*IF(G392="Ottone",1,0)</f>
        <v>0</v>
      </c>
      <c r="T392" s="205">
        <f ca="1">IF(ISERROR(OFFSET(Rame!$F$1,MATCH(J392,Rame!$F:$F,0)-1,MATCH(K392,Rame!$F$1:$FF$1,0)-1)=TRUE),0,OFFSET(Rame!$F$1,MATCH(J392,Rame!$F:$F,0)-1,MATCH(K392,Rame!$F$1:$FF$1,0)-1))*IF(G392="Rame",1,0)</f>
        <v>0</v>
      </c>
      <c r="U392" s="205">
        <f ca="1">IF(ISERROR(OFFSET(Bronzo!$A$1,MATCH(J392,Bronzo!$A:$A,0)-1,MATCH(K392,Bronzo!$A$1:$AA$1,0)-1)=TRUE),0,OFFSET(Bronzo!$A$1,MATCH(J392,Bronzo!$A:$A,0)-1,MATCH(K392,Bronzo!$A$1:$AA$1,0)-1))</f>
        <v>0</v>
      </c>
      <c r="V392" s="205">
        <f t="shared" ca="1" si="178"/>
        <v>0</v>
      </c>
      <c r="W392" s="204"/>
      <c r="X392" s="205">
        <v>0</v>
      </c>
      <c r="Y392" s="206">
        <f t="shared" ca="1" si="179"/>
        <v>0</v>
      </c>
      <c r="Z392" s="277">
        <f t="shared" si="180"/>
        <v>0</v>
      </c>
      <c r="AA392" s="203"/>
      <c r="AB392" s="203">
        <f t="shared" ca="1" si="181"/>
        <v>0</v>
      </c>
      <c r="AC392" s="238"/>
      <c r="AI392" s="367">
        <f t="shared" ca="1" si="188"/>
        <v>46092</v>
      </c>
      <c r="AJ392" s="367" t="b">
        <f t="shared" si="182"/>
        <v>1</v>
      </c>
      <c r="AK392" s="370" t="str">
        <f t="shared" si="183"/>
        <v/>
      </c>
      <c r="AN392">
        <f t="shared" si="184"/>
        <v>0</v>
      </c>
      <c r="AO392">
        <f t="shared" si="185"/>
        <v>1900</v>
      </c>
      <c r="AV392">
        <f t="shared" si="186"/>
        <v>0</v>
      </c>
      <c r="AW392">
        <f t="shared" si="187"/>
        <v>0</v>
      </c>
    </row>
    <row r="393" spans="4:49" ht="15.75" x14ac:dyDescent="0.25">
      <c r="D393" s="199"/>
      <c r="E393" s="200"/>
      <c r="F393" s="287"/>
      <c r="G393" s="201"/>
      <c r="H393" s="219"/>
      <c r="I393" s="202"/>
      <c r="J393" s="200"/>
      <c r="K393" s="200"/>
      <c r="L393" s="203"/>
      <c r="M393" s="204">
        <f ca="1">IF(ISERROR(OFFSET(Tabella!$A$1,MATCH(J393,Tabella!$A:$A,0)-1,MATCH(L393,Tabella!$A$1:$AC$1,0)-1)=TRUE),0,+OFFSET(Tabella!$A$1,MATCH(J393,Tabella!$A:$A,0)-1,MATCH(L393,Tabella!$A$1:$AC$1,0)-1))</f>
        <v>0</v>
      </c>
      <c r="N393" s="205">
        <f ca="1">IF(ISERROR(OFFSET(Ottone!$A$1,MATCH(J393,Ottone!$A:$A,0)-1,MATCH(L393,Ottone!$A$1:$Z$1,0)-1)=TRUE),0,OFFSET(Ottone!$A$1,MATCH(J393,Ottone!$A:$A,0)-1,MATCH(L393,Ottone!$A$1:$Z$1,0)-1))*IF(G393="Ottone",1,0)</f>
        <v>0</v>
      </c>
      <c r="O393" s="205">
        <f ca="1">IF(ISERROR(OFFSET(Rame!$A$1,MATCH(J393,Rame!$A:$A,0)-1,MATCH(L393,Rame!$A$1:$AA$1,0)-1)=TRUE),0,OFFSET(Rame!$A$1,MATCH(J393,Rame!$A:$A,0)-1,MATCH(L393,Rame!$A$1:$AA$1,0)-1))*IF(G393="Rame",1,0)</f>
        <v>0</v>
      </c>
      <c r="P393" s="205">
        <v>0</v>
      </c>
      <c r="Q393" s="205">
        <f t="shared" ca="1" si="177"/>
        <v>0</v>
      </c>
      <c r="R393" s="205">
        <f ca="1">+IF(ISERROR(OFFSET(Tabella!$G$1,MATCH(J393,Tabella!$G:$G,0)-1,MATCH(K393,Tabella!$G$1:$FG$1,0)-1)=TRUE),0,OFFSET(Tabella!$G$1,MATCH(J393,Tabella!$G:$G,0)-1,MATCH(K393,Tabella!$G$1:$AB$1,0)-1))</f>
        <v>0</v>
      </c>
      <c r="S393" s="205">
        <f ca="1">IF(ISERROR(OFFSET(Ottone!$F$1,MATCH(J393,Ottone!$A:$A,0)-1,MATCH(K393,Ottone!$F$1:$FF$1,0)-1)=TRUE),0,OFFSET(Ottone!$F$1,MATCH(J393,Ottone!$A:$A,0)-1,MATCH(K393,Ottone!$F$1:$FF$1,0)-1))*IF(G393="Ottone",1,0)</f>
        <v>0</v>
      </c>
      <c r="T393" s="205">
        <f ca="1">IF(ISERROR(OFFSET(Rame!$F$1,MATCH(J393,Rame!$F:$F,0)-1,MATCH(K393,Rame!$F$1:$FF$1,0)-1)=TRUE),0,OFFSET(Rame!$F$1,MATCH(J393,Rame!$F:$F,0)-1,MATCH(K393,Rame!$F$1:$FF$1,0)-1))*IF(G393="Rame",1,0)</f>
        <v>0</v>
      </c>
      <c r="U393" s="205">
        <f ca="1">IF(ISERROR(OFFSET(Bronzo!$A$1,MATCH(J393,Bronzo!$A:$A,0)-1,MATCH(K393,Bronzo!$A$1:$AA$1,0)-1)=TRUE),0,OFFSET(Bronzo!$A$1,MATCH(J393,Bronzo!$A:$A,0)-1,MATCH(K393,Bronzo!$A$1:$AA$1,0)-1))</f>
        <v>0</v>
      </c>
      <c r="V393" s="205">
        <f t="shared" ca="1" si="178"/>
        <v>0</v>
      </c>
      <c r="W393" s="204"/>
      <c r="X393" s="205">
        <v>0</v>
      </c>
      <c r="Y393" s="206">
        <f t="shared" ca="1" si="179"/>
        <v>0</v>
      </c>
      <c r="Z393" s="277">
        <f t="shared" si="180"/>
        <v>0</v>
      </c>
      <c r="AA393" s="203"/>
      <c r="AB393" s="203">
        <f t="shared" ca="1" si="181"/>
        <v>0</v>
      </c>
      <c r="AC393" s="238"/>
      <c r="AI393" s="367">
        <f t="shared" ca="1" si="188"/>
        <v>46092</v>
      </c>
      <c r="AJ393" s="367" t="b">
        <f t="shared" si="182"/>
        <v>1</v>
      </c>
      <c r="AK393" s="370" t="str">
        <f t="shared" si="183"/>
        <v/>
      </c>
      <c r="AN393">
        <f t="shared" si="184"/>
        <v>0</v>
      </c>
      <c r="AO393">
        <f t="shared" si="185"/>
        <v>1900</v>
      </c>
      <c r="AV393">
        <f t="shared" si="186"/>
        <v>0</v>
      </c>
      <c r="AW393">
        <f t="shared" si="187"/>
        <v>0</v>
      </c>
    </row>
    <row r="394" spans="4:49" ht="15.75" x14ac:dyDescent="0.25">
      <c r="D394" s="199"/>
      <c r="E394" s="200"/>
      <c r="F394" s="287"/>
      <c r="G394" s="201"/>
      <c r="H394" s="219"/>
      <c r="I394" s="202"/>
      <c r="J394" s="200"/>
      <c r="K394" s="200"/>
      <c r="L394" s="203"/>
      <c r="M394" s="204">
        <f ca="1">IF(ISERROR(OFFSET(Tabella!$A$1,MATCH(J394,Tabella!$A:$A,0)-1,MATCH(L394,Tabella!$A$1:$AC$1,0)-1)=TRUE),0,+OFFSET(Tabella!$A$1,MATCH(J394,Tabella!$A:$A,0)-1,MATCH(L394,Tabella!$A$1:$AC$1,0)-1))</f>
        <v>0</v>
      </c>
      <c r="N394" s="205">
        <f ca="1">IF(ISERROR(OFFSET(Ottone!$A$1,MATCH(J394,Ottone!$A:$A,0)-1,MATCH(L394,Ottone!$A$1:$Z$1,0)-1)=TRUE),0,OFFSET(Ottone!$A$1,MATCH(J394,Ottone!$A:$A,0)-1,MATCH(L394,Ottone!$A$1:$Z$1,0)-1))*IF(G394="Ottone",1,0)</f>
        <v>0</v>
      </c>
      <c r="O394" s="205">
        <f ca="1">IF(ISERROR(OFFSET(Rame!$A$1,MATCH(J394,Rame!$A:$A,0)-1,MATCH(L394,Rame!$A$1:$AA$1,0)-1)=TRUE),0,OFFSET(Rame!$A$1,MATCH(J394,Rame!$A:$A,0)-1,MATCH(L394,Rame!$A$1:$AA$1,0)-1))*IF(G394="Rame",1,0)</f>
        <v>0</v>
      </c>
      <c r="P394" s="205">
        <v>0</v>
      </c>
      <c r="Q394" s="205">
        <f t="shared" ca="1" si="177"/>
        <v>0</v>
      </c>
      <c r="R394" s="205">
        <f ca="1">+IF(ISERROR(OFFSET(Tabella!$G$1,MATCH(J394,Tabella!$G:$G,0)-1,MATCH(K394,Tabella!$G$1:$FG$1,0)-1)=TRUE),0,OFFSET(Tabella!$G$1,MATCH(J394,Tabella!$G:$G,0)-1,MATCH(K394,Tabella!$G$1:$AB$1,0)-1))</f>
        <v>0</v>
      </c>
      <c r="S394" s="205">
        <f ca="1">IF(ISERROR(OFFSET(Ottone!$F$1,MATCH(J394,Ottone!$A:$A,0)-1,MATCH(K394,Ottone!$F$1:$FF$1,0)-1)=TRUE),0,OFFSET(Ottone!$F$1,MATCH(J394,Ottone!$A:$A,0)-1,MATCH(K394,Ottone!$F$1:$FF$1,0)-1))*IF(G394="Ottone",1,0)</f>
        <v>0</v>
      </c>
      <c r="T394" s="205">
        <f ca="1">IF(ISERROR(OFFSET(Rame!$F$1,MATCH(J394,Rame!$F:$F,0)-1,MATCH(K394,Rame!$F$1:$FF$1,0)-1)=TRUE),0,OFFSET(Rame!$F$1,MATCH(J394,Rame!$F:$F,0)-1,MATCH(K394,Rame!$F$1:$FF$1,0)-1))*IF(G394="Rame",1,0)</f>
        <v>0</v>
      </c>
      <c r="U394" s="205">
        <f ca="1">IF(ISERROR(OFFSET(Bronzo!$A$1,MATCH(J394,Bronzo!$A:$A,0)-1,MATCH(K394,Bronzo!$A$1:$AA$1,0)-1)=TRUE),0,OFFSET(Bronzo!$A$1,MATCH(J394,Bronzo!$A:$A,0)-1,MATCH(K394,Bronzo!$A$1:$AA$1,0)-1))</f>
        <v>0</v>
      </c>
      <c r="V394" s="205">
        <f t="shared" ca="1" si="178"/>
        <v>0</v>
      </c>
      <c r="W394" s="204"/>
      <c r="X394" s="205">
        <v>0</v>
      </c>
      <c r="Y394" s="206">
        <f t="shared" ca="1" si="179"/>
        <v>0</v>
      </c>
      <c r="Z394" s="277">
        <f t="shared" si="180"/>
        <v>0</v>
      </c>
      <c r="AA394" s="203"/>
      <c r="AB394" s="203">
        <f t="shared" ca="1" si="181"/>
        <v>0</v>
      </c>
      <c r="AC394" s="238"/>
      <c r="AI394" s="367">
        <f t="shared" ca="1" si="188"/>
        <v>46092</v>
      </c>
      <c r="AJ394" s="367" t="b">
        <f t="shared" si="182"/>
        <v>1</v>
      </c>
      <c r="AK394" s="370" t="str">
        <f t="shared" si="183"/>
        <v/>
      </c>
      <c r="AN394">
        <f t="shared" si="184"/>
        <v>0</v>
      </c>
      <c r="AO394">
        <f t="shared" si="185"/>
        <v>1900</v>
      </c>
      <c r="AV394">
        <f t="shared" si="186"/>
        <v>0</v>
      </c>
      <c r="AW394">
        <f t="shared" si="187"/>
        <v>0</v>
      </c>
    </row>
    <row r="395" spans="4:49" ht="15.75" x14ac:dyDescent="0.25">
      <c r="D395" s="199"/>
      <c r="E395" s="200"/>
      <c r="F395" s="287"/>
      <c r="G395" s="201"/>
      <c r="H395" s="219"/>
      <c r="I395" s="202"/>
      <c r="J395" s="200"/>
      <c r="K395" s="200"/>
      <c r="L395" s="203"/>
      <c r="M395" s="204">
        <f ca="1">IF(ISERROR(OFFSET(Tabella!$A$1,MATCH(J395,Tabella!$A:$A,0)-1,MATCH(L395,Tabella!$A$1:$AC$1,0)-1)=TRUE),0,+OFFSET(Tabella!$A$1,MATCH(J395,Tabella!$A:$A,0)-1,MATCH(L395,Tabella!$A$1:$AC$1,0)-1))</f>
        <v>0</v>
      </c>
      <c r="N395" s="205">
        <f ca="1">IF(ISERROR(OFFSET(Ottone!$A$1,MATCH(J395,Ottone!$A:$A,0)-1,MATCH(L395,Ottone!$A$1:$Z$1,0)-1)=TRUE),0,OFFSET(Ottone!$A$1,MATCH(J395,Ottone!$A:$A,0)-1,MATCH(L395,Ottone!$A$1:$Z$1,0)-1))*IF(G395="Ottone",1,0)</f>
        <v>0</v>
      </c>
      <c r="O395" s="205">
        <f ca="1">IF(ISERROR(OFFSET(Rame!$A$1,MATCH(J395,Rame!$A:$A,0)-1,MATCH(L395,Rame!$A$1:$AA$1,0)-1)=TRUE),0,OFFSET(Rame!$A$1,MATCH(J395,Rame!$A:$A,0)-1,MATCH(L395,Rame!$A$1:$AA$1,0)-1))*IF(G395="Rame",1,0)</f>
        <v>0</v>
      </c>
      <c r="P395" s="205">
        <v>0</v>
      </c>
      <c r="Q395" s="205">
        <f t="shared" ca="1" si="177"/>
        <v>0</v>
      </c>
      <c r="R395" s="205">
        <f ca="1">+IF(ISERROR(OFFSET(Tabella!$G$1,MATCH(J395,Tabella!$G:$G,0)-1,MATCH(K395,Tabella!$G$1:$FG$1,0)-1)=TRUE),0,OFFSET(Tabella!$G$1,MATCH(J395,Tabella!$G:$G,0)-1,MATCH(K395,Tabella!$G$1:$AB$1,0)-1))</f>
        <v>0</v>
      </c>
      <c r="S395" s="205">
        <f ca="1">IF(ISERROR(OFFSET(Ottone!$F$1,MATCH(J395,Ottone!$A:$A,0)-1,MATCH(K395,Ottone!$F$1:$FF$1,0)-1)=TRUE),0,OFFSET(Ottone!$F$1,MATCH(J395,Ottone!$A:$A,0)-1,MATCH(K395,Ottone!$F$1:$FF$1,0)-1))*IF(G395="Ottone",1,0)</f>
        <v>0</v>
      </c>
      <c r="T395" s="205">
        <f ca="1">IF(ISERROR(OFFSET(Rame!$F$1,MATCH(J395,Rame!$F:$F,0)-1,MATCH(K395,Rame!$F$1:$FF$1,0)-1)=TRUE),0,OFFSET(Rame!$F$1,MATCH(J395,Rame!$F:$F,0)-1,MATCH(K395,Rame!$F$1:$FF$1,0)-1))*IF(G395="Rame",1,0)</f>
        <v>0</v>
      </c>
      <c r="U395" s="205">
        <f ca="1">IF(ISERROR(OFFSET(Bronzo!$A$1,MATCH(J395,Bronzo!$A:$A,0)-1,MATCH(K395,Bronzo!$A$1:$AA$1,0)-1)=TRUE),0,OFFSET(Bronzo!$A$1,MATCH(J395,Bronzo!$A:$A,0)-1,MATCH(K395,Bronzo!$A$1:$AA$1,0)-1))</f>
        <v>0</v>
      </c>
      <c r="V395" s="205">
        <f t="shared" ca="1" si="178"/>
        <v>0</v>
      </c>
      <c r="W395" s="204"/>
      <c r="X395" s="205">
        <v>0</v>
      </c>
      <c r="Y395" s="206">
        <f t="shared" ca="1" si="179"/>
        <v>0</v>
      </c>
      <c r="Z395" s="277">
        <f t="shared" si="180"/>
        <v>0</v>
      </c>
      <c r="AA395" s="203"/>
      <c r="AB395" s="203">
        <f t="shared" ca="1" si="181"/>
        <v>0</v>
      </c>
      <c r="AC395" s="238"/>
      <c r="AI395" s="367">
        <f t="shared" ca="1" si="188"/>
        <v>46092</v>
      </c>
      <c r="AJ395" s="367" t="b">
        <f t="shared" si="182"/>
        <v>1</v>
      </c>
      <c r="AK395" s="370" t="str">
        <f t="shared" si="183"/>
        <v/>
      </c>
      <c r="AN395">
        <f t="shared" si="184"/>
        <v>0</v>
      </c>
      <c r="AO395">
        <f t="shared" si="185"/>
        <v>1900</v>
      </c>
      <c r="AV395">
        <f t="shared" si="186"/>
        <v>0</v>
      </c>
      <c r="AW395">
        <f t="shared" si="187"/>
        <v>0</v>
      </c>
    </row>
    <row r="396" spans="4:49" ht="15.75" x14ac:dyDescent="0.25">
      <c r="D396" s="199"/>
      <c r="E396" s="200"/>
      <c r="F396" s="287"/>
      <c r="G396" s="201"/>
      <c r="H396" s="219"/>
      <c r="I396" s="202"/>
      <c r="J396" s="200"/>
      <c r="K396" s="200"/>
      <c r="L396" s="203"/>
      <c r="M396" s="204">
        <f ca="1">IF(ISERROR(OFFSET(Tabella!$A$1,MATCH(J396,Tabella!$A:$A,0)-1,MATCH(L396,Tabella!$A$1:$AC$1,0)-1)=TRUE),0,+OFFSET(Tabella!$A$1,MATCH(J396,Tabella!$A:$A,0)-1,MATCH(L396,Tabella!$A$1:$AC$1,0)-1))</f>
        <v>0</v>
      </c>
      <c r="N396" s="205">
        <f ca="1">IF(ISERROR(OFFSET(Ottone!$A$1,MATCH(J396,Ottone!$A:$A,0)-1,MATCH(L396,Ottone!$A$1:$Z$1,0)-1)=TRUE),0,OFFSET(Ottone!$A$1,MATCH(J396,Ottone!$A:$A,0)-1,MATCH(L396,Ottone!$A$1:$Z$1,0)-1))*IF(G396="Ottone",1,0)</f>
        <v>0</v>
      </c>
      <c r="O396" s="205">
        <f ca="1">IF(ISERROR(OFFSET(Rame!$A$1,MATCH(J396,Rame!$A:$A,0)-1,MATCH(L396,Rame!$A$1:$AA$1,0)-1)=TRUE),0,OFFSET(Rame!$A$1,MATCH(J396,Rame!$A:$A,0)-1,MATCH(L396,Rame!$A$1:$AA$1,0)-1))*IF(G396="Rame",1,0)</f>
        <v>0</v>
      </c>
      <c r="P396" s="205">
        <v>0</v>
      </c>
      <c r="Q396" s="205">
        <f t="shared" ca="1" si="177"/>
        <v>0</v>
      </c>
      <c r="R396" s="205">
        <f ca="1">+IF(ISERROR(OFFSET(Tabella!$G$1,MATCH(J396,Tabella!$G:$G,0)-1,MATCH(K396,Tabella!$G$1:$FG$1,0)-1)=TRUE),0,OFFSET(Tabella!$G$1,MATCH(J396,Tabella!$G:$G,0)-1,MATCH(K396,Tabella!$G$1:$AB$1,0)-1))</f>
        <v>0</v>
      </c>
      <c r="S396" s="205">
        <f ca="1">IF(ISERROR(OFFSET(Ottone!$F$1,MATCH(J396,Ottone!$A:$A,0)-1,MATCH(K396,Ottone!$F$1:$FF$1,0)-1)=TRUE),0,OFFSET(Ottone!$F$1,MATCH(J396,Ottone!$A:$A,0)-1,MATCH(K396,Ottone!$F$1:$FF$1,0)-1))*IF(G396="Ottone",1,0)</f>
        <v>0</v>
      </c>
      <c r="T396" s="205">
        <f ca="1">IF(ISERROR(OFFSET(Rame!$F$1,MATCH(J396,Rame!$F:$F,0)-1,MATCH(K396,Rame!$F$1:$FF$1,0)-1)=TRUE),0,OFFSET(Rame!$F$1,MATCH(J396,Rame!$F:$F,0)-1,MATCH(K396,Rame!$F$1:$FF$1,0)-1))*IF(G396="Rame",1,0)</f>
        <v>0</v>
      </c>
      <c r="U396" s="205">
        <f ca="1">IF(ISERROR(OFFSET(Bronzo!$A$1,MATCH(J396,Bronzo!$A:$A,0)-1,MATCH(K396,Bronzo!$A$1:$AA$1,0)-1)=TRUE),0,OFFSET(Bronzo!$A$1,MATCH(J396,Bronzo!$A:$A,0)-1,MATCH(K396,Bronzo!$A$1:$AA$1,0)-1))</f>
        <v>0</v>
      </c>
      <c r="V396" s="205">
        <f t="shared" ca="1" si="178"/>
        <v>0</v>
      </c>
      <c r="W396" s="204"/>
      <c r="X396" s="205">
        <v>0</v>
      </c>
      <c r="Y396" s="206">
        <f t="shared" ca="1" si="179"/>
        <v>0</v>
      </c>
      <c r="Z396" s="277">
        <f t="shared" si="180"/>
        <v>0</v>
      </c>
      <c r="AA396" s="203"/>
      <c r="AB396" s="203">
        <f t="shared" ca="1" si="181"/>
        <v>0</v>
      </c>
      <c r="AC396" s="238"/>
      <c r="AI396" s="367">
        <f t="shared" ca="1" si="188"/>
        <v>46092</v>
      </c>
      <c r="AJ396" s="367" t="b">
        <f t="shared" si="182"/>
        <v>1</v>
      </c>
      <c r="AK396" s="370" t="str">
        <f t="shared" si="183"/>
        <v/>
      </c>
      <c r="AN396">
        <f t="shared" si="184"/>
        <v>0</v>
      </c>
      <c r="AO396">
        <f t="shared" si="185"/>
        <v>1900</v>
      </c>
      <c r="AV396">
        <f t="shared" si="186"/>
        <v>0</v>
      </c>
      <c r="AW396">
        <f t="shared" si="187"/>
        <v>0</v>
      </c>
    </row>
    <row r="397" spans="4:49" ht="15.75" x14ac:dyDescent="0.25">
      <c r="D397" s="199"/>
      <c r="E397" s="200"/>
      <c r="F397" s="287"/>
      <c r="G397" s="201"/>
      <c r="H397" s="219"/>
      <c r="I397" s="202"/>
      <c r="J397" s="200"/>
      <c r="K397" s="200"/>
      <c r="L397" s="203"/>
      <c r="M397" s="204">
        <f ca="1">IF(ISERROR(OFFSET(Tabella!$A$1,MATCH(J397,Tabella!$A:$A,0)-1,MATCH(L397,Tabella!$A$1:$AC$1,0)-1)=TRUE),0,+OFFSET(Tabella!$A$1,MATCH(J397,Tabella!$A:$A,0)-1,MATCH(L397,Tabella!$A$1:$AC$1,0)-1))</f>
        <v>0</v>
      </c>
      <c r="N397" s="205">
        <f ca="1">IF(ISERROR(OFFSET(Ottone!$A$1,MATCH(J397,Ottone!$A:$A,0)-1,MATCH(L397,Ottone!$A$1:$Z$1,0)-1)=TRUE),0,OFFSET(Ottone!$A$1,MATCH(J397,Ottone!$A:$A,0)-1,MATCH(L397,Ottone!$A$1:$Z$1,0)-1))*IF(G397="Ottone",1,0)</f>
        <v>0</v>
      </c>
      <c r="O397" s="205">
        <f ca="1">IF(ISERROR(OFFSET(Rame!$A$1,MATCH(J397,Rame!$A:$A,0)-1,MATCH(L397,Rame!$A$1:$AA$1,0)-1)=TRUE),0,OFFSET(Rame!$A$1,MATCH(J397,Rame!$A:$A,0)-1,MATCH(L397,Rame!$A$1:$AA$1,0)-1))*IF(G397="Rame",1,0)</f>
        <v>0</v>
      </c>
      <c r="P397" s="205">
        <v>0</v>
      </c>
      <c r="Q397" s="205">
        <f t="shared" ca="1" si="177"/>
        <v>0</v>
      </c>
      <c r="R397" s="205">
        <f ca="1">+IF(ISERROR(OFFSET(Tabella!$G$1,MATCH(J397,Tabella!$G:$G,0)-1,MATCH(K397,Tabella!$G$1:$FG$1,0)-1)=TRUE),0,OFFSET(Tabella!$G$1,MATCH(J397,Tabella!$G:$G,0)-1,MATCH(K397,Tabella!$G$1:$AB$1,0)-1))</f>
        <v>0</v>
      </c>
      <c r="S397" s="205">
        <f ca="1">IF(ISERROR(OFFSET(Ottone!$F$1,MATCH(J397,Ottone!$A:$A,0)-1,MATCH(K397,Ottone!$F$1:$FF$1,0)-1)=TRUE),0,OFFSET(Ottone!$F$1,MATCH(J397,Ottone!$A:$A,0)-1,MATCH(K397,Ottone!$F$1:$FF$1,0)-1))*IF(G397="Ottone",1,0)</f>
        <v>0</v>
      </c>
      <c r="T397" s="205">
        <f ca="1">IF(ISERROR(OFFSET(Rame!$F$1,MATCH(J397,Rame!$F:$F,0)-1,MATCH(K397,Rame!$F$1:$FF$1,0)-1)=TRUE),0,OFFSET(Rame!$F$1,MATCH(J397,Rame!$F:$F,0)-1,MATCH(K397,Rame!$F$1:$FF$1,0)-1))*IF(G397="Rame",1,0)</f>
        <v>0</v>
      </c>
      <c r="U397" s="205">
        <f ca="1">IF(ISERROR(OFFSET(Bronzo!$A$1,MATCH(J397,Bronzo!$A:$A,0)-1,MATCH(K397,Bronzo!$A$1:$AA$1,0)-1)=TRUE),0,OFFSET(Bronzo!$A$1,MATCH(J397,Bronzo!$A:$A,0)-1,MATCH(K397,Bronzo!$A$1:$AA$1,0)-1))</f>
        <v>0</v>
      </c>
      <c r="V397" s="205">
        <f t="shared" ca="1" si="178"/>
        <v>0</v>
      </c>
      <c r="W397" s="204"/>
      <c r="X397" s="205">
        <v>0</v>
      </c>
      <c r="Y397" s="206">
        <f t="shared" ca="1" si="179"/>
        <v>0</v>
      </c>
      <c r="Z397" s="277">
        <f t="shared" si="180"/>
        <v>0</v>
      </c>
      <c r="AA397" s="203"/>
      <c r="AB397" s="203">
        <f t="shared" ca="1" si="181"/>
        <v>0</v>
      </c>
      <c r="AC397" s="238"/>
      <c r="AI397" s="367">
        <f t="shared" ca="1" si="188"/>
        <v>46092</v>
      </c>
      <c r="AJ397" s="367" t="b">
        <f t="shared" si="182"/>
        <v>1</v>
      </c>
      <c r="AK397" s="370" t="str">
        <f t="shared" si="183"/>
        <v/>
      </c>
      <c r="AN397">
        <f t="shared" si="184"/>
        <v>0</v>
      </c>
      <c r="AO397">
        <f t="shared" si="185"/>
        <v>1900</v>
      </c>
      <c r="AV397">
        <f t="shared" si="186"/>
        <v>0</v>
      </c>
      <c r="AW397">
        <f t="shared" si="187"/>
        <v>0</v>
      </c>
    </row>
    <row r="398" spans="4:49" ht="15.75" x14ac:dyDescent="0.25">
      <c r="D398" s="199"/>
      <c r="E398" s="200"/>
      <c r="F398" s="287"/>
      <c r="G398" s="201"/>
      <c r="H398" s="219"/>
      <c r="I398" s="202"/>
      <c r="J398" s="200"/>
      <c r="K398" s="200"/>
      <c r="L398" s="203"/>
      <c r="M398" s="204">
        <f ca="1">IF(ISERROR(OFFSET(Tabella!$A$1,MATCH(J398,Tabella!$A:$A,0)-1,MATCH(L398,Tabella!$A$1:$AC$1,0)-1)=TRUE),0,+OFFSET(Tabella!$A$1,MATCH(J398,Tabella!$A:$A,0)-1,MATCH(L398,Tabella!$A$1:$AC$1,0)-1))</f>
        <v>0</v>
      </c>
      <c r="N398" s="205">
        <f ca="1">IF(ISERROR(OFFSET(Ottone!$A$1,MATCH(J398,Ottone!$A:$A,0)-1,MATCH(L398,Ottone!$A$1:$Z$1,0)-1)=TRUE),0,OFFSET(Ottone!$A$1,MATCH(J398,Ottone!$A:$A,0)-1,MATCH(L398,Ottone!$A$1:$Z$1,0)-1))*IF(G398="Ottone",1,0)</f>
        <v>0</v>
      </c>
      <c r="O398" s="205">
        <f ca="1">IF(ISERROR(OFFSET(Rame!$A$1,MATCH(J398,Rame!$A:$A,0)-1,MATCH(L398,Rame!$A$1:$AA$1,0)-1)=TRUE),0,OFFSET(Rame!$A$1,MATCH(J398,Rame!$A:$A,0)-1,MATCH(L398,Rame!$A$1:$AA$1,0)-1))*IF(G398="Rame",1,0)</f>
        <v>0</v>
      </c>
      <c r="P398" s="205">
        <v>0</v>
      </c>
      <c r="Q398" s="205">
        <f t="shared" ca="1" si="177"/>
        <v>0</v>
      </c>
      <c r="R398" s="205">
        <f ca="1">+IF(ISERROR(OFFSET(Tabella!$G$1,MATCH(J398,Tabella!$G:$G,0)-1,MATCH(K398,Tabella!$G$1:$FG$1,0)-1)=TRUE),0,OFFSET(Tabella!$G$1,MATCH(J398,Tabella!$G:$G,0)-1,MATCH(K398,Tabella!$G$1:$AB$1,0)-1))</f>
        <v>0</v>
      </c>
      <c r="S398" s="205">
        <f ca="1">IF(ISERROR(OFFSET(Ottone!$F$1,MATCH(J398,Ottone!$A:$A,0)-1,MATCH(K398,Ottone!$F$1:$FF$1,0)-1)=TRUE),0,OFFSET(Ottone!$F$1,MATCH(J398,Ottone!$A:$A,0)-1,MATCH(K398,Ottone!$F$1:$FF$1,0)-1))*IF(G398="Ottone",1,0)</f>
        <v>0</v>
      </c>
      <c r="T398" s="205">
        <f ca="1">IF(ISERROR(OFFSET(Rame!$F$1,MATCH(J398,Rame!$F:$F,0)-1,MATCH(K398,Rame!$F$1:$FF$1,0)-1)=TRUE),0,OFFSET(Rame!$F$1,MATCH(J398,Rame!$F:$F,0)-1,MATCH(K398,Rame!$F$1:$FF$1,0)-1))*IF(G398="Rame",1,0)</f>
        <v>0</v>
      </c>
      <c r="U398" s="205">
        <f ca="1">IF(ISERROR(OFFSET(Bronzo!$A$1,MATCH(J398,Bronzo!$A:$A,0)-1,MATCH(K398,Bronzo!$A$1:$AA$1,0)-1)=TRUE),0,OFFSET(Bronzo!$A$1,MATCH(J398,Bronzo!$A:$A,0)-1,MATCH(K398,Bronzo!$A$1:$AA$1,0)-1))</f>
        <v>0</v>
      </c>
      <c r="V398" s="205">
        <f t="shared" ca="1" si="178"/>
        <v>0</v>
      </c>
      <c r="W398" s="204"/>
      <c r="X398" s="205">
        <v>0</v>
      </c>
      <c r="Y398" s="206">
        <f t="shared" ca="1" si="179"/>
        <v>0</v>
      </c>
      <c r="Z398" s="277">
        <f t="shared" si="180"/>
        <v>0</v>
      </c>
      <c r="AA398" s="203"/>
      <c r="AB398" s="203">
        <f t="shared" ca="1" si="181"/>
        <v>0</v>
      </c>
      <c r="AC398" s="238"/>
      <c r="AI398" s="367">
        <f t="shared" ca="1" si="188"/>
        <v>46092</v>
      </c>
      <c r="AJ398" s="367" t="b">
        <f t="shared" si="182"/>
        <v>1</v>
      </c>
      <c r="AK398" s="370" t="str">
        <f t="shared" si="183"/>
        <v/>
      </c>
      <c r="AN398">
        <f t="shared" si="184"/>
        <v>0</v>
      </c>
      <c r="AO398">
        <f t="shared" si="185"/>
        <v>1900</v>
      </c>
      <c r="AV398">
        <f t="shared" si="186"/>
        <v>0</v>
      </c>
      <c r="AW398">
        <f t="shared" si="187"/>
        <v>0</v>
      </c>
    </row>
    <row r="399" spans="4:49" ht="15.75" x14ac:dyDescent="0.25">
      <c r="D399" s="199"/>
      <c r="E399" s="200"/>
      <c r="F399" s="287"/>
      <c r="G399" s="201"/>
      <c r="H399" s="219"/>
      <c r="I399" s="202"/>
      <c r="J399" s="200"/>
      <c r="K399" s="200"/>
      <c r="L399" s="203"/>
      <c r="M399" s="204">
        <f ca="1">IF(ISERROR(OFFSET(Tabella!$A$1,MATCH(J399,Tabella!$A:$A,0)-1,MATCH(L399,Tabella!$A$1:$AC$1,0)-1)=TRUE),0,+OFFSET(Tabella!$A$1,MATCH(J399,Tabella!$A:$A,0)-1,MATCH(L399,Tabella!$A$1:$AC$1,0)-1))</f>
        <v>0</v>
      </c>
      <c r="N399" s="205">
        <f ca="1">IF(ISERROR(OFFSET(Ottone!$A$1,MATCH(J399,Ottone!$A:$A,0)-1,MATCH(L399,Ottone!$A$1:$Z$1,0)-1)=TRUE),0,OFFSET(Ottone!$A$1,MATCH(J399,Ottone!$A:$A,0)-1,MATCH(L399,Ottone!$A$1:$Z$1,0)-1))*IF(G399="Ottone",1,0)</f>
        <v>0</v>
      </c>
      <c r="O399" s="205">
        <f ca="1">IF(ISERROR(OFFSET(Rame!$A$1,MATCH(J399,Rame!$A:$A,0)-1,MATCH(L399,Rame!$A$1:$AA$1,0)-1)=TRUE),0,OFFSET(Rame!$A$1,MATCH(J399,Rame!$A:$A,0)-1,MATCH(L399,Rame!$A$1:$AA$1,0)-1))*IF(G399="Rame",1,0)</f>
        <v>0</v>
      </c>
      <c r="P399" s="205">
        <v>0</v>
      </c>
      <c r="Q399" s="205">
        <f t="shared" ref="Q399:Q462" ca="1" si="189">SUM(M399:P399)</f>
        <v>0</v>
      </c>
      <c r="R399" s="205">
        <f ca="1">+IF(ISERROR(OFFSET(Tabella!$G$1,MATCH(J399,Tabella!$G:$G,0)-1,MATCH(K399,Tabella!$G$1:$FG$1,0)-1)=TRUE),0,OFFSET(Tabella!$G$1,MATCH(J399,Tabella!$G:$G,0)-1,MATCH(K399,Tabella!$G$1:$AB$1,0)-1))</f>
        <v>0</v>
      </c>
      <c r="S399" s="205">
        <f ca="1">IF(ISERROR(OFFSET(Ottone!$F$1,MATCH(J399,Ottone!$A:$A,0)-1,MATCH(K399,Ottone!$F$1:$FF$1,0)-1)=TRUE),0,OFFSET(Ottone!$F$1,MATCH(J399,Ottone!$A:$A,0)-1,MATCH(K399,Ottone!$F$1:$FF$1,0)-1))*IF(G399="Ottone",1,0)</f>
        <v>0</v>
      </c>
      <c r="T399" s="205">
        <f ca="1">IF(ISERROR(OFFSET(Rame!$F$1,MATCH(J399,Rame!$F:$F,0)-1,MATCH(K399,Rame!$F$1:$FF$1,0)-1)=TRUE),0,OFFSET(Rame!$F$1,MATCH(J399,Rame!$F:$F,0)-1,MATCH(K399,Rame!$F$1:$FF$1,0)-1))*IF(G399="Rame",1,0)</f>
        <v>0</v>
      </c>
      <c r="U399" s="205">
        <f ca="1">IF(ISERROR(OFFSET(Bronzo!$A$1,MATCH(J399,Bronzo!$A:$A,0)-1,MATCH(K399,Bronzo!$A$1:$AA$1,0)-1)=TRUE),0,OFFSET(Bronzo!$A$1,MATCH(J399,Bronzo!$A:$A,0)-1,MATCH(K399,Bronzo!$A$1:$AA$1,0)-1))</f>
        <v>0</v>
      </c>
      <c r="V399" s="205">
        <f t="shared" ref="V399:V462" ca="1" si="190">SUM(R399:U399)</f>
        <v>0</v>
      </c>
      <c r="W399" s="204"/>
      <c r="X399" s="205">
        <v>0</v>
      </c>
      <c r="Y399" s="206">
        <f t="shared" ref="Y399:Y462" ca="1" si="191">+Q399+V399+W399+X399</f>
        <v>0</v>
      </c>
      <c r="Z399" s="277">
        <f t="shared" ref="Z399:Z462" si="192">+L399*F399</f>
        <v>0</v>
      </c>
      <c r="AA399" s="203"/>
      <c r="AB399" s="203">
        <f t="shared" ref="AB399:AB462" ca="1" si="193">+AA399-Y399-H399</f>
        <v>0</v>
      </c>
      <c r="AC399" s="238"/>
      <c r="AI399" s="367">
        <f t="shared" ca="1" si="188"/>
        <v>46092</v>
      </c>
      <c r="AJ399" s="367" t="b">
        <f t="shared" si="182"/>
        <v>1</v>
      </c>
      <c r="AK399" s="370" t="str">
        <f t="shared" si="183"/>
        <v/>
      </c>
      <c r="AN399">
        <f t="shared" si="184"/>
        <v>0</v>
      </c>
      <c r="AO399">
        <f t="shared" si="185"/>
        <v>1900</v>
      </c>
      <c r="AV399">
        <f t="shared" si="186"/>
        <v>0</v>
      </c>
      <c r="AW399">
        <f t="shared" si="187"/>
        <v>0</v>
      </c>
    </row>
    <row r="400" spans="4:49" ht="15.75" x14ac:dyDescent="0.25">
      <c r="D400" s="199"/>
      <c r="E400" s="200"/>
      <c r="F400" s="287"/>
      <c r="G400" s="201"/>
      <c r="H400" s="219"/>
      <c r="I400" s="202"/>
      <c r="J400" s="200"/>
      <c r="K400" s="200"/>
      <c r="L400" s="203"/>
      <c r="M400" s="204">
        <f ca="1">IF(ISERROR(OFFSET(Tabella!$A$1,MATCH(J400,Tabella!$A:$A,0)-1,MATCH(L400,Tabella!$A$1:$AC$1,0)-1)=TRUE),0,+OFFSET(Tabella!$A$1,MATCH(J400,Tabella!$A:$A,0)-1,MATCH(L400,Tabella!$A$1:$AC$1,0)-1))</f>
        <v>0</v>
      </c>
      <c r="N400" s="205">
        <f ca="1">IF(ISERROR(OFFSET(Ottone!$A$1,MATCH(J400,Ottone!$A:$A,0)-1,MATCH(L400,Ottone!$A$1:$Z$1,0)-1)=TRUE),0,OFFSET(Ottone!$A$1,MATCH(J400,Ottone!$A:$A,0)-1,MATCH(L400,Ottone!$A$1:$Z$1,0)-1))*IF(G400="Ottone",1,0)</f>
        <v>0</v>
      </c>
      <c r="O400" s="205">
        <f ca="1">IF(ISERROR(OFFSET(Rame!$A$1,MATCH(J400,Rame!$A:$A,0)-1,MATCH(L400,Rame!$A$1:$AA$1,0)-1)=TRUE),0,OFFSET(Rame!$A$1,MATCH(J400,Rame!$A:$A,0)-1,MATCH(L400,Rame!$A$1:$AA$1,0)-1))*IF(G400="Rame",1,0)</f>
        <v>0</v>
      </c>
      <c r="P400" s="205">
        <v>0</v>
      </c>
      <c r="Q400" s="205">
        <f t="shared" ca="1" si="189"/>
        <v>0</v>
      </c>
      <c r="R400" s="205">
        <f ca="1">+IF(ISERROR(OFFSET(Tabella!$G$1,MATCH(J400,Tabella!$G:$G,0)-1,MATCH(K400,Tabella!$G$1:$FG$1,0)-1)=TRUE),0,OFFSET(Tabella!$G$1,MATCH(J400,Tabella!$G:$G,0)-1,MATCH(K400,Tabella!$G$1:$AB$1,0)-1))</f>
        <v>0</v>
      </c>
      <c r="S400" s="205">
        <f ca="1">IF(ISERROR(OFFSET(Ottone!$F$1,MATCH(J400,Ottone!$A:$A,0)-1,MATCH(K400,Ottone!$F$1:$FF$1,0)-1)=TRUE),0,OFFSET(Ottone!$F$1,MATCH(J400,Ottone!$A:$A,0)-1,MATCH(K400,Ottone!$F$1:$FF$1,0)-1))*IF(G400="Ottone",1,0)</f>
        <v>0</v>
      </c>
      <c r="T400" s="205">
        <f ca="1">IF(ISERROR(OFFSET(Rame!$F$1,MATCH(J400,Rame!$F:$F,0)-1,MATCH(K400,Rame!$F$1:$FF$1,0)-1)=TRUE),0,OFFSET(Rame!$F$1,MATCH(J400,Rame!$F:$F,0)-1,MATCH(K400,Rame!$F$1:$FF$1,0)-1))*IF(G400="Rame",1,0)</f>
        <v>0</v>
      </c>
      <c r="U400" s="205">
        <f ca="1">IF(ISERROR(OFFSET(Bronzo!$A$1,MATCH(J400,Bronzo!$A:$A,0)-1,MATCH(K400,Bronzo!$A$1:$AA$1,0)-1)=TRUE),0,OFFSET(Bronzo!$A$1,MATCH(J400,Bronzo!$A:$A,0)-1,MATCH(K400,Bronzo!$A$1:$AA$1,0)-1))</f>
        <v>0</v>
      </c>
      <c r="V400" s="205">
        <f t="shared" ca="1" si="190"/>
        <v>0</v>
      </c>
      <c r="W400" s="204"/>
      <c r="X400" s="205">
        <v>0</v>
      </c>
      <c r="Y400" s="206">
        <f t="shared" ca="1" si="191"/>
        <v>0</v>
      </c>
      <c r="Z400" s="277">
        <f t="shared" si="192"/>
        <v>0</v>
      </c>
      <c r="AA400" s="203"/>
      <c r="AB400" s="203">
        <f t="shared" ca="1" si="193"/>
        <v>0</v>
      </c>
      <c r="AC400" s="238"/>
      <c r="AI400" s="367">
        <f t="shared" ca="1" si="188"/>
        <v>46092</v>
      </c>
      <c r="AJ400" s="367" t="b">
        <f t="shared" si="182"/>
        <v>1</v>
      </c>
      <c r="AK400" s="370" t="str">
        <f t="shared" si="183"/>
        <v/>
      </c>
      <c r="AN400">
        <f t="shared" si="184"/>
        <v>0</v>
      </c>
      <c r="AO400">
        <f t="shared" si="185"/>
        <v>1900</v>
      </c>
      <c r="AV400">
        <f t="shared" si="186"/>
        <v>0</v>
      </c>
      <c r="AW400">
        <f t="shared" si="187"/>
        <v>0</v>
      </c>
    </row>
    <row r="401" spans="4:49" ht="15.75" x14ac:dyDescent="0.25">
      <c r="D401" s="199"/>
      <c r="E401" s="200"/>
      <c r="F401" s="287"/>
      <c r="G401" s="201"/>
      <c r="H401" s="219"/>
      <c r="I401" s="202"/>
      <c r="J401" s="200"/>
      <c r="K401" s="200"/>
      <c r="L401" s="203"/>
      <c r="M401" s="204">
        <f ca="1">IF(ISERROR(OFFSET(Tabella!$A$1,MATCH(J401,Tabella!$A:$A,0)-1,MATCH(L401,Tabella!$A$1:$AC$1,0)-1)=TRUE),0,+OFFSET(Tabella!$A$1,MATCH(J401,Tabella!$A:$A,0)-1,MATCH(L401,Tabella!$A$1:$AC$1,0)-1))</f>
        <v>0</v>
      </c>
      <c r="N401" s="205">
        <f ca="1">IF(ISERROR(OFFSET(Ottone!$A$1,MATCH(J401,Ottone!$A:$A,0)-1,MATCH(L401,Ottone!$A$1:$Z$1,0)-1)=TRUE),0,OFFSET(Ottone!$A$1,MATCH(J401,Ottone!$A:$A,0)-1,MATCH(L401,Ottone!$A$1:$Z$1,0)-1))*IF(G401="Ottone",1,0)</f>
        <v>0</v>
      </c>
      <c r="O401" s="205">
        <f ca="1">IF(ISERROR(OFFSET(Rame!$A$1,MATCH(J401,Rame!$A:$A,0)-1,MATCH(L401,Rame!$A$1:$AA$1,0)-1)=TRUE),0,OFFSET(Rame!$A$1,MATCH(J401,Rame!$A:$A,0)-1,MATCH(L401,Rame!$A$1:$AA$1,0)-1))*IF(G401="Rame",1,0)</f>
        <v>0</v>
      </c>
      <c r="P401" s="205">
        <v>0</v>
      </c>
      <c r="Q401" s="205">
        <f t="shared" ca="1" si="189"/>
        <v>0</v>
      </c>
      <c r="R401" s="205">
        <f ca="1">+IF(ISERROR(OFFSET(Tabella!$G$1,MATCH(J401,Tabella!$G:$G,0)-1,MATCH(K401,Tabella!$G$1:$FG$1,0)-1)=TRUE),0,OFFSET(Tabella!$G$1,MATCH(J401,Tabella!$G:$G,0)-1,MATCH(K401,Tabella!$G$1:$AB$1,0)-1))</f>
        <v>0</v>
      </c>
      <c r="S401" s="205">
        <f ca="1">IF(ISERROR(OFFSET(Ottone!$F$1,MATCH(J401,Ottone!$A:$A,0)-1,MATCH(K401,Ottone!$F$1:$FF$1,0)-1)=TRUE),0,OFFSET(Ottone!$F$1,MATCH(J401,Ottone!$A:$A,0)-1,MATCH(K401,Ottone!$F$1:$FF$1,0)-1))*IF(G401="Ottone",1,0)</f>
        <v>0</v>
      </c>
      <c r="T401" s="205">
        <f ca="1">IF(ISERROR(OFFSET(Rame!$F$1,MATCH(J401,Rame!$F:$F,0)-1,MATCH(K401,Rame!$F$1:$FF$1,0)-1)=TRUE),0,OFFSET(Rame!$F$1,MATCH(J401,Rame!$F:$F,0)-1,MATCH(K401,Rame!$F$1:$FF$1,0)-1))*IF(G401="Rame",1,0)</f>
        <v>0</v>
      </c>
      <c r="U401" s="205">
        <f ca="1">IF(ISERROR(OFFSET(Bronzo!$A$1,MATCH(J401,Bronzo!$A:$A,0)-1,MATCH(K401,Bronzo!$A$1:$AA$1,0)-1)=TRUE),0,OFFSET(Bronzo!$A$1,MATCH(J401,Bronzo!$A:$A,0)-1,MATCH(K401,Bronzo!$A$1:$AA$1,0)-1))</f>
        <v>0</v>
      </c>
      <c r="V401" s="205">
        <f t="shared" ca="1" si="190"/>
        <v>0</v>
      </c>
      <c r="W401" s="204"/>
      <c r="X401" s="205">
        <v>0</v>
      </c>
      <c r="Y401" s="206">
        <f t="shared" ca="1" si="191"/>
        <v>0</v>
      </c>
      <c r="Z401" s="277">
        <f t="shared" si="192"/>
        <v>0</v>
      </c>
      <c r="AA401" s="203"/>
      <c r="AB401" s="203">
        <f t="shared" ca="1" si="193"/>
        <v>0</v>
      </c>
      <c r="AC401" s="238"/>
      <c r="AI401" s="367">
        <f t="shared" ca="1" si="188"/>
        <v>46092</v>
      </c>
      <c r="AJ401" s="367" t="b">
        <f t="shared" si="182"/>
        <v>1</v>
      </c>
      <c r="AK401" s="370" t="str">
        <f t="shared" si="183"/>
        <v/>
      </c>
      <c r="AN401">
        <f t="shared" si="184"/>
        <v>0</v>
      </c>
      <c r="AO401">
        <f t="shared" si="185"/>
        <v>1900</v>
      </c>
      <c r="AV401">
        <f t="shared" si="186"/>
        <v>0</v>
      </c>
      <c r="AW401">
        <f t="shared" si="187"/>
        <v>0</v>
      </c>
    </row>
    <row r="402" spans="4:49" ht="15.75" x14ac:dyDescent="0.25">
      <c r="D402" s="199"/>
      <c r="E402" s="200"/>
      <c r="F402" s="287"/>
      <c r="G402" s="201"/>
      <c r="H402" s="219"/>
      <c r="I402" s="202"/>
      <c r="J402" s="200"/>
      <c r="K402" s="200"/>
      <c r="L402" s="203"/>
      <c r="M402" s="204">
        <f ca="1">IF(ISERROR(OFFSET(Tabella!$A$1,MATCH(J402,Tabella!$A:$A,0)-1,MATCH(L402,Tabella!$A$1:$AC$1,0)-1)=TRUE),0,+OFFSET(Tabella!$A$1,MATCH(J402,Tabella!$A:$A,0)-1,MATCH(L402,Tabella!$A$1:$AC$1,0)-1))</f>
        <v>0</v>
      </c>
      <c r="N402" s="205">
        <f ca="1">IF(ISERROR(OFFSET(Ottone!$A$1,MATCH(J402,Ottone!$A:$A,0)-1,MATCH(L402,Ottone!$A$1:$Z$1,0)-1)=TRUE),0,OFFSET(Ottone!$A$1,MATCH(J402,Ottone!$A:$A,0)-1,MATCH(L402,Ottone!$A$1:$Z$1,0)-1))*IF(G402="Ottone",1,0)</f>
        <v>0</v>
      </c>
      <c r="O402" s="205">
        <f ca="1">IF(ISERROR(OFFSET(Rame!$A$1,MATCH(J402,Rame!$A:$A,0)-1,MATCH(L402,Rame!$A$1:$AA$1,0)-1)=TRUE),0,OFFSET(Rame!$A$1,MATCH(J402,Rame!$A:$A,0)-1,MATCH(L402,Rame!$A$1:$AA$1,0)-1))*IF(G402="Rame",1,0)</f>
        <v>0</v>
      </c>
      <c r="P402" s="205">
        <v>0</v>
      </c>
      <c r="Q402" s="205">
        <f t="shared" ca="1" si="189"/>
        <v>0</v>
      </c>
      <c r="R402" s="205">
        <f ca="1">+IF(ISERROR(OFFSET(Tabella!$G$1,MATCH(J402,Tabella!$G:$G,0)-1,MATCH(K402,Tabella!$G$1:$FG$1,0)-1)=TRUE),0,OFFSET(Tabella!$G$1,MATCH(J402,Tabella!$G:$G,0)-1,MATCH(K402,Tabella!$G$1:$AB$1,0)-1))</f>
        <v>0</v>
      </c>
      <c r="S402" s="205">
        <f ca="1">IF(ISERROR(OFFSET(Ottone!$F$1,MATCH(J402,Ottone!$A:$A,0)-1,MATCH(K402,Ottone!$F$1:$FF$1,0)-1)=TRUE),0,OFFSET(Ottone!$F$1,MATCH(J402,Ottone!$A:$A,0)-1,MATCH(K402,Ottone!$F$1:$FF$1,0)-1))*IF(G402="Ottone",1,0)</f>
        <v>0</v>
      </c>
      <c r="T402" s="205">
        <f ca="1">IF(ISERROR(OFFSET(Rame!$F$1,MATCH(J402,Rame!$F:$F,0)-1,MATCH(K402,Rame!$F$1:$FF$1,0)-1)=TRUE),0,OFFSET(Rame!$F$1,MATCH(J402,Rame!$F:$F,0)-1,MATCH(K402,Rame!$F$1:$FF$1,0)-1))*IF(G402="Rame",1,0)</f>
        <v>0</v>
      </c>
      <c r="U402" s="205">
        <f ca="1">IF(ISERROR(OFFSET(Bronzo!$A$1,MATCH(J402,Bronzo!$A:$A,0)-1,MATCH(K402,Bronzo!$A$1:$AA$1,0)-1)=TRUE),0,OFFSET(Bronzo!$A$1,MATCH(J402,Bronzo!$A:$A,0)-1,MATCH(K402,Bronzo!$A$1:$AA$1,0)-1))</f>
        <v>0</v>
      </c>
      <c r="V402" s="205">
        <f t="shared" ca="1" si="190"/>
        <v>0</v>
      </c>
      <c r="W402" s="204"/>
      <c r="X402" s="205">
        <v>0</v>
      </c>
      <c r="Y402" s="206">
        <f t="shared" ca="1" si="191"/>
        <v>0</v>
      </c>
      <c r="Z402" s="277">
        <f t="shared" si="192"/>
        <v>0</v>
      </c>
      <c r="AA402" s="203"/>
      <c r="AB402" s="203">
        <f t="shared" ca="1" si="193"/>
        <v>0</v>
      </c>
      <c r="AC402" s="238"/>
      <c r="AI402" s="367">
        <f t="shared" ca="1" si="188"/>
        <v>46092</v>
      </c>
      <c r="AJ402" s="367" t="b">
        <f t="shared" si="182"/>
        <v>1</v>
      </c>
      <c r="AK402" s="370" t="str">
        <f t="shared" si="183"/>
        <v/>
      </c>
      <c r="AN402">
        <f t="shared" si="184"/>
        <v>0</v>
      </c>
      <c r="AO402">
        <f t="shared" si="185"/>
        <v>1900</v>
      </c>
      <c r="AV402">
        <f t="shared" si="186"/>
        <v>0</v>
      </c>
      <c r="AW402">
        <f t="shared" si="187"/>
        <v>0</v>
      </c>
    </row>
    <row r="403" spans="4:49" ht="15.75" x14ac:dyDescent="0.25">
      <c r="D403" s="199"/>
      <c r="E403" s="200"/>
      <c r="F403" s="287"/>
      <c r="G403" s="201"/>
      <c r="H403" s="219"/>
      <c r="I403" s="202"/>
      <c r="J403" s="200"/>
      <c r="K403" s="200"/>
      <c r="L403" s="203"/>
      <c r="M403" s="204">
        <f ca="1">IF(ISERROR(OFFSET(Tabella!$A$1,MATCH(J403,Tabella!$A:$A,0)-1,MATCH(L403,Tabella!$A$1:$AC$1,0)-1)=TRUE),0,+OFFSET(Tabella!$A$1,MATCH(J403,Tabella!$A:$A,0)-1,MATCH(L403,Tabella!$A$1:$AC$1,0)-1))</f>
        <v>0</v>
      </c>
      <c r="N403" s="205">
        <f ca="1">IF(ISERROR(OFFSET(Ottone!$A$1,MATCH(J403,Ottone!$A:$A,0)-1,MATCH(L403,Ottone!$A$1:$Z$1,0)-1)=TRUE),0,OFFSET(Ottone!$A$1,MATCH(J403,Ottone!$A:$A,0)-1,MATCH(L403,Ottone!$A$1:$Z$1,0)-1))*IF(G403="Ottone",1,0)</f>
        <v>0</v>
      </c>
      <c r="O403" s="205">
        <f ca="1">IF(ISERROR(OFFSET(Rame!$A$1,MATCH(J403,Rame!$A:$A,0)-1,MATCH(L403,Rame!$A$1:$AA$1,0)-1)=TRUE),0,OFFSET(Rame!$A$1,MATCH(J403,Rame!$A:$A,0)-1,MATCH(L403,Rame!$A$1:$AA$1,0)-1))*IF(G403="Rame",1,0)</f>
        <v>0</v>
      </c>
      <c r="P403" s="205">
        <v>0</v>
      </c>
      <c r="Q403" s="205">
        <f t="shared" ca="1" si="189"/>
        <v>0</v>
      </c>
      <c r="R403" s="205">
        <f ca="1">+IF(ISERROR(OFFSET(Tabella!$G$1,MATCH(J403,Tabella!$G:$G,0)-1,MATCH(K403,Tabella!$G$1:$FG$1,0)-1)=TRUE),0,OFFSET(Tabella!$G$1,MATCH(J403,Tabella!$G:$G,0)-1,MATCH(K403,Tabella!$G$1:$AB$1,0)-1))</f>
        <v>0</v>
      </c>
      <c r="S403" s="205">
        <f ca="1">IF(ISERROR(OFFSET(Ottone!$F$1,MATCH(J403,Ottone!$A:$A,0)-1,MATCH(K403,Ottone!$F$1:$FF$1,0)-1)=TRUE),0,OFFSET(Ottone!$F$1,MATCH(J403,Ottone!$A:$A,0)-1,MATCH(K403,Ottone!$F$1:$FF$1,0)-1))*IF(G403="Ottone",1,0)</f>
        <v>0</v>
      </c>
      <c r="T403" s="205">
        <f ca="1">IF(ISERROR(OFFSET(Rame!$F$1,MATCH(J403,Rame!$F:$F,0)-1,MATCH(K403,Rame!$F$1:$FF$1,0)-1)=TRUE),0,OFFSET(Rame!$F$1,MATCH(J403,Rame!$F:$F,0)-1,MATCH(K403,Rame!$F$1:$FF$1,0)-1))*IF(G403="Rame",1,0)</f>
        <v>0</v>
      </c>
      <c r="U403" s="205">
        <f ca="1">IF(ISERROR(OFFSET(Bronzo!$A$1,MATCH(J403,Bronzo!$A:$A,0)-1,MATCH(K403,Bronzo!$A$1:$AA$1,0)-1)=TRUE),0,OFFSET(Bronzo!$A$1,MATCH(J403,Bronzo!$A:$A,0)-1,MATCH(K403,Bronzo!$A$1:$AA$1,0)-1))</f>
        <v>0</v>
      </c>
      <c r="V403" s="205">
        <f t="shared" ca="1" si="190"/>
        <v>0</v>
      </c>
      <c r="W403" s="204"/>
      <c r="X403" s="205">
        <v>0</v>
      </c>
      <c r="Y403" s="206">
        <f t="shared" ca="1" si="191"/>
        <v>0</v>
      </c>
      <c r="Z403" s="277">
        <f t="shared" si="192"/>
        <v>0</v>
      </c>
      <c r="AA403" s="203"/>
      <c r="AB403" s="203">
        <f t="shared" ca="1" si="193"/>
        <v>0</v>
      </c>
      <c r="AC403" s="238"/>
      <c r="AI403" s="367">
        <f t="shared" ca="1" si="188"/>
        <v>46092</v>
      </c>
      <c r="AJ403" s="367" t="b">
        <f t="shared" si="182"/>
        <v>1</v>
      </c>
      <c r="AK403" s="370" t="str">
        <f t="shared" si="183"/>
        <v/>
      </c>
      <c r="AN403">
        <f t="shared" si="184"/>
        <v>0</v>
      </c>
      <c r="AO403">
        <f t="shared" si="185"/>
        <v>1900</v>
      </c>
      <c r="AV403">
        <f t="shared" si="186"/>
        <v>0</v>
      </c>
      <c r="AW403">
        <f t="shared" si="187"/>
        <v>0</v>
      </c>
    </row>
    <row r="404" spans="4:49" ht="15.75" x14ac:dyDescent="0.25">
      <c r="D404" s="199"/>
      <c r="E404" s="200"/>
      <c r="F404" s="287"/>
      <c r="G404" s="201"/>
      <c r="H404" s="219"/>
      <c r="I404" s="202"/>
      <c r="J404" s="200"/>
      <c r="K404" s="200"/>
      <c r="L404" s="203"/>
      <c r="M404" s="204">
        <f ca="1">IF(ISERROR(OFFSET(Tabella!$A$1,MATCH(J404,Tabella!$A:$A,0)-1,MATCH(L404,Tabella!$A$1:$AC$1,0)-1)=TRUE),0,+OFFSET(Tabella!$A$1,MATCH(J404,Tabella!$A:$A,0)-1,MATCH(L404,Tabella!$A$1:$AC$1,0)-1))</f>
        <v>0</v>
      </c>
      <c r="N404" s="205">
        <f ca="1">IF(ISERROR(OFFSET(Ottone!$A$1,MATCH(J404,Ottone!$A:$A,0)-1,MATCH(L404,Ottone!$A$1:$Z$1,0)-1)=TRUE),0,OFFSET(Ottone!$A$1,MATCH(J404,Ottone!$A:$A,0)-1,MATCH(L404,Ottone!$A$1:$Z$1,0)-1))*IF(G404="Ottone",1,0)</f>
        <v>0</v>
      </c>
      <c r="O404" s="205">
        <f ca="1">IF(ISERROR(OFFSET(Rame!$A$1,MATCH(J404,Rame!$A:$A,0)-1,MATCH(L404,Rame!$A$1:$AA$1,0)-1)=TRUE),0,OFFSET(Rame!$A$1,MATCH(J404,Rame!$A:$A,0)-1,MATCH(L404,Rame!$A$1:$AA$1,0)-1))*IF(G404="Rame",1,0)</f>
        <v>0</v>
      </c>
      <c r="P404" s="205">
        <v>0</v>
      </c>
      <c r="Q404" s="205">
        <f t="shared" ca="1" si="189"/>
        <v>0</v>
      </c>
      <c r="R404" s="205">
        <f ca="1">+IF(ISERROR(OFFSET(Tabella!$G$1,MATCH(J404,Tabella!$G:$G,0)-1,MATCH(K404,Tabella!$G$1:$FG$1,0)-1)=TRUE),0,OFFSET(Tabella!$G$1,MATCH(J404,Tabella!$G:$G,0)-1,MATCH(K404,Tabella!$G$1:$AB$1,0)-1))</f>
        <v>0</v>
      </c>
      <c r="S404" s="205">
        <f ca="1">IF(ISERROR(OFFSET(Ottone!$F$1,MATCH(J404,Ottone!$A:$A,0)-1,MATCH(K404,Ottone!$F$1:$FF$1,0)-1)=TRUE),0,OFFSET(Ottone!$F$1,MATCH(J404,Ottone!$A:$A,0)-1,MATCH(K404,Ottone!$F$1:$FF$1,0)-1))*IF(G404="Ottone",1,0)</f>
        <v>0</v>
      </c>
      <c r="T404" s="205">
        <f ca="1">IF(ISERROR(OFFSET(Rame!$F$1,MATCH(J404,Rame!$F:$F,0)-1,MATCH(K404,Rame!$F$1:$FF$1,0)-1)=TRUE),0,OFFSET(Rame!$F$1,MATCH(J404,Rame!$F:$F,0)-1,MATCH(K404,Rame!$F$1:$FF$1,0)-1))*IF(G404="Rame",1,0)</f>
        <v>0</v>
      </c>
      <c r="U404" s="205">
        <f ca="1">IF(ISERROR(OFFSET(Bronzo!$A$1,MATCH(J404,Bronzo!$A:$A,0)-1,MATCH(K404,Bronzo!$A$1:$AA$1,0)-1)=TRUE),0,OFFSET(Bronzo!$A$1,MATCH(J404,Bronzo!$A:$A,0)-1,MATCH(K404,Bronzo!$A$1:$AA$1,0)-1))</f>
        <v>0</v>
      </c>
      <c r="V404" s="205">
        <f t="shared" ca="1" si="190"/>
        <v>0</v>
      </c>
      <c r="W404" s="204"/>
      <c r="X404" s="205">
        <v>0</v>
      </c>
      <c r="Y404" s="206">
        <f t="shared" ca="1" si="191"/>
        <v>0</v>
      </c>
      <c r="Z404" s="277">
        <f t="shared" si="192"/>
        <v>0</v>
      </c>
      <c r="AA404" s="203"/>
      <c r="AB404" s="203">
        <f t="shared" ca="1" si="193"/>
        <v>0</v>
      </c>
      <c r="AC404" s="238"/>
      <c r="AI404" s="367">
        <f t="shared" ca="1" si="188"/>
        <v>46092</v>
      </c>
      <c r="AJ404" s="367" t="b">
        <f t="shared" si="182"/>
        <v>1</v>
      </c>
      <c r="AK404" s="370" t="str">
        <f t="shared" si="183"/>
        <v/>
      </c>
      <c r="AN404">
        <f t="shared" si="184"/>
        <v>0</v>
      </c>
      <c r="AO404">
        <f t="shared" si="185"/>
        <v>1900</v>
      </c>
      <c r="AV404">
        <f t="shared" si="186"/>
        <v>0</v>
      </c>
      <c r="AW404">
        <f t="shared" si="187"/>
        <v>0</v>
      </c>
    </row>
    <row r="405" spans="4:49" ht="15.75" x14ac:dyDescent="0.25">
      <c r="D405" s="199"/>
      <c r="E405" s="200"/>
      <c r="F405" s="287"/>
      <c r="G405" s="201"/>
      <c r="H405" s="219"/>
      <c r="I405" s="202"/>
      <c r="J405" s="200"/>
      <c r="K405" s="200"/>
      <c r="L405" s="203"/>
      <c r="M405" s="204">
        <f ca="1">IF(ISERROR(OFFSET(Tabella!$A$1,MATCH(J405,Tabella!$A:$A,0)-1,MATCH(L405,Tabella!$A$1:$AC$1,0)-1)=TRUE),0,+OFFSET(Tabella!$A$1,MATCH(J405,Tabella!$A:$A,0)-1,MATCH(L405,Tabella!$A$1:$AC$1,0)-1))</f>
        <v>0</v>
      </c>
      <c r="N405" s="205">
        <f ca="1">IF(ISERROR(OFFSET(Ottone!$A$1,MATCH(J405,Ottone!$A:$A,0)-1,MATCH(L405,Ottone!$A$1:$Z$1,0)-1)=TRUE),0,OFFSET(Ottone!$A$1,MATCH(J405,Ottone!$A:$A,0)-1,MATCH(L405,Ottone!$A$1:$Z$1,0)-1))*IF(G405="Ottone",1,0)</f>
        <v>0</v>
      </c>
      <c r="O405" s="205">
        <f ca="1">IF(ISERROR(OFFSET(Rame!$A$1,MATCH(J405,Rame!$A:$A,0)-1,MATCH(L405,Rame!$A$1:$AA$1,0)-1)=TRUE),0,OFFSET(Rame!$A$1,MATCH(J405,Rame!$A:$A,0)-1,MATCH(L405,Rame!$A$1:$AA$1,0)-1))*IF(G405="Rame",1,0)</f>
        <v>0</v>
      </c>
      <c r="P405" s="205">
        <v>0</v>
      </c>
      <c r="Q405" s="205">
        <f t="shared" ca="1" si="189"/>
        <v>0</v>
      </c>
      <c r="R405" s="205">
        <f ca="1">+IF(ISERROR(OFFSET(Tabella!$G$1,MATCH(J405,Tabella!$G:$G,0)-1,MATCH(K405,Tabella!$G$1:$FG$1,0)-1)=TRUE),0,OFFSET(Tabella!$G$1,MATCH(J405,Tabella!$G:$G,0)-1,MATCH(K405,Tabella!$G$1:$AB$1,0)-1))</f>
        <v>0</v>
      </c>
      <c r="S405" s="205">
        <f ca="1">IF(ISERROR(OFFSET(Ottone!$F$1,MATCH(J405,Ottone!$A:$A,0)-1,MATCH(K405,Ottone!$F$1:$FF$1,0)-1)=TRUE),0,OFFSET(Ottone!$F$1,MATCH(J405,Ottone!$A:$A,0)-1,MATCH(K405,Ottone!$F$1:$FF$1,0)-1))*IF(G405="Ottone",1,0)</f>
        <v>0</v>
      </c>
      <c r="T405" s="205">
        <f ca="1">IF(ISERROR(OFFSET(Rame!$F$1,MATCH(J405,Rame!$F:$F,0)-1,MATCH(K405,Rame!$F$1:$FF$1,0)-1)=TRUE),0,OFFSET(Rame!$F$1,MATCH(J405,Rame!$F:$F,0)-1,MATCH(K405,Rame!$F$1:$FF$1,0)-1))*IF(G405="Rame",1,0)</f>
        <v>0</v>
      </c>
      <c r="U405" s="205">
        <f ca="1">IF(ISERROR(OFFSET(Bronzo!$A$1,MATCH(J405,Bronzo!$A:$A,0)-1,MATCH(K405,Bronzo!$A$1:$AA$1,0)-1)=TRUE),0,OFFSET(Bronzo!$A$1,MATCH(J405,Bronzo!$A:$A,0)-1,MATCH(K405,Bronzo!$A$1:$AA$1,0)-1))</f>
        <v>0</v>
      </c>
      <c r="V405" s="205">
        <f t="shared" ca="1" si="190"/>
        <v>0</v>
      </c>
      <c r="W405" s="204"/>
      <c r="X405" s="205">
        <v>0</v>
      </c>
      <c r="Y405" s="206">
        <f t="shared" ca="1" si="191"/>
        <v>0</v>
      </c>
      <c r="Z405" s="277">
        <f t="shared" si="192"/>
        <v>0</v>
      </c>
      <c r="AA405" s="203"/>
      <c r="AB405" s="203">
        <f t="shared" ca="1" si="193"/>
        <v>0</v>
      </c>
      <c r="AC405" s="238"/>
      <c r="AI405" s="367">
        <f t="shared" ca="1" si="188"/>
        <v>46092</v>
      </c>
      <c r="AJ405" s="367" t="b">
        <f t="shared" si="182"/>
        <v>1</v>
      </c>
      <c r="AK405" s="370" t="str">
        <f t="shared" si="183"/>
        <v/>
      </c>
      <c r="AN405">
        <f t="shared" si="184"/>
        <v>0</v>
      </c>
      <c r="AO405">
        <f t="shared" si="185"/>
        <v>1900</v>
      </c>
      <c r="AV405">
        <f t="shared" si="186"/>
        <v>0</v>
      </c>
      <c r="AW405">
        <f t="shared" si="187"/>
        <v>0</v>
      </c>
    </row>
    <row r="406" spans="4:49" ht="15.75" x14ac:dyDescent="0.25">
      <c r="D406" s="199"/>
      <c r="E406" s="200"/>
      <c r="F406" s="287"/>
      <c r="G406" s="201"/>
      <c r="H406" s="219"/>
      <c r="I406" s="202"/>
      <c r="J406" s="200"/>
      <c r="K406" s="200"/>
      <c r="L406" s="203"/>
      <c r="M406" s="204">
        <f ca="1">IF(ISERROR(OFFSET(Tabella!$A$1,MATCH(J406,Tabella!$A:$A,0)-1,MATCH(L406,Tabella!$A$1:$AC$1,0)-1)=TRUE),0,+OFFSET(Tabella!$A$1,MATCH(J406,Tabella!$A:$A,0)-1,MATCH(L406,Tabella!$A$1:$AC$1,0)-1))</f>
        <v>0</v>
      </c>
      <c r="N406" s="205">
        <f ca="1">IF(ISERROR(OFFSET(Ottone!$A$1,MATCH(J406,Ottone!$A:$A,0)-1,MATCH(L406,Ottone!$A$1:$Z$1,0)-1)=TRUE),0,OFFSET(Ottone!$A$1,MATCH(J406,Ottone!$A:$A,0)-1,MATCH(L406,Ottone!$A$1:$Z$1,0)-1))*IF(G406="Ottone",1,0)</f>
        <v>0</v>
      </c>
      <c r="O406" s="205">
        <f ca="1">IF(ISERROR(OFFSET(Rame!$A$1,MATCH(J406,Rame!$A:$A,0)-1,MATCH(L406,Rame!$A$1:$AA$1,0)-1)=TRUE),0,OFFSET(Rame!$A$1,MATCH(J406,Rame!$A:$A,0)-1,MATCH(L406,Rame!$A$1:$AA$1,0)-1))*IF(G406="Rame",1,0)</f>
        <v>0</v>
      </c>
      <c r="P406" s="205">
        <v>0</v>
      </c>
      <c r="Q406" s="205">
        <f t="shared" ca="1" si="189"/>
        <v>0</v>
      </c>
      <c r="R406" s="205">
        <f ca="1">+IF(ISERROR(OFFSET(Tabella!$G$1,MATCH(J406,Tabella!$G:$G,0)-1,MATCH(K406,Tabella!$G$1:$FG$1,0)-1)=TRUE),0,OFFSET(Tabella!$G$1,MATCH(J406,Tabella!$G:$G,0)-1,MATCH(K406,Tabella!$G$1:$AB$1,0)-1))</f>
        <v>0</v>
      </c>
      <c r="S406" s="205">
        <f ca="1">IF(ISERROR(OFFSET(Ottone!$F$1,MATCH(J406,Ottone!$A:$A,0)-1,MATCH(K406,Ottone!$F$1:$FF$1,0)-1)=TRUE),0,OFFSET(Ottone!$F$1,MATCH(J406,Ottone!$A:$A,0)-1,MATCH(K406,Ottone!$F$1:$FF$1,0)-1))*IF(G406="Ottone",1,0)</f>
        <v>0</v>
      </c>
      <c r="T406" s="205">
        <f ca="1">IF(ISERROR(OFFSET(Rame!$F$1,MATCH(J406,Rame!$F:$F,0)-1,MATCH(K406,Rame!$F$1:$FF$1,0)-1)=TRUE),0,OFFSET(Rame!$F$1,MATCH(J406,Rame!$F:$F,0)-1,MATCH(K406,Rame!$F$1:$FF$1,0)-1))*IF(G406="Rame",1,0)</f>
        <v>0</v>
      </c>
      <c r="U406" s="205">
        <f ca="1">IF(ISERROR(OFFSET(Bronzo!$A$1,MATCH(J406,Bronzo!$A:$A,0)-1,MATCH(K406,Bronzo!$A$1:$AA$1,0)-1)=TRUE),0,OFFSET(Bronzo!$A$1,MATCH(J406,Bronzo!$A:$A,0)-1,MATCH(K406,Bronzo!$A$1:$AA$1,0)-1))</f>
        <v>0</v>
      </c>
      <c r="V406" s="205">
        <f t="shared" ca="1" si="190"/>
        <v>0</v>
      </c>
      <c r="W406" s="204"/>
      <c r="X406" s="205">
        <v>0</v>
      </c>
      <c r="Y406" s="206">
        <f t="shared" ca="1" si="191"/>
        <v>0</v>
      </c>
      <c r="Z406" s="277">
        <f t="shared" si="192"/>
        <v>0</v>
      </c>
      <c r="AA406" s="203"/>
      <c r="AB406" s="203">
        <f t="shared" ca="1" si="193"/>
        <v>0</v>
      </c>
      <c r="AC406" s="238"/>
      <c r="AI406" s="367">
        <f t="shared" ca="1" si="188"/>
        <v>46092</v>
      </c>
      <c r="AJ406" s="367" t="b">
        <f t="shared" si="182"/>
        <v>1</v>
      </c>
      <c r="AK406" s="370" t="str">
        <f t="shared" si="183"/>
        <v/>
      </c>
      <c r="AN406">
        <f t="shared" si="184"/>
        <v>0</v>
      </c>
      <c r="AO406">
        <f t="shared" si="185"/>
        <v>1900</v>
      </c>
      <c r="AV406">
        <f t="shared" si="186"/>
        <v>0</v>
      </c>
      <c r="AW406">
        <f t="shared" si="187"/>
        <v>0</v>
      </c>
    </row>
    <row r="407" spans="4:49" ht="15.75" x14ac:dyDescent="0.25">
      <c r="D407" s="199"/>
      <c r="E407" s="200"/>
      <c r="F407" s="287"/>
      <c r="G407" s="201"/>
      <c r="H407" s="219"/>
      <c r="I407" s="202"/>
      <c r="J407" s="200"/>
      <c r="K407" s="200"/>
      <c r="L407" s="203"/>
      <c r="M407" s="204">
        <f ca="1">IF(ISERROR(OFFSET(Tabella!$A$1,MATCH(J407,Tabella!$A:$A,0)-1,MATCH(L407,Tabella!$A$1:$AC$1,0)-1)=TRUE),0,+OFFSET(Tabella!$A$1,MATCH(J407,Tabella!$A:$A,0)-1,MATCH(L407,Tabella!$A$1:$AC$1,0)-1))</f>
        <v>0</v>
      </c>
      <c r="N407" s="205">
        <f ca="1">IF(ISERROR(OFFSET(Ottone!$A$1,MATCH(J407,Ottone!$A:$A,0)-1,MATCH(L407,Ottone!$A$1:$Z$1,0)-1)=TRUE),0,OFFSET(Ottone!$A$1,MATCH(J407,Ottone!$A:$A,0)-1,MATCH(L407,Ottone!$A$1:$Z$1,0)-1))*IF(G407="Ottone",1,0)</f>
        <v>0</v>
      </c>
      <c r="O407" s="205">
        <f ca="1">IF(ISERROR(OFFSET(Rame!$A$1,MATCH(J407,Rame!$A:$A,0)-1,MATCH(L407,Rame!$A$1:$AA$1,0)-1)=TRUE),0,OFFSET(Rame!$A$1,MATCH(J407,Rame!$A:$A,0)-1,MATCH(L407,Rame!$A$1:$AA$1,0)-1))*IF(G407="Rame",1,0)</f>
        <v>0</v>
      </c>
      <c r="P407" s="205">
        <v>0</v>
      </c>
      <c r="Q407" s="205">
        <f t="shared" ca="1" si="189"/>
        <v>0</v>
      </c>
      <c r="R407" s="205">
        <f ca="1">+IF(ISERROR(OFFSET(Tabella!$G$1,MATCH(J407,Tabella!$G:$G,0)-1,MATCH(K407,Tabella!$G$1:$FG$1,0)-1)=TRUE),0,OFFSET(Tabella!$G$1,MATCH(J407,Tabella!$G:$G,0)-1,MATCH(K407,Tabella!$G$1:$AB$1,0)-1))</f>
        <v>0</v>
      </c>
      <c r="S407" s="205">
        <f ca="1">IF(ISERROR(OFFSET(Ottone!$F$1,MATCH(J407,Ottone!$A:$A,0)-1,MATCH(K407,Ottone!$F$1:$FF$1,0)-1)=TRUE),0,OFFSET(Ottone!$F$1,MATCH(J407,Ottone!$A:$A,0)-1,MATCH(K407,Ottone!$F$1:$FF$1,0)-1))*IF(G407="Ottone",1,0)</f>
        <v>0</v>
      </c>
      <c r="T407" s="205">
        <f ca="1">IF(ISERROR(OFFSET(Rame!$F$1,MATCH(J407,Rame!$F:$F,0)-1,MATCH(K407,Rame!$F$1:$FF$1,0)-1)=TRUE),0,OFFSET(Rame!$F$1,MATCH(J407,Rame!$F:$F,0)-1,MATCH(K407,Rame!$F$1:$FF$1,0)-1))*IF(G407="Rame",1,0)</f>
        <v>0</v>
      </c>
      <c r="U407" s="205">
        <f ca="1">IF(ISERROR(OFFSET(Bronzo!$A$1,MATCH(J407,Bronzo!$A:$A,0)-1,MATCH(K407,Bronzo!$A$1:$AA$1,0)-1)=TRUE),0,OFFSET(Bronzo!$A$1,MATCH(J407,Bronzo!$A:$A,0)-1,MATCH(K407,Bronzo!$A$1:$AA$1,0)-1))</f>
        <v>0</v>
      </c>
      <c r="V407" s="205">
        <f t="shared" ca="1" si="190"/>
        <v>0</v>
      </c>
      <c r="W407" s="204"/>
      <c r="X407" s="205">
        <v>0</v>
      </c>
      <c r="Y407" s="206">
        <f t="shared" ca="1" si="191"/>
        <v>0</v>
      </c>
      <c r="Z407" s="277">
        <f t="shared" si="192"/>
        <v>0</v>
      </c>
      <c r="AA407" s="203"/>
      <c r="AB407" s="203">
        <f t="shared" ca="1" si="193"/>
        <v>0</v>
      </c>
      <c r="AC407" s="238"/>
      <c r="AI407" s="367">
        <f t="shared" ca="1" si="188"/>
        <v>46092</v>
      </c>
      <c r="AJ407" s="367" t="b">
        <f t="shared" si="182"/>
        <v>1</v>
      </c>
      <c r="AK407" s="370" t="str">
        <f t="shared" si="183"/>
        <v/>
      </c>
      <c r="AN407">
        <f t="shared" si="184"/>
        <v>0</v>
      </c>
      <c r="AO407">
        <f t="shared" si="185"/>
        <v>1900</v>
      </c>
      <c r="AV407">
        <f t="shared" si="186"/>
        <v>0</v>
      </c>
      <c r="AW407">
        <f t="shared" si="187"/>
        <v>0</v>
      </c>
    </row>
    <row r="408" spans="4:49" ht="15.75" x14ac:dyDescent="0.25">
      <c r="D408" s="199"/>
      <c r="E408" s="200"/>
      <c r="F408" s="287"/>
      <c r="G408" s="201"/>
      <c r="H408" s="219"/>
      <c r="I408" s="202"/>
      <c r="J408" s="200"/>
      <c r="K408" s="200"/>
      <c r="L408" s="203"/>
      <c r="M408" s="204">
        <f ca="1">IF(ISERROR(OFFSET(Tabella!$A$1,MATCH(J408,Tabella!$A:$A,0)-1,MATCH(L408,Tabella!$A$1:$AC$1,0)-1)=TRUE),0,+OFFSET(Tabella!$A$1,MATCH(J408,Tabella!$A:$A,0)-1,MATCH(L408,Tabella!$A$1:$AC$1,0)-1))</f>
        <v>0</v>
      </c>
      <c r="N408" s="205">
        <f ca="1">IF(ISERROR(OFFSET(Ottone!$A$1,MATCH(J408,Ottone!$A:$A,0)-1,MATCH(L408,Ottone!$A$1:$Z$1,0)-1)=TRUE),0,OFFSET(Ottone!$A$1,MATCH(J408,Ottone!$A:$A,0)-1,MATCH(L408,Ottone!$A$1:$Z$1,0)-1))*IF(G408="Ottone",1,0)</f>
        <v>0</v>
      </c>
      <c r="O408" s="205">
        <f ca="1">IF(ISERROR(OFFSET(Rame!$A$1,MATCH(J408,Rame!$A:$A,0)-1,MATCH(L408,Rame!$A$1:$AA$1,0)-1)=TRUE),0,OFFSET(Rame!$A$1,MATCH(J408,Rame!$A:$A,0)-1,MATCH(L408,Rame!$A$1:$AA$1,0)-1))*IF(G408="Rame",1,0)</f>
        <v>0</v>
      </c>
      <c r="P408" s="205">
        <v>0</v>
      </c>
      <c r="Q408" s="205">
        <f t="shared" ca="1" si="189"/>
        <v>0</v>
      </c>
      <c r="R408" s="205">
        <f ca="1">+IF(ISERROR(OFFSET(Tabella!$G$1,MATCH(J408,Tabella!$G:$G,0)-1,MATCH(K408,Tabella!$G$1:$FG$1,0)-1)=TRUE),0,OFFSET(Tabella!$G$1,MATCH(J408,Tabella!$G:$G,0)-1,MATCH(K408,Tabella!$G$1:$AB$1,0)-1))</f>
        <v>0</v>
      </c>
      <c r="S408" s="205">
        <f ca="1">IF(ISERROR(OFFSET(Ottone!$F$1,MATCH(J408,Ottone!$A:$A,0)-1,MATCH(K408,Ottone!$F$1:$FF$1,0)-1)=TRUE),0,OFFSET(Ottone!$F$1,MATCH(J408,Ottone!$A:$A,0)-1,MATCH(K408,Ottone!$F$1:$FF$1,0)-1))*IF(G408="Ottone",1,0)</f>
        <v>0</v>
      </c>
      <c r="T408" s="205">
        <f ca="1">IF(ISERROR(OFFSET(Rame!$F$1,MATCH(J408,Rame!$F:$F,0)-1,MATCH(K408,Rame!$F$1:$FF$1,0)-1)=TRUE),0,OFFSET(Rame!$F$1,MATCH(J408,Rame!$F:$F,0)-1,MATCH(K408,Rame!$F$1:$FF$1,0)-1))*IF(G408="Rame",1,0)</f>
        <v>0</v>
      </c>
      <c r="U408" s="205">
        <f ca="1">IF(ISERROR(OFFSET(Bronzo!$A$1,MATCH(J408,Bronzo!$A:$A,0)-1,MATCH(K408,Bronzo!$A$1:$AA$1,0)-1)=TRUE),0,OFFSET(Bronzo!$A$1,MATCH(J408,Bronzo!$A:$A,0)-1,MATCH(K408,Bronzo!$A$1:$AA$1,0)-1))</f>
        <v>0</v>
      </c>
      <c r="V408" s="205">
        <f t="shared" ca="1" si="190"/>
        <v>0</v>
      </c>
      <c r="W408" s="204"/>
      <c r="X408" s="205">
        <v>0</v>
      </c>
      <c r="Y408" s="206">
        <f t="shared" ca="1" si="191"/>
        <v>0</v>
      </c>
      <c r="Z408" s="277">
        <f t="shared" si="192"/>
        <v>0</v>
      </c>
      <c r="AA408" s="203"/>
      <c r="AB408" s="203">
        <f t="shared" ca="1" si="193"/>
        <v>0</v>
      </c>
      <c r="AC408" s="238"/>
      <c r="AI408" s="367">
        <f t="shared" ca="1" si="188"/>
        <v>46092</v>
      </c>
      <c r="AJ408" s="367" t="b">
        <f t="shared" si="182"/>
        <v>1</v>
      </c>
      <c r="AK408" s="370" t="str">
        <f t="shared" si="183"/>
        <v/>
      </c>
      <c r="AN408">
        <f t="shared" si="184"/>
        <v>0</v>
      </c>
      <c r="AO408">
        <f t="shared" si="185"/>
        <v>1900</v>
      </c>
      <c r="AV408">
        <f t="shared" si="186"/>
        <v>0</v>
      </c>
      <c r="AW408">
        <f t="shared" si="187"/>
        <v>0</v>
      </c>
    </row>
    <row r="409" spans="4:49" ht="15.75" x14ac:dyDescent="0.25">
      <c r="D409" s="199"/>
      <c r="E409" s="200"/>
      <c r="F409" s="287"/>
      <c r="G409" s="201"/>
      <c r="H409" s="219"/>
      <c r="I409" s="202"/>
      <c r="J409" s="200"/>
      <c r="K409" s="200"/>
      <c r="L409" s="203"/>
      <c r="M409" s="204">
        <f ca="1">IF(ISERROR(OFFSET(Tabella!$A$1,MATCH(J409,Tabella!$A:$A,0)-1,MATCH(L409,Tabella!$A$1:$AC$1,0)-1)=TRUE),0,+OFFSET(Tabella!$A$1,MATCH(J409,Tabella!$A:$A,0)-1,MATCH(L409,Tabella!$A$1:$AC$1,0)-1))</f>
        <v>0</v>
      </c>
      <c r="N409" s="205">
        <f ca="1">IF(ISERROR(OFFSET(Ottone!$A$1,MATCH(J409,Ottone!$A:$A,0)-1,MATCH(L409,Ottone!$A$1:$Z$1,0)-1)=TRUE),0,OFFSET(Ottone!$A$1,MATCH(J409,Ottone!$A:$A,0)-1,MATCH(L409,Ottone!$A$1:$Z$1,0)-1))*IF(G409="Ottone",1,0)</f>
        <v>0</v>
      </c>
      <c r="O409" s="205">
        <f ca="1">IF(ISERROR(OFFSET(Rame!$A$1,MATCH(J409,Rame!$A:$A,0)-1,MATCH(L409,Rame!$A$1:$AA$1,0)-1)=TRUE),0,OFFSET(Rame!$A$1,MATCH(J409,Rame!$A:$A,0)-1,MATCH(L409,Rame!$A$1:$AA$1,0)-1))*IF(G409="Rame",1,0)</f>
        <v>0</v>
      </c>
      <c r="P409" s="205">
        <v>0</v>
      </c>
      <c r="Q409" s="205">
        <f t="shared" ca="1" si="189"/>
        <v>0</v>
      </c>
      <c r="R409" s="205">
        <f ca="1">+IF(ISERROR(OFFSET(Tabella!$G$1,MATCH(J409,Tabella!$G:$G,0)-1,MATCH(K409,Tabella!$G$1:$FG$1,0)-1)=TRUE),0,OFFSET(Tabella!$G$1,MATCH(J409,Tabella!$G:$G,0)-1,MATCH(K409,Tabella!$G$1:$AB$1,0)-1))</f>
        <v>0</v>
      </c>
      <c r="S409" s="205">
        <f ca="1">IF(ISERROR(OFFSET(Ottone!$F$1,MATCH(J409,Ottone!$A:$A,0)-1,MATCH(K409,Ottone!$F$1:$FF$1,0)-1)=TRUE),0,OFFSET(Ottone!$F$1,MATCH(J409,Ottone!$A:$A,0)-1,MATCH(K409,Ottone!$F$1:$FF$1,0)-1))*IF(G409="Ottone",1,0)</f>
        <v>0</v>
      </c>
      <c r="T409" s="205">
        <f ca="1">IF(ISERROR(OFFSET(Rame!$F$1,MATCH(J409,Rame!$F:$F,0)-1,MATCH(K409,Rame!$F$1:$FF$1,0)-1)=TRUE),0,OFFSET(Rame!$F$1,MATCH(J409,Rame!$F:$F,0)-1,MATCH(K409,Rame!$F$1:$FF$1,0)-1))*IF(G409="Rame",1,0)</f>
        <v>0</v>
      </c>
      <c r="U409" s="205">
        <f ca="1">IF(ISERROR(OFFSET(Bronzo!$A$1,MATCH(J409,Bronzo!$A:$A,0)-1,MATCH(K409,Bronzo!$A$1:$AA$1,0)-1)=TRUE),0,OFFSET(Bronzo!$A$1,MATCH(J409,Bronzo!$A:$A,0)-1,MATCH(K409,Bronzo!$A$1:$AA$1,0)-1))</f>
        <v>0</v>
      </c>
      <c r="V409" s="205">
        <f t="shared" ca="1" si="190"/>
        <v>0</v>
      </c>
      <c r="W409" s="204"/>
      <c r="X409" s="205">
        <v>0</v>
      </c>
      <c r="Y409" s="206">
        <f t="shared" ca="1" si="191"/>
        <v>0</v>
      </c>
      <c r="Z409" s="277">
        <f t="shared" si="192"/>
        <v>0</v>
      </c>
      <c r="AA409" s="203"/>
      <c r="AB409" s="203">
        <f t="shared" ca="1" si="193"/>
        <v>0</v>
      </c>
      <c r="AC409" s="238"/>
      <c r="AI409" s="367">
        <f t="shared" ca="1" si="188"/>
        <v>46092</v>
      </c>
      <c r="AJ409" s="367" t="b">
        <f t="shared" si="182"/>
        <v>1</v>
      </c>
      <c r="AK409" s="370" t="str">
        <f t="shared" si="183"/>
        <v/>
      </c>
      <c r="AN409">
        <f t="shared" si="184"/>
        <v>0</v>
      </c>
      <c r="AO409">
        <f t="shared" si="185"/>
        <v>1900</v>
      </c>
      <c r="AV409">
        <f t="shared" si="186"/>
        <v>0</v>
      </c>
      <c r="AW409">
        <f t="shared" si="187"/>
        <v>0</v>
      </c>
    </row>
    <row r="410" spans="4:49" ht="15.75" x14ac:dyDescent="0.25">
      <c r="D410" s="199"/>
      <c r="E410" s="200"/>
      <c r="F410" s="287"/>
      <c r="G410" s="201"/>
      <c r="H410" s="219"/>
      <c r="I410" s="202"/>
      <c r="J410" s="200"/>
      <c r="K410" s="200"/>
      <c r="L410" s="203"/>
      <c r="M410" s="204">
        <f ca="1">IF(ISERROR(OFFSET(Tabella!$A$1,MATCH(J410,Tabella!$A:$A,0)-1,MATCH(L410,Tabella!$A$1:$AC$1,0)-1)=TRUE),0,+OFFSET(Tabella!$A$1,MATCH(J410,Tabella!$A:$A,0)-1,MATCH(L410,Tabella!$A$1:$AC$1,0)-1))</f>
        <v>0</v>
      </c>
      <c r="N410" s="205">
        <f ca="1">IF(ISERROR(OFFSET(Ottone!$A$1,MATCH(J410,Ottone!$A:$A,0)-1,MATCH(L410,Ottone!$A$1:$Z$1,0)-1)=TRUE),0,OFFSET(Ottone!$A$1,MATCH(J410,Ottone!$A:$A,0)-1,MATCH(L410,Ottone!$A$1:$Z$1,0)-1))*IF(G410="Ottone",1,0)</f>
        <v>0</v>
      </c>
      <c r="O410" s="205">
        <f ca="1">IF(ISERROR(OFFSET(Rame!$A$1,MATCH(J410,Rame!$A:$A,0)-1,MATCH(L410,Rame!$A$1:$AA$1,0)-1)=TRUE),0,OFFSET(Rame!$A$1,MATCH(J410,Rame!$A:$A,0)-1,MATCH(L410,Rame!$A$1:$AA$1,0)-1))*IF(G410="Rame",1,0)</f>
        <v>0</v>
      </c>
      <c r="P410" s="205">
        <v>0</v>
      </c>
      <c r="Q410" s="205">
        <f t="shared" ca="1" si="189"/>
        <v>0</v>
      </c>
      <c r="R410" s="205">
        <f ca="1">+IF(ISERROR(OFFSET(Tabella!$G$1,MATCH(J410,Tabella!$G:$G,0)-1,MATCH(K410,Tabella!$G$1:$FG$1,0)-1)=TRUE),0,OFFSET(Tabella!$G$1,MATCH(J410,Tabella!$G:$G,0)-1,MATCH(K410,Tabella!$G$1:$AB$1,0)-1))</f>
        <v>0</v>
      </c>
      <c r="S410" s="205">
        <f ca="1">IF(ISERROR(OFFSET(Ottone!$F$1,MATCH(J410,Ottone!$A:$A,0)-1,MATCH(K410,Ottone!$F$1:$FF$1,0)-1)=TRUE),0,OFFSET(Ottone!$F$1,MATCH(J410,Ottone!$A:$A,0)-1,MATCH(K410,Ottone!$F$1:$FF$1,0)-1))*IF(G410="Ottone",1,0)</f>
        <v>0</v>
      </c>
      <c r="T410" s="205">
        <f ca="1">IF(ISERROR(OFFSET(Rame!$F$1,MATCH(J410,Rame!$F:$F,0)-1,MATCH(K410,Rame!$F$1:$FF$1,0)-1)=TRUE),0,OFFSET(Rame!$F$1,MATCH(J410,Rame!$F:$F,0)-1,MATCH(K410,Rame!$F$1:$FF$1,0)-1))*IF(G410="Rame",1,0)</f>
        <v>0</v>
      </c>
      <c r="U410" s="205">
        <f ca="1">IF(ISERROR(OFFSET(Bronzo!$A$1,MATCH(J410,Bronzo!$A:$A,0)-1,MATCH(K410,Bronzo!$A$1:$AA$1,0)-1)=TRUE),0,OFFSET(Bronzo!$A$1,MATCH(J410,Bronzo!$A:$A,0)-1,MATCH(K410,Bronzo!$A$1:$AA$1,0)-1))</f>
        <v>0</v>
      </c>
      <c r="V410" s="205">
        <f t="shared" ca="1" si="190"/>
        <v>0</v>
      </c>
      <c r="W410" s="204"/>
      <c r="X410" s="205">
        <v>0</v>
      </c>
      <c r="Y410" s="206">
        <f t="shared" ca="1" si="191"/>
        <v>0</v>
      </c>
      <c r="Z410" s="277">
        <f t="shared" si="192"/>
        <v>0</v>
      </c>
      <c r="AA410" s="203"/>
      <c r="AB410" s="203">
        <f t="shared" ca="1" si="193"/>
        <v>0</v>
      </c>
      <c r="AC410" s="238"/>
      <c r="AI410" s="367">
        <f t="shared" ca="1" si="188"/>
        <v>46092</v>
      </c>
      <c r="AJ410" s="367" t="b">
        <f t="shared" si="182"/>
        <v>1</v>
      </c>
      <c r="AK410" s="370" t="str">
        <f t="shared" si="183"/>
        <v/>
      </c>
      <c r="AN410">
        <f t="shared" si="184"/>
        <v>0</v>
      </c>
      <c r="AO410">
        <f t="shared" si="185"/>
        <v>1900</v>
      </c>
      <c r="AV410">
        <f t="shared" si="186"/>
        <v>0</v>
      </c>
      <c r="AW410">
        <f t="shared" si="187"/>
        <v>0</v>
      </c>
    </row>
    <row r="411" spans="4:49" ht="15.75" x14ac:dyDescent="0.25">
      <c r="D411" s="199"/>
      <c r="E411" s="200"/>
      <c r="F411" s="287"/>
      <c r="G411" s="201"/>
      <c r="H411" s="219"/>
      <c r="I411" s="202"/>
      <c r="J411" s="200"/>
      <c r="K411" s="200"/>
      <c r="L411" s="203"/>
      <c r="M411" s="204">
        <f ca="1">IF(ISERROR(OFFSET(Tabella!$A$1,MATCH(J411,Tabella!$A:$A,0)-1,MATCH(L411,Tabella!$A$1:$AC$1,0)-1)=TRUE),0,+OFFSET(Tabella!$A$1,MATCH(J411,Tabella!$A:$A,0)-1,MATCH(L411,Tabella!$A$1:$AC$1,0)-1))</f>
        <v>0</v>
      </c>
      <c r="N411" s="205">
        <f ca="1">IF(ISERROR(OFFSET(Ottone!$A$1,MATCH(J411,Ottone!$A:$A,0)-1,MATCH(L411,Ottone!$A$1:$Z$1,0)-1)=TRUE),0,OFFSET(Ottone!$A$1,MATCH(J411,Ottone!$A:$A,0)-1,MATCH(L411,Ottone!$A$1:$Z$1,0)-1))*IF(G411="Ottone",1,0)</f>
        <v>0</v>
      </c>
      <c r="O411" s="205">
        <f ca="1">IF(ISERROR(OFFSET(Rame!$A$1,MATCH(J411,Rame!$A:$A,0)-1,MATCH(L411,Rame!$A$1:$AA$1,0)-1)=TRUE),0,OFFSET(Rame!$A$1,MATCH(J411,Rame!$A:$A,0)-1,MATCH(L411,Rame!$A$1:$AA$1,0)-1))*IF(G411="Rame",1,0)</f>
        <v>0</v>
      </c>
      <c r="P411" s="205">
        <v>0</v>
      </c>
      <c r="Q411" s="205">
        <f t="shared" ca="1" si="189"/>
        <v>0</v>
      </c>
      <c r="R411" s="205">
        <f ca="1">+IF(ISERROR(OFFSET(Tabella!$G$1,MATCH(J411,Tabella!$G:$G,0)-1,MATCH(K411,Tabella!$G$1:$FG$1,0)-1)=TRUE),0,OFFSET(Tabella!$G$1,MATCH(J411,Tabella!$G:$G,0)-1,MATCH(K411,Tabella!$G$1:$AB$1,0)-1))</f>
        <v>0</v>
      </c>
      <c r="S411" s="205">
        <f ca="1">IF(ISERROR(OFFSET(Ottone!$F$1,MATCH(J411,Ottone!$A:$A,0)-1,MATCH(K411,Ottone!$F$1:$FF$1,0)-1)=TRUE),0,OFFSET(Ottone!$F$1,MATCH(J411,Ottone!$A:$A,0)-1,MATCH(K411,Ottone!$F$1:$FF$1,0)-1))*IF(G411="Ottone",1,0)</f>
        <v>0</v>
      </c>
      <c r="T411" s="205">
        <f ca="1">IF(ISERROR(OFFSET(Rame!$F$1,MATCH(J411,Rame!$F:$F,0)-1,MATCH(K411,Rame!$F$1:$FF$1,0)-1)=TRUE),0,OFFSET(Rame!$F$1,MATCH(J411,Rame!$F:$F,0)-1,MATCH(K411,Rame!$F$1:$FF$1,0)-1))*IF(G411="Rame",1,0)</f>
        <v>0</v>
      </c>
      <c r="U411" s="205">
        <f ca="1">IF(ISERROR(OFFSET(Bronzo!$A$1,MATCH(J411,Bronzo!$A:$A,0)-1,MATCH(K411,Bronzo!$A$1:$AA$1,0)-1)=TRUE),0,OFFSET(Bronzo!$A$1,MATCH(J411,Bronzo!$A:$A,0)-1,MATCH(K411,Bronzo!$A$1:$AA$1,0)-1))</f>
        <v>0</v>
      </c>
      <c r="V411" s="205">
        <f t="shared" ca="1" si="190"/>
        <v>0</v>
      </c>
      <c r="W411" s="204"/>
      <c r="X411" s="205">
        <v>0</v>
      </c>
      <c r="Y411" s="206">
        <f t="shared" ca="1" si="191"/>
        <v>0</v>
      </c>
      <c r="Z411" s="277">
        <f t="shared" si="192"/>
        <v>0</v>
      </c>
      <c r="AA411" s="203"/>
      <c r="AB411" s="203">
        <f t="shared" ca="1" si="193"/>
        <v>0</v>
      </c>
      <c r="AC411" s="238"/>
      <c r="AI411" s="367">
        <f t="shared" ca="1" si="188"/>
        <v>46092</v>
      </c>
      <c r="AJ411" s="367" t="b">
        <f t="shared" si="182"/>
        <v>1</v>
      </c>
      <c r="AK411" s="370" t="str">
        <f t="shared" si="183"/>
        <v/>
      </c>
      <c r="AN411">
        <f t="shared" si="184"/>
        <v>0</v>
      </c>
      <c r="AO411">
        <f t="shared" si="185"/>
        <v>1900</v>
      </c>
      <c r="AV411">
        <f t="shared" si="186"/>
        <v>0</v>
      </c>
      <c r="AW411">
        <f t="shared" si="187"/>
        <v>0</v>
      </c>
    </row>
    <row r="412" spans="4:49" ht="15.75" x14ac:dyDescent="0.25">
      <c r="D412" s="199"/>
      <c r="E412" s="200"/>
      <c r="F412" s="287"/>
      <c r="G412" s="201"/>
      <c r="H412" s="219"/>
      <c r="I412" s="202"/>
      <c r="J412" s="200"/>
      <c r="K412" s="200"/>
      <c r="L412" s="203"/>
      <c r="M412" s="204">
        <f ca="1">IF(ISERROR(OFFSET(Tabella!$A$1,MATCH(J412,Tabella!$A:$A,0)-1,MATCH(L412,Tabella!$A$1:$AC$1,0)-1)=TRUE),0,+OFFSET(Tabella!$A$1,MATCH(J412,Tabella!$A:$A,0)-1,MATCH(L412,Tabella!$A$1:$AC$1,0)-1))</f>
        <v>0</v>
      </c>
      <c r="N412" s="205">
        <f ca="1">IF(ISERROR(OFFSET(Ottone!$A$1,MATCH(J412,Ottone!$A:$A,0)-1,MATCH(L412,Ottone!$A$1:$Z$1,0)-1)=TRUE),0,OFFSET(Ottone!$A$1,MATCH(J412,Ottone!$A:$A,0)-1,MATCH(L412,Ottone!$A$1:$Z$1,0)-1))*IF(G412="Ottone",1,0)</f>
        <v>0</v>
      </c>
      <c r="O412" s="205">
        <f ca="1">IF(ISERROR(OFFSET(Rame!$A$1,MATCH(J412,Rame!$A:$A,0)-1,MATCH(L412,Rame!$A$1:$AA$1,0)-1)=TRUE),0,OFFSET(Rame!$A$1,MATCH(J412,Rame!$A:$A,0)-1,MATCH(L412,Rame!$A$1:$AA$1,0)-1))*IF(G412="Rame",1,0)</f>
        <v>0</v>
      </c>
      <c r="P412" s="205">
        <v>0</v>
      </c>
      <c r="Q412" s="205">
        <f t="shared" ca="1" si="189"/>
        <v>0</v>
      </c>
      <c r="R412" s="205">
        <f ca="1">+IF(ISERROR(OFFSET(Tabella!$G$1,MATCH(J412,Tabella!$G:$G,0)-1,MATCH(K412,Tabella!$G$1:$FG$1,0)-1)=TRUE),0,OFFSET(Tabella!$G$1,MATCH(J412,Tabella!$G:$G,0)-1,MATCH(K412,Tabella!$G$1:$AB$1,0)-1))</f>
        <v>0</v>
      </c>
      <c r="S412" s="205">
        <f ca="1">IF(ISERROR(OFFSET(Ottone!$F$1,MATCH(J412,Ottone!$A:$A,0)-1,MATCH(K412,Ottone!$F$1:$FF$1,0)-1)=TRUE),0,OFFSET(Ottone!$F$1,MATCH(J412,Ottone!$A:$A,0)-1,MATCH(K412,Ottone!$F$1:$FF$1,0)-1))*IF(G412="Ottone",1,0)</f>
        <v>0</v>
      </c>
      <c r="T412" s="205">
        <f ca="1">IF(ISERROR(OFFSET(Rame!$F$1,MATCH(J412,Rame!$F:$F,0)-1,MATCH(K412,Rame!$F$1:$FF$1,0)-1)=TRUE),0,OFFSET(Rame!$F$1,MATCH(J412,Rame!$F:$F,0)-1,MATCH(K412,Rame!$F$1:$FF$1,0)-1))*IF(G412="Rame",1,0)</f>
        <v>0</v>
      </c>
      <c r="U412" s="205">
        <f ca="1">IF(ISERROR(OFFSET(Bronzo!$A$1,MATCH(J412,Bronzo!$A:$A,0)-1,MATCH(K412,Bronzo!$A$1:$AA$1,0)-1)=TRUE),0,OFFSET(Bronzo!$A$1,MATCH(J412,Bronzo!$A:$A,0)-1,MATCH(K412,Bronzo!$A$1:$AA$1,0)-1))</f>
        <v>0</v>
      </c>
      <c r="V412" s="205">
        <f t="shared" ca="1" si="190"/>
        <v>0</v>
      </c>
      <c r="W412" s="204"/>
      <c r="X412" s="205">
        <v>0</v>
      </c>
      <c r="Y412" s="206">
        <f t="shared" ca="1" si="191"/>
        <v>0</v>
      </c>
      <c r="Z412" s="277">
        <f t="shared" si="192"/>
        <v>0</v>
      </c>
      <c r="AA412" s="203"/>
      <c r="AB412" s="203">
        <f t="shared" ca="1" si="193"/>
        <v>0</v>
      </c>
      <c r="AC412" s="238"/>
      <c r="AI412" s="367">
        <f t="shared" ca="1" si="188"/>
        <v>46092</v>
      </c>
      <c r="AJ412" s="367" t="b">
        <f t="shared" si="182"/>
        <v>1</v>
      </c>
      <c r="AK412" s="370" t="str">
        <f t="shared" si="183"/>
        <v/>
      </c>
      <c r="AN412">
        <f t="shared" si="184"/>
        <v>0</v>
      </c>
      <c r="AO412">
        <f t="shared" si="185"/>
        <v>1900</v>
      </c>
      <c r="AV412">
        <f t="shared" si="186"/>
        <v>0</v>
      </c>
      <c r="AW412">
        <f t="shared" si="187"/>
        <v>0</v>
      </c>
    </row>
    <row r="413" spans="4:49" ht="15.75" x14ac:dyDescent="0.25">
      <c r="D413" s="199"/>
      <c r="E413" s="200"/>
      <c r="F413" s="287"/>
      <c r="G413" s="201"/>
      <c r="H413" s="219"/>
      <c r="I413" s="202"/>
      <c r="J413" s="200"/>
      <c r="K413" s="200"/>
      <c r="L413" s="203"/>
      <c r="M413" s="204">
        <f ca="1">IF(ISERROR(OFFSET(Tabella!$A$1,MATCH(J413,Tabella!$A:$A,0)-1,MATCH(L413,Tabella!$A$1:$AC$1,0)-1)=TRUE),0,+OFFSET(Tabella!$A$1,MATCH(J413,Tabella!$A:$A,0)-1,MATCH(L413,Tabella!$A$1:$AC$1,0)-1))</f>
        <v>0</v>
      </c>
      <c r="N413" s="205">
        <f ca="1">IF(ISERROR(OFFSET(Ottone!$A$1,MATCH(J413,Ottone!$A:$A,0)-1,MATCH(L413,Ottone!$A$1:$Z$1,0)-1)=TRUE),0,OFFSET(Ottone!$A$1,MATCH(J413,Ottone!$A:$A,0)-1,MATCH(L413,Ottone!$A$1:$Z$1,0)-1))*IF(G413="Ottone",1,0)</f>
        <v>0</v>
      </c>
      <c r="O413" s="205">
        <f ca="1">IF(ISERROR(OFFSET(Rame!$A$1,MATCH(J413,Rame!$A:$A,0)-1,MATCH(L413,Rame!$A$1:$AA$1,0)-1)=TRUE),0,OFFSET(Rame!$A$1,MATCH(J413,Rame!$A:$A,0)-1,MATCH(L413,Rame!$A$1:$AA$1,0)-1))*IF(G413="Rame",1,0)</f>
        <v>0</v>
      </c>
      <c r="P413" s="205">
        <v>0</v>
      </c>
      <c r="Q413" s="205">
        <f t="shared" ca="1" si="189"/>
        <v>0</v>
      </c>
      <c r="R413" s="205">
        <f ca="1">+IF(ISERROR(OFFSET(Tabella!$G$1,MATCH(J413,Tabella!$G:$G,0)-1,MATCH(K413,Tabella!$G$1:$FG$1,0)-1)=TRUE),0,OFFSET(Tabella!$G$1,MATCH(J413,Tabella!$G:$G,0)-1,MATCH(K413,Tabella!$G$1:$AB$1,0)-1))</f>
        <v>0</v>
      </c>
      <c r="S413" s="205">
        <f ca="1">IF(ISERROR(OFFSET(Ottone!$F$1,MATCH(J413,Ottone!$A:$A,0)-1,MATCH(K413,Ottone!$F$1:$FF$1,0)-1)=TRUE),0,OFFSET(Ottone!$F$1,MATCH(J413,Ottone!$A:$A,0)-1,MATCH(K413,Ottone!$F$1:$FF$1,0)-1))*IF(G413="Ottone",1,0)</f>
        <v>0</v>
      </c>
      <c r="T413" s="205">
        <f ca="1">IF(ISERROR(OFFSET(Rame!$F$1,MATCH(J413,Rame!$F:$F,0)-1,MATCH(K413,Rame!$F$1:$FF$1,0)-1)=TRUE),0,OFFSET(Rame!$F$1,MATCH(J413,Rame!$F:$F,0)-1,MATCH(K413,Rame!$F$1:$FF$1,0)-1))*IF(G413="Rame",1,0)</f>
        <v>0</v>
      </c>
      <c r="U413" s="205">
        <f ca="1">IF(ISERROR(OFFSET(Bronzo!$A$1,MATCH(J413,Bronzo!$A:$A,0)-1,MATCH(K413,Bronzo!$A$1:$AA$1,0)-1)=TRUE),0,OFFSET(Bronzo!$A$1,MATCH(J413,Bronzo!$A:$A,0)-1,MATCH(K413,Bronzo!$A$1:$AA$1,0)-1))</f>
        <v>0</v>
      </c>
      <c r="V413" s="205">
        <f t="shared" ca="1" si="190"/>
        <v>0</v>
      </c>
      <c r="W413" s="204"/>
      <c r="X413" s="205">
        <v>0</v>
      </c>
      <c r="Y413" s="206">
        <f t="shared" ca="1" si="191"/>
        <v>0</v>
      </c>
      <c r="Z413" s="277">
        <f t="shared" si="192"/>
        <v>0</v>
      </c>
      <c r="AA413" s="203"/>
      <c r="AB413" s="203">
        <f t="shared" ca="1" si="193"/>
        <v>0</v>
      </c>
      <c r="AC413" s="238"/>
      <c r="AI413" s="367">
        <f t="shared" ca="1" si="188"/>
        <v>46092</v>
      </c>
      <c r="AJ413" s="367" t="b">
        <f t="shared" si="182"/>
        <v>1</v>
      </c>
      <c r="AK413" s="370" t="str">
        <f t="shared" si="183"/>
        <v/>
      </c>
      <c r="AN413">
        <f t="shared" si="184"/>
        <v>0</v>
      </c>
      <c r="AO413">
        <f t="shared" si="185"/>
        <v>1900</v>
      </c>
      <c r="AV413">
        <f t="shared" si="186"/>
        <v>0</v>
      </c>
      <c r="AW413">
        <f t="shared" si="187"/>
        <v>0</v>
      </c>
    </row>
    <row r="414" spans="4:49" ht="15.75" x14ac:dyDescent="0.25">
      <c r="D414" s="199"/>
      <c r="E414" s="200"/>
      <c r="F414" s="287"/>
      <c r="G414" s="201"/>
      <c r="H414" s="219"/>
      <c r="I414" s="202"/>
      <c r="J414" s="200"/>
      <c r="K414" s="200"/>
      <c r="L414" s="203"/>
      <c r="M414" s="204">
        <f ca="1">IF(ISERROR(OFFSET(Tabella!$A$1,MATCH(J414,Tabella!$A:$A,0)-1,MATCH(L414,Tabella!$A$1:$AC$1,0)-1)=TRUE),0,+OFFSET(Tabella!$A$1,MATCH(J414,Tabella!$A:$A,0)-1,MATCH(L414,Tabella!$A$1:$AC$1,0)-1))</f>
        <v>0</v>
      </c>
      <c r="N414" s="205">
        <f ca="1">IF(ISERROR(OFFSET(Ottone!$A$1,MATCH(J414,Ottone!$A:$A,0)-1,MATCH(L414,Ottone!$A$1:$Z$1,0)-1)=TRUE),0,OFFSET(Ottone!$A$1,MATCH(J414,Ottone!$A:$A,0)-1,MATCH(L414,Ottone!$A$1:$Z$1,0)-1))*IF(G414="Ottone",1,0)</f>
        <v>0</v>
      </c>
      <c r="O414" s="205">
        <f ca="1">IF(ISERROR(OFFSET(Rame!$A$1,MATCH(J414,Rame!$A:$A,0)-1,MATCH(L414,Rame!$A$1:$AA$1,0)-1)=TRUE),0,OFFSET(Rame!$A$1,MATCH(J414,Rame!$A:$A,0)-1,MATCH(L414,Rame!$A$1:$AA$1,0)-1))*IF(G414="Rame",1,0)</f>
        <v>0</v>
      </c>
      <c r="P414" s="205">
        <v>0</v>
      </c>
      <c r="Q414" s="205">
        <f t="shared" ca="1" si="189"/>
        <v>0</v>
      </c>
      <c r="R414" s="205">
        <f ca="1">+IF(ISERROR(OFFSET(Tabella!$G$1,MATCH(J414,Tabella!$G:$G,0)-1,MATCH(K414,Tabella!$G$1:$FG$1,0)-1)=TRUE),0,OFFSET(Tabella!$G$1,MATCH(J414,Tabella!$G:$G,0)-1,MATCH(K414,Tabella!$G$1:$AB$1,0)-1))</f>
        <v>0</v>
      </c>
      <c r="S414" s="205">
        <f ca="1">IF(ISERROR(OFFSET(Ottone!$F$1,MATCH(J414,Ottone!$A:$A,0)-1,MATCH(K414,Ottone!$F$1:$FF$1,0)-1)=TRUE),0,OFFSET(Ottone!$F$1,MATCH(J414,Ottone!$A:$A,0)-1,MATCH(K414,Ottone!$F$1:$FF$1,0)-1))*IF(G414="Ottone",1,0)</f>
        <v>0</v>
      </c>
      <c r="T414" s="205">
        <f ca="1">IF(ISERROR(OFFSET(Rame!$F$1,MATCH(J414,Rame!$F:$F,0)-1,MATCH(K414,Rame!$F$1:$FF$1,0)-1)=TRUE),0,OFFSET(Rame!$F$1,MATCH(J414,Rame!$F:$F,0)-1,MATCH(K414,Rame!$F$1:$FF$1,0)-1))*IF(G414="Rame",1,0)</f>
        <v>0</v>
      </c>
      <c r="U414" s="205">
        <f ca="1">IF(ISERROR(OFFSET(Bronzo!$A$1,MATCH(J414,Bronzo!$A:$A,0)-1,MATCH(K414,Bronzo!$A$1:$AA$1,0)-1)=TRUE),0,OFFSET(Bronzo!$A$1,MATCH(J414,Bronzo!$A:$A,0)-1,MATCH(K414,Bronzo!$A$1:$AA$1,0)-1))</f>
        <v>0</v>
      </c>
      <c r="V414" s="205">
        <f t="shared" ca="1" si="190"/>
        <v>0</v>
      </c>
      <c r="W414" s="204"/>
      <c r="X414" s="205">
        <v>0</v>
      </c>
      <c r="Y414" s="206">
        <f t="shared" ca="1" si="191"/>
        <v>0</v>
      </c>
      <c r="Z414" s="277">
        <f t="shared" si="192"/>
        <v>0</v>
      </c>
      <c r="AA414" s="203"/>
      <c r="AB414" s="203">
        <f t="shared" ca="1" si="193"/>
        <v>0</v>
      </c>
      <c r="AC414" s="238"/>
      <c r="AI414" s="367">
        <f t="shared" ca="1" si="188"/>
        <v>46092</v>
      </c>
      <c r="AJ414" s="367" t="b">
        <f t="shared" si="182"/>
        <v>1</v>
      </c>
      <c r="AK414" s="370" t="str">
        <f t="shared" si="183"/>
        <v/>
      </c>
      <c r="AN414">
        <f t="shared" si="184"/>
        <v>0</v>
      </c>
      <c r="AO414">
        <f t="shared" si="185"/>
        <v>1900</v>
      </c>
      <c r="AV414">
        <f t="shared" si="186"/>
        <v>0</v>
      </c>
      <c r="AW414">
        <f t="shared" si="187"/>
        <v>0</v>
      </c>
    </row>
    <row r="415" spans="4:49" ht="15.75" x14ac:dyDescent="0.25">
      <c r="D415" s="199"/>
      <c r="E415" s="200"/>
      <c r="F415" s="287"/>
      <c r="G415" s="201"/>
      <c r="H415" s="219"/>
      <c r="I415" s="202"/>
      <c r="J415" s="200"/>
      <c r="K415" s="200"/>
      <c r="L415" s="203"/>
      <c r="M415" s="204">
        <f ca="1">IF(ISERROR(OFFSET(Tabella!$A$1,MATCH(J415,Tabella!$A:$A,0)-1,MATCH(L415,Tabella!$A$1:$AC$1,0)-1)=TRUE),0,+OFFSET(Tabella!$A$1,MATCH(J415,Tabella!$A:$A,0)-1,MATCH(L415,Tabella!$A$1:$AC$1,0)-1))</f>
        <v>0</v>
      </c>
      <c r="N415" s="205">
        <f ca="1">IF(ISERROR(OFFSET(Ottone!$A$1,MATCH(J415,Ottone!$A:$A,0)-1,MATCH(L415,Ottone!$A$1:$Z$1,0)-1)=TRUE),0,OFFSET(Ottone!$A$1,MATCH(J415,Ottone!$A:$A,0)-1,MATCH(L415,Ottone!$A$1:$Z$1,0)-1))*IF(G415="Ottone",1,0)</f>
        <v>0</v>
      </c>
      <c r="O415" s="205">
        <f ca="1">IF(ISERROR(OFFSET(Rame!$A$1,MATCH(J415,Rame!$A:$A,0)-1,MATCH(L415,Rame!$A$1:$AA$1,0)-1)=TRUE),0,OFFSET(Rame!$A$1,MATCH(J415,Rame!$A:$A,0)-1,MATCH(L415,Rame!$A$1:$AA$1,0)-1))*IF(G415="Rame",1,0)</f>
        <v>0</v>
      </c>
      <c r="P415" s="205">
        <v>0</v>
      </c>
      <c r="Q415" s="205">
        <f t="shared" ca="1" si="189"/>
        <v>0</v>
      </c>
      <c r="R415" s="205">
        <f ca="1">+IF(ISERROR(OFFSET(Tabella!$G$1,MATCH(J415,Tabella!$G:$G,0)-1,MATCH(K415,Tabella!$G$1:$FG$1,0)-1)=TRUE),0,OFFSET(Tabella!$G$1,MATCH(J415,Tabella!$G:$G,0)-1,MATCH(K415,Tabella!$G$1:$AB$1,0)-1))</f>
        <v>0</v>
      </c>
      <c r="S415" s="205">
        <f ca="1">IF(ISERROR(OFFSET(Ottone!$F$1,MATCH(J415,Ottone!$A:$A,0)-1,MATCH(K415,Ottone!$F$1:$FF$1,0)-1)=TRUE),0,OFFSET(Ottone!$F$1,MATCH(J415,Ottone!$A:$A,0)-1,MATCH(K415,Ottone!$F$1:$FF$1,0)-1))*IF(G415="Ottone",1,0)</f>
        <v>0</v>
      </c>
      <c r="T415" s="205">
        <f ca="1">IF(ISERROR(OFFSET(Rame!$F$1,MATCH(J415,Rame!$F:$F,0)-1,MATCH(K415,Rame!$F$1:$FF$1,0)-1)=TRUE),0,OFFSET(Rame!$F$1,MATCH(J415,Rame!$F:$F,0)-1,MATCH(K415,Rame!$F$1:$FF$1,0)-1))*IF(G415="Rame",1,0)</f>
        <v>0</v>
      </c>
      <c r="U415" s="205">
        <f ca="1">IF(ISERROR(OFFSET(Bronzo!$A$1,MATCH(J415,Bronzo!$A:$A,0)-1,MATCH(K415,Bronzo!$A$1:$AA$1,0)-1)=TRUE),0,OFFSET(Bronzo!$A$1,MATCH(J415,Bronzo!$A:$A,0)-1,MATCH(K415,Bronzo!$A$1:$AA$1,0)-1))</f>
        <v>0</v>
      </c>
      <c r="V415" s="205">
        <f t="shared" ca="1" si="190"/>
        <v>0</v>
      </c>
      <c r="W415" s="204"/>
      <c r="X415" s="205">
        <v>0</v>
      </c>
      <c r="Y415" s="206">
        <f t="shared" ca="1" si="191"/>
        <v>0</v>
      </c>
      <c r="Z415" s="277">
        <f t="shared" si="192"/>
        <v>0</v>
      </c>
      <c r="AA415" s="203"/>
      <c r="AB415" s="203">
        <f t="shared" ca="1" si="193"/>
        <v>0</v>
      </c>
      <c r="AC415" s="238"/>
      <c r="AI415" s="367">
        <f t="shared" ca="1" si="188"/>
        <v>46092</v>
      </c>
      <c r="AJ415" s="367" t="b">
        <f t="shared" si="182"/>
        <v>1</v>
      </c>
      <c r="AK415" s="370" t="str">
        <f t="shared" si="183"/>
        <v/>
      </c>
      <c r="AN415">
        <f t="shared" si="184"/>
        <v>0</v>
      </c>
      <c r="AO415">
        <f t="shared" si="185"/>
        <v>1900</v>
      </c>
      <c r="AV415">
        <f t="shared" si="186"/>
        <v>0</v>
      </c>
      <c r="AW415">
        <f t="shared" si="187"/>
        <v>0</v>
      </c>
    </row>
    <row r="416" spans="4:49" ht="15.75" x14ac:dyDescent="0.25">
      <c r="D416" s="199"/>
      <c r="E416" s="200"/>
      <c r="F416" s="287"/>
      <c r="G416" s="201"/>
      <c r="H416" s="219"/>
      <c r="I416" s="202"/>
      <c r="J416" s="200"/>
      <c r="K416" s="200"/>
      <c r="L416" s="203"/>
      <c r="M416" s="204">
        <f ca="1">IF(ISERROR(OFFSET(Tabella!$A$1,MATCH(J416,Tabella!$A:$A,0)-1,MATCH(L416,Tabella!$A$1:$AC$1,0)-1)=TRUE),0,+OFFSET(Tabella!$A$1,MATCH(J416,Tabella!$A:$A,0)-1,MATCH(L416,Tabella!$A$1:$AC$1,0)-1))</f>
        <v>0</v>
      </c>
      <c r="N416" s="205">
        <f ca="1">IF(ISERROR(OFFSET(Ottone!$A$1,MATCH(J416,Ottone!$A:$A,0)-1,MATCH(L416,Ottone!$A$1:$Z$1,0)-1)=TRUE),0,OFFSET(Ottone!$A$1,MATCH(J416,Ottone!$A:$A,0)-1,MATCH(L416,Ottone!$A$1:$Z$1,0)-1))*IF(G416="Ottone",1,0)</f>
        <v>0</v>
      </c>
      <c r="O416" s="205">
        <f ca="1">IF(ISERROR(OFFSET(Rame!$A$1,MATCH(J416,Rame!$A:$A,0)-1,MATCH(L416,Rame!$A$1:$AA$1,0)-1)=TRUE),0,OFFSET(Rame!$A$1,MATCH(J416,Rame!$A:$A,0)-1,MATCH(L416,Rame!$A$1:$AA$1,0)-1))*IF(G416="Rame",1,0)</f>
        <v>0</v>
      </c>
      <c r="P416" s="205">
        <v>0</v>
      </c>
      <c r="Q416" s="205">
        <f t="shared" ca="1" si="189"/>
        <v>0</v>
      </c>
      <c r="R416" s="205">
        <f ca="1">+IF(ISERROR(OFFSET(Tabella!$G$1,MATCH(J416,Tabella!$G:$G,0)-1,MATCH(K416,Tabella!$G$1:$FG$1,0)-1)=TRUE),0,OFFSET(Tabella!$G$1,MATCH(J416,Tabella!$G:$G,0)-1,MATCH(K416,Tabella!$G$1:$AB$1,0)-1))</f>
        <v>0</v>
      </c>
      <c r="S416" s="205">
        <f ca="1">IF(ISERROR(OFFSET(Ottone!$F$1,MATCH(J416,Ottone!$A:$A,0)-1,MATCH(K416,Ottone!$F$1:$FF$1,0)-1)=TRUE),0,OFFSET(Ottone!$F$1,MATCH(J416,Ottone!$A:$A,0)-1,MATCH(K416,Ottone!$F$1:$FF$1,0)-1))*IF(G416="Ottone",1,0)</f>
        <v>0</v>
      </c>
      <c r="T416" s="205">
        <f ca="1">IF(ISERROR(OFFSET(Rame!$F$1,MATCH(J416,Rame!$F:$F,0)-1,MATCH(K416,Rame!$F$1:$FF$1,0)-1)=TRUE),0,OFFSET(Rame!$F$1,MATCH(J416,Rame!$F:$F,0)-1,MATCH(K416,Rame!$F$1:$FF$1,0)-1))*IF(G416="Rame",1,0)</f>
        <v>0</v>
      </c>
      <c r="U416" s="205">
        <f ca="1">IF(ISERROR(OFFSET(Bronzo!$A$1,MATCH(J416,Bronzo!$A:$A,0)-1,MATCH(K416,Bronzo!$A$1:$AA$1,0)-1)=TRUE),0,OFFSET(Bronzo!$A$1,MATCH(J416,Bronzo!$A:$A,0)-1,MATCH(K416,Bronzo!$A$1:$AA$1,0)-1))</f>
        <v>0</v>
      </c>
      <c r="V416" s="205">
        <f t="shared" ca="1" si="190"/>
        <v>0</v>
      </c>
      <c r="W416" s="204"/>
      <c r="X416" s="205">
        <v>0</v>
      </c>
      <c r="Y416" s="206">
        <f t="shared" ca="1" si="191"/>
        <v>0</v>
      </c>
      <c r="Z416" s="277">
        <f t="shared" si="192"/>
        <v>0</v>
      </c>
      <c r="AA416" s="203"/>
      <c r="AB416" s="203">
        <f t="shared" ca="1" si="193"/>
        <v>0</v>
      </c>
      <c r="AC416" s="238"/>
      <c r="AI416" s="367">
        <f t="shared" ca="1" si="188"/>
        <v>46092</v>
      </c>
      <c r="AJ416" s="367" t="b">
        <f t="shared" ref="AJ416:AJ479" si="194">ISBLANK(AC416)</f>
        <v>1</v>
      </c>
      <c r="AK416" s="370" t="str">
        <f t="shared" ref="AK416:AK479" si="195">IF(AJ416=FALSE,_xlfn.DAYS(AC416,AI416),"")</f>
        <v/>
      </c>
      <c r="AN416">
        <f t="shared" ref="AN416:AN479" si="196">WEEKNUM(AC416)</f>
        <v>0</v>
      </c>
      <c r="AO416">
        <f t="shared" ref="AO416:AO479" si="197">YEAR(AC416)</f>
        <v>1900</v>
      </c>
      <c r="AV416">
        <f t="shared" ref="AV416:AV479" si="198">IF(AC416="",0,MONTH(AC416))</f>
        <v>0</v>
      </c>
      <c r="AW416">
        <f t="shared" ref="AW416:AW479" si="199">IF(AC416="",0,YEAR(AC416))</f>
        <v>0</v>
      </c>
    </row>
    <row r="417" spans="4:49" ht="15.75" x14ac:dyDescent="0.25">
      <c r="D417" s="199"/>
      <c r="E417" s="200"/>
      <c r="F417" s="287"/>
      <c r="G417" s="201"/>
      <c r="H417" s="219"/>
      <c r="I417" s="202"/>
      <c r="J417" s="200"/>
      <c r="K417" s="200"/>
      <c r="L417" s="203"/>
      <c r="M417" s="204">
        <f ca="1">IF(ISERROR(OFFSET(Tabella!$A$1,MATCH(J417,Tabella!$A:$A,0)-1,MATCH(L417,Tabella!$A$1:$AC$1,0)-1)=TRUE),0,+OFFSET(Tabella!$A$1,MATCH(J417,Tabella!$A:$A,0)-1,MATCH(L417,Tabella!$A$1:$AC$1,0)-1))</f>
        <v>0</v>
      </c>
      <c r="N417" s="205">
        <f ca="1">IF(ISERROR(OFFSET(Ottone!$A$1,MATCH(J417,Ottone!$A:$A,0)-1,MATCH(L417,Ottone!$A$1:$Z$1,0)-1)=TRUE),0,OFFSET(Ottone!$A$1,MATCH(J417,Ottone!$A:$A,0)-1,MATCH(L417,Ottone!$A$1:$Z$1,0)-1))*IF(G417="Ottone",1,0)</f>
        <v>0</v>
      </c>
      <c r="O417" s="205">
        <f ca="1">IF(ISERROR(OFFSET(Rame!$A$1,MATCH(J417,Rame!$A:$A,0)-1,MATCH(L417,Rame!$A$1:$AA$1,0)-1)=TRUE),0,OFFSET(Rame!$A$1,MATCH(J417,Rame!$A:$A,0)-1,MATCH(L417,Rame!$A$1:$AA$1,0)-1))*IF(G417="Rame",1,0)</f>
        <v>0</v>
      </c>
      <c r="P417" s="205">
        <v>0</v>
      </c>
      <c r="Q417" s="205">
        <f t="shared" ca="1" si="189"/>
        <v>0</v>
      </c>
      <c r="R417" s="205">
        <f ca="1">+IF(ISERROR(OFFSET(Tabella!$G$1,MATCH(J417,Tabella!$G:$G,0)-1,MATCH(K417,Tabella!$G$1:$FG$1,0)-1)=TRUE),0,OFFSET(Tabella!$G$1,MATCH(J417,Tabella!$G:$G,0)-1,MATCH(K417,Tabella!$G$1:$AB$1,0)-1))</f>
        <v>0</v>
      </c>
      <c r="S417" s="205">
        <f ca="1">IF(ISERROR(OFFSET(Ottone!$F$1,MATCH(J417,Ottone!$A:$A,0)-1,MATCH(K417,Ottone!$F$1:$FF$1,0)-1)=TRUE),0,OFFSET(Ottone!$F$1,MATCH(J417,Ottone!$A:$A,0)-1,MATCH(K417,Ottone!$F$1:$FF$1,0)-1))*IF(G417="Ottone",1,0)</f>
        <v>0</v>
      </c>
      <c r="T417" s="205">
        <f ca="1">IF(ISERROR(OFFSET(Rame!$F$1,MATCH(J417,Rame!$F:$F,0)-1,MATCH(K417,Rame!$F$1:$FF$1,0)-1)=TRUE),0,OFFSET(Rame!$F$1,MATCH(J417,Rame!$F:$F,0)-1,MATCH(K417,Rame!$F$1:$FF$1,0)-1))*IF(G417="Rame",1,0)</f>
        <v>0</v>
      </c>
      <c r="U417" s="205">
        <f ca="1">IF(ISERROR(OFFSET(Bronzo!$A$1,MATCH(J417,Bronzo!$A:$A,0)-1,MATCH(K417,Bronzo!$A$1:$AA$1,0)-1)=TRUE),0,OFFSET(Bronzo!$A$1,MATCH(J417,Bronzo!$A:$A,0)-1,MATCH(K417,Bronzo!$A$1:$AA$1,0)-1))</f>
        <v>0</v>
      </c>
      <c r="V417" s="205">
        <f t="shared" ca="1" si="190"/>
        <v>0</v>
      </c>
      <c r="W417" s="204"/>
      <c r="X417" s="205">
        <v>0</v>
      </c>
      <c r="Y417" s="206">
        <f t="shared" ca="1" si="191"/>
        <v>0</v>
      </c>
      <c r="Z417" s="277">
        <f t="shared" si="192"/>
        <v>0</v>
      </c>
      <c r="AA417" s="203"/>
      <c r="AB417" s="203">
        <f t="shared" ca="1" si="193"/>
        <v>0</v>
      </c>
      <c r="AC417" s="238"/>
      <c r="AI417" s="367">
        <f t="shared" ca="1" si="188"/>
        <v>46092</v>
      </c>
      <c r="AJ417" s="367" t="b">
        <f t="shared" si="194"/>
        <v>1</v>
      </c>
      <c r="AK417" s="370" t="str">
        <f t="shared" si="195"/>
        <v/>
      </c>
      <c r="AN417">
        <f t="shared" si="196"/>
        <v>0</v>
      </c>
      <c r="AO417">
        <f t="shared" si="197"/>
        <v>1900</v>
      </c>
      <c r="AV417">
        <f t="shared" si="198"/>
        <v>0</v>
      </c>
      <c r="AW417">
        <f t="shared" si="199"/>
        <v>0</v>
      </c>
    </row>
    <row r="418" spans="4:49" ht="15.75" x14ac:dyDescent="0.25">
      <c r="D418" s="199"/>
      <c r="E418" s="200"/>
      <c r="F418" s="287"/>
      <c r="G418" s="201"/>
      <c r="H418" s="219"/>
      <c r="I418" s="202"/>
      <c r="J418" s="200"/>
      <c r="K418" s="200"/>
      <c r="L418" s="203"/>
      <c r="M418" s="204">
        <f ca="1">IF(ISERROR(OFFSET(Tabella!$A$1,MATCH(J418,Tabella!$A:$A,0)-1,MATCH(L418,Tabella!$A$1:$AC$1,0)-1)=TRUE),0,+OFFSET(Tabella!$A$1,MATCH(J418,Tabella!$A:$A,0)-1,MATCH(L418,Tabella!$A$1:$AC$1,0)-1))</f>
        <v>0</v>
      </c>
      <c r="N418" s="205">
        <f ca="1">IF(ISERROR(OFFSET(Ottone!$A$1,MATCH(J418,Ottone!$A:$A,0)-1,MATCH(L418,Ottone!$A$1:$Z$1,0)-1)=TRUE),0,OFFSET(Ottone!$A$1,MATCH(J418,Ottone!$A:$A,0)-1,MATCH(L418,Ottone!$A$1:$Z$1,0)-1))*IF(G418="Ottone",1,0)</f>
        <v>0</v>
      </c>
      <c r="O418" s="205">
        <f ca="1">IF(ISERROR(OFFSET(Rame!$A$1,MATCH(J418,Rame!$A:$A,0)-1,MATCH(L418,Rame!$A$1:$AA$1,0)-1)=TRUE),0,OFFSET(Rame!$A$1,MATCH(J418,Rame!$A:$A,0)-1,MATCH(L418,Rame!$A$1:$AA$1,0)-1))*IF(G418="Rame",1,0)</f>
        <v>0</v>
      </c>
      <c r="P418" s="205">
        <v>0</v>
      </c>
      <c r="Q418" s="205">
        <f t="shared" ca="1" si="189"/>
        <v>0</v>
      </c>
      <c r="R418" s="205">
        <f ca="1">+IF(ISERROR(OFFSET(Tabella!$G$1,MATCH(J418,Tabella!$G:$G,0)-1,MATCH(K418,Tabella!$G$1:$FG$1,0)-1)=TRUE),0,OFFSET(Tabella!$G$1,MATCH(J418,Tabella!$G:$G,0)-1,MATCH(K418,Tabella!$G$1:$AB$1,0)-1))</f>
        <v>0</v>
      </c>
      <c r="S418" s="205">
        <f ca="1">IF(ISERROR(OFFSET(Ottone!$F$1,MATCH(J418,Ottone!$A:$A,0)-1,MATCH(K418,Ottone!$F$1:$FF$1,0)-1)=TRUE),0,OFFSET(Ottone!$F$1,MATCH(J418,Ottone!$A:$A,0)-1,MATCH(K418,Ottone!$F$1:$FF$1,0)-1))*IF(G418="Ottone",1,0)</f>
        <v>0</v>
      </c>
      <c r="T418" s="205">
        <f ca="1">IF(ISERROR(OFFSET(Rame!$F$1,MATCH(J418,Rame!$F:$F,0)-1,MATCH(K418,Rame!$F$1:$FF$1,0)-1)=TRUE),0,OFFSET(Rame!$F$1,MATCH(J418,Rame!$F:$F,0)-1,MATCH(K418,Rame!$F$1:$FF$1,0)-1))*IF(G418="Rame",1,0)</f>
        <v>0</v>
      </c>
      <c r="U418" s="205">
        <f ca="1">IF(ISERROR(OFFSET(Bronzo!$A$1,MATCH(J418,Bronzo!$A:$A,0)-1,MATCH(K418,Bronzo!$A$1:$AA$1,0)-1)=TRUE),0,OFFSET(Bronzo!$A$1,MATCH(J418,Bronzo!$A:$A,0)-1,MATCH(K418,Bronzo!$A$1:$AA$1,0)-1))</f>
        <v>0</v>
      </c>
      <c r="V418" s="205">
        <f t="shared" ca="1" si="190"/>
        <v>0</v>
      </c>
      <c r="W418" s="204"/>
      <c r="X418" s="205">
        <v>0</v>
      </c>
      <c r="Y418" s="206">
        <f t="shared" ca="1" si="191"/>
        <v>0</v>
      </c>
      <c r="Z418" s="277">
        <f t="shared" si="192"/>
        <v>0</v>
      </c>
      <c r="AA418" s="203"/>
      <c r="AB418" s="203">
        <f t="shared" ca="1" si="193"/>
        <v>0</v>
      </c>
      <c r="AC418" s="238"/>
      <c r="AI418" s="367">
        <f t="shared" ca="1" si="188"/>
        <v>46092</v>
      </c>
      <c r="AJ418" s="367" t="b">
        <f t="shared" si="194"/>
        <v>1</v>
      </c>
      <c r="AK418" s="370" t="str">
        <f t="shared" si="195"/>
        <v/>
      </c>
      <c r="AN418">
        <f t="shared" si="196"/>
        <v>0</v>
      </c>
      <c r="AO418">
        <f t="shared" si="197"/>
        <v>1900</v>
      </c>
      <c r="AV418">
        <f t="shared" si="198"/>
        <v>0</v>
      </c>
      <c r="AW418">
        <f t="shared" si="199"/>
        <v>0</v>
      </c>
    </row>
    <row r="419" spans="4:49" ht="15.75" x14ac:dyDescent="0.25">
      <c r="D419" s="199"/>
      <c r="E419" s="200"/>
      <c r="F419" s="287"/>
      <c r="G419" s="201"/>
      <c r="H419" s="219"/>
      <c r="I419" s="202"/>
      <c r="J419" s="200"/>
      <c r="K419" s="200"/>
      <c r="L419" s="203"/>
      <c r="M419" s="204">
        <f ca="1">IF(ISERROR(OFFSET(Tabella!$A$1,MATCH(J419,Tabella!$A:$A,0)-1,MATCH(L419,Tabella!$A$1:$AC$1,0)-1)=TRUE),0,+OFFSET(Tabella!$A$1,MATCH(J419,Tabella!$A:$A,0)-1,MATCH(L419,Tabella!$A$1:$AC$1,0)-1))</f>
        <v>0</v>
      </c>
      <c r="N419" s="205">
        <f ca="1">IF(ISERROR(OFFSET(Ottone!$A$1,MATCH(J419,Ottone!$A:$A,0)-1,MATCH(L419,Ottone!$A$1:$Z$1,0)-1)=TRUE),0,OFFSET(Ottone!$A$1,MATCH(J419,Ottone!$A:$A,0)-1,MATCH(L419,Ottone!$A$1:$Z$1,0)-1))*IF(G419="Ottone",1,0)</f>
        <v>0</v>
      </c>
      <c r="O419" s="205">
        <f ca="1">IF(ISERROR(OFFSET(Rame!$A$1,MATCH(J419,Rame!$A:$A,0)-1,MATCH(L419,Rame!$A$1:$AA$1,0)-1)=TRUE),0,OFFSET(Rame!$A$1,MATCH(J419,Rame!$A:$A,0)-1,MATCH(L419,Rame!$A$1:$AA$1,0)-1))*IF(G419="Rame",1,0)</f>
        <v>0</v>
      </c>
      <c r="P419" s="205">
        <v>0</v>
      </c>
      <c r="Q419" s="205">
        <f t="shared" ca="1" si="189"/>
        <v>0</v>
      </c>
      <c r="R419" s="205">
        <f ca="1">+IF(ISERROR(OFFSET(Tabella!$G$1,MATCH(J419,Tabella!$G:$G,0)-1,MATCH(K419,Tabella!$G$1:$FG$1,0)-1)=TRUE),0,OFFSET(Tabella!$G$1,MATCH(J419,Tabella!$G:$G,0)-1,MATCH(K419,Tabella!$G$1:$AB$1,0)-1))</f>
        <v>0</v>
      </c>
      <c r="S419" s="205">
        <f ca="1">IF(ISERROR(OFFSET(Ottone!$F$1,MATCH(J419,Ottone!$A:$A,0)-1,MATCH(K419,Ottone!$F$1:$FF$1,0)-1)=TRUE),0,OFFSET(Ottone!$F$1,MATCH(J419,Ottone!$A:$A,0)-1,MATCH(K419,Ottone!$F$1:$FF$1,0)-1))*IF(G419="Ottone",1,0)</f>
        <v>0</v>
      </c>
      <c r="T419" s="205">
        <f ca="1">IF(ISERROR(OFFSET(Rame!$F$1,MATCH(J419,Rame!$F:$F,0)-1,MATCH(K419,Rame!$F$1:$FF$1,0)-1)=TRUE),0,OFFSET(Rame!$F$1,MATCH(J419,Rame!$F:$F,0)-1,MATCH(K419,Rame!$F$1:$FF$1,0)-1))*IF(G419="Rame",1,0)</f>
        <v>0</v>
      </c>
      <c r="U419" s="205">
        <f ca="1">IF(ISERROR(OFFSET(Bronzo!$A$1,MATCH(J419,Bronzo!$A:$A,0)-1,MATCH(K419,Bronzo!$A$1:$AA$1,0)-1)=TRUE),0,OFFSET(Bronzo!$A$1,MATCH(J419,Bronzo!$A:$A,0)-1,MATCH(K419,Bronzo!$A$1:$AA$1,0)-1))</f>
        <v>0</v>
      </c>
      <c r="V419" s="205">
        <f t="shared" ca="1" si="190"/>
        <v>0</v>
      </c>
      <c r="W419" s="204"/>
      <c r="X419" s="205">
        <v>0</v>
      </c>
      <c r="Y419" s="206">
        <f t="shared" ca="1" si="191"/>
        <v>0</v>
      </c>
      <c r="Z419" s="277">
        <f t="shared" si="192"/>
        <v>0</v>
      </c>
      <c r="AA419" s="203"/>
      <c r="AB419" s="203">
        <f t="shared" ca="1" si="193"/>
        <v>0</v>
      </c>
      <c r="AC419" s="238"/>
      <c r="AI419" s="367">
        <f t="shared" ca="1" si="188"/>
        <v>46092</v>
      </c>
      <c r="AJ419" s="367" t="b">
        <f t="shared" si="194"/>
        <v>1</v>
      </c>
      <c r="AK419" s="370" t="str">
        <f t="shared" si="195"/>
        <v/>
      </c>
      <c r="AN419">
        <f t="shared" si="196"/>
        <v>0</v>
      </c>
      <c r="AO419">
        <f t="shared" si="197"/>
        <v>1900</v>
      </c>
      <c r="AV419">
        <f t="shared" si="198"/>
        <v>0</v>
      </c>
      <c r="AW419">
        <f t="shared" si="199"/>
        <v>0</v>
      </c>
    </row>
    <row r="420" spans="4:49" ht="15.75" x14ac:dyDescent="0.25">
      <c r="D420" s="199"/>
      <c r="E420" s="200"/>
      <c r="F420" s="287"/>
      <c r="G420" s="201"/>
      <c r="H420" s="219"/>
      <c r="I420" s="202"/>
      <c r="J420" s="200"/>
      <c r="K420" s="200"/>
      <c r="L420" s="203"/>
      <c r="M420" s="204">
        <f ca="1">IF(ISERROR(OFFSET(Tabella!$A$1,MATCH(J420,Tabella!$A:$A,0)-1,MATCH(L420,Tabella!$A$1:$AC$1,0)-1)=TRUE),0,+OFFSET(Tabella!$A$1,MATCH(J420,Tabella!$A:$A,0)-1,MATCH(L420,Tabella!$A$1:$AC$1,0)-1))</f>
        <v>0</v>
      </c>
      <c r="N420" s="205">
        <f ca="1">IF(ISERROR(OFFSET(Ottone!$A$1,MATCH(J420,Ottone!$A:$A,0)-1,MATCH(L420,Ottone!$A$1:$Z$1,0)-1)=TRUE),0,OFFSET(Ottone!$A$1,MATCH(J420,Ottone!$A:$A,0)-1,MATCH(L420,Ottone!$A$1:$Z$1,0)-1))*IF(G420="Ottone",1,0)</f>
        <v>0</v>
      </c>
      <c r="O420" s="205">
        <f ca="1">IF(ISERROR(OFFSET(Rame!$A$1,MATCH(J420,Rame!$A:$A,0)-1,MATCH(L420,Rame!$A$1:$AA$1,0)-1)=TRUE),0,OFFSET(Rame!$A$1,MATCH(J420,Rame!$A:$A,0)-1,MATCH(L420,Rame!$A$1:$AA$1,0)-1))*IF(G420="Rame",1,0)</f>
        <v>0</v>
      </c>
      <c r="P420" s="205">
        <v>0</v>
      </c>
      <c r="Q420" s="205">
        <f t="shared" ca="1" si="189"/>
        <v>0</v>
      </c>
      <c r="R420" s="205">
        <f ca="1">+IF(ISERROR(OFFSET(Tabella!$G$1,MATCH(J420,Tabella!$G:$G,0)-1,MATCH(K420,Tabella!$G$1:$FG$1,0)-1)=TRUE),0,OFFSET(Tabella!$G$1,MATCH(J420,Tabella!$G:$G,0)-1,MATCH(K420,Tabella!$G$1:$AB$1,0)-1))</f>
        <v>0</v>
      </c>
      <c r="S420" s="205">
        <f ca="1">IF(ISERROR(OFFSET(Ottone!$F$1,MATCH(J420,Ottone!$A:$A,0)-1,MATCH(K420,Ottone!$F$1:$FF$1,0)-1)=TRUE),0,OFFSET(Ottone!$F$1,MATCH(J420,Ottone!$A:$A,0)-1,MATCH(K420,Ottone!$F$1:$FF$1,0)-1))*IF(G420="Ottone",1,0)</f>
        <v>0</v>
      </c>
      <c r="T420" s="205">
        <f ca="1">IF(ISERROR(OFFSET(Rame!$F$1,MATCH(J420,Rame!$F:$F,0)-1,MATCH(K420,Rame!$F$1:$FF$1,0)-1)=TRUE),0,OFFSET(Rame!$F$1,MATCH(J420,Rame!$F:$F,0)-1,MATCH(K420,Rame!$F$1:$FF$1,0)-1))*IF(G420="Rame",1,0)</f>
        <v>0</v>
      </c>
      <c r="U420" s="205">
        <f ca="1">IF(ISERROR(OFFSET(Bronzo!$A$1,MATCH(J420,Bronzo!$A:$A,0)-1,MATCH(K420,Bronzo!$A$1:$AA$1,0)-1)=TRUE),0,OFFSET(Bronzo!$A$1,MATCH(J420,Bronzo!$A:$A,0)-1,MATCH(K420,Bronzo!$A$1:$AA$1,0)-1))</f>
        <v>0</v>
      </c>
      <c r="V420" s="205">
        <f t="shared" ca="1" si="190"/>
        <v>0</v>
      </c>
      <c r="W420" s="204"/>
      <c r="X420" s="205">
        <v>0</v>
      </c>
      <c r="Y420" s="206">
        <f t="shared" ca="1" si="191"/>
        <v>0</v>
      </c>
      <c r="Z420" s="277">
        <f t="shared" si="192"/>
        <v>0</v>
      </c>
      <c r="AA420" s="203"/>
      <c r="AB420" s="203">
        <f t="shared" ca="1" si="193"/>
        <v>0</v>
      </c>
      <c r="AC420" s="238"/>
      <c r="AI420" s="367">
        <f t="shared" ca="1" si="188"/>
        <v>46092</v>
      </c>
      <c r="AJ420" s="367" t="b">
        <f t="shared" si="194"/>
        <v>1</v>
      </c>
      <c r="AK420" s="370" t="str">
        <f t="shared" si="195"/>
        <v/>
      </c>
      <c r="AN420">
        <f t="shared" si="196"/>
        <v>0</v>
      </c>
      <c r="AO420">
        <f t="shared" si="197"/>
        <v>1900</v>
      </c>
      <c r="AV420">
        <f t="shared" si="198"/>
        <v>0</v>
      </c>
      <c r="AW420">
        <f t="shared" si="199"/>
        <v>0</v>
      </c>
    </row>
    <row r="421" spans="4:49" ht="15.75" x14ac:dyDescent="0.25">
      <c r="D421" s="199"/>
      <c r="E421" s="200"/>
      <c r="F421" s="287"/>
      <c r="G421" s="201"/>
      <c r="H421" s="219"/>
      <c r="I421" s="202"/>
      <c r="J421" s="200"/>
      <c r="K421" s="200"/>
      <c r="L421" s="203"/>
      <c r="M421" s="204">
        <f ca="1">IF(ISERROR(OFFSET(Tabella!$A$1,MATCH(J421,Tabella!$A:$A,0)-1,MATCH(L421,Tabella!$A$1:$AC$1,0)-1)=TRUE),0,+OFFSET(Tabella!$A$1,MATCH(J421,Tabella!$A:$A,0)-1,MATCH(L421,Tabella!$A$1:$AC$1,0)-1))</f>
        <v>0</v>
      </c>
      <c r="N421" s="205">
        <f ca="1">IF(ISERROR(OFFSET(Ottone!$A$1,MATCH(J421,Ottone!$A:$A,0)-1,MATCH(L421,Ottone!$A$1:$Z$1,0)-1)=TRUE),0,OFFSET(Ottone!$A$1,MATCH(J421,Ottone!$A:$A,0)-1,MATCH(L421,Ottone!$A$1:$Z$1,0)-1))*IF(G421="Ottone",1,0)</f>
        <v>0</v>
      </c>
      <c r="O421" s="205">
        <f ca="1">IF(ISERROR(OFFSET(Rame!$A$1,MATCH(J421,Rame!$A:$A,0)-1,MATCH(L421,Rame!$A$1:$AA$1,0)-1)=TRUE),0,OFFSET(Rame!$A$1,MATCH(J421,Rame!$A:$A,0)-1,MATCH(L421,Rame!$A$1:$AA$1,0)-1))*IF(G421="Rame",1,0)</f>
        <v>0</v>
      </c>
      <c r="P421" s="205">
        <v>0</v>
      </c>
      <c r="Q421" s="205">
        <f t="shared" ca="1" si="189"/>
        <v>0</v>
      </c>
      <c r="R421" s="205">
        <f ca="1">+IF(ISERROR(OFFSET(Tabella!$G$1,MATCH(J421,Tabella!$G:$G,0)-1,MATCH(K421,Tabella!$G$1:$FG$1,0)-1)=TRUE),0,OFFSET(Tabella!$G$1,MATCH(J421,Tabella!$G:$G,0)-1,MATCH(K421,Tabella!$G$1:$AB$1,0)-1))</f>
        <v>0</v>
      </c>
      <c r="S421" s="205">
        <f ca="1">IF(ISERROR(OFFSET(Ottone!$F$1,MATCH(J421,Ottone!$A:$A,0)-1,MATCH(K421,Ottone!$F$1:$FF$1,0)-1)=TRUE),0,OFFSET(Ottone!$F$1,MATCH(J421,Ottone!$A:$A,0)-1,MATCH(K421,Ottone!$F$1:$FF$1,0)-1))*IF(G421="Ottone",1,0)</f>
        <v>0</v>
      </c>
      <c r="T421" s="205">
        <f ca="1">IF(ISERROR(OFFSET(Rame!$F$1,MATCH(J421,Rame!$F:$F,0)-1,MATCH(K421,Rame!$F$1:$FF$1,0)-1)=TRUE),0,OFFSET(Rame!$F$1,MATCH(J421,Rame!$F:$F,0)-1,MATCH(K421,Rame!$F$1:$FF$1,0)-1))*IF(G421="Rame",1,0)</f>
        <v>0</v>
      </c>
      <c r="U421" s="205">
        <f ca="1">IF(ISERROR(OFFSET(Bronzo!$A$1,MATCH(J421,Bronzo!$A:$A,0)-1,MATCH(K421,Bronzo!$A$1:$AA$1,0)-1)=TRUE),0,OFFSET(Bronzo!$A$1,MATCH(J421,Bronzo!$A:$A,0)-1,MATCH(K421,Bronzo!$A$1:$AA$1,0)-1))</f>
        <v>0</v>
      </c>
      <c r="V421" s="205">
        <f t="shared" ca="1" si="190"/>
        <v>0</v>
      </c>
      <c r="W421" s="204"/>
      <c r="X421" s="205">
        <v>0</v>
      </c>
      <c r="Y421" s="206">
        <f t="shared" ca="1" si="191"/>
        <v>0</v>
      </c>
      <c r="Z421" s="277">
        <f t="shared" si="192"/>
        <v>0</v>
      </c>
      <c r="AA421" s="203"/>
      <c r="AB421" s="203">
        <f t="shared" ca="1" si="193"/>
        <v>0</v>
      </c>
      <c r="AC421" s="238"/>
      <c r="AI421" s="367">
        <f t="shared" ca="1" si="188"/>
        <v>46092</v>
      </c>
      <c r="AJ421" s="367" t="b">
        <f t="shared" si="194"/>
        <v>1</v>
      </c>
      <c r="AK421" s="370" t="str">
        <f t="shared" si="195"/>
        <v/>
      </c>
      <c r="AN421">
        <f t="shared" si="196"/>
        <v>0</v>
      </c>
      <c r="AO421">
        <f t="shared" si="197"/>
        <v>1900</v>
      </c>
      <c r="AV421">
        <f t="shared" si="198"/>
        <v>0</v>
      </c>
      <c r="AW421">
        <f t="shared" si="199"/>
        <v>0</v>
      </c>
    </row>
    <row r="422" spans="4:49" ht="15.75" x14ac:dyDescent="0.25">
      <c r="D422" s="199"/>
      <c r="E422" s="200"/>
      <c r="F422" s="287"/>
      <c r="G422" s="201"/>
      <c r="H422" s="219"/>
      <c r="I422" s="202"/>
      <c r="J422" s="200"/>
      <c r="K422" s="200"/>
      <c r="L422" s="203"/>
      <c r="M422" s="204">
        <f ca="1">IF(ISERROR(OFFSET(Tabella!$A$1,MATCH(J422,Tabella!$A:$A,0)-1,MATCH(L422,Tabella!$A$1:$AC$1,0)-1)=TRUE),0,+OFFSET(Tabella!$A$1,MATCH(J422,Tabella!$A:$A,0)-1,MATCH(L422,Tabella!$A$1:$AC$1,0)-1))</f>
        <v>0</v>
      </c>
      <c r="N422" s="205">
        <f ca="1">IF(ISERROR(OFFSET(Ottone!$A$1,MATCH(J422,Ottone!$A:$A,0)-1,MATCH(L422,Ottone!$A$1:$Z$1,0)-1)=TRUE),0,OFFSET(Ottone!$A$1,MATCH(J422,Ottone!$A:$A,0)-1,MATCH(L422,Ottone!$A$1:$Z$1,0)-1))*IF(G422="Ottone",1,0)</f>
        <v>0</v>
      </c>
      <c r="O422" s="205">
        <f ca="1">IF(ISERROR(OFFSET(Rame!$A$1,MATCH(J422,Rame!$A:$A,0)-1,MATCH(L422,Rame!$A$1:$AA$1,0)-1)=TRUE),0,OFFSET(Rame!$A$1,MATCH(J422,Rame!$A:$A,0)-1,MATCH(L422,Rame!$A$1:$AA$1,0)-1))*IF(G422="Rame",1,0)</f>
        <v>0</v>
      </c>
      <c r="P422" s="205">
        <v>0</v>
      </c>
      <c r="Q422" s="205">
        <f t="shared" ca="1" si="189"/>
        <v>0</v>
      </c>
      <c r="R422" s="205">
        <f ca="1">+IF(ISERROR(OFFSET(Tabella!$G$1,MATCH(J422,Tabella!$G:$G,0)-1,MATCH(K422,Tabella!$G$1:$FG$1,0)-1)=TRUE),0,OFFSET(Tabella!$G$1,MATCH(J422,Tabella!$G:$G,0)-1,MATCH(K422,Tabella!$G$1:$AB$1,0)-1))</f>
        <v>0</v>
      </c>
      <c r="S422" s="205">
        <f ca="1">IF(ISERROR(OFFSET(Ottone!$F$1,MATCH(J422,Ottone!$A:$A,0)-1,MATCH(K422,Ottone!$F$1:$FF$1,0)-1)=TRUE),0,OFFSET(Ottone!$F$1,MATCH(J422,Ottone!$A:$A,0)-1,MATCH(K422,Ottone!$F$1:$FF$1,0)-1))*IF(G422="Ottone",1,0)</f>
        <v>0</v>
      </c>
      <c r="T422" s="205">
        <f ca="1">IF(ISERROR(OFFSET(Rame!$F$1,MATCH(J422,Rame!$F:$F,0)-1,MATCH(K422,Rame!$F$1:$FF$1,0)-1)=TRUE),0,OFFSET(Rame!$F$1,MATCH(J422,Rame!$F:$F,0)-1,MATCH(K422,Rame!$F$1:$FF$1,0)-1))*IF(G422="Rame",1,0)</f>
        <v>0</v>
      </c>
      <c r="U422" s="205">
        <f ca="1">IF(ISERROR(OFFSET(Bronzo!$A$1,MATCH(J422,Bronzo!$A:$A,0)-1,MATCH(K422,Bronzo!$A$1:$AA$1,0)-1)=TRUE),0,OFFSET(Bronzo!$A$1,MATCH(J422,Bronzo!$A:$A,0)-1,MATCH(K422,Bronzo!$A$1:$AA$1,0)-1))</f>
        <v>0</v>
      </c>
      <c r="V422" s="205">
        <f t="shared" ca="1" si="190"/>
        <v>0</v>
      </c>
      <c r="W422" s="204"/>
      <c r="X422" s="205">
        <v>0</v>
      </c>
      <c r="Y422" s="206">
        <f t="shared" ca="1" si="191"/>
        <v>0</v>
      </c>
      <c r="Z422" s="277">
        <f t="shared" si="192"/>
        <v>0</v>
      </c>
      <c r="AA422" s="203"/>
      <c r="AB422" s="203">
        <f t="shared" ca="1" si="193"/>
        <v>0</v>
      </c>
      <c r="AC422" s="238"/>
      <c r="AI422" s="367">
        <f t="shared" ca="1" si="188"/>
        <v>46092</v>
      </c>
      <c r="AJ422" s="367" t="b">
        <f t="shared" si="194"/>
        <v>1</v>
      </c>
      <c r="AK422" s="370" t="str">
        <f t="shared" si="195"/>
        <v/>
      </c>
      <c r="AN422">
        <f t="shared" si="196"/>
        <v>0</v>
      </c>
      <c r="AO422">
        <f t="shared" si="197"/>
        <v>1900</v>
      </c>
      <c r="AV422">
        <f t="shared" si="198"/>
        <v>0</v>
      </c>
      <c r="AW422">
        <f t="shared" si="199"/>
        <v>0</v>
      </c>
    </row>
    <row r="423" spans="4:49" ht="15.75" x14ac:dyDescent="0.25">
      <c r="D423" s="199"/>
      <c r="E423" s="200"/>
      <c r="F423" s="287"/>
      <c r="G423" s="201"/>
      <c r="H423" s="219"/>
      <c r="I423" s="202"/>
      <c r="J423" s="200"/>
      <c r="K423" s="200"/>
      <c r="L423" s="203"/>
      <c r="M423" s="204">
        <f ca="1">IF(ISERROR(OFFSET(Tabella!$A$1,MATCH(J423,Tabella!$A:$A,0)-1,MATCH(L423,Tabella!$A$1:$AC$1,0)-1)=TRUE),0,+OFFSET(Tabella!$A$1,MATCH(J423,Tabella!$A:$A,0)-1,MATCH(L423,Tabella!$A$1:$AC$1,0)-1))</f>
        <v>0</v>
      </c>
      <c r="N423" s="205">
        <f ca="1">IF(ISERROR(OFFSET(Ottone!$A$1,MATCH(J423,Ottone!$A:$A,0)-1,MATCH(L423,Ottone!$A$1:$Z$1,0)-1)=TRUE),0,OFFSET(Ottone!$A$1,MATCH(J423,Ottone!$A:$A,0)-1,MATCH(L423,Ottone!$A$1:$Z$1,0)-1))*IF(G423="Ottone",1,0)</f>
        <v>0</v>
      </c>
      <c r="O423" s="205">
        <f ca="1">IF(ISERROR(OFFSET(Rame!$A$1,MATCH(J423,Rame!$A:$A,0)-1,MATCH(L423,Rame!$A$1:$AA$1,0)-1)=TRUE),0,OFFSET(Rame!$A$1,MATCH(J423,Rame!$A:$A,0)-1,MATCH(L423,Rame!$A$1:$AA$1,0)-1))*IF(G423="Rame",1,0)</f>
        <v>0</v>
      </c>
      <c r="P423" s="205">
        <v>0</v>
      </c>
      <c r="Q423" s="205">
        <f t="shared" ca="1" si="189"/>
        <v>0</v>
      </c>
      <c r="R423" s="205">
        <f ca="1">+IF(ISERROR(OFFSET(Tabella!$G$1,MATCH(J423,Tabella!$G:$G,0)-1,MATCH(K423,Tabella!$G$1:$FG$1,0)-1)=TRUE),0,OFFSET(Tabella!$G$1,MATCH(J423,Tabella!$G:$G,0)-1,MATCH(K423,Tabella!$G$1:$AB$1,0)-1))</f>
        <v>0</v>
      </c>
      <c r="S423" s="205">
        <f ca="1">IF(ISERROR(OFFSET(Ottone!$F$1,MATCH(J423,Ottone!$A:$A,0)-1,MATCH(K423,Ottone!$F$1:$FF$1,0)-1)=TRUE),0,OFFSET(Ottone!$F$1,MATCH(J423,Ottone!$A:$A,0)-1,MATCH(K423,Ottone!$F$1:$FF$1,0)-1))*IF(G423="Ottone",1,0)</f>
        <v>0</v>
      </c>
      <c r="T423" s="205">
        <f ca="1">IF(ISERROR(OFFSET(Rame!$F$1,MATCH(J423,Rame!$F:$F,0)-1,MATCH(K423,Rame!$F$1:$FF$1,0)-1)=TRUE),0,OFFSET(Rame!$F$1,MATCH(J423,Rame!$F:$F,0)-1,MATCH(K423,Rame!$F$1:$FF$1,0)-1))*IF(G423="Rame",1,0)</f>
        <v>0</v>
      </c>
      <c r="U423" s="205">
        <f ca="1">IF(ISERROR(OFFSET(Bronzo!$A$1,MATCH(J423,Bronzo!$A:$A,0)-1,MATCH(K423,Bronzo!$A$1:$AA$1,0)-1)=TRUE),0,OFFSET(Bronzo!$A$1,MATCH(J423,Bronzo!$A:$A,0)-1,MATCH(K423,Bronzo!$A$1:$AA$1,0)-1))</f>
        <v>0</v>
      </c>
      <c r="V423" s="205">
        <f t="shared" ca="1" si="190"/>
        <v>0</v>
      </c>
      <c r="W423" s="204"/>
      <c r="X423" s="205">
        <v>0</v>
      </c>
      <c r="Y423" s="206">
        <f t="shared" ca="1" si="191"/>
        <v>0</v>
      </c>
      <c r="Z423" s="277">
        <f t="shared" si="192"/>
        <v>0</v>
      </c>
      <c r="AA423" s="203"/>
      <c r="AB423" s="203">
        <f t="shared" ca="1" si="193"/>
        <v>0</v>
      </c>
      <c r="AC423" s="238"/>
      <c r="AI423" s="367">
        <f t="shared" ca="1" si="188"/>
        <v>46092</v>
      </c>
      <c r="AJ423" s="367" t="b">
        <f t="shared" si="194"/>
        <v>1</v>
      </c>
      <c r="AK423" s="370" t="str">
        <f t="shared" si="195"/>
        <v/>
      </c>
      <c r="AN423">
        <f t="shared" si="196"/>
        <v>0</v>
      </c>
      <c r="AO423">
        <f t="shared" si="197"/>
        <v>1900</v>
      </c>
      <c r="AV423">
        <f t="shared" si="198"/>
        <v>0</v>
      </c>
      <c r="AW423">
        <f t="shared" si="199"/>
        <v>0</v>
      </c>
    </row>
    <row r="424" spans="4:49" ht="15.75" x14ac:dyDescent="0.25">
      <c r="D424" s="199"/>
      <c r="E424" s="200"/>
      <c r="F424" s="287"/>
      <c r="G424" s="201"/>
      <c r="H424" s="219"/>
      <c r="I424" s="202"/>
      <c r="J424" s="200"/>
      <c r="K424" s="200"/>
      <c r="L424" s="203"/>
      <c r="M424" s="204">
        <f ca="1">IF(ISERROR(OFFSET(Tabella!$A$1,MATCH(J424,Tabella!$A:$A,0)-1,MATCH(L424,Tabella!$A$1:$AC$1,0)-1)=TRUE),0,+OFFSET(Tabella!$A$1,MATCH(J424,Tabella!$A:$A,0)-1,MATCH(L424,Tabella!$A$1:$AC$1,0)-1))</f>
        <v>0</v>
      </c>
      <c r="N424" s="205">
        <f ca="1">IF(ISERROR(OFFSET(Ottone!$A$1,MATCH(J424,Ottone!$A:$A,0)-1,MATCH(L424,Ottone!$A$1:$Z$1,0)-1)=TRUE),0,OFFSET(Ottone!$A$1,MATCH(J424,Ottone!$A:$A,0)-1,MATCH(L424,Ottone!$A$1:$Z$1,0)-1))*IF(G424="Ottone",1,0)</f>
        <v>0</v>
      </c>
      <c r="O424" s="205">
        <f ca="1">IF(ISERROR(OFFSET(Rame!$A$1,MATCH(J424,Rame!$A:$A,0)-1,MATCH(L424,Rame!$A$1:$AA$1,0)-1)=TRUE),0,OFFSET(Rame!$A$1,MATCH(J424,Rame!$A:$A,0)-1,MATCH(L424,Rame!$A$1:$AA$1,0)-1))*IF(G424="Rame",1,0)</f>
        <v>0</v>
      </c>
      <c r="P424" s="205">
        <v>0</v>
      </c>
      <c r="Q424" s="205">
        <f t="shared" ca="1" si="189"/>
        <v>0</v>
      </c>
      <c r="R424" s="205">
        <f ca="1">+IF(ISERROR(OFFSET(Tabella!$G$1,MATCH(J424,Tabella!$G:$G,0)-1,MATCH(K424,Tabella!$G$1:$FG$1,0)-1)=TRUE),0,OFFSET(Tabella!$G$1,MATCH(J424,Tabella!$G:$G,0)-1,MATCH(K424,Tabella!$G$1:$AB$1,0)-1))</f>
        <v>0</v>
      </c>
      <c r="S424" s="205">
        <f ca="1">IF(ISERROR(OFFSET(Ottone!$F$1,MATCH(J424,Ottone!$A:$A,0)-1,MATCH(K424,Ottone!$F$1:$FF$1,0)-1)=TRUE),0,OFFSET(Ottone!$F$1,MATCH(J424,Ottone!$A:$A,0)-1,MATCH(K424,Ottone!$F$1:$FF$1,0)-1))*IF(G424="Ottone",1,0)</f>
        <v>0</v>
      </c>
      <c r="T424" s="205">
        <f ca="1">IF(ISERROR(OFFSET(Rame!$F$1,MATCH(J424,Rame!$F:$F,0)-1,MATCH(K424,Rame!$F$1:$FF$1,0)-1)=TRUE),0,OFFSET(Rame!$F$1,MATCH(J424,Rame!$F:$F,0)-1,MATCH(K424,Rame!$F$1:$FF$1,0)-1))*IF(G424="Rame",1,0)</f>
        <v>0</v>
      </c>
      <c r="U424" s="205">
        <f ca="1">IF(ISERROR(OFFSET(Bronzo!$A$1,MATCH(J424,Bronzo!$A:$A,0)-1,MATCH(K424,Bronzo!$A$1:$AA$1,0)-1)=TRUE),0,OFFSET(Bronzo!$A$1,MATCH(J424,Bronzo!$A:$A,0)-1,MATCH(K424,Bronzo!$A$1:$AA$1,0)-1))</f>
        <v>0</v>
      </c>
      <c r="V424" s="205">
        <f t="shared" ca="1" si="190"/>
        <v>0</v>
      </c>
      <c r="W424" s="204"/>
      <c r="X424" s="205">
        <v>0</v>
      </c>
      <c r="Y424" s="206">
        <f t="shared" ca="1" si="191"/>
        <v>0</v>
      </c>
      <c r="Z424" s="277">
        <f t="shared" si="192"/>
        <v>0</v>
      </c>
      <c r="AA424" s="203"/>
      <c r="AB424" s="203">
        <f t="shared" ca="1" si="193"/>
        <v>0</v>
      </c>
      <c r="AC424" s="238"/>
      <c r="AI424" s="367">
        <f t="shared" ca="1" si="188"/>
        <v>46092</v>
      </c>
      <c r="AJ424" s="367" t="b">
        <f t="shared" si="194"/>
        <v>1</v>
      </c>
      <c r="AK424" s="370" t="str">
        <f t="shared" si="195"/>
        <v/>
      </c>
      <c r="AN424">
        <f t="shared" si="196"/>
        <v>0</v>
      </c>
      <c r="AO424">
        <f t="shared" si="197"/>
        <v>1900</v>
      </c>
      <c r="AV424">
        <f t="shared" si="198"/>
        <v>0</v>
      </c>
      <c r="AW424">
        <f t="shared" si="199"/>
        <v>0</v>
      </c>
    </row>
    <row r="425" spans="4:49" ht="15.75" x14ac:dyDescent="0.25">
      <c r="D425" s="199"/>
      <c r="E425" s="200"/>
      <c r="F425" s="287"/>
      <c r="G425" s="201"/>
      <c r="H425" s="219"/>
      <c r="I425" s="202"/>
      <c r="J425" s="200"/>
      <c r="K425" s="200"/>
      <c r="L425" s="203"/>
      <c r="M425" s="204">
        <f ca="1">IF(ISERROR(OFFSET(Tabella!$A$1,MATCH(J425,Tabella!$A:$A,0)-1,MATCH(L425,Tabella!$A$1:$AC$1,0)-1)=TRUE),0,+OFFSET(Tabella!$A$1,MATCH(J425,Tabella!$A:$A,0)-1,MATCH(L425,Tabella!$A$1:$AC$1,0)-1))</f>
        <v>0</v>
      </c>
      <c r="N425" s="205">
        <f ca="1">IF(ISERROR(OFFSET(Ottone!$A$1,MATCH(J425,Ottone!$A:$A,0)-1,MATCH(L425,Ottone!$A$1:$Z$1,0)-1)=TRUE),0,OFFSET(Ottone!$A$1,MATCH(J425,Ottone!$A:$A,0)-1,MATCH(L425,Ottone!$A$1:$Z$1,0)-1))*IF(G425="Ottone",1,0)</f>
        <v>0</v>
      </c>
      <c r="O425" s="205">
        <f ca="1">IF(ISERROR(OFFSET(Rame!$A$1,MATCH(J425,Rame!$A:$A,0)-1,MATCH(L425,Rame!$A$1:$AA$1,0)-1)=TRUE),0,OFFSET(Rame!$A$1,MATCH(J425,Rame!$A:$A,0)-1,MATCH(L425,Rame!$A$1:$AA$1,0)-1))*IF(G425="Rame",1,0)</f>
        <v>0</v>
      </c>
      <c r="P425" s="205">
        <v>0</v>
      </c>
      <c r="Q425" s="205">
        <f t="shared" ca="1" si="189"/>
        <v>0</v>
      </c>
      <c r="R425" s="205">
        <f ca="1">+IF(ISERROR(OFFSET(Tabella!$G$1,MATCH(J425,Tabella!$G:$G,0)-1,MATCH(K425,Tabella!$G$1:$FG$1,0)-1)=TRUE),0,OFFSET(Tabella!$G$1,MATCH(J425,Tabella!$G:$G,0)-1,MATCH(K425,Tabella!$G$1:$AB$1,0)-1))</f>
        <v>0</v>
      </c>
      <c r="S425" s="205">
        <f ca="1">IF(ISERROR(OFFSET(Ottone!$F$1,MATCH(J425,Ottone!$A:$A,0)-1,MATCH(K425,Ottone!$F$1:$FF$1,0)-1)=TRUE),0,OFFSET(Ottone!$F$1,MATCH(J425,Ottone!$A:$A,0)-1,MATCH(K425,Ottone!$F$1:$FF$1,0)-1))*IF(G425="Ottone",1,0)</f>
        <v>0</v>
      </c>
      <c r="T425" s="205">
        <f ca="1">IF(ISERROR(OFFSET(Rame!$F$1,MATCH(J425,Rame!$F:$F,0)-1,MATCH(K425,Rame!$F$1:$FF$1,0)-1)=TRUE),0,OFFSET(Rame!$F$1,MATCH(J425,Rame!$F:$F,0)-1,MATCH(K425,Rame!$F$1:$FF$1,0)-1))*IF(G425="Rame",1,0)</f>
        <v>0</v>
      </c>
      <c r="U425" s="205">
        <f ca="1">IF(ISERROR(OFFSET(Bronzo!$A$1,MATCH(J425,Bronzo!$A:$A,0)-1,MATCH(K425,Bronzo!$A$1:$AA$1,0)-1)=TRUE),0,OFFSET(Bronzo!$A$1,MATCH(J425,Bronzo!$A:$A,0)-1,MATCH(K425,Bronzo!$A$1:$AA$1,0)-1))</f>
        <v>0</v>
      </c>
      <c r="V425" s="205">
        <f t="shared" ca="1" si="190"/>
        <v>0</v>
      </c>
      <c r="W425" s="204"/>
      <c r="X425" s="205">
        <v>0</v>
      </c>
      <c r="Y425" s="206">
        <f t="shared" ca="1" si="191"/>
        <v>0</v>
      </c>
      <c r="Z425" s="277">
        <f t="shared" si="192"/>
        <v>0</v>
      </c>
      <c r="AA425" s="203"/>
      <c r="AB425" s="203">
        <f t="shared" ca="1" si="193"/>
        <v>0</v>
      </c>
      <c r="AC425" s="238"/>
      <c r="AI425" s="367">
        <f t="shared" ca="1" si="188"/>
        <v>46092</v>
      </c>
      <c r="AJ425" s="367" t="b">
        <f t="shared" si="194"/>
        <v>1</v>
      </c>
      <c r="AK425" s="370" t="str">
        <f t="shared" si="195"/>
        <v/>
      </c>
      <c r="AN425">
        <f t="shared" si="196"/>
        <v>0</v>
      </c>
      <c r="AO425">
        <f t="shared" si="197"/>
        <v>1900</v>
      </c>
      <c r="AV425">
        <f t="shared" si="198"/>
        <v>0</v>
      </c>
      <c r="AW425">
        <f t="shared" si="199"/>
        <v>0</v>
      </c>
    </row>
    <row r="426" spans="4:49" ht="15.75" x14ac:dyDescent="0.25">
      <c r="D426" s="199"/>
      <c r="E426" s="200"/>
      <c r="F426" s="287"/>
      <c r="G426" s="201"/>
      <c r="H426" s="219"/>
      <c r="I426" s="202"/>
      <c r="J426" s="200"/>
      <c r="K426" s="200"/>
      <c r="L426" s="203"/>
      <c r="M426" s="204">
        <f ca="1">IF(ISERROR(OFFSET(Tabella!$A$1,MATCH(J426,Tabella!$A:$A,0)-1,MATCH(L426,Tabella!$A$1:$AC$1,0)-1)=TRUE),0,+OFFSET(Tabella!$A$1,MATCH(J426,Tabella!$A:$A,0)-1,MATCH(L426,Tabella!$A$1:$AC$1,0)-1))</f>
        <v>0</v>
      </c>
      <c r="N426" s="205">
        <f ca="1">IF(ISERROR(OFFSET(Ottone!$A$1,MATCH(J426,Ottone!$A:$A,0)-1,MATCH(L426,Ottone!$A$1:$Z$1,0)-1)=TRUE),0,OFFSET(Ottone!$A$1,MATCH(J426,Ottone!$A:$A,0)-1,MATCH(L426,Ottone!$A$1:$Z$1,0)-1))*IF(G426="Ottone",1,0)</f>
        <v>0</v>
      </c>
      <c r="O426" s="205">
        <f ca="1">IF(ISERROR(OFFSET(Rame!$A$1,MATCH(J426,Rame!$A:$A,0)-1,MATCH(L426,Rame!$A$1:$AA$1,0)-1)=TRUE),0,OFFSET(Rame!$A$1,MATCH(J426,Rame!$A:$A,0)-1,MATCH(L426,Rame!$A$1:$AA$1,0)-1))*IF(G426="Rame",1,0)</f>
        <v>0</v>
      </c>
      <c r="P426" s="205">
        <v>0</v>
      </c>
      <c r="Q426" s="205">
        <f t="shared" ca="1" si="189"/>
        <v>0</v>
      </c>
      <c r="R426" s="205">
        <f ca="1">+IF(ISERROR(OFFSET(Tabella!$G$1,MATCH(J426,Tabella!$G:$G,0)-1,MATCH(K426,Tabella!$G$1:$FG$1,0)-1)=TRUE),0,OFFSET(Tabella!$G$1,MATCH(J426,Tabella!$G:$G,0)-1,MATCH(K426,Tabella!$G$1:$AB$1,0)-1))</f>
        <v>0</v>
      </c>
      <c r="S426" s="205">
        <f ca="1">IF(ISERROR(OFFSET(Ottone!$F$1,MATCH(J426,Ottone!$A:$A,0)-1,MATCH(K426,Ottone!$F$1:$FF$1,0)-1)=TRUE),0,OFFSET(Ottone!$F$1,MATCH(J426,Ottone!$A:$A,0)-1,MATCH(K426,Ottone!$F$1:$FF$1,0)-1))*IF(G426="Ottone",1,0)</f>
        <v>0</v>
      </c>
      <c r="T426" s="205">
        <f ca="1">IF(ISERROR(OFFSET(Rame!$F$1,MATCH(J426,Rame!$F:$F,0)-1,MATCH(K426,Rame!$F$1:$FF$1,0)-1)=TRUE),0,OFFSET(Rame!$F$1,MATCH(J426,Rame!$F:$F,0)-1,MATCH(K426,Rame!$F$1:$FF$1,0)-1))*IF(G426="Rame",1,0)</f>
        <v>0</v>
      </c>
      <c r="U426" s="205">
        <f ca="1">IF(ISERROR(OFFSET(Bronzo!$A$1,MATCH(J426,Bronzo!$A:$A,0)-1,MATCH(K426,Bronzo!$A$1:$AA$1,0)-1)=TRUE),0,OFFSET(Bronzo!$A$1,MATCH(J426,Bronzo!$A:$A,0)-1,MATCH(K426,Bronzo!$A$1:$AA$1,0)-1))</f>
        <v>0</v>
      </c>
      <c r="V426" s="205">
        <f t="shared" ca="1" si="190"/>
        <v>0</v>
      </c>
      <c r="W426" s="204"/>
      <c r="X426" s="205">
        <v>0</v>
      </c>
      <c r="Y426" s="206">
        <f t="shared" ca="1" si="191"/>
        <v>0</v>
      </c>
      <c r="Z426" s="277">
        <f t="shared" si="192"/>
        <v>0</v>
      </c>
      <c r="AA426" s="203"/>
      <c r="AB426" s="203">
        <f t="shared" ca="1" si="193"/>
        <v>0</v>
      </c>
      <c r="AC426" s="238"/>
      <c r="AI426" s="367">
        <f t="shared" ca="1" si="188"/>
        <v>46092</v>
      </c>
      <c r="AJ426" s="367" t="b">
        <f t="shared" si="194"/>
        <v>1</v>
      </c>
      <c r="AK426" s="370" t="str">
        <f t="shared" si="195"/>
        <v/>
      </c>
      <c r="AN426">
        <f t="shared" si="196"/>
        <v>0</v>
      </c>
      <c r="AO426">
        <f t="shared" si="197"/>
        <v>1900</v>
      </c>
      <c r="AV426">
        <f t="shared" si="198"/>
        <v>0</v>
      </c>
      <c r="AW426">
        <f t="shared" si="199"/>
        <v>0</v>
      </c>
    </row>
    <row r="427" spans="4:49" ht="15.75" x14ac:dyDescent="0.25">
      <c r="D427" s="199"/>
      <c r="E427" s="200"/>
      <c r="F427" s="287"/>
      <c r="G427" s="201"/>
      <c r="H427" s="219"/>
      <c r="I427" s="202"/>
      <c r="J427" s="200"/>
      <c r="K427" s="200"/>
      <c r="L427" s="203"/>
      <c r="M427" s="204">
        <f ca="1">IF(ISERROR(OFFSET(Tabella!$A$1,MATCH(J427,Tabella!$A:$A,0)-1,MATCH(L427,Tabella!$A$1:$AC$1,0)-1)=TRUE),0,+OFFSET(Tabella!$A$1,MATCH(J427,Tabella!$A:$A,0)-1,MATCH(L427,Tabella!$A$1:$AC$1,0)-1))</f>
        <v>0</v>
      </c>
      <c r="N427" s="205">
        <f ca="1">IF(ISERROR(OFFSET(Ottone!$A$1,MATCH(J427,Ottone!$A:$A,0)-1,MATCH(L427,Ottone!$A$1:$Z$1,0)-1)=TRUE),0,OFFSET(Ottone!$A$1,MATCH(J427,Ottone!$A:$A,0)-1,MATCH(L427,Ottone!$A$1:$Z$1,0)-1))*IF(G427="Ottone",1,0)</f>
        <v>0</v>
      </c>
      <c r="O427" s="205">
        <f ca="1">IF(ISERROR(OFFSET(Rame!$A$1,MATCH(J427,Rame!$A:$A,0)-1,MATCH(L427,Rame!$A$1:$AA$1,0)-1)=TRUE),0,OFFSET(Rame!$A$1,MATCH(J427,Rame!$A:$A,0)-1,MATCH(L427,Rame!$A$1:$AA$1,0)-1))*IF(G427="Rame",1,0)</f>
        <v>0</v>
      </c>
      <c r="P427" s="205">
        <v>0</v>
      </c>
      <c r="Q427" s="205">
        <f t="shared" ca="1" si="189"/>
        <v>0</v>
      </c>
      <c r="R427" s="205">
        <f ca="1">+IF(ISERROR(OFFSET(Tabella!$G$1,MATCH(J427,Tabella!$G:$G,0)-1,MATCH(K427,Tabella!$G$1:$FG$1,0)-1)=TRUE),0,OFFSET(Tabella!$G$1,MATCH(J427,Tabella!$G:$G,0)-1,MATCH(K427,Tabella!$G$1:$AB$1,0)-1))</f>
        <v>0</v>
      </c>
      <c r="S427" s="205">
        <f ca="1">IF(ISERROR(OFFSET(Ottone!$F$1,MATCH(J427,Ottone!$A:$A,0)-1,MATCH(K427,Ottone!$F$1:$FF$1,0)-1)=TRUE),0,OFFSET(Ottone!$F$1,MATCH(J427,Ottone!$A:$A,0)-1,MATCH(K427,Ottone!$F$1:$FF$1,0)-1))*IF(G427="Ottone",1,0)</f>
        <v>0</v>
      </c>
      <c r="T427" s="205">
        <f ca="1">IF(ISERROR(OFFSET(Rame!$F$1,MATCH(J427,Rame!$F:$F,0)-1,MATCH(K427,Rame!$F$1:$FF$1,0)-1)=TRUE),0,OFFSET(Rame!$F$1,MATCH(J427,Rame!$F:$F,0)-1,MATCH(K427,Rame!$F$1:$FF$1,0)-1))*IF(G427="Rame",1,0)</f>
        <v>0</v>
      </c>
      <c r="U427" s="205">
        <f ca="1">IF(ISERROR(OFFSET(Bronzo!$A$1,MATCH(J427,Bronzo!$A:$A,0)-1,MATCH(K427,Bronzo!$A$1:$AA$1,0)-1)=TRUE),0,OFFSET(Bronzo!$A$1,MATCH(J427,Bronzo!$A:$A,0)-1,MATCH(K427,Bronzo!$A$1:$AA$1,0)-1))</f>
        <v>0</v>
      </c>
      <c r="V427" s="205">
        <f t="shared" ca="1" si="190"/>
        <v>0</v>
      </c>
      <c r="W427" s="204"/>
      <c r="X427" s="205">
        <v>0</v>
      </c>
      <c r="Y427" s="206">
        <f t="shared" ca="1" si="191"/>
        <v>0</v>
      </c>
      <c r="Z427" s="277">
        <f t="shared" si="192"/>
        <v>0</v>
      </c>
      <c r="AA427" s="203"/>
      <c r="AB427" s="203">
        <f t="shared" ca="1" si="193"/>
        <v>0</v>
      </c>
      <c r="AC427" s="238"/>
      <c r="AI427" s="367">
        <f t="shared" ca="1" si="188"/>
        <v>46092</v>
      </c>
      <c r="AJ427" s="367" t="b">
        <f t="shared" si="194"/>
        <v>1</v>
      </c>
      <c r="AK427" s="370" t="str">
        <f t="shared" si="195"/>
        <v/>
      </c>
      <c r="AN427">
        <f t="shared" si="196"/>
        <v>0</v>
      </c>
      <c r="AO427">
        <f t="shared" si="197"/>
        <v>1900</v>
      </c>
      <c r="AV427">
        <f t="shared" si="198"/>
        <v>0</v>
      </c>
      <c r="AW427">
        <f t="shared" si="199"/>
        <v>0</v>
      </c>
    </row>
    <row r="428" spans="4:49" ht="15.75" x14ac:dyDescent="0.25">
      <c r="D428" s="199"/>
      <c r="E428" s="200"/>
      <c r="F428" s="287"/>
      <c r="G428" s="201"/>
      <c r="H428" s="219"/>
      <c r="I428" s="202"/>
      <c r="J428" s="200"/>
      <c r="K428" s="200"/>
      <c r="L428" s="203"/>
      <c r="M428" s="204">
        <f ca="1">IF(ISERROR(OFFSET(Tabella!$A$1,MATCH(J428,Tabella!$A:$A,0)-1,MATCH(L428,Tabella!$A$1:$AC$1,0)-1)=TRUE),0,+OFFSET(Tabella!$A$1,MATCH(J428,Tabella!$A:$A,0)-1,MATCH(L428,Tabella!$A$1:$AC$1,0)-1))</f>
        <v>0</v>
      </c>
      <c r="N428" s="205">
        <f ca="1">IF(ISERROR(OFFSET(Ottone!$A$1,MATCH(J428,Ottone!$A:$A,0)-1,MATCH(L428,Ottone!$A$1:$Z$1,0)-1)=TRUE),0,OFFSET(Ottone!$A$1,MATCH(J428,Ottone!$A:$A,0)-1,MATCH(L428,Ottone!$A$1:$Z$1,0)-1))*IF(G428="Ottone",1,0)</f>
        <v>0</v>
      </c>
      <c r="O428" s="205">
        <f ca="1">IF(ISERROR(OFFSET(Rame!$A$1,MATCH(J428,Rame!$A:$A,0)-1,MATCH(L428,Rame!$A$1:$AA$1,0)-1)=TRUE),0,OFFSET(Rame!$A$1,MATCH(J428,Rame!$A:$A,0)-1,MATCH(L428,Rame!$A$1:$AA$1,0)-1))*IF(G428="Rame",1,0)</f>
        <v>0</v>
      </c>
      <c r="P428" s="205">
        <v>0</v>
      </c>
      <c r="Q428" s="205">
        <f t="shared" ca="1" si="189"/>
        <v>0</v>
      </c>
      <c r="R428" s="205">
        <f ca="1">+IF(ISERROR(OFFSET(Tabella!$G$1,MATCH(J428,Tabella!$G:$G,0)-1,MATCH(K428,Tabella!$G$1:$FG$1,0)-1)=TRUE),0,OFFSET(Tabella!$G$1,MATCH(J428,Tabella!$G:$G,0)-1,MATCH(K428,Tabella!$G$1:$AB$1,0)-1))</f>
        <v>0</v>
      </c>
      <c r="S428" s="205">
        <f ca="1">IF(ISERROR(OFFSET(Ottone!$F$1,MATCH(J428,Ottone!$A:$A,0)-1,MATCH(K428,Ottone!$F$1:$FF$1,0)-1)=TRUE),0,OFFSET(Ottone!$F$1,MATCH(J428,Ottone!$A:$A,0)-1,MATCH(K428,Ottone!$F$1:$FF$1,0)-1))*IF(G428="Ottone",1,0)</f>
        <v>0</v>
      </c>
      <c r="T428" s="205">
        <f ca="1">IF(ISERROR(OFFSET(Rame!$F$1,MATCH(J428,Rame!$F:$F,0)-1,MATCH(K428,Rame!$F$1:$FF$1,0)-1)=TRUE),0,OFFSET(Rame!$F$1,MATCH(J428,Rame!$F:$F,0)-1,MATCH(K428,Rame!$F$1:$FF$1,0)-1))*IF(G428="Rame",1,0)</f>
        <v>0</v>
      </c>
      <c r="U428" s="205">
        <f ca="1">IF(ISERROR(OFFSET(Bronzo!$A$1,MATCH(J428,Bronzo!$A:$A,0)-1,MATCH(K428,Bronzo!$A$1:$AA$1,0)-1)=TRUE),0,OFFSET(Bronzo!$A$1,MATCH(J428,Bronzo!$A:$A,0)-1,MATCH(K428,Bronzo!$A$1:$AA$1,0)-1))</f>
        <v>0</v>
      </c>
      <c r="V428" s="205">
        <f t="shared" ca="1" si="190"/>
        <v>0</v>
      </c>
      <c r="W428" s="204"/>
      <c r="X428" s="205">
        <v>0</v>
      </c>
      <c r="Y428" s="206">
        <f t="shared" ca="1" si="191"/>
        <v>0</v>
      </c>
      <c r="Z428" s="277">
        <f t="shared" si="192"/>
        <v>0</v>
      </c>
      <c r="AA428" s="203"/>
      <c r="AB428" s="203">
        <f t="shared" ca="1" si="193"/>
        <v>0</v>
      </c>
      <c r="AC428" s="238"/>
      <c r="AI428" s="367">
        <f t="shared" ca="1" si="188"/>
        <v>46092</v>
      </c>
      <c r="AJ428" s="367" t="b">
        <f t="shared" si="194"/>
        <v>1</v>
      </c>
      <c r="AK428" s="370" t="str">
        <f t="shared" si="195"/>
        <v/>
      </c>
      <c r="AN428">
        <f t="shared" si="196"/>
        <v>0</v>
      </c>
      <c r="AO428">
        <f t="shared" si="197"/>
        <v>1900</v>
      </c>
      <c r="AV428">
        <f t="shared" si="198"/>
        <v>0</v>
      </c>
      <c r="AW428">
        <f t="shared" si="199"/>
        <v>0</v>
      </c>
    </row>
    <row r="429" spans="4:49" ht="15.75" x14ac:dyDescent="0.25">
      <c r="D429" s="199"/>
      <c r="E429" s="200"/>
      <c r="F429" s="287"/>
      <c r="G429" s="201"/>
      <c r="H429" s="219"/>
      <c r="I429" s="202"/>
      <c r="J429" s="200"/>
      <c r="K429" s="200"/>
      <c r="L429" s="203"/>
      <c r="M429" s="204">
        <f ca="1">IF(ISERROR(OFFSET(Tabella!$A$1,MATCH(J429,Tabella!$A:$A,0)-1,MATCH(L429,Tabella!$A$1:$AC$1,0)-1)=TRUE),0,+OFFSET(Tabella!$A$1,MATCH(J429,Tabella!$A:$A,0)-1,MATCH(L429,Tabella!$A$1:$AC$1,0)-1))</f>
        <v>0</v>
      </c>
      <c r="N429" s="205">
        <f ca="1">IF(ISERROR(OFFSET(Ottone!$A$1,MATCH(J429,Ottone!$A:$A,0)-1,MATCH(L429,Ottone!$A$1:$Z$1,0)-1)=TRUE),0,OFFSET(Ottone!$A$1,MATCH(J429,Ottone!$A:$A,0)-1,MATCH(L429,Ottone!$A$1:$Z$1,0)-1))*IF(G429="Ottone",1,0)</f>
        <v>0</v>
      </c>
      <c r="O429" s="205">
        <f ca="1">IF(ISERROR(OFFSET(Rame!$A$1,MATCH(J429,Rame!$A:$A,0)-1,MATCH(L429,Rame!$A$1:$AA$1,0)-1)=TRUE),0,OFFSET(Rame!$A$1,MATCH(J429,Rame!$A:$A,0)-1,MATCH(L429,Rame!$A$1:$AA$1,0)-1))*IF(G429="Rame",1,0)</f>
        <v>0</v>
      </c>
      <c r="P429" s="205">
        <v>0</v>
      </c>
      <c r="Q429" s="205">
        <f t="shared" ca="1" si="189"/>
        <v>0</v>
      </c>
      <c r="R429" s="205">
        <f ca="1">+IF(ISERROR(OFFSET(Tabella!$G$1,MATCH(J429,Tabella!$G:$G,0)-1,MATCH(K429,Tabella!$G$1:$FG$1,0)-1)=TRUE),0,OFFSET(Tabella!$G$1,MATCH(J429,Tabella!$G:$G,0)-1,MATCH(K429,Tabella!$G$1:$AB$1,0)-1))</f>
        <v>0</v>
      </c>
      <c r="S429" s="205">
        <f ca="1">IF(ISERROR(OFFSET(Ottone!$F$1,MATCH(J429,Ottone!$A:$A,0)-1,MATCH(K429,Ottone!$F$1:$FF$1,0)-1)=TRUE),0,OFFSET(Ottone!$F$1,MATCH(J429,Ottone!$A:$A,0)-1,MATCH(K429,Ottone!$F$1:$FF$1,0)-1))*IF(G429="Ottone",1,0)</f>
        <v>0</v>
      </c>
      <c r="T429" s="205">
        <f ca="1">IF(ISERROR(OFFSET(Rame!$F$1,MATCH(J429,Rame!$F:$F,0)-1,MATCH(K429,Rame!$F$1:$FF$1,0)-1)=TRUE),0,OFFSET(Rame!$F$1,MATCH(J429,Rame!$F:$F,0)-1,MATCH(K429,Rame!$F$1:$FF$1,0)-1))*IF(G429="Rame",1,0)</f>
        <v>0</v>
      </c>
      <c r="U429" s="205">
        <f ca="1">IF(ISERROR(OFFSET(Bronzo!$A$1,MATCH(J429,Bronzo!$A:$A,0)-1,MATCH(K429,Bronzo!$A$1:$AA$1,0)-1)=TRUE),0,OFFSET(Bronzo!$A$1,MATCH(J429,Bronzo!$A:$A,0)-1,MATCH(K429,Bronzo!$A$1:$AA$1,0)-1))</f>
        <v>0</v>
      </c>
      <c r="V429" s="205">
        <f t="shared" ca="1" si="190"/>
        <v>0</v>
      </c>
      <c r="W429" s="204"/>
      <c r="X429" s="205">
        <v>0</v>
      </c>
      <c r="Y429" s="206">
        <f t="shared" ca="1" si="191"/>
        <v>0</v>
      </c>
      <c r="Z429" s="277">
        <f t="shared" si="192"/>
        <v>0</v>
      </c>
      <c r="AA429" s="203"/>
      <c r="AB429" s="203">
        <f t="shared" ca="1" si="193"/>
        <v>0</v>
      </c>
      <c r="AC429" s="238"/>
      <c r="AI429" s="367">
        <f t="shared" ca="1" si="188"/>
        <v>46092</v>
      </c>
      <c r="AJ429" s="367" t="b">
        <f t="shared" si="194"/>
        <v>1</v>
      </c>
      <c r="AK429" s="370" t="str">
        <f t="shared" si="195"/>
        <v/>
      </c>
      <c r="AN429">
        <f t="shared" si="196"/>
        <v>0</v>
      </c>
      <c r="AO429">
        <f t="shared" si="197"/>
        <v>1900</v>
      </c>
      <c r="AV429">
        <f t="shared" si="198"/>
        <v>0</v>
      </c>
      <c r="AW429">
        <f t="shared" si="199"/>
        <v>0</v>
      </c>
    </row>
    <row r="430" spans="4:49" ht="15.75" x14ac:dyDescent="0.25">
      <c r="D430" s="199"/>
      <c r="E430" s="200"/>
      <c r="F430" s="287"/>
      <c r="G430" s="201"/>
      <c r="H430" s="219"/>
      <c r="I430" s="202"/>
      <c r="J430" s="200"/>
      <c r="K430" s="200"/>
      <c r="L430" s="203"/>
      <c r="M430" s="204">
        <f ca="1">IF(ISERROR(OFFSET(Tabella!$A$1,MATCH(J430,Tabella!$A:$A,0)-1,MATCH(L430,Tabella!$A$1:$AC$1,0)-1)=TRUE),0,+OFFSET(Tabella!$A$1,MATCH(J430,Tabella!$A:$A,0)-1,MATCH(L430,Tabella!$A$1:$AC$1,0)-1))</f>
        <v>0</v>
      </c>
      <c r="N430" s="205">
        <f ca="1">IF(ISERROR(OFFSET(Ottone!$A$1,MATCH(J430,Ottone!$A:$A,0)-1,MATCH(L430,Ottone!$A$1:$Z$1,0)-1)=TRUE),0,OFFSET(Ottone!$A$1,MATCH(J430,Ottone!$A:$A,0)-1,MATCH(L430,Ottone!$A$1:$Z$1,0)-1))*IF(G430="Ottone",1,0)</f>
        <v>0</v>
      </c>
      <c r="O430" s="205">
        <f ca="1">IF(ISERROR(OFFSET(Rame!$A$1,MATCH(J430,Rame!$A:$A,0)-1,MATCH(L430,Rame!$A$1:$AA$1,0)-1)=TRUE),0,OFFSET(Rame!$A$1,MATCH(J430,Rame!$A:$A,0)-1,MATCH(L430,Rame!$A$1:$AA$1,0)-1))*IF(G430="Rame",1,0)</f>
        <v>0</v>
      </c>
      <c r="P430" s="205">
        <v>0</v>
      </c>
      <c r="Q430" s="205">
        <f t="shared" ca="1" si="189"/>
        <v>0</v>
      </c>
      <c r="R430" s="205">
        <f ca="1">+IF(ISERROR(OFFSET(Tabella!$G$1,MATCH(J430,Tabella!$G:$G,0)-1,MATCH(K430,Tabella!$G$1:$FG$1,0)-1)=TRUE),0,OFFSET(Tabella!$G$1,MATCH(J430,Tabella!$G:$G,0)-1,MATCH(K430,Tabella!$G$1:$AB$1,0)-1))</f>
        <v>0</v>
      </c>
      <c r="S430" s="205">
        <f ca="1">IF(ISERROR(OFFSET(Ottone!$F$1,MATCH(J430,Ottone!$A:$A,0)-1,MATCH(K430,Ottone!$F$1:$FF$1,0)-1)=TRUE),0,OFFSET(Ottone!$F$1,MATCH(J430,Ottone!$A:$A,0)-1,MATCH(K430,Ottone!$F$1:$FF$1,0)-1))*IF(G430="Ottone",1,0)</f>
        <v>0</v>
      </c>
      <c r="T430" s="205">
        <f ca="1">IF(ISERROR(OFFSET(Rame!$F$1,MATCH(J430,Rame!$F:$F,0)-1,MATCH(K430,Rame!$F$1:$FF$1,0)-1)=TRUE),0,OFFSET(Rame!$F$1,MATCH(J430,Rame!$F:$F,0)-1,MATCH(K430,Rame!$F$1:$FF$1,0)-1))*IF(G430="Rame",1,0)</f>
        <v>0</v>
      </c>
      <c r="U430" s="205">
        <f ca="1">IF(ISERROR(OFFSET(Bronzo!$A$1,MATCH(J430,Bronzo!$A:$A,0)-1,MATCH(K430,Bronzo!$A$1:$AA$1,0)-1)=TRUE),0,OFFSET(Bronzo!$A$1,MATCH(J430,Bronzo!$A:$A,0)-1,MATCH(K430,Bronzo!$A$1:$AA$1,0)-1))</f>
        <v>0</v>
      </c>
      <c r="V430" s="205">
        <f t="shared" ca="1" si="190"/>
        <v>0</v>
      </c>
      <c r="W430" s="204"/>
      <c r="X430" s="205">
        <v>0</v>
      </c>
      <c r="Y430" s="206">
        <f t="shared" ca="1" si="191"/>
        <v>0</v>
      </c>
      <c r="Z430" s="277">
        <f t="shared" si="192"/>
        <v>0</v>
      </c>
      <c r="AA430" s="203"/>
      <c r="AB430" s="203">
        <f t="shared" ca="1" si="193"/>
        <v>0</v>
      </c>
      <c r="AC430" s="238"/>
      <c r="AI430" s="367">
        <f t="shared" ca="1" si="188"/>
        <v>46092</v>
      </c>
      <c r="AJ430" s="367" t="b">
        <f t="shared" si="194"/>
        <v>1</v>
      </c>
      <c r="AK430" s="370" t="str">
        <f t="shared" si="195"/>
        <v/>
      </c>
      <c r="AN430">
        <f t="shared" si="196"/>
        <v>0</v>
      </c>
      <c r="AO430">
        <f t="shared" si="197"/>
        <v>1900</v>
      </c>
      <c r="AV430">
        <f t="shared" si="198"/>
        <v>0</v>
      </c>
      <c r="AW430">
        <f t="shared" si="199"/>
        <v>0</v>
      </c>
    </row>
    <row r="431" spans="4:49" ht="15.75" x14ac:dyDescent="0.25">
      <c r="D431" s="199"/>
      <c r="E431" s="200"/>
      <c r="F431" s="287"/>
      <c r="G431" s="201"/>
      <c r="H431" s="219"/>
      <c r="I431" s="202"/>
      <c r="J431" s="200"/>
      <c r="K431" s="200"/>
      <c r="L431" s="203"/>
      <c r="M431" s="204">
        <f ca="1">IF(ISERROR(OFFSET(Tabella!$A$1,MATCH(J431,Tabella!$A:$A,0)-1,MATCH(L431,Tabella!$A$1:$AC$1,0)-1)=TRUE),0,+OFFSET(Tabella!$A$1,MATCH(J431,Tabella!$A:$A,0)-1,MATCH(L431,Tabella!$A$1:$AC$1,0)-1))</f>
        <v>0</v>
      </c>
      <c r="N431" s="205">
        <f ca="1">IF(ISERROR(OFFSET(Ottone!$A$1,MATCH(J431,Ottone!$A:$A,0)-1,MATCH(L431,Ottone!$A$1:$Z$1,0)-1)=TRUE),0,OFFSET(Ottone!$A$1,MATCH(J431,Ottone!$A:$A,0)-1,MATCH(L431,Ottone!$A$1:$Z$1,0)-1))*IF(G431="Ottone",1,0)</f>
        <v>0</v>
      </c>
      <c r="O431" s="205">
        <f ca="1">IF(ISERROR(OFFSET(Rame!$A$1,MATCH(J431,Rame!$A:$A,0)-1,MATCH(L431,Rame!$A$1:$AA$1,0)-1)=TRUE),0,OFFSET(Rame!$A$1,MATCH(J431,Rame!$A:$A,0)-1,MATCH(L431,Rame!$A$1:$AA$1,0)-1))*IF(G431="Rame",1,0)</f>
        <v>0</v>
      </c>
      <c r="P431" s="205">
        <v>0</v>
      </c>
      <c r="Q431" s="205">
        <f t="shared" ca="1" si="189"/>
        <v>0</v>
      </c>
      <c r="R431" s="205">
        <f ca="1">+IF(ISERROR(OFFSET(Tabella!$G$1,MATCH(J431,Tabella!$G:$G,0)-1,MATCH(K431,Tabella!$G$1:$FG$1,0)-1)=TRUE),0,OFFSET(Tabella!$G$1,MATCH(J431,Tabella!$G:$G,0)-1,MATCH(K431,Tabella!$G$1:$AB$1,0)-1))</f>
        <v>0</v>
      </c>
      <c r="S431" s="205">
        <f ca="1">IF(ISERROR(OFFSET(Ottone!$F$1,MATCH(J431,Ottone!$A:$A,0)-1,MATCH(K431,Ottone!$F$1:$FF$1,0)-1)=TRUE),0,OFFSET(Ottone!$F$1,MATCH(J431,Ottone!$A:$A,0)-1,MATCH(K431,Ottone!$F$1:$FF$1,0)-1))*IF(G431="Ottone",1,0)</f>
        <v>0</v>
      </c>
      <c r="T431" s="205">
        <f ca="1">IF(ISERROR(OFFSET(Rame!$F$1,MATCH(J431,Rame!$F:$F,0)-1,MATCH(K431,Rame!$F$1:$FF$1,0)-1)=TRUE),0,OFFSET(Rame!$F$1,MATCH(J431,Rame!$F:$F,0)-1,MATCH(K431,Rame!$F$1:$FF$1,0)-1))*IF(G431="Rame",1,0)</f>
        <v>0</v>
      </c>
      <c r="U431" s="205">
        <f ca="1">IF(ISERROR(OFFSET(Bronzo!$A$1,MATCH(J431,Bronzo!$A:$A,0)-1,MATCH(K431,Bronzo!$A$1:$AA$1,0)-1)=TRUE),0,OFFSET(Bronzo!$A$1,MATCH(J431,Bronzo!$A:$A,0)-1,MATCH(K431,Bronzo!$A$1:$AA$1,0)-1))</f>
        <v>0</v>
      </c>
      <c r="V431" s="205">
        <f t="shared" ca="1" si="190"/>
        <v>0</v>
      </c>
      <c r="W431" s="204"/>
      <c r="X431" s="205">
        <v>0</v>
      </c>
      <c r="Y431" s="206">
        <f t="shared" ca="1" si="191"/>
        <v>0</v>
      </c>
      <c r="Z431" s="277">
        <f t="shared" si="192"/>
        <v>0</v>
      </c>
      <c r="AA431" s="203"/>
      <c r="AB431" s="203">
        <f t="shared" ca="1" si="193"/>
        <v>0</v>
      </c>
      <c r="AC431" s="238"/>
      <c r="AI431" s="367">
        <f t="shared" ca="1" si="188"/>
        <v>46092</v>
      </c>
      <c r="AJ431" s="367" t="b">
        <f t="shared" si="194"/>
        <v>1</v>
      </c>
      <c r="AK431" s="370" t="str">
        <f t="shared" si="195"/>
        <v/>
      </c>
      <c r="AN431">
        <f t="shared" si="196"/>
        <v>0</v>
      </c>
      <c r="AO431">
        <f t="shared" si="197"/>
        <v>1900</v>
      </c>
      <c r="AV431">
        <f t="shared" si="198"/>
        <v>0</v>
      </c>
      <c r="AW431">
        <f t="shared" si="199"/>
        <v>0</v>
      </c>
    </row>
    <row r="432" spans="4:49" ht="15.75" x14ac:dyDescent="0.25">
      <c r="D432" s="199"/>
      <c r="E432" s="200"/>
      <c r="F432" s="287"/>
      <c r="G432" s="201"/>
      <c r="H432" s="219"/>
      <c r="I432" s="202"/>
      <c r="J432" s="200"/>
      <c r="K432" s="200"/>
      <c r="L432" s="203"/>
      <c r="M432" s="204">
        <f ca="1">IF(ISERROR(OFFSET(Tabella!$A$1,MATCH(J432,Tabella!$A:$A,0)-1,MATCH(L432,Tabella!$A$1:$AC$1,0)-1)=TRUE),0,+OFFSET(Tabella!$A$1,MATCH(J432,Tabella!$A:$A,0)-1,MATCH(L432,Tabella!$A$1:$AC$1,0)-1))</f>
        <v>0</v>
      </c>
      <c r="N432" s="205">
        <f ca="1">IF(ISERROR(OFFSET(Ottone!$A$1,MATCH(J432,Ottone!$A:$A,0)-1,MATCH(L432,Ottone!$A$1:$Z$1,0)-1)=TRUE),0,OFFSET(Ottone!$A$1,MATCH(J432,Ottone!$A:$A,0)-1,MATCH(L432,Ottone!$A$1:$Z$1,0)-1))*IF(G432="Ottone",1,0)</f>
        <v>0</v>
      </c>
      <c r="O432" s="205">
        <f ca="1">IF(ISERROR(OFFSET(Rame!$A$1,MATCH(J432,Rame!$A:$A,0)-1,MATCH(L432,Rame!$A$1:$AA$1,0)-1)=TRUE),0,OFFSET(Rame!$A$1,MATCH(J432,Rame!$A:$A,0)-1,MATCH(L432,Rame!$A$1:$AA$1,0)-1))*IF(G432="Rame",1,0)</f>
        <v>0</v>
      </c>
      <c r="P432" s="205">
        <v>0</v>
      </c>
      <c r="Q432" s="205">
        <f t="shared" ca="1" si="189"/>
        <v>0</v>
      </c>
      <c r="R432" s="205">
        <f ca="1">+IF(ISERROR(OFFSET(Tabella!$G$1,MATCH(J432,Tabella!$G:$G,0)-1,MATCH(K432,Tabella!$G$1:$FG$1,0)-1)=TRUE),0,OFFSET(Tabella!$G$1,MATCH(J432,Tabella!$G:$G,0)-1,MATCH(K432,Tabella!$G$1:$AB$1,0)-1))</f>
        <v>0</v>
      </c>
      <c r="S432" s="205">
        <f ca="1">IF(ISERROR(OFFSET(Ottone!$F$1,MATCH(J432,Ottone!$A:$A,0)-1,MATCH(K432,Ottone!$F$1:$FF$1,0)-1)=TRUE),0,OFFSET(Ottone!$F$1,MATCH(J432,Ottone!$A:$A,0)-1,MATCH(K432,Ottone!$F$1:$FF$1,0)-1))*IF(G432="Ottone",1,0)</f>
        <v>0</v>
      </c>
      <c r="T432" s="205">
        <f ca="1">IF(ISERROR(OFFSET(Rame!$F$1,MATCH(J432,Rame!$F:$F,0)-1,MATCH(K432,Rame!$F$1:$FF$1,0)-1)=TRUE),0,OFFSET(Rame!$F$1,MATCH(J432,Rame!$F:$F,0)-1,MATCH(K432,Rame!$F$1:$FF$1,0)-1))*IF(G432="Rame",1,0)</f>
        <v>0</v>
      </c>
      <c r="U432" s="205">
        <f ca="1">IF(ISERROR(OFFSET(Bronzo!$A$1,MATCH(J432,Bronzo!$A:$A,0)-1,MATCH(K432,Bronzo!$A$1:$AA$1,0)-1)=TRUE),0,OFFSET(Bronzo!$A$1,MATCH(J432,Bronzo!$A:$A,0)-1,MATCH(K432,Bronzo!$A$1:$AA$1,0)-1))</f>
        <v>0</v>
      </c>
      <c r="V432" s="205">
        <f t="shared" ca="1" si="190"/>
        <v>0</v>
      </c>
      <c r="W432" s="204"/>
      <c r="X432" s="205">
        <v>0</v>
      </c>
      <c r="Y432" s="206">
        <f t="shared" ca="1" si="191"/>
        <v>0</v>
      </c>
      <c r="Z432" s="277">
        <f t="shared" si="192"/>
        <v>0</v>
      </c>
      <c r="AA432" s="203"/>
      <c r="AB432" s="203">
        <f t="shared" ca="1" si="193"/>
        <v>0</v>
      </c>
      <c r="AC432" s="238"/>
      <c r="AI432" s="367">
        <f t="shared" ca="1" si="188"/>
        <v>46092</v>
      </c>
      <c r="AJ432" s="367" t="b">
        <f t="shared" si="194"/>
        <v>1</v>
      </c>
      <c r="AK432" s="370" t="str">
        <f t="shared" si="195"/>
        <v/>
      </c>
      <c r="AN432">
        <f t="shared" si="196"/>
        <v>0</v>
      </c>
      <c r="AO432">
        <f t="shared" si="197"/>
        <v>1900</v>
      </c>
      <c r="AV432">
        <f t="shared" si="198"/>
        <v>0</v>
      </c>
      <c r="AW432">
        <f t="shared" si="199"/>
        <v>0</v>
      </c>
    </row>
    <row r="433" spans="4:49" ht="15.75" x14ac:dyDescent="0.25">
      <c r="D433" s="199"/>
      <c r="E433" s="200"/>
      <c r="F433" s="287"/>
      <c r="G433" s="201"/>
      <c r="H433" s="219"/>
      <c r="I433" s="202"/>
      <c r="J433" s="200"/>
      <c r="K433" s="200"/>
      <c r="L433" s="203"/>
      <c r="M433" s="204">
        <f ca="1">IF(ISERROR(OFFSET(Tabella!$A$1,MATCH(J433,Tabella!$A:$A,0)-1,MATCH(L433,Tabella!$A$1:$AC$1,0)-1)=TRUE),0,+OFFSET(Tabella!$A$1,MATCH(J433,Tabella!$A:$A,0)-1,MATCH(L433,Tabella!$A$1:$AC$1,0)-1))</f>
        <v>0</v>
      </c>
      <c r="N433" s="205">
        <f ca="1">IF(ISERROR(OFFSET(Ottone!$A$1,MATCH(J433,Ottone!$A:$A,0)-1,MATCH(L433,Ottone!$A$1:$Z$1,0)-1)=TRUE),0,OFFSET(Ottone!$A$1,MATCH(J433,Ottone!$A:$A,0)-1,MATCH(L433,Ottone!$A$1:$Z$1,0)-1))*IF(G433="Ottone",1,0)</f>
        <v>0</v>
      </c>
      <c r="O433" s="205">
        <f ca="1">IF(ISERROR(OFFSET(Rame!$A$1,MATCH(J433,Rame!$A:$A,0)-1,MATCH(L433,Rame!$A$1:$AA$1,0)-1)=TRUE),0,OFFSET(Rame!$A$1,MATCH(J433,Rame!$A:$A,0)-1,MATCH(L433,Rame!$A$1:$AA$1,0)-1))*IF(G433="Rame",1,0)</f>
        <v>0</v>
      </c>
      <c r="P433" s="205">
        <v>0</v>
      </c>
      <c r="Q433" s="205">
        <f t="shared" ca="1" si="189"/>
        <v>0</v>
      </c>
      <c r="R433" s="205">
        <f ca="1">+IF(ISERROR(OFFSET(Tabella!$G$1,MATCH(J433,Tabella!$G:$G,0)-1,MATCH(K433,Tabella!$G$1:$FG$1,0)-1)=TRUE),0,OFFSET(Tabella!$G$1,MATCH(J433,Tabella!$G:$G,0)-1,MATCH(K433,Tabella!$G$1:$AB$1,0)-1))</f>
        <v>0</v>
      </c>
      <c r="S433" s="205">
        <f ca="1">IF(ISERROR(OFFSET(Ottone!$F$1,MATCH(J433,Ottone!$A:$A,0)-1,MATCH(K433,Ottone!$F$1:$FF$1,0)-1)=TRUE),0,OFFSET(Ottone!$F$1,MATCH(J433,Ottone!$A:$A,0)-1,MATCH(K433,Ottone!$F$1:$FF$1,0)-1))*IF(G433="Ottone",1,0)</f>
        <v>0</v>
      </c>
      <c r="T433" s="205">
        <f ca="1">IF(ISERROR(OFFSET(Rame!$F$1,MATCH(J433,Rame!$F:$F,0)-1,MATCH(K433,Rame!$F$1:$FF$1,0)-1)=TRUE),0,OFFSET(Rame!$F$1,MATCH(J433,Rame!$F:$F,0)-1,MATCH(K433,Rame!$F$1:$FF$1,0)-1))*IF(G433="Rame",1,0)</f>
        <v>0</v>
      </c>
      <c r="U433" s="205">
        <f ca="1">IF(ISERROR(OFFSET(Bronzo!$A$1,MATCH(J433,Bronzo!$A:$A,0)-1,MATCH(K433,Bronzo!$A$1:$AA$1,0)-1)=TRUE),0,OFFSET(Bronzo!$A$1,MATCH(J433,Bronzo!$A:$A,0)-1,MATCH(K433,Bronzo!$A$1:$AA$1,0)-1))</f>
        <v>0</v>
      </c>
      <c r="V433" s="205">
        <f t="shared" ca="1" si="190"/>
        <v>0</v>
      </c>
      <c r="W433" s="204"/>
      <c r="X433" s="205">
        <v>0</v>
      </c>
      <c r="Y433" s="206">
        <f t="shared" ca="1" si="191"/>
        <v>0</v>
      </c>
      <c r="Z433" s="277">
        <f t="shared" si="192"/>
        <v>0</v>
      </c>
      <c r="AA433" s="203"/>
      <c r="AB433" s="203">
        <f t="shared" ca="1" si="193"/>
        <v>0</v>
      </c>
      <c r="AC433" s="238"/>
      <c r="AI433" s="367">
        <f t="shared" ca="1" si="188"/>
        <v>46092</v>
      </c>
      <c r="AJ433" s="367" t="b">
        <f t="shared" si="194"/>
        <v>1</v>
      </c>
      <c r="AK433" s="370" t="str">
        <f t="shared" si="195"/>
        <v/>
      </c>
      <c r="AN433">
        <f t="shared" si="196"/>
        <v>0</v>
      </c>
      <c r="AO433">
        <f t="shared" si="197"/>
        <v>1900</v>
      </c>
      <c r="AV433">
        <f t="shared" si="198"/>
        <v>0</v>
      </c>
      <c r="AW433">
        <f t="shared" si="199"/>
        <v>0</v>
      </c>
    </row>
    <row r="434" spans="4:49" ht="15.75" x14ac:dyDescent="0.25">
      <c r="D434" s="199"/>
      <c r="E434" s="200"/>
      <c r="F434" s="287"/>
      <c r="G434" s="201"/>
      <c r="H434" s="219"/>
      <c r="I434" s="202"/>
      <c r="J434" s="200"/>
      <c r="K434" s="200"/>
      <c r="L434" s="203"/>
      <c r="M434" s="204">
        <f ca="1">IF(ISERROR(OFFSET(Tabella!$A$1,MATCH(J434,Tabella!$A:$A,0)-1,MATCH(L434,Tabella!$A$1:$AC$1,0)-1)=TRUE),0,+OFFSET(Tabella!$A$1,MATCH(J434,Tabella!$A:$A,0)-1,MATCH(L434,Tabella!$A$1:$AC$1,0)-1))</f>
        <v>0</v>
      </c>
      <c r="N434" s="205">
        <f ca="1">IF(ISERROR(OFFSET(Ottone!$A$1,MATCH(J434,Ottone!$A:$A,0)-1,MATCH(L434,Ottone!$A$1:$Z$1,0)-1)=TRUE),0,OFFSET(Ottone!$A$1,MATCH(J434,Ottone!$A:$A,0)-1,MATCH(L434,Ottone!$A$1:$Z$1,0)-1))*IF(G434="Ottone",1,0)</f>
        <v>0</v>
      </c>
      <c r="O434" s="205">
        <f ca="1">IF(ISERROR(OFFSET(Rame!$A$1,MATCH(J434,Rame!$A:$A,0)-1,MATCH(L434,Rame!$A$1:$AA$1,0)-1)=TRUE),0,OFFSET(Rame!$A$1,MATCH(J434,Rame!$A:$A,0)-1,MATCH(L434,Rame!$A$1:$AA$1,0)-1))*IF(G434="Rame",1,0)</f>
        <v>0</v>
      </c>
      <c r="P434" s="205">
        <v>0</v>
      </c>
      <c r="Q434" s="205">
        <f t="shared" ca="1" si="189"/>
        <v>0</v>
      </c>
      <c r="R434" s="205">
        <f ca="1">+IF(ISERROR(OFFSET(Tabella!$G$1,MATCH(J434,Tabella!$G:$G,0)-1,MATCH(K434,Tabella!$G$1:$FG$1,0)-1)=TRUE),0,OFFSET(Tabella!$G$1,MATCH(J434,Tabella!$G:$G,0)-1,MATCH(K434,Tabella!$G$1:$AB$1,0)-1))</f>
        <v>0</v>
      </c>
      <c r="S434" s="205">
        <f ca="1">IF(ISERROR(OFFSET(Ottone!$F$1,MATCH(J434,Ottone!$A:$A,0)-1,MATCH(K434,Ottone!$F$1:$FF$1,0)-1)=TRUE),0,OFFSET(Ottone!$F$1,MATCH(J434,Ottone!$A:$A,0)-1,MATCH(K434,Ottone!$F$1:$FF$1,0)-1))*IF(G434="Ottone",1,0)</f>
        <v>0</v>
      </c>
      <c r="T434" s="205">
        <f ca="1">IF(ISERROR(OFFSET(Rame!$F$1,MATCH(J434,Rame!$F:$F,0)-1,MATCH(K434,Rame!$F$1:$FF$1,0)-1)=TRUE),0,OFFSET(Rame!$F$1,MATCH(J434,Rame!$F:$F,0)-1,MATCH(K434,Rame!$F$1:$FF$1,0)-1))*IF(G434="Rame",1,0)</f>
        <v>0</v>
      </c>
      <c r="U434" s="205">
        <f ca="1">IF(ISERROR(OFFSET(Bronzo!$A$1,MATCH(J434,Bronzo!$A:$A,0)-1,MATCH(K434,Bronzo!$A$1:$AA$1,0)-1)=TRUE),0,OFFSET(Bronzo!$A$1,MATCH(J434,Bronzo!$A:$A,0)-1,MATCH(K434,Bronzo!$A$1:$AA$1,0)-1))</f>
        <v>0</v>
      </c>
      <c r="V434" s="205">
        <f t="shared" ca="1" si="190"/>
        <v>0</v>
      </c>
      <c r="W434" s="204"/>
      <c r="X434" s="205">
        <v>0</v>
      </c>
      <c r="Y434" s="206">
        <f t="shared" ca="1" si="191"/>
        <v>0</v>
      </c>
      <c r="Z434" s="277">
        <f t="shared" si="192"/>
        <v>0</v>
      </c>
      <c r="AA434" s="203"/>
      <c r="AB434" s="203">
        <f t="shared" ca="1" si="193"/>
        <v>0</v>
      </c>
      <c r="AC434" s="238"/>
      <c r="AI434" s="367">
        <f t="shared" ca="1" si="188"/>
        <v>46092</v>
      </c>
      <c r="AJ434" s="367" t="b">
        <f t="shared" si="194"/>
        <v>1</v>
      </c>
      <c r="AK434" s="370" t="str">
        <f t="shared" si="195"/>
        <v/>
      </c>
      <c r="AN434">
        <f t="shared" si="196"/>
        <v>0</v>
      </c>
      <c r="AO434">
        <f t="shared" si="197"/>
        <v>1900</v>
      </c>
      <c r="AV434">
        <f t="shared" si="198"/>
        <v>0</v>
      </c>
      <c r="AW434">
        <f t="shared" si="199"/>
        <v>0</v>
      </c>
    </row>
    <row r="435" spans="4:49" ht="15.75" x14ac:dyDescent="0.25">
      <c r="D435" s="199"/>
      <c r="E435" s="200"/>
      <c r="F435" s="287"/>
      <c r="G435" s="201"/>
      <c r="H435" s="219"/>
      <c r="I435" s="202"/>
      <c r="J435" s="200"/>
      <c r="K435" s="200"/>
      <c r="L435" s="203"/>
      <c r="M435" s="204">
        <f ca="1">IF(ISERROR(OFFSET(Tabella!$A$1,MATCH(J435,Tabella!$A:$A,0)-1,MATCH(L435,Tabella!$A$1:$AC$1,0)-1)=TRUE),0,+OFFSET(Tabella!$A$1,MATCH(J435,Tabella!$A:$A,0)-1,MATCH(L435,Tabella!$A$1:$AC$1,0)-1))</f>
        <v>0</v>
      </c>
      <c r="N435" s="205">
        <f ca="1">IF(ISERROR(OFFSET(Ottone!$A$1,MATCH(J435,Ottone!$A:$A,0)-1,MATCH(L435,Ottone!$A$1:$Z$1,0)-1)=TRUE),0,OFFSET(Ottone!$A$1,MATCH(J435,Ottone!$A:$A,0)-1,MATCH(L435,Ottone!$A$1:$Z$1,0)-1))*IF(G435="Ottone",1,0)</f>
        <v>0</v>
      </c>
      <c r="O435" s="205">
        <f ca="1">IF(ISERROR(OFFSET(Rame!$A$1,MATCH(J435,Rame!$A:$A,0)-1,MATCH(L435,Rame!$A$1:$AA$1,0)-1)=TRUE),0,OFFSET(Rame!$A$1,MATCH(J435,Rame!$A:$A,0)-1,MATCH(L435,Rame!$A$1:$AA$1,0)-1))*IF(G435="Rame",1,0)</f>
        <v>0</v>
      </c>
      <c r="P435" s="205">
        <v>0</v>
      </c>
      <c r="Q435" s="205">
        <f t="shared" ca="1" si="189"/>
        <v>0</v>
      </c>
      <c r="R435" s="205">
        <f ca="1">+IF(ISERROR(OFFSET(Tabella!$G$1,MATCH(J435,Tabella!$G:$G,0)-1,MATCH(K435,Tabella!$G$1:$FG$1,0)-1)=TRUE),0,OFFSET(Tabella!$G$1,MATCH(J435,Tabella!$G:$G,0)-1,MATCH(K435,Tabella!$G$1:$AB$1,0)-1))</f>
        <v>0</v>
      </c>
      <c r="S435" s="205">
        <f ca="1">IF(ISERROR(OFFSET(Ottone!$F$1,MATCH(J435,Ottone!$A:$A,0)-1,MATCH(K435,Ottone!$F$1:$FF$1,0)-1)=TRUE),0,OFFSET(Ottone!$F$1,MATCH(J435,Ottone!$A:$A,0)-1,MATCH(K435,Ottone!$F$1:$FF$1,0)-1))*IF(G435="Ottone",1,0)</f>
        <v>0</v>
      </c>
      <c r="T435" s="205">
        <f ca="1">IF(ISERROR(OFFSET(Rame!$F$1,MATCH(J435,Rame!$F:$F,0)-1,MATCH(K435,Rame!$F$1:$FF$1,0)-1)=TRUE),0,OFFSET(Rame!$F$1,MATCH(J435,Rame!$F:$F,0)-1,MATCH(K435,Rame!$F$1:$FF$1,0)-1))*IF(G435="Rame",1,0)</f>
        <v>0</v>
      </c>
      <c r="U435" s="205">
        <f ca="1">IF(ISERROR(OFFSET(Bronzo!$A$1,MATCH(J435,Bronzo!$A:$A,0)-1,MATCH(K435,Bronzo!$A$1:$AA$1,0)-1)=TRUE),0,OFFSET(Bronzo!$A$1,MATCH(J435,Bronzo!$A:$A,0)-1,MATCH(K435,Bronzo!$A$1:$AA$1,0)-1))</f>
        <v>0</v>
      </c>
      <c r="V435" s="205">
        <f t="shared" ca="1" si="190"/>
        <v>0</v>
      </c>
      <c r="W435" s="204"/>
      <c r="X435" s="205">
        <v>0</v>
      </c>
      <c r="Y435" s="206">
        <f t="shared" ca="1" si="191"/>
        <v>0</v>
      </c>
      <c r="Z435" s="277">
        <f t="shared" si="192"/>
        <v>0</v>
      </c>
      <c r="AA435" s="203"/>
      <c r="AB435" s="203">
        <f t="shared" ca="1" si="193"/>
        <v>0</v>
      </c>
      <c r="AC435" s="238"/>
      <c r="AI435" s="367">
        <f t="shared" ca="1" si="188"/>
        <v>46092</v>
      </c>
      <c r="AJ435" s="367" t="b">
        <f t="shared" si="194"/>
        <v>1</v>
      </c>
      <c r="AK435" s="370" t="str">
        <f t="shared" si="195"/>
        <v/>
      </c>
      <c r="AN435">
        <f t="shared" si="196"/>
        <v>0</v>
      </c>
      <c r="AO435">
        <f t="shared" si="197"/>
        <v>1900</v>
      </c>
      <c r="AV435">
        <f t="shared" si="198"/>
        <v>0</v>
      </c>
      <c r="AW435">
        <f t="shared" si="199"/>
        <v>0</v>
      </c>
    </row>
    <row r="436" spans="4:49" ht="15.75" x14ac:dyDescent="0.25">
      <c r="D436" s="199"/>
      <c r="E436" s="200"/>
      <c r="F436" s="287"/>
      <c r="G436" s="201"/>
      <c r="H436" s="219"/>
      <c r="I436" s="202"/>
      <c r="J436" s="200"/>
      <c r="K436" s="200"/>
      <c r="L436" s="203"/>
      <c r="M436" s="204">
        <f ca="1">IF(ISERROR(OFFSET(Tabella!$A$1,MATCH(J436,Tabella!$A:$A,0)-1,MATCH(L436,Tabella!$A$1:$AC$1,0)-1)=TRUE),0,+OFFSET(Tabella!$A$1,MATCH(J436,Tabella!$A:$A,0)-1,MATCH(L436,Tabella!$A$1:$AC$1,0)-1))</f>
        <v>0</v>
      </c>
      <c r="N436" s="205">
        <f ca="1">IF(ISERROR(OFFSET(Ottone!$A$1,MATCH(J436,Ottone!$A:$A,0)-1,MATCH(L436,Ottone!$A$1:$Z$1,0)-1)=TRUE),0,OFFSET(Ottone!$A$1,MATCH(J436,Ottone!$A:$A,0)-1,MATCH(L436,Ottone!$A$1:$Z$1,0)-1))*IF(G436="Ottone",1,0)</f>
        <v>0</v>
      </c>
      <c r="O436" s="205">
        <f ca="1">IF(ISERROR(OFFSET(Rame!$A$1,MATCH(J436,Rame!$A:$A,0)-1,MATCH(L436,Rame!$A$1:$AA$1,0)-1)=TRUE),0,OFFSET(Rame!$A$1,MATCH(J436,Rame!$A:$A,0)-1,MATCH(L436,Rame!$A$1:$AA$1,0)-1))*IF(G436="Rame",1,0)</f>
        <v>0</v>
      </c>
      <c r="P436" s="205">
        <v>0</v>
      </c>
      <c r="Q436" s="205">
        <f t="shared" ca="1" si="189"/>
        <v>0</v>
      </c>
      <c r="R436" s="205">
        <f ca="1">+IF(ISERROR(OFFSET(Tabella!$G$1,MATCH(J436,Tabella!$G:$G,0)-1,MATCH(K436,Tabella!$G$1:$FG$1,0)-1)=TRUE),0,OFFSET(Tabella!$G$1,MATCH(J436,Tabella!$G:$G,0)-1,MATCH(K436,Tabella!$G$1:$AB$1,0)-1))</f>
        <v>0</v>
      </c>
      <c r="S436" s="205">
        <f ca="1">IF(ISERROR(OFFSET(Ottone!$F$1,MATCH(J436,Ottone!$A:$A,0)-1,MATCH(K436,Ottone!$F$1:$FF$1,0)-1)=TRUE),0,OFFSET(Ottone!$F$1,MATCH(J436,Ottone!$A:$A,0)-1,MATCH(K436,Ottone!$F$1:$FF$1,0)-1))*IF(G436="Ottone",1,0)</f>
        <v>0</v>
      </c>
      <c r="T436" s="205">
        <f ca="1">IF(ISERROR(OFFSET(Rame!$F$1,MATCH(J436,Rame!$F:$F,0)-1,MATCH(K436,Rame!$F$1:$FF$1,0)-1)=TRUE),0,OFFSET(Rame!$F$1,MATCH(J436,Rame!$F:$F,0)-1,MATCH(K436,Rame!$F$1:$FF$1,0)-1))*IF(G436="Rame",1,0)</f>
        <v>0</v>
      </c>
      <c r="U436" s="205">
        <f ca="1">IF(ISERROR(OFFSET(Bronzo!$A$1,MATCH(J436,Bronzo!$A:$A,0)-1,MATCH(K436,Bronzo!$A$1:$AA$1,0)-1)=TRUE),0,OFFSET(Bronzo!$A$1,MATCH(J436,Bronzo!$A:$A,0)-1,MATCH(K436,Bronzo!$A$1:$AA$1,0)-1))</f>
        <v>0</v>
      </c>
      <c r="V436" s="205">
        <f t="shared" ca="1" si="190"/>
        <v>0</v>
      </c>
      <c r="W436" s="204"/>
      <c r="X436" s="205">
        <v>0</v>
      </c>
      <c r="Y436" s="206">
        <f t="shared" ca="1" si="191"/>
        <v>0</v>
      </c>
      <c r="Z436" s="277">
        <f t="shared" si="192"/>
        <v>0</v>
      </c>
      <c r="AA436" s="203"/>
      <c r="AB436" s="203">
        <f t="shared" ca="1" si="193"/>
        <v>0</v>
      </c>
      <c r="AC436" s="238"/>
      <c r="AI436" s="367">
        <f t="shared" ca="1" si="188"/>
        <v>46092</v>
      </c>
      <c r="AJ436" s="367" t="b">
        <f t="shared" si="194"/>
        <v>1</v>
      </c>
      <c r="AK436" s="370" t="str">
        <f t="shared" si="195"/>
        <v/>
      </c>
      <c r="AN436">
        <f t="shared" si="196"/>
        <v>0</v>
      </c>
      <c r="AO436">
        <f t="shared" si="197"/>
        <v>1900</v>
      </c>
      <c r="AV436">
        <f t="shared" si="198"/>
        <v>0</v>
      </c>
      <c r="AW436">
        <f t="shared" si="199"/>
        <v>0</v>
      </c>
    </row>
    <row r="437" spans="4:49" ht="15.75" x14ac:dyDescent="0.25">
      <c r="D437" s="199"/>
      <c r="E437" s="200"/>
      <c r="F437" s="287"/>
      <c r="G437" s="201"/>
      <c r="H437" s="219"/>
      <c r="I437" s="202"/>
      <c r="J437" s="200"/>
      <c r="K437" s="200"/>
      <c r="L437" s="203"/>
      <c r="M437" s="204">
        <f ca="1">IF(ISERROR(OFFSET(Tabella!$A$1,MATCH(J437,Tabella!$A:$A,0)-1,MATCH(L437,Tabella!$A$1:$AC$1,0)-1)=TRUE),0,+OFFSET(Tabella!$A$1,MATCH(J437,Tabella!$A:$A,0)-1,MATCH(L437,Tabella!$A$1:$AC$1,0)-1))</f>
        <v>0</v>
      </c>
      <c r="N437" s="205">
        <f ca="1">IF(ISERROR(OFFSET(Ottone!$A$1,MATCH(J437,Ottone!$A:$A,0)-1,MATCH(L437,Ottone!$A$1:$Z$1,0)-1)=TRUE),0,OFFSET(Ottone!$A$1,MATCH(J437,Ottone!$A:$A,0)-1,MATCH(L437,Ottone!$A$1:$Z$1,0)-1))*IF(G437="Ottone",1,0)</f>
        <v>0</v>
      </c>
      <c r="O437" s="205">
        <f ca="1">IF(ISERROR(OFFSET(Rame!$A$1,MATCH(J437,Rame!$A:$A,0)-1,MATCH(L437,Rame!$A$1:$AA$1,0)-1)=TRUE),0,OFFSET(Rame!$A$1,MATCH(J437,Rame!$A:$A,0)-1,MATCH(L437,Rame!$A$1:$AA$1,0)-1))*IF(G437="Rame",1,0)</f>
        <v>0</v>
      </c>
      <c r="P437" s="205">
        <v>0</v>
      </c>
      <c r="Q437" s="205">
        <f t="shared" ca="1" si="189"/>
        <v>0</v>
      </c>
      <c r="R437" s="205">
        <f ca="1">+IF(ISERROR(OFFSET(Tabella!$G$1,MATCH(J437,Tabella!$G:$G,0)-1,MATCH(K437,Tabella!$G$1:$FG$1,0)-1)=TRUE),0,OFFSET(Tabella!$G$1,MATCH(J437,Tabella!$G:$G,0)-1,MATCH(K437,Tabella!$G$1:$AB$1,0)-1))</f>
        <v>0</v>
      </c>
      <c r="S437" s="205">
        <f ca="1">IF(ISERROR(OFFSET(Ottone!$F$1,MATCH(J437,Ottone!$A:$A,0)-1,MATCH(K437,Ottone!$F$1:$FF$1,0)-1)=TRUE),0,OFFSET(Ottone!$F$1,MATCH(J437,Ottone!$A:$A,0)-1,MATCH(K437,Ottone!$F$1:$FF$1,0)-1))*IF(G437="Ottone",1,0)</f>
        <v>0</v>
      </c>
      <c r="T437" s="205">
        <f ca="1">IF(ISERROR(OFFSET(Rame!$F$1,MATCH(J437,Rame!$F:$F,0)-1,MATCH(K437,Rame!$F$1:$FF$1,0)-1)=TRUE),0,OFFSET(Rame!$F$1,MATCH(J437,Rame!$F:$F,0)-1,MATCH(K437,Rame!$F$1:$FF$1,0)-1))*IF(G437="Rame",1,0)</f>
        <v>0</v>
      </c>
      <c r="U437" s="205">
        <f ca="1">IF(ISERROR(OFFSET(Bronzo!$A$1,MATCH(J437,Bronzo!$A:$A,0)-1,MATCH(K437,Bronzo!$A$1:$AA$1,0)-1)=TRUE),0,OFFSET(Bronzo!$A$1,MATCH(J437,Bronzo!$A:$A,0)-1,MATCH(K437,Bronzo!$A$1:$AA$1,0)-1))</f>
        <v>0</v>
      </c>
      <c r="V437" s="205">
        <f t="shared" ca="1" si="190"/>
        <v>0</v>
      </c>
      <c r="W437" s="204"/>
      <c r="X437" s="205">
        <v>0</v>
      </c>
      <c r="Y437" s="206">
        <f t="shared" ca="1" si="191"/>
        <v>0</v>
      </c>
      <c r="Z437" s="277">
        <f t="shared" si="192"/>
        <v>0</v>
      </c>
      <c r="AA437" s="203"/>
      <c r="AB437" s="203">
        <f t="shared" ca="1" si="193"/>
        <v>0</v>
      </c>
      <c r="AC437" s="238"/>
      <c r="AI437" s="367">
        <f t="shared" ca="1" si="188"/>
        <v>46092</v>
      </c>
      <c r="AJ437" s="367" t="b">
        <f t="shared" si="194"/>
        <v>1</v>
      </c>
      <c r="AK437" s="370" t="str">
        <f t="shared" si="195"/>
        <v/>
      </c>
      <c r="AN437">
        <f t="shared" si="196"/>
        <v>0</v>
      </c>
      <c r="AO437">
        <f t="shared" si="197"/>
        <v>1900</v>
      </c>
      <c r="AV437">
        <f t="shared" si="198"/>
        <v>0</v>
      </c>
      <c r="AW437">
        <f t="shared" si="199"/>
        <v>0</v>
      </c>
    </row>
    <row r="438" spans="4:49" ht="15.75" x14ac:dyDescent="0.25">
      <c r="D438" s="199"/>
      <c r="E438" s="200"/>
      <c r="F438" s="287"/>
      <c r="G438" s="201"/>
      <c r="H438" s="219"/>
      <c r="I438" s="202"/>
      <c r="J438" s="200"/>
      <c r="K438" s="200"/>
      <c r="L438" s="203"/>
      <c r="M438" s="204">
        <f ca="1">IF(ISERROR(OFFSET(Tabella!$A$1,MATCH(J438,Tabella!$A:$A,0)-1,MATCH(L438,Tabella!$A$1:$AC$1,0)-1)=TRUE),0,+OFFSET(Tabella!$A$1,MATCH(J438,Tabella!$A:$A,0)-1,MATCH(L438,Tabella!$A$1:$AC$1,0)-1))</f>
        <v>0</v>
      </c>
      <c r="N438" s="205">
        <f ca="1">IF(ISERROR(OFFSET(Ottone!$A$1,MATCH(J438,Ottone!$A:$A,0)-1,MATCH(L438,Ottone!$A$1:$Z$1,0)-1)=TRUE),0,OFFSET(Ottone!$A$1,MATCH(J438,Ottone!$A:$A,0)-1,MATCH(L438,Ottone!$A$1:$Z$1,0)-1))*IF(G438="Ottone",1,0)</f>
        <v>0</v>
      </c>
      <c r="O438" s="205">
        <f ca="1">IF(ISERROR(OFFSET(Rame!$A$1,MATCH(J438,Rame!$A:$A,0)-1,MATCH(L438,Rame!$A$1:$AA$1,0)-1)=TRUE),0,OFFSET(Rame!$A$1,MATCH(J438,Rame!$A:$A,0)-1,MATCH(L438,Rame!$A$1:$AA$1,0)-1))*IF(G438="Rame",1,0)</f>
        <v>0</v>
      </c>
      <c r="P438" s="205">
        <v>0</v>
      </c>
      <c r="Q438" s="205">
        <f t="shared" ca="1" si="189"/>
        <v>0</v>
      </c>
      <c r="R438" s="205">
        <f ca="1">+IF(ISERROR(OFFSET(Tabella!$G$1,MATCH(J438,Tabella!$G:$G,0)-1,MATCH(K438,Tabella!$G$1:$FG$1,0)-1)=TRUE),0,OFFSET(Tabella!$G$1,MATCH(J438,Tabella!$G:$G,0)-1,MATCH(K438,Tabella!$G$1:$AB$1,0)-1))</f>
        <v>0</v>
      </c>
      <c r="S438" s="205">
        <f ca="1">IF(ISERROR(OFFSET(Ottone!$F$1,MATCH(J438,Ottone!$A:$A,0)-1,MATCH(K438,Ottone!$F$1:$FF$1,0)-1)=TRUE),0,OFFSET(Ottone!$F$1,MATCH(J438,Ottone!$A:$A,0)-1,MATCH(K438,Ottone!$F$1:$FF$1,0)-1))*IF(G438="Ottone",1,0)</f>
        <v>0</v>
      </c>
      <c r="T438" s="205">
        <f ca="1">IF(ISERROR(OFFSET(Rame!$F$1,MATCH(J438,Rame!$F:$F,0)-1,MATCH(K438,Rame!$F$1:$FF$1,0)-1)=TRUE),0,OFFSET(Rame!$F$1,MATCH(J438,Rame!$F:$F,0)-1,MATCH(K438,Rame!$F$1:$FF$1,0)-1))*IF(G438="Rame",1,0)</f>
        <v>0</v>
      </c>
      <c r="U438" s="205">
        <f ca="1">IF(ISERROR(OFFSET(Bronzo!$A$1,MATCH(J438,Bronzo!$A:$A,0)-1,MATCH(K438,Bronzo!$A$1:$AA$1,0)-1)=TRUE),0,OFFSET(Bronzo!$A$1,MATCH(J438,Bronzo!$A:$A,0)-1,MATCH(K438,Bronzo!$A$1:$AA$1,0)-1))</f>
        <v>0</v>
      </c>
      <c r="V438" s="205">
        <f t="shared" ca="1" si="190"/>
        <v>0</v>
      </c>
      <c r="W438" s="204"/>
      <c r="X438" s="205">
        <v>0</v>
      </c>
      <c r="Y438" s="206">
        <f t="shared" ca="1" si="191"/>
        <v>0</v>
      </c>
      <c r="Z438" s="277">
        <f t="shared" si="192"/>
        <v>0</v>
      </c>
      <c r="AA438" s="203"/>
      <c r="AB438" s="203">
        <f t="shared" ca="1" si="193"/>
        <v>0</v>
      </c>
      <c r="AC438" s="238"/>
      <c r="AI438" s="367">
        <f t="shared" ca="1" si="188"/>
        <v>46092</v>
      </c>
      <c r="AJ438" s="367" t="b">
        <f t="shared" si="194"/>
        <v>1</v>
      </c>
      <c r="AK438" s="370" t="str">
        <f t="shared" si="195"/>
        <v/>
      </c>
      <c r="AN438">
        <f t="shared" si="196"/>
        <v>0</v>
      </c>
      <c r="AO438">
        <f t="shared" si="197"/>
        <v>1900</v>
      </c>
      <c r="AV438">
        <f t="shared" si="198"/>
        <v>0</v>
      </c>
      <c r="AW438">
        <f t="shared" si="199"/>
        <v>0</v>
      </c>
    </row>
    <row r="439" spans="4:49" ht="15.75" x14ac:dyDescent="0.25">
      <c r="D439" s="199"/>
      <c r="E439" s="200"/>
      <c r="F439" s="287"/>
      <c r="G439" s="201"/>
      <c r="H439" s="219"/>
      <c r="I439" s="202"/>
      <c r="J439" s="200"/>
      <c r="K439" s="200"/>
      <c r="L439" s="203"/>
      <c r="M439" s="204">
        <f ca="1">IF(ISERROR(OFFSET(Tabella!$A$1,MATCH(J439,Tabella!$A:$A,0)-1,MATCH(L439,Tabella!$A$1:$AC$1,0)-1)=TRUE),0,+OFFSET(Tabella!$A$1,MATCH(J439,Tabella!$A:$A,0)-1,MATCH(L439,Tabella!$A$1:$AC$1,0)-1))</f>
        <v>0</v>
      </c>
      <c r="N439" s="205">
        <f ca="1">IF(ISERROR(OFFSET(Ottone!$A$1,MATCH(J439,Ottone!$A:$A,0)-1,MATCH(L439,Ottone!$A$1:$Z$1,0)-1)=TRUE),0,OFFSET(Ottone!$A$1,MATCH(J439,Ottone!$A:$A,0)-1,MATCH(L439,Ottone!$A$1:$Z$1,0)-1))*IF(G439="Ottone",1,0)</f>
        <v>0</v>
      </c>
      <c r="O439" s="205">
        <f ca="1">IF(ISERROR(OFFSET(Rame!$A$1,MATCH(J439,Rame!$A:$A,0)-1,MATCH(L439,Rame!$A$1:$AA$1,0)-1)=TRUE),0,OFFSET(Rame!$A$1,MATCH(J439,Rame!$A:$A,0)-1,MATCH(L439,Rame!$A$1:$AA$1,0)-1))*IF(G439="Rame",1,0)</f>
        <v>0</v>
      </c>
      <c r="P439" s="205">
        <v>0</v>
      </c>
      <c r="Q439" s="205">
        <f t="shared" ca="1" si="189"/>
        <v>0</v>
      </c>
      <c r="R439" s="205">
        <f ca="1">+IF(ISERROR(OFFSET(Tabella!$G$1,MATCH(J439,Tabella!$G:$G,0)-1,MATCH(K439,Tabella!$G$1:$FG$1,0)-1)=TRUE),0,OFFSET(Tabella!$G$1,MATCH(J439,Tabella!$G:$G,0)-1,MATCH(K439,Tabella!$G$1:$AB$1,0)-1))</f>
        <v>0</v>
      </c>
      <c r="S439" s="205">
        <f ca="1">IF(ISERROR(OFFSET(Ottone!$F$1,MATCH(J439,Ottone!$A:$A,0)-1,MATCH(K439,Ottone!$F$1:$FF$1,0)-1)=TRUE),0,OFFSET(Ottone!$F$1,MATCH(J439,Ottone!$A:$A,0)-1,MATCH(K439,Ottone!$F$1:$FF$1,0)-1))*IF(G439="Ottone",1,0)</f>
        <v>0</v>
      </c>
      <c r="T439" s="205">
        <f ca="1">IF(ISERROR(OFFSET(Rame!$F$1,MATCH(J439,Rame!$F:$F,0)-1,MATCH(K439,Rame!$F$1:$FF$1,0)-1)=TRUE),0,OFFSET(Rame!$F$1,MATCH(J439,Rame!$F:$F,0)-1,MATCH(K439,Rame!$F$1:$FF$1,0)-1))*IF(G439="Rame",1,0)</f>
        <v>0</v>
      </c>
      <c r="U439" s="205">
        <f ca="1">IF(ISERROR(OFFSET(Bronzo!$A$1,MATCH(J439,Bronzo!$A:$A,0)-1,MATCH(K439,Bronzo!$A$1:$AA$1,0)-1)=TRUE),0,OFFSET(Bronzo!$A$1,MATCH(J439,Bronzo!$A:$A,0)-1,MATCH(K439,Bronzo!$A$1:$AA$1,0)-1))</f>
        <v>0</v>
      </c>
      <c r="V439" s="205">
        <f t="shared" ca="1" si="190"/>
        <v>0</v>
      </c>
      <c r="W439" s="204"/>
      <c r="X439" s="205">
        <v>0</v>
      </c>
      <c r="Y439" s="206">
        <f t="shared" ca="1" si="191"/>
        <v>0</v>
      </c>
      <c r="Z439" s="277">
        <f t="shared" si="192"/>
        <v>0</v>
      </c>
      <c r="AA439" s="203"/>
      <c r="AB439" s="203">
        <f t="shared" ca="1" si="193"/>
        <v>0</v>
      </c>
      <c r="AC439" s="238"/>
      <c r="AI439" s="367">
        <f t="shared" ca="1" si="188"/>
        <v>46092</v>
      </c>
      <c r="AJ439" s="367" t="b">
        <f t="shared" si="194"/>
        <v>1</v>
      </c>
      <c r="AK439" s="370" t="str">
        <f t="shared" si="195"/>
        <v/>
      </c>
      <c r="AN439">
        <f t="shared" si="196"/>
        <v>0</v>
      </c>
      <c r="AO439">
        <f t="shared" si="197"/>
        <v>1900</v>
      </c>
      <c r="AV439">
        <f t="shared" si="198"/>
        <v>0</v>
      </c>
      <c r="AW439">
        <f t="shared" si="199"/>
        <v>0</v>
      </c>
    </row>
    <row r="440" spans="4:49" ht="15.75" x14ac:dyDescent="0.25">
      <c r="D440" s="199"/>
      <c r="E440" s="200"/>
      <c r="F440" s="287"/>
      <c r="G440" s="201"/>
      <c r="H440" s="219"/>
      <c r="I440" s="202"/>
      <c r="J440" s="200"/>
      <c r="K440" s="200"/>
      <c r="L440" s="203"/>
      <c r="M440" s="204">
        <f ca="1">IF(ISERROR(OFFSET(Tabella!$A$1,MATCH(J440,Tabella!$A:$A,0)-1,MATCH(L440,Tabella!$A$1:$AC$1,0)-1)=TRUE),0,+OFFSET(Tabella!$A$1,MATCH(J440,Tabella!$A:$A,0)-1,MATCH(L440,Tabella!$A$1:$AC$1,0)-1))</f>
        <v>0</v>
      </c>
      <c r="N440" s="205">
        <f ca="1">IF(ISERROR(OFFSET(Ottone!$A$1,MATCH(J440,Ottone!$A:$A,0)-1,MATCH(L440,Ottone!$A$1:$Z$1,0)-1)=TRUE),0,OFFSET(Ottone!$A$1,MATCH(J440,Ottone!$A:$A,0)-1,MATCH(L440,Ottone!$A$1:$Z$1,0)-1))*IF(G440="Ottone",1,0)</f>
        <v>0</v>
      </c>
      <c r="O440" s="205">
        <f ca="1">IF(ISERROR(OFFSET(Rame!$A$1,MATCH(J440,Rame!$A:$A,0)-1,MATCH(L440,Rame!$A$1:$AA$1,0)-1)=TRUE),0,OFFSET(Rame!$A$1,MATCH(J440,Rame!$A:$A,0)-1,MATCH(L440,Rame!$A$1:$AA$1,0)-1))*IF(G440="Rame",1,0)</f>
        <v>0</v>
      </c>
      <c r="P440" s="205">
        <v>0</v>
      </c>
      <c r="Q440" s="205">
        <f t="shared" ca="1" si="189"/>
        <v>0</v>
      </c>
      <c r="R440" s="205">
        <f ca="1">+IF(ISERROR(OFFSET(Tabella!$G$1,MATCH(J440,Tabella!$G:$G,0)-1,MATCH(K440,Tabella!$G$1:$FG$1,0)-1)=TRUE),0,OFFSET(Tabella!$G$1,MATCH(J440,Tabella!$G:$G,0)-1,MATCH(K440,Tabella!$G$1:$AB$1,0)-1))</f>
        <v>0</v>
      </c>
      <c r="S440" s="205">
        <f ca="1">IF(ISERROR(OFFSET(Ottone!$F$1,MATCH(J440,Ottone!$A:$A,0)-1,MATCH(K440,Ottone!$F$1:$FF$1,0)-1)=TRUE),0,OFFSET(Ottone!$F$1,MATCH(J440,Ottone!$A:$A,0)-1,MATCH(K440,Ottone!$F$1:$FF$1,0)-1))*IF(G440="Ottone",1,0)</f>
        <v>0</v>
      </c>
      <c r="T440" s="205">
        <f ca="1">IF(ISERROR(OFFSET(Rame!$F$1,MATCH(J440,Rame!$F:$F,0)-1,MATCH(K440,Rame!$F$1:$FF$1,0)-1)=TRUE),0,OFFSET(Rame!$F$1,MATCH(J440,Rame!$F:$F,0)-1,MATCH(K440,Rame!$F$1:$FF$1,0)-1))*IF(G440="Rame",1,0)</f>
        <v>0</v>
      </c>
      <c r="U440" s="205">
        <f ca="1">IF(ISERROR(OFFSET(Bronzo!$A$1,MATCH(J440,Bronzo!$A:$A,0)-1,MATCH(K440,Bronzo!$A$1:$AA$1,0)-1)=TRUE),0,OFFSET(Bronzo!$A$1,MATCH(J440,Bronzo!$A:$A,0)-1,MATCH(K440,Bronzo!$A$1:$AA$1,0)-1))</f>
        <v>0</v>
      </c>
      <c r="V440" s="205">
        <f t="shared" ca="1" si="190"/>
        <v>0</v>
      </c>
      <c r="W440" s="204"/>
      <c r="X440" s="205">
        <v>0</v>
      </c>
      <c r="Y440" s="206">
        <f t="shared" ca="1" si="191"/>
        <v>0</v>
      </c>
      <c r="Z440" s="277">
        <f t="shared" si="192"/>
        <v>0</v>
      </c>
      <c r="AA440" s="203"/>
      <c r="AB440" s="203">
        <f t="shared" ca="1" si="193"/>
        <v>0</v>
      </c>
      <c r="AC440" s="238"/>
      <c r="AI440" s="367">
        <f t="shared" ca="1" si="188"/>
        <v>46092</v>
      </c>
      <c r="AJ440" s="367" t="b">
        <f t="shared" si="194"/>
        <v>1</v>
      </c>
      <c r="AK440" s="370" t="str">
        <f t="shared" si="195"/>
        <v/>
      </c>
      <c r="AN440">
        <f t="shared" si="196"/>
        <v>0</v>
      </c>
      <c r="AO440">
        <f t="shared" si="197"/>
        <v>1900</v>
      </c>
      <c r="AV440">
        <f t="shared" si="198"/>
        <v>0</v>
      </c>
      <c r="AW440">
        <f t="shared" si="199"/>
        <v>0</v>
      </c>
    </row>
    <row r="441" spans="4:49" ht="15.75" x14ac:dyDescent="0.25">
      <c r="D441" s="199"/>
      <c r="E441" s="200"/>
      <c r="F441" s="287"/>
      <c r="G441" s="201"/>
      <c r="H441" s="219"/>
      <c r="I441" s="202"/>
      <c r="J441" s="200"/>
      <c r="K441" s="200"/>
      <c r="L441" s="203"/>
      <c r="M441" s="204">
        <f ca="1">IF(ISERROR(OFFSET(Tabella!$A$1,MATCH(J441,Tabella!$A:$A,0)-1,MATCH(L441,Tabella!$A$1:$AC$1,0)-1)=TRUE),0,+OFFSET(Tabella!$A$1,MATCH(J441,Tabella!$A:$A,0)-1,MATCH(L441,Tabella!$A$1:$AC$1,0)-1))</f>
        <v>0</v>
      </c>
      <c r="N441" s="205">
        <f ca="1">IF(ISERROR(OFFSET(Ottone!$A$1,MATCH(J441,Ottone!$A:$A,0)-1,MATCH(L441,Ottone!$A$1:$Z$1,0)-1)=TRUE),0,OFFSET(Ottone!$A$1,MATCH(J441,Ottone!$A:$A,0)-1,MATCH(L441,Ottone!$A$1:$Z$1,0)-1))*IF(G441="Ottone",1,0)</f>
        <v>0</v>
      </c>
      <c r="O441" s="205">
        <f ca="1">IF(ISERROR(OFFSET(Rame!$A$1,MATCH(J441,Rame!$A:$A,0)-1,MATCH(L441,Rame!$A$1:$AA$1,0)-1)=TRUE),0,OFFSET(Rame!$A$1,MATCH(J441,Rame!$A:$A,0)-1,MATCH(L441,Rame!$A$1:$AA$1,0)-1))*IF(G441="Rame",1,0)</f>
        <v>0</v>
      </c>
      <c r="P441" s="205">
        <v>0</v>
      </c>
      <c r="Q441" s="205">
        <f t="shared" ca="1" si="189"/>
        <v>0</v>
      </c>
      <c r="R441" s="205">
        <f ca="1">+IF(ISERROR(OFFSET(Tabella!$G$1,MATCH(J441,Tabella!$G:$G,0)-1,MATCH(K441,Tabella!$G$1:$FG$1,0)-1)=TRUE),0,OFFSET(Tabella!$G$1,MATCH(J441,Tabella!$G:$G,0)-1,MATCH(K441,Tabella!$G$1:$AB$1,0)-1))</f>
        <v>0</v>
      </c>
      <c r="S441" s="205">
        <f ca="1">IF(ISERROR(OFFSET(Ottone!$F$1,MATCH(J441,Ottone!$A:$A,0)-1,MATCH(K441,Ottone!$F$1:$FF$1,0)-1)=TRUE),0,OFFSET(Ottone!$F$1,MATCH(J441,Ottone!$A:$A,0)-1,MATCH(K441,Ottone!$F$1:$FF$1,0)-1))*IF(G441="Ottone",1,0)</f>
        <v>0</v>
      </c>
      <c r="T441" s="205">
        <f ca="1">IF(ISERROR(OFFSET(Rame!$F$1,MATCH(J441,Rame!$F:$F,0)-1,MATCH(K441,Rame!$F$1:$FF$1,0)-1)=TRUE),0,OFFSET(Rame!$F$1,MATCH(J441,Rame!$F:$F,0)-1,MATCH(K441,Rame!$F$1:$FF$1,0)-1))*IF(G441="Rame",1,0)</f>
        <v>0</v>
      </c>
      <c r="U441" s="205">
        <f ca="1">IF(ISERROR(OFFSET(Bronzo!$A$1,MATCH(J441,Bronzo!$A:$A,0)-1,MATCH(K441,Bronzo!$A$1:$AA$1,0)-1)=TRUE),0,OFFSET(Bronzo!$A$1,MATCH(J441,Bronzo!$A:$A,0)-1,MATCH(K441,Bronzo!$A$1:$AA$1,0)-1))</f>
        <v>0</v>
      </c>
      <c r="V441" s="205">
        <f t="shared" ca="1" si="190"/>
        <v>0</v>
      </c>
      <c r="W441" s="204"/>
      <c r="X441" s="205">
        <v>0</v>
      </c>
      <c r="Y441" s="206">
        <f t="shared" ca="1" si="191"/>
        <v>0</v>
      </c>
      <c r="Z441" s="277">
        <f t="shared" si="192"/>
        <v>0</v>
      </c>
      <c r="AA441" s="203"/>
      <c r="AB441" s="203">
        <f t="shared" ca="1" si="193"/>
        <v>0</v>
      </c>
      <c r="AC441" s="238"/>
      <c r="AI441" s="367">
        <f t="shared" ca="1" si="188"/>
        <v>46092</v>
      </c>
      <c r="AJ441" s="367" t="b">
        <f t="shared" si="194"/>
        <v>1</v>
      </c>
      <c r="AK441" s="370" t="str">
        <f t="shared" si="195"/>
        <v/>
      </c>
      <c r="AN441">
        <f t="shared" si="196"/>
        <v>0</v>
      </c>
      <c r="AO441">
        <f t="shared" si="197"/>
        <v>1900</v>
      </c>
      <c r="AV441">
        <f t="shared" si="198"/>
        <v>0</v>
      </c>
      <c r="AW441">
        <f t="shared" si="199"/>
        <v>0</v>
      </c>
    </row>
    <row r="442" spans="4:49" ht="15.75" x14ac:dyDescent="0.25">
      <c r="D442" s="199"/>
      <c r="E442" s="200"/>
      <c r="F442" s="287"/>
      <c r="G442" s="201"/>
      <c r="H442" s="219"/>
      <c r="I442" s="202"/>
      <c r="J442" s="200"/>
      <c r="K442" s="200"/>
      <c r="L442" s="203"/>
      <c r="M442" s="204">
        <f ca="1">IF(ISERROR(OFFSET(Tabella!$A$1,MATCH(J442,Tabella!$A:$A,0)-1,MATCH(L442,Tabella!$A$1:$AC$1,0)-1)=TRUE),0,+OFFSET(Tabella!$A$1,MATCH(J442,Tabella!$A:$A,0)-1,MATCH(L442,Tabella!$A$1:$AC$1,0)-1))</f>
        <v>0</v>
      </c>
      <c r="N442" s="205">
        <f ca="1">IF(ISERROR(OFFSET(Ottone!$A$1,MATCH(J442,Ottone!$A:$A,0)-1,MATCH(L442,Ottone!$A$1:$Z$1,0)-1)=TRUE),0,OFFSET(Ottone!$A$1,MATCH(J442,Ottone!$A:$A,0)-1,MATCH(L442,Ottone!$A$1:$Z$1,0)-1))*IF(G442="Ottone",1,0)</f>
        <v>0</v>
      </c>
      <c r="O442" s="205">
        <f ca="1">IF(ISERROR(OFFSET(Rame!$A$1,MATCH(J442,Rame!$A:$A,0)-1,MATCH(L442,Rame!$A$1:$AA$1,0)-1)=TRUE),0,OFFSET(Rame!$A$1,MATCH(J442,Rame!$A:$A,0)-1,MATCH(L442,Rame!$A$1:$AA$1,0)-1))*IF(G442="Rame",1,0)</f>
        <v>0</v>
      </c>
      <c r="P442" s="205">
        <v>0</v>
      </c>
      <c r="Q442" s="205">
        <f t="shared" ca="1" si="189"/>
        <v>0</v>
      </c>
      <c r="R442" s="205">
        <f ca="1">+IF(ISERROR(OFFSET(Tabella!$G$1,MATCH(J442,Tabella!$G:$G,0)-1,MATCH(K442,Tabella!$G$1:$FG$1,0)-1)=TRUE),0,OFFSET(Tabella!$G$1,MATCH(J442,Tabella!$G:$G,0)-1,MATCH(K442,Tabella!$G$1:$AB$1,0)-1))</f>
        <v>0</v>
      </c>
      <c r="S442" s="205">
        <f ca="1">IF(ISERROR(OFFSET(Ottone!$F$1,MATCH(J442,Ottone!$A:$A,0)-1,MATCH(K442,Ottone!$F$1:$FF$1,0)-1)=TRUE),0,OFFSET(Ottone!$F$1,MATCH(J442,Ottone!$A:$A,0)-1,MATCH(K442,Ottone!$F$1:$FF$1,0)-1))*IF(G442="Ottone",1,0)</f>
        <v>0</v>
      </c>
      <c r="T442" s="205">
        <f ca="1">IF(ISERROR(OFFSET(Rame!$F$1,MATCH(J442,Rame!$F:$F,0)-1,MATCH(K442,Rame!$F$1:$FF$1,0)-1)=TRUE),0,OFFSET(Rame!$F$1,MATCH(J442,Rame!$F:$F,0)-1,MATCH(K442,Rame!$F$1:$FF$1,0)-1))*IF(G442="Rame",1,0)</f>
        <v>0</v>
      </c>
      <c r="U442" s="205">
        <f ca="1">IF(ISERROR(OFFSET(Bronzo!$A$1,MATCH(J442,Bronzo!$A:$A,0)-1,MATCH(K442,Bronzo!$A$1:$AA$1,0)-1)=TRUE),0,OFFSET(Bronzo!$A$1,MATCH(J442,Bronzo!$A:$A,0)-1,MATCH(K442,Bronzo!$A$1:$AA$1,0)-1))</f>
        <v>0</v>
      </c>
      <c r="V442" s="205">
        <f t="shared" ca="1" si="190"/>
        <v>0</v>
      </c>
      <c r="W442" s="204"/>
      <c r="X442" s="205">
        <v>0</v>
      </c>
      <c r="Y442" s="206">
        <f t="shared" ca="1" si="191"/>
        <v>0</v>
      </c>
      <c r="Z442" s="277">
        <f t="shared" si="192"/>
        <v>0</v>
      </c>
      <c r="AA442" s="203"/>
      <c r="AB442" s="203">
        <f t="shared" ca="1" si="193"/>
        <v>0</v>
      </c>
      <c r="AC442" s="238"/>
      <c r="AI442" s="367">
        <f t="shared" ca="1" si="188"/>
        <v>46092</v>
      </c>
      <c r="AJ442" s="367" t="b">
        <f t="shared" si="194"/>
        <v>1</v>
      </c>
      <c r="AK442" s="370" t="str">
        <f t="shared" si="195"/>
        <v/>
      </c>
      <c r="AN442">
        <f t="shared" si="196"/>
        <v>0</v>
      </c>
      <c r="AO442">
        <f t="shared" si="197"/>
        <v>1900</v>
      </c>
      <c r="AV442">
        <f t="shared" si="198"/>
        <v>0</v>
      </c>
      <c r="AW442">
        <f t="shared" si="199"/>
        <v>0</v>
      </c>
    </row>
    <row r="443" spans="4:49" ht="15.75" x14ac:dyDescent="0.25">
      <c r="D443" s="199"/>
      <c r="E443" s="200"/>
      <c r="F443" s="287"/>
      <c r="G443" s="201"/>
      <c r="H443" s="219"/>
      <c r="I443" s="202"/>
      <c r="J443" s="200"/>
      <c r="K443" s="200"/>
      <c r="L443" s="203"/>
      <c r="M443" s="204">
        <f ca="1">IF(ISERROR(OFFSET(Tabella!$A$1,MATCH(J443,Tabella!$A:$A,0)-1,MATCH(L443,Tabella!$A$1:$AC$1,0)-1)=TRUE),0,+OFFSET(Tabella!$A$1,MATCH(J443,Tabella!$A:$A,0)-1,MATCH(L443,Tabella!$A$1:$AC$1,0)-1))</f>
        <v>0</v>
      </c>
      <c r="N443" s="205">
        <f ca="1">IF(ISERROR(OFFSET(Ottone!$A$1,MATCH(J443,Ottone!$A:$A,0)-1,MATCH(L443,Ottone!$A$1:$Z$1,0)-1)=TRUE),0,OFFSET(Ottone!$A$1,MATCH(J443,Ottone!$A:$A,0)-1,MATCH(L443,Ottone!$A$1:$Z$1,0)-1))*IF(G443="Ottone",1,0)</f>
        <v>0</v>
      </c>
      <c r="O443" s="205">
        <f ca="1">IF(ISERROR(OFFSET(Rame!$A$1,MATCH(J443,Rame!$A:$A,0)-1,MATCH(L443,Rame!$A$1:$AA$1,0)-1)=TRUE),0,OFFSET(Rame!$A$1,MATCH(J443,Rame!$A:$A,0)-1,MATCH(L443,Rame!$A$1:$AA$1,0)-1))*IF(G443="Rame",1,0)</f>
        <v>0</v>
      </c>
      <c r="P443" s="205">
        <v>0</v>
      </c>
      <c r="Q443" s="205">
        <f t="shared" ca="1" si="189"/>
        <v>0</v>
      </c>
      <c r="R443" s="205">
        <f ca="1">+IF(ISERROR(OFFSET(Tabella!$G$1,MATCH(J443,Tabella!$G:$G,0)-1,MATCH(K443,Tabella!$G$1:$FG$1,0)-1)=TRUE),0,OFFSET(Tabella!$G$1,MATCH(J443,Tabella!$G:$G,0)-1,MATCH(K443,Tabella!$G$1:$AB$1,0)-1))</f>
        <v>0</v>
      </c>
      <c r="S443" s="205">
        <f ca="1">IF(ISERROR(OFFSET(Ottone!$F$1,MATCH(J443,Ottone!$A:$A,0)-1,MATCH(K443,Ottone!$F$1:$FF$1,0)-1)=TRUE),0,OFFSET(Ottone!$F$1,MATCH(J443,Ottone!$A:$A,0)-1,MATCH(K443,Ottone!$F$1:$FF$1,0)-1))*IF(G443="Ottone",1,0)</f>
        <v>0</v>
      </c>
      <c r="T443" s="205">
        <f ca="1">IF(ISERROR(OFFSET(Rame!$F$1,MATCH(J443,Rame!$F:$F,0)-1,MATCH(K443,Rame!$F$1:$FF$1,0)-1)=TRUE),0,OFFSET(Rame!$F$1,MATCH(J443,Rame!$F:$F,0)-1,MATCH(K443,Rame!$F$1:$FF$1,0)-1))*IF(G443="Rame",1,0)</f>
        <v>0</v>
      </c>
      <c r="U443" s="205">
        <f ca="1">IF(ISERROR(OFFSET(Bronzo!$A$1,MATCH(J443,Bronzo!$A:$A,0)-1,MATCH(K443,Bronzo!$A$1:$AA$1,0)-1)=TRUE),0,OFFSET(Bronzo!$A$1,MATCH(J443,Bronzo!$A:$A,0)-1,MATCH(K443,Bronzo!$A$1:$AA$1,0)-1))</f>
        <v>0</v>
      </c>
      <c r="V443" s="205">
        <f t="shared" ca="1" si="190"/>
        <v>0</v>
      </c>
      <c r="W443" s="204"/>
      <c r="X443" s="205">
        <v>0</v>
      </c>
      <c r="Y443" s="206">
        <f t="shared" ca="1" si="191"/>
        <v>0</v>
      </c>
      <c r="Z443" s="277">
        <f t="shared" si="192"/>
        <v>0</v>
      </c>
      <c r="AA443" s="203"/>
      <c r="AB443" s="203">
        <f t="shared" ca="1" si="193"/>
        <v>0</v>
      </c>
      <c r="AC443" s="238"/>
      <c r="AI443" s="367">
        <f t="shared" ca="1" si="188"/>
        <v>46092</v>
      </c>
      <c r="AJ443" s="367" t="b">
        <f t="shared" si="194"/>
        <v>1</v>
      </c>
      <c r="AK443" s="370" t="str">
        <f t="shared" si="195"/>
        <v/>
      </c>
      <c r="AN443">
        <f t="shared" si="196"/>
        <v>0</v>
      </c>
      <c r="AO443">
        <f t="shared" si="197"/>
        <v>1900</v>
      </c>
      <c r="AV443">
        <f t="shared" si="198"/>
        <v>0</v>
      </c>
      <c r="AW443">
        <f t="shared" si="199"/>
        <v>0</v>
      </c>
    </row>
    <row r="444" spans="4:49" ht="15.75" x14ac:dyDescent="0.25">
      <c r="D444" s="199"/>
      <c r="E444" s="200"/>
      <c r="F444" s="287"/>
      <c r="G444" s="201"/>
      <c r="H444" s="219"/>
      <c r="I444" s="202"/>
      <c r="J444" s="200"/>
      <c r="K444" s="200"/>
      <c r="L444" s="203"/>
      <c r="M444" s="204">
        <f ca="1">IF(ISERROR(OFFSET(Tabella!$A$1,MATCH(J444,Tabella!$A:$A,0)-1,MATCH(L444,Tabella!$A$1:$AC$1,0)-1)=TRUE),0,+OFFSET(Tabella!$A$1,MATCH(J444,Tabella!$A:$A,0)-1,MATCH(L444,Tabella!$A$1:$AC$1,0)-1))</f>
        <v>0</v>
      </c>
      <c r="N444" s="205">
        <f ca="1">IF(ISERROR(OFFSET(Ottone!$A$1,MATCH(J444,Ottone!$A:$A,0)-1,MATCH(L444,Ottone!$A$1:$Z$1,0)-1)=TRUE),0,OFFSET(Ottone!$A$1,MATCH(J444,Ottone!$A:$A,0)-1,MATCH(L444,Ottone!$A$1:$Z$1,0)-1))*IF(G444="Ottone",1,0)</f>
        <v>0</v>
      </c>
      <c r="O444" s="205">
        <f ca="1">IF(ISERROR(OFFSET(Rame!$A$1,MATCH(J444,Rame!$A:$A,0)-1,MATCH(L444,Rame!$A$1:$AA$1,0)-1)=TRUE),0,OFFSET(Rame!$A$1,MATCH(J444,Rame!$A:$A,0)-1,MATCH(L444,Rame!$A$1:$AA$1,0)-1))*IF(G444="Rame",1,0)</f>
        <v>0</v>
      </c>
      <c r="P444" s="205">
        <v>0</v>
      </c>
      <c r="Q444" s="205">
        <f t="shared" ca="1" si="189"/>
        <v>0</v>
      </c>
      <c r="R444" s="205">
        <f ca="1">+IF(ISERROR(OFFSET(Tabella!$G$1,MATCH(J444,Tabella!$G:$G,0)-1,MATCH(K444,Tabella!$G$1:$FG$1,0)-1)=TRUE),0,OFFSET(Tabella!$G$1,MATCH(J444,Tabella!$G:$G,0)-1,MATCH(K444,Tabella!$G$1:$AB$1,0)-1))</f>
        <v>0</v>
      </c>
      <c r="S444" s="205">
        <f ca="1">IF(ISERROR(OFFSET(Ottone!$F$1,MATCH(J444,Ottone!$A:$A,0)-1,MATCH(K444,Ottone!$F$1:$FF$1,0)-1)=TRUE),0,OFFSET(Ottone!$F$1,MATCH(J444,Ottone!$A:$A,0)-1,MATCH(K444,Ottone!$F$1:$FF$1,0)-1))*IF(G444="Ottone",1,0)</f>
        <v>0</v>
      </c>
      <c r="T444" s="205">
        <f ca="1">IF(ISERROR(OFFSET(Rame!$F$1,MATCH(J444,Rame!$F:$F,0)-1,MATCH(K444,Rame!$F$1:$FF$1,0)-1)=TRUE),0,OFFSET(Rame!$F$1,MATCH(J444,Rame!$F:$F,0)-1,MATCH(K444,Rame!$F$1:$FF$1,0)-1))*IF(G444="Rame",1,0)</f>
        <v>0</v>
      </c>
      <c r="U444" s="205">
        <f ca="1">IF(ISERROR(OFFSET(Bronzo!$A$1,MATCH(J444,Bronzo!$A:$A,0)-1,MATCH(K444,Bronzo!$A$1:$AA$1,0)-1)=TRUE),0,OFFSET(Bronzo!$A$1,MATCH(J444,Bronzo!$A:$A,0)-1,MATCH(K444,Bronzo!$A$1:$AA$1,0)-1))</f>
        <v>0</v>
      </c>
      <c r="V444" s="205">
        <f t="shared" ca="1" si="190"/>
        <v>0</v>
      </c>
      <c r="W444" s="204"/>
      <c r="X444" s="205">
        <v>0</v>
      </c>
      <c r="Y444" s="206">
        <f t="shared" ca="1" si="191"/>
        <v>0</v>
      </c>
      <c r="Z444" s="277">
        <f t="shared" si="192"/>
        <v>0</v>
      </c>
      <c r="AA444" s="203"/>
      <c r="AB444" s="203">
        <f t="shared" ca="1" si="193"/>
        <v>0</v>
      </c>
      <c r="AC444" s="238"/>
      <c r="AI444" s="367">
        <f t="shared" ca="1" si="188"/>
        <v>46092</v>
      </c>
      <c r="AJ444" s="367" t="b">
        <f t="shared" si="194"/>
        <v>1</v>
      </c>
      <c r="AK444" s="370" t="str">
        <f t="shared" si="195"/>
        <v/>
      </c>
      <c r="AN444">
        <f t="shared" si="196"/>
        <v>0</v>
      </c>
      <c r="AO444">
        <f t="shared" si="197"/>
        <v>1900</v>
      </c>
      <c r="AV444">
        <f t="shared" si="198"/>
        <v>0</v>
      </c>
      <c r="AW444">
        <f t="shared" si="199"/>
        <v>0</v>
      </c>
    </row>
    <row r="445" spans="4:49" ht="15.75" x14ac:dyDescent="0.25">
      <c r="D445" s="199"/>
      <c r="E445" s="200"/>
      <c r="F445" s="287"/>
      <c r="G445" s="201"/>
      <c r="H445" s="219"/>
      <c r="I445" s="202"/>
      <c r="J445" s="200"/>
      <c r="K445" s="200"/>
      <c r="L445" s="203"/>
      <c r="M445" s="204">
        <f ca="1">IF(ISERROR(OFFSET(Tabella!$A$1,MATCH(J445,Tabella!$A:$A,0)-1,MATCH(L445,Tabella!$A$1:$AC$1,0)-1)=TRUE),0,+OFFSET(Tabella!$A$1,MATCH(J445,Tabella!$A:$A,0)-1,MATCH(L445,Tabella!$A$1:$AC$1,0)-1))</f>
        <v>0</v>
      </c>
      <c r="N445" s="205">
        <f ca="1">IF(ISERROR(OFFSET(Ottone!$A$1,MATCH(J445,Ottone!$A:$A,0)-1,MATCH(L445,Ottone!$A$1:$Z$1,0)-1)=TRUE),0,OFFSET(Ottone!$A$1,MATCH(J445,Ottone!$A:$A,0)-1,MATCH(L445,Ottone!$A$1:$Z$1,0)-1))*IF(G445="Ottone",1,0)</f>
        <v>0</v>
      </c>
      <c r="O445" s="205">
        <f ca="1">IF(ISERROR(OFFSET(Rame!$A$1,MATCH(J445,Rame!$A:$A,0)-1,MATCH(L445,Rame!$A$1:$AA$1,0)-1)=TRUE),0,OFFSET(Rame!$A$1,MATCH(J445,Rame!$A:$A,0)-1,MATCH(L445,Rame!$A$1:$AA$1,0)-1))*IF(G445="Rame",1,0)</f>
        <v>0</v>
      </c>
      <c r="P445" s="205">
        <v>0</v>
      </c>
      <c r="Q445" s="205">
        <f t="shared" ca="1" si="189"/>
        <v>0</v>
      </c>
      <c r="R445" s="205">
        <f ca="1">+IF(ISERROR(OFFSET(Tabella!$G$1,MATCH(J445,Tabella!$G:$G,0)-1,MATCH(K445,Tabella!$G$1:$FG$1,0)-1)=TRUE),0,OFFSET(Tabella!$G$1,MATCH(J445,Tabella!$G:$G,0)-1,MATCH(K445,Tabella!$G$1:$AB$1,0)-1))</f>
        <v>0</v>
      </c>
      <c r="S445" s="205">
        <f ca="1">IF(ISERROR(OFFSET(Ottone!$F$1,MATCH(J445,Ottone!$A:$A,0)-1,MATCH(K445,Ottone!$F$1:$FF$1,0)-1)=TRUE),0,OFFSET(Ottone!$F$1,MATCH(J445,Ottone!$A:$A,0)-1,MATCH(K445,Ottone!$F$1:$FF$1,0)-1))*IF(G445="Ottone",1,0)</f>
        <v>0</v>
      </c>
      <c r="T445" s="205">
        <f ca="1">IF(ISERROR(OFFSET(Rame!$F$1,MATCH(J445,Rame!$F:$F,0)-1,MATCH(K445,Rame!$F$1:$FF$1,0)-1)=TRUE),0,OFFSET(Rame!$F$1,MATCH(J445,Rame!$F:$F,0)-1,MATCH(K445,Rame!$F$1:$FF$1,0)-1))*IF(G445="Rame",1,0)</f>
        <v>0</v>
      </c>
      <c r="U445" s="205">
        <f ca="1">IF(ISERROR(OFFSET(Bronzo!$A$1,MATCH(J445,Bronzo!$A:$A,0)-1,MATCH(K445,Bronzo!$A$1:$AA$1,0)-1)=TRUE),0,OFFSET(Bronzo!$A$1,MATCH(J445,Bronzo!$A:$A,0)-1,MATCH(K445,Bronzo!$A$1:$AA$1,0)-1))</f>
        <v>0</v>
      </c>
      <c r="V445" s="205">
        <f t="shared" ca="1" si="190"/>
        <v>0</v>
      </c>
      <c r="W445" s="204"/>
      <c r="X445" s="205">
        <v>0</v>
      </c>
      <c r="Y445" s="206">
        <f t="shared" ca="1" si="191"/>
        <v>0</v>
      </c>
      <c r="Z445" s="277">
        <f t="shared" si="192"/>
        <v>0</v>
      </c>
      <c r="AA445" s="203"/>
      <c r="AB445" s="203">
        <f t="shared" ca="1" si="193"/>
        <v>0</v>
      </c>
      <c r="AC445" s="238"/>
      <c r="AI445" s="367">
        <f t="shared" ca="1" si="188"/>
        <v>46092</v>
      </c>
      <c r="AJ445" s="367" t="b">
        <f t="shared" si="194"/>
        <v>1</v>
      </c>
      <c r="AK445" s="370" t="str">
        <f t="shared" si="195"/>
        <v/>
      </c>
      <c r="AN445">
        <f t="shared" si="196"/>
        <v>0</v>
      </c>
      <c r="AO445">
        <f t="shared" si="197"/>
        <v>1900</v>
      </c>
      <c r="AV445">
        <f t="shared" si="198"/>
        <v>0</v>
      </c>
      <c r="AW445">
        <f t="shared" si="199"/>
        <v>0</v>
      </c>
    </row>
    <row r="446" spans="4:49" ht="15.75" x14ac:dyDescent="0.25">
      <c r="D446" s="199"/>
      <c r="E446" s="200"/>
      <c r="F446" s="287"/>
      <c r="G446" s="201"/>
      <c r="H446" s="219"/>
      <c r="I446" s="202"/>
      <c r="J446" s="200"/>
      <c r="K446" s="200"/>
      <c r="L446" s="203"/>
      <c r="M446" s="204">
        <f ca="1">IF(ISERROR(OFFSET(Tabella!$A$1,MATCH(J446,Tabella!$A:$A,0)-1,MATCH(L446,Tabella!$A$1:$AC$1,0)-1)=TRUE),0,+OFFSET(Tabella!$A$1,MATCH(J446,Tabella!$A:$A,0)-1,MATCH(L446,Tabella!$A$1:$AC$1,0)-1))</f>
        <v>0</v>
      </c>
      <c r="N446" s="205">
        <f ca="1">IF(ISERROR(OFFSET(Ottone!$A$1,MATCH(J446,Ottone!$A:$A,0)-1,MATCH(L446,Ottone!$A$1:$Z$1,0)-1)=TRUE),0,OFFSET(Ottone!$A$1,MATCH(J446,Ottone!$A:$A,0)-1,MATCH(L446,Ottone!$A$1:$Z$1,0)-1))*IF(G446="Ottone",1,0)</f>
        <v>0</v>
      </c>
      <c r="O446" s="205">
        <f ca="1">IF(ISERROR(OFFSET(Rame!$A$1,MATCH(J446,Rame!$A:$A,0)-1,MATCH(L446,Rame!$A$1:$AA$1,0)-1)=TRUE),0,OFFSET(Rame!$A$1,MATCH(J446,Rame!$A:$A,0)-1,MATCH(L446,Rame!$A$1:$AA$1,0)-1))*IF(G446="Rame",1,0)</f>
        <v>0</v>
      </c>
      <c r="P446" s="205">
        <v>0</v>
      </c>
      <c r="Q446" s="205">
        <f t="shared" ca="1" si="189"/>
        <v>0</v>
      </c>
      <c r="R446" s="205">
        <f ca="1">+IF(ISERROR(OFFSET(Tabella!$G$1,MATCH(J446,Tabella!$G:$G,0)-1,MATCH(K446,Tabella!$G$1:$FG$1,0)-1)=TRUE),0,OFFSET(Tabella!$G$1,MATCH(J446,Tabella!$G:$G,0)-1,MATCH(K446,Tabella!$G$1:$AB$1,0)-1))</f>
        <v>0</v>
      </c>
      <c r="S446" s="205">
        <f ca="1">IF(ISERROR(OFFSET(Ottone!$F$1,MATCH(J446,Ottone!$A:$A,0)-1,MATCH(K446,Ottone!$F$1:$FF$1,0)-1)=TRUE),0,OFFSET(Ottone!$F$1,MATCH(J446,Ottone!$A:$A,0)-1,MATCH(K446,Ottone!$F$1:$FF$1,0)-1))*IF(G446="Ottone",1,0)</f>
        <v>0</v>
      </c>
      <c r="T446" s="205">
        <f ca="1">IF(ISERROR(OFFSET(Rame!$F$1,MATCH(J446,Rame!$F:$F,0)-1,MATCH(K446,Rame!$F$1:$FF$1,0)-1)=TRUE),0,OFFSET(Rame!$F$1,MATCH(J446,Rame!$F:$F,0)-1,MATCH(K446,Rame!$F$1:$FF$1,0)-1))*IF(G446="Rame",1,0)</f>
        <v>0</v>
      </c>
      <c r="U446" s="205">
        <f ca="1">IF(ISERROR(OFFSET(Bronzo!$A$1,MATCH(J446,Bronzo!$A:$A,0)-1,MATCH(K446,Bronzo!$A$1:$AA$1,0)-1)=TRUE),0,OFFSET(Bronzo!$A$1,MATCH(J446,Bronzo!$A:$A,0)-1,MATCH(K446,Bronzo!$A$1:$AA$1,0)-1))</f>
        <v>0</v>
      </c>
      <c r="V446" s="205">
        <f t="shared" ca="1" si="190"/>
        <v>0</v>
      </c>
      <c r="W446" s="204"/>
      <c r="X446" s="205">
        <v>0</v>
      </c>
      <c r="Y446" s="206">
        <f t="shared" ca="1" si="191"/>
        <v>0</v>
      </c>
      <c r="Z446" s="277">
        <f t="shared" si="192"/>
        <v>0</v>
      </c>
      <c r="AA446" s="203"/>
      <c r="AB446" s="203">
        <f t="shared" ca="1" si="193"/>
        <v>0</v>
      </c>
      <c r="AC446" s="238"/>
      <c r="AI446" s="367">
        <f t="shared" ca="1" si="188"/>
        <v>46092</v>
      </c>
      <c r="AJ446" s="367" t="b">
        <f t="shared" si="194"/>
        <v>1</v>
      </c>
      <c r="AK446" s="370" t="str">
        <f t="shared" si="195"/>
        <v/>
      </c>
      <c r="AN446">
        <f t="shared" si="196"/>
        <v>0</v>
      </c>
      <c r="AO446">
        <f t="shared" si="197"/>
        <v>1900</v>
      </c>
      <c r="AV446">
        <f t="shared" si="198"/>
        <v>0</v>
      </c>
      <c r="AW446">
        <f t="shared" si="199"/>
        <v>0</v>
      </c>
    </row>
    <row r="447" spans="4:49" ht="15.75" x14ac:dyDescent="0.25">
      <c r="D447" s="199"/>
      <c r="E447" s="200"/>
      <c r="F447" s="287"/>
      <c r="G447" s="201"/>
      <c r="H447" s="219"/>
      <c r="I447" s="202"/>
      <c r="J447" s="200"/>
      <c r="K447" s="200"/>
      <c r="L447" s="203"/>
      <c r="M447" s="204">
        <f ca="1">IF(ISERROR(OFFSET(Tabella!$A$1,MATCH(J447,Tabella!$A:$A,0)-1,MATCH(L447,Tabella!$A$1:$AC$1,0)-1)=TRUE),0,+OFFSET(Tabella!$A$1,MATCH(J447,Tabella!$A:$A,0)-1,MATCH(L447,Tabella!$A$1:$AC$1,0)-1))</f>
        <v>0</v>
      </c>
      <c r="N447" s="205">
        <f ca="1">IF(ISERROR(OFFSET(Ottone!$A$1,MATCH(J447,Ottone!$A:$A,0)-1,MATCH(L447,Ottone!$A$1:$Z$1,0)-1)=TRUE),0,OFFSET(Ottone!$A$1,MATCH(J447,Ottone!$A:$A,0)-1,MATCH(L447,Ottone!$A$1:$Z$1,0)-1))*IF(G447="Ottone",1,0)</f>
        <v>0</v>
      </c>
      <c r="O447" s="205">
        <f ca="1">IF(ISERROR(OFFSET(Rame!$A$1,MATCH(J447,Rame!$A:$A,0)-1,MATCH(L447,Rame!$A$1:$AA$1,0)-1)=TRUE),0,OFFSET(Rame!$A$1,MATCH(J447,Rame!$A:$A,0)-1,MATCH(L447,Rame!$A$1:$AA$1,0)-1))*IF(G447="Rame",1,0)</f>
        <v>0</v>
      </c>
      <c r="P447" s="205">
        <v>0</v>
      </c>
      <c r="Q447" s="205">
        <f t="shared" ca="1" si="189"/>
        <v>0</v>
      </c>
      <c r="R447" s="205">
        <f ca="1">+IF(ISERROR(OFFSET(Tabella!$G$1,MATCH(J447,Tabella!$G:$G,0)-1,MATCH(K447,Tabella!$G$1:$FG$1,0)-1)=TRUE),0,OFFSET(Tabella!$G$1,MATCH(J447,Tabella!$G:$G,0)-1,MATCH(K447,Tabella!$G$1:$AB$1,0)-1))</f>
        <v>0</v>
      </c>
      <c r="S447" s="205">
        <f ca="1">IF(ISERROR(OFFSET(Ottone!$F$1,MATCH(J447,Ottone!$A:$A,0)-1,MATCH(K447,Ottone!$F$1:$FF$1,0)-1)=TRUE),0,OFFSET(Ottone!$F$1,MATCH(J447,Ottone!$A:$A,0)-1,MATCH(K447,Ottone!$F$1:$FF$1,0)-1))*IF(G447="Ottone",1,0)</f>
        <v>0</v>
      </c>
      <c r="T447" s="205">
        <f ca="1">IF(ISERROR(OFFSET(Rame!$F$1,MATCH(J447,Rame!$F:$F,0)-1,MATCH(K447,Rame!$F$1:$FF$1,0)-1)=TRUE),0,OFFSET(Rame!$F$1,MATCH(J447,Rame!$F:$F,0)-1,MATCH(K447,Rame!$F$1:$FF$1,0)-1))*IF(G447="Rame",1,0)</f>
        <v>0</v>
      </c>
      <c r="U447" s="205">
        <f ca="1">IF(ISERROR(OFFSET(Bronzo!$A$1,MATCH(J447,Bronzo!$A:$A,0)-1,MATCH(K447,Bronzo!$A$1:$AA$1,0)-1)=TRUE),0,OFFSET(Bronzo!$A$1,MATCH(J447,Bronzo!$A:$A,0)-1,MATCH(K447,Bronzo!$A$1:$AA$1,0)-1))</f>
        <v>0</v>
      </c>
      <c r="V447" s="205">
        <f t="shared" ca="1" si="190"/>
        <v>0</v>
      </c>
      <c r="W447" s="204"/>
      <c r="X447" s="205">
        <v>0</v>
      </c>
      <c r="Y447" s="206">
        <f t="shared" ca="1" si="191"/>
        <v>0</v>
      </c>
      <c r="Z447" s="277">
        <f t="shared" si="192"/>
        <v>0</v>
      </c>
      <c r="AA447" s="203"/>
      <c r="AB447" s="203">
        <f t="shared" ca="1" si="193"/>
        <v>0</v>
      </c>
      <c r="AC447" s="238"/>
      <c r="AI447" s="367">
        <f t="shared" ca="1" si="188"/>
        <v>46092</v>
      </c>
      <c r="AJ447" s="367" t="b">
        <f t="shared" si="194"/>
        <v>1</v>
      </c>
      <c r="AK447" s="370" t="str">
        <f t="shared" si="195"/>
        <v/>
      </c>
      <c r="AN447">
        <f t="shared" si="196"/>
        <v>0</v>
      </c>
      <c r="AO447">
        <f t="shared" si="197"/>
        <v>1900</v>
      </c>
      <c r="AV447">
        <f t="shared" si="198"/>
        <v>0</v>
      </c>
      <c r="AW447">
        <f t="shared" si="199"/>
        <v>0</v>
      </c>
    </row>
    <row r="448" spans="4:49" ht="15.75" x14ac:dyDescent="0.25">
      <c r="D448" s="199"/>
      <c r="E448" s="200"/>
      <c r="F448" s="287"/>
      <c r="G448" s="201"/>
      <c r="H448" s="219"/>
      <c r="I448" s="202"/>
      <c r="J448" s="200"/>
      <c r="K448" s="200"/>
      <c r="L448" s="203"/>
      <c r="M448" s="204">
        <f ca="1">IF(ISERROR(OFFSET(Tabella!$A$1,MATCH(J448,Tabella!$A:$A,0)-1,MATCH(L448,Tabella!$A$1:$AC$1,0)-1)=TRUE),0,+OFFSET(Tabella!$A$1,MATCH(J448,Tabella!$A:$A,0)-1,MATCH(L448,Tabella!$A$1:$AC$1,0)-1))</f>
        <v>0</v>
      </c>
      <c r="N448" s="205">
        <f ca="1">IF(ISERROR(OFFSET(Ottone!$A$1,MATCH(J448,Ottone!$A:$A,0)-1,MATCH(L448,Ottone!$A$1:$Z$1,0)-1)=TRUE),0,OFFSET(Ottone!$A$1,MATCH(J448,Ottone!$A:$A,0)-1,MATCH(L448,Ottone!$A$1:$Z$1,0)-1))*IF(G448="Ottone",1,0)</f>
        <v>0</v>
      </c>
      <c r="O448" s="205">
        <f ca="1">IF(ISERROR(OFFSET(Rame!$A$1,MATCH(J448,Rame!$A:$A,0)-1,MATCH(L448,Rame!$A$1:$AA$1,0)-1)=TRUE),0,OFFSET(Rame!$A$1,MATCH(J448,Rame!$A:$A,0)-1,MATCH(L448,Rame!$A$1:$AA$1,0)-1))*IF(G448="Rame",1,0)</f>
        <v>0</v>
      </c>
      <c r="P448" s="205">
        <v>0</v>
      </c>
      <c r="Q448" s="205">
        <f t="shared" ca="1" si="189"/>
        <v>0</v>
      </c>
      <c r="R448" s="205">
        <f ca="1">+IF(ISERROR(OFFSET(Tabella!$G$1,MATCH(J448,Tabella!$G:$G,0)-1,MATCH(K448,Tabella!$G$1:$FG$1,0)-1)=TRUE),0,OFFSET(Tabella!$G$1,MATCH(J448,Tabella!$G:$G,0)-1,MATCH(K448,Tabella!$G$1:$AB$1,0)-1))</f>
        <v>0</v>
      </c>
      <c r="S448" s="205">
        <f ca="1">IF(ISERROR(OFFSET(Ottone!$F$1,MATCH(J448,Ottone!$A:$A,0)-1,MATCH(K448,Ottone!$F$1:$FF$1,0)-1)=TRUE),0,OFFSET(Ottone!$F$1,MATCH(J448,Ottone!$A:$A,0)-1,MATCH(K448,Ottone!$F$1:$FF$1,0)-1))*IF(G448="Ottone",1,0)</f>
        <v>0</v>
      </c>
      <c r="T448" s="205">
        <f ca="1">IF(ISERROR(OFFSET(Rame!$F$1,MATCH(J448,Rame!$F:$F,0)-1,MATCH(K448,Rame!$F$1:$FF$1,0)-1)=TRUE),0,OFFSET(Rame!$F$1,MATCH(J448,Rame!$F:$F,0)-1,MATCH(K448,Rame!$F$1:$FF$1,0)-1))*IF(G448="Rame",1,0)</f>
        <v>0</v>
      </c>
      <c r="U448" s="205">
        <f ca="1">IF(ISERROR(OFFSET(Bronzo!$A$1,MATCH(J448,Bronzo!$A:$A,0)-1,MATCH(K448,Bronzo!$A$1:$AA$1,0)-1)=TRUE),0,OFFSET(Bronzo!$A$1,MATCH(J448,Bronzo!$A:$A,0)-1,MATCH(K448,Bronzo!$A$1:$AA$1,0)-1))</f>
        <v>0</v>
      </c>
      <c r="V448" s="205">
        <f t="shared" ca="1" si="190"/>
        <v>0</v>
      </c>
      <c r="W448" s="204"/>
      <c r="X448" s="205">
        <v>0</v>
      </c>
      <c r="Y448" s="206">
        <f t="shared" ca="1" si="191"/>
        <v>0</v>
      </c>
      <c r="Z448" s="277">
        <f t="shared" si="192"/>
        <v>0</v>
      </c>
      <c r="AA448" s="203"/>
      <c r="AB448" s="203">
        <f t="shared" ca="1" si="193"/>
        <v>0</v>
      </c>
      <c r="AC448" s="238"/>
      <c r="AI448" s="367">
        <f t="shared" ref="AI448:AI511" ca="1" si="200">TODAY()</f>
        <v>46092</v>
      </c>
      <c r="AJ448" s="367" t="b">
        <f t="shared" si="194"/>
        <v>1</v>
      </c>
      <c r="AK448" s="370" t="str">
        <f t="shared" si="195"/>
        <v/>
      </c>
      <c r="AN448">
        <f t="shared" si="196"/>
        <v>0</v>
      </c>
      <c r="AO448">
        <f t="shared" si="197"/>
        <v>1900</v>
      </c>
      <c r="AV448">
        <f t="shared" si="198"/>
        <v>0</v>
      </c>
      <c r="AW448">
        <f t="shared" si="199"/>
        <v>0</v>
      </c>
    </row>
    <row r="449" spans="4:49" ht="15.75" x14ac:dyDescent="0.25">
      <c r="D449" s="199"/>
      <c r="E449" s="200"/>
      <c r="F449" s="287"/>
      <c r="G449" s="201"/>
      <c r="H449" s="219"/>
      <c r="I449" s="202"/>
      <c r="J449" s="200"/>
      <c r="K449" s="200"/>
      <c r="L449" s="203"/>
      <c r="M449" s="204">
        <f ca="1">IF(ISERROR(OFFSET(Tabella!$A$1,MATCH(J449,Tabella!$A:$A,0)-1,MATCH(L449,Tabella!$A$1:$AC$1,0)-1)=TRUE),0,+OFFSET(Tabella!$A$1,MATCH(J449,Tabella!$A:$A,0)-1,MATCH(L449,Tabella!$A$1:$AC$1,0)-1))</f>
        <v>0</v>
      </c>
      <c r="N449" s="205">
        <f ca="1">IF(ISERROR(OFFSET(Ottone!$A$1,MATCH(J449,Ottone!$A:$A,0)-1,MATCH(L449,Ottone!$A$1:$Z$1,0)-1)=TRUE),0,OFFSET(Ottone!$A$1,MATCH(J449,Ottone!$A:$A,0)-1,MATCH(L449,Ottone!$A$1:$Z$1,0)-1))*IF(G449="Ottone",1,0)</f>
        <v>0</v>
      </c>
      <c r="O449" s="205">
        <f ca="1">IF(ISERROR(OFFSET(Rame!$A$1,MATCH(J449,Rame!$A:$A,0)-1,MATCH(L449,Rame!$A$1:$AA$1,0)-1)=TRUE),0,OFFSET(Rame!$A$1,MATCH(J449,Rame!$A:$A,0)-1,MATCH(L449,Rame!$A$1:$AA$1,0)-1))*IF(G449="Rame",1,0)</f>
        <v>0</v>
      </c>
      <c r="P449" s="205">
        <v>0</v>
      </c>
      <c r="Q449" s="205">
        <f t="shared" ca="1" si="189"/>
        <v>0</v>
      </c>
      <c r="R449" s="205">
        <f ca="1">+IF(ISERROR(OFFSET(Tabella!$G$1,MATCH(J449,Tabella!$G:$G,0)-1,MATCH(K449,Tabella!$G$1:$FG$1,0)-1)=TRUE),0,OFFSET(Tabella!$G$1,MATCH(J449,Tabella!$G:$G,0)-1,MATCH(K449,Tabella!$G$1:$AB$1,0)-1))</f>
        <v>0</v>
      </c>
      <c r="S449" s="205">
        <f ca="1">IF(ISERROR(OFFSET(Ottone!$F$1,MATCH(J449,Ottone!$A:$A,0)-1,MATCH(K449,Ottone!$F$1:$FF$1,0)-1)=TRUE),0,OFFSET(Ottone!$F$1,MATCH(J449,Ottone!$A:$A,0)-1,MATCH(K449,Ottone!$F$1:$FF$1,0)-1))*IF(G449="Ottone",1,0)</f>
        <v>0</v>
      </c>
      <c r="T449" s="205">
        <f ca="1">IF(ISERROR(OFFSET(Rame!$F$1,MATCH(J449,Rame!$F:$F,0)-1,MATCH(K449,Rame!$F$1:$FF$1,0)-1)=TRUE),0,OFFSET(Rame!$F$1,MATCH(J449,Rame!$F:$F,0)-1,MATCH(K449,Rame!$F$1:$FF$1,0)-1))*IF(G449="Rame",1,0)</f>
        <v>0</v>
      </c>
      <c r="U449" s="205">
        <f ca="1">IF(ISERROR(OFFSET(Bronzo!$A$1,MATCH(J449,Bronzo!$A:$A,0)-1,MATCH(K449,Bronzo!$A$1:$AA$1,0)-1)=TRUE),0,OFFSET(Bronzo!$A$1,MATCH(J449,Bronzo!$A:$A,0)-1,MATCH(K449,Bronzo!$A$1:$AA$1,0)-1))</f>
        <v>0</v>
      </c>
      <c r="V449" s="205">
        <f t="shared" ca="1" si="190"/>
        <v>0</v>
      </c>
      <c r="W449" s="204"/>
      <c r="X449" s="205">
        <v>0</v>
      </c>
      <c r="Y449" s="206">
        <f t="shared" ca="1" si="191"/>
        <v>0</v>
      </c>
      <c r="Z449" s="277">
        <f t="shared" si="192"/>
        <v>0</v>
      </c>
      <c r="AA449" s="203"/>
      <c r="AB449" s="203">
        <f t="shared" ca="1" si="193"/>
        <v>0</v>
      </c>
      <c r="AC449" s="238"/>
      <c r="AI449" s="367">
        <f t="shared" ca="1" si="200"/>
        <v>46092</v>
      </c>
      <c r="AJ449" s="367" t="b">
        <f t="shared" si="194"/>
        <v>1</v>
      </c>
      <c r="AK449" s="370" t="str">
        <f t="shared" si="195"/>
        <v/>
      </c>
      <c r="AN449">
        <f t="shared" si="196"/>
        <v>0</v>
      </c>
      <c r="AO449">
        <f t="shared" si="197"/>
        <v>1900</v>
      </c>
      <c r="AV449">
        <f t="shared" si="198"/>
        <v>0</v>
      </c>
      <c r="AW449">
        <f t="shared" si="199"/>
        <v>0</v>
      </c>
    </row>
    <row r="450" spans="4:49" ht="15.75" x14ac:dyDescent="0.25">
      <c r="D450" s="199"/>
      <c r="E450" s="200"/>
      <c r="F450" s="287"/>
      <c r="G450" s="201"/>
      <c r="H450" s="219"/>
      <c r="I450" s="202"/>
      <c r="J450" s="200"/>
      <c r="K450" s="200"/>
      <c r="L450" s="203"/>
      <c r="M450" s="204">
        <f ca="1">IF(ISERROR(OFFSET(Tabella!$A$1,MATCH(J450,Tabella!$A:$A,0)-1,MATCH(L450,Tabella!$A$1:$AC$1,0)-1)=TRUE),0,+OFFSET(Tabella!$A$1,MATCH(J450,Tabella!$A:$A,0)-1,MATCH(L450,Tabella!$A$1:$AC$1,0)-1))</f>
        <v>0</v>
      </c>
      <c r="N450" s="205">
        <f ca="1">IF(ISERROR(OFFSET(Ottone!$A$1,MATCH(J450,Ottone!$A:$A,0)-1,MATCH(L450,Ottone!$A$1:$Z$1,0)-1)=TRUE),0,OFFSET(Ottone!$A$1,MATCH(J450,Ottone!$A:$A,0)-1,MATCH(L450,Ottone!$A$1:$Z$1,0)-1))*IF(G450="Ottone",1,0)</f>
        <v>0</v>
      </c>
      <c r="O450" s="205">
        <f ca="1">IF(ISERROR(OFFSET(Rame!$A$1,MATCH(J450,Rame!$A:$A,0)-1,MATCH(L450,Rame!$A$1:$AA$1,0)-1)=TRUE),0,OFFSET(Rame!$A$1,MATCH(J450,Rame!$A:$A,0)-1,MATCH(L450,Rame!$A$1:$AA$1,0)-1))*IF(G450="Rame",1,0)</f>
        <v>0</v>
      </c>
      <c r="P450" s="205">
        <v>0</v>
      </c>
      <c r="Q450" s="205">
        <f t="shared" ca="1" si="189"/>
        <v>0</v>
      </c>
      <c r="R450" s="205">
        <f ca="1">+IF(ISERROR(OFFSET(Tabella!$G$1,MATCH(J450,Tabella!$G:$G,0)-1,MATCH(K450,Tabella!$G$1:$FG$1,0)-1)=TRUE),0,OFFSET(Tabella!$G$1,MATCH(J450,Tabella!$G:$G,0)-1,MATCH(K450,Tabella!$G$1:$AB$1,0)-1))</f>
        <v>0</v>
      </c>
      <c r="S450" s="205">
        <f ca="1">IF(ISERROR(OFFSET(Ottone!$F$1,MATCH(J450,Ottone!$A:$A,0)-1,MATCH(K450,Ottone!$F$1:$FF$1,0)-1)=TRUE),0,OFFSET(Ottone!$F$1,MATCH(J450,Ottone!$A:$A,0)-1,MATCH(K450,Ottone!$F$1:$FF$1,0)-1))*IF(G450="Ottone",1,0)</f>
        <v>0</v>
      </c>
      <c r="T450" s="205">
        <f ca="1">IF(ISERROR(OFFSET(Rame!$F$1,MATCH(J450,Rame!$F:$F,0)-1,MATCH(K450,Rame!$F$1:$FF$1,0)-1)=TRUE),0,OFFSET(Rame!$F$1,MATCH(J450,Rame!$F:$F,0)-1,MATCH(K450,Rame!$F$1:$FF$1,0)-1))*IF(G450="Rame",1,0)</f>
        <v>0</v>
      </c>
      <c r="U450" s="205">
        <f ca="1">IF(ISERROR(OFFSET(Bronzo!$A$1,MATCH(J450,Bronzo!$A:$A,0)-1,MATCH(K450,Bronzo!$A$1:$AA$1,0)-1)=TRUE),0,OFFSET(Bronzo!$A$1,MATCH(J450,Bronzo!$A:$A,0)-1,MATCH(K450,Bronzo!$A$1:$AA$1,0)-1))</f>
        <v>0</v>
      </c>
      <c r="V450" s="205">
        <f t="shared" ca="1" si="190"/>
        <v>0</v>
      </c>
      <c r="W450" s="204"/>
      <c r="X450" s="205">
        <v>0</v>
      </c>
      <c r="Y450" s="206">
        <f t="shared" ca="1" si="191"/>
        <v>0</v>
      </c>
      <c r="Z450" s="277">
        <f t="shared" si="192"/>
        <v>0</v>
      </c>
      <c r="AA450" s="203"/>
      <c r="AB450" s="203">
        <f t="shared" ca="1" si="193"/>
        <v>0</v>
      </c>
      <c r="AC450" s="238"/>
      <c r="AI450" s="367">
        <f t="shared" ca="1" si="200"/>
        <v>46092</v>
      </c>
      <c r="AJ450" s="367" t="b">
        <f t="shared" si="194"/>
        <v>1</v>
      </c>
      <c r="AK450" s="370" t="str">
        <f t="shared" si="195"/>
        <v/>
      </c>
      <c r="AN450">
        <f t="shared" si="196"/>
        <v>0</v>
      </c>
      <c r="AO450">
        <f t="shared" si="197"/>
        <v>1900</v>
      </c>
      <c r="AV450">
        <f t="shared" si="198"/>
        <v>0</v>
      </c>
      <c r="AW450">
        <f t="shared" si="199"/>
        <v>0</v>
      </c>
    </row>
    <row r="451" spans="4:49" ht="15.75" x14ac:dyDescent="0.25">
      <c r="D451" s="199"/>
      <c r="E451" s="200"/>
      <c r="F451" s="287"/>
      <c r="G451" s="201"/>
      <c r="H451" s="219"/>
      <c r="I451" s="202"/>
      <c r="J451" s="200"/>
      <c r="K451" s="200"/>
      <c r="L451" s="203"/>
      <c r="M451" s="204">
        <f ca="1">IF(ISERROR(OFFSET(Tabella!$A$1,MATCH(J451,Tabella!$A:$A,0)-1,MATCH(L451,Tabella!$A$1:$AC$1,0)-1)=TRUE),0,+OFFSET(Tabella!$A$1,MATCH(J451,Tabella!$A:$A,0)-1,MATCH(L451,Tabella!$A$1:$AC$1,0)-1))</f>
        <v>0</v>
      </c>
      <c r="N451" s="205">
        <f ca="1">IF(ISERROR(OFFSET(Ottone!$A$1,MATCH(J451,Ottone!$A:$A,0)-1,MATCH(L451,Ottone!$A$1:$Z$1,0)-1)=TRUE),0,OFFSET(Ottone!$A$1,MATCH(J451,Ottone!$A:$A,0)-1,MATCH(L451,Ottone!$A$1:$Z$1,0)-1))*IF(G451="Ottone",1,0)</f>
        <v>0</v>
      </c>
      <c r="O451" s="205">
        <f ca="1">IF(ISERROR(OFFSET(Rame!$A$1,MATCH(J451,Rame!$A:$A,0)-1,MATCH(L451,Rame!$A$1:$AA$1,0)-1)=TRUE),0,OFFSET(Rame!$A$1,MATCH(J451,Rame!$A:$A,0)-1,MATCH(L451,Rame!$A$1:$AA$1,0)-1))*IF(G451="Rame",1,0)</f>
        <v>0</v>
      </c>
      <c r="P451" s="205">
        <v>0</v>
      </c>
      <c r="Q451" s="205">
        <f t="shared" ca="1" si="189"/>
        <v>0</v>
      </c>
      <c r="R451" s="205">
        <f ca="1">+IF(ISERROR(OFFSET(Tabella!$G$1,MATCH(J451,Tabella!$G:$G,0)-1,MATCH(K451,Tabella!$G$1:$FG$1,0)-1)=TRUE),0,OFFSET(Tabella!$G$1,MATCH(J451,Tabella!$G:$G,0)-1,MATCH(K451,Tabella!$G$1:$AB$1,0)-1))</f>
        <v>0</v>
      </c>
      <c r="S451" s="205">
        <f ca="1">IF(ISERROR(OFFSET(Ottone!$F$1,MATCH(J451,Ottone!$A:$A,0)-1,MATCH(K451,Ottone!$F$1:$FF$1,0)-1)=TRUE),0,OFFSET(Ottone!$F$1,MATCH(J451,Ottone!$A:$A,0)-1,MATCH(K451,Ottone!$F$1:$FF$1,0)-1))*IF(G451="Ottone",1,0)</f>
        <v>0</v>
      </c>
      <c r="T451" s="205">
        <f ca="1">IF(ISERROR(OFFSET(Rame!$F$1,MATCH(J451,Rame!$F:$F,0)-1,MATCH(K451,Rame!$F$1:$FF$1,0)-1)=TRUE),0,OFFSET(Rame!$F$1,MATCH(J451,Rame!$F:$F,0)-1,MATCH(K451,Rame!$F$1:$FF$1,0)-1))*IF(G451="Rame",1,0)</f>
        <v>0</v>
      </c>
      <c r="U451" s="205">
        <f ca="1">IF(ISERROR(OFFSET(Bronzo!$A$1,MATCH(J451,Bronzo!$A:$A,0)-1,MATCH(K451,Bronzo!$A$1:$AA$1,0)-1)=TRUE),0,OFFSET(Bronzo!$A$1,MATCH(J451,Bronzo!$A:$A,0)-1,MATCH(K451,Bronzo!$A$1:$AA$1,0)-1))</f>
        <v>0</v>
      </c>
      <c r="V451" s="205">
        <f t="shared" ca="1" si="190"/>
        <v>0</v>
      </c>
      <c r="W451" s="204"/>
      <c r="X451" s="205">
        <v>0</v>
      </c>
      <c r="Y451" s="206">
        <f t="shared" ca="1" si="191"/>
        <v>0</v>
      </c>
      <c r="Z451" s="277">
        <f t="shared" si="192"/>
        <v>0</v>
      </c>
      <c r="AA451" s="203"/>
      <c r="AB451" s="203">
        <f t="shared" ca="1" si="193"/>
        <v>0</v>
      </c>
      <c r="AC451" s="238"/>
      <c r="AI451" s="367">
        <f t="shared" ca="1" si="200"/>
        <v>46092</v>
      </c>
      <c r="AJ451" s="367" t="b">
        <f t="shared" si="194"/>
        <v>1</v>
      </c>
      <c r="AK451" s="370" t="str">
        <f t="shared" si="195"/>
        <v/>
      </c>
      <c r="AN451">
        <f t="shared" si="196"/>
        <v>0</v>
      </c>
      <c r="AO451">
        <f t="shared" si="197"/>
        <v>1900</v>
      </c>
      <c r="AV451">
        <f t="shared" si="198"/>
        <v>0</v>
      </c>
      <c r="AW451">
        <f t="shared" si="199"/>
        <v>0</v>
      </c>
    </row>
    <row r="452" spans="4:49" ht="15.75" x14ac:dyDescent="0.25">
      <c r="D452" s="199"/>
      <c r="E452" s="200"/>
      <c r="F452" s="287"/>
      <c r="G452" s="201"/>
      <c r="H452" s="219"/>
      <c r="I452" s="202"/>
      <c r="J452" s="200"/>
      <c r="K452" s="200"/>
      <c r="L452" s="203"/>
      <c r="M452" s="204">
        <f ca="1">IF(ISERROR(OFFSET(Tabella!$A$1,MATCH(J452,Tabella!$A:$A,0)-1,MATCH(L452,Tabella!$A$1:$AC$1,0)-1)=TRUE),0,+OFFSET(Tabella!$A$1,MATCH(J452,Tabella!$A:$A,0)-1,MATCH(L452,Tabella!$A$1:$AC$1,0)-1))</f>
        <v>0</v>
      </c>
      <c r="N452" s="205">
        <f ca="1">IF(ISERROR(OFFSET(Ottone!$A$1,MATCH(J452,Ottone!$A:$A,0)-1,MATCH(L452,Ottone!$A$1:$Z$1,0)-1)=TRUE),0,OFFSET(Ottone!$A$1,MATCH(J452,Ottone!$A:$A,0)-1,MATCH(L452,Ottone!$A$1:$Z$1,0)-1))*IF(G452="Ottone",1,0)</f>
        <v>0</v>
      </c>
      <c r="O452" s="205">
        <f ca="1">IF(ISERROR(OFFSET(Rame!$A$1,MATCH(J452,Rame!$A:$A,0)-1,MATCH(L452,Rame!$A$1:$AA$1,0)-1)=TRUE),0,OFFSET(Rame!$A$1,MATCH(J452,Rame!$A:$A,0)-1,MATCH(L452,Rame!$A$1:$AA$1,0)-1))*IF(G452="Rame",1,0)</f>
        <v>0</v>
      </c>
      <c r="P452" s="205">
        <v>0</v>
      </c>
      <c r="Q452" s="205">
        <f t="shared" ca="1" si="189"/>
        <v>0</v>
      </c>
      <c r="R452" s="205">
        <f ca="1">+IF(ISERROR(OFFSET(Tabella!$G$1,MATCH(J452,Tabella!$G:$G,0)-1,MATCH(K452,Tabella!$G$1:$FG$1,0)-1)=TRUE),0,OFFSET(Tabella!$G$1,MATCH(J452,Tabella!$G:$G,0)-1,MATCH(K452,Tabella!$G$1:$AB$1,0)-1))</f>
        <v>0</v>
      </c>
      <c r="S452" s="205">
        <f ca="1">IF(ISERROR(OFFSET(Ottone!$F$1,MATCH(J452,Ottone!$A:$A,0)-1,MATCH(K452,Ottone!$F$1:$FF$1,0)-1)=TRUE),0,OFFSET(Ottone!$F$1,MATCH(J452,Ottone!$A:$A,0)-1,MATCH(K452,Ottone!$F$1:$FF$1,0)-1))*IF(G452="Ottone",1,0)</f>
        <v>0</v>
      </c>
      <c r="T452" s="205">
        <f ca="1">IF(ISERROR(OFFSET(Rame!$F$1,MATCH(J452,Rame!$F:$F,0)-1,MATCH(K452,Rame!$F$1:$FF$1,0)-1)=TRUE),0,OFFSET(Rame!$F$1,MATCH(J452,Rame!$F:$F,0)-1,MATCH(K452,Rame!$F$1:$FF$1,0)-1))*IF(G452="Rame",1,0)</f>
        <v>0</v>
      </c>
      <c r="U452" s="205">
        <f ca="1">IF(ISERROR(OFFSET(Bronzo!$A$1,MATCH(J452,Bronzo!$A:$A,0)-1,MATCH(K452,Bronzo!$A$1:$AA$1,0)-1)=TRUE),0,OFFSET(Bronzo!$A$1,MATCH(J452,Bronzo!$A:$A,0)-1,MATCH(K452,Bronzo!$A$1:$AA$1,0)-1))</f>
        <v>0</v>
      </c>
      <c r="V452" s="205">
        <f t="shared" ca="1" si="190"/>
        <v>0</v>
      </c>
      <c r="W452" s="204"/>
      <c r="X452" s="205">
        <v>0</v>
      </c>
      <c r="Y452" s="206">
        <f t="shared" ca="1" si="191"/>
        <v>0</v>
      </c>
      <c r="Z452" s="277">
        <f t="shared" si="192"/>
        <v>0</v>
      </c>
      <c r="AA452" s="203"/>
      <c r="AB452" s="203">
        <f t="shared" ca="1" si="193"/>
        <v>0</v>
      </c>
      <c r="AC452" s="238"/>
      <c r="AI452" s="367">
        <f t="shared" ca="1" si="200"/>
        <v>46092</v>
      </c>
      <c r="AJ452" s="367" t="b">
        <f t="shared" si="194"/>
        <v>1</v>
      </c>
      <c r="AK452" s="370" t="str">
        <f t="shared" si="195"/>
        <v/>
      </c>
      <c r="AN452">
        <f t="shared" si="196"/>
        <v>0</v>
      </c>
      <c r="AO452">
        <f t="shared" si="197"/>
        <v>1900</v>
      </c>
      <c r="AV452">
        <f t="shared" si="198"/>
        <v>0</v>
      </c>
      <c r="AW452">
        <f t="shared" si="199"/>
        <v>0</v>
      </c>
    </row>
    <row r="453" spans="4:49" ht="15.75" x14ac:dyDescent="0.25">
      <c r="D453" s="199"/>
      <c r="E453" s="200"/>
      <c r="F453" s="287"/>
      <c r="G453" s="201"/>
      <c r="H453" s="219"/>
      <c r="I453" s="202"/>
      <c r="J453" s="200"/>
      <c r="K453" s="200"/>
      <c r="L453" s="203"/>
      <c r="M453" s="204">
        <f ca="1">IF(ISERROR(OFFSET(Tabella!$A$1,MATCH(J453,Tabella!$A:$A,0)-1,MATCH(L453,Tabella!$A$1:$AC$1,0)-1)=TRUE),0,+OFFSET(Tabella!$A$1,MATCH(J453,Tabella!$A:$A,0)-1,MATCH(L453,Tabella!$A$1:$AC$1,0)-1))</f>
        <v>0</v>
      </c>
      <c r="N453" s="205">
        <f ca="1">IF(ISERROR(OFFSET(Ottone!$A$1,MATCH(J453,Ottone!$A:$A,0)-1,MATCH(L453,Ottone!$A$1:$Z$1,0)-1)=TRUE),0,OFFSET(Ottone!$A$1,MATCH(J453,Ottone!$A:$A,0)-1,MATCH(L453,Ottone!$A$1:$Z$1,0)-1))*IF(G453="Ottone",1,0)</f>
        <v>0</v>
      </c>
      <c r="O453" s="205">
        <f ca="1">IF(ISERROR(OFFSET(Rame!$A$1,MATCH(J453,Rame!$A:$A,0)-1,MATCH(L453,Rame!$A$1:$AA$1,0)-1)=TRUE),0,OFFSET(Rame!$A$1,MATCH(J453,Rame!$A:$A,0)-1,MATCH(L453,Rame!$A$1:$AA$1,0)-1))*IF(G453="Rame",1,0)</f>
        <v>0</v>
      </c>
      <c r="P453" s="205">
        <v>0</v>
      </c>
      <c r="Q453" s="205">
        <f t="shared" ca="1" si="189"/>
        <v>0</v>
      </c>
      <c r="R453" s="205">
        <f ca="1">+IF(ISERROR(OFFSET(Tabella!$G$1,MATCH(J453,Tabella!$G:$G,0)-1,MATCH(K453,Tabella!$G$1:$FG$1,0)-1)=TRUE),0,OFFSET(Tabella!$G$1,MATCH(J453,Tabella!$G:$G,0)-1,MATCH(K453,Tabella!$G$1:$AB$1,0)-1))</f>
        <v>0</v>
      </c>
      <c r="S453" s="205">
        <f ca="1">IF(ISERROR(OFFSET(Ottone!$F$1,MATCH(J453,Ottone!$A:$A,0)-1,MATCH(K453,Ottone!$F$1:$FF$1,0)-1)=TRUE),0,OFFSET(Ottone!$F$1,MATCH(J453,Ottone!$A:$A,0)-1,MATCH(K453,Ottone!$F$1:$FF$1,0)-1))*IF(G453="Ottone",1,0)</f>
        <v>0</v>
      </c>
      <c r="T453" s="205">
        <f ca="1">IF(ISERROR(OFFSET(Rame!$F$1,MATCH(J453,Rame!$F:$F,0)-1,MATCH(K453,Rame!$F$1:$FF$1,0)-1)=TRUE),0,OFFSET(Rame!$F$1,MATCH(J453,Rame!$F:$F,0)-1,MATCH(K453,Rame!$F$1:$FF$1,0)-1))*IF(G453="Rame",1,0)</f>
        <v>0</v>
      </c>
      <c r="U453" s="205">
        <f ca="1">IF(ISERROR(OFFSET(Bronzo!$A$1,MATCH(J453,Bronzo!$A:$A,0)-1,MATCH(K453,Bronzo!$A$1:$AA$1,0)-1)=TRUE),0,OFFSET(Bronzo!$A$1,MATCH(J453,Bronzo!$A:$A,0)-1,MATCH(K453,Bronzo!$A$1:$AA$1,0)-1))</f>
        <v>0</v>
      </c>
      <c r="V453" s="205">
        <f t="shared" ca="1" si="190"/>
        <v>0</v>
      </c>
      <c r="W453" s="204"/>
      <c r="X453" s="205">
        <v>0</v>
      </c>
      <c r="Y453" s="206">
        <f t="shared" ca="1" si="191"/>
        <v>0</v>
      </c>
      <c r="Z453" s="277">
        <f t="shared" si="192"/>
        <v>0</v>
      </c>
      <c r="AA453" s="203"/>
      <c r="AB453" s="203">
        <f t="shared" ca="1" si="193"/>
        <v>0</v>
      </c>
      <c r="AC453" s="238"/>
      <c r="AI453" s="367">
        <f t="shared" ca="1" si="200"/>
        <v>46092</v>
      </c>
      <c r="AJ453" s="367" t="b">
        <f t="shared" si="194"/>
        <v>1</v>
      </c>
      <c r="AK453" s="370" t="str">
        <f t="shared" si="195"/>
        <v/>
      </c>
      <c r="AN453">
        <f t="shared" si="196"/>
        <v>0</v>
      </c>
      <c r="AO453">
        <f t="shared" si="197"/>
        <v>1900</v>
      </c>
      <c r="AV453">
        <f t="shared" si="198"/>
        <v>0</v>
      </c>
      <c r="AW453">
        <f t="shared" si="199"/>
        <v>0</v>
      </c>
    </row>
    <row r="454" spans="4:49" ht="15.75" x14ac:dyDescent="0.25">
      <c r="D454" s="199"/>
      <c r="E454" s="200"/>
      <c r="F454" s="287"/>
      <c r="G454" s="201"/>
      <c r="H454" s="219"/>
      <c r="I454" s="202"/>
      <c r="J454" s="200"/>
      <c r="K454" s="200"/>
      <c r="L454" s="203"/>
      <c r="M454" s="204">
        <f ca="1">IF(ISERROR(OFFSET(Tabella!$A$1,MATCH(J454,Tabella!$A:$A,0)-1,MATCH(L454,Tabella!$A$1:$AC$1,0)-1)=TRUE),0,+OFFSET(Tabella!$A$1,MATCH(J454,Tabella!$A:$A,0)-1,MATCH(L454,Tabella!$A$1:$AC$1,0)-1))</f>
        <v>0</v>
      </c>
      <c r="N454" s="205">
        <f ca="1">IF(ISERROR(OFFSET(Ottone!$A$1,MATCH(J454,Ottone!$A:$A,0)-1,MATCH(L454,Ottone!$A$1:$Z$1,0)-1)=TRUE),0,OFFSET(Ottone!$A$1,MATCH(J454,Ottone!$A:$A,0)-1,MATCH(L454,Ottone!$A$1:$Z$1,0)-1))*IF(G454="Ottone",1,0)</f>
        <v>0</v>
      </c>
      <c r="O454" s="205">
        <f ca="1">IF(ISERROR(OFFSET(Rame!$A$1,MATCH(J454,Rame!$A:$A,0)-1,MATCH(L454,Rame!$A$1:$AA$1,0)-1)=TRUE),0,OFFSET(Rame!$A$1,MATCH(J454,Rame!$A:$A,0)-1,MATCH(L454,Rame!$A$1:$AA$1,0)-1))*IF(G454="Rame",1,0)</f>
        <v>0</v>
      </c>
      <c r="P454" s="205">
        <v>0</v>
      </c>
      <c r="Q454" s="205">
        <f t="shared" ca="1" si="189"/>
        <v>0</v>
      </c>
      <c r="R454" s="205">
        <f ca="1">+IF(ISERROR(OFFSET(Tabella!$G$1,MATCH(J454,Tabella!$G:$G,0)-1,MATCH(K454,Tabella!$G$1:$FG$1,0)-1)=TRUE),0,OFFSET(Tabella!$G$1,MATCH(J454,Tabella!$G:$G,0)-1,MATCH(K454,Tabella!$G$1:$AB$1,0)-1))</f>
        <v>0</v>
      </c>
      <c r="S454" s="205">
        <f ca="1">IF(ISERROR(OFFSET(Ottone!$F$1,MATCH(J454,Ottone!$A:$A,0)-1,MATCH(K454,Ottone!$F$1:$FF$1,0)-1)=TRUE),0,OFFSET(Ottone!$F$1,MATCH(J454,Ottone!$A:$A,0)-1,MATCH(K454,Ottone!$F$1:$FF$1,0)-1))*IF(G454="Ottone",1,0)</f>
        <v>0</v>
      </c>
      <c r="T454" s="205">
        <f ca="1">IF(ISERROR(OFFSET(Rame!$F$1,MATCH(J454,Rame!$F:$F,0)-1,MATCH(K454,Rame!$F$1:$FF$1,0)-1)=TRUE),0,OFFSET(Rame!$F$1,MATCH(J454,Rame!$F:$F,0)-1,MATCH(K454,Rame!$F$1:$FF$1,0)-1))*IF(G454="Rame",1,0)</f>
        <v>0</v>
      </c>
      <c r="U454" s="205">
        <f ca="1">IF(ISERROR(OFFSET(Bronzo!$A$1,MATCH(J454,Bronzo!$A:$A,0)-1,MATCH(K454,Bronzo!$A$1:$AA$1,0)-1)=TRUE),0,OFFSET(Bronzo!$A$1,MATCH(J454,Bronzo!$A:$A,0)-1,MATCH(K454,Bronzo!$A$1:$AA$1,0)-1))</f>
        <v>0</v>
      </c>
      <c r="V454" s="205">
        <f t="shared" ca="1" si="190"/>
        <v>0</v>
      </c>
      <c r="W454" s="204"/>
      <c r="X454" s="205">
        <v>0</v>
      </c>
      <c r="Y454" s="206">
        <f t="shared" ca="1" si="191"/>
        <v>0</v>
      </c>
      <c r="Z454" s="277">
        <f t="shared" si="192"/>
        <v>0</v>
      </c>
      <c r="AA454" s="203"/>
      <c r="AB454" s="203">
        <f t="shared" ca="1" si="193"/>
        <v>0</v>
      </c>
      <c r="AC454" s="238"/>
      <c r="AI454" s="367">
        <f t="shared" ca="1" si="200"/>
        <v>46092</v>
      </c>
      <c r="AJ454" s="367" t="b">
        <f t="shared" si="194"/>
        <v>1</v>
      </c>
      <c r="AK454" s="370" t="str">
        <f t="shared" si="195"/>
        <v/>
      </c>
      <c r="AN454">
        <f t="shared" si="196"/>
        <v>0</v>
      </c>
      <c r="AO454">
        <f t="shared" si="197"/>
        <v>1900</v>
      </c>
      <c r="AV454">
        <f t="shared" si="198"/>
        <v>0</v>
      </c>
      <c r="AW454">
        <f t="shared" si="199"/>
        <v>0</v>
      </c>
    </row>
    <row r="455" spans="4:49" ht="15.75" x14ac:dyDescent="0.25">
      <c r="D455" s="199"/>
      <c r="E455" s="200"/>
      <c r="F455" s="287"/>
      <c r="G455" s="201"/>
      <c r="H455" s="219"/>
      <c r="I455" s="202"/>
      <c r="J455" s="200"/>
      <c r="K455" s="200"/>
      <c r="L455" s="203"/>
      <c r="M455" s="204">
        <f ca="1">IF(ISERROR(OFFSET(Tabella!$A$1,MATCH(J455,Tabella!$A:$A,0)-1,MATCH(L455,Tabella!$A$1:$AC$1,0)-1)=TRUE),0,+OFFSET(Tabella!$A$1,MATCH(J455,Tabella!$A:$A,0)-1,MATCH(L455,Tabella!$A$1:$AC$1,0)-1))</f>
        <v>0</v>
      </c>
      <c r="N455" s="205">
        <f ca="1">IF(ISERROR(OFFSET(Ottone!$A$1,MATCH(J455,Ottone!$A:$A,0)-1,MATCH(L455,Ottone!$A$1:$Z$1,0)-1)=TRUE),0,OFFSET(Ottone!$A$1,MATCH(J455,Ottone!$A:$A,0)-1,MATCH(L455,Ottone!$A$1:$Z$1,0)-1))*IF(G455="Ottone",1,0)</f>
        <v>0</v>
      </c>
      <c r="O455" s="205">
        <f ca="1">IF(ISERROR(OFFSET(Rame!$A$1,MATCH(J455,Rame!$A:$A,0)-1,MATCH(L455,Rame!$A$1:$AA$1,0)-1)=TRUE),0,OFFSET(Rame!$A$1,MATCH(J455,Rame!$A:$A,0)-1,MATCH(L455,Rame!$A$1:$AA$1,0)-1))*IF(G455="Rame",1,0)</f>
        <v>0</v>
      </c>
      <c r="P455" s="205">
        <v>0</v>
      </c>
      <c r="Q455" s="205">
        <f t="shared" ca="1" si="189"/>
        <v>0</v>
      </c>
      <c r="R455" s="205">
        <f ca="1">+IF(ISERROR(OFFSET(Tabella!$G$1,MATCH(J455,Tabella!$G:$G,0)-1,MATCH(K455,Tabella!$G$1:$FG$1,0)-1)=TRUE),0,OFFSET(Tabella!$G$1,MATCH(J455,Tabella!$G:$G,0)-1,MATCH(K455,Tabella!$G$1:$AB$1,0)-1))</f>
        <v>0</v>
      </c>
      <c r="S455" s="205">
        <f ca="1">IF(ISERROR(OFFSET(Ottone!$F$1,MATCH(J455,Ottone!$A:$A,0)-1,MATCH(K455,Ottone!$F$1:$FF$1,0)-1)=TRUE),0,OFFSET(Ottone!$F$1,MATCH(J455,Ottone!$A:$A,0)-1,MATCH(K455,Ottone!$F$1:$FF$1,0)-1))*IF(G455="Ottone",1,0)</f>
        <v>0</v>
      </c>
      <c r="T455" s="205">
        <f ca="1">IF(ISERROR(OFFSET(Rame!$F$1,MATCH(J455,Rame!$F:$F,0)-1,MATCH(K455,Rame!$F$1:$FF$1,0)-1)=TRUE),0,OFFSET(Rame!$F$1,MATCH(J455,Rame!$F:$F,0)-1,MATCH(K455,Rame!$F$1:$FF$1,0)-1))*IF(G455="Rame",1,0)</f>
        <v>0</v>
      </c>
      <c r="U455" s="205">
        <f ca="1">IF(ISERROR(OFFSET(Bronzo!$A$1,MATCH(J455,Bronzo!$A:$A,0)-1,MATCH(K455,Bronzo!$A$1:$AA$1,0)-1)=TRUE),0,OFFSET(Bronzo!$A$1,MATCH(J455,Bronzo!$A:$A,0)-1,MATCH(K455,Bronzo!$A$1:$AA$1,0)-1))</f>
        <v>0</v>
      </c>
      <c r="V455" s="205">
        <f t="shared" ca="1" si="190"/>
        <v>0</v>
      </c>
      <c r="W455" s="204"/>
      <c r="X455" s="205">
        <v>0</v>
      </c>
      <c r="Y455" s="206">
        <f t="shared" ca="1" si="191"/>
        <v>0</v>
      </c>
      <c r="Z455" s="277">
        <f t="shared" si="192"/>
        <v>0</v>
      </c>
      <c r="AA455" s="203"/>
      <c r="AB455" s="203">
        <f t="shared" ca="1" si="193"/>
        <v>0</v>
      </c>
      <c r="AC455" s="238"/>
      <c r="AI455" s="367">
        <f t="shared" ca="1" si="200"/>
        <v>46092</v>
      </c>
      <c r="AJ455" s="367" t="b">
        <f t="shared" si="194"/>
        <v>1</v>
      </c>
      <c r="AK455" s="370" t="str">
        <f t="shared" si="195"/>
        <v/>
      </c>
      <c r="AN455">
        <f t="shared" si="196"/>
        <v>0</v>
      </c>
      <c r="AO455">
        <f t="shared" si="197"/>
        <v>1900</v>
      </c>
      <c r="AV455">
        <f t="shared" si="198"/>
        <v>0</v>
      </c>
      <c r="AW455">
        <f t="shared" si="199"/>
        <v>0</v>
      </c>
    </row>
    <row r="456" spans="4:49" ht="15.75" x14ac:dyDescent="0.25">
      <c r="D456" s="199"/>
      <c r="E456" s="200"/>
      <c r="F456" s="287"/>
      <c r="G456" s="201"/>
      <c r="H456" s="219"/>
      <c r="I456" s="202"/>
      <c r="J456" s="200"/>
      <c r="K456" s="200"/>
      <c r="L456" s="203"/>
      <c r="M456" s="204">
        <f ca="1">IF(ISERROR(OFFSET(Tabella!$A$1,MATCH(J456,Tabella!$A:$A,0)-1,MATCH(L456,Tabella!$A$1:$AC$1,0)-1)=TRUE),0,+OFFSET(Tabella!$A$1,MATCH(J456,Tabella!$A:$A,0)-1,MATCH(L456,Tabella!$A$1:$AC$1,0)-1))</f>
        <v>0</v>
      </c>
      <c r="N456" s="205">
        <f ca="1">IF(ISERROR(OFFSET(Ottone!$A$1,MATCH(J456,Ottone!$A:$A,0)-1,MATCH(L456,Ottone!$A$1:$Z$1,0)-1)=TRUE),0,OFFSET(Ottone!$A$1,MATCH(J456,Ottone!$A:$A,0)-1,MATCH(L456,Ottone!$A$1:$Z$1,0)-1))*IF(G456="Ottone",1,0)</f>
        <v>0</v>
      </c>
      <c r="O456" s="205">
        <f ca="1">IF(ISERROR(OFFSET(Rame!$A$1,MATCH(J456,Rame!$A:$A,0)-1,MATCH(L456,Rame!$A$1:$AA$1,0)-1)=TRUE),0,OFFSET(Rame!$A$1,MATCH(J456,Rame!$A:$A,0)-1,MATCH(L456,Rame!$A$1:$AA$1,0)-1))*IF(G456="Rame",1,0)</f>
        <v>0</v>
      </c>
      <c r="P456" s="205">
        <v>0</v>
      </c>
      <c r="Q456" s="205">
        <f t="shared" ca="1" si="189"/>
        <v>0</v>
      </c>
      <c r="R456" s="205">
        <f ca="1">+IF(ISERROR(OFFSET(Tabella!$G$1,MATCH(J456,Tabella!$G:$G,0)-1,MATCH(K456,Tabella!$G$1:$FG$1,0)-1)=TRUE),0,OFFSET(Tabella!$G$1,MATCH(J456,Tabella!$G:$G,0)-1,MATCH(K456,Tabella!$G$1:$AB$1,0)-1))</f>
        <v>0</v>
      </c>
      <c r="S456" s="205">
        <f ca="1">IF(ISERROR(OFFSET(Ottone!$F$1,MATCH(J456,Ottone!$A:$A,0)-1,MATCH(K456,Ottone!$F$1:$FF$1,0)-1)=TRUE),0,OFFSET(Ottone!$F$1,MATCH(J456,Ottone!$A:$A,0)-1,MATCH(K456,Ottone!$F$1:$FF$1,0)-1))*IF(G456="Ottone",1,0)</f>
        <v>0</v>
      </c>
      <c r="T456" s="205">
        <f ca="1">IF(ISERROR(OFFSET(Rame!$F$1,MATCH(J456,Rame!$F:$F,0)-1,MATCH(K456,Rame!$F$1:$FF$1,0)-1)=TRUE),0,OFFSET(Rame!$F$1,MATCH(J456,Rame!$F:$F,0)-1,MATCH(K456,Rame!$F$1:$FF$1,0)-1))*IF(G456="Rame",1,0)</f>
        <v>0</v>
      </c>
      <c r="U456" s="205">
        <f ca="1">IF(ISERROR(OFFSET(Bronzo!$A$1,MATCH(J456,Bronzo!$A:$A,0)-1,MATCH(K456,Bronzo!$A$1:$AA$1,0)-1)=TRUE),0,OFFSET(Bronzo!$A$1,MATCH(J456,Bronzo!$A:$A,0)-1,MATCH(K456,Bronzo!$A$1:$AA$1,0)-1))</f>
        <v>0</v>
      </c>
      <c r="V456" s="205">
        <f t="shared" ca="1" si="190"/>
        <v>0</v>
      </c>
      <c r="W456" s="204"/>
      <c r="X456" s="205">
        <v>0</v>
      </c>
      <c r="Y456" s="206">
        <f t="shared" ca="1" si="191"/>
        <v>0</v>
      </c>
      <c r="Z456" s="277">
        <f t="shared" si="192"/>
        <v>0</v>
      </c>
      <c r="AA456" s="203"/>
      <c r="AB456" s="203">
        <f t="shared" ca="1" si="193"/>
        <v>0</v>
      </c>
      <c r="AC456" s="238"/>
      <c r="AI456" s="367">
        <f t="shared" ca="1" si="200"/>
        <v>46092</v>
      </c>
      <c r="AJ456" s="367" t="b">
        <f t="shared" si="194"/>
        <v>1</v>
      </c>
      <c r="AK456" s="370" t="str">
        <f t="shared" si="195"/>
        <v/>
      </c>
      <c r="AN456">
        <f t="shared" si="196"/>
        <v>0</v>
      </c>
      <c r="AO456">
        <f t="shared" si="197"/>
        <v>1900</v>
      </c>
      <c r="AV456">
        <f t="shared" si="198"/>
        <v>0</v>
      </c>
      <c r="AW456">
        <f t="shared" si="199"/>
        <v>0</v>
      </c>
    </row>
    <row r="457" spans="4:49" ht="15.75" x14ac:dyDescent="0.25">
      <c r="D457" s="199"/>
      <c r="E457" s="200"/>
      <c r="F457" s="287"/>
      <c r="G457" s="201"/>
      <c r="H457" s="219"/>
      <c r="I457" s="202"/>
      <c r="J457" s="200"/>
      <c r="K457" s="200"/>
      <c r="L457" s="203"/>
      <c r="M457" s="204">
        <f ca="1">IF(ISERROR(OFFSET(Tabella!$A$1,MATCH(J457,Tabella!$A:$A,0)-1,MATCH(L457,Tabella!$A$1:$AC$1,0)-1)=TRUE),0,+OFFSET(Tabella!$A$1,MATCH(J457,Tabella!$A:$A,0)-1,MATCH(L457,Tabella!$A$1:$AC$1,0)-1))</f>
        <v>0</v>
      </c>
      <c r="N457" s="205">
        <f ca="1">IF(ISERROR(OFFSET(Ottone!$A$1,MATCH(J457,Ottone!$A:$A,0)-1,MATCH(L457,Ottone!$A$1:$Z$1,0)-1)=TRUE),0,OFFSET(Ottone!$A$1,MATCH(J457,Ottone!$A:$A,0)-1,MATCH(L457,Ottone!$A$1:$Z$1,0)-1))*IF(G457="Ottone",1,0)</f>
        <v>0</v>
      </c>
      <c r="O457" s="205">
        <f ca="1">IF(ISERROR(OFFSET(Rame!$A$1,MATCH(J457,Rame!$A:$A,0)-1,MATCH(L457,Rame!$A$1:$AA$1,0)-1)=TRUE),0,OFFSET(Rame!$A$1,MATCH(J457,Rame!$A:$A,0)-1,MATCH(L457,Rame!$A$1:$AA$1,0)-1))*IF(G457="Rame",1,0)</f>
        <v>0</v>
      </c>
      <c r="P457" s="205">
        <v>0</v>
      </c>
      <c r="Q457" s="205">
        <f t="shared" ca="1" si="189"/>
        <v>0</v>
      </c>
      <c r="R457" s="205">
        <f ca="1">+IF(ISERROR(OFFSET(Tabella!$G$1,MATCH(J457,Tabella!$G:$G,0)-1,MATCH(K457,Tabella!$G$1:$FG$1,0)-1)=TRUE),0,OFFSET(Tabella!$G$1,MATCH(J457,Tabella!$G:$G,0)-1,MATCH(K457,Tabella!$G$1:$AB$1,0)-1))</f>
        <v>0</v>
      </c>
      <c r="S457" s="205">
        <f ca="1">IF(ISERROR(OFFSET(Ottone!$F$1,MATCH(J457,Ottone!$A:$A,0)-1,MATCH(K457,Ottone!$F$1:$FF$1,0)-1)=TRUE),0,OFFSET(Ottone!$F$1,MATCH(J457,Ottone!$A:$A,0)-1,MATCH(K457,Ottone!$F$1:$FF$1,0)-1))*IF(G457="Ottone",1,0)</f>
        <v>0</v>
      </c>
      <c r="T457" s="205">
        <f ca="1">IF(ISERROR(OFFSET(Rame!$F$1,MATCH(J457,Rame!$F:$F,0)-1,MATCH(K457,Rame!$F$1:$FF$1,0)-1)=TRUE),0,OFFSET(Rame!$F$1,MATCH(J457,Rame!$F:$F,0)-1,MATCH(K457,Rame!$F$1:$FF$1,0)-1))*IF(G457="Rame",1,0)</f>
        <v>0</v>
      </c>
      <c r="U457" s="205">
        <f ca="1">IF(ISERROR(OFFSET(Bronzo!$A$1,MATCH(J457,Bronzo!$A:$A,0)-1,MATCH(K457,Bronzo!$A$1:$AA$1,0)-1)=TRUE),0,OFFSET(Bronzo!$A$1,MATCH(J457,Bronzo!$A:$A,0)-1,MATCH(K457,Bronzo!$A$1:$AA$1,0)-1))</f>
        <v>0</v>
      </c>
      <c r="V457" s="205">
        <f t="shared" ca="1" si="190"/>
        <v>0</v>
      </c>
      <c r="W457" s="204"/>
      <c r="X457" s="205">
        <v>0</v>
      </c>
      <c r="Y457" s="206">
        <f t="shared" ca="1" si="191"/>
        <v>0</v>
      </c>
      <c r="Z457" s="277">
        <f t="shared" si="192"/>
        <v>0</v>
      </c>
      <c r="AA457" s="203"/>
      <c r="AB457" s="203">
        <f t="shared" ca="1" si="193"/>
        <v>0</v>
      </c>
      <c r="AC457" s="238"/>
      <c r="AI457" s="367">
        <f t="shared" ca="1" si="200"/>
        <v>46092</v>
      </c>
      <c r="AJ457" s="367" t="b">
        <f t="shared" si="194"/>
        <v>1</v>
      </c>
      <c r="AK457" s="370" t="str">
        <f t="shared" si="195"/>
        <v/>
      </c>
      <c r="AN457">
        <f t="shared" si="196"/>
        <v>0</v>
      </c>
      <c r="AO457">
        <f t="shared" si="197"/>
        <v>1900</v>
      </c>
      <c r="AV457">
        <f t="shared" si="198"/>
        <v>0</v>
      </c>
      <c r="AW457">
        <f t="shared" si="199"/>
        <v>0</v>
      </c>
    </row>
    <row r="458" spans="4:49" ht="15.75" x14ac:dyDescent="0.25">
      <c r="D458" s="199"/>
      <c r="E458" s="200"/>
      <c r="F458" s="287"/>
      <c r="G458" s="201"/>
      <c r="H458" s="219"/>
      <c r="I458" s="202"/>
      <c r="J458" s="200"/>
      <c r="K458" s="200"/>
      <c r="L458" s="203"/>
      <c r="M458" s="204">
        <f ca="1">IF(ISERROR(OFFSET(Tabella!$A$1,MATCH(J458,Tabella!$A:$A,0)-1,MATCH(L458,Tabella!$A$1:$AC$1,0)-1)=TRUE),0,+OFFSET(Tabella!$A$1,MATCH(J458,Tabella!$A:$A,0)-1,MATCH(L458,Tabella!$A$1:$AC$1,0)-1))</f>
        <v>0</v>
      </c>
      <c r="N458" s="205">
        <f ca="1">IF(ISERROR(OFFSET(Ottone!$A$1,MATCH(J458,Ottone!$A:$A,0)-1,MATCH(L458,Ottone!$A$1:$Z$1,0)-1)=TRUE),0,OFFSET(Ottone!$A$1,MATCH(J458,Ottone!$A:$A,0)-1,MATCH(L458,Ottone!$A$1:$Z$1,0)-1))*IF(G458="Ottone",1,0)</f>
        <v>0</v>
      </c>
      <c r="O458" s="205">
        <f ca="1">IF(ISERROR(OFFSET(Rame!$A$1,MATCH(J458,Rame!$A:$A,0)-1,MATCH(L458,Rame!$A$1:$AA$1,0)-1)=TRUE),0,OFFSET(Rame!$A$1,MATCH(J458,Rame!$A:$A,0)-1,MATCH(L458,Rame!$A$1:$AA$1,0)-1))*IF(G458="Rame",1,0)</f>
        <v>0</v>
      </c>
      <c r="P458" s="205">
        <v>0</v>
      </c>
      <c r="Q458" s="205">
        <f t="shared" ca="1" si="189"/>
        <v>0</v>
      </c>
      <c r="R458" s="205">
        <f ca="1">+IF(ISERROR(OFFSET(Tabella!$G$1,MATCH(J458,Tabella!$G:$G,0)-1,MATCH(K458,Tabella!$G$1:$FG$1,0)-1)=TRUE),0,OFFSET(Tabella!$G$1,MATCH(J458,Tabella!$G:$G,0)-1,MATCH(K458,Tabella!$G$1:$AB$1,0)-1))</f>
        <v>0</v>
      </c>
      <c r="S458" s="205">
        <f ca="1">IF(ISERROR(OFFSET(Ottone!$F$1,MATCH(J458,Ottone!$A:$A,0)-1,MATCH(K458,Ottone!$F$1:$FF$1,0)-1)=TRUE),0,OFFSET(Ottone!$F$1,MATCH(J458,Ottone!$A:$A,0)-1,MATCH(K458,Ottone!$F$1:$FF$1,0)-1))*IF(G458="Ottone",1,0)</f>
        <v>0</v>
      </c>
      <c r="T458" s="205">
        <f ca="1">IF(ISERROR(OFFSET(Rame!$F$1,MATCH(J458,Rame!$F:$F,0)-1,MATCH(K458,Rame!$F$1:$FF$1,0)-1)=TRUE),0,OFFSET(Rame!$F$1,MATCH(J458,Rame!$F:$F,0)-1,MATCH(K458,Rame!$F$1:$FF$1,0)-1))*IF(G458="Rame",1,0)</f>
        <v>0</v>
      </c>
      <c r="U458" s="205">
        <f ca="1">IF(ISERROR(OFFSET(Bronzo!$A$1,MATCH(J458,Bronzo!$A:$A,0)-1,MATCH(K458,Bronzo!$A$1:$AA$1,0)-1)=TRUE),0,OFFSET(Bronzo!$A$1,MATCH(J458,Bronzo!$A:$A,0)-1,MATCH(K458,Bronzo!$A$1:$AA$1,0)-1))</f>
        <v>0</v>
      </c>
      <c r="V458" s="205">
        <f t="shared" ca="1" si="190"/>
        <v>0</v>
      </c>
      <c r="W458" s="204"/>
      <c r="X458" s="205">
        <v>0</v>
      </c>
      <c r="Y458" s="206">
        <f t="shared" ca="1" si="191"/>
        <v>0</v>
      </c>
      <c r="Z458" s="277">
        <f t="shared" si="192"/>
        <v>0</v>
      </c>
      <c r="AA458" s="203"/>
      <c r="AB458" s="203">
        <f t="shared" ca="1" si="193"/>
        <v>0</v>
      </c>
      <c r="AC458" s="238"/>
      <c r="AI458" s="367">
        <f t="shared" ca="1" si="200"/>
        <v>46092</v>
      </c>
      <c r="AJ458" s="367" t="b">
        <f t="shared" si="194"/>
        <v>1</v>
      </c>
      <c r="AK458" s="370" t="str">
        <f t="shared" si="195"/>
        <v/>
      </c>
      <c r="AN458">
        <f t="shared" si="196"/>
        <v>0</v>
      </c>
      <c r="AO458">
        <f t="shared" si="197"/>
        <v>1900</v>
      </c>
      <c r="AV458">
        <f t="shared" si="198"/>
        <v>0</v>
      </c>
      <c r="AW458">
        <f t="shared" si="199"/>
        <v>0</v>
      </c>
    </row>
    <row r="459" spans="4:49" ht="15.75" x14ac:dyDescent="0.25">
      <c r="D459" s="199"/>
      <c r="E459" s="200"/>
      <c r="F459" s="287"/>
      <c r="G459" s="201"/>
      <c r="H459" s="219"/>
      <c r="I459" s="202"/>
      <c r="J459" s="200"/>
      <c r="K459" s="200"/>
      <c r="L459" s="203"/>
      <c r="M459" s="204">
        <f ca="1">IF(ISERROR(OFFSET(Tabella!$A$1,MATCH(J459,Tabella!$A:$A,0)-1,MATCH(L459,Tabella!$A$1:$AC$1,0)-1)=TRUE),0,+OFFSET(Tabella!$A$1,MATCH(J459,Tabella!$A:$A,0)-1,MATCH(L459,Tabella!$A$1:$AC$1,0)-1))</f>
        <v>0</v>
      </c>
      <c r="N459" s="205">
        <f ca="1">IF(ISERROR(OFFSET(Ottone!$A$1,MATCH(J459,Ottone!$A:$A,0)-1,MATCH(L459,Ottone!$A$1:$Z$1,0)-1)=TRUE),0,OFFSET(Ottone!$A$1,MATCH(J459,Ottone!$A:$A,0)-1,MATCH(L459,Ottone!$A$1:$Z$1,0)-1))*IF(G459="Ottone",1,0)</f>
        <v>0</v>
      </c>
      <c r="O459" s="205">
        <f ca="1">IF(ISERROR(OFFSET(Rame!$A$1,MATCH(J459,Rame!$A:$A,0)-1,MATCH(L459,Rame!$A$1:$AA$1,0)-1)=TRUE),0,OFFSET(Rame!$A$1,MATCH(J459,Rame!$A:$A,0)-1,MATCH(L459,Rame!$A$1:$AA$1,0)-1))*IF(G459="Rame",1,0)</f>
        <v>0</v>
      </c>
      <c r="P459" s="205">
        <v>0</v>
      </c>
      <c r="Q459" s="205">
        <f t="shared" ca="1" si="189"/>
        <v>0</v>
      </c>
      <c r="R459" s="205">
        <f ca="1">+IF(ISERROR(OFFSET(Tabella!$G$1,MATCH(J459,Tabella!$G:$G,0)-1,MATCH(K459,Tabella!$G$1:$FG$1,0)-1)=TRUE),0,OFFSET(Tabella!$G$1,MATCH(J459,Tabella!$G:$G,0)-1,MATCH(K459,Tabella!$G$1:$AB$1,0)-1))</f>
        <v>0</v>
      </c>
      <c r="S459" s="205">
        <f ca="1">IF(ISERROR(OFFSET(Ottone!$F$1,MATCH(J459,Ottone!$A:$A,0)-1,MATCH(K459,Ottone!$F$1:$FF$1,0)-1)=TRUE),0,OFFSET(Ottone!$F$1,MATCH(J459,Ottone!$A:$A,0)-1,MATCH(K459,Ottone!$F$1:$FF$1,0)-1))*IF(G459="Ottone",1,0)</f>
        <v>0</v>
      </c>
      <c r="T459" s="205">
        <f ca="1">IF(ISERROR(OFFSET(Rame!$F$1,MATCH(J459,Rame!$F:$F,0)-1,MATCH(K459,Rame!$F$1:$FF$1,0)-1)=TRUE),0,OFFSET(Rame!$F$1,MATCH(J459,Rame!$F:$F,0)-1,MATCH(K459,Rame!$F$1:$FF$1,0)-1))*IF(G459="Rame",1,0)</f>
        <v>0</v>
      </c>
      <c r="U459" s="205">
        <f ca="1">IF(ISERROR(OFFSET(Bronzo!$A$1,MATCH(J459,Bronzo!$A:$A,0)-1,MATCH(K459,Bronzo!$A$1:$AA$1,0)-1)=TRUE),0,OFFSET(Bronzo!$A$1,MATCH(J459,Bronzo!$A:$A,0)-1,MATCH(K459,Bronzo!$A$1:$AA$1,0)-1))</f>
        <v>0</v>
      </c>
      <c r="V459" s="205">
        <f t="shared" ca="1" si="190"/>
        <v>0</v>
      </c>
      <c r="W459" s="204"/>
      <c r="X459" s="205">
        <v>0</v>
      </c>
      <c r="Y459" s="206">
        <f t="shared" ca="1" si="191"/>
        <v>0</v>
      </c>
      <c r="Z459" s="277">
        <f t="shared" si="192"/>
        <v>0</v>
      </c>
      <c r="AA459" s="203"/>
      <c r="AB459" s="203">
        <f t="shared" ca="1" si="193"/>
        <v>0</v>
      </c>
      <c r="AC459" s="238"/>
      <c r="AI459" s="367">
        <f t="shared" ca="1" si="200"/>
        <v>46092</v>
      </c>
      <c r="AJ459" s="367" t="b">
        <f t="shared" si="194"/>
        <v>1</v>
      </c>
      <c r="AK459" s="370" t="str">
        <f t="shared" si="195"/>
        <v/>
      </c>
      <c r="AN459">
        <f t="shared" si="196"/>
        <v>0</v>
      </c>
      <c r="AO459">
        <f t="shared" si="197"/>
        <v>1900</v>
      </c>
      <c r="AV459">
        <f t="shared" si="198"/>
        <v>0</v>
      </c>
      <c r="AW459">
        <f t="shared" si="199"/>
        <v>0</v>
      </c>
    </row>
    <row r="460" spans="4:49" ht="15.75" x14ac:dyDescent="0.25">
      <c r="D460" s="199"/>
      <c r="E460" s="200"/>
      <c r="F460" s="287"/>
      <c r="G460" s="201"/>
      <c r="H460" s="219"/>
      <c r="I460" s="202"/>
      <c r="J460" s="200"/>
      <c r="K460" s="200"/>
      <c r="L460" s="203"/>
      <c r="M460" s="204">
        <f ca="1">IF(ISERROR(OFFSET(Tabella!$A$1,MATCH(J460,Tabella!$A:$A,0)-1,MATCH(L460,Tabella!$A$1:$AC$1,0)-1)=TRUE),0,+OFFSET(Tabella!$A$1,MATCH(J460,Tabella!$A:$A,0)-1,MATCH(L460,Tabella!$A$1:$AC$1,0)-1))</f>
        <v>0</v>
      </c>
      <c r="N460" s="205">
        <f ca="1">IF(ISERROR(OFFSET(Ottone!$A$1,MATCH(J460,Ottone!$A:$A,0)-1,MATCH(L460,Ottone!$A$1:$Z$1,0)-1)=TRUE),0,OFFSET(Ottone!$A$1,MATCH(J460,Ottone!$A:$A,0)-1,MATCH(L460,Ottone!$A$1:$Z$1,0)-1))*IF(G460="Ottone",1,0)</f>
        <v>0</v>
      </c>
      <c r="O460" s="205">
        <f ca="1">IF(ISERROR(OFFSET(Rame!$A$1,MATCH(J460,Rame!$A:$A,0)-1,MATCH(L460,Rame!$A$1:$AA$1,0)-1)=TRUE),0,OFFSET(Rame!$A$1,MATCH(J460,Rame!$A:$A,0)-1,MATCH(L460,Rame!$A$1:$AA$1,0)-1))*IF(G460="Rame",1,0)</f>
        <v>0</v>
      </c>
      <c r="P460" s="205">
        <v>0</v>
      </c>
      <c r="Q460" s="205">
        <f t="shared" ca="1" si="189"/>
        <v>0</v>
      </c>
      <c r="R460" s="205">
        <f ca="1">+IF(ISERROR(OFFSET(Tabella!$G$1,MATCH(J460,Tabella!$G:$G,0)-1,MATCH(K460,Tabella!$G$1:$FG$1,0)-1)=TRUE),0,OFFSET(Tabella!$G$1,MATCH(J460,Tabella!$G:$G,0)-1,MATCH(K460,Tabella!$G$1:$AB$1,0)-1))</f>
        <v>0</v>
      </c>
      <c r="S460" s="205">
        <f ca="1">IF(ISERROR(OFFSET(Ottone!$F$1,MATCH(J460,Ottone!$A:$A,0)-1,MATCH(K460,Ottone!$F$1:$FF$1,0)-1)=TRUE),0,OFFSET(Ottone!$F$1,MATCH(J460,Ottone!$A:$A,0)-1,MATCH(K460,Ottone!$F$1:$FF$1,0)-1))*IF(G460="Ottone",1,0)</f>
        <v>0</v>
      </c>
      <c r="T460" s="205">
        <f ca="1">IF(ISERROR(OFFSET(Rame!$F$1,MATCH(J460,Rame!$F:$F,0)-1,MATCH(K460,Rame!$F$1:$FF$1,0)-1)=TRUE),0,OFFSET(Rame!$F$1,MATCH(J460,Rame!$F:$F,0)-1,MATCH(K460,Rame!$F$1:$FF$1,0)-1))*IF(G460="Rame",1,0)</f>
        <v>0</v>
      </c>
      <c r="U460" s="205">
        <f ca="1">IF(ISERROR(OFFSET(Bronzo!$A$1,MATCH(J460,Bronzo!$A:$A,0)-1,MATCH(K460,Bronzo!$A$1:$AA$1,0)-1)=TRUE),0,OFFSET(Bronzo!$A$1,MATCH(J460,Bronzo!$A:$A,0)-1,MATCH(K460,Bronzo!$A$1:$AA$1,0)-1))</f>
        <v>0</v>
      </c>
      <c r="V460" s="205">
        <f t="shared" ca="1" si="190"/>
        <v>0</v>
      </c>
      <c r="W460" s="204"/>
      <c r="X460" s="205">
        <v>0</v>
      </c>
      <c r="Y460" s="206">
        <f t="shared" ca="1" si="191"/>
        <v>0</v>
      </c>
      <c r="Z460" s="277">
        <f t="shared" si="192"/>
        <v>0</v>
      </c>
      <c r="AA460" s="203"/>
      <c r="AB460" s="203">
        <f t="shared" ca="1" si="193"/>
        <v>0</v>
      </c>
      <c r="AC460" s="238"/>
      <c r="AI460" s="367">
        <f t="shared" ca="1" si="200"/>
        <v>46092</v>
      </c>
      <c r="AJ460" s="367" t="b">
        <f t="shared" si="194"/>
        <v>1</v>
      </c>
      <c r="AK460" s="370" t="str">
        <f t="shared" si="195"/>
        <v/>
      </c>
      <c r="AN460">
        <f t="shared" si="196"/>
        <v>0</v>
      </c>
      <c r="AO460">
        <f t="shared" si="197"/>
        <v>1900</v>
      </c>
      <c r="AV460">
        <f t="shared" si="198"/>
        <v>0</v>
      </c>
      <c r="AW460">
        <f t="shared" si="199"/>
        <v>0</v>
      </c>
    </row>
    <row r="461" spans="4:49" ht="15.75" x14ac:dyDescent="0.25">
      <c r="D461" s="199"/>
      <c r="E461" s="200"/>
      <c r="F461" s="287"/>
      <c r="G461" s="201"/>
      <c r="H461" s="219"/>
      <c r="I461" s="202"/>
      <c r="J461" s="200"/>
      <c r="K461" s="200"/>
      <c r="L461" s="203"/>
      <c r="M461" s="204">
        <f ca="1">IF(ISERROR(OFFSET(Tabella!$A$1,MATCH(J461,Tabella!$A:$A,0)-1,MATCH(L461,Tabella!$A$1:$AC$1,0)-1)=TRUE),0,+OFFSET(Tabella!$A$1,MATCH(J461,Tabella!$A:$A,0)-1,MATCH(L461,Tabella!$A$1:$AC$1,0)-1))</f>
        <v>0</v>
      </c>
      <c r="N461" s="205">
        <f ca="1">IF(ISERROR(OFFSET(Ottone!$A$1,MATCH(J461,Ottone!$A:$A,0)-1,MATCH(L461,Ottone!$A$1:$Z$1,0)-1)=TRUE),0,OFFSET(Ottone!$A$1,MATCH(J461,Ottone!$A:$A,0)-1,MATCH(L461,Ottone!$A$1:$Z$1,0)-1))*IF(G461="Ottone",1,0)</f>
        <v>0</v>
      </c>
      <c r="O461" s="205">
        <f ca="1">IF(ISERROR(OFFSET(Rame!$A$1,MATCH(J461,Rame!$A:$A,0)-1,MATCH(L461,Rame!$A$1:$AA$1,0)-1)=TRUE),0,OFFSET(Rame!$A$1,MATCH(J461,Rame!$A:$A,0)-1,MATCH(L461,Rame!$A$1:$AA$1,0)-1))*IF(G461="Rame",1,0)</f>
        <v>0</v>
      </c>
      <c r="P461" s="205">
        <v>0</v>
      </c>
      <c r="Q461" s="205">
        <f t="shared" ca="1" si="189"/>
        <v>0</v>
      </c>
      <c r="R461" s="205">
        <f ca="1">+IF(ISERROR(OFFSET(Tabella!$G$1,MATCH(J461,Tabella!$G:$G,0)-1,MATCH(K461,Tabella!$G$1:$FG$1,0)-1)=TRUE),0,OFFSET(Tabella!$G$1,MATCH(J461,Tabella!$G:$G,0)-1,MATCH(K461,Tabella!$G$1:$AB$1,0)-1))</f>
        <v>0</v>
      </c>
      <c r="S461" s="205">
        <f ca="1">IF(ISERROR(OFFSET(Ottone!$F$1,MATCH(J461,Ottone!$A:$A,0)-1,MATCH(K461,Ottone!$F$1:$FF$1,0)-1)=TRUE),0,OFFSET(Ottone!$F$1,MATCH(J461,Ottone!$A:$A,0)-1,MATCH(K461,Ottone!$F$1:$FF$1,0)-1))*IF(G461="Ottone",1,0)</f>
        <v>0</v>
      </c>
      <c r="T461" s="205">
        <f ca="1">IF(ISERROR(OFFSET(Rame!$F$1,MATCH(J461,Rame!$F:$F,0)-1,MATCH(K461,Rame!$F$1:$FF$1,0)-1)=TRUE),0,OFFSET(Rame!$F$1,MATCH(J461,Rame!$F:$F,0)-1,MATCH(K461,Rame!$F$1:$FF$1,0)-1))*IF(G461="Rame",1,0)</f>
        <v>0</v>
      </c>
      <c r="U461" s="205">
        <f ca="1">IF(ISERROR(OFFSET(Bronzo!$A$1,MATCH(J461,Bronzo!$A:$A,0)-1,MATCH(K461,Bronzo!$A$1:$AA$1,0)-1)=TRUE),0,OFFSET(Bronzo!$A$1,MATCH(J461,Bronzo!$A:$A,0)-1,MATCH(K461,Bronzo!$A$1:$AA$1,0)-1))</f>
        <v>0</v>
      </c>
      <c r="V461" s="205">
        <f t="shared" ca="1" si="190"/>
        <v>0</v>
      </c>
      <c r="W461" s="204"/>
      <c r="X461" s="205">
        <v>0</v>
      </c>
      <c r="Y461" s="206">
        <f t="shared" ca="1" si="191"/>
        <v>0</v>
      </c>
      <c r="Z461" s="277">
        <f t="shared" si="192"/>
        <v>0</v>
      </c>
      <c r="AA461" s="203"/>
      <c r="AB461" s="203">
        <f t="shared" ca="1" si="193"/>
        <v>0</v>
      </c>
      <c r="AC461" s="238"/>
      <c r="AI461" s="367">
        <f t="shared" ca="1" si="200"/>
        <v>46092</v>
      </c>
      <c r="AJ461" s="367" t="b">
        <f t="shared" si="194"/>
        <v>1</v>
      </c>
      <c r="AK461" s="370" t="str">
        <f t="shared" si="195"/>
        <v/>
      </c>
      <c r="AN461">
        <f t="shared" si="196"/>
        <v>0</v>
      </c>
      <c r="AO461">
        <f t="shared" si="197"/>
        <v>1900</v>
      </c>
      <c r="AV461">
        <f t="shared" si="198"/>
        <v>0</v>
      </c>
      <c r="AW461">
        <f t="shared" si="199"/>
        <v>0</v>
      </c>
    </row>
    <row r="462" spans="4:49" ht="15.75" x14ac:dyDescent="0.25">
      <c r="D462" s="199"/>
      <c r="E462" s="200"/>
      <c r="F462" s="287"/>
      <c r="G462" s="201"/>
      <c r="H462" s="219"/>
      <c r="I462" s="202"/>
      <c r="J462" s="200"/>
      <c r="K462" s="200"/>
      <c r="L462" s="203"/>
      <c r="M462" s="204">
        <f ca="1">IF(ISERROR(OFFSET(Tabella!$A$1,MATCH(J462,Tabella!$A:$A,0)-1,MATCH(L462,Tabella!$A$1:$AC$1,0)-1)=TRUE),0,+OFFSET(Tabella!$A$1,MATCH(J462,Tabella!$A:$A,0)-1,MATCH(L462,Tabella!$A$1:$AC$1,0)-1))</f>
        <v>0</v>
      </c>
      <c r="N462" s="205">
        <f ca="1">IF(ISERROR(OFFSET(Ottone!$A$1,MATCH(J462,Ottone!$A:$A,0)-1,MATCH(L462,Ottone!$A$1:$Z$1,0)-1)=TRUE),0,OFFSET(Ottone!$A$1,MATCH(J462,Ottone!$A:$A,0)-1,MATCH(L462,Ottone!$A$1:$Z$1,0)-1))*IF(G462="Ottone",1,0)</f>
        <v>0</v>
      </c>
      <c r="O462" s="205">
        <f ca="1">IF(ISERROR(OFFSET(Rame!$A$1,MATCH(J462,Rame!$A:$A,0)-1,MATCH(L462,Rame!$A$1:$AA$1,0)-1)=TRUE),0,OFFSET(Rame!$A$1,MATCH(J462,Rame!$A:$A,0)-1,MATCH(L462,Rame!$A$1:$AA$1,0)-1))*IF(G462="Rame",1,0)</f>
        <v>0</v>
      </c>
      <c r="P462" s="205">
        <v>0</v>
      </c>
      <c r="Q462" s="205">
        <f t="shared" ca="1" si="189"/>
        <v>0</v>
      </c>
      <c r="R462" s="205">
        <f ca="1">+IF(ISERROR(OFFSET(Tabella!$G$1,MATCH(J462,Tabella!$G:$G,0)-1,MATCH(K462,Tabella!$G$1:$FG$1,0)-1)=TRUE),0,OFFSET(Tabella!$G$1,MATCH(J462,Tabella!$G:$G,0)-1,MATCH(K462,Tabella!$G$1:$AB$1,0)-1))</f>
        <v>0</v>
      </c>
      <c r="S462" s="205">
        <f ca="1">IF(ISERROR(OFFSET(Ottone!$F$1,MATCH(J462,Ottone!$A:$A,0)-1,MATCH(K462,Ottone!$F$1:$FF$1,0)-1)=TRUE),0,OFFSET(Ottone!$F$1,MATCH(J462,Ottone!$A:$A,0)-1,MATCH(K462,Ottone!$F$1:$FF$1,0)-1))*IF(G462="Ottone",1,0)</f>
        <v>0</v>
      </c>
      <c r="T462" s="205">
        <f ca="1">IF(ISERROR(OFFSET(Rame!$F$1,MATCH(J462,Rame!$F:$F,0)-1,MATCH(K462,Rame!$F$1:$FF$1,0)-1)=TRUE),0,OFFSET(Rame!$F$1,MATCH(J462,Rame!$F:$F,0)-1,MATCH(K462,Rame!$F$1:$FF$1,0)-1))*IF(G462="Rame",1,0)</f>
        <v>0</v>
      </c>
      <c r="U462" s="205">
        <f ca="1">IF(ISERROR(OFFSET(Bronzo!$A$1,MATCH(J462,Bronzo!$A:$A,0)-1,MATCH(K462,Bronzo!$A$1:$AA$1,0)-1)=TRUE),0,OFFSET(Bronzo!$A$1,MATCH(J462,Bronzo!$A:$A,0)-1,MATCH(K462,Bronzo!$A$1:$AA$1,0)-1))</f>
        <v>0</v>
      </c>
      <c r="V462" s="205">
        <f t="shared" ca="1" si="190"/>
        <v>0</v>
      </c>
      <c r="W462" s="204"/>
      <c r="X462" s="205">
        <v>0</v>
      </c>
      <c r="Y462" s="206">
        <f t="shared" ca="1" si="191"/>
        <v>0</v>
      </c>
      <c r="Z462" s="277">
        <f t="shared" si="192"/>
        <v>0</v>
      </c>
      <c r="AA462" s="203"/>
      <c r="AB462" s="203">
        <f t="shared" ca="1" si="193"/>
        <v>0</v>
      </c>
      <c r="AC462" s="238"/>
      <c r="AI462" s="367">
        <f t="shared" ca="1" si="200"/>
        <v>46092</v>
      </c>
      <c r="AJ462" s="367" t="b">
        <f t="shared" si="194"/>
        <v>1</v>
      </c>
      <c r="AK462" s="370" t="str">
        <f t="shared" si="195"/>
        <v/>
      </c>
      <c r="AN462">
        <f t="shared" si="196"/>
        <v>0</v>
      </c>
      <c r="AO462">
        <f t="shared" si="197"/>
        <v>1900</v>
      </c>
      <c r="AV462">
        <f t="shared" si="198"/>
        <v>0</v>
      </c>
      <c r="AW462">
        <f t="shared" si="199"/>
        <v>0</v>
      </c>
    </row>
    <row r="463" spans="4:49" ht="15.75" x14ac:dyDescent="0.25">
      <c r="D463" s="199"/>
      <c r="E463" s="200"/>
      <c r="F463" s="287"/>
      <c r="G463" s="201"/>
      <c r="H463" s="219"/>
      <c r="I463" s="202"/>
      <c r="J463" s="200"/>
      <c r="K463" s="200"/>
      <c r="L463" s="203"/>
      <c r="M463" s="204">
        <f ca="1">IF(ISERROR(OFFSET(Tabella!$A$1,MATCH(J463,Tabella!$A:$A,0)-1,MATCH(L463,Tabella!$A$1:$AC$1,0)-1)=TRUE),0,+OFFSET(Tabella!$A$1,MATCH(J463,Tabella!$A:$A,0)-1,MATCH(L463,Tabella!$A$1:$AC$1,0)-1))</f>
        <v>0</v>
      </c>
      <c r="N463" s="205">
        <f ca="1">IF(ISERROR(OFFSET(Ottone!$A$1,MATCH(J463,Ottone!$A:$A,0)-1,MATCH(L463,Ottone!$A$1:$Z$1,0)-1)=TRUE),0,OFFSET(Ottone!$A$1,MATCH(J463,Ottone!$A:$A,0)-1,MATCH(L463,Ottone!$A$1:$Z$1,0)-1))*IF(G463="Ottone",1,0)</f>
        <v>0</v>
      </c>
      <c r="O463" s="205">
        <f ca="1">IF(ISERROR(OFFSET(Rame!$A$1,MATCH(J463,Rame!$A:$A,0)-1,MATCH(L463,Rame!$A$1:$AA$1,0)-1)=TRUE),0,OFFSET(Rame!$A$1,MATCH(J463,Rame!$A:$A,0)-1,MATCH(L463,Rame!$A$1:$AA$1,0)-1))*IF(G463="Rame",1,0)</f>
        <v>0</v>
      </c>
      <c r="P463" s="205">
        <v>0</v>
      </c>
      <c r="Q463" s="205">
        <f t="shared" ref="Q463:Q526" ca="1" si="201">SUM(M463:P463)</f>
        <v>0</v>
      </c>
      <c r="R463" s="205">
        <f ca="1">+IF(ISERROR(OFFSET(Tabella!$G$1,MATCH(J463,Tabella!$G:$G,0)-1,MATCH(K463,Tabella!$G$1:$FG$1,0)-1)=TRUE),0,OFFSET(Tabella!$G$1,MATCH(J463,Tabella!$G:$G,0)-1,MATCH(K463,Tabella!$G$1:$AB$1,0)-1))</f>
        <v>0</v>
      </c>
      <c r="S463" s="205">
        <f ca="1">IF(ISERROR(OFFSET(Ottone!$F$1,MATCH(J463,Ottone!$A:$A,0)-1,MATCH(K463,Ottone!$F$1:$FF$1,0)-1)=TRUE),0,OFFSET(Ottone!$F$1,MATCH(J463,Ottone!$A:$A,0)-1,MATCH(K463,Ottone!$F$1:$FF$1,0)-1))*IF(G463="Ottone",1,0)</f>
        <v>0</v>
      </c>
      <c r="T463" s="205">
        <f ca="1">IF(ISERROR(OFFSET(Rame!$F$1,MATCH(J463,Rame!$F:$F,0)-1,MATCH(K463,Rame!$F$1:$FF$1,0)-1)=TRUE),0,OFFSET(Rame!$F$1,MATCH(J463,Rame!$F:$F,0)-1,MATCH(K463,Rame!$F$1:$FF$1,0)-1))*IF(G463="Rame",1,0)</f>
        <v>0</v>
      </c>
      <c r="U463" s="205">
        <f ca="1">IF(ISERROR(OFFSET(Bronzo!$A$1,MATCH(J463,Bronzo!$A:$A,0)-1,MATCH(K463,Bronzo!$A$1:$AA$1,0)-1)=TRUE),0,OFFSET(Bronzo!$A$1,MATCH(J463,Bronzo!$A:$A,0)-1,MATCH(K463,Bronzo!$A$1:$AA$1,0)-1))</f>
        <v>0</v>
      </c>
      <c r="V463" s="205">
        <f t="shared" ref="V463:V526" ca="1" si="202">SUM(R463:U463)</f>
        <v>0</v>
      </c>
      <c r="W463" s="204"/>
      <c r="X463" s="205">
        <v>0</v>
      </c>
      <c r="Y463" s="206">
        <f t="shared" ref="Y463:Y526" ca="1" si="203">+Q463+V463+W463+X463</f>
        <v>0</v>
      </c>
      <c r="Z463" s="277">
        <f t="shared" ref="Z463:Z526" si="204">+L463*F463</f>
        <v>0</v>
      </c>
      <c r="AA463" s="203"/>
      <c r="AB463" s="203">
        <f t="shared" ref="AB463:AB526" ca="1" si="205">+AA463-Y463-H463</f>
        <v>0</v>
      </c>
      <c r="AC463" s="238"/>
      <c r="AI463" s="367">
        <f t="shared" ca="1" si="200"/>
        <v>46092</v>
      </c>
      <c r="AJ463" s="367" t="b">
        <f t="shared" si="194"/>
        <v>1</v>
      </c>
      <c r="AK463" s="370" t="str">
        <f t="shared" si="195"/>
        <v/>
      </c>
      <c r="AN463">
        <f t="shared" si="196"/>
        <v>0</v>
      </c>
      <c r="AO463">
        <f t="shared" si="197"/>
        <v>1900</v>
      </c>
      <c r="AV463">
        <f t="shared" si="198"/>
        <v>0</v>
      </c>
      <c r="AW463">
        <f t="shared" si="199"/>
        <v>0</v>
      </c>
    </row>
    <row r="464" spans="4:49" ht="15.75" x14ac:dyDescent="0.25">
      <c r="D464" s="199"/>
      <c r="E464" s="200"/>
      <c r="F464" s="287"/>
      <c r="G464" s="201"/>
      <c r="H464" s="219"/>
      <c r="I464" s="202"/>
      <c r="J464" s="200"/>
      <c r="K464" s="200"/>
      <c r="L464" s="203"/>
      <c r="M464" s="204">
        <f ca="1">IF(ISERROR(OFFSET(Tabella!$A$1,MATCH(J464,Tabella!$A:$A,0)-1,MATCH(L464,Tabella!$A$1:$AC$1,0)-1)=TRUE),0,+OFFSET(Tabella!$A$1,MATCH(J464,Tabella!$A:$A,0)-1,MATCH(L464,Tabella!$A$1:$AC$1,0)-1))</f>
        <v>0</v>
      </c>
      <c r="N464" s="205">
        <f ca="1">IF(ISERROR(OFFSET(Ottone!$A$1,MATCH(J464,Ottone!$A:$A,0)-1,MATCH(L464,Ottone!$A$1:$Z$1,0)-1)=TRUE),0,OFFSET(Ottone!$A$1,MATCH(J464,Ottone!$A:$A,0)-1,MATCH(L464,Ottone!$A$1:$Z$1,0)-1))*IF(G464="Ottone",1,0)</f>
        <v>0</v>
      </c>
      <c r="O464" s="205">
        <f ca="1">IF(ISERROR(OFFSET(Rame!$A$1,MATCH(J464,Rame!$A:$A,0)-1,MATCH(L464,Rame!$A$1:$AA$1,0)-1)=TRUE),0,OFFSET(Rame!$A$1,MATCH(J464,Rame!$A:$A,0)-1,MATCH(L464,Rame!$A$1:$AA$1,0)-1))*IF(G464="Rame",1,0)</f>
        <v>0</v>
      </c>
      <c r="P464" s="205">
        <v>0</v>
      </c>
      <c r="Q464" s="205">
        <f t="shared" ca="1" si="201"/>
        <v>0</v>
      </c>
      <c r="R464" s="205">
        <f ca="1">+IF(ISERROR(OFFSET(Tabella!$G$1,MATCH(J464,Tabella!$G:$G,0)-1,MATCH(K464,Tabella!$G$1:$FG$1,0)-1)=TRUE),0,OFFSET(Tabella!$G$1,MATCH(J464,Tabella!$G:$G,0)-1,MATCH(K464,Tabella!$G$1:$AB$1,0)-1))</f>
        <v>0</v>
      </c>
      <c r="S464" s="205">
        <f ca="1">IF(ISERROR(OFFSET(Ottone!$F$1,MATCH(J464,Ottone!$A:$A,0)-1,MATCH(K464,Ottone!$F$1:$FF$1,0)-1)=TRUE),0,OFFSET(Ottone!$F$1,MATCH(J464,Ottone!$A:$A,0)-1,MATCH(K464,Ottone!$F$1:$FF$1,0)-1))*IF(G464="Ottone",1,0)</f>
        <v>0</v>
      </c>
      <c r="T464" s="205">
        <f ca="1">IF(ISERROR(OFFSET(Rame!$F$1,MATCH(J464,Rame!$F:$F,0)-1,MATCH(K464,Rame!$F$1:$FF$1,0)-1)=TRUE),0,OFFSET(Rame!$F$1,MATCH(J464,Rame!$F:$F,0)-1,MATCH(K464,Rame!$F$1:$FF$1,0)-1))*IF(G464="Rame",1,0)</f>
        <v>0</v>
      </c>
      <c r="U464" s="205">
        <f ca="1">IF(ISERROR(OFFSET(Bronzo!$A$1,MATCH(J464,Bronzo!$A:$A,0)-1,MATCH(K464,Bronzo!$A$1:$AA$1,0)-1)=TRUE),0,OFFSET(Bronzo!$A$1,MATCH(J464,Bronzo!$A:$A,0)-1,MATCH(K464,Bronzo!$A$1:$AA$1,0)-1))</f>
        <v>0</v>
      </c>
      <c r="V464" s="205">
        <f t="shared" ca="1" si="202"/>
        <v>0</v>
      </c>
      <c r="W464" s="204"/>
      <c r="X464" s="205">
        <v>0</v>
      </c>
      <c r="Y464" s="206">
        <f t="shared" ca="1" si="203"/>
        <v>0</v>
      </c>
      <c r="Z464" s="277">
        <f t="shared" si="204"/>
        <v>0</v>
      </c>
      <c r="AA464" s="203"/>
      <c r="AB464" s="203">
        <f t="shared" ca="1" si="205"/>
        <v>0</v>
      </c>
      <c r="AC464" s="238"/>
      <c r="AI464" s="367">
        <f t="shared" ca="1" si="200"/>
        <v>46092</v>
      </c>
      <c r="AJ464" s="367" t="b">
        <f t="shared" si="194"/>
        <v>1</v>
      </c>
      <c r="AK464" s="370" t="str">
        <f t="shared" si="195"/>
        <v/>
      </c>
      <c r="AN464">
        <f t="shared" si="196"/>
        <v>0</v>
      </c>
      <c r="AO464">
        <f t="shared" si="197"/>
        <v>1900</v>
      </c>
      <c r="AV464">
        <f t="shared" si="198"/>
        <v>0</v>
      </c>
      <c r="AW464">
        <f t="shared" si="199"/>
        <v>0</v>
      </c>
    </row>
    <row r="465" spans="4:49" ht="15.75" x14ac:dyDescent="0.25">
      <c r="D465" s="199"/>
      <c r="E465" s="200"/>
      <c r="F465" s="287"/>
      <c r="G465" s="201"/>
      <c r="H465" s="219"/>
      <c r="I465" s="202"/>
      <c r="J465" s="200"/>
      <c r="K465" s="200"/>
      <c r="L465" s="203"/>
      <c r="M465" s="204">
        <f ca="1">IF(ISERROR(OFFSET(Tabella!$A$1,MATCH(J465,Tabella!$A:$A,0)-1,MATCH(L465,Tabella!$A$1:$AC$1,0)-1)=TRUE),0,+OFFSET(Tabella!$A$1,MATCH(J465,Tabella!$A:$A,0)-1,MATCH(L465,Tabella!$A$1:$AC$1,0)-1))</f>
        <v>0</v>
      </c>
      <c r="N465" s="205">
        <f ca="1">IF(ISERROR(OFFSET(Ottone!$A$1,MATCH(J465,Ottone!$A:$A,0)-1,MATCH(L465,Ottone!$A$1:$Z$1,0)-1)=TRUE),0,OFFSET(Ottone!$A$1,MATCH(J465,Ottone!$A:$A,0)-1,MATCH(L465,Ottone!$A$1:$Z$1,0)-1))*IF(G465="Ottone",1,0)</f>
        <v>0</v>
      </c>
      <c r="O465" s="205">
        <f ca="1">IF(ISERROR(OFFSET(Rame!$A$1,MATCH(J465,Rame!$A:$A,0)-1,MATCH(L465,Rame!$A$1:$AA$1,0)-1)=TRUE),0,OFFSET(Rame!$A$1,MATCH(J465,Rame!$A:$A,0)-1,MATCH(L465,Rame!$A$1:$AA$1,0)-1))*IF(G465="Rame",1,0)</f>
        <v>0</v>
      </c>
      <c r="P465" s="205">
        <v>0</v>
      </c>
      <c r="Q465" s="205">
        <f t="shared" ca="1" si="201"/>
        <v>0</v>
      </c>
      <c r="R465" s="205">
        <f ca="1">+IF(ISERROR(OFFSET(Tabella!$G$1,MATCH(J465,Tabella!$G:$G,0)-1,MATCH(K465,Tabella!$G$1:$FG$1,0)-1)=TRUE),0,OFFSET(Tabella!$G$1,MATCH(J465,Tabella!$G:$G,0)-1,MATCH(K465,Tabella!$G$1:$AB$1,0)-1))</f>
        <v>0</v>
      </c>
      <c r="S465" s="205">
        <f ca="1">IF(ISERROR(OFFSET(Ottone!$F$1,MATCH(J465,Ottone!$A:$A,0)-1,MATCH(K465,Ottone!$F$1:$FF$1,0)-1)=TRUE),0,OFFSET(Ottone!$F$1,MATCH(J465,Ottone!$A:$A,0)-1,MATCH(K465,Ottone!$F$1:$FF$1,0)-1))*IF(G465="Ottone",1,0)</f>
        <v>0</v>
      </c>
      <c r="T465" s="205">
        <f ca="1">IF(ISERROR(OFFSET(Rame!$F$1,MATCH(J465,Rame!$F:$F,0)-1,MATCH(K465,Rame!$F$1:$FF$1,0)-1)=TRUE),0,OFFSET(Rame!$F$1,MATCH(J465,Rame!$F:$F,0)-1,MATCH(K465,Rame!$F$1:$FF$1,0)-1))*IF(G465="Rame",1,0)</f>
        <v>0</v>
      </c>
      <c r="U465" s="205">
        <f ca="1">IF(ISERROR(OFFSET(Bronzo!$A$1,MATCH(J465,Bronzo!$A:$A,0)-1,MATCH(K465,Bronzo!$A$1:$AA$1,0)-1)=TRUE),0,OFFSET(Bronzo!$A$1,MATCH(J465,Bronzo!$A:$A,0)-1,MATCH(K465,Bronzo!$A$1:$AA$1,0)-1))</f>
        <v>0</v>
      </c>
      <c r="V465" s="205">
        <f t="shared" ca="1" si="202"/>
        <v>0</v>
      </c>
      <c r="W465" s="204"/>
      <c r="X465" s="205">
        <v>0</v>
      </c>
      <c r="Y465" s="206">
        <f t="shared" ca="1" si="203"/>
        <v>0</v>
      </c>
      <c r="Z465" s="277">
        <f t="shared" si="204"/>
        <v>0</v>
      </c>
      <c r="AA465" s="203"/>
      <c r="AB465" s="203">
        <f t="shared" ca="1" si="205"/>
        <v>0</v>
      </c>
      <c r="AC465" s="238"/>
      <c r="AI465" s="367">
        <f t="shared" ca="1" si="200"/>
        <v>46092</v>
      </c>
      <c r="AJ465" s="367" t="b">
        <f t="shared" si="194"/>
        <v>1</v>
      </c>
      <c r="AK465" s="370" t="str">
        <f t="shared" si="195"/>
        <v/>
      </c>
      <c r="AN465">
        <f t="shared" si="196"/>
        <v>0</v>
      </c>
      <c r="AO465">
        <f t="shared" si="197"/>
        <v>1900</v>
      </c>
      <c r="AV465">
        <f t="shared" si="198"/>
        <v>0</v>
      </c>
      <c r="AW465">
        <f t="shared" si="199"/>
        <v>0</v>
      </c>
    </row>
    <row r="466" spans="4:49" ht="15.75" x14ac:dyDescent="0.25">
      <c r="D466" s="199"/>
      <c r="E466" s="200"/>
      <c r="F466" s="287"/>
      <c r="G466" s="201"/>
      <c r="H466" s="219"/>
      <c r="I466" s="202"/>
      <c r="J466" s="200"/>
      <c r="K466" s="200"/>
      <c r="L466" s="203"/>
      <c r="M466" s="204">
        <f ca="1">IF(ISERROR(OFFSET(Tabella!$A$1,MATCH(J466,Tabella!$A:$A,0)-1,MATCH(L466,Tabella!$A$1:$AC$1,0)-1)=TRUE),0,+OFFSET(Tabella!$A$1,MATCH(J466,Tabella!$A:$A,0)-1,MATCH(L466,Tabella!$A$1:$AC$1,0)-1))</f>
        <v>0</v>
      </c>
      <c r="N466" s="205">
        <f ca="1">IF(ISERROR(OFFSET(Ottone!$A$1,MATCH(J466,Ottone!$A:$A,0)-1,MATCH(L466,Ottone!$A$1:$Z$1,0)-1)=TRUE),0,OFFSET(Ottone!$A$1,MATCH(J466,Ottone!$A:$A,0)-1,MATCH(L466,Ottone!$A$1:$Z$1,0)-1))*IF(G466="Ottone",1,0)</f>
        <v>0</v>
      </c>
      <c r="O466" s="205">
        <f ca="1">IF(ISERROR(OFFSET(Rame!$A$1,MATCH(J466,Rame!$A:$A,0)-1,MATCH(L466,Rame!$A$1:$AA$1,0)-1)=TRUE),0,OFFSET(Rame!$A$1,MATCH(J466,Rame!$A:$A,0)-1,MATCH(L466,Rame!$A$1:$AA$1,0)-1))*IF(G466="Rame",1,0)</f>
        <v>0</v>
      </c>
      <c r="P466" s="205">
        <v>0</v>
      </c>
      <c r="Q466" s="205">
        <f t="shared" ca="1" si="201"/>
        <v>0</v>
      </c>
      <c r="R466" s="205">
        <f ca="1">+IF(ISERROR(OFFSET(Tabella!$G$1,MATCH(J466,Tabella!$G:$G,0)-1,MATCH(K466,Tabella!$G$1:$FG$1,0)-1)=TRUE),0,OFFSET(Tabella!$G$1,MATCH(J466,Tabella!$G:$G,0)-1,MATCH(K466,Tabella!$G$1:$AB$1,0)-1))</f>
        <v>0</v>
      </c>
      <c r="S466" s="205">
        <f ca="1">IF(ISERROR(OFFSET(Ottone!$F$1,MATCH(J466,Ottone!$A:$A,0)-1,MATCH(K466,Ottone!$F$1:$FF$1,0)-1)=TRUE),0,OFFSET(Ottone!$F$1,MATCH(J466,Ottone!$A:$A,0)-1,MATCH(K466,Ottone!$F$1:$FF$1,0)-1))*IF(G466="Ottone",1,0)</f>
        <v>0</v>
      </c>
      <c r="T466" s="205">
        <f ca="1">IF(ISERROR(OFFSET(Rame!$F$1,MATCH(J466,Rame!$F:$F,0)-1,MATCH(K466,Rame!$F$1:$FF$1,0)-1)=TRUE),0,OFFSET(Rame!$F$1,MATCH(J466,Rame!$F:$F,0)-1,MATCH(K466,Rame!$F$1:$FF$1,0)-1))*IF(G466="Rame",1,0)</f>
        <v>0</v>
      </c>
      <c r="U466" s="205">
        <f ca="1">IF(ISERROR(OFFSET(Bronzo!$A$1,MATCH(J466,Bronzo!$A:$A,0)-1,MATCH(K466,Bronzo!$A$1:$AA$1,0)-1)=TRUE),0,OFFSET(Bronzo!$A$1,MATCH(J466,Bronzo!$A:$A,0)-1,MATCH(K466,Bronzo!$A$1:$AA$1,0)-1))</f>
        <v>0</v>
      </c>
      <c r="V466" s="205">
        <f t="shared" ca="1" si="202"/>
        <v>0</v>
      </c>
      <c r="W466" s="204"/>
      <c r="X466" s="205">
        <v>0</v>
      </c>
      <c r="Y466" s="206">
        <f t="shared" ca="1" si="203"/>
        <v>0</v>
      </c>
      <c r="Z466" s="277">
        <f t="shared" si="204"/>
        <v>0</v>
      </c>
      <c r="AA466" s="203"/>
      <c r="AB466" s="203">
        <f t="shared" ca="1" si="205"/>
        <v>0</v>
      </c>
      <c r="AC466" s="238"/>
      <c r="AI466" s="367">
        <f t="shared" ca="1" si="200"/>
        <v>46092</v>
      </c>
      <c r="AJ466" s="367" t="b">
        <f t="shared" si="194"/>
        <v>1</v>
      </c>
      <c r="AK466" s="370" t="str">
        <f t="shared" si="195"/>
        <v/>
      </c>
      <c r="AN466">
        <f t="shared" si="196"/>
        <v>0</v>
      </c>
      <c r="AO466">
        <f t="shared" si="197"/>
        <v>1900</v>
      </c>
      <c r="AV466">
        <f t="shared" si="198"/>
        <v>0</v>
      </c>
      <c r="AW466">
        <f t="shared" si="199"/>
        <v>0</v>
      </c>
    </row>
    <row r="467" spans="4:49" ht="15.75" x14ac:dyDescent="0.25">
      <c r="D467" s="199"/>
      <c r="E467" s="200"/>
      <c r="F467" s="287"/>
      <c r="G467" s="201"/>
      <c r="H467" s="219"/>
      <c r="I467" s="202"/>
      <c r="J467" s="200"/>
      <c r="K467" s="200"/>
      <c r="L467" s="203"/>
      <c r="M467" s="204">
        <f ca="1">IF(ISERROR(OFFSET(Tabella!$A$1,MATCH(J467,Tabella!$A:$A,0)-1,MATCH(L467,Tabella!$A$1:$AC$1,0)-1)=TRUE),0,+OFFSET(Tabella!$A$1,MATCH(J467,Tabella!$A:$A,0)-1,MATCH(L467,Tabella!$A$1:$AC$1,0)-1))</f>
        <v>0</v>
      </c>
      <c r="N467" s="205">
        <f ca="1">IF(ISERROR(OFFSET(Ottone!$A$1,MATCH(J467,Ottone!$A:$A,0)-1,MATCH(L467,Ottone!$A$1:$Z$1,0)-1)=TRUE),0,OFFSET(Ottone!$A$1,MATCH(J467,Ottone!$A:$A,0)-1,MATCH(L467,Ottone!$A$1:$Z$1,0)-1))*IF(G467="Ottone",1,0)</f>
        <v>0</v>
      </c>
      <c r="O467" s="205">
        <f ca="1">IF(ISERROR(OFFSET(Rame!$A$1,MATCH(J467,Rame!$A:$A,0)-1,MATCH(L467,Rame!$A$1:$AA$1,0)-1)=TRUE),0,OFFSET(Rame!$A$1,MATCH(J467,Rame!$A:$A,0)-1,MATCH(L467,Rame!$A$1:$AA$1,0)-1))*IF(G467="Rame",1,0)</f>
        <v>0</v>
      </c>
      <c r="P467" s="205">
        <v>0</v>
      </c>
      <c r="Q467" s="205">
        <f t="shared" ca="1" si="201"/>
        <v>0</v>
      </c>
      <c r="R467" s="205">
        <f ca="1">+IF(ISERROR(OFFSET(Tabella!$G$1,MATCH(J467,Tabella!$G:$G,0)-1,MATCH(K467,Tabella!$G$1:$FG$1,0)-1)=TRUE),0,OFFSET(Tabella!$G$1,MATCH(J467,Tabella!$G:$G,0)-1,MATCH(K467,Tabella!$G$1:$AB$1,0)-1))</f>
        <v>0</v>
      </c>
      <c r="S467" s="205">
        <f ca="1">IF(ISERROR(OFFSET(Ottone!$F$1,MATCH(J467,Ottone!$A:$A,0)-1,MATCH(K467,Ottone!$F$1:$FF$1,0)-1)=TRUE),0,OFFSET(Ottone!$F$1,MATCH(J467,Ottone!$A:$A,0)-1,MATCH(K467,Ottone!$F$1:$FF$1,0)-1))*IF(G467="Ottone",1,0)</f>
        <v>0</v>
      </c>
      <c r="T467" s="205">
        <f ca="1">IF(ISERROR(OFFSET(Rame!$F$1,MATCH(J467,Rame!$F:$F,0)-1,MATCH(K467,Rame!$F$1:$FF$1,0)-1)=TRUE),0,OFFSET(Rame!$F$1,MATCH(J467,Rame!$F:$F,0)-1,MATCH(K467,Rame!$F$1:$FF$1,0)-1))*IF(G467="Rame",1,0)</f>
        <v>0</v>
      </c>
      <c r="U467" s="205">
        <f ca="1">IF(ISERROR(OFFSET(Bronzo!$A$1,MATCH(J467,Bronzo!$A:$A,0)-1,MATCH(K467,Bronzo!$A$1:$AA$1,0)-1)=TRUE),0,OFFSET(Bronzo!$A$1,MATCH(J467,Bronzo!$A:$A,0)-1,MATCH(K467,Bronzo!$A$1:$AA$1,0)-1))</f>
        <v>0</v>
      </c>
      <c r="V467" s="205">
        <f t="shared" ca="1" si="202"/>
        <v>0</v>
      </c>
      <c r="W467" s="204"/>
      <c r="X467" s="205">
        <v>0</v>
      </c>
      <c r="Y467" s="206">
        <f t="shared" ca="1" si="203"/>
        <v>0</v>
      </c>
      <c r="Z467" s="277">
        <f t="shared" si="204"/>
        <v>0</v>
      </c>
      <c r="AA467" s="203"/>
      <c r="AB467" s="203">
        <f t="shared" ca="1" si="205"/>
        <v>0</v>
      </c>
      <c r="AC467" s="238"/>
      <c r="AI467" s="367">
        <f t="shared" ca="1" si="200"/>
        <v>46092</v>
      </c>
      <c r="AJ467" s="367" t="b">
        <f t="shared" si="194"/>
        <v>1</v>
      </c>
      <c r="AK467" s="370" t="str">
        <f t="shared" si="195"/>
        <v/>
      </c>
      <c r="AN467">
        <f t="shared" si="196"/>
        <v>0</v>
      </c>
      <c r="AO467">
        <f t="shared" si="197"/>
        <v>1900</v>
      </c>
      <c r="AV467">
        <f t="shared" si="198"/>
        <v>0</v>
      </c>
      <c r="AW467">
        <f t="shared" si="199"/>
        <v>0</v>
      </c>
    </row>
    <row r="468" spans="4:49" ht="15.75" x14ac:dyDescent="0.25">
      <c r="D468" s="199"/>
      <c r="E468" s="200"/>
      <c r="F468" s="287"/>
      <c r="G468" s="201"/>
      <c r="H468" s="219"/>
      <c r="I468" s="202"/>
      <c r="J468" s="200"/>
      <c r="K468" s="200"/>
      <c r="L468" s="203"/>
      <c r="M468" s="204">
        <f ca="1">IF(ISERROR(OFFSET(Tabella!$A$1,MATCH(J468,Tabella!$A:$A,0)-1,MATCH(L468,Tabella!$A$1:$AC$1,0)-1)=TRUE),0,+OFFSET(Tabella!$A$1,MATCH(J468,Tabella!$A:$A,0)-1,MATCH(L468,Tabella!$A$1:$AC$1,0)-1))</f>
        <v>0</v>
      </c>
      <c r="N468" s="205">
        <f ca="1">IF(ISERROR(OFFSET(Ottone!$A$1,MATCH(J468,Ottone!$A:$A,0)-1,MATCH(L468,Ottone!$A$1:$Z$1,0)-1)=TRUE),0,OFFSET(Ottone!$A$1,MATCH(J468,Ottone!$A:$A,0)-1,MATCH(L468,Ottone!$A$1:$Z$1,0)-1))*IF(G468="Ottone",1,0)</f>
        <v>0</v>
      </c>
      <c r="O468" s="205">
        <f ca="1">IF(ISERROR(OFFSET(Rame!$A$1,MATCH(J468,Rame!$A:$A,0)-1,MATCH(L468,Rame!$A$1:$AA$1,0)-1)=TRUE),0,OFFSET(Rame!$A$1,MATCH(J468,Rame!$A:$A,0)-1,MATCH(L468,Rame!$A$1:$AA$1,0)-1))*IF(G468="Rame",1,0)</f>
        <v>0</v>
      </c>
      <c r="P468" s="205">
        <v>0</v>
      </c>
      <c r="Q468" s="205">
        <f t="shared" ca="1" si="201"/>
        <v>0</v>
      </c>
      <c r="R468" s="205">
        <f ca="1">+IF(ISERROR(OFFSET(Tabella!$G$1,MATCH(J468,Tabella!$G:$G,0)-1,MATCH(K468,Tabella!$G$1:$FG$1,0)-1)=TRUE),0,OFFSET(Tabella!$G$1,MATCH(J468,Tabella!$G:$G,0)-1,MATCH(K468,Tabella!$G$1:$AB$1,0)-1))</f>
        <v>0</v>
      </c>
      <c r="S468" s="205">
        <f ca="1">IF(ISERROR(OFFSET(Ottone!$F$1,MATCH(J468,Ottone!$A:$A,0)-1,MATCH(K468,Ottone!$F$1:$FF$1,0)-1)=TRUE),0,OFFSET(Ottone!$F$1,MATCH(J468,Ottone!$A:$A,0)-1,MATCH(K468,Ottone!$F$1:$FF$1,0)-1))*IF(G468="Ottone",1,0)</f>
        <v>0</v>
      </c>
      <c r="T468" s="205">
        <f ca="1">IF(ISERROR(OFFSET(Rame!$F$1,MATCH(J468,Rame!$F:$F,0)-1,MATCH(K468,Rame!$F$1:$FF$1,0)-1)=TRUE),0,OFFSET(Rame!$F$1,MATCH(J468,Rame!$F:$F,0)-1,MATCH(K468,Rame!$F$1:$FF$1,0)-1))*IF(G468="Rame",1,0)</f>
        <v>0</v>
      </c>
      <c r="U468" s="205">
        <f ca="1">IF(ISERROR(OFFSET(Bronzo!$A$1,MATCH(J468,Bronzo!$A:$A,0)-1,MATCH(K468,Bronzo!$A$1:$AA$1,0)-1)=TRUE),0,OFFSET(Bronzo!$A$1,MATCH(J468,Bronzo!$A:$A,0)-1,MATCH(K468,Bronzo!$A$1:$AA$1,0)-1))</f>
        <v>0</v>
      </c>
      <c r="V468" s="205">
        <f t="shared" ca="1" si="202"/>
        <v>0</v>
      </c>
      <c r="W468" s="204"/>
      <c r="X468" s="205">
        <v>0</v>
      </c>
      <c r="Y468" s="206">
        <f t="shared" ca="1" si="203"/>
        <v>0</v>
      </c>
      <c r="Z468" s="277">
        <f t="shared" si="204"/>
        <v>0</v>
      </c>
      <c r="AA468" s="203"/>
      <c r="AB468" s="203">
        <f t="shared" ca="1" si="205"/>
        <v>0</v>
      </c>
      <c r="AC468" s="238"/>
      <c r="AI468" s="367">
        <f t="shared" ca="1" si="200"/>
        <v>46092</v>
      </c>
      <c r="AJ468" s="367" t="b">
        <f t="shared" si="194"/>
        <v>1</v>
      </c>
      <c r="AK468" s="370" t="str">
        <f t="shared" si="195"/>
        <v/>
      </c>
      <c r="AN468">
        <f t="shared" si="196"/>
        <v>0</v>
      </c>
      <c r="AO468">
        <f t="shared" si="197"/>
        <v>1900</v>
      </c>
      <c r="AV468">
        <f t="shared" si="198"/>
        <v>0</v>
      </c>
      <c r="AW468">
        <f t="shared" si="199"/>
        <v>0</v>
      </c>
    </row>
    <row r="469" spans="4:49" ht="15.75" x14ac:dyDescent="0.25">
      <c r="D469" s="199"/>
      <c r="E469" s="200"/>
      <c r="F469" s="287"/>
      <c r="G469" s="201"/>
      <c r="H469" s="219"/>
      <c r="I469" s="202"/>
      <c r="J469" s="200"/>
      <c r="K469" s="200"/>
      <c r="L469" s="203"/>
      <c r="M469" s="204">
        <f ca="1">IF(ISERROR(OFFSET(Tabella!$A$1,MATCH(J469,Tabella!$A:$A,0)-1,MATCH(L469,Tabella!$A$1:$AC$1,0)-1)=TRUE),0,+OFFSET(Tabella!$A$1,MATCH(J469,Tabella!$A:$A,0)-1,MATCH(L469,Tabella!$A$1:$AC$1,0)-1))</f>
        <v>0</v>
      </c>
      <c r="N469" s="205">
        <f ca="1">IF(ISERROR(OFFSET(Ottone!$A$1,MATCH(J469,Ottone!$A:$A,0)-1,MATCH(L469,Ottone!$A$1:$Z$1,0)-1)=TRUE),0,OFFSET(Ottone!$A$1,MATCH(J469,Ottone!$A:$A,0)-1,MATCH(L469,Ottone!$A$1:$Z$1,0)-1))*IF(G469="Ottone",1,0)</f>
        <v>0</v>
      </c>
      <c r="O469" s="205">
        <f ca="1">IF(ISERROR(OFFSET(Rame!$A$1,MATCH(J469,Rame!$A:$A,0)-1,MATCH(L469,Rame!$A$1:$AA$1,0)-1)=TRUE),0,OFFSET(Rame!$A$1,MATCH(J469,Rame!$A:$A,0)-1,MATCH(L469,Rame!$A$1:$AA$1,0)-1))*IF(G469="Rame",1,0)</f>
        <v>0</v>
      </c>
      <c r="P469" s="205">
        <v>0</v>
      </c>
      <c r="Q469" s="205">
        <f t="shared" ca="1" si="201"/>
        <v>0</v>
      </c>
      <c r="R469" s="205">
        <f ca="1">+IF(ISERROR(OFFSET(Tabella!$G$1,MATCH(J469,Tabella!$G:$G,0)-1,MATCH(K469,Tabella!$G$1:$FG$1,0)-1)=TRUE),0,OFFSET(Tabella!$G$1,MATCH(J469,Tabella!$G:$G,0)-1,MATCH(K469,Tabella!$G$1:$AB$1,0)-1))</f>
        <v>0</v>
      </c>
      <c r="S469" s="205">
        <f ca="1">IF(ISERROR(OFFSET(Ottone!$F$1,MATCH(J469,Ottone!$A:$A,0)-1,MATCH(K469,Ottone!$F$1:$FF$1,0)-1)=TRUE),0,OFFSET(Ottone!$F$1,MATCH(J469,Ottone!$A:$A,0)-1,MATCH(K469,Ottone!$F$1:$FF$1,0)-1))*IF(G469="Ottone",1,0)</f>
        <v>0</v>
      </c>
      <c r="T469" s="205">
        <f ca="1">IF(ISERROR(OFFSET(Rame!$F$1,MATCH(J469,Rame!$F:$F,0)-1,MATCH(K469,Rame!$F$1:$FF$1,0)-1)=TRUE),0,OFFSET(Rame!$F$1,MATCH(J469,Rame!$F:$F,0)-1,MATCH(K469,Rame!$F$1:$FF$1,0)-1))*IF(G469="Rame",1,0)</f>
        <v>0</v>
      </c>
      <c r="U469" s="205">
        <f ca="1">IF(ISERROR(OFFSET(Bronzo!$A$1,MATCH(J469,Bronzo!$A:$A,0)-1,MATCH(K469,Bronzo!$A$1:$AA$1,0)-1)=TRUE),0,OFFSET(Bronzo!$A$1,MATCH(J469,Bronzo!$A:$A,0)-1,MATCH(K469,Bronzo!$A$1:$AA$1,0)-1))</f>
        <v>0</v>
      </c>
      <c r="V469" s="205">
        <f t="shared" ca="1" si="202"/>
        <v>0</v>
      </c>
      <c r="W469" s="204"/>
      <c r="X469" s="205">
        <v>0</v>
      </c>
      <c r="Y469" s="206">
        <f t="shared" ca="1" si="203"/>
        <v>0</v>
      </c>
      <c r="Z469" s="277">
        <f t="shared" si="204"/>
        <v>0</v>
      </c>
      <c r="AA469" s="203"/>
      <c r="AB469" s="203">
        <f t="shared" ca="1" si="205"/>
        <v>0</v>
      </c>
      <c r="AC469" s="238"/>
      <c r="AI469" s="367">
        <f t="shared" ca="1" si="200"/>
        <v>46092</v>
      </c>
      <c r="AJ469" s="367" t="b">
        <f t="shared" si="194"/>
        <v>1</v>
      </c>
      <c r="AK469" s="370" t="str">
        <f t="shared" si="195"/>
        <v/>
      </c>
      <c r="AN469">
        <f t="shared" si="196"/>
        <v>0</v>
      </c>
      <c r="AO469">
        <f t="shared" si="197"/>
        <v>1900</v>
      </c>
      <c r="AV469">
        <f t="shared" si="198"/>
        <v>0</v>
      </c>
      <c r="AW469">
        <f t="shared" si="199"/>
        <v>0</v>
      </c>
    </row>
    <row r="470" spans="4:49" ht="15.75" x14ac:dyDescent="0.25">
      <c r="D470" s="199"/>
      <c r="E470" s="200"/>
      <c r="F470" s="287"/>
      <c r="G470" s="201"/>
      <c r="H470" s="219"/>
      <c r="I470" s="202"/>
      <c r="J470" s="200"/>
      <c r="K470" s="200"/>
      <c r="L470" s="203"/>
      <c r="M470" s="204">
        <f ca="1">IF(ISERROR(OFFSET(Tabella!$A$1,MATCH(J470,Tabella!$A:$A,0)-1,MATCH(L470,Tabella!$A$1:$AC$1,0)-1)=TRUE),0,+OFFSET(Tabella!$A$1,MATCH(J470,Tabella!$A:$A,0)-1,MATCH(L470,Tabella!$A$1:$AC$1,0)-1))</f>
        <v>0</v>
      </c>
      <c r="N470" s="205">
        <f ca="1">IF(ISERROR(OFFSET(Ottone!$A$1,MATCH(J470,Ottone!$A:$A,0)-1,MATCH(L470,Ottone!$A$1:$Z$1,0)-1)=TRUE),0,OFFSET(Ottone!$A$1,MATCH(J470,Ottone!$A:$A,0)-1,MATCH(L470,Ottone!$A$1:$Z$1,0)-1))*IF(G470="Ottone",1,0)</f>
        <v>0</v>
      </c>
      <c r="O470" s="205">
        <f ca="1">IF(ISERROR(OFFSET(Rame!$A$1,MATCH(J470,Rame!$A:$A,0)-1,MATCH(L470,Rame!$A$1:$AA$1,0)-1)=TRUE),0,OFFSET(Rame!$A$1,MATCH(J470,Rame!$A:$A,0)-1,MATCH(L470,Rame!$A$1:$AA$1,0)-1))*IF(G470="Rame",1,0)</f>
        <v>0</v>
      </c>
      <c r="P470" s="205">
        <v>0</v>
      </c>
      <c r="Q470" s="205">
        <f t="shared" ca="1" si="201"/>
        <v>0</v>
      </c>
      <c r="R470" s="205">
        <f ca="1">+IF(ISERROR(OFFSET(Tabella!$G$1,MATCH(J470,Tabella!$G:$G,0)-1,MATCH(K470,Tabella!$G$1:$FG$1,0)-1)=TRUE),0,OFFSET(Tabella!$G$1,MATCH(J470,Tabella!$G:$G,0)-1,MATCH(K470,Tabella!$G$1:$AB$1,0)-1))</f>
        <v>0</v>
      </c>
      <c r="S470" s="205">
        <f ca="1">IF(ISERROR(OFFSET(Ottone!$F$1,MATCH(J470,Ottone!$A:$A,0)-1,MATCH(K470,Ottone!$F$1:$FF$1,0)-1)=TRUE),0,OFFSET(Ottone!$F$1,MATCH(J470,Ottone!$A:$A,0)-1,MATCH(K470,Ottone!$F$1:$FF$1,0)-1))*IF(G470="Ottone",1,0)</f>
        <v>0</v>
      </c>
      <c r="T470" s="205">
        <f ca="1">IF(ISERROR(OFFSET(Rame!$F$1,MATCH(J470,Rame!$F:$F,0)-1,MATCH(K470,Rame!$F$1:$FF$1,0)-1)=TRUE),0,OFFSET(Rame!$F$1,MATCH(J470,Rame!$F:$F,0)-1,MATCH(K470,Rame!$F$1:$FF$1,0)-1))*IF(G470="Rame",1,0)</f>
        <v>0</v>
      </c>
      <c r="U470" s="205">
        <f ca="1">IF(ISERROR(OFFSET(Bronzo!$A$1,MATCH(J470,Bronzo!$A:$A,0)-1,MATCH(K470,Bronzo!$A$1:$AA$1,0)-1)=TRUE),0,OFFSET(Bronzo!$A$1,MATCH(J470,Bronzo!$A:$A,0)-1,MATCH(K470,Bronzo!$A$1:$AA$1,0)-1))</f>
        <v>0</v>
      </c>
      <c r="V470" s="205">
        <f t="shared" ca="1" si="202"/>
        <v>0</v>
      </c>
      <c r="W470" s="204"/>
      <c r="X470" s="205">
        <v>0</v>
      </c>
      <c r="Y470" s="206">
        <f t="shared" ca="1" si="203"/>
        <v>0</v>
      </c>
      <c r="Z470" s="277">
        <f t="shared" si="204"/>
        <v>0</v>
      </c>
      <c r="AA470" s="203"/>
      <c r="AB470" s="203">
        <f t="shared" ca="1" si="205"/>
        <v>0</v>
      </c>
      <c r="AC470" s="238"/>
      <c r="AI470" s="367">
        <f t="shared" ca="1" si="200"/>
        <v>46092</v>
      </c>
      <c r="AJ470" s="367" t="b">
        <f t="shared" si="194"/>
        <v>1</v>
      </c>
      <c r="AK470" s="370" t="str">
        <f t="shared" si="195"/>
        <v/>
      </c>
      <c r="AN470">
        <f t="shared" si="196"/>
        <v>0</v>
      </c>
      <c r="AO470">
        <f t="shared" si="197"/>
        <v>1900</v>
      </c>
      <c r="AV470">
        <f t="shared" si="198"/>
        <v>0</v>
      </c>
      <c r="AW470">
        <f t="shared" si="199"/>
        <v>0</v>
      </c>
    </row>
    <row r="471" spans="4:49" ht="15.75" x14ac:dyDescent="0.25">
      <c r="D471" s="199"/>
      <c r="E471" s="200"/>
      <c r="F471" s="287"/>
      <c r="G471" s="201"/>
      <c r="H471" s="219"/>
      <c r="I471" s="202"/>
      <c r="J471" s="200"/>
      <c r="K471" s="200"/>
      <c r="L471" s="203"/>
      <c r="M471" s="204">
        <f ca="1">IF(ISERROR(OFFSET(Tabella!$A$1,MATCH(J471,Tabella!$A:$A,0)-1,MATCH(L471,Tabella!$A$1:$AC$1,0)-1)=TRUE),0,+OFFSET(Tabella!$A$1,MATCH(J471,Tabella!$A:$A,0)-1,MATCH(L471,Tabella!$A$1:$AC$1,0)-1))</f>
        <v>0</v>
      </c>
      <c r="N471" s="205">
        <f ca="1">IF(ISERROR(OFFSET(Ottone!$A$1,MATCH(J471,Ottone!$A:$A,0)-1,MATCH(L471,Ottone!$A$1:$Z$1,0)-1)=TRUE),0,OFFSET(Ottone!$A$1,MATCH(J471,Ottone!$A:$A,0)-1,MATCH(L471,Ottone!$A$1:$Z$1,0)-1))*IF(G471="Ottone",1,0)</f>
        <v>0</v>
      </c>
      <c r="O471" s="205">
        <f ca="1">IF(ISERROR(OFFSET(Rame!$A$1,MATCH(J471,Rame!$A:$A,0)-1,MATCH(L471,Rame!$A$1:$AA$1,0)-1)=TRUE),0,OFFSET(Rame!$A$1,MATCH(J471,Rame!$A:$A,0)-1,MATCH(L471,Rame!$A$1:$AA$1,0)-1))*IF(G471="Rame",1,0)</f>
        <v>0</v>
      </c>
      <c r="P471" s="205">
        <v>0</v>
      </c>
      <c r="Q471" s="205">
        <f t="shared" ca="1" si="201"/>
        <v>0</v>
      </c>
      <c r="R471" s="205">
        <f ca="1">+IF(ISERROR(OFFSET(Tabella!$G$1,MATCH(J471,Tabella!$G:$G,0)-1,MATCH(K471,Tabella!$G$1:$FG$1,0)-1)=TRUE),0,OFFSET(Tabella!$G$1,MATCH(J471,Tabella!$G:$G,0)-1,MATCH(K471,Tabella!$G$1:$AB$1,0)-1))</f>
        <v>0</v>
      </c>
      <c r="S471" s="205">
        <f ca="1">IF(ISERROR(OFFSET(Ottone!$F$1,MATCH(J471,Ottone!$A:$A,0)-1,MATCH(K471,Ottone!$F$1:$FF$1,0)-1)=TRUE),0,OFFSET(Ottone!$F$1,MATCH(J471,Ottone!$A:$A,0)-1,MATCH(K471,Ottone!$F$1:$FF$1,0)-1))*IF(G471="Ottone",1,0)</f>
        <v>0</v>
      </c>
      <c r="T471" s="205">
        <f ca="1">IF(ISERROR(OFFSET(Rame!$F$1,MATCH(J471,Rame!$F:$F,0)-1,MATCH(K471,Rame!$F$1:$FF$1,0)-1)=TRUE),0,OFFSET(Rame!$F$1,MATCH(J471,Rame!$F:$F,0)-1,MATCH(K471,Rame!$F$1:$FF$1,0)-1))*IF(G471="Rame",1,0)</f>
        <v>0</v>
      </c>
      <c r="U471" s="205">
        <f ca="1">IF(ISERROR(OFFSET(Bronzo!$A$1,MATCH(J471,Bronzo!$A:$A,0)-1,MATCH(K471,Bronzo!$A$1:$AA$1,0)-1)=TRUE),0,OFFSET(Bronzo!$A$1,MATCH(J471,Bronzo!$A:$A,0)-1,MATCH(K471,Bronzo!$A$1:$AA$1,0)-1))</f>
        <v>0</v>
      </c>
      <c r="V471" s="205">
        <f t="shared" ca="1" si="202"/>
        <v>0</v>
      </c>
      <c r="W471" s="204"/>
      <c r="X471" s="205">
        <v>0</v>
      </c>
      <c r="Y471" s="206">
        <f t="shared" ca="1" si="203"/>
        <v>0</v>
      </c>
      <c r="Z471" s="277">
        <f t="shared" si="204"/>
        <v>0</v>
      </c>
      <c r="AA471" s="203"/>
      <c r="AB471" s="203">
        <f t="shared" ca="1" si="205"/>
        <v>0</v>
      </c>
      <c r="AC471" s="238"/>
      <c r="AI471" s="367">
        <f t="shared" ca="1" si="200"/>
        <v>46092</v>
      </c>
      <c r="AJ471" s="367" t="b">
        <f t="shared" si="194"/>
        <v>1</v>
      </c>
      <c r="AK471" s="370" t="str">
        <f t="shared" si="195"/>
        <v/>
      </c>
      <c r="AN471">
        <f t="shared" si="196"/>
        <v>0</v>
      </c>
      <c r="AO471">
        <f t="shared" si="197"/>
        <v>1900</v>
      </c>
      <c r="AV471">
        <f t="shared" si="198"/>
        <v>0</v>
      </c>
      <c r="AW471">
        <f t="shared" si="199"/>
        <v>0</v>
      </c>
    </row>
    <row r="472" spans="4:49" ht="15.75" x14ac:dyDescent="0.25">
      <c r="D472" s="199"/>
      <c r="E472" s="200"/>
      <c r="F472" s="287"/>
      <c r="G472" s="201"/>
      <c r="H472" s="219"/>
      <c r="I472" s="202"/>
      <c r="J472" s="200"/>
      <c r="K472" s="200"/>
      <c r="L472" s="203"/>
      <c r="M472" s="204">
        <f ca="1">IF(ISERROR(OFFSET(Tabella!$A$1,MATCH(J472,Tabella!$A:$A,0)-1,MATCH(L472,Tabella!$A$1:$AC$1,0)-1)=TRUE),0,+OFFSET(Tabella!$A$1,MATCH(J472,Tabella!$A:$A,0)-1,MATCH(L472,Tabella!$A$1:$AC$1,0)-1))</f>
        <v>0</v>
      </c>
      <c r="N472" s="205">
        <f ca="1">IF(ISERROR(OFFSET(Ottone!$A$1,MATCH(J472,Ottone!$A:$A,0)-1,MATCH(L472,Ottone!$A$1:$Z$1,0)-1)=TRUE),0,OFFSET(Ottone!$A$1,MATCH(J472,Ottone!$A:$A,0)-1,MATCH(L472,Ottone!$A$1:$Z$1,0)-1))*IF(G472="Ottone",1,0)</f>
        <v>0</v>
      </c>
      <c r="O472" s="205">
        <f ca="1">IF(ISERROR(OFFSET(Rame!$A$1,MATCH(J472,Rame!$A:$A,0)-1,MATCH(L472,Rame!$A$1:$AA$1,0)-1)=TRUE),0,OFFSET(Rame!$A$1,MATCH(J472,Rame!$A:$A,0)-1,MATCH(L472,Rame!$A$1:$AA$1,0)-1))*IF(G472="Rame",1,0)</f>
        <v>0</v>
      </c>
      <c r="P472" s="205">
        <v>0</v>
      </c>
      <c r="Q472" s="205">
        <f t="shared" ca="1" si="201"/>
        <v>0</v>
      </c>
      <c r="R472" s="205">
        <f ca="1">+IF(ISERROR(OFFSET(Tabella!$G$1,MATCH(J472,Tabella!$G:$G,0)-1,MATCH(K472,Tabella!$G$1:$FG$1,0)-1)=TRUE),0,OFFSET(Tabella!$G$1,MATCH(J472,Tabella!$G:$G,0)-1,MATCH(K472,Tabella!$G$1:$AB$1,0)-1))</f>
        <v>0</v>
      </c>
      <c r="S472" s="205">
        <f ca="1">IF(ISERROR(OFFSET(Ottone!$F$1,MATCH(J472,Ottone!$A:$A,0)-1,MATCH(K472,Ottone!$F$1:$FF$1,0)-1)=TRUE),0,OFFSET(Ottone!$F$1,MATCH(J472,Ottone!$A:$A,0)-1,MATCH(K472,Ottone!$F$1:$FF$1,0)-1))*IF(G472="Ottone",1,0)</f>
        <v>0</v>
      </c>
      <c r="T472" s="205">
        <f ca="1">IF(ISERROR(OFFSET(Rame!$F$1,MATCH(J472,Rame!$F:$F,0)-1,MATCH(K472,Rame!$F$1:$FF$1,0)-1)=TRUE),0,OFFSET(Rame!$F$1,MATCH(J472,Rame!$F:$F,0)-1,MATCH(K472,Rame!$F$1:$FF$1,0)-1))*IF(G472="Rame",1,0)</f>
        <v>0</v>
      </c>
      <c r="U472" s="205">
        <f ca="1">IF(ISERROR(OFFSET(Bronzo!$A$1,MATCH(J472,Bronzo!$A:$A,0)-1,MATCH(K472,Bronzo!$A$1:$AA$1,0)-1)=TRUE),0,OFFSET(Bronzo!$A$1,MATCH(J472,Bronzo!$A:$A,0)-1,MATCH(K472,Bronzo!$A$1:$AA$1,0)-1))</f>
        <v>0</v>
      </c>
      <c r="V472" s="205">
        <f t="shared" ca="1" si="202"/>
        <v>0</v>
      </c>
      <c r="W472" s="204"/>
      <c r="X472" s="205">
        <v>0</v>
      </c>
      <c r="Y472" s="206">
        <f t="shared" ca="1" si="203"/>
        <v>0</v>
      </c>
      <c r="Z472" s="277">
        <f t="shared" si="204"/>
        <v>0</v>
      </c>
      <c r="AA472" s="203"/>
      <c r="AB472" s="203">
        <f t="shared" ca="1" si="205"/>
        <v>0</v>
      </c>
      <c r="AC472" s="238"/>
      <c r="AI472" s="367">
        <f t="shared" ca="1" si="200"/>
        <v>46092</v>
      </c>
      <c r="AJ472" s="367" t="b">
        <f t="shared" si="194"/>
        <v>1</v>
      </c>
      <c r="AK472" s="370" t="str">
        <f t="shared" si="195"/>
        <v/>
      </c>
      <c r="AN472">
        <f t="shared" si="196"/>
        <v>0</v>
      </c>
      <c r="AO472">
        <f t="shared" si="197"/>
        <v>1900</v>
      </c>
      <c r="AV472">
        <f t="shared" si="198"/>
        <v>0</v>
      </c>
      <c r="AW472">
        <f t="shared" si="199"/>
        <v>0</v>
      </c>
    </row>
    <row r="473" spans="4:49" ht="15.75" x14ac:dyDescent="0.25">
      <c r="D473" s="199"/>
      <c r="E473" s="200"/>
      <c r="F473" s="287"/>
      <c r="G473" s="201"/>
      <c r="H473" s="219"/>
      <c r="I473" s="202"/>
      <c r="J473" s="200"/>
      <c r="K473" s="200"/>
      <c r="L473" s="203"/>
      <c r="M473" s="204">
        <f ca="1">IF(ISERROR(OFFSET(Tabella!$A$1,MATCH(J473,Tabella!$A:$A,0)-1,MATCH(L473,Tabella!$A$1:$AC$1,0)-1)=TRUE),0,+OFFSET(Tabella!$A$1,MATCH(J473,Tabella!$A:$A,0)-1,MATCH(L473,Tabella!$A$1:$AC$1,0)-1))</f>
        <v>0</v>
      </c>
      <c r="N473" s="205">
        <f ca="1">IF(ISERROR(OFFSET(Ottone!$A$1,MATCH(J473,Ottone!$A:$A,0)-1,MATCH(L473,Ottone!$A$1:$Z$1,0)-1)=TRUE),0,OFFSET(Ottone!$A$1,MATCH(J473,Ottone!$A:$A,0)-1,MATCH(L473,Ottone!$A$1:$Z$1,0)-1))*IF(G473="Ottone",1,0)</f>
        <v>0</v>
      </c>
      <c r="O473" s="205">
        <f ca="1">IF(ISERROR(OFFSET(Rame!$A$1,MATCH(J473,Rame!$A:$A,0)-1,MATCH(L473,Rame!$A$1:$AA$1,0)-1)=TRUE),0,OFFSET(Rame!$A$1,MATCH(J473,Rame!$A:$A,0)-1,MATCH(L473,Rame!$A$1:$AA$1,0)-1))*IF(G473="Rame",1,0)</f>
        <v>0</v>
      </c>
      <c r="P473" s="205">
        <v>0</v>
      </c>
      <c r="Q473" s="205">
        <f t="shared" ca="1" si="201"/>
        <v>0</v>
      </c>
      <c r="R473" s="205">
        <f ca="1">+IF(ISERROR(OFFSET(Tabella!$G$1,MATCH(J473,Tabella!$G:$G,0)-1,MATCH(K473,Tabella!$G$1:$FG$1,0)-1)=TRUE),0,OFFSET(Tabella!$G$1,MATCH(J473,Tabella!$G:$G,0)-1,MATCH(K473,Tabella!$G$1:$AB$1,0)-1))</f>
        <v>0</v>
      </c>
      <c r="S473" s="205">
        <f ca="1">IF(ISERROR(OFFSET(Ottone!$F$1,MATCH(J473,Ottone!$A:$A,0)-1,MATCH(K473,Ottone!$F$1:$FF$1,0)-1)=TRUE),0,OFFSET(Ottone!$F$1,MATCH(J473,Ottone!$A:$A,0)-1,MATCH(K473,Ottone!$F$1:$FF$1,0)-1))*IF(G473="Ottone",1,0)</f>
        <v>0</v>
      </c>
      <c r="T473" s="205">
        <f ca="1">IF(ISERROR(OFFSET(Rame!$F$1,MATCH(J473,Rame!$F:$F,0)-1,MATCH(K473,Rame!$F$1:$FF$1,0)-1)=TRUE),0,OFFSET(Rame!$F$1,MATCH(J473,Rame!$F:$F,0)-1,MATCH(K473,Rame!$F$1:$FF$1,0)-1))*IF(G473="Rame",1,0)</f>
        <v>0</v>
      </c>
      <c r="U473" s="205">
        <f ca="1">IF(ISERROR(OFFSET(Bronzo!$A$1,MATCH(J473,Bronzo!$A:$A,0)-1,MATCH(K473,Bronzo!$A$1:$AA$1,0)-1)=TRUE),0,OFFSET(Bronzo!$A$1,MATCH(J473,Bronzo!$A:$A,0)-1,MATCH(K473,Bronzo!$A$1:$AA$1,0)-1))</f>
        <v>0</v>
      </c>
      <c r="V473" s="205">
        <f t="shared" ca="1" si="202"/>
        <v>0</v>
      </c>
      <c r="W473" s="204"/>
      <c r="X473" s="205">
        <v>0</v>
      </c>
      <c r="Y473" s="206">
        <f t="shared" ca="1" si="203"/>
        <v>0</v>
      </c>
      <c r="Z473" s="277">
        <f t="shared" si="204"/>
        <v>0</v>
      </c>
      <c r="AA473" s="203"/>
      <c r="AB473" s="203">
        <f t="shared" ca="1" si="205"/>
        <v>0</v>
      </c>
      <c r="AC473" s="238"/>
      <c r="AI473" s="367">
        <f t="shared" ca="1" si="200"/>
        <v>46092</v>
      </c>
      <c r="AJ473" s="367" t="b">
        <f t="shared" si="194"/>
        <v>1</v>
      </c>
      <c r="AK473" s="370" t="str">
        <f t="shared" si="195"/>
        <v/>
      </c>
      <c r="AN473">
        <f t="shared" si="196"/>
        <v>0</v>
      </c>
      <c r="AO473">
        <f t="shared" si="197"/>
        <v>1900</v>
      </c>
      <c r="AV473">
        <f t="shared" si="198"/>
        <v>0</v>
      </c>
      <c r="AW473">
        <f t="shared" si="199"/>
        <v>0</v>
      </c>
    </row>
    <row r="474" spans="4:49" ht="15.75" x14ac:dyDescent="0.25">
      <c r="D474" s="199"/>
      <c r="E474" s="200"/>
      <c r="F474" s="287"/>
      <c r="G474" s="201"/>
      <c r="H474" s="219"/>
      <c r="I474" s="202"/>
      <c r="J474" s="200"/>
      <c r="K474" s="200"/>
      <c r="L474" s="203"/>
      <c r="M474" s="204">
        <f ca="1">IF(ISERROR(OFFSET(Tabella!$A$1,MATCH(J474,Tabella!$A:$A,0)-1,MATCH(L474,Tabella!$A$1:$AC$1,0)-1)=TRUE),0,+OFFSET(Tabella!$A$1,MATCH(J474,Tabella!$A:$A,0)-1,MATCH(L474,Tabella!$A$1:$AC$1,0)-1))</f>
        <v>0</v>
      </c>
      <c r="N474" s="205">
        <f ca="1">IF(ISERROR(OFFSET(Ottone!$A$1,MATCH(J474,Ottone!$A:$A,0)-1,MATCH(L474,Ottone!$A$1:$Z$1,0)-1)=TRUE),0,OFFSET(Ottone!$A$1,MATCH(J474,Ottone!$A:$A,0)-1,MATCH(L474,Ottone!$A$1:$Z$1,0)-1))*IF(G474="Ottone",1,0)</f>
        <v>0</v>
      </c>
      <c r="O474" s="205">
        <f ca="1">IF(ISERROR(OFFSET(Rame!$A$1,MATCH(J474,Rame!$A:$A,0)-1,MATCH(L474,Rame!$A$1:$AA$1,0)-1)=TRUE),0,OFFSET(Rame!$A$1,MATCH(J474,Rame!$A:$A,0)-1,MATCH(L474,Rame!$A$1:$AA$1,0)-1))*IF(G474="Rame",1,0)</f>
        <v>0</v>
      </c>
      <c r="P474" s="205">
        <v>0</v>
      </c>
      <c r="Q474" s="205">
        <f t="shared" ca="1" si="201"/>
        <v>0</v>
      </c>
      <c r="R474" s="205">
        <f ca="1">+IF(ISERROR(OFFSET(Tabella!$G$1,MATCH(J474,Tabella!$G:$G,0)-1,MATCH(K474,Tabella!$G$1:$FG$1,0)-1)=TRUE),0,OFFSET(Tabella!$G$1,MATCH(J474,Tabella!$G:$G,0)-1,MATCH(K474,Tabella!$G$1:$AB$1,0)-1))</f>
        <v>0</v>
      </c>
      <c r="S474" s="205">
        <f ca="1">IF(ISERROR(OFFSET(Ottone!$F$1,MATCH(J474,Ottone!$A:$A,0)-1,MATCH(K474,Ottone!$F$1:$FF$1,0)-1)=TRUE),0,OFFSET(Ottone!$F$1,MATCH(J474,Ottone!$A:$A,0)-1,MATCH(K474,Ottone!$F$1:$FF$1,0)-1))*IF(G474="Ottone",1,0)</f>
        <v>0</v>
      </c>
      <c r="T474" s="205">
        <f ca="1">IF(ISERROR(OFFSET(Rame!$F$1,MATCH(J474,Rame!$F:$F,0)-1,MATCH(K474,Rame!$F$1:$FF$1,0)-1)=TRUE),0,OFFSET(Rame!$F$1,MATCH(J474,Rame!$F:$F,0)-1,MATCH(K474,Rame!$F$1:$FF$1,0)-1))*IF(G474="Rame",1,0)</f>
        <v>0</v>
      </c>
      <c r="U474" s="205">
        <f ca="1">IF(ISERROR(OFFSET(Bronzo!$A$1,MATCH(J474,Bronzo!$A:$A,0)-1,MATCH(K474,Bronzo!$A$1:$AA$1,0)-1)=TRUE),0,OFFSET(Bronzo!$A$1,MATCH(J474,Bronzo!$A:$A,0)-1,MATCH(K474,Bronzo!$A$1:$AA$1,0)-1))</f>
        <v>0</v>
      </c>
      <c r="V474" s="205">
        <f t="shared" ca="1" si="202"/>
        <v>0</v>
      </c>
      <c r="W474" s="204"/>
      <c r="X474" s="205">
        <v>0</v>
      </c>
      <c r="Y474" s="206">
        <f t="shared" ca="1" si="203"/>
        <v>0</v>
      </c>
      <c r="Z474" s="277">
        <f t="shared" si="204"/>
        <v>0</v>
      </c>
      <c r="AA474" s="203"/>
      <c r="AB474" s="203">
        <f t="shared" ca="1" si="205"/>
        <v>0</v>
      </c>
      <c r="AC474" s="238"/>
      <c r="AI474" s="367">
        <f t="shared" ca="1" si="200"/>
        <v>46092</v>
      </c>
      <c r="AJ474" s="367" t="b">
        <f t="shared" si="194"/>
        <v>1</v>
      </c>
      <c r="AK474" s="370" t="str">
        <f t="shared" si="195"/>
        <v/>
      </c>
      <c r="AN474">
        <f t="shared" si="196"/>
        <v>0</v>
      </c>
      <c r="AO474">
        <f t="shared" si="197"/>
        <v>1900</v>
      </c>
      <c r="AV474">
        <f t="shared" si="198"/>
        <v>0</v>
      </c>
      <c r="AW474">
        <f t="shared" si="199"/>
        <v>0</v>
      </c>
    </row>
    <row r="475" spans="4:49" ht="15.75" x14ac:dyDescent="0.25">
      <c r="D475" s="199"/>
      <c r="E475" s="200"/>
      <c r="F475" s="287"/>
      <c r="G475" s="201"/>
      <c r="H475" s="219"/>
      <c r="I475" s="202"/>
      <c r="J475" s="200"/>
      <c r="K475" s="200"/>
      <c r="L475" s="203"/>
      <c r="M475" s="204">
        <f ca="1">IF(ISERROR(OFFSET(Tabella!$A$1,MATCH(J475,Tabella!$A:$A,0)-1,MATCH(L475,Tabella!$A$1:$AC$1,0)-1)=TRUE),0,+OFFSET(Tabella!$A$1,MATCH(J475,Tabella!$A:$A,0)-1,MATCH(L475,Tabella!$A$1:$AC$1,0)-1))</f>
        <v>0</v>
      </c>
      <c r="N475" s="205">
        <f ca="1">IF(ISERROR(OFFSET(Ottone!$A$1,MATCH(J475,Ottone!$A:$A,0)-1,MATCH(L475,Ottone!$A$1:$Z$1,0)-1)=TRUE),0,OFFSET(Ottone!$A$1,MATCH(J475,Ottone!$A:$A,0)-1,MATCH(L475,Ottone!$A$1:$Z$1,0)-1))*IF(G475="Ottone",1,0)</f>
        <v>0</v>
      </c>
      <c r="O475" s="205">
        <f ca="1">IF(ISERROR(OFFSET(Rame!$A$1,MATCH(J475,Rame!$A:$A,0)-1,MATCH(L475,Rame!$A$1:$AA$1,0)-1)=TRUE),0,OFFSET(Rame!$A$1,MATCH(J475,Rame!$A:$A,0)-1,MATCH(L475,Rame!$A$1:$AA$1,0)-1))*IF(G475="Rame",1,0)</f>
        <v>0</v>
      </c>
      <c r="P475" s="205">
        <v>0</v>
      </c>
      <c r="Q475" s="205">
        <f t="shared" ca="1" si="201"/>
        <v>0</v>
      </c>
      <c r="R475" s="205">
        <f ca="1">+IF(ISERROR(OFFSET(Tabella!$G$1,MATCH(J475,Tabella!$G:$G,0)-1,MATCH(K475,Tabella!$G$1:$FG$1,0)-1)=TRUE),0,OFFSET(Tabella!$G$1,MATCH(J475,Tabella!$G:$G,0)-1,MATCH(K475,Tabella!$G$1:$AB$1,0)-1))</f>
        <v>0</v>
      </c>
      <c r="S475" s="205">
        <f ca="1">IF(ISERROR(OFFSET(Ottone!$F$1,MATCH(J475,Ottone!$A:$A,0)-1,MATCH(K475,Ottone!$F$1:$FF$1,0)-1)=TRUE),0,OFFSET(Ottone!$F$1,MATCH(J475,Ottone!$A:$A,0)-1,MATCH(K475,Ottone!$F$1:$FF$1,0)-1))*IF(G475="Ottone",1,0)</f>
        <v>0</v>
      </c>
      <c r="T475" s="205">
        <f ca="1">IF(ISERROR(OFFSET(Rame!$F$1,MATCH(J475,Rame!$F:$F,0)-1,MATCH(K475,Rame!$F$1:$FF$1,0)-1)=TRUE),0,OFFSET(Rame!$F$1,MATCH(J475,Rame!$F:$F,0)-1,MATCH(K475,Rame!$F$1:$FF$1,0)-1))*IF(G475="Rame",1,0)</f>
        <v>0</v>
      </c>
      <c r="U475" s="205">
        <f ca="1">IF(ISERROR(OFFSET(Bronzo!$A$1,MATCH(J475,Bronzo!$A:$A,0)-1,MATCH(K475,Bronzo!$A$1:$AA$1,0)-1)=TRUE),0,OFFSET(Bronzo!$A$1,MATCH(J475,Bronzo!$A:$A,0)-1,MATCH(K475,Bronzo!$A$1:$AA$1,0)-1))</f>
        <v>0</v>
      </c>
      <c r="V475" s="205">
        <f t="shared" ca="1" si="202"/>
        <v>0</v>
      </c>
      <c r="W475" s="204"/>
      <c r="X475" s="205">
        <v>0</v>
      </c>
      <c r="Y475" s="206">
        <f t="shared" ca="1" si="203"/>
        <v>0</v>
      </c>
      <c r="Z475" s="277">
        <f t="shared" si="204"/>
        <v>0</v>
      </c>
      <c r="AA475" s="203"/>
      <c r="AB475" s="203">
        <f t="shared" ca="1" si="205"/>
        <v>0</v>
      </c>
      <c r="AC475" s="238"/>
      <c r="AI475" s="367">
        <f t="shared" ca="1" si="200"/>
        <v>46092</v>
      </c>
      <c r="AJ475" s="367" t="b">
        <f t="shared" si="194"/>
        <v>1</v>
      </c>
      <c r="AK475" s="370" t="str">
        <f t="shared" si="195"/>
        <v/>
      </c>
      <c r="AN475">
        <f t="shared" si="196"/>
        <v>0</v>
      </c>
      <c r="AO475">
        <f t="shared" si="197"/>
        <v>1900</v>
      </c>
      <c r="AV475">
        <f t="shared" si="198"/>
        <v>0</v>
      </c>
      <c r="AW475">
        <f t="shared" si="199"/>
        <v>0</v>
      </c>
    </row>
    <row r="476" spans="4:49" ht="15.75" x14ac:dyDescent="0.25">
      <c r="D476" s="199"/>
      <c r="E476" s="200"/>
      <c r="F476" s="287"/>
      <c r="G476" s="201"/>
      <c r="H476" s="219"/>
      <c r="I476" s="202"/>
      <c r="J476" s="200"/>
      <c r="K476" s="200"/>
      <c r="L476" s="203"/>
      <c r="M476" s="204">
        <f ca="1">IF(ISERROR(OFFSET(Tabella!$A$1,MATCH(J476,Tabella!$A:$A,0)-1,MATCH(L476,Tabella!$A$1:$AC$1,0)-1)=TRUE),0,+OFFSET(Tabella!$A$1,MATCH(J476,Tabella!$A:$A,0)-1,MATCH(L476,Tabella!$A$1:$AC$1,0)-1))</f>
        <v>0</v>
      </c>
      <c r="N476" s="205">
        <f ca="1">IF(ISERROR(OFFSET(Ottone!$A$1,MATCH(J476,Ottone!$A:$A,0)-1,MATCH(L476,Ottone!$A$1:$Z$1,0)-1)=TRUE),0,OFFSET(Ottone!$A$1,MATCH(J476,Ottone!$A:$A,0)-1,MATCH(L476,Ottone!$A$1:$Z$1,0)-1))*IF(G476="Ottone",1,0)</f>
        <v>0</v>
      </c>
      <c r="O476" s="205">
        <f ca="1">IF(ISERROR(OFFSET(Rame!$A$1,MATCH(J476,Rame!$A:$A,0)-1,MATCH(L476,Rame!$A$1:$AA$1,0)-1)=TRUE),0,OFFSET(Rame!$A$1,MATCH(J476,Rame!$A:$A,0)-1,MATCH(L476,Rame!$A$1:$AA$1,0)-1))*IF(G476="Rame",1,0)</f>
        <v>0</v>
      </c>
      <c r="P476" s="205">
        <v>0</v>
      </c>
      <c r="Q476" s="205">
        <f t="shared" ca="1" si="201"/>
        <v>0</v>
      </c>
      <c r="R476" s="205">
        <f ca="1">+IF(ISERROR(OFFSET(Tabella!$G$1,MATCH(J476,Tabella!$G:$G,0)-1,MATCH(K476,Tabella!$G$1:$FG$1,0)-1)=TRUE),0,OFFSET(Tabella!$G$1,MATCH(J476,Tabella!$G:$G,0)-1,MATCH(K476,Tabella!$G$1:$AB$1,0)-1))</f>
        <v>0</v>
      </c>
      <c r="S476" s="205">
        <f ca="1">IF(ISERROR(OFFSET(Ottone!$F$1,MATCH(J476,Ottone!$A:$A,0)-1,MATCH(K476,Ottone!$F$1:$FF$1,0)-1)=TRUE),0,OFFSET(Ottone!$F$1,MATCH(J476,Ottone!$A:$A,0)-1,MATCH(K476,Ottone!$F$1:$FF$1,0)-1))*IF(G476="Ottone",1,0)</f>
        <v>0</v>
      </c>
      <c r="T476" s="205">
        <f ca="1">IF(ISERROR(OFFSET(Rame!$F$1,MATCH(J476,Rame!$F:$F,0)-1,MATCH(K476,Rame!$F$1:$FF$1,0)-1)=TRUE),0,OFFSET(Rame!$F$1,MATCH(J476,Rame!$F:$F,0)-1,MATCH(K476,Rame!$F$1:$FF$1,0)-1))*IF(G476="Rame",1,0)</f>
        <v>0</v>
      </c>
      <c r="U476" s="205">
        <f ca="1">IF(ISERROR(OFFSET(Bronzo!$A$1,MATCH(J476,Bronzo!$A:$A,0)-1,MATCH(K476,Bronzo!$A$1:$AA$1,0)-1)=TRUE),0,OFFSET(Bronzo!$A$1,MATCH(J476,Bronzo!$A:$A,0)-1,MATCH(K476,Bronzo!$A$1:$AA$1,0)-1))</f>
        <v>0</v>
      </c>
      <c r="V476" s="205">
        <f t="shared" ca="1" si="202"/>
        <v>0</v>
      </c>
      <c r="W476" s="204"/>
      <c r="X476" s="205">
        <v>0</v>
      </c>
      <c r="Y476" s="206">
        <f t="shared" ca="1" si="203"/>
        <v>0</v>
      </c>
      <c r="Z476" s="277">
        <f t="shared" si="204"/>
        <v>0</v>
      </c>
      <c r="AA476" s="203"/>
      <c r="AB476" s="203">
        <f t="shared" ca="1" si="205"/>
        <v>0</v>
      </c>
      <c r="AC476" s="238"/>
      <c r="AI476" s="367">
        <f t="shared" ca="1" si="200"/>
        <v>46092</v>
      </c>
      <c r="AJ476" s="367" t="b">
        <f t="shared" si="194"/>
        <v>1</v>
      </c>
      <c r="AK476" s="370" t="str">
        <f t="shared" si="195"/>
        <v/>
      </c>
      <c r="AN476">
        <f t="shared" si="196"/>
        <v>0</v>
      </c>
      <c r="AO476">
        <f t="shared" si="197"/>
        <v>1900</v>
      </c>
      <c r="AV476">
        <f t="shared" si="198"/>
        <v>0</v>
      </c>
      <c r="AW476">
        <f t="shared" si="199"/>
        <v>0</v>
      </c>
    </row>
    <row r="477" spans="4:49" ht="15.75" x14ac:dyDescent="0.25">
      <c r="D477" s="199"/>
      <c r="E477" s="200"/>
      <c r="F477" s="287"/>
      <c r="G477" s="201"/>
      <c r="H477" s="219"/>
      <c r="I477" s="202"/>
      <c r="J477" s="200"/>
      <c r="K477" s="200"/>
      <c r="L477" s="203"/>
      <c r="M477" s="204">
        <f ca="1">IF(ISERROR(OFFSET(Tabella!$A$1,MATCH(J477,Tabella!$A:$A,0)-1,MATCH(L477,Tabella!$A$1:$AC$1,0)-1)=TRUE),0,+OFFSET(Tabella!$A$1,MATCH(J477,Tabella!$A:$A,0)-1,MATCH(L477,Tabella!$A$1:$AC$1,0)-1))</f>
        <v>0</v>
      </c>
      <c r="N477" s="205">
        <f ca="1">IF(ISERROR(OFFSET(Ottone!$A$1,MATCH(J477,Ottone!$A:$A,0)-1,MATCH(L477,Ottone!$A$1:$Z$1,0)-1)=TRUE),0,OFFSET(Ottone!$A$1,MATCH(J477,Ottone!$A:$A,0)-1,MATCH(L477,Ottone!$A$1:$Z$1,0)-1))*IF(G477="Ottone",1,0)</f>
        <v>0</v>
      </c>
      <c r="O477" s="205">
        <f ca="1">IF(ISERROR(OFFSET(Rame!$A$1,MATCH(J477,Rame!$A:$A,0)-1,MATCH(L477,Rame!$A$1:$AA$1,0)-1)=TRUE),0,OFFSET(Rame!$A$1,MATCH(J477,Rame!$A:$A,0)-1,MATCH(L477,Rame!$A$1:$AA$1,0)-1))*IF(G477="Rame",1,0)</f>
        <v>0</v>
      </c>
      <c r="P477" s="205">
        <v>0</v>
      </c>
      <c r="Q477" s="205">
        <f t="shared" ca="1" si="201"/>
        <v>0</v>
      </c>
      <c r="R477" s="205">
        <f ca="1">+IF(ISERROR(OFFSET(Tabella!$G$1,MATCH(J477,Tabella!$G:$G,0)-1,MATCH(K477,Tabella!$G$1:$FG$1,0)-1)=TRUE),0,OFFSET(Tabella!$G$1,MATCH(J477,Tabella!$G:$G,0)-1,MATCH(K477,Tabella!$G$1:$AB$1,0)-1))</f>
        <v>0</v>
      </c>
      <c r="S477" s="205">
        <f ca="1">IF(ISERROR(OFFSET(Ottone!$F$1,MATCH(J477,Ottone!$A:$A,0)-1,MATCH(K477,Ottone!$F$1:$FF$1,0)-1)=TRUE),0,OFFSET(Ottone!$F$1,MATCH(J477,Ottone!$A:$A,0)-1,MATCH(K477,Ottone!$F$1:$FF$1,0)-1))*IF(G477="Ottone",1,0)</f>
        <v>0</v>
      </c>
      <c r="T477" s="205">
        <f ca="1">IF(ISERROR(OFFSET(Rame!$F$1,MATCH(J477,Rame!$F:$F,0)-1,MATCH(K477,Rame!$F$1:$FF$1,0)-1)=TRUE),0,OFFSET(Rame!$F$1,MATCH(J477,Rame!$F:$F,0)-1,MATCH(K477,Rame!$F$1:$FF$1,0)-1))*IF(G477="Rame",1,0)</f>
        <v>0</v>
      </c>
      <c r="U477" s="205">
        <f ca="1">IF(ISERROR(OFFSET(Bronzo!$A$1,MATCH(J477,Bronzo!$A:$A,0)-1,MATCH(K477,Bronzo!$A$1:$AA$1,0)-1)=TRUE),0,OFFSET(Bronzo!$A$1,MATCH(J477,Bronzo!$A:$A,0)-1,MATCH(K477,Bronzo!$A$1:$AA$1,0)-1))</f>
        <v>0</v>
      </c>
      <c r="V477" s="205">
        <f t="shared" ca="1" si="202"/>
        <v>0</v>
      </c>
      <c r="W477" s="204"/>
      <c r="X477" s="205">
        <v>0</v>
      </c>
      <c r="Y477" s="206">
        <f t="shared" ca="1" si="203"/>
        <v>0</v>
      </c>
      <c r="Z477" s="277">
        <f t="shared" si="204"/>
        <v>0</v>
      </c>
      <c r="AA477" s="203"/>
      <c r="AB477" s="203">
        <f t="shared" ca="1" si="205"/>
        <v>0</v>
      </c>
      <c r="AC477" s="238"/>
      <c r="AI477" s="367">
        <f t="shared" ca="1" si="200"/>
        <v>46092</v>
      </c>
      <c r="AJ477" s="367" t="b">
        <f t="shared" si="194"/>
        <v>1</v>
      </c>
      <c r="AK477" s="370" t="str">
        <f t="shared" si="195"/>
        <v/>
      </c>
      <c r="AN477">
        <f t="shared" si="196"/>
        <v>0</v>
      </c>
      <c r="AO477">
        <f t="shared" si="197"/>
        <v>1900</v>
      </c>
      <c r="AV477">
        <f t="shared" si="198"/>
        <v>0</v>
      </c>
      <c r="AW477">
        <f t="shared" si="199"/>
        <v>0</v>
      </c>
    </row>
    <row r="478" spans="4:49" ht="15.75" x14ac:dyDescent="0.25">
      <c r="D478" s="199"/>
      <c r="E478" s="200"/>
      <c r="F478" s="287"/>
      <c r="G478" s="201"/>
      <c r="H478" s="219"/>
      <c r="I478" s="202"/>
      <c r="J478" s="200"/>
      <c r="K478" s="200"/>
      <c r="L478" s="203"/>
      <c r="M478" s="204">
        <f ca="1">IF(ISERROR(OFFSET(Tabella!$A$1,MATCH(J478,Tabella!$A:$A,0)-1,MATCH(L478,Tabella!$A$1:$AC$1,0)-1)=TRUE),0,+OFFSET(Tabella!$A$1,MATCH(J478,Tabella!$A:$A,0)-1,MATCH(L478,Tabella!$A$1:$AC$1,0)-1))</f>
        <v>0</v>
      </c>
      <c r="N478" s="205">
        <f ca="1">IF(ISERROR(OFFSET(Ottone!$A$1,MATCH(J478,Ottone!$A:$A,0)-1,MATCH(L478,Ottone!$A$1:$Z$1,0)-1)=TRUE),0,OFFSET(Ottone!$A$1,MATCH(J478,Ottone!$A:$A,0)-1,MATCH(L478,Ottone!$A$1:$Z$1,0)-1))*IF(G478="Ottone",1,0)</f>
        <v>0</v>
      </c>
      <c r="O478" s="205">
        <f ca="1">IF(ISERROR(OFFSET(Rame!$A$1,MATCH(J478,Rame!$A:$A,0)-1,MATCH(L478,Rame!$A$1:$AA$1,0)-1)=TRUE),0,OFFSET(Rame!$A$1,MATCH(J478,Rame!$A:$A,0)-1,MATCH(L478,Rame!$A$1:$AA$1,0)-1))*IF(G478="Rame",1,0)</f>
        <v>0</v>
      </c>
      <c r="P478" s="205">
        <v>0</v>
      </c>
      <c r="Q478" s="205">
        <f t="shared" ca="1" si="201"/>
        <v>0</v>
      </c>
      <c r="R478" s="205">
        <f ca="1">+IF(ISERROR(OFFSET(Tabella!$G$1,MATCH(J478,Tabella!$G:$G,0)-1,MATCH(K478,Tabella!$G$1:$FG$1,0)-1)=TRUE),0,OFFSET(Tabella!$G$1,MATCH(J478,Tabella!$G:$G,0)-1,MATCH(K478,Tabella!$G$1:$AB$1,0)-1))</f>
        <v>0</v>
      </c>
      <c r="S478" s="205">
        <f ca="1">IF(ISERROR(OFFSET(Ottone!$F$1,MATCH(J478,Ottone!$A:$A,0)-1,MATCH(K478,Ottone!$F$1:$FF$1,0)-1)=TRUE),0,OFFSET(Ottone!$F$1,MATCH(J478,Ottone!$A:$A,0)-1,MATCH(K478,Ottone!$F$1:$FF$1,0)-1))*IF(G478="Ottone",1,0)</f>
        <v>0</v>
      </c>
      <c r="T478" s="205">
        <f ca="1">IF(ISERROR(OFFSET(Rame!$F$1,MATCH(J478,Rame!$F:$F,0)-1,MATCH(K478,Rame!$F$1:$FF$1,0)-1)=TRUE),0,OFFSET(Rame!$F$1,MATCH(J478,Rame!$F:$F,0)-1,MATCH(K478,Rame!$F$1:$FF$1,0)-1))*IF(G478="Rame",1,0)</f>
        <v>0</v>
      </c>
      <c r="U478" s="205">
        <f ca="1">IF(ISERROR(OFFSET(Bronzo!$A$1,MATCH(J478,Bronzo!$A:$A,0)-1,MATCH(K478,Bronzo!$A$1:$AA$1,0)-1)=TRUE),0,OFFSET(Bronzo!$A$1,MATCH(J478,Bronzo!$A:$A,0)-1,MATCH(K478,Bronzo!$A$1:$AA$1,0)-1))</f>
        <v>0</v>
      </c>
      <c r="V478" s="205">
        <f t="shared" ca="1" si="202"/>
        <v>0</v>
      </c>
      <c r="W478" s="204"/>
      <c r="X478" s="205">
        <v>0</v>
      </c>
      <c r="Y478" s="206">
        <f t="shared" ca="1" si="203"/>
        <v>0</v>
      </c>
      <c r="Z478" s="277">
        <f t="shared" si="204"/>
        <v>0</v>
      </c>
      <c r="AA478" s="203"/>
      <c r="AB478" s="203">
        <f t="shared" ca="1" si="205"/>
        <v>0</v>
      </c>
      <c r="AC478" s="238"/>
      <c r="AI478" s="367">
        <f t="shared" ca="1" si="200"/>
        <v>46092</v>
      </c>
      <c r="AJ478" s="367" t="b">
        <f t="shared" si="194"/>
        <v>1</v>
      </c>
      <c r="AK478" s="370" t="str">
        <f t="shared" si="195"/>
        <v/>
      </c>
      <c r="AN478">
        <f t="shared" si="196"/>
        <v>0</v>
      </c>
      <c r="AO478">
        <f t="shared" si="197"/>
        <v>1900</v>
      </c>
      <c r="AV478">
        <f t="shared" si="198"/>
        <v>0</v>
      </c>
      <c r="AW478">
        <f t="shared" si="199"/>
        <v>0</v>
      </c>
    </row>
    <row r="479" spans="4:49" ht="15.75" x14ac:dyDescent="0.25">
      <c r="D479" s="199"/>
      <c r="E479" s="200"/>
      <c r="F479" s="287"/>
      <c r="G479" s="201"/>
      <c r="H479" s="219"/>
      <c r="I479" s="202"/>
      <c r="J479" s="200"/>
      <c r="K479" s="200"/>
      <c r="L479" s="203"/>
      <c r="M479" s="204">
        <f ca="1">IF(ISERROR(OFFSET(Tabella!$A$1,MATCH(J479,Tabella!$A:$A,0)-1,MATCH(L479,Tabella!$A$1:$AC$1,0)-1)=TRUE),0,+OFFSET(Tabella!$A$1,MATCH(J479,Tabella!$A:$A,0)-1,MATCH(L479,Tabella!$A$1:$AC$1,0)-1))</f>
        <v>0</v>
      </c>
      <c r="N479" s="205">
        <f ca="1">IF(ISERROR(OFFSET(Ottone!$A$1,MATCH(J479,Ottone!$A:$A,0)-1,MATCH(L479,Ottone!$A$1:$Z$1,0)-1)=TRUE),0,OFFSET(Ottone!$A$1,MATCH(J479,Ottone!$A:$A,0)-1,MATCH(L479,Ottone!$A$1:$Z$1,0)-1))*IF(G479="Ottone",1,0)</f>
        <v>0</v>
      </c>
      <c r="O479" s="205">
        <f ca="1">IF(ISERROR(OFFSET(Rame!$A$1,MATCH(J479,Rame!$A:$A,0)-1,MATCH(L479,Rame!$A$1:$AA$1,0)-1)=TRUE),0,OFFSET(Rame!$A$1,MATCH(J479,Rame!$A:$A,0)-1,MATCH(L479,Rame!$A$1:$AA$1,0)-1))*IF(G479="Rame",1,0)</f>
        <v>0</v>
      </c>
      <c r="P479" s="205">
        <v>0</v>
      </c>
      <c r="Q479" s="205">
        <f t="shared" ca="1" si="201"/>
        <v>0</v>
      </c>
      <c r="R479" s="205">
        <f ca="1">+IF(ISERROR(OFFSET(Tabella!$G$1,MATCH(J479,Tabella!$G:$G,0)-1,MATCH(K479,Tabella!$G$1:$FG$1,0)-1)=TRUE),0,OFFSET(Tabella!$G$1,MATCH(J479,Tabella!$G:$G,0)-1,MATCH(K479,Tabella!$G$1:$AB$1,0)-1))</f>
        <v>0</v>
      </c>
      <c r="S479" s="205">
        <f ca="1">IF(ISERROR(OFFSET(Ottone!$F$1,MATCH(J479,Ottone!$A:$A,0)-1,MATCH(K479,Ottone!$F$1:$FF$1,0)-1)=TRUE),0,OFFSET(Ottone!$F$1,MATCH(J479,Ottone!$A:$A,0)-1,MATCH(K479,Ottone!$F$1:$FF$1,0)-1))*IF(G479="Ottone",1,0)</f>
        <v>0</v>
      </c>
      <c r="T479" s="205">
        <f ca="1">IF(ISERROR(OFFSET(Rame!$F$1,MATCH(J479,Rame!$F:$F,0)-1,MATCH(K479,Rame!$F$1:$FF$1,0)-1)=TRUE),0,OFFSET(Rame!$F$1,MATCH(J479,Rame!$F:$F,0)-1,MATCH(K479,Rame!$F$1:$FF$1,0)-1))*IF(G479="Rame",1,0)</f>
        <v>0</v>
      </c>
      <c r="U479" s="205">
        <f ca="1">IF(ISERROR(OFFSET(Bronzo!$A$1,MATCH(J479,Bronzo!$A:$A,0)-1,MATCH(K479,Bronzo!$A$1:$AA$1,0)-1)=TRUE),0,OFFSET(Bronzo!$A$1,MATCH(J479,Bronzo!$A:$A,0)-1,MATCH(K479,Bronzo!$A$1:$AA$1,0)-1))</f>
        <v>0</v>
      </c>
      <c r="V479" s="205">
        <f t="shared" ca="1" si="202"/>
        <v>0</v>
      </c>
      <c r="W479" s="204"/>
      <c r="X479" s="205">
        <v>0</v>
      </c>
      <c r="Y479" s="206">
        <f t="shared" ca="1" si="203"/>
        <v>0</v>
      </c>
      <c r="Z479" s="277">
        <f t="shared" si="204"/>
        <v>0</v>
      </c>
      <c r="AA479" s="203"/>
      <c r="AB479" s="203">
        <f t="shared" ca="1" si="205"/>
        <v>0</v>
      </c>
      <c r="AC479" s="238"/>
      <c r="AI479" s="367">
        <f t="shared" ca="1" si="200"/>
        <v>46092</v>
      </c>
      <c r="AJ479" s="367" t="b">
        <f t="shared" si="194"/>
        <v>1</v>
      </c>
      <c r="AK479" s="370" t="str">
        <f t="shared" si="195"/>
        <v/>
      </c>
      <c r="AN479">
        <f t="shared" si="196"/>
        <v>0</v>
      </c>
      <c r="AO479">
        <f t="shared" si="197"/>
        <v>1900</v>
      </c>
      <c r="AV479">
        <f t="shared" si="198"/>
        <v>0</v>
      </c>
      <c r="AW479">
        <f t="shared" si="199"/>
        <v>0</v>
      </c>
    </row>
    <row r="480" spans="4:49" ht="15.75" x14ac:dyDescent="0.25">
      <c r="D480" s="199"/>
      <c r="E480" s="200"/>
      <c r="F480" s="287"/>
      <c r="G480" s="201"/>
      <c r="H480" s="219"/>
      <c r="I480" s="202"/>
      <c r="J480" s="200"/>
      <c r="K480" s="200"/>
      <c r="L480" s="203"/>
      <c r="M480" s="204">
        <f ca="1">IF(ISERROR(OFFSET(Tabella!$A$1,MATCH(J480,Tabella!$A:$A,0)-1,MATCH(L480,Tabella!$A$1:$AC$1,0)-1)=TRUE),0,+OFFSET(Tabella!$A$1,MATCH(J480,Tabella!$A:$A,0)-1,MATCH(L480,Tabella!$A$1:$AC$1,0)-1))</f>
        <v>0</v>
      </c>
      <c r="N480" s="205">
        <f ca="1">IF(ISERROR(OFFSET(Ottone!$A$1,MATCH(J480,Ottone!$A:$A,0)-1,MATCH(L480,Ottone!$A$1:$Z$1,0)-1)=TRUE),0,OFFSET(Ottone!$A$1,MATCH(J480,Ottone!$A:$A,0)-1,MATCH(L480,Ottone!$A$1:$Z$1,0)-1))*IF(G480="Ottone",1,0)</f>
        <v>0</v>
      </c>
      <c r="O480" s="205">
        <f ca="1">IF(ISERROR(OFFSET(Rame!$A$1,MATCH(J480,Rame!$A:$A,0)-1,MATCH(L480,Rame!$A$1:$AA$1,0)-1)=TRUE),0,OFFSET(Rame!$A$1,MATCH(J480,Rame!$A:$A,0)-1,MATCH(L480,Rame!$A$1:$AA$1,0)-1))*IF(G480="Rame",1,0)</f>
        <v>0</v>
      </c>
      <c r="P480" s="205">
        <v>0</v>
      </c>
      <c r="Q480" s="205">
        <f t="shared" ca="1" si="201"/>
        <v>0</v>
      </c>
      <c r="R480" s="205">
        <f ca="1">+IF(ISERROR(OFFSET(Tabella!$G$1,MATCH(J480,Tabella!$G:$G,0)-1,MATCH(K480,Tabella!$G$1:$FG$1,0)-1)=TRUE),0,OFFSET(Tabella!$G$1,MATCH(J480,Tabella!$G:$G,0)-1,MATCH(K480,Tabella!$G$1:$AB$1,0)-1))</f>
        <v>0</v>
      </c>
      <c r="S480" s="205">
        <f ca="1">IF(ISERROR(OFFSET(Ottone!$F$1,MATCH(J480,Ottone!$A:$A,0)-1,MATCH(K480,Ottone!$F$1:$FF$1,0)-1)=TRUE),0,OFFSET(Ottone!$F$1,MATCH(J480,Ottone!$A:$A,0)-1,MATCH(K480,Ottone!$F$1:$FF$1,0)-1))*IF(G480="Ottone",1,0)</f>
        <v>0</v>
      </c>
      <c r="T480" s="205">
        <f ca="1">IF(ISERROR(OFFSET(Rame!$F$1,MATCH(J480,Rame!$F:$F,0)-1,MATCH(K480,Rame!$F$1:$FF$1,0)-1)=TRUE),0,OFFSET(Rame!$F$1,MATCH(J480,Rame!$F:$F,0)-1,MATCH(K480,Rame!$F$1:$FF$1,0)-1))*IF(G480="Rame",1,0)</f>
        <v>0</v>
      </c>
      <c r="U480" s="205">
        <f ca="1">IF(ISERROR(OFFSET(Bronzo!$A$1,MATCH(J480,Bronzo!$A:$A,0)-1,MATCH(K480,Bronzo!$A$1:$AA$1,0)-1)=TRUE),0,OFFSET(Bronzo!$A$1,MATCH(J480,Bronzo!$A:$A,0)-1,MATCH(K480,Bronzo!$A$1:$AA$1,0)-1))</f>
        <v>0</v>
      </c>
      <c r="V480" s="205">
        <f t="shared" ca="1" si="202"/>
        <v>0</v>
      </c>
      <c r="W480" s="204"/>
      <c r="X480" s="205">
        <v>0</v>
      </c>
      <c r="Y480" s="206">
        <f t="shared" ca="1" si="203"/>
        <v>0</v>
      </c>
      <c r="Z480" s="277">
        <f t="shared" si="204"/>
        <v>0</v>
      </c>
      <c r="AA480" s="203"/>
      <c r="AB480" s="203">
        <f t="shared" ca="1" si="205"/>
        <v>0</v>
      </c>
      <c r="AC480" s="238"/>
      <c r="AI480" s="367">
        <f t="shared" ca="1" si="200"/>
        <v>46092</v>
      </c>
      <c r="AJ480" s="367" t="b">
        <f t="shared" ref="AJ480:AJ543" si="206">ISBLANK(AC480)</f>
        <v>1</v>
      </c>
      <c r="AK480" s="370" t="str">
        <f t="shared" ref="AK480:AK543" si="207">IF(AJ480=FALSE,_xlfn.DAYS(AC480,AI480),"")</f>
        <v/>
      </c>
      <c r="AN480">
        <f t="shared" ref="AN480:AN543" si="208">WEEKNUM(AC480)</f>
        <v>0</v>
      </c>
      <c r="AO480">
        <f t="shared" ref="AO480:AO543" si="209">YEAR(AC480)</f>
        <v>1900</v>
      </c>
      <c r="AV480">
        <f t="shared" ref="AV480:AV543" si="210">IF(AC480="",0,MONTH(AC480))</f>
        <v>0</v>
      </c>
      <c r="AW480">
        <f t="shared" ref="AW480:AW543" si="211">IF(AC480="",0,YEAR(AC480))</f>
        <v>0</v>
      </c>
    </row>
    <row r="481" spans="4:49" ht="15.75" x14ac:dyDescent="0.25">
      <c r="D481" s="199"/>
      <c r="E481" s="200"/>
      <c r="F481" s="287"/>
      <c r="G481" s="201"/>
      <c r="H481" s="219"/>
      <c r="I481" s="202"/>
      <c r="J481" s="200"/>
      <c r="K481" s="200"/>
      <c r="L481" s="203"/>
      <c r="M481" s="204">
        <f ca="1">IF(ISERROR(OFFSET(Tabella!$A$1,MATCH(J481,Tabella!$A:$A,0)-1,MATCH(L481,Tabella!$A$1:$AC$1,0)-1)=TRUE),0,+OFFSET(Tabella!$A$1,MATCH(J481,Tabella!$A:$A,0)-1,MATCH(L481,Tabella!$A$1:$AC$1,0)-1))</f>
        <v>0</v>
      </c>
      <c r="N481" s="205">
        <f ca="1">IF(ISERROR(OFFSET(Ottone!$A$1,MATCH(J481,Ottone!$A:$A,0)-1,MATCH(L481,Ottone!$A$1:$Z$1,0)-1)=TRUE),0,OFFSET(Ottone!$A$1,MATCH(J481,Ottone!$A:$A,0)-1,MATCH(L481,Ottone!$A$1:$Z$1,0)-1))*IF(G481="Ottone",1,0)</f>
        <v>0</v>
      </c>
      <c r="O481" s="205">
        <f ca="1">IF(ISERROR(OFFSET(Rame!$A$1,MATCH(J481,Rame!$A:$A,0)-1,MATCH(L481,Rame!$A$1:$AA$1,0)-1)=TRUE),0,OFFSET(Rame!$A$1,MATCH(J481,Rame!$A:$A,0)-1,MATCH(L481,Rame!$A$1:$AA$1,0)-1))*IF(G481="Rame",1,0)</f>
        <v>0</v>
      </c>
      <c r="P481" s="205">
        <v>0</v>
      </c>
      <c r="Q481" s="205">
        <f t="shared" ca="1" si="201"/>
        <v>0</v>
      </c>
      <c r="R481" s="205">
        <f ca="1">+IF(ISERROR(OFFSET(Tabella!$G$1,MATCH(J481,Tabella!$G:$G,0)-1,MATCH(K481,Tabella!$G$1:$FG$1,0)-1)=TRUE),0,OFFSET(Tabella!$G$1,MATCH(J481,Tabella!$G:$G,0)-1,MATCH(K481,Tabella!$G$1:$AB$1,0)-1))</f>
        <v>0</v>
      </c>
      <c r="S481" s="205">
        <f ca="1">IF(ISERROR(OFFSET(Ottone!$F$1,MATCH(J481,Ottone!$A:$A,0)-1,MATCH(K481,Ottone!$F$1:$FF$1,0)-1)=TRUE),0,OFFSET(Ottone!$F$1,MATCH(J481,Ottone!$A:$A,0)-1,MATCH(K481,Ottone!$F$1:$FF$1,0)-1))*IF(G481="Ottone",1,0)</f>
        <v>0</v>
      </c>
      <c r="T481" s="205">
        <f ca="1">IF(ISERROR(OFFSET(Rame!$F$1,MATCH(J481,Rame!$F:$F,0)-1,MATCH(K481,Rame!$F$1:$FF$1,0)-1)=TRUE),0,OFFSET(Rame!$F$1,MATCH(J481,Rame!$F:$F,0)-1,MATCH(K481,Rame!$F$1:$FF$1,0)-1))*IF(G481="Rame",1,0)</f>
        <v>0</v>
      </c>
      <c r="U481" s="205">
        <f ca="1">IF(ISERROR(OFFSET(Bronzo!$A$1,MATCH(J481,Bronzo!$A:$A,0)-1,MATCH(K481,Bronzo!$A$1:$AA$1,0)-1)=TRUE),0,OFFSET(Bronzo!$A$1,MATCH(J481,Bronzo!$A:$A,0)-1,MATCH(K481,Bronzo!$A$1:$AA$1,0)-1))</f>
        <v>0</v>
      </c>
      <c r="V481" s="205">
        <f t="shared" ca="1" si="202"/>
        <v>0</v>
      </c>
      <c r="W481" s="204"/>
      <c r="X481" s="205">
        <v>0</v>
      </c>
      <c r="Y481" s="206">
        <f t="shared" ca="1" si="203"/>
        <v>0</v>
      </c>
      <c r="Z481" s="277">
        <f t="shared" si="204"/>
        <v>0</v>
      </c>
      <c r="AA481" s="203"/>
      <c r="AB481" s="203">
        <f t="shared" ca="1" si="205"/>
        <v>0</v>
      </c>
      <c r="AC481" s="238"/>
      <c r="AI481" s="367">
        <f t="shared" ca="1" si="200"/>
        <v>46092</v>
      </c>
      <c r="AJ481" s="367" t="b">
        <f t="shared" si="206"/>
        <v>1</v>
      </c>
      <c r="AK481" s="370" t="str">
        <f t="shared" si="207"/>
        <v/>
      </c>
      <c r="AN481">
        <f t="shared" si="208"/>
        <v>0</v>
      </c>
      <c r="AO481">
        <f t="shared" si="209"/>
        <v>1900</v>
      </c>
      <c r="AV481">
        <f t="shared" si="210"/>
        <v>0</v>
      </c>
      <c r="AW481">
        <f t="shared" si="211"/>
        <v>0</v>
      </c>
    </row>
    <row r="482" spans="4:49" ht="15.75" x14ac:dyDescent="0.25">
      <c r="D482" s="199"/>
      <c r="E482" s="200"/>
      <c r="F482" s="287"/>
      <c r="G482" s="201"/>
      <c r="H482" s="219"/>
      <c r="I482" s="202"/>
      <c r="J482" s="200"/>
      <c r="K482" s="200"/>
      <c r="L482" s="203"/>
      <c r="M482" s="204">
        <f ca="1">IF(ISERROR(OFFSET(Tabella!$A$1,MATCH(J482,Tabella!$A:$A,0)-1,MATCH(L482,Tabella!$A$1:$AC$1,0)-1)=TRUE),0,+OFFSET(Tabella!$A$1,MATCH(J482,Tabella!$A:$A,0)-1,MATCH(L482,Tabella!$A$1:$AC$1,0)-1))</f>
        <v>0</v>
      </c>
      <c r="N482" s="205">
        <f ca="1">IF(ISERROR(OFFSET(Ottone!$A$1,MATCH(J482,Ottone!$A:$A,0)-1,MATCH(L482,Ottone!$A$1:$Z$1,0)-1)=TRUE),0,OFFSET(Ottone!$A$1,MATCH(J482,Ottone!$A:$A,0)-1,MATCH(L482,Ottone!$A$1:$Z$1,0)-1))*IF(G482="Ottone",1,0)</f>
        <v>0</v>
      </c>
      <c r="O482" s="205">
        <f ca="1">IF(ISERROR(OFFSET(Rame!$A$1,MATCH(J482,Rame!$A:$A,0)-1,MATCH(L482,Rame!$A$1:$AA$1,0)-1)=TRUE),0,OFFSET(Rame!$A$1,MATCH(J482,Rame!$A:$A,0)-1,MATCH(L482,Rame!$A$1:$AA$1,0)-1))*IF(G482="Rame",1,0)</f>
        <v>0</v>
      </c>
      <c r="P482" s="205">
        <v>0</v>
      </c>
      <c r="Q482" s="205">
        <f t="shared" ca="1" si="201"/>
        <v>0</v>
      </c>
      <c r="R482" s="205">
        <f ca="1">+IF(ISERROR(OFFSET(Tabella!$G$1,MATCH(J482,Tabella!$G:$G,0)-1,MATCH(K482,Tabella!$G$1:$FG$1,0)-1)=TRUE),0,OFFSET(Tabella!$G$1,MATCH(J482,Tabella!$G:$G,0)-1,MATCH(K482,Tabella!$G$1:$AB$1,0)-1))</f>
        <v>0</v>
      </c>
      <c r="S482" s="205">
        <f ca="1">IF(ISERROR(OFFSET(Ottone!$F$1,MATCH(J482,Ottone!$A:$A,0)-1,MATCH(K482,Ottone!$F$1:$FF$1,0)-1)=TRUE),0,OFFSET(Ottone!$F$1,MATCH(J482,Ottone!$A:$A,0)-1,MATCH(K482,Ottone!$F$1:$FF$1,0)-1))*IF(G482="Ottone",1,0)</f>
        <v>0</v>
      </c>
      <c r="T482" s="205">
        <f ca="1">IF(ISERROR(OFFSET(Rame!$F$1,MATCH(J482,Rame!$F:$F,0)-1,MATCH(K482,Rame!$F$1:$FF$1,0)-1)=TRUE),0,OFFSET(Rame!$F$1,MATCH(J482,Rame!$F:$F,0)-1,MATCH(K482,Rame!$F$1:$FF$1,0)-1))*IF(G482="Rame",1,0)</f>
        <v>0</v>
      </c>
      <c r="U482" s="205">
        <f ca="1">IF(ISERROR(OFFSET(Bronzo!$A$1,MATCH(J482,Bronzo!$A:$A,0)-1,MATCH(K482,Bronzo!$A$1:$AA$1,0)-1)=TRUE),0,OFFSET(Bronzo!$A$1,MATCH(J482,Bronzo!$A:$A,0)-1,MATCH(K482,Bronzo!$A$1:$AA$1,0)-1))</f>
        <v>0</v>
      </c>
      <c r="V482" s="205">
        <f t="shared" ca="1" si="202"/>
        <v>0</v>
      </c>
      <c r="W482" s="204"/>
      <c r="X482" s="205">
        <v>0</v>
      </c>
      <c r="Y482" s="206">
        <f t="shared" ca="1" si="203"/>
        <v>0</v>
      </c>
      <c r="Z482" s="277">
        <f t="shared" si="204"/>
        <v>0</v>
      </c>
      <c r="AA482" s="203"/>
      <c r="AB482" s="203">
        <f t="shared" ca="1" si="205"/>
        <v>0</v>
      </c>
      <c r="AC482" s="238"/>
      <c r="AI482" s="367">
        <f t="shared" ca="1" si="200"/>
        <v>46092</v>
      </c>
      <c r="AJ482" s="367" t="b">
        <f t="shared" si="206"/>
        <v>1</v>
      </c>
      <c r="AK482" s="370" t="str">
        <f t="shared" si="207"/>
        <v/>
      </c>
      <c r="AN482">
        <f t="shared" si="208"/>
        <v>0</v>
      </c>
      <c r="AO482">
        <f t="shared" si="209"/>
        <v>1900</v>
      </c>
      <c r="AV482">
        <f t="shared" si="210"/>
        <v>0</v>
      </c>
      <c r="AW482">
        <f t="shared" si="211"/>
        <v>0</v>
      </c>
    </row>
    <row r="483" spans="4:49" ht="15.75" x14ac:dyDescent="0.25">
      <c r="D483" s="199"/>
      <c r="E483" s="200"/>
      <c r="F483" s="287"/>
      <c r="G483" s="201"/>
      <c r="H483" s="219"/>
      <c r="I483" s="202"/>
      <c r="J483" s="200"/>
      <c r="K483" s="200"/>
      <c r="L483" s="203"/>
      <c r="M483" s="204">
        <f ca="1">IF(ISERROR(OFFSET(Tabella!$A$1,MATCH(J483,Tabella!$A:$A,0)-1,MATCH(L483,Tabella!$A$1:$AC$1,0)-1)=TRUE),0,+OFFSET(Tabella!$A$1,MATCH(J483,Tabella!$A:$A,0)-1,MATCH(L483,Tabella!$A$1:$AC$1,0)-1))</f>
        <v>0</v>
      </c>
      <c r="N483" s="205">
        <f ca="1">IF(ISERROR(OFFSET(Ottone!$A$1,MATCH(J483,Ottone!$A:$A,0)-1,MATCH(L483,Ottone!$A$1:$Z$1,0)-1)=TRUE),0,OFFSET(Ottone!$A$1,MATCH(J483,Ottone!$A:$A,0)-1,MATCH(L483,Ottone!$A$1:$Z$1,0)-1))*IF(G483="Ottone",1,0)</f>
        <v>0</v>
      </c>
      <c r="O483" s="205">
        <f ca="1">IF(ISERROR(OFFSET(Rame!$A$1,MATCH(J483,Rame!$A:$A,0)-1,MATCH(L483,Rame!$A$1:$AA$1,0)-1)=TRUE),0,OFFSET(Rame!$A$1,MATCH(J483,Rame!$A:$A,0)-1,MATCH(L483,Rame!$A$1:$AA$1,0)-1))*IF(G483="Rame",1,0)</f>
        <v>0</v>
      </c>
      <c r="P483" s="205">
        <v>0</v>
      </c>
      <c r="Q483" s="205">
        <f t="shared" ca="1" si="201"/>
        <v>0</v>
      </c>
      <c r="R483" s="205">
        <f ca="1">+IF(ISERROR(OFFSET(Tabella!$G$1,MATCH(J483,Tabella!$G:$G,0)-1,MATCH(K483,Tabella!$G$1:$FG$1,0)-1)=TRUE),0,OFFSET(Tabella!$G$1,MATCH(J483,Tabella!$G:$G,0)-1,MATCH(K483,Tabella!$G$1:$AB$1,0)-1))</f>
        <v>0</v>
      </c>
      <c r="S483" s="205">
        <f ca="1">IF(ISERROR(OFFSET(Ottone!$F$1,MATCH(J483,Ottone!$A:$A,0)-1,MATCH(K483,Ottone!$F$1:$FF$1,0)-1)=TRUE),0,OFFSET(Ottone!$F$1,MATCH(J483,Ottone!$A:$A,0)-1,MATCH(K483,Ottone!$F$1:$FF$1,0)-1))*IF(G483="Ottone",1,0)</f>
        <v>0</v>
      </c>
      <c r="T483" s="205">
        <f ca="1">IF(ISERROR(OFFSET(Rame!$F$1,MATCH(J483,Rame!$F:$F,0)-1,MATCH(K483,Rame!$F$1:$FF$1,0)-1)=TRUE),0,OFFSET(Rame!$F$1,MATCH(J483,Rame!$F:$F,0)-1,MATCH(K483,Rame!$F$1:$FF$1,0)-1))*IF(G483="Rame",1,0)</f>
        <v>0</v>
      </c>
      <c r="U483" s="205">
        <f ca="1">IF(ISERROR(OFFSET(Bronzo!$A$1,MATCH(J483,Bronzo!$A:$A,0)-1,MATCH(K483,Bronzo!$A$1:$AA$1,0)-1)=TRUE),0,OFFSET(Bronzo!$A$1,MATCH(J483,Bronzo!$A:$A,0)-1,MATCH(K483,Bronzo!$A$1:$AA$1,0)-1))</f>
        <v>0</v>
      </c>
      <c r="V483" s="205">
        <f t="shared" ca="1" si="202"/>
        <v>0</v>
      </c>
      <c r="W483" s="204"/>
      <c r="X483" s="205">
        <v>0</v>
      </c>
      <c r="Y483" s="206">
        <f t="shared" ca="1" si="203"/>
        <v>0</v>
      </c>
      <c r="Z483" s="277">
        <f t="shared" si="204"/>
        <v>0</v>
      </c>
      <c r="AA483" s="203"/>
      <c r="AB483" s="203">
        <f t="shared" ca="1" si="205"/>
        <v>0</v>
      </c>
      <c r="AC483" s="238"/>
      <c r="AI483" s="367">
        <f t="shared" ca="1" si="200"/>
        <v>46092</v>
      </c>
      <c r="AJ483" s="367" t="b">
        <f t="shared" si="206"/>
        <v>1</v>
      </c>
      <c r="AK483" s="370" t="str">
        <f t="shared" si="207"/>
        <v/>
      </c>
      <c r="AN483">
        <f t="shared" si="208"/>
        <v>0</v>
      </c>
      <c r="AO483">
        <f t="shared" si="209"/>
        <v>1900</v>
      </c>
      <c r="AV483">
        <f t="shared" si="210"/>
        <v>0</v>
      </c>
      <c r="AW483">
        <f t="shared" si="211"/>
        <v>0</v>
      </c>
    </row>
    <row r="484" spans="4:49" ht="15.75" x14ac:dyDescent="0.25">
      <c r="D484" s="199"/>
      <c r="E484" s="200"/>
      <c r="F484" s="287"/>
      <c r="G484" s="201"/>
      <c r="H484" s="219"/>
      <c r="I484" s="202"/>
      <c r="J484" s="200"/>
      <c r="K484" s="200"/>
      <c r="L484" s="203"/>
      <c r="M484" s="204">
        <f ca="1">IF(ISERROR(OFFSET(Tabella!$A$1,MATCH(J484,Tabella!$A:$A,0)-1,MATCH(L484,Tabella!$A$1:$AC$1,0)-1)=TRUE),0,+OFFSET(Tabella!$A$1,MATCH(J484,Tabella!$A:$A,0)-1,MATCH(L484,Tabella!$A$1:$AC$1,0)-1))</f>
        <v>0</v>
      </c>
      <c r="N484" s="205">
        <f ca="1">IF(ISERROR(OFFSET(Ottone!$A$1,MATCH(J484,Ottone!$A:$A,0)-1,MATCH(L484,Ottone!$A$1:$Z$1,0)-1)=TRUE),0,OFFSET(Ottone!$A$1,MATCH(J484,Ottone!$A:$A,0)-1,MATCH(L484,Ottone!$A$1:$Z$1,0)-1))*IF(G484="Ottone",1,0)</f>
        <v>0</v>
      </c>
      <c r="O484" s="205">
        <f ca="1">IF(ISERROR(OFFSET(Rame!$A$1,MATCH(J484,Rame!$A:$A,0)-1,MATCH(L484,Rame!$A$1:$AA$1,0)-1)=TRUE),0,OFFSET(Rame!$A$1,MATCH(J484,Rame!$A:$A,0)-1,MATCH(L484,Rame!$A$1:$AA$1,0)-1))*IF(G484="Rame",1,0)</f>
        <v>0</v>
      </c>
      <c r="P484" s="205">
        <v>0</v>
      </c>
      <c r="Q484" s="205">
        <f t="shared" ca="1" si="201"/>
        <v>0</v>
      </c>
      <c r="R484" s="205">
        <f ca="1">+IF(ISERROR(OFFSET(Tabella!$G$1,MATCH(J484,Tabella!$G:$G,0)-1,MATCH(K484,Tabella!$G$1:$FG$1,0)-1)=TRUE),0,OFFSET(Tabella!$G$1,MATCH(J484,Tabella!$G:$G,0)-1,MATCH(K484,Tabella!$G$1:$AB$1,0)-1))</f>
        <v>0</v>
      </c>
      <c r="S484" s="205">
        <f ca="1">IF(ISERROR(OFFSET(Ottone!$F$1,MATCH(J484,Ottone!$A:$A,0)-1,MATCH(K484,Ottone!$F$1:$FF$1,0)-1)=TRUE),0,OFFSET(Ottone!$F$1,MATCH(J484,Ottone!$A:$A,0)-1,MATCH(K484,Ottone!$F$1:$FF$1,0)-1))*IF(G484="Ottone",1,0)</f>
        <v>0</v>
      </c>
      <c r="T484" s="205">
        <f ca="1">IF(ISERROR(OFFSET(Rame!$F$1,MATCH(J484,Rame!$F:$F,0)-1,MATCH(K484,Rame!$F$1:$FF$1,0)-1)=TRUE),0,OFFSET(Rame!$F$1,MATCH(J484,Rame!$F:$F,0)-1,MATCH(K484,Rame!$F$1:$FF$1,0)-1))*IF(G484="Rame",1,0)</f>
        <v>0</v>
      </c>
      <c r="U484" s="205">
        <f ca="1">IF(ISERROR(OFFSET(Bronzo!$A$1,MATCH(J484,Bronzo!$A:$A,0)-1,MATCH(K484,Bronzo!$A$1:$AA$1,0)-1)=TRUE),0,OFFSET(Bronzo!$A$1,MATCH(J484,Bronzo!$A:$A,0)-1,MATCH(K484,Bronzo!$A$1:$AA$1,0)-1))</f>
        <v>0</v>
      </c>
      <c r="V484" s="205">
        <f t="shared" ca="1" si="202"/>
        <v>0</v>
      </c>
      <c r="W484" s="204"/>
      <c r="X484" s="205">
        <v>0</v>
      </c>
      <c r="Y484" s="206">
        <f t="shared" ca="1" si="203"/>
        <v>0</v>
      </c>
      <c r="Z484" s="277">
        <f t="shared" si="204"/>
        <v>0</v>
      </c>
      <c r="AA484" s="203"/>
      <c r="AB484" s="203">
        <f t="shared" ca="1" si="205"/>
        <v>0</v>
      </c>
      <c r="AC484" s="238"/>
      <c r="AI484" s="367">
        <f t="shared" ca="1" si="200"/>
        <v>46092</v>
      </c>
      <c r="AJ484" s="367" t="b">
        <f t="shared" si="206"/>
        <v>1</v>
      </c>
      <c r="AK484" s="370" t="str">
        <f t="shared" si="207"/>
        <v/>
      </c>
      <c r="AN484">
        <f t="shared" si="208"/>
        <v>0</v>
      </c>
      <c r="AO484">
        <f t="shared" si="209"/>
        <v>1900</v>
      </c>
      <c r="AV484">
        <f t="shared" si="210"/>
        <v>0</v>
      </c>
      <c r="AW484">
        <f t="shared" si="211"/>
        <v>0</v>
      </c>
    </row>
    <row r="485" spans="4:49" ht="15.75" x14ac:dyDescent="0.25">
      <c r="D485" s="199"/>
      <c r="E485" s="200"/>
      <c r="F485" s="287"/>
      <c r="G485" s="201"/>
      <c r="H485" s="219"/>
      <c r="I485" s="202"/>
      <c r="J485" s="200"/>
      <c r="K485" s="200"/>
      <c r="L485" s="203"/>
      <c r="M485" s="204">
        <f ca="1">IF(ISERROR(OFFSET(Tabella!$A$1,MATCH(J485,Tabella!$A:$A,0)-1,MATCH(L485,Tabella!$A$1:$AC$1,0)-1)=TRUE),0,+OFFSET(Tabella!$A$1,MATCH(J485,Tabella!$A:$A,0)-1,MATCH(L485,Tabella!$A$1:$AC$1,0)-1))</f>
        <v>0</v>
      </c>
      <c r="N485" s="205">
        <f ca="1">IF(ISERROR(OFFSET(Ottone!$A$1,MATCH(J485,Ottone!$A:$A,0)-1,MATCH(L485,Ottone!$A$1:$Z$1,0)-1)=TRUE),0,OFFSET(Ottone!$A$1,MATCH(J485,Ottone!$A:$A,0)-1,MATCH(L485,Ottone!$A$1:$Z$1,0)-1))*IF(G485="Ottone",1,0)</f>
        <v>0</v>
      </c>
      <c r="O485" s="205">
        <f ca="1">IF(ISERROR(OFFSET(Rame!$A$1,MATCH(J485,Rame!$A:$A,0)-1,MATCH(L485,Rame!$A$1:$AA$1,0)-1)=TRUE),0,OFFSET(Rame!$A$1,MATCH(J485,Rame!$A:$A,0)-1,MATCH(L485,Rame!$A$1:$AA$1,0)-1))*IF(G485="Rame",1,0)</f>
        <v>0</v>
      </c>
      <c r="P485" s="205">
        <v>0</v>
      </c>
      <c r="Q485" s="205">
        <f t="shared" ca="1" si="201"/>
        <v>0</v>
      </c>
      <c r="R485" s="205">
        <f ca="1">+IF(ISERROR(OFFSET(Tabella!$G$1,MATCH(J485,Tabella!$G:$G,0)-1,MATCH(K485,Tabella!$G$1:$FG$1,0)-1)=TRUE),0,OFFSET(Tabella!$G$1,MATCH(J485,Tabella!$G:$G,0)-1,MATCH(K485,Tabella!$G$1:$AB$1,0)-1))</f>
        <v>0</v>
      </c>
      <c r="S485" s="205">
        <f ca="1">IF(ISERROR(OFFSET(Ottone!$F$1,MATCH(J485,Ottone!$A:$A,0)-1,MATCH(K485,Ottone!$F$1:$FF$1,0)-1)=TRUE),0,OFFSET(Ottone!$F$1,MATCH(J485,Ottone!$A:$A,0)-1,MATCH(K485,Ottone!$F$1:$FF$1,0)-1))*IF(G485="Ottone",1,0)</f>
        <v>0</v>
      </c>
      <c r="T485" s="205">
        <f ca="1">IF(ISERROR(OFFSET(Rame!$F$1,MATCH(J485,Rame!$F:$F,0)-1,MATCH(K485,Rame!$F$1:$FF$1,0)-1)=TRUE),0,OFFSET(Rame!$F$1,MATCH(J485,Rame!$F:$F,0)-1,MATCH(K485,Rame!$F$1:$FF$1,0)-1))*IF(G485="Rame",1,0)</f>
        <v>0</v>
      </c>
      <c r="U485" s="205">
        <f ca="1">IF(ISERROR(OFFSET(Bronzo!$A$1,MATCH(J485,Bronzo!$A:$A,0)-1,MATCH(K485,Bronzo!$A$1:$AA$1,0)-1)=TRUE),0,OFFSET(Bronzo!$A$1,MATCH(J485,Bronzo!$A:$A,0)-1,MATCH(K485,Bronzo!$A$1:$AA$1,0)-1))</f>
        <v>0</v>
      </c>
      <c r="V485" s="205">
        <f t="shared" ca="1" si="202"/>
        <v>0</v>
      </c>
      <c r="W485" s="204"/>
      <c r="X485" s="205">
        <v>0</v>
      </c>
      <c r="Y485" s="206">
        <f t="shared" ca="1" si="203"/>
        <v>0</v>
      </c>
      <c r="Z485" s="277">
        <f t="shared" si="204"/>
        <v>0</v>
      </c>
      <c r="AA485" s="203"/>
      <c r="AB485" s="203">
        <f t="shared" ca="1" si="205"/>
        <v>0</v>
      </c>
      <c r="AC485" s="238"/>
      <c r="AI485" s="367">
        <f t="shared" ca="1" si="200"/>
        <v>46092</v>
      </c>
      <c r="AJ485" s="367" t="b">
        <f t="shared" si="206"/>
        <v>1</v>
      </c>
      <c r="AK485" s="370" t="str">
        <f t="shared" si="207"/>
        <v/>
      </c>
      <c r="AN485">
        <f t="shared" si="208"/>
        <v>0</v>
      </c>
      <c r="AO485">
        <f t="shared" si="209"/>
        <v>1900</v>
      </c>
      <c r="AV485">
        <f t="shared" si="210"/>
        <v>0</v>
      </c>
      <c r="AW485">
        <f t="shared" si="211"/>
        <v>0</v>
      </c>
    </row>
    <row r="486" spans="4:49" ht="15.75" x14ac:dyDescent="0.25">
      <c r="D486" s="199"/>
      <c r="E486" s="200"/>
      <c r="F486" s="287"/>
      <c r="G486" s="201"/>
      <c r="H486" s="219"/>
      <c r="I486" s="202"/>
      <c r="J486" s="200"/>
      <c r="K486" s="200"/>
      <c r="L486" s="203"/>
      <c r="M486" s="204">
        <f ca="1">IF(ISERROR(OFFSET(Tabella!$A$1,MATCH(J486,Tabella!$A:$A,0)-1,MATCH(L486,Tabella!$A$1:$AC$1,0)-1)=TRUE),0,+OFFSET(Tabella!$A$1,MATCH(J486,Tabella!$A:$A,0)-1,MATCH(L486,Tabella!$A$1:$AC$1,0)-1))</f>
        <v>0</v>
      </c>
      <c r="N486" s="205">
        <f ca="1">IF(ISERROR(OFFSET(Ottone!$A$1,MATCH(J486,Ottone!$A:$A,0)-1,MATCH(L486,Ottone!$A$1:$Z$1,0)-1)=TRUE),0,OFFSET(Ottone!$A$1,MATCH(J486,Ottone!$A:$A,0)-1,MATCH(L486,Ottone!$A$1:$Z$1,0)-1))*IF(G486="Ottone",1,0)</f>
        <v>0</v>
      </c>
      <c r="O486" s="205">
        <f ca="1">IF(ISERROR(OFFSET(Rame!$A$1,MATCH(J486,Rame!$A:$A,0)-1,MATCH(L486,Rame!$A$1:$AA$1,0)-1)=TRUE),0,OFFSET(Rame!$A$1,MATCH(J486,Rame!$A:$A,0)-1,MATCH(L486,Rame!$A$1:$AA$1,0)-1))*IF(G486="Rame",1,0)</f>
        <v>0</v>
      </c>
      <c r="P486" s="205">
        <v>0</v>
      </c>
      <c r="Q486" s="205">
        <f t="shared" ca="1" si="201"/>
        <v>0</v>
      </c>
      <c r="R486" s="205">
        <f ca="1">+IF(ISERROR(OFFSET(Tabella!$G$1,MATCH(J486,Tabella!$G:$G,0)-1,MATCH(K486,Tabella!$G$1:$FG$1,0)-1)=TRUE),0,OFFSET(Tabella!$G$1,MATCH(J486,Tabella!$G:$G,0)-1,MATCH(K486,Tabella!$G$1:$AB$1,0)-1))</f>
        <v>0</v>
      </c>
      <c r="S486" s="205">
        <f ca="1">IF(ISERROR(OFFSET(Ottone!$F$1,MATCH(J486,Ottone!$A:$A,0)-1,MATCH(K486,Ottone!$F$1:$FF$1,0)-1)=TRUE),0,OFFSET(Ottone!$F$1,MATCH(J486,Ottone!$A:$A,0)-1,MATCH(K486,Ottone!$F$1:$FF$1,0)-1))*IF(G486="Ottone",1,0)</f>
        <v>0</v>
      </c>
      <c r="T486" s="205">
        <f ca="1">IF(ISERROR(OFFSET(Rame!$F$1,MATCH(J486,Rame!$F:$F,0)-1,MATCH(K486,Rame!$F$1:$FF$1,0)-1)=TRUE),0,OFFSET(Rame!$F$1,MATCH(J486,Rame!$F:$F,0)-1,MATCH(K486,Rame!$F$1:$FF$1,0)-1))*IF(G486="Rame",1,0)</f>
        <v>0</v>
      </c>
      <c r="U486" s="205">
        <f ca="1">IF(ISERROR(OFFSET(Bronzo!$A$1,MATCH(J486,Bronzo!$A:$A,0)-1,MATCH(K486,Bronzo!$A$1:$AA$1,0)-1)=TRUE),0,OFFSET(Bronzo!$A$1,MATCH(J486,Bronzo!$A:$A,0)-1,MATCH(K486,Bronzo!$A$1:$AA$1,0)-1))</f>
        <v>0</v>
      </c>
      <c r="V486" s="205">
        <f t="shared" ca="1" si="202"/>
        <v>0</v>
      </c>
      <c r="W486" s="204"/>
      <c r="X486" s="205">
        <v>0</v>
      </c>
      <c r="Y486" s="206">
        <f t="shared" ca="1" si="203"/>
        <v>0</v>
      </c>
      <c r="Z486" s="277">
        <f t="shared" si="204"/>
        <v>0</v>
      </c>
      <c r="AA486" s="203"/>
      <c r="AB486" s="203">
        <f t="shared" ca="1" si="205"/>
        <v>0</v>
      </c>
      <c r="AC486" s="238"/>
      <c r="AI486" s="367">
        <f t="shared" ca="1" si="200"/>
        <v>46092</v>
      </c>
      <c r="AJ486" s="367" t="b">
        <f t="shared" si="206"/>
        <v>1</v>
      </c>
      <c r="AK486" s="370" t="str">
        <f t="shared" si="207"/>
        <v/>
      </c>
      <c r="AN486">
        <f t="shared" si="208"/>
        <v>0</v>
      </c>
      <c r="AO486">
        <f t="shared" si="209"/>
        <v>1900</v>
      </c>
      <c r="AV486">
        <f t="shared" si="210"/>
        <v>0</v>
      </c>
      <c r="AW486">
        <f t="shared" si="211"/>
        <v>0</v>
      </c>
    </row>
    <row r="487" spans="4:49" ht="15.75" x14ac:dyDescent="0.25">
      <c r="D487" s="199"/>
      <c r="E487" s="200"/>
      <c r="F487" s="287"/>
      <c r="G487" s="201"/>
      <c r="H487" s="219"/>
      <c r="I487" s="202"/>
      <c r="J487" s="200"/>
      <c r="K487" s="200"/>
      <c r="L487" s="203"/>
      <c r="M487" s="204">
        <f ca="1">IF(ISERROR(OFFSET(Tabella!$A$1,MATCH(J487,Tabella!$A:$A,0)-1,MATCH(L487,Tabella!$A$1:$AC$1,0)-1)=TRUE),0,+OFFSET(Tabella!$A$1,MATCH(J487,Tabella!$A:$A,0)-1,MATCH(L487,Tabella!$A$1:$AC$1,0)-1))</f>
        <v>0</v>
      </c>
      <c r="N487" s="205">
        <f ca="1">IF(ISERROR(OFFSET(Ottone!$A$1,MATCH(J487,Ottone!$A:$A,0)-1,MATCH(L487,Ottone!$A$1:$Z$1,0)-1)=TRUE),0,OFFSET(Ottone!$A$1,MATCH(J487,Ottone!$A:$A,0)-1,MATCH(L487,Ottone!$A$1:$Z$1,0)-1))*IF(G487="Ottone",1,0)</f>
        <v>0</v>
      </c>
      <c r="O487" s="205">
        <f ca="1">IF(ISERROR(OFFSET(Rame!$A$1,MATCH(J487,Rame!$A:$A,0)-1,MATCH(L487,Rame!$A$1:$AA$1,0)-1)=TRUE),0,OFFSET(Rame!$A$1,MATCH(J487,Rame!$A:$A,0)-1,MATCH(L487,Rame!$A$1:$AA$1,0)-1))*IF(G487="Rame",1,0)</f>
        <v>0</v>
      </c>
      <c r="P487" s="205">
        <v>0</v>
      </c>
      <c r="Q487" s="205">
        <f t="shared" ca="1" si="201"/>
        <v>0</v>
      </c>
      <c r="R487" s="205">
        <f ca="1">+IF(ISERROR(OFFSET(Tabella!$G$1,MATCH(J487,Tabella!$G:$G,0)-1,MATCH(K487,Tabella!$G$1:$FG$1,0)-1)=TRUE),0,OFFSET(Tabella!$G$1,MATCH(J487,Tabella!$G:$G,0)-1,MATCH(K487,Tabella!$G$1:$AB$1,0)-1))</f>
        <v>0</v>
      </c>
      <c r="S487" s="205">
        <f ca="1">IF(ISERROR(OFFSET(Ottone!$F$1,MATCH(J487,Ottone!$A:$A,0)-1,MATCH(K487,Ottone!$F$1:$FF$1,0)-1)=TRUE),0,OFFSET(Ottone!$F$1,MATCH(J487,Ottone!$A:$A,0)-1,MATCH(K487,Ottone!$F$1:$FF$1,0)-1))*IF(G487="Ottone",1,0)</f>
        <v>0</v>
      </c>
      <c r="T487" s="205">
        <f ca="1">IF(ISERROR(OFFSET(Rame!$F$1,MATCH(J487,Rame!$F:$F,0)-1,MATCH(K487,Rame!$F$1:$FF$1,0)-1)=TRUE),0,OFFSET(Rame!$F$1,MATCH(J487,Rame!$F:$F,0)-1,MATCH(K487,Rame!$F$1:$FF$1,0)-1))*IF(G487="Rame",1,0)</f>
        <v>0</v>
      </c>
      <c r="U487" s="205">
        <f ca="1">IF(ISERROR(OFFSET(Bronzo!$A$1,MATCH(J487,Bronzo!$A:$A,0)-1,MATCH(K487,Bronzo!$A$1:$AA$1,0)-1)=TRUE),0,OFFSET(Bronzo!$A$1,MATCH(J487,Bronzo!$A:$A,0)-1,MATCH(K487,Bronzo!$A$1:$AA$1,0)-1))</f>
        <v>0</v>
      </c>
      <c r="V487" s="205">
        <f t="shared" ca="1" si="202"/>
        <v>0</v>
      </c>
      <c r="W487" s="204"/>
      <c r="X487" s="205">
        <v>0</v>
      </c>
      <c r="Y487" s="206">
        <f t="shared" ca="1" si="203"/>
        <v>0</v>
      </c>
      <c r="Z487" s="277">
        <f t="shared" si="204"/>
        <v>0</v>
      </c>
      <c r="AA487" s="203"/>
      <c r="AB487" s="203">
        <f t="shared" ca="1" si="205"/>
        <v>0</v>
      </c>
      <c r="AC487" s="238"/>
      <c r="AI487" s="367">
        <f t="shared" ca="1" si="200"/>
        <v>46092</v>
      </c>
      <c r="AJ487" s="367" t="b">
        <f t="shared" si="206"/>
        <v>1</v>
      </c>
      <c r="AK487" s="370" t="str">
        <f t="shared" si="207"/>
        <v/>
      </c>
      <c r="AN487">
        <f t="shared" si="208"/>
        <v>0</v>
      </c>
      <c r="AO487">
        <f t="shared" si="209"/>
        <v>1900</v>
      </c>
      <c r="AV487">
        <f t="shared" si="210"/>
        <v>0</v>
      </c>
      <c r="AW487">
        <f t="shared" si="211"/>
        <v>0</v>
      </c>
    </row>
    <row r="488" spans="4:49" ht="15.75" x14ac:dyDescent="0.25">
      <c r="D488" s="199"/>
      <c r="E488" s="200"/>
      <c r="F488" s="287"/>
      <c r="G488" s="201"/>
      <c r="H488" s="219"/>
      <c r="I488" s="202"/>
      <c r="J488" s="200"/>
      <c r="K488" s="200"/>
      <c r="L488" s="203"/>
      <c r="M488" s="204">
        <f ca="1">IF(ISERROR(OFFSET(Tabella!$A$1,MATCH(J488,Tabella!$A:$A,0)-1,MATCH(L488,Tabella!$A$1:$AC$1,0)-1)=TRUE),0,+OFFSET(Tabella!$A$1,MATCH(J488,Tabella!$A:$A,0)-1,MATCH(L488,Tabella!$A$1:$AC$1,0)-1))</f>
        <v>0</v>
      </c>
      <c r="N488" s="205">
        <f ca="1">IF(ISERROR(OFFSET(Ottone!$A$1,MATCH(J488,Ottone!$A:$A,0)-1,MATCH(L488,Ottone!$A$1:$Z$1,0)-1)=TRUE),0,OFFSET(Ottone!$A$1,MATCH(J488,Ottone!$A:$A,0)-1,MATCH(L488,Ottone!$A$1:$Z$1,0)-1))*IF(G488="Ottone",1,0)</f>
        <v>0</v>
      </c>
      <c r="O488" s="205">
        <f ca="1">IF(ISERROR(OFFSET(Rame!$A$1,MATCH(J488,Rame!$A:$A,0)-1,MATCH(L488,Rame!$A$1:$AA$1,0)-1)=TRUE),0,OFFSET(Rame!$A$1,MATCH(J488,Rame!$A:$A,0)-1,MATCH(L488,Rame!$A$1:$AA$1,0)-1))*IF(G488="Rame",1,0)</f>
        <v>0</v>
      </c>
      <c r="P488" s="205">
        <v>0</v>
      </c>
      <c r="Q488" s="205">
        <f t="shared" ca="1" si="201"/>
        <v>0</v>
      </c>
      <c r="R488" s="205">
        <f ca="1">+IF(ISERROR(OFFSET(Tabella!$G$1,MATCH(J488,Tabella!$G:$G,0)-1,MATCH(K488,Tabella!$G$1:$FG$1,0)-1)=TRUE),0,OFFSET(Tabella!$G$1,MATCH(J488,Tabella!$G:$G,0)-1,MATCH(K488,Tabella!$G$1:$AB$1,0)-1))</f>
        <v>0</v>
      </c>
      <c r="S488" s="205">
        <f ca="1">IF(ISERROR(OFFSET(Ottone!$F$1,MATCH(J488,Ottone!$A:$A,0)-1,MATCH(K488,Ottone!$F$1:$FF$1,0)-1)=TRUE),0,OFFSET(Ottone!$F$1,MATCH(J488,Ottone!$A:$A,0)-1,MATCH(K488,Ottone!$F$1:$FF$1,0)-1))*IF(G488="Ottone",1,0)</f>
        <v>0</v>
      </c>
      <c r="T488" s="205">
        <f ca="1">IF(ISERROR(OFFSET(Rame!$F$1,MATCH(J488,Rame!$F:$F,0)-1,MATCH(K488,Rame!$F$1:$FF$1,0)-1)=TRUE),0,OFFSET(Rame!$F$1,MATCH(J488,Rame!$F:$F,0)-1,MATCH(K488,Rame!$F$1:$FF$1,0)-1))*IF(G488="Rame",1,0)</f>
        <v>0</v>
      </c>
      <c r="U488" s="205">
        <f ca="1">IF(ISERROR(OFFSET(Bronzo!$A$1,MATCH(J488,Bronzo!$A:$A,0)-1,MATCH(K488,Bronzo!$A$1:$AA$1,0)-1)=TRUE),0,OFFSET(Bronzo!$A$1,MATCH(J488,Bronzo!$A:$A,0)-1,MATCH(K488,Bronzo!$A$1:$AA$1,0)-1))</f>
        <v>0</v>
      </c>
      <c r="V488" s="205">
        <f t="shared" ca="1" si="202"/>
        <v>0</v>
      </c>
      <c r="W488" s="204"/>
      <c r="X488" s="205">
        <v>0</v>
      </c>
      <c r="Y488" s="206">
        <f t="shared" ca="1" si="203"/>
        <v>0</v>
      </c>
      <c r="Z488" s="277">
        <f t="shared" si="204"/>
        <v>0</v>
      </c>
      <c r="AA488" s="203"/>
      <c r="AB488" s="203">
        <f t="shared" ca="1" si="205"/>
        <v>0</v>
      </c>
      <c r="AC488" s="238"/>
      <c r="AI488" s="367">
        <f t="shared" ca="1" si="200"/>
        <v>46092</v>
      </c>
      <c r="AJ488" s="367" t="b">
        <f t="shared" si="206"/>
        <v>1</v>
      </c>
      <c r="AK488" s="370" t="str">
        <f t="shared" si="207"/>
        <v/>
      </c>
      <c r="AN488">
        <f t="shared" si="208"/>
        <v>0</v>
      </c>
      <c r="AO488">
        <f t="shared" si="209"/>
        <v>1900</v>
      </c>
      <c r="AV488">
        <f t="shared" si="210"/>
        <v>0</v>
      </c>
      <c r="AW488">
        <f t="shared" si="211"/>
        <v>0</v>
      </c>
    </row>
    <row r="489" spans="4:49" ht="15.75" x14ac:dyDescent="0.25">
      <c r="D489" s="199"/>
      <c r="E489" s="200"/>
      <c r="F489" s="287"/>
      <c r="G489" s="201"/>
      <c r="H489" s="219"/>
      <c r="I489" s="202"/>
      <c r="J489" s="200"/>
      <c r="K489" s="200"/>
      <c r="L489" s="203"/>
      <c r="M489" s="204">
        <f ca="1">IF(ISERROR(OFFSET(Tabella!$A$1,MATCH(J489,Tabella!$A:$A,0)-1,MATCH(L489,Tabella!$A$1:$AC$1,0)-1)=TRUE),0,+OFFSET(Tabella!$A$1,MATCH(J489,Tabella!$A:$A,0)-1,MATCH(L489,Tabella!$A$1:$AC$1,0)-1))</f>
        <v>0</v>
      </c>
      <c r="N489" s="205">
        <f ca="1">IF(ISERROR(OFFSET(Ottone!$A$1,MATCH(J489,Ottone!$A:$A,0)-1,MATCH(L489,Ottone!$A$1:$Z$1,0)-1)=TRUE),0,OFFSET(Ottone!$A$1,MATCH(J489,Ottone!$A:$A,0)-1,MATCH(L489,Ottone!$A$1:$Z$1,0)-1))*IF(G489="Ottone",1,0)</f>
        <v>0</v>
      </c>
      <c r="O489" s="205">
        <f ca="1">IF(ISERROR(OFFSET(Rame!$A$1,MATCH(J489,Rame!$A:$A,0)-1,MATCH(L489,Rame!$A$1:$AA$1,0)-1)=TRUE),0,OFFSET(Rame!$A$1,MATCH(J489,Rame!$A:$A,0)-1,MATCH(L489,Rame!$A$1:$AA$1,0)-1))*IF(G489="Rame",1,0)</f>
        <v>0</v>
      </c>
      <c r="P489" s="205">
        <v>0</v>
      </c>
      <c r="Q489" s="205">
        <f t="shared" ca="1" si="201"/>
        <v>0</v>
      </c>
      <c r="R489" s="205">
        <f ca="1">+IF(ISERROR(OFFSET(Tabella!$G$1,MATCH(J489,Tabella!$G:$G,0)-1,MATCH(K489,Tabella!$G$1:$FG$1,0)-1)=TRUE),0,OFFSET(Tabella!$G$1,MATCH(J489,Tabella!$G:$G,0)-1,MATCH(K489,Tabella!$G$1:$AB$1,0)-1))</f>
        <v>0</v>
      </c>
      <c r="S489" s="205">
        <f ca="1">IF(ISERROR(OFFSET(Ottone!$F$1,MATCH(J489,Ottone!$A:$A,0)-1,MATCH(K489,Ottone!$F$1:$FF$1,0)-1)=TRUE),0,OFFSET(Ottone!$F$1,MATCH(J489,Ottone!$A:$A,0)-1,MATCH(K489,Ottone!$F$1:$FF$1,0)-1))*IF(G489="Ottone",1,0)</f>
        <v>0</v>
      </c>
      <c r="T489" s="205">
        <f ca="1">IF(ISERROR(OFFSET(Rame!$F$1,MATCH(J489,Rame!$F:$F,0)-1,MATCH(K489,Rame!$F$1:$FF$1,0)-1)=TRUE),0,OFFSET(Rame!$F$1,MATCH(J489,Rame!$F:$F,0)-1,MATCH(K489,Rame!$F$1:$FF$1,0)-1))*IF(G489="Rame",1,0)</f>
        <v>0</v>
      </c>
      <c r="U489" s="205">
        <f ca="1">IF(ISERROR(OFFSET(Bronzo!$A$1,MATCH(J489,Bronzo!$A:$A,0)-1,MATCH(K489,Bronzo!$A$1:$AA$1,0)-1)=TRUE),0,OFFSET(Bronzo!$A$1,MATCH(J489,Bronzo!$A:$A,0)-1,MATCH(K489,Bronzo!$A$1:$AA$1,0)-1))</f>
        <v>0</v>
      </c>
      <c r="V489" s="205">
        <f t="shared" ca="1" si="202"/>
        <v>0</v>
      </c>
      <c r="W489" s="204"/>
      <c r="X489" s="205">
        <v>0</v>
      </c>
      <c r="Y489" s="206">
        <f t="shared" ca="1" si="203"/>
        <v>0</v>
      </c>
      <c r="Z489" s="277">
        <f t="shared" si="204"/>
        <v>0</v>
      </c>
      <c r="AA489" s="203"/>
      <c r="AB489" s="203">
        <f t="shared" ca="1" si="205"/>
        <v>0</v>
      </c>
      <c r="AC489" s="238"/>
      <c r="AI489" s="367">
        <f t="shared" ca="1" si="200"/>
        <v>46092</v>
      </c>
      <c r="AJ489" s="367" t="b">
        <f t="shared" si="206"/>
        <v>1</v>
      </c>
      <c r="AK489" s="370" t="str">
        <f t="shared" si="207"/>
        <v/>
      </c>
      <c r="AN489">
        <f t="shared" si="208"/>
        <v>0</v>
      </c>
      <c r="AO489">
        <f t="shared" si="209"/>
        <v>1900</v>
      </c>
      <c r="AV489">
        <f t="shared" si="210"/>
        <v>0</v>
      </c>
      <c r="AW489">
        <f t="shared" si="211"/>
        <v>0</v>
      </c>
    </row>
    <row r="490" spans="4:49" ht="15.75" x14ac:dyDescent="0.25">
      <c r="D490" s="199"/>
      <c r="E490" s="200"/>
      <c r="F490" s="287"/>
      <c r="G490" s="201"/>
      <c r="H490" s="219"/>
      <c r="I490" s="202"/>
      <c r="J490" s="200"/>
      <c r="K490" s="200"/>
      <c r="L490" s="203"/>
      <c r="M490" s="204">
        <f ca="1">IF(ISERROR(OFFSET(Tabella!$A$1,MATCH(J490,Tabella!$A:$A,0)-1,MATCH(L490,Tabella!$A$1:$AC$1,0)-1)=TRUE),0,+OFFSET(Tabella!$A$1,MATCH(J490,Tabella!$A:$A,0)-1,MATCH(L490,Tabella!$A$1:$AC$1,0)-1))</f>
        <v>0</v>
      </c>
      <c r="N490" s="205">
        <f ca="1">IF(ISERROR(OFFSET(Ottone!$A$1,MATCH(J490,Ottone!$A:$A,0)-1,MATCH(L490,Ottone!$A$1:$Z$1,0)-1)=TRUE),0,OFFSET(Ottone!$A$1,MATCH(J490,Ottone!$A:$A,0)-1,MATCH(L490,Ottone!$A$1:$Z$1,0)-1))*IF(G490="Ottone",1,0)</f>
        <v>0</v>
      </c>
      <c r="O490" s="205">
        <f ca="1">IF(ISERROR(OFFSET(Rame!$A$1,MATCH(J490,Rame!$A:$A,0)-1,MATCH(L490,Rame!$A$1:$AA$1,0)-1)=TRUE),0,OFFSET(Rame!$A$1,MATCH(J490,Rame!$A:$A,0)-1,MATCH(L490,Rame!$A$1:$AA$1,0)-1))*IF(G490="Rame",1,0)</f>
        <v>0</v>
      </c>
      <c r="P490" s="205">
        <v>0</v>
      </c>
      <c r="Q490" s="205">
        <f t="shared" ca="1" si="201"/>
        <v>0</v>
      </c>
      <c r="R490" s="205">
        <f ca="1">+IF(ISERROR(OFFSET(Tabella!$G$1,MATCH(J490,Tabella!$G:$G,0)-1,MATCH(K490,Tabella!$G$1:$FG$1,0)-1)=TRUE),0,OFFSET(Tabella!$G$1,MATCH(J490,Tabella!$G:$G,0)-1,MATCH(K490,Tabella!$G$1:$AB$1,0)-1))</f>
        <v>0</v>
      </c>
      <c r="S490" s="205">
        <f ca="1">IF(ISERROR(OFFSET(Ottone!$F$1,MATCH(J490,Ottone!$A:$A,0)-1,MATCH(K490,Ottone!$F$1:$FF$1,0)-1)=TRUE),0,OFFSET(Ottone!$F$1,MATCH(J490,Ottone!$A:$A,0)-1,MATCH(K490,Ottone!$F$1:$FF$1,0)-1))*IF(G490="Ottone",1,0)</f>
        <v>0</v>
      </c>
      <c r="T490" s="205">
        <f ca="1">IF(ISERROR(OFFSET(Rame!$F$1,MATCH(J490,Rame!$F:$F,0)-1,MATCH(K490,Rame!$F$1:$FF$1,0)-1)=TRUE),0,OFFSET(Rame!$F$1,MATCH(J490,Rame!$F:$F,0)-1,MATCH(K490,Rame!$F$1:$FF$1,0)-1))*IF(G490="Rame",1,0)</f>
        <v>0</v>
      </c>
      <c r="U490" s="205">
        <f ca="1">IF(ISERROR(OFFSET(Bronzo!$A$1,MATCH(J490,Bronzo!$A:$A,0)-1,MATCH(K490,Bronzo!$A$1:$AA$1,0)-1)=TRUE),0,OFFSET(Bronzo!$A$1,MATCH(J490,Bronzo!$A:$A,0)-1,MATCH(K490,Bronzo!$A$1:$AA$1,0)-1))</f>
        <v>0</v>
      </c>
      <c r="V490" s="205">
        <f t="shared" ca="1" si="202"/>
        <v>0</v>
      </c>
      <c r="W490" s="204"/>
      <c r="X490" s="205">
        <v>0</v>
      </c>
      <c r="Y490" s="206">
        <f t="shared" ca="1" si="203"/>
        <v>0</v>
      </c>
      <c r="Z490" s="277">
        <f t="shared" si="204"/>
        <v>0</v>
      </c>
      <c r="AA490" s="203"/>
      <c r="AB490" s="203">
        <f t="shared" ca="1" si="205"/>
        <v>0</v>
      </c>
      <c r="AC490" s="238"/>
      <c r="AI490" s="367">
        <f t="shared" ca="1" si="200"/>
        <v>46092</v>
      </c>
      <c r="AJ490" s="367" t="b">
        <f t="shared" si="206"/>
        <v>1</v>
      </c>
      <c r="AK490" s="370" t="str">
        <f t="shared" si="207"/>
        <v/>
      </c>
      <c r="AN490">
        <f t="shared" si="208"/>
        <v>0</v>
      </c>
      <c r="AO490">
        <f t="shared" si="209"/>
        <v>1900</v>
      </c>
      <c r="AV490">
        <f t="shared" si="210"/>
        <v>0</v>
      </c>
      <c r="AW490">
        <f t="shared" si="211"/>
        <v>0</v>
      </c>
    </row>
    <row r="491" spans="4:49" ht="15.75" x14ac:dyDescent="0.25">
      <c r="D491" s="199"/>
      <c r="E491" s="200"/>
      <c r="F491" s="287"/>
      <c r="G491" s="201"/>
      <c r="H491" s="219"/>
      <c r="I491" s="202"/>
      <c r="J491" s="200"/>
      <c r="K491" s="200"/>
      <c r="L491" s="203"/>
      <c r="M491" s="204">
        <f ca="1">IF(ISERROR(OFFSET(Tabella!$A$1,MATCH(J491,Tabella!$A:$A,0)-1,MATCH(L491,Tabella!$A$1:$AC$1,0)-1)=TRUE),0,+OFFSET(Tabella!$A$1,MATCH(J491,Tabella!$A:$A,0)-1,MATCH(L491,Tabella!$A$1:$AC$1,0)-1))</f>
        <v>0</v>
      </c>
      <c r="N491" s="205">
        <f ca="1">IF(ISERROR(OFFSET(Ottone!$A$1,MATCH(J491,Ottone!$A:$A,0)-1,MATCH(L491,Ottone!$A$1:$Z$1,0)-1)=TRUE),0,OFFSET(Ottone!$A$1,MATCH(J491,Ottone!$A:$A,0)-1,MATCH(L491,Ottone!$A$1:$Z$1,0)-1))*IF(G491="Ottone",1,0)</f>
        <v>0</v>
      </c>
      <c r="O491" s="205">
        <f ca="1">IF(ISERROR(OFFSET(Rame!$A$1,MATCH(J491,Rame!$A:$A,0)-1,MATCH(L491,Rame!$A$1:$AA$1,0)-1)=TRUE),0,OFFSET(Rame!$A$1,MATCH(J491,Rame!$A:$A,0)-1,MATCH(L491,Rame!$A$1:$AA$1,0)-1))*IF(G491="Rame",1,0)</f>
        <v>0</v>
      </c>
      <c r="P491" s="205">
        <v>0</v>
      </c>
      <c r="Q491" s="205">
        <f t="shared" ca="1" si="201"/>
        <v>0</v>
      </c>
      <c r="R491" s="205">
        <f ca="1">+IF(ISERROR(OFFSET(Tabella!$G$1,MATCH(J491,Tabella!$G:$G,0)-1,MATCH(K491,Tabella!$G$1:$FG$1,0)-1)=TRUE),0,OFFSET(Tabella!$G$1,MATCH(J491,Tabella!$G:$G,0)-1,MATCH(K491,Tabella!$G$1:$AB$1,0)-1))</f>
        <v>0</v>
      </c>
      <c r="S491" s="205">
        <f ca="1">IF(ISERROR(OFFSET(Ottone!$F$1,MATCH(J491,Ottone!$A:$A,0)-1,MATCH(K491,Ottone!$F$1:$FF$1,0)-1)=TRUE),0,OFFSET(Ottone!$F$1,MATCH(J491,Ottone!$A:$A,0)-1,MATCH(K491,Ottone!$F$1:$FF$1,0)-1))*IF(G491="Ottone",1,0)</f>
        <v>0</v>
      </c>
      <c r="T491" s="205">
        <f ca="1">IF(ISERROR(OFFSET(Rame!$F$1,MATCH(J491,Rame!$F:$F,0)-1,MATCH(K491,Rame!$F$1:$FF$1,0)-1)=TRUE),0,OFFSET(Rame!$F$1,MATCH(J491,Rame!$F:$F,0)-1,MATCH(K491,Rame!$F$1:$FF$1,0)-1))*IF(G491="Rame",1,0)</f>
        <v>0</v>
      </c>
      <c r="U491" s="205">
        <f ca="1">IF(ISERROR(OFFSET(Bronzo!$A$1,MATCH(J491,Bronzo!$A:$A,0)-1,MATCH(K491,Bronzo!$A$1:$AA$1,0)-1)=TRUE),0,OFFSET(Bronzo!$A$1,MATCH(J491,Bronzo!$A:$A,0)-1,MATCH(K491,Bronzo!$A$1:$AA$1,0)-1))</f>
        <v>0</v>
      </c>
      <c r="V491" s="205">
        <f t="shared" ca="1" si="202"/>
        <v>0</v>
      </c>
      <c r="W491" s="204"/>
      <c r="X491" s="205">
        <v>0</v>
      </c>
      <c r="Y491" s="206">
        <f t="shared" ca="1" si="203"/>
        <v>0</v>
      </c>
      <c r="Z491" s="277">
        <f t="shared" si="204"/>
        <v>0</v>
      </c>
      <c r="AA491" s="203"/>
      <c r="AB491" s="203">
        <f t="shared" ca="1" si="205"/>
        <v>0</v>
      </c>
      <c r="AC491" s="238"/>
      <c r="AI491" s="367">
        <f t="shared" ca="1" si="200"/>
        <v>46092</v>
      </c>
      <c r="AJ491" s="367" t="b">
        <f t="shared" si="206"/>
        <v>1</v>
      </c>
      <c r="AK491" s="370" t="str">
        <f t="shared" si="207"/>
        <v/>
      </c>
      <c r="AN491">
        <f t="shared" si="208"/>
        <v>0</v>
      </c>
      <c r="AO491">
        <f t="shared" si="209"/>
        <v>1900</v>
      </c>
      <c r="AV491">
        <f t="shared" si="210"/>
        <v>0</v>
      </c>
      <c r="AW491">
        <f t="shared" si="211"/>
        <v>0</v>
      </c>
    </row>
    <row r="492" spans="4:49" ht="15.75" x14ac:dyDescent="0.25">
      <c r="D492" s="199"/>
      <c r="E492" s="200"/>
      <c r="F492" s="287"/>
      <c r="G492" s="201"/>
      <c r="H492" s="219"/>
      <c r="I492" s="202"/>
      <c r="J492" s="200"/>
      <c r="K492" s="200"/>
      <c r="L492" s="203"/>
      <c r="M492" s="204">
        <f ca="1">IF(ISERROR(OFFSET(Tabella!$A$1,MATCH(J492,Tabella!$A:$A,0)-1,MATCH(L492,Tabella!$A$1:$AC$1,0)-1)=TRUE),0,+OFFSET(Tabella!$A$1,MATCH(J492,Tabella!$A:$A,0)-1,MATCH(L492,Tabella!$A$1:$AC$1,0)-1))</f>
        <v>0</v>
      </c>
      <c r="N492" s="205">
        <f ca="1">IF(ISERROR(OFFSET(Ottone!$A$1,MATCH(J492,Ottone!$A:$A,0)-1,MATCH(L492,Ottone!$A$1:$Z$1,0)-1)=TRUE),0,OFFSET(Ottone!$A$1,MATCH(J492,Ottone!$A:$A,0)-1,MATCH(L492,Ottone!$A$1:$Z$1,0)-1))*IF(G492="Ottone",1,0)</f>
        <v>0</v>
      </c>
      <c r="O492" s="205">
        <f ca="1">IF(ISERROR(OFFSET(Rame!$A$1,MATCH(J492,Rame!$A:$A,0)-1,MATCH(L492,Rame!$A$1:$AA$1,0)-1)=TRUE),0,OFFSET(Rame!$A$1,MATCH(J492,Rame!$A:$A,0)-1,MATCH(L492,Rame!$A$1:$AA$1,0)-1))*IF(G492="Rame",1,0)</f>
        <v>0</v>
      </c>
      <c r="P492" s="205">
        <v>0</v>
      </c>
      <c r="Q492" s="205">
        <f t="shared" ca="1" si="201"/>
        <v>0</v>
      </c>
      <c r="R492" s="205">
        <f ca="1">+IF(ISERROR(OFFSET(Tabella!$G$1,MATCH(J492,Tabella!$G:$G,0)-1,MATCH(K492,Tabella!$G$1:$FG$1,0)-1)=TRUE),0,OFFSET(Tabella!$G$1,MATCH(J492,Tabella!$G:$G,0)-1,MATCH(K492,Tabella!$G$1:$AB$1,0)-1))</f>
        <v>0</v>
      </c>
      <c r="S492" s="205">
        <f ca="1">IF(ISERROR(OFFSET(Ottone!$F$1,MATCH(J492,Ottone!$A:$A,0)-1,MATCH(K492,Ottone!$F$1:$FF$1,0)-1)=TRUE),0,OFFSET(Ottone!$F$1,MATCH(J492,Ottone!$A:$A,0)-1,MATCH(K492,Ottone!$F$1:$FF$1,0)-1))*IF(G492="Ottone",1,0)</f>
        <v>0</v>
      </c>
      <c r="T492" s="205">
        <f ca="1">IF(ISERROR(OFFSET(Rame!$F$1,MATCH(J492,Rame!$F:$F,0)-1,MATCH(K492,Rame!$F$1:$FF$1,0)-1)=TRUE),0,OFFSET(Rame!$F$1,MATCH(J492,Rame!$F:$F,0)-1,MATCH(K492,Rame!$F$1:$FF$1,0)-1))*IF(G492="Rame",1,0)</f>
        <v>0</v>
      </c>
      <c r="U492" s="205">
        <f ca="1">IF(ISERROR(OFFSET(Bronzo!$A$1,MATCH(J492,Bronzo!$A:$A,0)-1,MATCH(K492,Bronzo!$A$1:$AA$1,0)-1)=TRUE),0,OFFSET(Bronzo!$A$1,MATCH(J492,Bronzo!$A:$A,0)-1,MATCH(K492,Bronzo!$A$1:$AA$1,0)-1))</f>
        <v>0</v>
      </c>
      <c r="V492" s="205">
        <f t="shared" ca="1" si="202"/>
        <v>0</v>
      </c>
      <c r="W492" s="204"/>
      <c r="X492" s="205">
        <v>0</v>
      </c>
      <c r="Y492" s="206">
        <f t="shared" ca="1" si="203"/>
        <v>0</v>
      </c>
      <c r="Z492" s="277">
        <f t="shared" si="204"/>
        <v>0</v>
      </c>
      <c r="AA492" s="203"/>
      <c r="AB492" s="203">
        <f t="shared" ca="1" si="205"/>
        <v>0</v>
      </c>
      <c r="AC492" s="238"/>
      <c r="AI492" s="367">
        <f t="shared" ca="1" si="200"/>
        <v>46092</v>
      </c>
      <c r="AJ492" s="367" t="b">
        <f t="shared" si="206"/>
        <v>1</v>
      </c>
      <c r="AK492" s="370" t="str">
        <f t="shared" si="207"/>
        <v/>
      </c>
      <c r="AN492">
        <f t="shared" si="208"/>
        <v>0</v>
      </c>
      <c r="AO492">
        <f t="shared" si="209"/>
        <v>1900</v>
      </c>
      <c r="AV492">
        <f t="shared" si="210"/>
        <v>0</v>
      </c>
      <c r="AW492">
        <f t="shared" si="211"/>
        <v>0</v>
      </c>
    </row>
    <row r="493" spans="4:49" ht="15.75" x14ac:dyDescent="0.25">
      <c r="D493" s="199"/>
      <c r="E493" s="200"/>
      <c r="F493" s="287"/>
      <c r="G493" s="201"/>
      <c r="H493" s="219"/>
      <c r="I493" s="202"/>
      <c r="J493" s="200"/>
      <c r="K493" s="200"/>
      <c r="L493" s="203"/>
      <c r="M493" s="204">
        <f ca="1">IF(ISERROR(OFFSET(Tabella!$A$1,MATCH(J493,Tabella!$A:$A,0)-1,MATCH(L493,Tabella!$A$1:$AC$1,0)-1)=TRUE),0,+OFFSET(Tabella!$A$1,MATCH(J493,Tabella!$A:$A,0)-1,MATCH(L493,Tabella!$A$1:$AC$1,0)-1))</f>
        <v>0</v>
      </c>
      <c r="N493" s="205">
        <f ca="1">IF(ISERROR(OFFSET(Ottone!$A$1,MATCH(J493,Ottone!$A:$A,0)-1,MATCH(L493,Ottone!$A$1:$Z$1,0)-1)=TRUE),0,OFFSET(Ottone!$A$1,MATCH(J493,Ottone!$A:$A,0)-1,MATCH(L493,Ottone!$A$1:$Z$1,0)-1))*IF(G493="Ottone",1,0)</f>
        <v>0</v>
      </c>
      <c r="O493" s="205">
        <f ca="1">IF(ISERROR(OFFSET(Rame!$A$1,MATCH(J493,Rame!$A:$A,0)-1,MATCH(L493,Rame!$A$1:$AA$1,0)-1)=TRUE),0,OFFSET(Rame!$A$1,MATCH(J493,Rame!$A:$A,0)-1,MATCH(L493,Rame!$A$1:$AA$1,0)-1))*IF(G493="Rame",1,0)</f>
        <v>0</v>
      </c>
      <c r="P493" s="205">
        <v>0</v>
      </c>
      <c r="Q493" s="205">
        <f t="shared" ca="1" si="201"/>
        <v>0</v>
      </c>
      <c r="R493" s="205">
        <f ca="1">+IF(ISERROR(OFFSET(Tabella!$G$1,MATCH(J493,Tabella!$G:$G,0)-1,MATCH(K493,Tabella!$G$1:$FG$1,0)-1)=TRUE),0,OFFSET(Tabella!$G$1,MATCH(J493,Tabella!$G:$G,0)-1,MATCH(K493,Tabella!$G$1:$AB$1,0)-1))</f>
        <v>0</v>
      </c>
      <c r="S493" s="205">
        <f ca="1">IF(ISERROR(OFFSET(Ottone!$F$1,MATCH(J493,Ottone!$A:$A,0)-1,MATCH(K493,Ottone!$F$1:$FF$1,0)-1)=TRUE),0,OFFSET(Ottone!$F$1,MATCH(J493,Ottone!$A:$A,0)-1,MATCH(K493,Ottone!$F$1:$FF$1,0)-1))*IF(G493="Ottone",1,0)</f>
        <v>0</v>
      </c>
      <c r="T493" s="205">
        <f ca="1">IF(ISERROR(OFFSET(Rame!$F$1,MATCH(J493,Rame!$F:$F,0)-1,MATCH(K493,Rame!$F$1:$FF$1,0)-1)=TRUE),0,OFFSET(Rame!$F$1,MATCH(J493,Rame!$F:$F,0)-1,MATCH(K493,Rame!$F$1:$FF$1,0)-1))*IF(G493="Rame",1,0)</f>
        <v>0</v>
      </c>
      <c r="U493" s="205">
        <f ca="1">IF(ISERROR(OFFSET(Bronzo!$A$1,MATCH(J493,Bronzo!$A:$A,0)-1,MATCH(K493,Bronzo!$A$1:$AA$1,0)-1)=TRUE),0,OFFSET(Bronzo!$A$1,MATCH(J493,Bronzo!$A:$A,0)-1,MATCH(K493,Bronzo!$A$1:$AA$1,0)-1))</f>
        <v>0</v>
      </c>
      <c r="V493" s="205">
        <f t="shared" ca="1" si="202"/>
        <v>0</v>
      </c>
      <c r="W493" s="204"/>
      <c r="X493" s="205">
        <v>0</v>
      </c>
      <c r="Y493" s="206">
        <f t="shared" ca="1" si="203"/>
        <v>0</v>
      </c>
      <c r="Z493" s="277">
        <f t="shared" si="204"/>
        <v>0</v>
      </c>
      <c r="AA493" s="203"/>
      <c r="AB493" s="203">
        <f t="shared" ca="1" si="205"/>
        <v>0</v>
      </c>
      <c r="AC493" s="238"/>
      <c r="AI493" s="367">
        <f t="shared" ca="1" si="200"/>
        <v>46092</v>
      </c>
      <c r="AJ493" s="367" t="b">
        <f t="shared" si="206"/>
        <v>1</v>
      </c>
      <c r="AK493" s="370" t="str">
        <f t="shared" si="207"/>
        <v/>
      </c>
      <c r="AN493">
        <f t="shared" si="208"/>
        <v>0</v>
      </c>
      <c r="AO493">
        <f t="shared" si="209"/>
        <v>1900</v>
      </c>
      <c r="AV493">
        <f t="shared" si="210"/>
        <v>0</v>
      </c>
      <c r="AW493">
        <f t="shared" si="211"/>
        <v>0</v>
      </c>
    </row>
    <row r="494" spans="4:49" ht="15.75" x14ac:dyDescent="0.25">
      <c r="D494" s="199"/>
      <c r="E494" s="200"/>
      <c r="F494" s="287"/>
      <c r="G494" s="201"/>
      <c r="H494" s="219"/>
      <c r="I494" s="202"/>
      <c r="J494" s="200"/>
      <c r="K494" s="200"/>
      <c r="L494" s="203"/>
      <c r="M494" s="204">
        <f ca="1">IF(ISERROR(OFFSET(Tabella!$A$1,MATCH(J494,Tabella!$A:$A,0)-1,MATCH(L494,Tabella!$A$1:$AC$1,0)-1)=TRUE),0,+OFFSET(Tabella!$A$1,MATCH(J494,Tabella!$A:$A,0)-1,MATCH(L494,Tabella!$A$1:$AC$1,0)-1))</f>
        <v>0</v>
      </c>
      <c r="N494" s="205">
        <f ca="1">IF(ISERROR(OFFSET(Ottone!$A$1,MATCH(J494,Ottone!$A:$A,0)-1,MATCH(L494,Ottone!$A$1:$Z$1,0)-1)=TRUE),0,OFFSET(Ottone!$A$1,MATCH(J494,Ottone!$A:$A,0)-1,MATCH(L494,Ottone!$A$1:$Z$1,0)-1))*IF(G494="Ottone",1,0)</f>
        <v>0</v>
      </c>
      <c r="O494" s="205">
        <f ca="1">IF(ISERROR(OFFSET(Rame!$A$1,MATCH(J494,Rame!$A:$A,0)-1,MATCH(L494,Rame!$A$1:$AA$1,0)-1)=TRUE),0,OFFSET(Rame!$A$1,MATCH(J494,Rame!$A:$A,0)-1,MATCH(L494,Rame!$A$1:$AA$1,0)-1))*IF(G494="Rame",1,0)</f>
        <v>0</v>
      </c>
      <c r="P494" s="205">
        <v>0</v>
      </c>
      <c r="Q494" s="205">
        <f t="shared" ca="1" si="201"/>
        <v>0</v>
      </c>
      <c r="R494" s="205">
        <f ca="1">+IF(ISERROR(OFFSET(Tabella!$G$1,MATCH(J494,Tabella!$G:$G,0)-1,MATCH(K494,Tabella!$G$1:$FG$1,0)-1)=TRUE),0,OFFSET(Tabella!$G$1,MATCH(J494,Tabella!$G:$G,0)-1,MATCH(K494,Tabella!$G$1:$AB$1,0)-1))</f>
        <v>0</v>
      </c>
      <c r="S494" s="205">
        <f ca="1">IF(ISERROR(OFFSET(Ottone!$F$1,MATCH(J494,Ottone!$A:$A,0)-1,MATCH(K494,Ottone!$F$1:$FF$1,0)-1)=TRUE),0,OFFSET(Ottone!$F$1,MATCH(J494,Ottone!$A:$A,0)-1,MATCH(K494,Ottone!$F$1:$FF$1,0)-1))*IF(G494="Ottone",1,0)</f>
        <v>0</v>
      </c>
      <c r="T494" s="205">
        <f ca="1">IF(ISERROR(OFFSET(Rame!$F$1,MATCH(J494,Rame!$F:$F,0)-1,MATCH(K494,Rame!$F$1:$FF$1,0)-1)=TRUE),0,OFFSET(Rame!$F$1,MATCH(J494,Rame!$F:$F,0)-1,MATCH(K494,Rame!$F$1:$FF$1,0)-1))*IF(G494="Rame",1,0)</f>
        <v>0</v>
      </c>
      <c r="U494" s="205">
        <f ca="1">IF(ISERROR(OFFSET(Bronzo!$A$1,MATCH(J494,Bronzo!$A:$A,0)-1,MATCH(K494,Bronzo!$A$1:$AA$1,0)-1)=TRUE),0,OFFSET(Bronzo!$A$1,MATCH(J494,Bronzo!$A:$A,0)-1,MATCH(K494,Bronzo!$A$1:$AA$1,0)-1))</f>
        <v>0</v>
      </c>
      <c r="V494" s="205">
        <f t="shared" ca="1" si="202"/>
        <v>0</v>
      </c>
      <c r="W494" s="204"/>
      <c r="X494" s="205">
        <v>0</v>
      </c>
      <c r="Y494" s="206">
        <f t="shared" ca="1" si="203"/>
        <v>0</v>
      </c>
      <c r="Z494" s="277">
        <f t="shared" si="204"/>
        <v>0</v>
      </c>
      <c r="AA494" s="203"/>
      <c r="AB494" s="203">
        <f t="shared" ca="1" si="205"/>
        <v>0</v>
      </c>
      <c r="AC494" s="238"/>
      <c r="AI494" s="367">
        <f t="shared" ca="1" si="200"/>
        <v>46092</v>
      </c>
      <c r="AJ494" s="367" t="b">
        <f t="shared" si="206"/>
        <v>1</v>
      </c>
      <c r="AK494" s="370" t="str">
        <f t="shared" si="207"/>
        <v/>
      </c>
      <c r="AN494">
        <f t="shared" si="208"/>
        <v>0</v>
      </c>
      <c r="AO494">
        <f t="shared" si="209"/>
        <v>1900</v>
      </c>
      <c r="AV494">
        <f t="shared" si="210"/>
        <v>0</v>
      </c>
      <c r="AW494">
        <f t="shared" si="211"/>
        <v>0</v>
      </c>
    </row>
    <row r="495" spans="4:49" ht="15.75" x14ac:dyDescent="0.25">
      <c r="D495" s="199"/>
      <c r="E495" s="200"/>
      <c r="F495" s="287"/>
      <c r="G495" s="201"/>
      <c r="H495" s="219"/>
      <c r="I495" s="202"/>
      <c r="J495" s="200"/>
      <c r="K495" s="200"/>
      <c r="L495" s="203"/>
      <c r="M495" s="204">
        <f ca="1">IF(ISERROR(OFFSET(Tabella!$A$1,MATCH(J495,Tabella!$A:$A,0)-1,MATCH(L495,Tabella!$A$1:$AC$1,0)-1)=TRUE),0,+OFFSET(Tabella!$A$1,MATCH(J495,Tabella!$A:$A,0)-1,MATCH(L495,Tabella!$A$1:$AC$1,0)-1))</f>
        <v>0</v>
      </c>
      <c r="N495" s="205">
        <f ca="1">IF(ISERROR(OFFSET(Ottone!$A$1,MATCH(J495,Ottone!$A:$A,0)-1,MATCH(L495,Ottone!$A$1:$Z$1,0)-1)=TRUE),0,OFFSET(Ottone!$A$1,MATCH(J495,Ottone!$A:$A,0)-1,MATCH(L495,Ottone!$A$1:$Z$1,0)-1))*IF(G495="Ottone",1,0)</f>
        <v>0</v>
      </c>
      <c r="O495" s="205">
        <f ca="1">IF(ISERROR(OFFSET(Rame!$A$1,MATCH(J495,Rame!$A:$A,0)-1,MATCH(L495,Rame!$A$1:$AA$1,0)-1)=TRUE),0,OFFSET(Rame!$A$1,MATCH(J495,Rame!$A:$A,0)-1,MATCH(L495,Rame!$A$1:$AA$1,0)-1))*IF(G495="Rame",1,0)</f>
        <v>0</v>
      </c>
      <c r="P495" s="205">
        <v>0</v>
      </c>
      <c r="Q495" s="205">
        <f t="shared" ca="1" si="201"/>
        <v>0</v>
      </c>
      <c r="R495" s="205">
        <f ca="1">+IF(ISERROR(OFFSET(Tabella!$G$1,MATCH(J495,Tabella!$G:$G,0)-1,MATCH(K495,Tabella!$G$1:$FG$1,0)-1)=TRUE),0,OFFSET(Tabella!$G$1,MATCH(J495,Tabella!$G:$G,0)-1,MATCH(K495,Tabella!$G$1:$AB$1,0)-1))</f>
        <v>0</v>
      </c>
      <c r="S495" s="205">
        <f ca="1">IF(ISERROR(OFFSET(Ottone!$F$1,MATCH(J495,Ottone!$A:$A,0)-1,MATCH(K495,Ottone!$F$1:$FF$1,0)-1)=TRUE),0,OFFSET(Ottone!$F$1,MATCH(J495,Ottone!$A:$A,0)-1,MATCH(K495,Ottone!$F$1:$FF$1,0)-1))*IF(G495="Ottone",1,0)</f>
        <v>0</v>
      </c>
      <c r="T495" s="205">
        <f ca="1">IF(ISERROR(OFFSET(Rame!$F$1,MATCH(J495,Rame!$F:$F,0)-1,MATCH(K495,Rame!$F$1:$FF$1,0)-1)=TRUE),0,OFFSET(Rame!$F$1,MATCH(J495,Rame!$F:$F,0)-1,MATCH(K495,Rame!$F$1:$FF$1,0)-1))*IF(G495="Rame",1,0)</f>
        <v>0</v>
      </c>
      <c r="U495" s="205">
        <f ca="1">IF(ISERROR(OFFSET(Bronzo!$A$1,MATCH(J495,Bronzo!$A:$A,0)-1,MATCH(K495,Bronzo!$A$1:$AA$1,0)-1)=TRUE),0,OFFSET(Bronzo!$A$1,MATCH(J495,Bronzo!$A:$A,0)-1,MATCH(K495,Bronzo!$A$1:$AA$1,0)-1))</f>
        <v>0</v>
      </c>
      <c r="V495" s="205">
        <f t="shared" ca="1" si="202"/>
        <v>0</v>
      </c>
      <c r="W495" s="204"/>
      <c r="X495" s="205">
        <v>0</v>
      </c>
      <c r="Y495" s="206">
        <f t="shared" ca="1" si="203"/>
        <v>0</v>
      </c>
      <c r="Z495" s="277">
        <f t="shared" si="204"/>
        <v>0</v>
      </c>
      <c r="AA495" s="203"/>
      <c r="AB495" s="203">
        <f t="shared" ca="1" si="205"/>
        <v>0</v>
      </c>
      <c r="AC495" s="238"/>
      <c r="AI495" s="367">
        <f t="shared" ca="1" si="200"/>
        <v>46092</v>
      </c>
      <c r="AJ495" s="367" t="b">
        <f t="shared" si="206"/>
        <v>1</v>
      </c>
      <c r="AK495" s="370" t="str">
        <f t="shared" si="207"/>
        <v/>
      </c>
      <c r="AN495">
        <f t="shared" si="208"/>
        <v>0</v>
      </c>
      <c r="AO495">
        <f t="shared" si="209"/>
        <v>1900</v>
      </c>
      <c r="AV495">
        <f t="shared" si="210"/>
        <v>0</v>
      </c>
      <c r="AW495">
        <f t="shared" si="211"/>
        <v>0</v>
      </c>
    </row>
    <row r="496" spans="4:49" ht="15.75" x14ac:dyDescent="0.25">
      <c r="D496" s="199"/>
      <c r="E496" s="200"/>
      <c r="F496" s="287"/>
      <c r="G496" s="201"/>
      <c r="H496" s="219"/>
      <c r="I496" s="202"/>
      <c r="J496" s="200"/>
      <c r="K496" s="200"/>
      <c r="L496" s="203"/>
      <c r="M496" s="204">
        <f ca="1">IF(ISERROR(OFFSET(Tabella!$A$1,MATCH(J496,Tabella!$A:$A,0)-1,MATCH(L496,Tabella!$A$1:$AC$1,0)-1)=TRUE),0,+OFFSET(Tabella!$A$1,MATCH(J496,Tabella!$A:$A,0)-1,MATCH(L496,Tabella!$A$1:$AC$1,0)-1))</f>
        <v>0</v>
      </c>
      <c r="N496" s="205">
        <f ca="1">IF(ISERROR(OFFSET(Ottone!$A$1,MATCH(J496,Ottone!$A:$A,0)-1,MATCH(L496,Ottone!$A$1:$Z$1,0)-1)=TRUE),0,OFFSET(Ottone!$A$1,MATCH(J496,Ottone!$A:$A,0)-1,MATCH(L496,Ottone!$A$1:$Z$1,0)-1))*IF(G496="Ottone",1,0)</f>
        <v>0</v>
      </c>
      <c r="O496" s="205">
        <f ca="1">IF(ISERROR(OFFSET(Rame!$A$1,MATCH(J496,Rame!$A:$A,0)-1,MATCH(L496,Rame!$A$1:$AA$1,0)-1)=TRUE),0,OFFSET(Rame!$A$1,MATCH(J496,Rame!$A:$A,0)-1,MATCH(L496,Rame!$A$1:$AA$1,0)-1))*IF(G496="Rame",1,0)</f>
        <v>0</v>
      </c>
      <c r="P496" s="205">
        <v>0</v>
      </c>
      <c r="Q496" s="205">
        <f t="shared" ca="1" si="201"/>
        <v>0</v>
      </c>
      <c r="R496" s="205">
        <f ca="1">+IF(ISERROR(OFFSET(Tabella!$G$1,MATCH(J496,Tabella!$G:$G,0)-1,MATCH(K496,Tabella!$G$1:$FG$1,0)-1)=TRUE),0,OFFSET(Tabella!$G$1,MATCH(J496,Tabella!$G:$G,0)-1,MATCH(K496,Tabella!$G$1:$AB$1,0)-1))</f>
        <v>0</v>
      </c>
      <c r="S496" s="205">
        <f ca="1">IF(ISERROR(OFFSET(Ottone!$F$1,MATCH(J496,Ottone!$A:$A,0)-1,MATCH(K496,Ottone!$F$1:$FF$1,0)-1)=TRUE),0,OFFSET(Ottone!$F$1,MATCH(J496,Ottone!$A:$A,0)-1,MATCH(K496,Ottone!$F$1:$FF$1,0)-1))*IF(G496="Ottone",1,0)</f>
        <v>0</v>
      </c>
      <c r="T496" s="205">
        <f ca="1">IF(ISERROR(OFFSET(Rame!$F$1,MATCH(J496,Rame!$F:$F,0)-1,MATCH(K496,Rame!$F$1:$FF$1,0)-1)=TRUE),0,OFFSET(Rame!$F$1,MATCH(J496,Rame!$F:$F,0)-1,MATCH(K496,Rame!$F$1:$FF$1,0)-1))*IF(G496="Rame",1,0)</f>
        <v>0</v>
      </c>
      <c r="U496" s="205">
        <f ca="1">IF(ISERROR(OFFSET(Bronzo!$A$1,MATCH(J496,Bronzo!$A:$A,0)-1,MATCH(K496,Bronzo!$A$1:$AA$1,0)-1)=TRUE),0,OFFSET(Bronzo!$A$1,MATCH(J496,Bronzo!$A:$A,0)-1,MATCH(K496,Bronzo!$A$1:$AA$1,0)-1))</f>
        <v>0</v>
      </c>
      <c r="V496" s="205">
        <f t="shared" ca="1" si="202"/>
        <v>0</v>
      </c>
      <c r="W496" s="204"/>
      <c r="X496" s="205">
        <v>0</v>
      </c>
      <c r="Y496" s="206">
        <f t="shared" ca="1" si="203"/>
        <v>0</v>
      </c>
      <c r="Z496" s="277">
        <f t="shared" si="204"/>
        <v>0</v>
      </c>
      <c r="AA496" s="203"/>
      <c r="AB496" s="203">
        <f t="shared" ca="1" si="205"/>
        <v>0</v>
      </c>
      <c r="AC496" s="238"/>
      <c r="AI496" s="367">
        <f t="shared" ca="1" si="200"/>
        <v>46092</v>
      </c>
      <c r="AJ496" s="367" t="b">
        <f t="shared" si="206"/>
        <v>1</v>
      </c>
      <c r="AK496" s="370" t="str">
        <f t="shared" si="207"/>
        <v/>
      </c>
      <c r="AN496">
        <f t="shared" si="208"/>
        <v>0</v>
      </c>
      <c r="AO496">
        <f t="shared" si="209"/>
        <v>1900</v>
      </c>
      <c r="AV496">
        <f t="shared" si="210"/>
        <v>0</v>
      </c>
      <c r="AW496">
        <f t="shared" si="211"/>
        <v>0</v>
      </c>
    </row>
    <row r="497" spans="4:49" ht="15.75" x14ac:dyDescent="0.25">
      <c r="D497" s="199"/>
      <c r="E497" s="200"/>
      <c r="F497" s="287"/>
      <c r="G497" s="201"/>
      <c r="H497" s="219"/>
      <c r="I497" s="202"/>
      <c r="J497" s="200"/>
      <c r="K497" s="200"/>
      <c r="L497" s="203"/>
      <c r="M497" s="204">
        <f ca="1">IF(ISERROR(OFFSET(Tabella!$A$1,MATCH(J497,Tabella!$A:$A,0)-1,MATCH(L497,Tabella!$A$1:$AC$1,0)-1)=TRUE),0,+OFFSET(Tabella!$A$1,MATCH(J497,Tabella!$A:$A,0)-1,MATCH(L497,Tabella!$A$1:$AC$1,0)-1))</f>
        <v>0</v>
      </c>
      <c r="N497" s="205">
        <f ca="1">IF(ISERROR(OFFSET(Ottone!$A$1,MATCH(J497,Ottone!$A:$A,0)-1,MATCH(L497,Ottone!$A$1:$Z$1,0)-1)=TRUE),0,OFFSET(Ottone!$A$1,MATCH(J497,Ottone!$A:$A,0)-1,MATCH(L497,Ottone!$A$1:$Z$1,0)-1))*IF(G497="Ottone",1,0)</f>
        <v>0</v>
      </c>
      <c r="O497" s="205">
        <f ca="1">IF(ISERROR(OFFSET(Rame!$A$1,MATCH(J497,Rame!$A:$A,0)-1,MATCH(L497,Rame!$A$1:$AA$1,0)-1)=TRUE),0,OFFSET(Rame!$A$1,MATCH(J497,Rame!$A:$A,0)-1,MATCH(L497,Rame!$A$1:$AA$1,0)-1))*IF(G497="Rame",1,0)</f>
        <v>0</v>
      </c>
      <c r="P497" s="205">
        <v>0</v>
      </c>
      <c r="Q497" s="205">
        <f t="shared" ca="1" si="201"/>
        <v>0</v>
      </c>
      <c r="R497" s="205">
        <f ca="1">+IF(ISERROR(OFFSET(Tabella!$G$1,MATCH(J497,Tabella!$G:$G,0)-1,MATCH(K497,Tabella!$G$1:$FG$1,0)-1)=TRUE),0,OFFSET(Tabella!$G$1,MATCH(J497,Tabella!$G:$G,0)-1,MATCH(K497,Tabella!$G$1:$AB$1,0)-1))</f>
        <v>0</v>
      </c>
      <c r="S497" s="205">
        <f ca="1">IF(ISERROR(OFFSET(Ottone!$F$1,MATCH(J497,Ottone!$A:$A,0)-1,MATCH(K497,Ottone!$F$1:$FF$1,0)-1)=TRUE),0,OFFSET(Ottone!$F$1,MATCH(J497,Ottone!$A:$A,0)-1,MATCH(K497,Ottone!$F$1:$FF$1,0)-1))*IF(G497="Ottone",1,0)</f>
        <v>0</v>
      </c>
      <c r="T497" s="205">
        <f ca="1">IF(ISERROR(OFFSET(Rame!$F$1,MATCH(J497,Rame!$F:$F,0)-1,MATCH(K497,Rame!$F$1:$FF$1,0)-1)=TRUE),0,OFFSET(Rame!$F$1,MATCH(J497,Rame!$F:$F,0)-1,MATCH(K497,Rame!$F$1:$FF$1,0)-1))*IF(G497="Rame",1,0)</f>
        <v>0</v>
      </c>
      <c r="U497" s="205">
        <f ca="1">IF(ISERROR(OFFSET(Bronzo!$A$1,MATCH(J497,Bronzo!$A:$A,0)-1,MATCH(K497,Bronzo!$A$1:$AA$1,0)-1)=TRUE),0,OFFSET(Bronzo!$A$1,MATCH(J497,Bronzo!$A:$A,0)-1,MATCH(K497,Bronzo!$A$1:$AA$1,0)-1))</f>
        <v>0</v>
      </c>
      <c r="V497" s="205">
        <f t="shared" ca="1" si="202"/>
        <v>0</v>
      </c>
      <c r="W497" s="204"/>
      <c r="X497" s="205">
        <v>0</v>
      </c>
      <c r="Y497" s="206">
        <f t="shared" ca="1" si="203"/>
        <v>0</v>
      </c>
      <c r="Z497" s="277">
        <f t="shared" si="204"/>
        <v>0</v>
      </c>
      <c r="AA497" s="203"/>
      <c r="AB497" s="203">
        <f t="shared" ca="1" si="205"/>
        <v>0</v>
      </c>
      <c r="AC497" s="238"/>
      <c r="AI497" s="367">
        <f t="shared" ca="1" si="200"/>
        <v>46092</v>
      </c>
      <c r="AJ497" s="367" t="b">
        <f t="shared" si="206"/>
        <v>1</v>
      </c>
      <c r="AK497" s="370" t="str">
        <f t="shared" si="207"/>
        <v/>
      </c>
      <c r="AN497">
        <f t="shared" si="208"/>
        <v>0</v>
      </c>
      <c r="AO497">
        <f t="shared" si="209"/>
        <v>1900</v>
      </c>
      <c r="AV497">
        <f t="shared" si="210"/>
        <v>0</v>
      </c>
      <c r="AW497">
        <f t="shared" si="211"/>
        <v>0</v>
      </c>
    </row>
    <row r="498" spans="4:49" ht="15.75" x14ac:dyDescent="0.25">
      <c r="D498" s="199"/>
      <c r="E498" s="200"/>
      <c r="F498" s="287"/>
      <c r="G498" s="201"/>
      <c r="H498" s="219"/>
      <c r="I498" s="202"/>
      <c r="J498" s="200"/>
      <c r="K498" s="200"/>
      <c r="L498" s="203"/>
      <c r="M498" s="204">
        <f ca="1">IF(ISERROR(OFFSET(Tabella!$A$1,MATCH(J498,Tabella!$A:$A,0)-1,MATCH(L498,Tabella!$A$1:$AC$1,0)-1)=TRUE),0,+OFFSET(Tabella!$A$1,MATCH(J498,Tabella!$A:$A,0)-1,MATCH(L498,Tabella!$A$1:$AC$1,0)-1))</f>
        <v>0</v>
      </c>
      <c r="N498" s="205">
        <f ca="1">IF(ISERROR(OFFSET(Ottone!$A$1,MATCH(J498,Ottone!$A:$A,0)-1,MATCH(L498,Ottone!$A$1:$Z$1,0)-1)=TRUE),0,OFFSET(Ottone!$A$1,MATCH(J498,Ottone!$A:$A,0)-1,MATCH(L498,Ottone!$A$1:$Z$1,0)-1))*IF(G498="Ottone",1,0)</f>
        <v>0</v>
      </c>
      <c r="O498" s="205">
        <f ca="1">IF(ISERROR(OFFSET(Rame!$A$1,MATCH(J498,Rame!$A:$A,0)-1,MATCH(L498,Rame!$A$1:$AA$1,0)-1)=TRUE),0,OFFSET(Rame!$A$1,MATCH(J498,Rame!$A:$A,0)-1,MATCH(L498,Rame!$A$1:$AA$1,0)-1))*IF(G498="Rame",1,0)</f>
        <v>0</v>
      </c>
      <c r="P498" s="205">
        <v>0</v>
      </c>
      <c r="Q498" s="205">
        <f t="shared" ca="1" si="201"/>
        <v>0</v>
      </c>
      <c r="R498" s="205">
        <f ca="1">+IF(ISERROR(OFFSET(Tabella!$G$1,MATCH(J498,Tabella!$G:$G,0)-1,MATCH(K498,Tabella!$G$1:$FG$1,0)-1)=TRUE),0,OFFSET(Tabella!$G$1,MATCH(J498,Tabella!$G:$G,0)-1,MATCH(K498,Tabella!$G$1:$AB$1,0)-1))</f>
        <v>0</v>
      </c>
      <c r="S498" s="205">
        <f ca="1">IF(ISERROR(OFFSET(Ottone!$F$1,MATCH(J498,Ottone!$A:$A,0)-1,MATCH(K498,Ottone!$F$1:$FF$1,0)-1)=TRUE),0,OFFSET(Ottone!$F$1,MATCH(J498,Ottone!$A:$A,0)-1,MATCH(K498,Ottone!$F$1:$FF$1,0)-1))*IF(G498="Ottone",1,0)</f>
        <v>0</v>
      </c>
      <c r="T498" s="205">
        <f ca="1">IF(ISERROR(OFFSET(Rame!$F$1,MATCH(J498,Rame!$F:$F,0)-1,MATCH(K498,Rame!$F$1:$FF$1,0)-1)=TRUE),0,OFFSET(Rame!$F$1,MATCH(J498,Rame!$F:$F,0)-1,MATCH(K498,Rame!$F$1:$FF$1,0)-1))*IF(G498="Rame",1,0)</f>
        <v>0</v>
      </c>
      <c r="U498" s="205">
        <f ca="1">IF(ISERROR(OFFSET(Bronzo!$A$1,MATCH(J498,Bronzo!$A:$A,0)-1,MATCH(K498,Bronzo!$A$1:$AA$1,0)-1)=TRUE),0,OFFSET(Bronzo!$A$1,MATCH(J498,Bronzo!$A:$A,0)-1,MATCH(K498,Bronzo!$A$1:$AA$1,0)-1))</f>
        <v>0</v>
      </c>
      <c r="V498" s="205">
        <f t="shared" ca="1" si="202"/>
        <v>0</v>
      </c>
      <c r="W498" s="204"/>
      <c r="X498" s="205">
        <v>0</v>
      </c>
      <c r="Y498" s="206">
        <f t="shared" ca="1" si="203"/>
        <v>0</v>
      </c>
      <c r="Z498" s="277">
        <f t="shared" si="204"/>
        <v>0</v>
      </c>
      <c r="AA498" s="203"/>
      <c r="AB498" s="203">
        <f t="shared" ca="1" si="205"/>
        <v>0</v>
      </c>
      <c r="AC498" s="238"/>
      <c r="AI498" s="367">
        <f t="shared" ca="1" si="200"/>
        <v>46092</v>
      </c>
      <c r="AJ498" s="367" t="b">
        <f t="shared" si="206"/>
        <v>1</v>
      </c>
      <c r="AK498" s="370" t="str">
        <f t="shared" si="207"/>
        <v/>
      </c>
      <c r="AN498">
        <f t="shared" si="208"/>
        <v>0</v>
      </c>
      <c r="AO498">
        <f t="shared" si="209"/>
        <v>1900</v>
      </c>
      <c r="AV498">
        <f t="shared" si="210"/>
        <v>0</v>
      </c>
      <c r="AW498">
        <f t="shared" si="211"/>
        <v>0</v>
      </c>
    </row>
    <row r="499" spans="4:49" ht="15.75" x14ac:dyDescent="0.25">
      <c r="D499" s="199"/>
      <c r="E499" s="200"/>
      <c r="F499" s="287"/>
      <c r="G499" s="201"/>
      <c r="H499" s="219"/>
      <c r="I499" s="202"/>
      <c r="J499" s="200"/>
      <c r="K499" s="200"/>
      <c r="L499" s="203"/>
      <c r="M499" s="204">
        <f ca="1">IF(ISERROR(OFFSET(Tabella!$A$1,MATCH(J499,Tabella!$A:$A,0)-1,MATCH(L499,Tabella!$A$1:$AC$1,0)-1)=TRUE),0,+OFFSET(Tabella!$A$1,MATCH(J499,Tabella!$A:$A,0)-1,MATCH(L499,Tabella!$A$1:$AC$1,0)-1))</f>
        <v>0</v>
      </c>
      <c r="N499" s="205">
        <f ca="1">IF(ISERROR(OFFSET(Ottone!$A$1,MATCH(J499,Ottone!$A:$A,0)-1,MATCH(L499,Ottone!$A$1:$Z$1,0)-1)=TRUE),0,OFFSET(Ottone!$A$1,MATCH(J499,Ottone!$A:$A,0)-1,MATCH(L499,Ottone!$A$1:$Z$1,0)-1))*IF(G499="Ottone",1,0)</f>
        <v>0</v>
      </c>
      <c r="O499" s="205">
        <f ca="1">IF(ISERROR(OFFSET(Rame!$A$1,MATCH(J499,Rame!$A:$A,0)-1,MATCH(L499,Rame!$A$1:$AA$1,0)-1)=TRUE),0,OFFSET(Rame!$A$1,MATCH(J499,Rame!$A:$A,0)-1,MATCH(L499,Rame!$A$1:$AA$1,0)-1))*IF(G499="Rame",1,0)</f>
        <v>0</v>
      </c>
      <c r="P499" s="205">
        <v>0</v>
      </c>
      <c r="Q499" s="205">
        <f t="shared" ca="1" si="201"/>
        <v>0</v>
      </c>
      <c r="R499" s="205">
        <f ca="1">+IF(ISERROR(OFFSET(Tabella!$G$1,MATCH(J499,Tabella!$G:$G,0)-1,MATCH(K499,Tabella!$G$1:$FG$1,0)-1)=TRUE),0,OFFSET(Tabella!$G$1,MATCH(J499,Tabella!$G:$G,0)-1,MATCH(K499,Tabella!$G$1:$AB$1,0)-1))</f>
        <v>0</v>
      </c>
      <c r="S499" s="205">
        <f ca="1">IF(ISERROR(OFFSET(Ottone!$F$1,MATCH(J499,Ottone!$A:$A,0)-1,MATCH(K499,Ottone!$F$1:$FF$1,0)-1)=TRUE),0,OFFSET(Ottone!$F$1,MATCH(J499,Ottone!$A:$A,0)-1,MATCH(K499,Ottone!$F$1:$FF$1,0)-1))*IF(G499="Ottone",1,0)</f>
        <v>0</v>
      </c>
      <c r="T499" s="205">
        <f ca="1">IF(ISERROR(OFFSET(Rame!$F$1,MATCH(J499,Rame!$F:$F,0)-1,MATCH(K499,Rame!$F$1:$FF$1,0)-1)=TRUE),0,OFFSET(Rame!$F$1,MATCH(J499,Rame!$F:$F,0)-1,MATCH(K499,Rame!$F$1:$FF$1,0)-1))*IF(G499="Rame",1,0)</f>
        <v>0</v>
      </c>
      <c r="U499" s="205">
        <f ca="1">IF(ISERROR(OFFSET(Bronzo!$A$1,MATCH(J499,Bronzo!$A:$A,0)-1,MATCH(K499,Bronzo!$A$1:$AA$1,0)-1)=TRUE),0,OFFSET(Bronzo!$A$1,MATCH(J499,Bronzo!$A:$A,0)-1,MATCH(K499,Bronzo!$A$1:$AA$1,0)-1))</f>
        <v>0</v>
      </c>
      <c r="V499" s="205">
        <f t="shared" ca="1" si="202"/>
        <v>0</v>
      </c>
      <c r="W499" s="204"/>
      <c r="X499" s="205">
        <v>0</v>
      </c>
      <c r="Y499" s="206">
        <f t="shared" ca="1" si="203"/>
        <v>0</v>
      </c>
      <c r="Z499" s="277">
        <f t="shared" si="204"/>
        <v>0</v>
      </c>
      <c r="AA499" s="203"/>
      <c r="AB499" s="203">
        <f t="shared" ca="1" si="205"/>
        <v>0</v>
      </c>
      <c r="AC499" s="238"/>
      <c r="AI499" s="367">
        <f t="shared" ca="1" si="200"/>
        <v>46092</v>
      </c>
      <c r="AJ499" s="367" t="b">
        <f t="shared" si="206"/>
        <v>1</v>
      </c>
      <c r="AK499" s="370" t="str">
        <f t="shared" si="207"/>
        <v/>
      </c>
      <c r="AN499">
        <f t="shared" si="208"/>
        <v>0</v>
      </c>
      <c r="AO499">
        <f t="shared" si="209"/>
        <v>1900</v>
      </c>
      <c r="AV499">
        <f t="shared" si="210"/>
        <v>0</v>
      </c>
      <c r="AW499">
        <f t="shared" si="211"/>
        <v>0</v>
      </c>
    </row>
    <row r="500" spans="4:49" ht="15.75" x14ac:dyDescent="0.25">
      <c r="D500" s="199"/>
      <c r="E500" s="200"/>
      <c r="F500" s="287"/>
      <c r="G500" s="201"/>
      <c r="H500" s="219"/>
      <c r="I500" s="202"/>
      <c r="J500" s="200"/>
      <c r="K500" s="200"/>
      <c r="L500" s="203"/>
      <c r="M500" s="204">
        <f ca="1">IF(ISERROR(OFFSET(Tabella!$A$1,MATCH(J500,Tabella!$A:$A,0)-1,MATCH(L500,Tabella!$A$1:$AC$1,0)-1)=TRUE),0,+OFFSET(Tabella!$A$1,MATCH(J500,Tabella!$A:$A,0)-1,MATCH(L500,Tabella!$A$1:$AC$1,0)-1))</f>
        <v>0</v>
      </c>
      <c r="N500" s="205">
        <f ca="1">IF(ISERROR(OFFSET(Ottone!$A$1,MATCH(J500,Ottone!$A:$A,0)-1,MATCH(L500,Ottone!$A$1:$Z$1,0)-1)=TRUE),0,OFFSET(Ottone!$A$1,MATCH(J500,Ottone!$A:$A,0)-1,MATCH(L500,Ottone!$A$1:$Z$1,0)-1))*IF(G500="Ottone",1,0)</f>
        <v>0</v>
      </c>
      <c r="O500" s="205">
        <f ca="1">IF(ISERROR(OFFSET(Rame!$A$1,MATCH(J500,Rame!$A:$A,0)-1,MATCH(L500,Rame!$A$1:$AA$1,0)-1)=TRUE),0,OFFSET(Rame!$A$1,MATCH(J500,Rame!$A:$A,0)-1,MATCH(L500,Rame!$A$1:$AA$1,0)-1))*IF(G500="Rame",1,0)</f>
        <v>0</v>
      </c>
      <c r="P500" s="205">
        <v>0</v>
      </c>
      <c r="Q500" s="205">
        <f t="shared" ca="1" si="201"/>
        <v>0</v>
      </c>
      <c r="R500" s="205">
        <f ca="1">+IF(ISERROR(OFFSET(Tabella!$G$1,MATCH(J500,Tabella!$G:$G,0)-1,MATCH(K500,Tabella!$G$1:$FG$1,0)-1)=TRUE),0,OFFSET(Tabella!$G$1,MATCH(J500,Tabella!$G:$G,0)-1,MATCH(K500,Tabella!$G$1:$AB$1,0)-1))</f>
        <v>0</v>
      </c>
      <c r="S500" s="205">
        <f ca="1">IF(ISERROR(OFFSET(Ottone!$F$1,MATCH(J500,Ottone!$A:$A,0)-1,MATCH(K500,Ottone!$F$1:$FF$1,0)-1)=TRUE),0,OFFSET(Ottone!$F$1,MATCH(J500,Ottone!$A:$A,0)-1,MATCH(K500,Ottone!$F$1:$FF$1,0)-1))*IF(G500="Ottone",1,0)</f>
        <v>0</v>
      </c>
      <c r="T500" s="205">
        <f ca="1">IF(ISERROR(OFFSET(Rame!$F$1,MATCH(J500,Rame!$F:$F,0)-1,MATCH(K500,Rame!$F$1:$FF$1,0)-1)=TRUE),0,OFFSET(Rame!$F$1,MATCH(J500,Rame!$F:$F,0)-1,MATCH(K500,Rame!$F$1:$FF$1,0)-1))*IF(G500="Rame",1,0)</f>
        <v>0</v>
      </c>
      <c r="U500" s="205">
        <f ca="1">IF(ISERROR(OFFSET(Bronzo!$A$1,MATCH(J500,Bronzo!$A:$A,0)-1,MATCH(K500,Bronzo!$A$1:$AA$1,0)-1)=TRUE),0,OFFSET(Bronzo!$A$1,MATCH(J500,Bronzo!$A:$A,0)-1,MATCH(K500,Bronzo!$A$1:$AA$1,0)-1))</f>
        <v>0</v>
      </c>
      <c r="V500" s="205">
        <f t="shared" ca="1" si="202"/>
        <v>0</v>
      </c>
      <c r="W500" s="204"/>
      <c r="X500" s="205">
        <v>0</v>
      </c>
      <c r="Y500" s="206">
        <f t="shared" ca="1" si="203"/>
        <v>0</v>
      </c>
      <c r="Z500" s="277">
        <f t="shared" si="204"/>
        <v>0</v>
      </c>
      <c r="AA500" s="203"/>
      <c r="AB500" s="203">
        <f t="shared" ca="1" si="205"/>
        <v>0</v>
      </c>
      <c r="AC500" s="238"/>
      <c r="AI500" s="367">
        <f t="shared" ca="1" si="200"/>
        <v>46092</v>
      </c>
      <c r="AJ500" s="367" t="b">
        <f t="shared" si="206"/>
        <v>1</v>
      </c>
      <c r="AK500" s="370" t="str">
        <f t="shared" si="207"/>
        <v/>
      </c>
      <c r="AN500">
        <f t="shared" si="208"/>
        <v>0</v>
      </c>
      <c r="AO500">
        <f t="shared" si="209"/>
        <v>1900</v>
      </c>
      <c r="AV500">
        <f t="shared" si="210"/>
        <v>0</v>
      </c>
      <c r="AW500">
        <f t="shared" si="211"/>
        <v>0</v>
      </c>
    </row>
    <row r="501" spans="4:49" ht="15.75" x14ac:dyDescent="0.25">
      <c r="D501" s="199"/>
      <c r="E501" s="200"/>
      <c r="F501" s="287"/>
      <c r="G501" s="201"/>
      <c r="H501" s="219"/>
      <c r="I501" s="202"/>
      <c r="J501" s="200"/>
      <c r="K501" s="200"/>
      <c r="L501" s="203"/>
      <c r="M501" s="204">
        <f ca="1">IF(ISERROR(OFFSET(Tabella!$A$1,MATCH(J501,Tabella!$A:$A,0)-1,MATCH(L501,Tabella!$A$1:$AC$1,0)-1)=TRUE),0,+OFFSET(Tabella!$A$1,MATCH(J501,Tabella!$A:$A,0)-1,MATCH(L501,Tabella!$A$1:$AC$1,0)-1))</f>
        <v>0</v>
      </c>
      <c r="N501" s="205">
        <f ca="1">IF(ISERROR(OFFSET(Ottone!$A$1,MATCH(J501,Ottone!$A:$A,0)-1,MATCH(L501,Ottone!$A$1:$Z$1,0)-1)=TRUE),0,OFFSET(Ottone!$A$1,MATCH(J501,Ottone!$A:$A,0)-1,MATCH(L501,Ottone!$A$1:$Z$1,0)-1))*IF(G501="Ottone",1,0)</f>
        <v>0</v>
      </c>
      <c r="O501" s="205">
        <f ca="1">IF(ISERROR(OFFSET(Rame!$A$1,MATCH(J501,Rame!$A:$A,0)-1,MATCH(L501,Rame!$A$1:$AA$1,0)-1)=TRUE),0,OFFSET(Rame!$A$1,MATCH(J501,Rame!$A:$A,0)-1,MATCH(L501,Rame!$A$1:$AA$1,0)-1))*IF(G501="Rame",1,0)</f>
        <v>0</v>
      </c>
      <c r="P501" s="205">
        <v>0</v>
      </c>
      <c r="Q501" s="205">
        <f t="shared" ca="1" si="201"/>
        <v>0</v>
      </c>
      <c r="R501" s="205">
        <f ca="1">+IF(ISERROR(OFFSET(Tabella!$G$1,MATCH(J501,Tabella!$G:$G,0)-1,MATCH(K501,Tabella!$G$1:$FG$1,0)-1)=TRUE),0,OFFSET(Tabella!$G$1,MATCH(J501,Tabella!$G:$G,0)-1,MATCH(K501,Tabella!$G$1:$AB$1,0)-1))</f>
        <v>0</v>
      </c>
      <c r="S501" s="205">
        <f ca="1">IF(ISERROR(OFFSET(Ottone!$F$1,MATCH(J501,Ottone!$A:$A,0)-1,MATCH(K501,Ottone!$F$1:$FF$1,0)-1)=TRUE),0,OFFSET(Ottone!$F$1,MATCH(J501,Ottone!$A:$A,0)-1,MATCH(K501,Ottone!$F$1:$FF$1,0)-1))*IF(G501="Ottone",1,0)</f>
        <v>0</v>
      </c>
      <c r="T501" s="205">
        <f ca="1">IF(ISERROR(OFFSET(Rame!$F$1,MATCH(J501,Rame!$F:$F,0)-1,MATCH(K501,Rame!$F$1:$FF$1,0)-1)=TRUE),0,OFFSET(Rame!$F$1,MATCH(J501,Rame!$F:$F,0)-1,MATCH(K501,Rame!$F$1:$FF$1,0)-1))*IF(G501="Rame",1,0)</f>
        <v>0</v>
      </c>
      <c r="U501" s="205">
        <f ca="1">IF(ISERROR(OFFSET(Bronzo!$A$1,MATCH(J501,Bronzo!$A:$A,0)-1,MATCH(K501,Bronzo!$A$1:$AA$1,0)-1)=TRUE),0,OFFSET(Bronzo!$A$1,MATCH(J501,Bronzo!$A:$A,0)-1,MATCH(K501,Bronzo!$A$1:$AA$1,0)-1))</f>
        <v>0</v>
      </c>
      <c r="V501" s="205">
        <f t="shared" ca="1" si="202"/>
        <v>0</v>
      </c>
      <c r="W501" s="204"/>
      <c r="X501" s="205">
        <v>0</v>
      </c>
      <c r="Y501" s="206">
        <f t="shared" ca="1" si="203"/>
        <v>0</v>
      </c>
      <c r="Z501" s="277">
        <f t="shared" si="204"/>
        <v>0</v>
      </c>
      <c r="AA501" s="203"/>
      <c r="AB501" s="203">
        <f t="shared" ca="1" si="205"/>
        <v>0</v>
      </c>
      <c r="AC501" s="238"/>
      <c r="AI501" s="367">
        <f t="shared" ca="1" si="200"/>
        <v>46092</v>
      </c>
      <c r="AJ501" s="367" t="b">
        <f t="shared" si="206"/>
        <v>1</v>
      </c>
      <c r="AK501" s="370" t="str">
        <f t="shared" si="207"/>
        <v/>
      </c>
      <c r="AN501">
        <f t="shared" si="208"/>
        <v>0</v>
      </c>
      <c r="AO501">
        <f t="shared" si="209"/>
        <v>1900</v>
      </c>
      <c r="AV501">
        <f t="shared" si="210"/>
        <v>0</v>
      </c>
      <c r="AW501">
        <f t="shared" si="211"/>
        <v>0</v>
      </c>
    </row>
    <row r="502" spans="4:49" ht="15.75" x14ac:dyDescent="0.25">
      <c r="D502" s="199"/>
      <c r="E502" s="200"/>
      <c r="F502" s="287"/>
      <c r="G502" s="201"/>
      <c r="H502" s="219"/>
      <c r="I502" s="202"/>
      <c r="J502" s="200"/>
      <c r="K502" s="200"/>
      <c r="L502" s="203"/>
      <c r="M502" s="204">
        <f ca="1">IF(ISERROR(OFFSET(Tabella!$A$1,MATCH(J502,Tabella!$A:$A,0)-1,MATCH(L502,Tabella!$A$1:$AC$1,0)-1)=TRUE),0,+OFFSET(Tabella!$A$1,MATCH(J502,Tabella!$A:$A,0)-1,MATCH(L502,Tabella!$A$1:$AC$1,0)-1))</f>
        <v>0</v>
      </c>
      <c r="N502" s="205">
        <f ca="1">IF(ISERROR(OFFSET(Ottone!$A$1,MATCH(J502,Ottone!$A:$A,0)-1,MATCH(L502,Ottone!$A$1:$Z$1,0)-1)=TRUE),0,OFFSET(Ottone!$A$1,MATCH(J502,Ottone!$A:$A,0)-1,MATCH(L502,Ottone!$A$1:$Z$1,0)-1))*IF(G502="Ottone",1,0)</f>
        <v>0</v>
      </c>
      <c r="O502" s="205">
        <f ca="1">IF(ISERROR(OFFSET(Rame!$A$1,MATCH(J502,Rame!$A:$A,0)-1,MATCH(L502,Rame!$A$1:$AA$1,0)-1)=TRUE),0,OFFSET(Rame!$A$1,MATCH(J502,Rame!$A:$A,0)-1,MATCH(L502,Rame!$A$1:$AA$1,0)-1))*IF(G502="Rame",1,0)</f>
        <v>0</v>
      </c>
      <c r="P502" s="205">
        <v>0</v>
      </c>
      <c r="Q502" s="205">
        <f t="shared" ca="1" si="201"/>
        <v>0</v>
      </c>
      <c r="R502" s="205">
        <f ca="1">+IF(ISERROR(OFFSET(Tabella!$G$1,MATCH(J502,Tabella!$G:$G,0)-1,MATCH(K502,Tabella!$G$1:$FG$1,0)-1)=TRUE),0,OFFSET(Tabella!$G$1,MATCH(J502,Tabella!$G:$G,0)-1,MATCH(K502,Tabella!$G$1:$AB$1,0)-1))</f>
        <v>0</v>
      </c>
      <c r="S502" s="205">
        <f ca="1">IF(ISERROR(OFFSET(Ottone!$F$1,MATCH(J502,Ottone!$A:$A,0)-1,MATCH(K502,Ottone!$F$1:$FF$1,0)-1)=TRUE),0,OFFSET(Ottone!$F$1,MATCH(J502,Ottone!$A:$A,0)-1,MATCH(K502,Ottone!$F$1:$FF$1,0)-1))*IF(G502="Ottone",1,0)</f>
        <v>0</v>
      </c>
      <c r="T502" s="205">
        <f ca="1">IF(ISERROR(OFFSET(Rame!$F$1,MATCH(J502,Rame!$F:$F,0)-1,MATCH(K502,Rame!$F$1:$FF$1,0)-1)=TRUE),0,OFFSET(Rame!$F$1,MATCH(J502,Rame!$F:$F,0)-1,MATCH(K502,Rame!$F$1:$FF$1,0)-1))*IF(G502="Rame",1,0)</f>
        <v>0</v>
      </c>
      <c r="U502" s="205">
        <f ca="1">IF(ISERROR(OFFSET(Bronzo!$A$1,MATCH(J502,Bronzo!$A:$A,0)-1,MATCH(K502,Bronzo!$A$1:$AA$1,0)-1)=TRUE),0,OFFSET(Bronzo!$A$1,MATCH(J502,Bronzo!$A:$A,0)-1,MATCH(K502,Bronzo!$A$1:$AA$1,0)-1))</f>
        <v>0</v>
      </c>
      <c r="V502" s="205">
        <f t="shared" ca="1" si="202"/>
        <v>0</v>
      </c>
      <c r="W502" s="204"/>
      <c r="X502" s="205">
        <v>0</v>
      </c>
      <c r="Y502" s="206">
        <f t="shared" ca="1" si="203"/>
        <v>0</v>
      </c>
      <c r="Z502" s="277">
        <f t="shared" si="204"/>
        <v>0</v>
      </c>
      <c r="AA502" s="203"/>
      <c r="AB502" s="203">
        <f t="shared" ca="1" si="205"/>
        <v>0</v>
      </c>
      <c r="AC502" s="238"/>
      <c r="AI502" s="367">
        <f t="shared" ca="1" si="200"/>
        <v>46092</v>
      </c>
      <c r="AJ502" s="367" t="b">
        <f t="shared" si="206"/>
        <v>1</v>
      </c>
      <c r="AK502" s="370" t="str">
        <f t="shared" si="207"/>
        <v/>
      </c>
      <c r="AN502">
        <f t="shared" si="208"/>
        <v>0</v>
      </c>
      <c r="AO502">
        <f t="shared" si="209"/>
        <v>1900</v>
      </c>
      <c r="AV502">
        <f t="shared" si="210"/>
        <v>0</v>
      </c>
      <c r="AW502">
        <f t="shared" si="211"/>
        <v>0</v>
      </c>
    </row>
    <row r="503" spans="4:49" ht="15.75" x14ac:dyDescent="0.25">
      <c r="D503" s="199"/>
      <c r="E503" s="200"/>
      <c r="F503" s="287"/>
      <c r="G503" s="201"/>
      <c r="H503" s="219"/>
      <c r="I503" s="202"/>
      <c r="J503" s="200"/>
      <c r="K503" s="200"/>
      <c r="L503" s="203"/>
      <c r="M503" s="204">
        <f ca="1">IF(ISERROR(OFFSET(Tabella!$A$1,MATCH(J503,Tabella!$A:$A,0)-1,MATCH(L503,Tabella!$A$1:$AC$1,0)-1)=TRUE),0,+OFFSET(Tabella!$A$1,MATCH(J503,Tabella!$A:$A,0)-1,MATCH(L503,Tabella!$A$1:$AC$1,0)-1))</f>
        <v>0</v>
      </c>
      <c r="N503" s="205">
        <f ca="1">IF(ISERROR(OFFSET(Ottone!$A$1,MATCH(J503,Ottone!$A:$A,0)-1,MATCH(L503,Ottone!$A$1:$Z$1,0)-1)=TRUE),0,OFFSET(Ottone!$A$1,MATCH(J503,Ottone!$A:$A,0)-1,MATCH(L503,Ottone!$A$1:$Z$1,0)-1))*IF(G503="Ottone",1,0)</f>
        <v>0</v>
      </c>
      <c r="O503" s="205">
        <f ca="1">IF(ISERROR(OFFSET(Rame!$A$1,MATCH(J503,Rame!$A:$A,0)-1,MATCH(L503,Rame!$A$1:$AA$1,0)-1)=TRUE),0,OFFSET(Rame!$A$1,MATCH(J503,Rame!$A:$A,0)-1,MATCH(L503,Rame!$A$1:$AA$1,0)-1))*IF(G503="Rame",1,0)</f>
        <v>0</v>
      </c>
      <c r="P503" s="205">
        <v>0</v>
      </c>
      <c r="Q503" s="205">
        <f t="shared" ca="1" si="201"/>
        <v>0</v>
      </c>
      <c r="R503" s="205">
        <f ca="1">+IF(ISERROR(OFFSET(Tabella!$G$1,MATCH(J503,Tabella!$G:$G,0)-1,MATCH(K503,Tabella!$G$1:$FG$1,0)-1)=TRUE),0,OFFSET(Tabella!$G$1,MATCH(J503,Tabella!$G:$G,0)-1,MATCH(K503,Tabella!$G$1:$AB$1,0)-1))</f>
        <v>0</v>
      </c>
      <c r="S503" s="205">
        <f ca="1">IF(ISERROR(OFFSET(Ottone!$F$1,MATCH(J503,Ottone!$A:$A,0)-1,MATCH(K503,Ottone!$F$1:$FF$1,0)-1)=TRUE),0,OFFSET(Ottone!$F$1,MATCH(J503,Ottone!$A:$A,0)-1,MATCH(K503,Ottone!$F$1:$FF$1,0)-1))*IF(G503="Ottone",1,0)</f>
        <v>0</v>
      </c>
      <c r="T503" s="205">
        <f ca="1">IF(ISERROR(OFFSET(Rame!$F$1,MATCH(J503,Rame!$F:$F,0)-1,MATCH(K503,Rame!$F$1:$FF$1,0)-1)=TRUE),0,OFFSET(Rame!$F$1,MATCH(J503,Rame!$F:$F,0)-1,MATCH(K503,Rame!$F$1:$FF$1,0)-1))*IF(G503="Rame",1,0)</f>
        <v>0</v>
      </c>
      <c r="U503" s="205">
        <f ca="1">IF(ISERROR(OFFSET(Bronzo!$A$1,MATCH(J503,Bronzo!$A:$A,0)-1,MATCH(K503,Bronzo!$A$1:$AA$1,0)-1)=TRUE),0,OFFSET(Bronzo!$A$1,MATCH(J503,Bronzo!$A:$A,0)-1,MATCH(K503,Bronzo!$A$1:$AA$1,0)-1))</f>
        <v>0</v>
      </c>
      <c r="V503" s="205">
        <f t="shared" ca="1" si="202"/>
        <v>0</v>
      </c>
      <c r="W503" s="204"/>
      <c r="X503" s="205">
        <v>0</v>
      </c>
      <c r="Y503" s="206">
        <f t="shared" ca="1" si="203"/>
        <v>0</v>
      </c>
      <c r="Z503" s="277">
        <f t="shared" si="204"/>
        <v>0</v>
      </c>
      <c r="AA503" s="203"/>
      <c r="AB503" s="203">
        <f t="shared" ca="1" si="205"/>
        <v>0</v>
      </c>
      <c r="AC503" s="238"/>
      <c r="AI503" s="367">
        <f t="shared" ca="1" si="200"/>
        <v>46092</v>
      </c>
      <c r="AJ503" s="367" t="b">
        <f t="shared" si="206"/>
        <v>1</v>
      </c>
      <c r="AK503" s="370" t="str">
        <f t="shared" si="207"/>
        <v/>
      </c>
      <c r="AN503">
        <f t="shared" si="208"/>
        <v>0</v>
      </c>
      <c r="AO503">
        <f t="shared" si="209"/>
        <v>1900</v>
      </c>
      <c r="AV503">
        <f t="shared" si="210"/>
        <v>0</v>
      </c>
      <c r="AW503">
        <f t="shared" si="211"/>
        <v>0</v>
      </c>
    </row>
    <row r="504" spans="4:49" ht="15.75" x14ac:dyDescent="0.25">
      <c r="D504" s="199"/>
      <c r="E504" s="200"/>
      <c r="F504" s="287"/>
      <c r="G504" s="201"/>
      <c r="H504" s="219"/>
      <c r="I504" s="202"/>
      <c r="J504" s="200"/>
      <c r="K504" s="200"/>
      <c r="L504" s="203"/>
      <c r="M504" s="204">
        <f ca="1">IF(ISERROR(OFFSET(Tabella!$A$1,MATCH(J504,Tabella!$A:$A,0)-1,MATCH(L504,Tabella!$A$1:$AC$1,0)-1)=TRUE),0,+OFFSET(Tabella!$A$1,MATCH(J504,Tabella!$A:$A,0)-1,MATCH(L504,Tabella!$A$1:$AC$1,0)-1))</f>
        <v>0</v>
      </c>
      <c r="N504" s="205">
        <f ca="1">IF(ISERROR(OFFSET(Ottone!$A$1,MATCH(J504,Ottone!$A:$A,0)-1,MATCH(L504,Ottone!$A$1:$Z$1,0)-1)=TRUE),0,OFFSET(Ottone!$A$1,MATCH(J504,Ottone!$A:$A,0)-1,MATCH(L504,Ottone!$A$1:$Z$1,0)-1))*IF(G504="Ottone",1,0)</f>
        <v>0</v>
      </c>
      <c r="O504" s="205">
        <f ca="1">IF(ISERROR(OFFSET(Rame!$A$1,MATCH(J504,Rame!$A:$A,0)-1,MATCH(L504,Rame!$A$1:$AA$1,0)-1)=TRUE),0,OFFSET(Rame!$A$1,MATCH(J504,Rame!$A:$A,0)-1,MATCH(L504,Rame!$A$1:$AA$1,0)-1))*IF(G504="Rame",1,0)</f>
        <v>0</v>
      </c>
      <c r="P504" s="205">
        <v>0</v>
      </c>
      <c r="Q504" s="205">
        <f t="shared" ca="1" si="201"/>
        <v>0</v>
      </c>
      <c r="R504" s="205">
        <f ca="1">+IF(ISERROR(OFFSET(Tabella!$G$1,MATCH(J504,Tabella!$G:$G,0)-1,MATCH(K504,Tabella!$G$1:$FG$1,0)-1)=TRUE),0,OFFSET(Tabella!$G$1,MATCH(J504,Tabella!$G:$G,0)-1,MATCH(K504,Tabella!$G$1:$AB$1,0)-1))</f>
        <v>0</v>
      </c>
      <c r="S504" s="205">
        <f ca="1">IF(ISERROR(OFFSET(Ottone!$F$1,MATCH(J504,Ottone!$A:$A,0)-1,MATCH(K504,Ottone!$F$1:$FF$1,0)-1)=TRUE),0,OFFSET(Ottone!$F$1,MATCH(J504,Ottone!$A:$A,0)-1,MATCH(K504,Ottone!$F$1:$FF$1,0)-1))*IF(G504="Ottone",1,0)</f>
        <v>0</v>
      </c>
      <c r="T504" s="205">
        <f ca="1">IF(ISERROR(OFFSET(Rame!$F$1,MATCH(J504,Rame!$F:$F,0)-1,MATCH(K504,Rame!$F$1:$FF$1,0)-1)=TRUE),0,OFFSET(Rame!$F$1,MATCH(J504,Rame!$F:$F,0)-1,MATCH(K504,Rame!$F$1:$FF$1,0)-1))*IF(G504="Rame",1,0)</f>
        <v>0</v>
      </c>
      <c r="U504" s="205">
        <f ca="1">IF(ISERROR(OFFSET(Bronzo!$A$1,MATCH(J504,Bronzo!$A:$A,0)-1,MATCH(K504,Bronzo!$A$1:$AA$1,0)-1)=TRUE),0,OFFSET(Bronzo!$A$1,MATCH(J504,Bronzo!$A:$A,0)-1,MATCH(K504,Bronzo!$A$1:$AA$1,0)-1))</f>
        <v>0</v>
      </c>
      <c r="V504" s="205">
        <f t="shared" ca="1" si="202"/>
        <v>0</v>
      </c>
      <c r="W504" s="204"/>
      <c r="X504" s="205">
        <v>0</v>
      </c>
      <c r="Y504" s="206">
        <f t="shared" ca="1" si="203"/>
        <v>0</v>
      </c>
      <c r="Z504" s="277">
        <f t="shared" si="204"/>
        <v>0</v>
      </c>
      <c r="AA504" s="203"/>
      <c r="AB504" s="203">
        <f t="shared" ca="1" si="205"/>
        <v>0</v>
      </c>
      <c r="AC504" s="238"/>
      <c r="AI504" s="367">
        <f t="shared" ca="1" si="200"/>
        <v>46092</v>
      </c>
      <c r="AJ504" s="367" t="b">
        <f t="shared" si="206"/>
        <v>1</v>
      </c>
      <c r="AK504" s="370" t="str">
        <f t="shared" si="207"/>
        <v/>
      </c>
      <c r="AN504">
        <f t="shared" si="208"/>
        <v>0</v>
      </c>
      <c r="AO504">
        <f t="shared" si="209"/>
        <v>1900</v>
      </c>
      <c r="AV504">
        <f t="shared" si="210"/>
        <v>0</v>
      </c>
      <c r="AW504">
        <f t="shared" si="211"/>
        <v>0</v>
      </c>
    </row>
    <row r="505" spans="4:49" ht="15.75" x14ac:dyDescent="0.25">
      <c r="D505" s="199"/>
      <c r="E505" s="200"/>
      <c r="F505" s="287"/>
      <c r="G505" s="201"/>
      <c r="H505" s="219"/>
      <c r="I505" s="202"/>
      <c r="J505" s="200"/>
      <c r="K505" s="200"/>
      <c r="L505" s="203"/>
      <c r="M505" s="204">
        <f ca="1">IF(ISERROR(OFFSET(Tabella!$A$1,MATCH(J505,Tabella!$A:$A,0)-1,MATCH(L505,Tabella!$A$1:$AC$1,0)-1)=TRUE),0,+OFFSET(Tabella!$A$1,MATCH(J505,Tabella!$A:$A,0)-1,MATCH(L505,Tabella!$A$1:$AC$1,0)-1))</f>
        <v>0</v>
      </c>
      <c r="N505" s="205">
        <f ca="1">IF(ISERROR(OFFSET(Ottone!$A$1,MATCH(J505,Ottone!$A:$A,0)-1,MATCH(L505,Ottone!$A$1:$Z$1,0)-1)=TRUE),0,OFFSET(Ottone!$A$1,MATCH(J505,Ottone!$A:$A,0)-1,MATCH(L505,Ottone!$A$1:$Z$1,0)-1))*IF(G505="Ottone",1,0)</f>
        <v>0</v>
      </c>
      <c r="O505" s="205">
        <f ca="1">IF(ISERROR(OFFSET(Rame!$A$1,MATCH(J505,Rame!$A:$A,0)-1,MATCH(L505,Rame!$A$1:$AA$1,0)-1)=TRUE),0,OFFSET(Rame!$A$1,MATCH(J505,Rame!$A:$A,0)-1,MATCH(L505,Rame!$A$1:$AA$1,0)-1))*IF(G505="Rame",1,0)</f>
        <v>0</v>
      </c>
      <c r="P505" s="205">
        <v>0</v>
      </c>
      <c r="Q505" s="205">
        <f t="shared" ca="1" si="201"/>
        <v>0</v>
      </c>
      <c r="R505" s="205">
        <f ca="1">+IF(ISERROR(OFFSET(Tabella!$G$1,MATCH(J505,Tabella!$G:$G,0)-1,MATCH(K505,Tabella!$G$1:$FG$1,0)-1)=TRUE),0,OFFSET(Tabella!$G$1,MATCH(J505,Tabella!$G:$G,0)-1,MATCH(K505,Tabella!$G$1:$AB$1,0)-1))</f>
        <v>0</v>
      </c>
      <c r="S505" s="205">
        <f ca="1">IF(ISERROR(OFFSET(Ottone!$F$1,MATCH(J505,Ottone!$A:$A,0)-1,MATCH(K505,Ottone!$F$1:$FF$1,0)-1)=TRUE),0,OFFSET(Ottone!$F$1,MATCH(J505,Ottone!$A:$A,0)-1,MATCH(K505,Ottone!$F$1:$FF$1,0)-1))*IF(G505="Ottone",1,0)</f>
        <v>0</v>
      </c>
      <c r="T505" s="205">
        <f ca="1">IF(ISERROR(OFFSET(Rame!$F$1,MATCH(J505,Rame!$F:$F,0)-1,MATCH(K505,Rame!$F$1:$FF$1,0)-1)=TRUE),0,OFFSET(Rame!$F$1,MATCH(J505,Rame!$F:$F,0)-1,MATCH(K505,Rame!$F$1:$FF$1,0)-1))*IF(G505="Rame",1,0)</f>
        <v>0</v>
      </c>
      <c r="U505" s="205">
        <f ca="1">IF(ISERROR(OFFSET(Bronzo!$A$1,MATCH(J505,Bronzo!$A:$A,0)-1,MATCH(K505,Bronzo!$A$1:$AA$1,0)-1)=TRUE),0,OFFSET(Bronzo!$A$1,MATCH(J505,Bronzo!$A:$A,0)-1,MATCH(K505,Bronzo!$A$1:$AA$1,0)-1))</f>
        <v>0</v>
      </c>
      <c r="V505" s="205">
        <f t="shared" ca="1" si="202"/>
        <v>0</v>
      </c>
      <c r="W505" s="204"/>
      <c r="X505" s="205">
        <v>0</v>
      </c>
      <c r="Y505" s="206">
        <f t="shared" ca="1" si="203"/>
        <v>0</v>
      </c>
      <c r="Z505" s="277">
        <f t="shared" si="204"/>
        <v>0</v>
      </c>
      <c r="AA505" s="203"/>
      <c r="AB505" s="203">
        <f t="shared" ca="1" si="205"/>
        <v>0</v>
      </c>
      <c r="AC505" s="238"/>
      <c r="AI505" s="367">
        <f t="shared" ca="1" si="200"/>
        <v>46092</v>
      </c>
      <c r="AJ505" s="367" t="b">
        <f t="shared" si="206"/>
        <v>1</v>
      </c>
      <c r="AK505" s="370" t="str">
        <f t="shared" si="207"/>
        <v/>
      </c>
      <c r="AN505">
        <f t="shared" si="208"/>
        <v>0</v>
      </c>
      <c r="AO505">
        <f t="shared" si="209"/>
        <v>1900</v>
      </c>
      <c r="AV505">
        <f t="shared" si="210"/>
        <v>0</v>
      </c>
      <c r="AW505">
        <f t="shared" si="211"/>
        <v>0</v>
      </c>
    </row>
    <row r="506" spans="4:49" ht="15.75" x14ac:dyDescent="0.25">
      <c r="D506" s="199"/>
      <c r="E506" s="200"/>
      <c r="F506" s="287"/>
      <c r="G506" s="201"/>
      <c r="H506" s="219"/>
      <c r="I506" s="202"/>
      <c r="J506" s="200"/>
      <c r="K506" s="200"/>
      <c r="L506" s="203"/>
      <c r="M506" s="204">
        <f ca="1">IF(ISERROR(OFFSET(Tabella!$A$1,MATCH(J506,Tabella!$A:$A,0)-1,MATCH(L506,Tabella!$A$1:$AC$1,0)-1)=TRUE),0,+OFFSET(Tabella!$A$1,MATCH(J506,Tabella!$A:$A,0)-1,MATCH(L506,Tabella!$A$1:$AC$1,0)-1))</f>
        <v>0</v>
      </c>
      <c r="N506" s="205">
        <f ca="1">IF(ISERROR(OFFSET(Ottone!$A$1,MATCH(J506,Ottone!$A:$A,0)-1,MATCH(L506,Ottone!$A$1:$Z$1,0)-1)=TRUE),0,OFFSET(Ottone!$A$1,MATCH(J506,Ottone!$A:$A,0)-1,MATCH(L506,Ottone!$A$1:$Z$1,0)-1))*IF(G506="Ottone",1,0)</f>
        <v>0</v>
      </c>
      <c r="O506" s="205">
        <f ca="1">IF(ISERROR(OFFSET(Rame!$A$1,MATCH(J506,Rame!$A:$A,0)-1,MATCH(L506,Rame!$A$1:$AA$1,0)-1)=TRUE),0,OFFSET(Rame!$A$1,MATCH(J506,Rame!$A:$A,0)-1,MATCH(L506,Rame!$A$1:$AA$1,0)-1))*IF(G506="Rame",1,0)</f>
        <v>0</v>
      </c>
      <c r="P506" s="205">
        <v>0</v>
      </c>
      <c r="Q506" s="205">
        <f t="shared" ca="1" si="201"/>
        <v>0</v>
      </c>
      <c r="R506" s="205">
        <f ca="1">+IF(ISERROR(OFFSET(Tabella!$G$1,MATCH(J506,Tabella!$G:$G,0)-1,MATCH(K506,Tabella!$G$1:$FG$1,0)-1)=TRUE),0,OFFSET(Tabella!$G$1,MATCH(J506,Tabella!$G:$G,0)-1,MATCH(K506,Tabella!$G$1:$AB$1,0)-1))</f>
        <v>0</v>
      </c>
      <c r="S506" s="205">
        <f ca="1">IF(ISERROR(OFFSET(Ottone!$F$1,MATCH(J506,Ottone!$A:$A,0)-1,MATCH(K506,Ottone!$F$1:$FF$1,0)-1)=TRUE),0,OFFSET(Ottone!$F$1,MATCH(J506,Ottone!$A:$A,0)-1,MATCH(K506,Ottone!$F$1:$FF$1,0)-1))*IF(G506="Ottone",1,0)</f>
        <v>0</v>
      </c>
      <c r="T506" s="205">
        <f ca="1">IF(ISERROR(OFFSET(Rame!$F$1,MATCH(J506,Rame!$F:$F,0)-1,MATCH(K506,Rame!$F$1:$FF$1,0)-1)=TRUE),0,OFFSET(Rame!$F$1,MATCH(J506,Rame!$F:$F,0)-1,MATCH(K506,Rame!$F$1:$FF$1,0)-1))*IF(G506="Rame",1,0)</f>
        <v>0</v>
      </c>
      <c r="U506" s="205">
        <f ca="1">IF(ISERROR(OFFSET(Bronzo!$A$1,MATCH(J506,Bronzo!$A:$A,0)-1,MATCH(K506,Bronzo!$A$1:$AA$1,0)-1)=TRUE),0,OFFSET(Bronzo!$A$1,MATCH(J506,Bronzo!$A:$A,0)-1,MATCH(K506,Bronzo!$A$1:$AA$1,0)-1))</f>
        <v>0</v>
      </c>
      <c r="V506" s="205">
        <f t="shared" ca="1" si="202"/>
        <v>0</v>
      </c>
      <c r="W506" s="204"/>
      <c r="X506" s="205">
        <v>0</v>
      </c>
      <c r="Y506" s="206">
        <f t="shared" ca="1" si="203"/>
        <v>0</v>
      </c>
      <c r="Z506" s="277">
        <f t="shared" si="204"/>
        <v>0</v>
      </c>
      <c r="AA506" s="203"/>
      <c r="AB506" s="203">
        <f t="shared" ca="1" si="205"/>
        <v>0</v>
      </c>
      <c r="AC506" s="238"/>
      <c r="AI506" s="367">
        <f t="shared" ca="1" si="200"/>
        <v>46092</v>
      </c>
      <c r="AJ506" s="367" t="b">
        <f t="shared" si="206"/>
        <v>1</v>
      </c>
      <c r="AK506" s="370" t="str">
        <f t="shared" si="207"/>
        <v/>
      </c>
      <c r="AN506">
        <f t="shared" si="208"/>
        <v>0</v>
      </c>
      <c r="AO506">
        <f t="shared" si="209"/>
        <v>1900</v>
      </c>
      <c r="AV506">
        <f t="shared" si="210"/>
        <v>0</v>
      </c>
      <c r="AW506">
        <f t="shared" si="211"/>
        <v>0</v>
      </c>
    </row>
    <row r="507" spans="4:49" ht="15.75" x14ac:dyDescent="0.25">
      <c r="D507" s="199"/>
      <c r="E507" s="200"/>
      <c r="F507" s="287"/>
      <c r="G507" s="201"/>
      <c r="H507" s="219"/>
      <c r="I507" s="202"/>
      <c r="J507" s="200"/>
      <c r="K507" s="200"/>
      <c r="L507" s="203"/>
      <c r="M507" s="204">
        <f ca="1">IF(ISERROR(OFFSET(Tabella!$A$1,MATCH(J507,Tabella!$A:$A,0)-1,MATCH(L507,Tabella!$A$1:$AC$1,0)-1)=TRUE),0,+OFFSET(Tabella!$A$1,MATCH(J507,Tabella!$A:$A,0)-1,MATCH(L507,Tabella!$A$1:$AC$1,0)-1))</f>
        <v>0</v>
      </c>
      <c r="N507" s="205">
        <f ca="1">IF(ISERROR(OFFSET(Ottone!$A$1,MATCH(J507,Ottone!$A:$A,0)-1,MATCH(L507,Ottone!$A$1:$Z$1,0)-1)=TRUE),0,OFFSET(Ottone!$A$1,MATCH(J507,Ottone!$A:$A,0)-1,MATCH(L507,Ottone!$A$1:$Z$1,0)-1))*IF(G507="Ottone",1,0)</f>
        <v>0</v>
      </c>
      <c r="O507" s="205">
        <f ca="1">IF(ISERROR(OFFSET(Rame!$A$1,MATCH(J507,Rame!$A:$A,0)-1,MATCH(L507,Rame!$A$1:$AA$1,0)-1)=TRUE),0,OFFSET(Rame!$A$1,MATCH(J507,Rame!$A:$A,0)-1,MATCH(L507,Rame!$A$1:$AA$1,0)-1))*IF(G507="Rame",1,0)</f>
        <v>0</v>
      </c>
      <c r="P507" s="205">
        <v>0</v>
      </c>
      <c r="Q507" s="205">
        <f t="shared" ca="1" si="201"/>
        <v>0</v>
      </c>
      <c r="R507" s="205">
        <f ca="1">+IF(ISERROR(OFFSET(Tabella!$G$1,MATCH(J507,Tabella!$G:$G,0)-1,MATCH(K507,Tabella!$G$1:$FG$1,0)-1)=TRUE),0,OFFSET(Tabella!$G$1,MATCH(J507,Tabella!$G:$G,0)-1,MATCH(K507,Tabella!$G$1:$AB$1,0)-1))</f>
        <v>0</v>
      </c>
      <c r="S507" s="205">
        <f ca="1">IF(ISERROR(OFFSET(Ottone!$F$1,MATCH(J507,Ottone!$A:$A,0)-1,MATCH(K507,Ottone!$F$1:$FF$1,0)-1)=TRUE),0,OFFSET(Ottone!$F$1,MATCH(J507,Ottone!$A:$A,0)-1,MATCH(K507,Ottone!$F$1:$FF$1,0)-1))*IF(G507="Ottone",1,0)</f>
        <v>0</v>
      </c>
      <c r="T507" s="205">
        <f ca="1">IF(ISERROR(OFFSET(Rame!$F$1,MATCH(J507,Rame!$F:$F,0)-1,MATCH(K507,Rame!$F$1:$FF$1,0)-1)=TRUE),0,OFFSET(Rame!$F$1,MATCH(J507,Rame!$F:$F,0)-1,MATCH(K507,Rame!$F$1:$FF$1,0)-1))*IF(G507="Rame",1,0)</f>
        <v>0</v>
      </c>
      <c r="U507" s="205">
        <f ca="1">IF(ISERROR(OFFSET(Bronzo!$A$1,MATCH(J507,Bronzo!$A:$A,0)-1,MATCH(K507,Bronzo!$A$1:$AA$1,0)-1)=TRUE),0,OFFSET(Bronzo!$A$1,MATCH(J507,Bronzo!$A:$A,0)-1,MATCH(K507,Bronzo!$A$1:$AA$1,0)-1))</f>
        <v>0</v>
      </c>
      <c r="V507" s="205">
        <f t="shared" ca="1" si="202"/>
        <v>0</v>
      </c>
      <c r="W507" s="204"/>
      <c r="X507" s="205">
        <v>0</v>
      </c>
      <c r="Y507" s="206">
        <f t="shared" ca="1" si="203"/>
        <v>0</v>
      </c>
      <c r="Z507" s="277">
        <f t="shared" si="204"/>
        <v>0</v>
      </c>
      <c r="AA507" s="203"/>
      <c r="AB507" s="203">
        <f t="shared" ca="1" si="205"/>
        <v>0</v>
      </c>
      <c r="AC507" s="238"/>
      <c r="AI507" s="367">
        <f t="shared" ca="1" si="200"/>
        <v>46092</v>
      </c>
      <c r="AJ507" s="367" t="b">
        <f t="shared" si="206"/>
        <v>1</v>
      </c>
      <c r="AK507" s="370" t="str">
        <f t="shared" si="207"/>
        <v/>
      </c>
      <c r="AN507">
        <f t="shared" si="208"/>
        <v>0</v>
      </c>
      <c r="AO507">
        <f t="shared" si="209"/>
        <v>1900</v>
      </c>
      <c r="AV507">
        <f t="shared" si="210"/>
        <v>0</v>
      </c>
      <c r="AW507">
        <f t="shared" si="211"/>
        <v>0</v>
      </c>
    </row>
    <row r="508" spans="4:49" ht="15.75" x14ac:dyDescent="0.25">
      <c r="D508" s="199"/>
      <c r="E508" s="200"/>
      <c r="F508" s="287"/>
      <c r="G508" s="201"/>
      <c r="H508" s="219"/>
      <c r="I508" s="202"/>
      <c r="J508" s="200"/>
      <c r="K508" s="200"/>
      <c r="L508" s="203"/>
      <c r="M508" s="204">
        <f ca="1">IF(ISERROR(OFFSET(Tabella!$A$1,MATCH(J508,Tabella!$A:$A,0)-1,MATCH(L508,Tabella!$A$1:$AC$1,0)-1)=TRUE),0,+OFFSET(Tabella!$A$1,MATCH(J508,Tabella!$A:$A,0)-1,MATCH(L508,Tabella!$A$1:$AC$1,0)-1))</f>
        <v>0</v>
      </c>
      <c r="N508" s="205">
        <f ca="1">IF(ISERROR(OFFSET(Ottone!$A$1,MATCH(J508,Ottone!$A:$A,0)-1,MATCH(L508,Ottone!$A$1:$Z$1,0)-1)=TRUE),0,OFFSET(Ottone!$A$1,MATCH(J508,Ottone!$A:$A,0)-1,MATCH(L508,Ottone!$A$1:$Z$1,0)-1))*IF(G508="Ottone",1,0)</f>
        <v>0</v>
      </c>
      <c r="O508" s="205">
        <f ca="1">IF(ISERROR(OFFSET(Rame!$A$1,MATCH(J508,Rame!$A:$A,0)-1,MATCH(L508,Rame!$A$1:$AA$1,0)-1)=TRUE),0,OFFSET(Rame!$A$1,MATCH(J508,Rame!$A:$A,0)-1,MATCH(L508,Rame!$A$1:$AA$1,0)-1))*IF(G508="Rame",1,0)</f>
        <v>0</v>
      </c>
      <c r="P508" s="205">
        <v>0</v>
      </c>
      <c r="Q508" s="205">
        <f t="shared" ca="1" si="201"/>
        <v>0</v>
      </c>
      <c r="R508" s="205">
        <f ca="1">+IF(ISERROR(OFFSET(Tabella!$G$1,MATCH(J508,Tabella!$G:$G,0)-1,MATCH(K508,Tabella!$G$1:$FG$1,0)-1)=TRUE),0,OFFSET(Tabella!$G$1,MATCH(J508,Tabella!$G:$G,0)-1,MATCH(K508,Tabella!$G$1:$AB$1,0)-1))</f>
        <v>0</v>
      </c>
      <c r="S508" s="205">
        <f ca="1">IF(ISERROR(OFFSET(Ottone!$F$1,MATCH(J508,Ottone!$A:$A,0)-1,MATCH(K508,Ottone!$F$1:$FF$1,0)-1)=TRUE),0,OFFSET(Ottone!$F$1,MATCH(J508,Ottone!$A:$A,0)-1,MATCH(K508,Ottone!$F$1:$FF$1,0)-1))*IF(G508="Ottone",1,0)</f>
        <v>0</v>
      </c>
      <c r="T508" s="205">
        <f ca="1">IF(ISERROR(OFFSET(Rame!$F$1,MATCH(J508,Rame!$F:$F,0)-1,MATCH(K508,Rame!$F$1:$FF$1,0)-1)=TRUE),0,OFFSET(Rame!$F$1,MATCH(J508,Rame!$F:$F,0)-1,MATCH(K508,Rame!$F$1:$FF$1,0)-1))*IF(G508="Rame",1,0)</f>
        <v>0</v>
      </c>
      <c r="U508" s="205">
        <f ca="1">IF(ISERROR(OFFSET(Bronzo!$A$1,MATCH(J508,Bronzo!$A:$A,0)-1,MATCH(K508,Bronzo!$A$1:$AA$1,0)-1)=TRUE),0,OFFSET(Bronzo!$A$1,MATCH(J508,Bronzo!$A:$A,0)-1,MATCH(K508,Bronzo!$A$1:$AA$1,0)-1))</f>
        <v>0</v>
      </c>
      <c r="V508" s="205">
        <f t="shared" ca="1" si="202"/>
        <v>0</v>
      </c>
      <c r="W508" s="204"/>
      <c r="X508" s="205">
        <v>0</v>
      </c>
      <c r="Y508" s="206">
        <f t="shared" ca="1" si="203"/>
        <v>0</v>
      </c>
      <c r="Z508" s="277">
        <f t="shared" si="204"/>
        <v>0</v>
      </c>
      <c r="AA508" s="203"/>
      <c r="AB508" s="203">
        <f t="shared" ca="1" si="205"/>
        <v>0</v>
      </c>
      <c r="AC508" s="238"/>
      <c r="AI508" s="367">
        <f t="shared" ca="1" si="200"/>
        <v>46092</v>
      </c>
      <c r="AJ508" s="367" t="b">
        <f t="shared" si="206"/>
        <v>1</v>
      </c>
      <c r="AK508" s="370" t="str">
        <f t="shared" si="207"/>
        <v/>
      </c>
      <c r="AN508">
        <f t="shared" si="208"/>
        <v>0</v>
      </c>
      <c r="AO508">
        <f t="shared" si="209"/>
        <v>1900</v>
      </c>
      <c r="AV508">
        <f t="shared" si="210"/>
        <v>0</v>
      </c>
      <c r="AW508">
        <f t="shared" si="211"/>
        <v>0</v>
      </c>
    </row>
    <row r="509" spans="4:49" ht="15.75" x14ac:dyDescent="0.25">
      <c r="D509" s="199"/>
      <c r="E509" s="200"/>
      <c r="F509" s="287"/>
      <c r="G509" s="201"/>
      <c r="H509" s="219"/>
      <c r="I509" s="202"/>
      <c r="J509" s="200"/>
      <c r="K509" s="200"/>
      <c r="L509" s="203"/>
      <c r="M509" s="204">
        <f ca="1">IF(ISERROR(OFFSET(Tabella!$A$1,MATCH(J509,Tabella!$A:$A,0)-1,MATCH(L509,Tabella!$A$1:$AC$1,0)-1)=TRUE),0,+OFFSET(Tabella!$A$1,MATCH(J509,Tabella!$A:$A,0)-1,MATCH(L509,Tabella!$A$1:$AC$1,0)-1))</f>
        <v>0</v>
      </c>
      <c r="N509" s="205">
        <f ca="1">IF(ISERROR(OFFSET(Ottone!$A$1,MATCH(J509,Ottone!$A:$A,0)-1,MATCH(L509,Ottone!$A$1:$Z$1,0)-1)=TRUE),0,OFFSET(Ottone!$A$1,MATCH(J509,Ottone!$A:$A,0)-1,MATCH(L509,Ottone!$A$1:$Z$1,0)-1))*IF(G509="Ottone",1,0)</f>
        <v>0</v>
      </c>
      <c r="O509" s="205">
        <f ca="1">IF(ISERROR(OFFSET(Rame!$A$1,MATCH(J509,Rame!$A:$A,0)-1,MATCH(L509,Rame!$A$1:$AA$1,0)-1)=TRUE),0,OFFSET(Rame!$A$1,MATCH(J509,Rame!$A:$A,0)-1,MATCH(L509,Rame!$A$1:$AA$1,0)-1))*IF(G509="Rame",1,0)</f>
        <v>0</v>
      </c>
      <c r="P509" s="205">
        <v>0</v>
      </c>
      <c r="Q509" s="205">
        <f t="shared" ca="1" si="201"/>
        <v>0</v>
      </c>
      <c r="R509" s="205">
        <f ca="1">+IF(ISERROR(OFFSET(Tabella!$G$1,MATCH(J509,Tabella!$G:$G,0)-1,MATCH(K509,Tabella!$G$1:$FG$1,0)-1)=TRUE),0,OFFSET(Tabella!$G$1,MATCH(J509,Tabella!$G:$G,0)-1,MATCH(K509,Tabella!$G$1:$AB$1,0)-1))</f>
        <v>0</v>
      </c>
      <c r="S509" s="205">
        <f ca="1">IF(ISERROR(OFFSET(Ottone!$F$1,MATCH(J509,Ottone!$A:$A,0)-1,MATCH(K509,Ottone!$F$1:$FF$1,0)-1)=TRUE),0,OFFSET(Ottone!$F$1,MATCH(J509,Ottone!$A:$A,0)-1,MATCH(K509,Ottone!$F$1:$FF$1,0)-1))*IF(G509="Ottone",1,0)</f>
        <v>0</v>
      </c>
      <c r="T509" s="205">
        <f ca="1">IF(ISERROR(OFFSET(Rame!$F$1,MATCH(J509,Rame!$F:$F,0)-1,MATCH(K509,Rame!$F$1:$FF$1,0)-1)=TRUE),0,OFFSET(Rame!$F$1,MATCH(J509,Rame!$F:$F,0)-1,MATCH(K509,Rame!$F$1:$FF$1,0)-1))*IF(G509="Rame",1,0)</f>
        <v>0</v>
      </c>
      <c r="U509" s="205">
        <f ca="1">IF(ISERROR(OFFSET(Bronzo!$A$1,MATCH(J509,Bronzo!$A:$A,0)-1,MATCH(K509,Bronzo!$A$1:$AA$1,0)-1)=TRUE),0,OFFSET(Bronzo!$A$1,MATCH(J509,Bronzo!$A:$A,0)-1,MATCH(K509,Bronzo!$A$1:$AA$1,0)-1))</f>
        <v>0</v>
      </c>
      <c r="V509" s="205">
        <f t="shared" ca="1" si="202"/>
        <v>0</v>
      </c>
      <c r="W509" s="204"/>
      <c r="X509" s="205">
        <v>0</v>
      </c>
      <c r="Y509" s="206">
        <f t="shared" ca="1" si="203"/>
        <v>0</v>
      </c>
      <c r="Z509" s="277">
        <f t="shared" si="204"/>
        <v>0</v>
      </c>
      <c r="AA509" s="203"/>
      <c r="AB509" s="203">
        <f t="shared" ca="1" si="205"/>
        <v>0</v>
      </c>
      <c r="AC509" s="238"/>
      <c r="AI509" s="367">
        <f t="shared" ca="1" si="200"/>
        <v>46092</v>
      </c>
      <c r="AJ509" s="367" t="b">
        <f t="shared" si="206"/>
        <v>1</v>
      </c>
      <c r="AK509" s="370" t="str">
        <f t="shared" si="207"/>
        <v/>
      </c>
      <c r="AN509">
        <f t="shared" si="208"/>
        <v>0</v>
      </c>
      <c r="AO509">
        <f t="shared" si="209"/>
        <v>1900</v>
      </c>
      <c r="AV509">
        <f t="shared" si="210"/>
        <v>0</v>
      </c>
      <c r="AW509">
        <f t="shared" si="211"/>
        <v>0</v>
      </c>
    </row>
    <row r="510" spans="4:49" ht="15.75" x14ac:dyDescent="0.25">
      <c r="D510" s="199"/>
      <c r="E510" s="200"/>
      <c r="F510" s="287"/>
      <c r="G510" s="201"/>
      <c r="H510" s="219"/>
      <c r="I510" s="202"/>
      <c r="J510" s="200"/>
      <c r="K510" s="200"/>
      <c r="L510" s="203"/>
      <c r="M510" s="204">
        <f ca="1">IF(ISERROR(OFFSET(Tabella!$A$1,MATCH(J510,Tabella!$A:$A,0)-1,MATCH(L510,Tabella!$A$1:$AC$1,0)-1)=TRUE),0,+OFFSET(Tabella!$A$1,MATCH(J510,Tabella!$A:$A,0)-1,MATCH(L510,Tabella!$A$1:$AC$1,0)-1))</f>
        <v>0</v>
      </c>
      <c r="N510" s="205">
        <f ca="1">IF(ISERROR(OFFSET(Ottone!$A$1,MATCH(J510,Ottone!$A:$A,0)-1,MATCH(L510,Ottone!$A$1:$Z$1,0)-1)=TRUE),0,OFFSET(Ottone!$A$1,MATCH(J510,Ottone!$A:$A,0)-1,MATCH(L510,Ottone!$A$1:$Z$1,0)-1))*IF(G510="Ottone",1,0)</f>
        <v>0</v>
      </c>
      <c r="O510" s="205">
        <f ca="1">IF(ISERROR(OFFSET(Rame!$A$1,MATCH(J510,Rame!$A:$A,0)-1,MATCH(L510,Rame!$A$1:$AA$1,0)-1)=TRUE),0,OFFSET(Rame!$A$1,MATCH(J510,Rame!$A:$A,0)-1,MATCH(L510,Rame!$A$1:$AA$1,0)-1))*IF(G510="Rame",1,0)</f>
        <v>0</v>
      </c>
      <c r="P510" s="205">
        <v>0</v>
      </c>
      <c r="Q510" s="205">
        <f t="shared" ca="1" si="201"/>
        <v>0</v>
      </c>
      <c r="R510" s="205">
        <f ca="1">+IF(ISERROR(OFFSET(Tabella!$G$1,MATCH(J510,Tabella!$G:$G,0)-1,MATCH(K510,Tabella!$G$1:$FG$1,0)-1)=TRUE),0,OFFSET(Tabella!$G$1,MATCH(J510,Tabella!$G:$G,0)-1,MATCH(K510,Tabella!$G$1:$AB$1,0)-1))</f>
        <v>0</v>
      </c>
      <c r="S510" s="205">
        <f ca="1">IF(ISERROR(OFFSET(Ottone!$F$1,MATCH(J510,Ottone!$A:$A,0)-1,MATCH(K510,Ottone!$F$1:$FF$1,0)-1)=TRUE),0,OFFSET(Ottone!$F$1,MATCH(J510,Ottone!$A:$A,0)-1,MATCH(K510,Ottone!$F$1:$FF$1,0)-1))*IF(G510="Ottone",1,0)</f>
        <v>0</v>
      </c>
      <c r="T510" s="205">
        <f ca="1">IF(ISERROR(OFFSET(Rame!$F$1,MATCH(J510,Rame!$F:$F,0)-1,MATCH(K510,Rame!$F$1:$FF$1,0)-1)=TRUE),0,OFFSET(Rame!$F$1,MATCH(J510,Rame!$F:$F,0)-1,MATCH(K510,Rame!$F$1:$FF$1,0)-1))*IF(G510="Rame",1,0)</f>
        <v>0</v>
      </c>
      <c r="U510" s="205">
        <f ca="1">IF(ISERROR(OFFSET(Bronzo!$A$1,MATCH(J510,Bronzo!$A:$A,0)-1,MATCH(K510,Bronzo!$A$1:$AA$1,0)-1)=TRUE),0,OFFSET(Bronzo!$A$1,MATCH(J510,Bronzo!$A:$A,0)-1,MATCH(K510,Bronzo!$A$1:$AA$1,0)-1))</f>
        <v>0</v>
      </c>
      <c r="V510" s="205">
        <f t="shared" ca="1" si="202"/>
        <v>0</v>
      </c>
      <c r="W510" s="204"/>
      <c r="X510" s="205">
        <v>0</v>
      </c>
      <c r="Y510" s="206">
        <f t="shared" ca="1" si="203"/>
        <v>0</v>
      </c>
      <c r="Z510" s="277">
        <f t="shared" si="204"/>
        <v>0</v>
      </c>
      <c r="AA510" s="203"/>
      <c r="AB510" s="203">
        <f t="shared" ca="1" si="205"/>
        <v>0</v>
      </c>
      <c r="AC510" s="238"/>
      <c r="AI510" s="367">
        <f t="shared" ca="1" si="200"/>
        <v>46092</v>
      </c>
      <c r="AJ510" s="367" t="b">
        <f t="shared" si="206"/>
        <v>1</v>
      </c>
      <c r="AK510" s="370" t="str">
        <f t="shared" si="207"/>
        <v/>
      </c>
      <c r="AN510">
        <f t="shared" si="208"/>
        <v>0</v>
      </c>
      <c r="AO510">
        <f t="shared" si="209"/>
        <v>1900</v>
      </c>
      <c r="AV510">
        <f t="shared" si="210"/>
        <v>0</v>
      </c>
      <c r="AW510">
        <f t="shared" si="211"/>
        <v>0</v>
      </c>
    </row>
    <row r="511" spans="4:49" ht="15.75" x14ac:dyDescent="0.25">
      <c r="D511" s="199"/>
      <c r="E511" s="200"/>
      <c r="F511" s="287"/>
      <c r="G511" s="201"/>
      <c r="H511" s="219"/>
      <c r="I511" s="202"/>
      <c r="J511" s="200"/>
      <c r="K511" s="200"/>
      <c r="L511" s="203"/>
      <c r="M511" s="204">
        <f ca="1">IF(ISERROR(OFFSET(Tabella!$A$1,MATCH(J511,Tabella!$A:$A,0)-1,MATCH(L511,Tabella!$A$1:$AC$1,0)-1)=TRUE),0,+OFFSET(Tabella!$A$1,MATCH(J511,Tabella!$A:$A,0)-1,MATCH(L511,Tabella!$A$1:$AC$1,0)-1))</f>
        <v>0</v>
      </c>
      <c r="N511" s="205">
        <f ca="1">IF(ISERROR(OFFSET(Ottone!$A$1,MATCH(J511,Ottone!$A:$A,0)-1,MATCH(L511,Ottone!$A$1:$Z$1,0)-1)=TRUE),0,OFFSET(Ottone!$A$1,MATCH(J511,Ottone!$A:$A,0)-1,MATCH(L511,Ottone!$A$1:$Z$1,0)-1))*IF(G511="Ottone",1,0)</f>
        <v>0</v>
      </c>
      <c r="O511" s="205">
        <f ca="1">IF(ISERROR(OFFSET(Rame!$A$1,MATCH(J511,Rame!$A:$A,0)-1,MATCH(L511,Rame!$A$1:$AA$1,0)-1)=TRUE),0,OFFSET(Rame!$A$1,MATCH(J511,Rame!$A:$A,0)-1,MATCH(L511,Rame!$A$1:$AA$1,0)-1))*IF(G511="Rame",1,0)</f>
        <v>0</v>
      </c>
      <c r="P511" s="205">
        <v>0</v>
      </c>
      <c r="Q511" s="205">
        <f t="shared" ca="1" si="201"/>
        <v>0</v>
      </c>
      <c r="R511" s="205">
        <f ca="1">+IF(ISERROR(OFFSET(Tabella!$G$1,MATCH(J511,Tabella!$G:$G,0)-1,MATCH(K511,Tabella!$G$1:$FG$1,0)-1)=TRUE),0,OFFSET(Tabella!$G$1,MATCH(J511,Tabella!$G:$G,0)-1,MATCH(K511,Tabella!$G$1:$AB$1,0)-1))</f>
        <v>0</v>
      </c>
      <c r="S511" s="205">
        <f ca="1">IF(ISERROR(OFFSET(Ottone!$F$1,MATCH(J511,Ottone!$A:$A,0)-1,MATCH(K511,Ottone!$F$1:$FF$1,0)-1)=TRUE),0,OFFSET(Ottone!$F$1,MATCH(J511,Ottone!$A:$A,0)-1,MATCH(K511,Ottone!$F$1:$FF$1,0)-1))*IF(G511="Ottone",1,0)</f>
        <v>0</v>
      </c>
      <c r="T511" s="205">
        <f ca="1">IF(ISERROR(OFFSET(Rame!$F$1,MATCH(J511,Rame!$F:$F,0)-1,MATCH(K511,Rame!$F$1:$FF$1,0)-1)=TRUE),0,OFFSET(Rame!$F$1,MATCH(J511,Rame!$F:$F,0)-1,MATCH(K511,Rame!$F$1:$FF$1,0)-1))*IF(G511="Rame",1,0)</f>
        <v>0</v>
      </c>
      <c r="U511" s="205">
        <f ca="1">IF(ISERROR(OFFSET(Bronzo!$A$1,MATCH(J511,Bronzo!$A:$A,0)-1,MATCH(K511,Bronzo!$A$1:$AA$1,0)-1)=TRUE),0,OFFSET(Bronzo!$A$1,MATCH(J511,Bronzo!$A:$A,0)-1,MATCH(K511,Bronzo!$A$1:$AA$1,0)-1))</f>
        <v>0</v>
      </c>
      <c r="V511" s="205">
        <f t="shared" ca="1" si="202"/>
        <v>0</v>
      </c>
      <c r="W511" s="204"/>
      <c r="X511" s="205">
        <v>0</v>
      </c>
      <c r="Y511" s="206">
        <f t="shared" ca="1" si="203"/>
        <v>0</v>
      </c>
      <c r="Z511" s="277">
        <f t="shared" si="204"/>
        <v>0</v>
      </c>
      <c r="AA511" s="203"/>
      <c r="AB511" s="203">
        <f t="shared" ca="1" si="205"/>
        <v>0</v>
      </c>
      <c r="AC511" s="238"/>
      <c r="AI511" s="367">
        <f t="shared" ca="1" si="200"/>
        <v>46092</v>
      </c>
      <c r="AJ511" s="367" t="b">
        <f t="shared" si="206"/>
        <v>1</v>
      </c>
      <c r="AK511" s="370" t="str">
        <f t="shared" si="207"/>
        <v/>
      </c>
      <c r="AN511">
        <f t="shared" si="208"/>
        <v>0</v>
      </c>
      <c r="AO511">
        <f t="shared" si="209"/>
        <v>1900</v>
      </c>
      <c r="AV511">
        <f t="shared" si="210"/>
        <v>0</v>
      </c>
      <c r="AW511">
        <f t="shared" si="211"/>
        <v>0</v>
      </c>
    </row>
    <row r="512" spans="4:49" ht="15.75" x14ac:dyDescent="0.25">
      <c r="D512" s="199"/>
      <c r="E512" s="200"/>
      <c r="F512" s="287"/>
      <c r="G512" s="201"/>
      <c r="H512" s="219"/>
      <c r="I512" s="202"/>
      <c r="J512" s="200"/>
      <c r="K512" s="200"/>
      <c r="L512" s="203"/>
      <c r="M512" s="204">
        <f ca="1">IF(ISERROR(OFFSET(Tabella!$A$1,MATCH(J512,Tabella!$A:$A,0)-1,MATCH(L512,Tabella!$A$1:$AC$1,0)-1)=TRUE),0,+OFFSET(Tabella!$A$1,MATCH(J512,Tabella!$A:$A,0)-1,MATCH(L512,Tabella!$A$1:$AC$1,0)-1))</f>
        <v>0</v>
      </c>
      <c r="N512" s="205">
        <f ca="1">IF(ISERROR(OFFSET(Ottone!$A$1,MATCH(J512,Ottone!$A:$A,0)-1,MATCH(L512,Ottone!$A$1:$Z$1,0)-1)=TRUE),0,OFFSET(Ottone!$A$1,MATCH(J512,Ottone!$A:$A,0)-1,MATCH(L512,Ottone!$A$1:$Z$1,0)-1))*IF(G512="Ottone",1,0)</f>
        <v>0</v>
      </c>
      <c r="O512" s="205">
        <f ca="1">IF(ISERROR(OFFSET(Rame!$A$1,MATCH(J512,Rame!$A:$A,0)-1,MATCH(L512,Rame!$A$1:$AA$1,0)-1)=TRUE),0,OFFSET(Rame!$A$1,MATCH(J512,Rame!$A:$A,0)-1,MATCH(L512,Rame!$A$1:$AA$1,0)-1))*IF(G512="Rame",1,0)</f>
        <v>0</v>
      </c>
      <c r="P512" s="205">
        <v>0</v>
      </c>
      <c r="Q512" s="205">
        <f t="shared" ca="1" si="201"/>
        <v>0</v>
      </c>
      <c r="R512" s="205">
        <f ca="1">+IF(ISERROR(OFFSET(Tabella!$G$1,MATCH(J512,Tabella!$G:$G,0)-1,MATCH(K512,Tabella!$G$1:$FG$1,0)-1)=TRUE),0,OFFSET(Tabella!$G$1,MATCH(J512,Tabella!$G:$G,0)-1,MATCH(K512,Tabella!$G$1:$AB$1,0)-1))</f>
        <v>0</v>
      </c>
      <c r="S512" s="205">
        <f ca="1">IF(ISERROR(OFFSET(Ottone!$F$1,MATCH(J512,Ottone!$A:$A,0)-1,MATCH(K512,Ottone!$F$1:$FF$1,0)-1)=TRUE),0,OFFSET(Ottone!$F$1,MATCH(J512,Ottone!$A:$A,0)-1,MATCH(K512,Ottone!$F$1:$FF$1,0)-1))*IF(G512="Ottone",1,0)</f>
        <v>0</v>
      </c>
      <c r="T512" s="205">
        <f ca="1">IF(ISERROR(OFFSET(Rame!$F$1,MATCH(J512,Rame!$F:$F,0)-1,MATCH(K512,Rame!$F$1:$FF$1,0)-1)=TRUE),0,OFFSET(Rame!$F$1,MATCH(J512,Rame!$F:$F,0)-1,MATCH(K512,Rame!$F$1:$FF$1,0)-1))*IF(G512="Rame",1,0)</f>
        <v>0</v>
      </c>
      <c r="U512" s="205">
        <f ca="1">IF(ISERROR(OFFSET(Bronzo!$A$1,MATCH(J512,Bronzo!$A:$A,0)-1,MATCH(K512,Bronzo!$A$1:$AA$1,0)-1)=TRUE),0,OFFSET(Bronzo!$A$1,MATCH(J512,Bronzo!$A:$A,0)-1,MATCH(K512,Bronzo!$A$1:$AA$1,0)-1))</f>
        <v>0</v>
      </c>
      <c r="V512" s="205">
        <f t="shared" ca="1" si="202"/>
        <v>0</v>
      </c>
      <c r="W512" s="204"/>
      <c r="X512" s="205">
        <v>0</v>
      </c>
      <c r="Y512" s="206">
        <f t="shared" ca="1" si="203"/>
        <v>0</v>
      </c>
      <c r="Z512" s="277">
        <f t="shared" si="204"/>
        <v>0</v>
      </c>
      <c r="AA512" s="203"/>
      <c r="AB512" s="203">
        <f t="shared" ca="1" si="205"/>
        <v>0</v>
      </c>
      <c r="AC512" s="238"/>
      <c r="AI512" s="367">
        <f t="shared" ref="AI512:AI575" ca="1" si="212">TODAY()</f>
        <v>46092</v>
      </c>
      <c r="AJ512" s="367" t="b">
        <f t="shared" si="206"/>
        <v>1</v>
      </c>
      <c r="AK512" s="370" t="str">
        <f t="shared" si="207"/>
        <v/>
      </c>
      <c r="AN512">
        <f t="shared" si="208"/>
        <v>0</v>
      </c>
      <c r="AO512">
        <f t="shared" si="209"/>
        <v>1900</v>
      </c>
      <c r="AV512">
        <f t="shared" si="210"/>
        <v>0</v>
      </c>
      <c r="AW512">
        <f t="shared" si="211"/>
        <v>0</v>
      </c>
    </row>
    <row r="513" spans="4:49" ht="15.75" x14ac:dyDescent="0.25">
      <c r="D513" s="199"/>
      <c r="E513" s="200"/>
      <c r="F513" s="287"/>
      <c r="G513" s="201"/>
      <c r="H513" s="219"/>
      <c r="I513" s="202"/>
      <c r="J513" s="200"/>
      <c r="K513" s="200"/>
      <c r="L513" s="203"/>
      <c r="M513" s="204">
        <f ca="1">IF(ISERROR(OFFSET(Tabella!$A$1,MATCH(J513,Tabella!$A:$A,0)-1,MATCH(L513,Tabella!$A$1:$AC$1,0)-1)=TRUE),0,+OFFSET(Tabella!$A$1,MATCH(J513,Tabella!$A:$A,0)-1,MATCH(L513,Tabella!$A$1:$AC$1,0)-1))</f>
        <v>0</v>
      </c>
      <c r="N513" s="205">
        <f ca="1">IF(ISERROR(OFFSET(Ottone!$A$1,MATCH(J513,Ottone!$A:$A,0)-1,MATCH(L513,Ottone!$A$1:$Z$1,0)-1)=TRUE),0,OFFSET(Ottone!$A$1,MATCH(J513,Ottone!$A:$A,0)-1,MATCH(L513,Ottone!$A$1:$Z$1,0)-1))*IF(G513="Ottone",1,0)</f>
        <v>0</v>
      </c>
      <c r="O513" s="205">
        <f ca="1">IF(ISERROR(OFFSET(Rame!$A$1,MATCH(J513,Rame!$A:$A,0)-1,MATCH(L513,Rame!$A$1:$AA$1,0)-1)=TRUE),0,OFFSET(Rame!$A$1,MATCH(J513,Rame!$A:$A,0)-1,MATCH(L513,Rame!$A$1:$AA$1,0)-1))*IF(G513="Rame",1,0)</f>
        <v>0</v>
      </c>
      <c r="P513" s="205">
        <v>0</v>
      </c>
      <c r="Q513" s="205">
        <f t="shared" ca="1" si="201"/>
        <v>0</v>
      </c>
      <c r="R513" s="205">
        <f ca="1">+IF(ISERROR(OFFSET(Tabella!$G$1,MATCH(J513,Tabella!$G:$G,0)-1,MATCH(K513,Tabella!$G$1:$FG$1,0)-1)=TRUE),0,OFFSET(Tabella!$G$1,MATCH(J513,Tabella!$G:$G,0)-1,MATCH(K513,Tabella!$G$1:$AB$1,0)-1))</f>
        <v>0</v>
      </c>
      <c r="S513" s="205">
        <f ca="1">IF(ISERROR(OFFSET(Ottone!$F$1,MATCH(J513,Ottone!$A:$A,0)-1,MATCH(K513,Ottone!$F$1:$FF$1,0)-1)=TRUE),0,OFFSET(Ottone!$F$1,MATCH(J513,Ottone!$A:$A,0)-1,MATCH(K513,Ottone!$F$1:$FF$1,0)-1))*IF(G513="Ottone",1,0)</f>
        <v>0</v>
      </c>
      <c r="T513" s="205">
        <f ca="1">IF(ISERROR(OFFSET(Rame!$F$1,MATCH(J513,Rame!$F:$F,0)-1,MATCH(K513,Rame!$F$1:$FF$1,0)-1)=TRUE),0,OFFSET(Rame!$F$1,MATCH(J513,Rame!$F:$F,0)-1,MATCH(K513,Rame!$F$1:$FF$1,0)-1))*IF(G513="Rame",1,0)</f>
        <v>0</v>
      </c>
      <c r="U513" s="205">
        <f ca="1">IF(ISERROR(OFFSET(Bronzo!$A$1,MATCH(J513,Bronzo!$A:$A,0)-1,MATCH(K513,Bronzo!$A$1:$AA$1,0)-1)=TRUE),0,OFFSET(Bronzo!$A$1,MATCH(J513,Bronzo!$A:$A,0)-1,MATCH(K513,Bronzo!$A$1:$AA$1,0)-1))</f>
        <v>0</v>
      </c>
      <c r="V513" s="205">
        <f t="shared" ca="1" si="202"/>
        <v>0</v>
      </c>
      <c r="W513" s="204"/>
      <c r="X513" s="205">
        <v>0</v>
      </c>
      <c r="Y513" s="206">
        <f t="shared" ca="1" si="203"/>
        <v>0</v>
      </c>
      <c r="Z513" s="277">
        <f t="shared" si="204"/>
        <v>0</v>
      </c>
      <c r="AA513" s="203"/>
      <c r="AB513" s="203">
        <f t="shared" ca="1" si="205"/>
        <v>0</v>
      </c>
      <c r="AC513" s="238"/>
      <c r="AI513" s="367">
        <f t="shared" ca="1" si="212"/>
        <v>46092</v>
      </c>
      <c r="AJ513" s="367" t="b">
        <f t="shared" si="206"/>
        <v>1</v>
      </c>
      <c r="AK513" s="370" t="str">
        <f t="shared" si="207"/>
        <v/>
      </c>
      <c r="AN513">
        <f t="shared" si="208"/>
        <v>0</v>
      </c>
      <c r="AO513">
        <f t="shared" si="209"/>
        <v>1900</v>
      </c>
      <c r="AV513">
        <f t="shared" si="210"/>
        <v>0</v>
      </c>
      <c r="AW513">
        <f t="shared" si="211"/>
        <v>0</v>
      </c>
    </row>
    <row r="514" spans="4:49" ht="15.75" x14ac:dyDescent="0.25">
      <c r="D514" s="199"/>
      <c r="E514" s="200"/>
      <c r="F514" s="287"/>
      <c r="G514" s="201"/>
      <c r="H514" s="219"/>
      <c r="I514" s="202"/>
      <c r="J514" s="200"/>
      <c r="K514" s="200"/>
      <c r="L514" s="203"/>
      <c r="M514" s="204">
        <f ca="1">IF(ISERROR(OFFSET(Tabella!$A$1,MATCH(J514,Tabella!$A:$A,0)-1,MATCH(L514,Tabella!$A$1:$AC$1,0)-1)=TRUE),0,+OFFSET(Tabella!$A$1,MATCH(J514,Tabella!$A:$A,0)-1,MATCH(L514,Tabella!$A$1:$AC$1,0)-1))</f>
        <v>0</v>
      </c>
      <c r="N514" s="205">
        <f ca="1">IF(ISERROR(OFFSET(Ottone!$A$1,MATCH(J514,Ottone!$A:$A,0)-1,MATCH(L514,Ottone!$A$1:$Z$1,0)-1)=TRUE),0,OFFSET(Ottone!$A$1,MATCH(J514,Ottone!$A:$A,0)-1,MATCH(L514,Ottone!$A$1:$Z$1,0)-1))*IF(G514="Ottone",1,0)</f>
        <v>0</v>
      </c>
      <c r="O514" s="205">
        <f ca="1">IF(ISERROR(OFFSET(Rame!$A$1,MATCH(J514,Rame!$A:$A,0)-1,MATCH(L514,Rame!$A$1:$AA$1,0)-1)=TRUE),0,OFFSET(Rame!$A$1,MATCH(J514,Rame!$A:$A,0)-1,MATCH(L514,Rame!$A$1:$AA$1,0)-1))*IF(G514="Rame",1,0)</f>
        <v>0</v>
      </c>
      <c r="P514" s="205">
        <v>0</v>
      </c>
      <c r="Q514" s="205">
        <f t="shared" ca="1" si="201"/>
        <v>0</v>
      </c>
      <c r="R514" s="205">
        <f ca="1">+IF(ISERROR(OFFSET(Tabella!$G$1,MATCH(J514,Tabella!$G:$G,0)-1,MATCH(K514,Tabella!$G$1:$FG$1,0)-1)=TRUE),0,OFFSET(Tabella!$G$1,MATCH(J514,Tabella!$G:$G,0)-1,MATCH(K514,Tabella!$G$1:$AB$1,0)-1))</f>
        <v>0</v>
      </c>
      <c r="S514" s="205">
        <f ca="1">IF(ISERROR(OFFSET(Ottone!$F$1,MATCH(J514,Ottone!$A:$A,0)-1,MATCH(K514,Ottone!$F$1:$FF$1,0)-1)=TRUE),0,OFFSET(Ottone!$F$1,MATCH(J514,Ottone!$A:$A,0)-1,MATCH(K514,Ottone!$F$1:$FF$1,0)-1))*IF(G514="Ottone",1,0)</f>
        <v>0</v>
      </c>
      <c r="T514" s="205">
        <f ca="1">IF(ISERROR(OFFSET(Rame!$F$1,MATCH(J514,Rame!$F:$F,0)-1,MATCH(K514,Rame!$F$1:$FF$1,0)-1)=TRUE),0,OFFSET(Rame!$F$1,MATCH(J514,Rame!$F:$F,0)-1,MATCH(K514,Rame!$F$1:$FF$1,0)-1))*IF(G514="Rame",1,0)</f>
        <v>0</v>
      </c>
      <c r="U514" s="205">
        <f ca="1">IF(ISERROR(OFFSET(Bronzo!$A$1,MATCH(J514,Bronzo!$A:$A,0)-1,MATCH(K514,Bronzo!$A$1:$AA$1,0)-1)=TRUE),0,OFFSET(Bronzo!$A$1,MATCH(J514,Bronzo!$A:$A,0)-1,MATCH(K514,Bronzo!$A$1:$AA$1,0)-1))</f>
        <v>0</v>
      </c>
      <c r="V514" s="205">
        <f t="shared" ca="1" si="202"/>
        <v>0</v>
      </c>
      <c r="W514" s="204"/>
      <c r="X514" s="205">
        <v>0</v>
      </c>
      <c r="Y514" s="206">
        <f t="shared" ca="1" si="203"/>
        <v>0</v>
      </c>
      <c r="Z514" s="277">
        <f t="shared" si="204"/>
        <v>0</v>
      </c>
      <c r="AA514" s="203"/>
      <c r="AB514" s="203">
        <f t="shared" ca="1" si="205"/>
        <v>0</v>
      </c>
      <c r="AC514" s="238"/>
      <c r="AI514" s="367">
        <f t="shared" ca="1" si="212"/>
        <v>46092</v>
      </c>
      <c r="AJ514" s="367" t="b">
        <f t="shared" si="206"/>
        <v>1</v>
      </c>
      <c r="AK514" s="370" t="str">
        <f t="shared" si="207"/>
        <v/>
      </c>
      <c r="AN514">
        <f t="shared" si="208"/>
        <v>0</v>
      </c>
      <c r="AO514">
        <f t="shared" si="209"/>
        <v>1900</v>
      </c>
      <c r="AV514">
        <f t="shared" si="210"/>
        <v>0</v>
      </c>
      <c r="AW514">
        <f t="shared" si="211"/>
        <v>0</v>
      </c>
    </row>
    <row r="515" spans="4:49" ht="15.75" x14ac:dyDescent="0.25">
      <c r="D515" s="199"/>
      <c r="E515" s="200"/>
      <c r="F515" s="287"/>
      <c r="G515" s="201"/>
      <c r="H515" s="219"/>
      <c r="I515" s="202"/>
      <c r="J515" s="200"/>
      <c r="K515" s="200"/>
      <c r="L515" s="203"/>
      <c r="M515" s="204">
        <f ca="1">IF(ISERROR(OFFSET(Tabella!$A$1,MATCH(J515,Tabella!$A:$A,0)-1,MATCH(L515,Tabella!$A$1:$AC$1,0)-1)=TRUE),0,+OFFSET(Tabella!$A$1,MATCH(J515,Tabella!$A:$A,0)-1,MATCH(L515,Tabella!$A$1:$AC$1,0)-1))</f>
        <v>0</v>
      </c>
      <c r="N515" s="205">
        <f ca="1">IF(ISERROR(OFFSET(Ottone!$A$1,MATCH(J515,Ottone!$A:$A,0)-1,MATCH(L515,Ottone!$A$1:$Z$1,0)-1)=TRUE),0,OFFSET(Ottone!$A$1,MATCH(J515,Ottone!$A:$A,0)-1,MATCH(L515,Ottone!$A$1:$Z$1,0)-1))*IF(G515="Ottone",1,0)</f>
        <v>0</v>
      </c>
      <c r="O515" s="205">
        <f ca="1">IF(ISERROR(OFFSET(Rame!$A$1,MATCH(J515,Rame!$A:$A,0)-1,MATCH(L515,Rame!$A$1:$AA$1,0)-1)=TRUE),0,OFFSET(Rame!$A$1,MATCH(J515,Rame!$A:$A,0)-1,MATCH(L515,Rame!$A$1:$AA$1,0)-1))*IF(G515="Rame",1,0)</f>
        <v>0</v>
      </c>
      <c r="P515" s="205">
        <v>0</v>
      </c>
      <c r="Q515" s="205">
        <f t="shared" ca="1" si="201"/>
        <v>0</v>
      </c>
      <c r="R515" s="205">
        <f ca="1">+IF(ISERROR(OFFSET(Tabella!$G$1,MATCH(J515,Tabella!$G:$G,0)-1,MATCH(K515,Tabella!$G$1:$FG$1,0)-1)=TRUE),0,OFFSET(Tabella!$G$1,MATCH(J515,Tabella!$G:$G,0)-1,MATCH(K515,Tabella!$G$1:$AB$1,0)-1))</f>
        <v>0</v>
      </c>
      <c r="S515" s="205">
        <f ca="1">IF(ISERROR(OFFSET(Ottone!$F$1,MATCH(J515,Ottone!$A:$A,0)-1,MATCH(K515,Ottone!$F$1:$FF$1,0)-1)=TRUE),0,OFFSET(Ottone!$F$1,MATCH(J515,Ottone!$A:$A,0)-1,MATCH(K515,Ottone!$F$1:$FF$1,0)-1))*IF(G515="Ottone",1,0)</f>
        <v>0</v>
      </c>
      <c r="T515" s="205">
        <f ca="1">IF(ISERROR(OFFSET(Rame!$F$1,MATCH(J515,Rame!$F:$F,0)-1,MATCH(K515,Rame!$F$1:$FF$1,0)-1)=TRUE),0,OFFSET(Rame!$F$1,MATCH(J515,Rame!$F:$F,0)-1,MATCH(K515,Rame!$F$1:$FF$1,0)-1))*IF(G515="Rame",1,0)</f>
        <v>0</v>
      </c>
      <c r="U515" s="205">
        <f ca="1">IF(ISERROR(OFFSET(Bronzo!$A$1,MATCH(J515,Bronzo!$A:$A,0)-1,MATCH(K515,Bronzo!$A$1:$AA$1,0)-1)=TRUE),0,OFFSET(Bronzo!$A$1,MATCH(J515,Bronzo!$A:$A,0)-1,MATCH(K515,Bronzo!$A$1:$AA$1,0)-1))</f>
        <v>0</v>
      </c>
      <c r="V515" s="205">
        <f t="shared" ca="1" si="202"/>
        <v>0</v>
      </c>
      <c r="W515" s="204"/>
      <c r="X515" s="205">
        <v>0</v>
      </c>
      <c r="Y515" s="206">
        <f t="shared" ca="1" si="203"/>
        <v>0</v>
      </c>
      <c r="Z515" s="277">
        <f t="shared" si="204"/>
        <v>0</v>
      </c>
      <c r="AA515" s="203"/>
      <c r="AB515" s="203">
        <f t="shared" ca="1" si="205"/>
        <v>0</v>
      </c>
      <c r="AC515" s="238"/>
      <c r="AI515" s="367">
        <f t="shared" ca="1" si="212"/>
        <v>46092</v>
      </c>
      <c r="AJ515" s="367" t="b">
        <f t="shared" si="206"/>
        <v>1</v>
      </c>
      <c r="AK515" s="370" t="str">
        <f t="shared" si="207"/>
        <v/>
      </c>
      <c r="AN515">
        <f t="shared" si="208"/>
        <v>0</v>
      </c>
      <c r="AO515">
        <f t="shared" si="209"/>
        <v>1900</v>
      </c>
      <c r="AV515">
        <f t="shared" si="210"/>
        <v>0</v>
      </c>
      <c r="AW515">
        <f t="shared" si="211"/>
        <v>0</v>
      </c>
    </row>
    <row r="516" spans="4:49" ht="15.75" x14ac:dyDescent="0.25">
      <c r="D516" s="199"/>
      <c r="E516" s="200"/>
      <c r="F516" s="287"/>
      <c r="G516" s="201"/>
      <c r="H516" s="219"/>
      <c r="I516" s="202"/>
      <c r="J516" s="200"/>
      <c r="K516" s="200"/>
      <c r="L516" s="203"/>
      <c r="M516" s="204">
        <f ca="1">IF(ISERROR(OFFSET(Tabella!$A$1,MATCH(J516,Tabella!$A:$A,0)-1,MATCH(L516,Tabella!$A$1:$AC$1,0)-1)=TRUE),0,+OFFSET(Tabella!$A$1,MATCH(J516,Tabella!$A:$A,0)-1,MATCH(L516,Tabella!$A$1:$AC$1,0)-1))</f>
        <v>0</v>
      </c>
      <c r="N516" s="205">
        <f ca="1">IF(ISERROR(OFFSET(Ottone!$A$1,MATCH(J516,Ottone!$A:$A,0)-1,MATCH(L516,Ottone!$A$1:$Z$1,0)-1)=TRUE),0,OFFSET(Ottone!$A$1,MATCH(J516,Ottone!$A:$A,0)-1,MATCH(L516,Ottone!$A$1:$Z$1,0)-1))*IF(G516="Ottone",1,0)</f>
        <v>0</v>
      </c>
      <c r="O516" s="205">
        <f ca="1">IF(ISERROR(OFFSET(Rame!$A$1,MATCH(J516,Rame!$A:$A,0)-1,MATCH(L516,Rame!$A$1:$AA$1,0)-1)=TRUE),0,OFFSET(Rame!$A$1,MATCH(J516,Rame!$A:$A,0)-1,MATCH(L516,Rame!$A$1:$AA$1,0)-1))*IF(G516="Rame",1,0)</f>
        <v>0</v>
      </c>
      <c r="P516" s="205">
        <v>0</v>
      </c>
      <c r="Q516" s="205">
        <f t="shared" ca="1" si="201"/>
        <v>0</v>
      </c>
      <c r="R516" s="205">
        <f ca="1">+IF(ISERROR(OFFSET(Tabella!$G$1,MATCH(J516,Tabella!$G:$G,0)-1,MATCH(K516,Tabella!$G$1:$FG$1,0)-1)=TRUE),0,OFFSET(Tabella!$G$1,MATCH(J516,Tabella!$G:$G,0)-1,MATCH(K516,Tabella!$G$1:$AB$1,0)-1))</f>
        <v>0</v>
      </c>
      <c r="S516" s="205">
        <f ca="1">IF(ISERROR(OFFSET(Ottone!$F$1,MATCH(J516,Ottone!$A:$A,0)-1,MATCH(K516,Ottone!$F$1:$FF$1,0)-1)=TRUE),0,OFFSET(Ottone!$F$1,MATCH(J516,Ottone!$A:$A,0)-1,MATCH(K516,Ottone!$F$1:$FF$1,0)-1))*IF(G516="Ottone",1,0)</f>
        <v>0</v>
      </c>
      <c r="T516" s="205">
        <f ca="1">IF(ISERROR(OFFSET(Rame!$F$1,MATCH(J516,Rame!$F:$F,0)-1,MATCH(K516,Rame!$F$1:$FF$1,0)-1)=TRUE),0,OFFSET(Rame!$F$1,MATCH(J516,Rame!$F:$F,0)-1,MATCH(K516,Rame!$F$1:$FF$1,0)-1))*IF(G516="Rame",1,0)</f>
        <v>0</v>
      </c>
      <c r="U516" s="205">
        <f ca="1">IF(ISERROR(OFFSET(Bronzo!$A$1,MATCH(J516,Bronzo!$A:$A,0)-1,MATCH(K516,Bronzo!$A$1:$AA$1,0)-1)=TRUE),0,OFFSET(Bronzo!$A$1,MATCH(J516,Bronzo!$A:$A,0)-1,MATCH(K516,Bronzo!$A$1:$AA$1,0)-1))</f>
        <v>0</v>
      </c>
      <c r="V516" s="205">
        <f t="shared" ca="1" si="202"/>
        <v>0</v>
      </c>
      <c r="W516" s="204"/>
      <c r="X516" s="205">
        <v>0</v>
      </c>
      <c r="Y516" s="206">
        <f t="shared" ca="1" si="203"/>
        <v>0</v>
      </c>
      <c r="Z516" s="277">
        <f t="shared" si="204"/>
        <v>0</v>
      </c>
      <c r="AA516" s="203"/>
      <c r="AB516" s="203">
        <f t="shared" ca="1" si="205"/>
        <v>0</v>
      </c>
      <c r="AC516" s="238"/>
      <c r="AI516" s="367">
        <f t="shared" ca="1" si="212"/>
        <v>46092</v>
      </c>
      <c r="AJ516" s="367" t="b">
        <f t="shared" si="206"/>
        <v>1</v>
      </c>
      <c r="AK516" s="370" t="str">
        <f t="shared" si="207"/>
        <v/>
      </c>
      <c r="AN516">
        <f t="shared" si="208"/>
        <v>0</v>
      </c>
      <c r="AO516">
        <f t="shared" si="209"/>
        <v>1900</v>
      </c>
      <c r="AV516">
        <f t="shared" si="210"/>
        <v>0</v>
      </c>
      <c r="AW516">
        <f t="shared" si="211"/>
        <v>0</v>
      </c>
    </row>
    <row r="517" spans="4:49" ht="15.75" x14ac:dyDescent="0.25">
      <c r="D517" s="199"/>
      <c r="E517" s="200"/>
      <c r="F517" s="287"/>
      <c r="G517" s="201"/>
      <c r="H517" s="219"/>
      <c r="I517" s="202"/>
      <c r="J517" s="200"/>
      <c r="K517" s="200"/>
      <c r="L517" s="203"/>
      <c r="M517" s="204">
        <f ca="1">IF(ISERROR(OFFSET(Tabella!$A$1,MATCH(J517,Tabella!$A:$A,0)-1,MATCH(L517,Tabella!$A$1:$AC$1,0)-1)=TRUE),0,+OFFSET(Tabella!$A$1,MATCH(J517,Tabella!$A:$A,0)-1,MATCH(L517,Tabella!$A$1:$AC$1,0)-1))</f>
        <v>0</v>
      </c>
      <c r="N517" s="205">
        <f ca="1">IF(ISERROR(OFFSET(Ottone!$A$1,MATCH(J517,Ottone!$A:$A,0)-1,MATCH(L517,Ottone!$A$1:$Z$1,0)-1)=TRUE),0,OFFSET(Ottone!$A$1,MATCH(J517,Ottone!$A:$A,0)-1,MATCH(L517,Ottone!$A$1:$Z$1,0)-1))*IF(G517="Ottone",1,0)</f>
        <v>0</v>
      </c>
      <c r="O517" s="205">
        <f ca="1">IF(ISERROR(OFFSET(Rame!$A$1,MATCH(J517,Rame!$A:$A,0)-1,MATCH(L517,Rame!$A$1:$AA$1,0)-1)=TRUE),0,OFFSET(Rame!$A$1,MATCH(J517,Rame!$A:$A,0)-1,MATCH(L517,Rame!$A$1:$AA$1,0)-1))*IF(G517="Rame",1,0)</f>
        <v>0</v>
      </c>
      <c r="P517" s="205">
        <v>0</v>
      </c>
      <c r="Q517" s="205">
        <f t="shared" ca="1" si="201"/>
        <v>0</v>
      </c>
      <c r="R517" s="205">
        <f ca="1">+IF(ISERROR(OFFSET(Tabella!$G$1,MATCH(J517,Tabella!$G:$G,0)-1,MATCH(K517,Tabella!$G$1:$FG$1,0)-1)=TRUE),0,OFFSET(Tabella!$G$1,MATCH(J517,Tabella!$G:$G,0)-1,MATCH(K517,Tabella!$G$1:$AB$1,0)-1))</f>
        <v>0</v>
      </c>
      <c r="S517" s="205">
        <f ca="1">IF(ISERROR(OFFSET(Ottone!$F$1,MATCH(J517,Ottone!$A:$A,0)-1,MATCH(K517,Ottone!$F$1:$FF$1,0)-1)=TRUE),0,OFFSET(Ottone!$F$1,MATCH(J517,Ottone!$A:$A,0)-1,MATCH(K517,Ottone!$F$1:$FF$1,0)-1))*IF(G517="Ottone",1,0)</f>
        <v>0</v>
      </c>
      <c r="T517" s="205">
        <f ca="1">IF(ISERROR(OFFSET(Rame!$F$1,MATCH(J517,Rame!$F:$F,0)-1,MATCH(K517,Rame!$F$1:$FF$1,0)-1)=TRUE),0,OFFSET(Rame!$F$1,MATCH(J517,Rame!$F:$F,0)-1,MATCH(K517,Rame!$F$1:$FF$1,0)-1))*IF(G517="Rame",1,0)</f>
        <v>0</v>
      </c>
      <c r="U517" s="205">
        <f ca="1">IF(ISERROR(OFFSET(Bronzo!$A$1,MATCH(J517,Bronzo!$A:$A,0)-1,MATCH(K517,Bronzo!$A$1:$AA$1,0)-1)=TRUE),0,OFFSET(Bronzo!$A$1,MATCH(J517,Bronzo!$A:$A,0)-1,MATCH(K517,Bronzo!$A$1:$AA$1,0)-1))</f>
        <v>0</v>
      </c>
      <c r="V517" s="205">
        <f t="shared" ca="1" si="202"/>
        <v>0</v>
      </c>
      <c r="W517" s="204"/>
      <c r="X517" s="205">
        <v>0</v>
      </c>
      <c r="Y517" s="206">
        <f t="shared" ca="1" si="203"/>
        <v>0</v>
      </c>
      <c r="Z517" s="277">
        <f t="shared" si="204"/>
        <v>0</v>
      </c>
      <c r="AA517" s="203"/>
      <c r="AB517" s="203">
        <f t="shared" ca="1" si="205"/>
        <v>0</v>
      </c>
      <c r="AC517" s="238"/>
      <c r="AI517" s="367">
        <f t="shared" ca="1" si="212"/>
        <v>46092</v>
      </c>
      <c r="AJ517" s="367" t="b">
        <f t="shared" si="206"/>
        <v>1</v>
      </c>
      <c r="AK517" s="370" t="str">
        <f t="shared" si="207"/>
        <v/>
      </c>
      <c r="AN517">
        <f t="shared" si="208"/>
        <v>0</v>
      </c>
      <c r="AO517">
        <f t="shared" si="209"/>
        <v>1900</v>
      </c>
      <c r="AV517">
        <f t="shared" si="210"/>
        <v>0</v>
      </c>
      <c r="AW517">
        <f t="shared" si="211"/>
        <v>0</v>
      </c>
    </row>
    <row r="518" spans="4:49" ht="15.75" x14ac:dyDescent="0.25">
      <c r="D518" s="199"/>
      <c r="E518" s="200"/>
      <c r="F518" s="287"/>
      <c r="G518" s="201"/>
      <c r="H518" s="219"/>
      <c r="I518" s="202"/>
      <c r="J518" s="200"/>
      <c r="K518" s="200"/>
      <c r="L518" s="203"/>
      <c r="M518" s="204">
        <f ca="1">IF(ISERROR(OFFSET(Tabella!$A$1,MATCH(J518,Tabella!$A:$A,0)-1,MATCH(L518,Tabella!$A$1:$AC$1,0)-1)=TRUE),0,+OFFSET(Tabella!$A$1,MATCH(J518,Tabella!$A:$A,0)-1,MATCH(L518,Tabella!$A$1:$AC$1,0)-1))</f>
        <v>0</v>
      </c>
      <c r="N518" s="205">
        <f ca="1">IF(ISERROR(OFFSET(Ottone!$A$1,MATCH(J518,Ottone!$A:$A,0)-1,MATCH(L518,Ottone!$A$1:$Z$1,0)-1)=TRUE),0,OFFSET(Ottone!$A$1,MATCH(J518,Ottone!$A:$A,0)-1,MATCH(L518,Ottone!$A$1:$Z$1,0)-1))*IF(G518="Ottone",1,0)</f>
        <v>0</v>
      </c>
      <c r="O518" s="205">
        <f ca="1">IF(ISERROR(OFFSET(Rame!$A$1,MATCH(J518,Rame!$A:$A,0)-1,MATCH(L518,Rame!$A$1:$AA$1,0)-1)=TRUE),0,OFFSET(Rame!$A$1,MATCH(J518,Rame!$A:$A,0)-1,MATCH(L518,Rame!$A$1:$AA$1,0)-1))*IF(G518="Rame",1,0)</f>
        <v>0</v>
      </c>
      <c r="P518" s="205">
        <v>0</v>
      </c>
      <c r="Q518" s="205">
        <f t="shared" ca="1" si="201"/>
        <v>0</v>
      </c>
      <c r="R518" s="205">
        <f ca="1">+IF(ISERROR(OFFSET(Tabella!$G$1,MATCH(J518,Tabella!$G:$G,0)-1,MATCH(K518,Tabella!$G$1:$FG$1,0)-1)=TRUE),0,OFFSET(Tabella!$G$1,MATCH(J518,Tabella!$G:$G,0)-1,MATCH(K518,Tabella!$G$1:$AB$1,0)-1))</f>
        <v>0</v>
      </c>
      <c r="S518" s="205">
        <f ca="1">IF(ISERROR(OFFSET(Ottone!$F$1,MATCH(J518,Ottone!$A:$A,0)-1,MATCH(K518,Ottone!$F$1:$FF$1,0)-1)=TRUE),0,OFFSET(Ottone!$F$1,MATCH(J518,Ottone!$A:$A,0)-1,MATCH(K518,Ottone!$F$1:$FF$1,0)-1))*IF(G518="Ottone",1,0)</f>
        <v>0</v>
      </c>
      <c r="T518" s="205">
        <f ca="1">IF(ISERROR(OFFSET(Rame!$F$1,MATCH(J518,Rame!$F:$F,0)-1,MATCH(K518,Rame!$F$1:$FF$1,0)-1)=TRUE),0,OFFSET(Rame!$F$1,MATCH(J518,Rame!$F:$F,0)-1,MATCH(K518,Rame!$F$1:$FF$1,0)-1))*IF(G518="Rame",1,0)</f>
        <v>0</v>
      </c>
      <c r="U518" s="205">
        <f ca="1">IF(ISERROR(OFFSET(Bronzo!$A$1,MATCH(J518,Bronzo!$A:$A,0)-1,MATCH(K518,Bronzo!$A$1:$AA$1,0)-1)=TRUE),0,OFFSET(Bronzo!$A$1,MATCH(J518,Bronzo!$A:$A,0)-1,MATCH(K518,Bronzo!$A$1:$AA$1,0)-1))</f>
        <v>0</v>
      </c>
      <c r="V518" s="205">
        <f t="shared" ca="1" si="202"/>
        <v>0</v>
      </c>
      <c r="W518" s="204"/>
      <c r="X518" s="205">
        <v>0</v>
      </c>
      <c r="Y518" s="206">
        <f t="shared" ca="1" si="203"/>
        <v>0</v>
      </c>
      <c r="Z518" s="277">
        <f t="shared" si="204"/>
        <v>0</v>
      </c>
      <c r="AA518" s="203"/>
      <c r="AB518" s="203">
        <f t="shared" ca="1" si="205"/>
        <v>0</v>
      </c>
      <c r="AC518" s="238"/>
      <c r="AI518" s="367">
        <f t="shared" ca="1" si="212"/>
        <v>46092</v>
      </c>
      <c r="AJ518" s="367" t="b">
        <f t="shared" si="206"/>
        <v>1</v>
      </c>
      <c r="AK518" s="370" t="str">
        <f t="shared" si="207"/>
        <v/>
      </c>
      <c r="AN518">
        <f t="shared" si="208"/>
        <v>0</v>
      </c>
      <c r="AO518">
        <f t="shared" si="209"/>
        <v>1900</v>
      </c>
      <c r="AV518">
        <f t="shared" si="210"/>
        <v>0</v>
      </c>
      <c r="AW518">
        <f t="shared" si="211"/>
        <v>0</v>
      </c>
    </row>
    <row r="519" spans="4:49" ht="15.75" x14ac:dyDescent="0.25">
      <c r="D519" s="199"/>
      <c r="E519" s="200"/>
      <c r="F519" s="287"/>
      <c r="G519" s="201"/>
      <c r="H519" s="219"/>
      <c r="I519" s="202"/>
      <c r="J519" s="200"/>
      <c r="K519" s="200"/>
      <c r="L519" s="203"/>
      <c r="M519" s="204">
        <f ca="1">IF(ISERROR(OFFSET(Tabella!$A$1,MATCH(J519,Tabella!$A:$A,0)-1,MATCH(L519,Tabella!$A$1:$AC$1,0)-1)=TRUE),0,+OFFSET(Tabella!$A$1,MATCH(J519,Tabella!$A:$A,0)-1,MATCH(L519,Tabella!$A$1:$AC$1,0)-1))</f>
        <v>0</v>
      </c>
      <c r="N519" s="205">
        <f ca="1">IF(ISERROR(OFFSET(Ottone!$A$1,MATCH(J519,Ottone!$A:$A,0)-1,MATCH(L519,Ottone!$A$1:$Z$1,0)-1)=TRUE),0,OFFSET(Ottone!$A$1,MATCH(J519,Ottone!$A:$A,0)-1,MATCH(L519,Ottone!$A$1:$Z$1,0)-1))*IF(G519="Ottone",1,0)</f>
        <v>0</v>
      </c>
      <c r="O519" s="205">
        <f ca="1">IF(ISERROR(OFFSET(Rame!$A$1,MATCH(J519,Rame!$A:$A,0)-1,MATCH(L519,Rame!$A$1:$AA$1,0)-1)=TRUE),0,OFFSET(Rame!$A$1,MATCH(J519,Rame!$A:$A,0)-1,MATCH(L519,Rame!$A$1:$AA$1,0)-1))*IF(G519="Rame",1,0)</f>
        <v>0</v>
      </c>
      <c r="P519" s="205">
        <v>0</v>
      </c>
      <c r="Q519" s="205">
        <f t="shared" ca="1" si="201"/>
        <v>0</v>
      </c>
      <c r="R519" s="205">
        <f ca="1">+IF(ISERROR(OFFSET(Tabella!$G$1,MATCH(J519,Tabella!$G:$G,0)-1,MATCH(K519,Tabella!$G$1:$FG$1,0)-1)=TRUE),0,OFFSET(Tabella!$G$1,MATCH(J519,Tabella!$G:$G,0)-1,MATCH(K519,Tabella!$G$1:$AB$1,0)-1))</f>
        <v>0</v>
      </c>
      <c r="S519" s="205">
        <f ca="1">IF(ISERROR(OFFSET(Ottone!$F$1,MATCH(J519,Ottone!$A:$A,0)-1,MATCH(K519,Ottone!$F$1:$FF$1,0)-1)=TRUE),0,OFFSET(Ottone!$F$1,MATCH(J519,Ottone!$A:$A,0)-1,MATCH(K519,Ottone!$F$1:$FF$1,0)-1))*IF(G519="Ottone",1,0)</f>
        <v>0</v>
      </c>
      <c r="T519" s="205">
        <f ca="1">IF(ISERROR(OFFSET(Rame!$F$1,MATCH(J519,Rame!$F:$F,0)-1,MATCH(K519,Rame!$F$1:$FF$1,0)-1)=TRUE),0,OFFSET(Rame!$F$1,MATCH(J519,Rame!$F:$F,0)-1,MATCH(K519,Rame!$F$1:$FF$1,0)-1))*IF(G519="Rame",1,0)</f>
        <v>0</v>
      </c>
      <c r="U519" s="205">
        <f ca="1">IF(ISERROR(OFFSET(Bronzo!$A$1,MATCH(J519,Bronzo!$A:$A,0)-1,MATCH(K519,Bronzo!$A$1:$AA$1,0)-1)=TRUE),0,OFFSET(Bronzo!$A$1,MATCH(J519,Bronzo!$A:$A,0)-1,MATCH(K519,Bronzo!$A$1:$AA$1,0)-1))</f>
        <v>0</v>
      </c>
      <c r="V519" s="205">
        <f t="shared" ca="1" si="202"/>
        <v>0</v>
      </c>
      <c r="W519" s="204"/>
      <c r="X519" s="205">
        <v>0</v>
      </c>
      <c r="Y519" s="206">
        <f t="shared" ca="1" si="203"/>
        <v>0</v>
      </c>
      <c r="Z519" s="277">
        <f t="shared" si="204"/>
        <v>0</v>
      </c>
      <c r="AA519" s="203"/>
      <c r="AB519" s="203">
        <f t="shared" ca="1" si="205"/>
        <v>0</v>
      </c>
      <c r="AC519" s="238"/>
      <c r="AI519" s="367">
        <f t="shared" ca="1" si="212"/>
        <v>46092</v>
      </c>
      <c r="AJ519" s="367" t="b">
        <f t="shared" si="206"/>
        <v>1</v>
      </c>
      <c r="AK519" s="370" t="str">
        <f t="shared" si="207"/>
        <v/>
      </c>
      <c r="AN519">
        <f t="shared" si="208"/>
        <v>0</v>
      </c>
      <c r="AO519">
        <f t="shared" si="209"/>
        <v>1900</v>
      </c>
      <c r="AV519">
        <f t="shared" si="210"/>
        <v>0</v>
      </c>
      <c r="AW519">
        <f t="shared" si="211"/>
        <v>0</v>
      </c>
    </row>
    <row r="520" spans="4:49" ht="15.75" x14ac:dyDescent="0.25">
      <c r="D520" s="199"/>
      <c r="E520" s="200"/>
      <c r="F520" s="287"/>
      <c r="G520" s="201"/>
      <c r="H520" s="219"/>
      <c r="I520" s="202"/>
      <c r="J520" s="200"/>
      <c r="K520" s="200"/>
      <c r="L520" s="203"/>
      <c r="M520" s="204">
        <f ca="1">IF(ISERROR(OFFSET(Tabella!$A$1,MATCH(J520,Tabella!$A:$A,0)-1,MATCH(L520,Tabella!$A$1:$AC$1,0)-1)=TRUE),0,+OFFSET(Tabella!$A$1,MATCH(J520,Tabella!$A:$A,0)-1,MATCH(L520,Tabella!$A$1:$AC$1,0)-1))</f>
        <v>0</v>
      </c>
      <c r="N520" s="205">
        <f ca="1">IF(ISERROR(OFFSET(Ottone!$A$1,MATCH(J520,Ottone!$A:$A,0)-1,MATCH(L520,Ottone!$A$1:$Z$1,0)-1)=TRUE),0,OFFSET(Ottone!$A$1,MATCH(J520,Ottone!$A:$A,0)-1,MATCH(L520,Ottone!$A$1:$Z$1,0)-1))*IF(G520="Ottone",1,0)</f>
        <v>0</v>
      </c>
      <c r="O520" s="205">
        <f ca="1">IF(ISERROR(OFFSET(Rame!$A$1,MATCH(J520,Rame!$A:$A,0)-1,MATCH(L520,Rame!$A$1:$AA$1,0)-1)=TRUE),0,OFFSET(Rame!$A$1,MATCH(J520,Rame!$A:$A,0)-1,MATCH(L520,Rame!$A$1:$AA$1,0)-1))*IF(G520="Rame",1,0)</f>
        <v>0</v>
      </c>
      <c r="P520" s="205">
        <v>0</v>
      </c>
      <c r="Q520" s="205">
        <f t="shared" ca="1" si="201"/>
        <v>0</v>
      </c>
      <c r="R520" s="205">
        <f ca="1">+IF(ISERROR(OFFSET(Tabella!$G$1,MATCH(J520,Tabella!$G:$G,0)-1,MATCH(K520,Tabella!$G$1:$FG$1,0)-1)=TRUE),0,OFFSET(Tabella!$G$1,MATCH(J520,Tabella!$G:$G,0)-1,MATCH(K520,Tabella!$G$1:$AB$1,0)-1))</f>
        <v>0</v>
      </c>
      <c r="S520" s="205">
        <f ca="1">IF(ISERROR(OFFSET(Ottone!$F$1,MATCH(J520,Ottone!$A:$A,0)-1,MATCH(K520,Ottone!$F$1:$FF$1,0)-1)=TRUE),0,OFFSET(Ottone!$F$1,MATCH(J520,Ottone!$A:$A,0)-1,MATCH(K520,Ottone!$F$1:$FF$1,0)-1))*IF(G520="Ottone",1,0)</f>
        <v>0</v>
      </c>
      <c r="T520" s="205">
        <f ca="1">IF(ISERROR(OFFSET(Rame!$F$1,MATCH(J520,Rame!$F:$F,0)-1,MATCH(K520,Rame!$F$1:$FF$1,0)-1)=TRUE),0,OFFSET(Rame!$F$1,MATCH(J520,Rame!$F:$F,0)-1,MATCH(K520,Rame!$F$1:$FF$1,0)-1))*IF(G520="Rame",1,0)</f>
        <v>0</v>
      </c>
      <c r="U520" s="205">
        <f ca="1">IF(ISERROR(OFFSET(Bronzo!$A$1,MATCH(J520,Bronzo!$A:$A,0)-1,MATCH(K520,Bronzo!$A$1:$AA$1,0)-1)=TRUE),0,OFFSET(Bronzo!$A$1,MATCH(J520,Bronzo!$A:$A,0)-1,MATCH(K520,Bronzo!$A$1:$AA$1,0)-1))</f>
        <v>0</v>
      </c>
      <c r="V520" s="205">
        <f t="shared" ca="1" si="202"/>
        <v>0</v>
      </c>
      <c r="W520" s="204"/>
      <c r="X520" s="205">
        <v>0</v>
      </c>
      <c r="Y520" s="206">
        <f t="shared" ca="1" si="203"/>
        <v>0</v>
      </c>
      <c r="Z520" s="277">
        <f t="shared" si="204"/>
        <v>0</v>
      </c>
      <c r="AA520" s="203"/>
      <c r="AB520" s="203">
        <f t="shared" ca="1" si="205"/>
        <v>0</v>
      </c>
      <c r="AC520" s="238"/>
      <c r="AI520" s="367">
        <f t="shared" ca="1" si="212"/>
        <v>46092</v>
      </c>
      <c r="AJ520" s="367" t="b">
        <f t="shared" si="206"/>
        <v>1</v>
      </c>
      <c r="AK520" s="370" t="str">
        <f t="shared" si="207"/>
        <v/>
      </c>
      <c r="AN520">
        <f t="shared" si="208"/>
        <v>0</v>
      </c>
      <c r="AO520">
        <f t="shared" si="209"/>
        <v>1900</v>
      </c>
      <c r="AV520">
        <f t="shared" si="210"/>
        <v>0</v>
      </c>
      <c r="AW520">
        <f t="shared" si="211"/>
        <v>0</v>
      </c>
    </row>
    <row r="521" spans="4:49" ht="15.75" x14ac:dyDescent="0.25">
      <c r="D521" s="199"/>
      <c r="E521" s="200"/>
      <c r="F521" s="287"/>
      <c r="G521" s="201"/>
      <c r="H521" s="219"/>
      <c r="I521" s="202"/>
      <c r="J521" s="200"/>
      <c r="K521" s="200"/>
      <c r="L521" s="203"/>
      <c r="M521" s="204">
        <f ca="1">IF(ISERROR(OFFSET(Tabella!$A$1,MATCH(J521,Tabella!$A:$A,0)-1,MATCH(L521,Tabella!$A$1:$AC$1,0)-1)=TRUE),0,+OFFSET(Tabella!$A$1,MATCH(J521,Tabella!$A:$A,0)-1,MATCH(L521,Tabella!$A$1:$AC$1,0)-1))</f>
        <v>0</v>
      </c>
      <c r="N521" s="205">
        <f ca="1">IF(ISERROR(OFFSET(Ottone!$A$1,MATCH(J521,Ottone!$A:$A,0)-1,MATCH(L521,Ottone!$A$1:$Z$1,0)-1)=TRUE),0,OFFSET(Ottone!$A$1,MATCH(J521,Ottone!$A:$A,0)-1,MATCH(L521,Ottone!$A$1:$Z$1,0)-1))*IF(G521="Ottone",1,0)</f>
        <v>0</v>
      </c>
      <c r="O521" s="205">
        <f ca="1">IF(ISERROR(OFFSET(Rame!$A$1,MATCH(J521,Rame!$A:$A,0)-1,MATCH(L521,Rame!$A$1:$AA$1,0)-1)=TRUE),0,OFFSET(Rame!$A$1,MATCH(J521,Rame!$A:$A,0)-1,MATCH(L521,Rame!$A$1:$AA$1,0)-1))*IF(G521="Rame",1,0)</f>
        <v>0</v>
      </c>
      <c r="P521" s="205">
        <v>0</v>
      </c>
      <c r="Q521" s="205">
        <f t="shared" ca="1" si="201"/>
        <v>0</v>
      </c>
      <c r="R521" s="205">
        <f ca="1">+IF(ISERROR(OFFSET(Tabella!$G$1,MATCH(J521,Tabella!$G:$G,0)-1,MATCH(K521,Tabella!$G$1:$FG$1,0)-1)=TRUE),0,OFFSET(Tabella!$G$1,MATCH(J521,Tabella!$G:$G,0)-1,MATCH(K521,Tabella!$G$1:$AB$1,0)-1))</f>
        <v>0</v>
      </c>
      <c r="S521" s="205">
        <f ca="1">IF(ISERROR(OFFSET(Ottone!$F$1,MATCH(J521,Ottone!$A:$A,0)-1,MATCH(K521,Ottone!$F$1:$FF$1,0)-1)=TRUE),0,OFFSET(Ottone!$F$1,MATCH(J521,Ottone!$A:$A,0)-1,MATCH(K521,Ottone!$F$1:$FF$1,0)-1))*IF(G521="Ottone",1,0)</f>
        <v>0</v>
      </c>
      <c r="T521" s="205">
        <f ca="1">IF(ISERROR(OFFSET(Rame!$F$1,MATCH(J521,Rame!$F:$F,0)-1,MATCH(K521,Rame!$F$1:$FF$1,0)-1)=TRUE),0,OFFSET(Rame!$F$1,MATCH(J521,Rame!$F:$F,0)-1,MATCH(K521,Rame!$F$1:$FF$1,0)-1))*IF(G521="Rame",1,0)</f>
        <v>0</v>
      </c>
      <c r="U521" s="205">
        <f ca="1">IF(ISERROR(OFFSET(Bronzo!$A$1,MATCH(J521,Bronzo!$A:$A,0)-1,MATCH(K521,Bronzo!$A$1:$AA$1,0)-1)=TRUE),0,OFFSET(Bronzo!$A$1,MATCH(J521,Bronzo!$A:$A,0)-1,MATCH(K521,Bronzo!$A$1:$AA$1,0)-1))</f>
        <v>0</v>
      </c>
      <c r="V521" s="205">
        <f t="shared" ca="1" si="202"/>
        <v>0</v>
      </c>
      <c r="W521" s="204"/>
      <c r="X521" s="205">
        <v>0</v>
      </c>
      <c r="Y521" s="206">
        <f t="shared" ca="1" si="203"/>
        <v>0</v>
      </c>
      <c r="Z521" s="277">
        <f t="shared" si="204"/>
        <v>0</v>
      </c>
      <c r="AA521" s="203"/>
      <c r="AB521" s="203">
        <f t="shared" ca="1" si="205"/>
        <v>0</v>
      </c>
      <c r="AC521" s="238"/>
      <c r="AI521" s="367">
        <f t="shared" ca="1" si="212"/>
        <v>46092</v>
      </c>
      <c r="AJ521" s="367" t="b">
        <f t="shared" si="206"/>
        <v>1</v>
      </c>
      <c r="AK521" s="370" t="str">
        <f t="shared" si="207"/>
        <v/>
      </c>
      <c r="AN521">
        <f t="shared" si="208"/>
        <v>0</v>
      </c>
      <c r="AO521">
        <f t="shared" si="209"/>
        <v>1900</v>
      </c>
      <c r="AV521">
        <f t="shared" si="210"/>
        <v>0</v>
      </c>
      <c r="AW521">
        <f t="shared" si="211"/>
        <v>0</v>
      </c>
    </row>
    <row r="522" spans="4:49" ht="15.75" x14ac:dyDescent="0.25">
      <c r="D522" s="199"/>
      <c r="E522" s="200"/>
      <c r="F522" s="287"/>
      <c r="G522" s="201"/>
      <c r="H522" s="219"/>
      <c r="I522" s="202"/>
      <c r="J522" s="200"/>
      <c r="K522" s="200"/>
      <c r="L522" s="203"/>
      <c r="M522" s="204">
        <f ca="1">IF(ISERROR(OFFSET(Tabella!$A$1,MATCH(J522,Tabella!$A:$A,0)-1,MATCH(L522,Tabella!$A$1:$AC$1,0)-1)=TRUE),0,+OFFSET(Tabella!$A$1,MATCH(J522,Tabella!$A:$A,0)-1,MATCH(L522,Tabella!$A$1:$AC$1,0)-1))</f>
        <v>0</v>
      </c>
      <c r="N522" s="205">
        <f ca="1">IF(ISERROR(OFFSET(Ottone!$A$1,MATCH(J522,Ottone!$A:$A,0)-1,MATCH(L522,Ottone!$A$1:$Z$1,0)-1)=TRUE),0,OFFSET(Ottone!$A$1,MATCH(J522,Ottone!$A:$A,0)-1,MATCH(L522,Ottone!$A$1:$Z$1,0)-1))*IF(G522="Ottone",1,0)</f>
        <v>0</v>
      </c>
      <c r="O522" s="205">
        <f ca="1">IF(ISERROR(OFFSET(Rame!$A$1,MATCH(J522,Rame!$A:$A,0)-1,MATCH(L522,Rame!$A$1:$AA$1,0)-1)=TRUE),0,OFFSET(Rame!$A$1,MATCH(J522,Rame!$A:$A,0)-1,MATCH(L522,Rame!$A$1:$AA$1,0)-1))*IF(G522="Rame",1,0)</f>
        <v>0</v>
      </c>
      <c r="P522" s="205">
        <v>0</v>
      </c>
      <c r="Q522" s="205">
        <f t="shared" ca="1" si="201"/>
        <v>0</v>
      </c>
      <c r="R522" s="205">
        <f ca="1">+IF(ISERROR(OFFSET(Tabella!$G$1,MATCH(J522,Tabella!$G:$G,0)-1,MATCH(K522,Tabella!$G$1:$FG$1,0)-1)=TRUE),0,OFFSET(Tabella!$G$1,MATCH(J522,Tabella!$G:$G,0)-1,MATCH(K522,Tabella!$G$1:$AB$1,0)-1))</f>
        <v>0</v>
      </c>
      <c r="S522" s="205">
        <f ca="1">IF(ISERROR(OFFSET(Ottone!$F$1,MATCH(J522,Ottone!$A:$A,0)-1,MATCH(K522,Ottone!$F$1:$FF$1,0)-1)=TRUE),0,OFFSET(Ottone!$F$1,MATCH(J522,Ottone!$A:$A,0)-1,MATCH(K522,Ottone!$F$1:$FF$1,0)-1))*IF(G522="Ottone",1,0)</f>
        <v>0</v>
      </c>
      <c r="T522" s="205">
        <f ca="1">IF(ISERROR(OFFSET(Rame!$F$1,MATCH(J522,Rame!$F:$F,0)-1,MATCH(K522,Rame!$F$1:$FF$1,0)-1)=TRUE),0,OFFSET(Rame!$F$1,MATCH(J522,Rame!$F:$F,0)-1,MATCH(K522,Rame!$F$1:$FF$1,0)-1))*IF(G522="Rame",1,0)</f>
        <v>0</v>
      </c>
      <c r="U522" s="205">
        <f ca="1">IF(ISERROR(OFFSET(Bronzo!$A$1,MATCH(J522,Bronzo!$A:$A,0)-1,MATCH(K522,Bronzo!$A$1:$AA$1,0)-1)=TRUE),0,OFFSET(Bronzo!$A$1,MATCH(J522,Bronzo!$A:$A,0)-1,MATCH(K522,Bronzo!$A$1:$AA$1,0)-1))</f>
        <v>0</v>
      </c>
      <c r="V522" s="205">
        <f t="shared" ca="1" si="202"/>
        <v>0</v>
      </c>
      <c r="W522" s="204"/>
      <c r="X522" s="205">
        <v>0</v>
      </c>
      <c r="Y522" s="206">
        <f t="shared" ca="1" si="203"/>
        <v>0</v>
      </c>
      <c r="Z522" s="277">
        <f t="shared" si="204"/>
        <v>0</v>
      </c>
      <c r="AA522" s="203"/>
      <c r="AB522" s="203">
        <f t="shared" ca="1" si="205"/>
        <v>0</v>
      </c>
      <c r="AC522" s="238"/>
      <c r="AI522" s="367">
        <f t="shared" ca="1" si="212"/>
        <v>46092</v>
      </c>
      <c r="AJ522" s="367" t="b">
        <f t="shared" si="206"/>
        <v>1</v>
      </c>
      <c r="AK522" s="370" t="str">
        <f t="shared" si="207"/>
        <v/>
      </c>
      <c r="AN522">
        <f t="shared" si="208"/>
        <v>0</v>
      </c>
      <c r="AO522">
        <f t="shared" si="209"/>
        <v>1900</v>
      </c>
      <c r="AV522">
        <f t="shared" si="210"/>
        <v>0</v>
      </c>
      <c r="AW522">
        <f t="shared" si="211"/>
        <v>0</v>
      </c>
    </row>
    <row r="523" spans="4:49" ht="15.75" x14ac:dyDescent="0.25">
      <c r="D523" s="199"/>
      <c r="E523" s="200"/>
      <c r="F523" s="287"/>
      <c r="G523" s="201"/>
      <c r="H523" s="219"/>
      <c r="I523" s="202"/>
      <c r="J523" s="200"/>
      <c r="K523" s="200"/>
      <c r="L523" s="203"/>
      <c r="M523" s="204">
        <f ca="1">IF(ISERROR(OFFSET(Tabella!$A$1,MATCH(J523,Tabella!$A:$A,0)-1,MATCH(L523,Tabella!$A$1:$AC$1,0)-1)=TRUE),0,+OFFSET(Tabella!$A$1,MATCH(J523,Tabella!$A:$A,0)-1,MATCH(L523,Tabella!$A$1:$AC$1,0)-1))</f>
        <v>0</v>
      </c>
      <c r="N523" s="205">
        <f ca="1">IF(ISERROR(OFFSET(Ottone!$A$1,MATCH(J523,Ottone!$A:$A,0)-1,MATCH(L523,Ottone!$A$1:$Z$1,0)-1)=TRUE),0,OFFSET(Ottone!$A$1,MATCH(J523,Ottone!$A:$A,0)-1,MATCH(L523,Ottone!$A$1:$Z$1,0)-1))*IF(G523="Ottone",1,0)</f>
        <v>0</v>
      </c>
      <c r="O523" s="205">
        <f ca="1">IF(ISERROR(OFFSET(Rame!$A$1,MATCH(J523,Rame!$A:$A,0)-1,MATCH(L523,Rame!$A$1:$AA$1,0)-1)=TRUE),0,OFFSET(Rame!$A$1,MATCH(J523,Rame!$A:$A,0)-1,MATCH(L523,Rame!$A$1:$AA$1,0)-1))*IF(G523="Rame",1,0)</f>
        <v>0</v>
      </c>
      <c r="P523" s="205">
        <v>0</v>
      </c>
      <c r="Q523" s="205">
        <f t="shared" ca="1" si="201"/>
        <v>0</v>
      </c>
      <c r="R523" s="205">
        <f ca="1">+IF(ISERROR(OFFSET(Tabella!$G$1,MATCH(J523,Tabella!$G:$G,0)-1,MATCH(K523,Tabella!$G$1:$FG$1,0)-1)=TRUE),0,OFFSET(Tabella!$G$1,MATCH(J523,Tabella!$G:$G,0)-1,MATCH(K523,Tabella!$G$1:$AB$1,0)-1))</f>
        <v>0</v>
      </c>
      <c r="S523" s="205">
        <f ca="1">IF(ISERROR(OFFSET(Ottone!$F$1,MATCH(J523,Ottone!$A:$A,0)-1,MATCH(K523,Ottone!$F$1:$FF$1,0)-1)=TRUE),0,OFFSET(Ottone!$F$1,MATCH(J523,Ottone!$A:$A,0)-1,MATCH(K523,Ottone!$F$1:$FF$1,0)-1))*IF(G523="Ottone",1,0)</f>
        <v>0</v>
      </c>
      <c r="T523" s="205">
        <f ca="1">IF(ISERROR(OFFSET(Rame!$F$1,MATCH(J523,Rame!$F:$F,0)-1,MATCH(K523,Rame!$F$1:$FF$1,0)-1)=TRUE),0,OFFSET(Rame!$F$1,MATCH(J523,Rame!$F:$F,0)-1,MATCH(K523,Rame!$F$1:$FF$1,0)-1))*IF(G523="Rame",1,0)</f>
        <v>0</v>
      </c>
      <c r="U523" s="205">
        <f ca="1">IF(ISERROR(OFFSET(Bronzo!$A$1,MATCH(J523,Bronzo!$A:$A,0)-1,MATCH(K523,Bronzo!$A$1:$AA$1,0)-1)=TRUE),0,OFFSET(Bronzo!$A$1,MATCH(J523,Bronzo!$A:$A,0)-1,MATCH(K523,Bronzo!$A$1:$AA$1,0)-1))</f>
        <v>0</v>
      </c>
      <c r="V523" s="205">
        <f t="shared" ca="1" si="202"/>
        <v>0</v>
      </c>
      <c r="W523" s="204"/>
      <c r="X523" s="205">
        <v>0</v>
      </c>
      <c r="Y523" s="206">
        <f t="shared" ca="1" si="203"/>
        <v>0</v>
      </c>
      <c r="Z523" s="277">
        <f t="shared" si="204"/>
        <v>0</v>
      </c>
      <c r="AA523" s="203"/>
      <c r="AB523" s="203">
        <f t="shared" ca="1" si="205"/>
        <v>0</v>
      </c>
      <c r="AC523" s="238"/>
      <c r="AI523" s="367">
        <f t="shared" ca="1" si="212"/>
        <v>46092</v>
      </c>
      <c r="AJ523" s="367" t="b">
        <f t="shared" si="206"/>
        <v>1</v>
      </c>
      <c r="AK523" s="370" t="str">
        <f t="shared" si="207"/>
        <v/>
      </c>
      <c r="AN523">
        <f t="shared" si="208"/>
        <v>0</v>
      </c>
      <c r="AO523">
        <f t="shared" si="209"/>
        <v>1900</v>
      </c>
      <c r="AV523">
        <f t="shared" si="210"/>
        <v>0</v>
      </c>
      <c r="AW523">
        <f t="shared" si="211"/>
        <v>0</v>
      </c>
    </row>
    <row r="524" spans="4:49" ht="15.75" x14ac:dyDescent="0.25">
      <c r="D524" s="199"/>
      <c r="E524" s="200"/>
      <c r="F524" s="287"/>
      <c r="G524" s="201"/>
      <c r="H524" s="219"/>
      <c r="I524" s="202"/>
      <c r="J524" s="200"/>
      <c r="K524" s="200"/>
      <c r="L524" s="203"/>
      <c r="M524" s="204">
        <f ca="1">IF(ISERROR(OFFSET(Tabella!$A$1,MATCH(J524,Tabella!$A:$A,0)-1,MATCH(L524,Tabella!$A$1:$AC$1,0)-1)=TRUE),0,+OFFSET(Tabella!$A$1,MATCH(J524,Tabella!$A:$A,0)-1,MATCH(L524,Tabella!$A$1:$AC$1,0)-1))</f>
        <v>0</v>
      </c>
      <c r="N524" s="205">
        <f ca="1">IF(ISERROR(OFFSET(Ottone!$A$1,MATCH(J524,Ottone!$A:$A,0)-1,MATCH(L524,Ottone!$A$1:$Z$1,0)-1)=TRUE),0,OFFSET(Ottone!$A$1,MATCH(J524,Ottone!$A:$A,0)-1,MATCH(L524,Ottone!$A$1:$Z$1,0)-1))*IF(G524="Ottone",1,0)</f>
        <v>0</v>
      </c>
      <c r="O524" s="205">
        <f ca="1">IF(ISERROR(OFFSET(Rame!$A$1,MATCH(J524,Rame!$A:$A,0)-1,MATCH(L524,Rame!$A$1:$AA$1,0)-1)=TRUE),0,OFFSET(Rame!$A$1,MATCH(J524,Rame!$A:$A,0)-1,MATCH(L524,Rame!$A$1:$AA$1,0)-1))*IF(G524="Rame",1,0)</f>
        <v>0</v>
      </c>
      <c r="P524" s="205">
        <v>0</v>
      </c>
      <c r="Q524" s="205">
        <f t="shared" ca="1" si="201"/>
        <v>0</v>
      </c>
      <c r="R524" s="205">
        <f ca="1">+IF(ISERROR(OFFSET(Tabella!$G$1,MATCH(J524,Tabella!$G:$G,0)-1,MATCH(K524,Tabella!$G$1:$FG$1,0)-1)=TRUE),0,OFFSET(Tabella!$G$1,MATCH(J524,Tabella!$G:$G,0)-1,MATCH(K524,Tabella!$G$1:$AB$1,0)-1))</f>
        <v>0</v>
      </c>
      <c r="S524" s="205">
        <f ca="1">IF(ISERROR(OFFSET(Ottone!$F$1,MATCH(J524,Ottone!$A:$A,0)-1,MATCH(K524,Ottone!$F$1:$FF$1,0)-1)=TRUE),0,OFFSET(Ottone!$F$1,MATCH(J524,Ottone!$A:$A,0)-1,MATCH(K524,Ottone!$F$1:$FF$1,0)-1))*IF(G524="Ottone",1,0)</f>
        <v>0</v>
      </c>
      <c r="T524" s="205">
        <f ca="1">IF(ISERROR(OFFSET(Rame!$F$1,MATCH(J524,Rame!$F:$F,0)-1,MATCH(K524,Rame!$F$1:$FF$1,0)-1)=TRUE),0,OFFSET(Rame!$F$1,MATCH(J524,Rame!$F:$F,0)-1,MATCH(K524,Rame!$F$1:$FF$1,0)-1))*IF(G524="Rame",1,0)</f>
        <v>0</v>
      </c>
      <c r="U524" s="205">
        <f ca="1">IF(ISERROR(OFFSET(Bronzo!$A$1,MATCH(J524,Bronzo!$A:$A,0)-1,MATCH(K524,Bronzo!$A$1:$AA$1,0)-1)=TRUE),0,OFFSET(Bronzo!$A$1,MATCH(J524,Bronzo!$A:$A,0)-1,MATCH(K524,Bronzo!$A$1:$AA$1,0)-1))</f>
        <v>0</v>
      </c>
      <c r="V524" s="205">
        <f t="shared" ca="1" si="202"/>
        <v>0</v>
      </c>
      <c r="W524" s="204"/>
      <c r="X524" s="205">
        <v>0</v>
      </c>
      <c r="Y524" s="206">
        <f t="shared" ca="1" si="203"/>
        <v>0</v>
      </c>
      <c r="Z524" s="277">
        <f t="shared" si="204"/>
        <v>0</v>
      </c>
      <c r="AA524" s="203"/>
      <c r="AB524" s="203">
        <f t="shared" ca="1" si="205"/>
        <v>0</v>
      </c>
      <c r="AC524" s="238"/>
      <c r="AI524" s="367">
        <f t="shared" ca="1" si="212"/>
        <v>46092</v>
      </c>
      <c r="AJ524" s="367" t="b">
        <f t="shared" si="206"/>
        <v>1</v>
      </c>
      <c r="AK524" s="370" t="str">
        <f t="shared" si="207"/>
        <v/>
      </c>
      <c r="AN524">
        <f t="shared" si="208"/>
        <v>0</v>
      </c>
      <c r="AO524">
        <f t="shared" si="209"/>
        <v>1900</v>
      </c>
      <c r="AV524">
        <f t="shared" si="210"/>
        <v>0</v>
      </c>
      <c r="AW524">
        <f t="shared" si="211"/>
        <v>0</v>
      </c>
    </row>
    <row r="525" spans="4:49" ht="15.75" x14ac:dyDescent="0.25">
      <c r="D525" s="199"/>
      <c r="E525" s="200"/>
      <c r="F525" s="287"/>
      <c r="G525" s="201"/>
      <c r="H525" s="219"/>
      <c r="I525" s="202"/>
      <c r="J525" s="200"/>
      <c r="K525" s="200"/>
      <c r="L525" s="203"/>
      <c r="M525" s="204">
        <f ca="1">IF(ISERROR(OFFSET(Tabella!$A$1,MATCH(J525,Tabella!$A:$A,0)-1,MATCH(L525,Tabella!$A$1:$AC$1,0)-1)=TRUE),0,+OFFSET(Tabella!$A$1,MATCH(J525,Tabella!$A:$A,0)-1,MATCH(L525,Tabella!$A$1:$AC$1,0)-1))</f>
        <v>0</v>
      </c>
      <c r="N525" s="205">
        <f ca="1">IF(ISERROR(OFFSET(Ottone!$A$1,MATCH(J525,Ottone!$A:$A,0)-1,MATCH(L525,Ottone!$A$1:$Z$1,0)-1)=TRUE),0,OFFSET(Ottone!$A$1,MATCH(J525,Ottone!$A:$A,0)-1,MATCH(L525,Ottone!$A$1:$Z$1,0)-1))*IF(G525="Ottone",1,0)</f>
        <v>0</v>
      </c>
      <c r="O525" s="205">
        <f ca="1">IF(ISERROR(OFFSET(Rame!$A$1,MATCH(J525,Rame!$A:$A,0)-1,MATCH(L525,Rame!$A$1:$AA$1,0)-1)=TRUE),0,OFFSET(Rame!$A$1,MATCH(J525,Rame!$A:$A,0)-1,MATCH(L525,Rame!$A$1:$AA$1,0)-1))*IF(G525="Rame",1,0)</f>
        <v>0</v>
      </c>
      <c r="P525" s="205">
        <v>0</v>
      </c>
      <c r="Q525" s="205">
        <f t="shared" ca="1" si="201"/>
        <v>0</v>
      </c>
      <c r="R525" s="205">
        <f ca="1">+IF(ISERROR(OFFSET(Tabella!$G$1,MATCH(J525,Tabella!$G:$G,0)-1,MATCH(K525,Tabella!$G$1:$FG$1,0)-1)=TRUE),0,OFFSET(Tabella!$G$1,MATCH(J525,Tabella!$G:$G,0)-1,MATCH(K525,Tabella!$G$1:$AB$1,0)-1))</f>
        <v>0</v>
      </c>
      <c r="S525" s="205">
        <f ca="1">IF(ISERROR(OFFSET(Ottone!$F$1,MATCH(J525,Ottone!$A:$A,0)-1,MATCH(K525,Ottone!$F$1:$FF$1,0)-1)=TRUE),0,OFFSET(Ottone!$F$1,MATCH(J525,Ottone!$A:$A,0)-1,MATCH(K525,Ottone!$F$1:$FF$1,0)-1))*IF(G525="Ottone",1,0)</f>
        <v>0</v>
      </c>
      <c r="T525" s="205">
        <f ca="1">IF(ISERROR(OFFSET(Rame!$F$1,MATCH(J525,Rame!$F:$F,0)-1,MATCH(K525,Rame!$F$1:$FF$1,0)-1)=TRUE),0,OFFSET(Rame!$F$1,MATCH(J525,Rame!$F:$F,0)-1,MATCH(K525,Rame!$F$1:$FF$1,0)-1))*IF(G525="Rame",1,0)</f>
        <v>0</v>
      </c>
      <c r="U525" s="205">
        <f ca="1">IF(ISERROR(OFFSET(Bronzo!$A$1,MATCH(J525,Bronzo!$A:$A,0)-1,MATCH(K525,Bronzo!$A$1:$AA$1,0)-1)=TRUE),0,OFFSET(Bronzo!$A$1,MATCH(J525,Bronzo!$A:$A,0)-1,MATCH(K525,Bronzo!$A$1:$AA$1,0)-1))</f>
        <v>0</v>
      </c>
      <c r="V525" s="205">
        <f t="shared" ca="1" si="202"/>
        <v>0</v>
      </c>
      <c r="W525" s="204"/>
      <c r="X525" s="205">
        <v>0</v>
      </c>
      <c r="Y525" s="206">
        <f t="shared" ca="1" si="203"/>
        <v>0</v>
      </c>
      <c r="Z525" s="277">
        <f t="shared" si="204"/>
        <v>0</v>
      </c>
      <c r="AA525" s="203"/>
      <c r="AB525" s="203">
        <f t="shared" ca="1" si="205"/>
        <v>0</v>
      </c>
      <c r="AC525" s="238"/>
      <c r="AI525" s="367">
        <f t="shared" ca="1" si="212"/>
        <v>46092</v>
      </c>
      <c r="AJ525" s="367" t="b">
        <f t="shared" si="206"/>
        <v>1</v>
      </c>
      <c r="AK525" s="370" t="str">
        <f t="shared" si="207"/>
        <v/>
      </c>
      <c r="AN525">
        <f t="shared" si="208"/>
        <v>0</v>
      </c>
      <c r="AO525">
        <f t="shared" si="209"/>
        <v>1900</v>
      </c>
      <c r="AV525">
        <f t="shared" si="210"/>
        <v>0</v>
      </c>
      <c r="AW525">
        <f t="shared" si="211"/>
        <v>0</v>
      </c>
    </row>
    <row r="526" spans="4:49" ht="15.75" x14ac:dyDescent="0.25">
      <c r="D526" s="199"/>
      <c r="E526" s="200"/>
      <c r="F526" s="287"/>
      <c r="G526" s="201"/>
      <c r="H526" s="219"/>
      <c r="I526" s="202"/>
      <c r="J526" s="200"/>
      <c r="K526" s="200"/>
      <c r="L526" s="203"/>
      <c r="M526" s="204">
        <f ca="1">IF(ISERROR(OFFSET(Tabella!$A$1,MATCH(J526,Tabella!$A:$A,0)-1,MATCH(L526,Tabella!$A$1:$AC$1,0)-1)=TRUE),0,+OFFSET(Tabella!$A$1,MATCH(J526,Tabella!$A:$A,0)-1,MATCH(L526,Tabella!$A$1:$AC$1,0)-1))</f>
        <v>0</v>
      </c>
      <c r="N526" s="205">
        <f ca="1">IF(ISERROR(OFFSET(Ottone!$A$1,MATCH(J526,Ottone!$A:$A,0)-1,MATCH(L526,Ottone!$A$1:$Z$1,0)-1)=TRUE),0,OFFSET(Ottone!$A$1,MATCH(J526,Ottone!$A:$A,0)-1,MATCH(L526,Ottone!$A$1:$Z$1,0)-1))*IF(G526="Ottone",1,0)</f>
        <v>0</v>
      </c>
      <c r="O526" s="205">
        <f ca="1">IF(ISERROR(OFFSET(Rame!$A$1,MATCH(J526,Rame!$A:$A,0)-1,MATCH(L526,Rame!$A$1:$AA$1,0)-1)=TRUE),0,OFFSET(Rame!$A$1,MATCH(J526,Rame!$A:$A,0)-1,MATCH(L526,Rame!$A$1:$AA$1,0)-1))*IF(G526="Rame",1,0)</f>
        <v>0</v>
      </c>
      <c r="P526" s="205">
        <v>0</v>
      </c>
      <c r="Q526" s="205">
        <f t="shared" ca="1" si="201"/>
        <v>0</v>
      </c>
      <c r="R526" s="205">
        <f ca="1">+IF(ISERROR(OFFSET(Tabella!$G$1,MATCH(J526,Tabella!$G:$G,0)-1,MATCH(K526,Tabella!$G$1:$FG$1,0)-1)=TRUE),0,OFFSET(Tabella!$G$1,MATCH(J526,Tabella!$G:$G,0)-1,MATCH(K526,Tabella!$G$1:$AB$1,0)-1))</f>
        <v>0</v>
      </c>
      <c r="S526" s="205">
        <f ca="1">IF(ISERROR(OFFSET(Ottone!$F$1,MATCH(J526,Ottone!$A:$A,0)-1,MATCH(K526,Ottone!$F$1:$FF$1,0)-1)=TRUE),0,OFFSET(Ottone!$F$1,MATCH(J526,Ottone!$A:$A,0)-1,MATCH(K526,Ottone!$F$1:$FF$1,0)-1))*IF(G526="Ottone",1,0)</f>
        <v>0</v>
      </c>
      <c r="T526" s="205">
        <f ca="1">IF(ISERROR(OFFSET(Rame!$F$1,MATCH(J526,Rame!$F:$F,0)-1,MATCH(K526,Rame!$F$1:$FF$1,0)-1)=TRUE),0,OFFSET(Rame!$F$1,MATCH(J526,Rame!$F:$F,0)-1,MATCH(K526,Rame!$F$1:$FF$1,0)-1))*IF(G526="Rame",1,0)</f>
        <v>0</v>
      </c>
      <c r="U526" s="205">
        <f ca="1">IF(ISERROR(OFFSET(Bronzo!$A$1,MATCH(J526,Bronzo!$A:$A,0)-1,MATCH(K526,Bronzo!$A$1:$AA$1,0)-1)=TRUE),0,OFFSET(Bronzo!$A$1,MATCH(J526,Bronzo!$A:$A,0)-1,MATCH(K526,Bronzo!$A$1:$AA$1,0)-1))</f>
        <v>0</v>
      </c>
      <c r="V526" s="205">
        <f t="shared" ca="1" si="202"/>
        <v>0</v>
      </c>
      <c r="W526" s="204"/>
      <c r="X526" s="205">
        <v>0</v>
      </c>
      <c r="Y526" s="206">
        <f t="shared" ca="1" si="203"/>
        <v>0</v>
      </c>
      <c r="Z526" s="277">
        <f t="shared" si="204"/>
        <v>0</v>
      </c>
      <c r="AA526" s="203"/>
      <c r="AB526" s="203">
        <f t="shared" ca="1" si="205"/>
        <v>0</v>
      </c>
      <c r="AC526" s="238"/>
      <c r="AI526" s="367">
        <f t="shared" ca="1" si="212"/>
        <v>46092</v>
      </c>
      <c r="AJ526" s="367" t="b">
        <f t="shared" si="206"/>
        <v>1</v>
      </c>
      <c r="AK526" s="370" t="str">
        <f t="shared" si="207"/>
        <v/>
      </c>
      <c r="AN526">
        <f t="shared" si="208"/>
        <v>0</v>
      </c>
      <c r="AO526">
        <f t="shared" si="209"/>
        <v>1900</v>
      </c>
      <c r="AV526">
        <f t="shared" si="210"/>
        <v>0</v>
      </c>
      <c r="AW526">
        <f t="shared" si="211"/>
        <v>0</v>
      </c>
    </row>
    <row r="527" spans="4:49" ht="15.75" x14ac:dyDescent="0.25">
      <c r="D527" s="199"/>
      <c r="E527" s="200"/>
      <c r="F527" s="287"/>
      <c r="G527" s="201"/>
      <c r="H527" s="219"/>
      <c r="I527" s="202"/>
      <c r="J527" s="200"/>
      <c r="K527" s="200"/>
      <c r="L527" s="203"/>
      <c r="M527" s="204">
        <f ca="1">IF(ISERROR(OFFSET(Tabella!$A$1,MATCH(J527,Tabella!$A:$A,0)-1,MATCH(L527,Tabella!$A$1:$AC$1,0)-1)=TRUE),0,+OFFSET(Tabella!$A$1,MATCH(J527,Tabella!$A:$A,0)-1,MATCH(L527,Tabella!$A$1:$AC$1,0)-1))</f>
        <v>0</v>
      </c>
      <c r="N527" s="205">
        <f ca="1">IF(ISERROR(OFFSET(Ottone!$A$1,MATCH(J527,Ottone!$A:$A,0)-1,MATCH(L527,Ottone!$A$1:$Z$1,0)-1)=TRUE),0,OFFSET(Ottone!$A$1,MATCH(J527,Ottone!$A:$A,0)-1,MATCH(L527,Ottone!$A$1:$Z$1,0)-1))*IF(G527="Ottone",1,0)</f>
        <v>0</v>
      </c>
      <c r="O527" s="205">
        <f ca="1">IF(ISERROR(OFFSET(Rame!$A$1,MATCH(J527,Rame!$A:$A,0)-1,MATCH(L527,Rame!$A$1:$AA$1,0)-1)=TRUE),0,OFFSET(Rame!$A$1,MATCH(J527,Rame!$A:$A,0)-1,MATCH(L527,Rame!$A$1:$AA$1,0)-1))*IF(G527="Rame",1,0)</f>
        <v>0</v>
      </c>
      <c r="P527" s="205">
        <v>0</v>
      </c>
      <c r="Q527" s="205">
        <f t="shared" ref="Q527:Q590" ca="1" si="213">SUM(M527:P527)</f>
        <v>0</v>
      </c>
      <c r="R527" s="205">
        <f ca="1">+IF(ISERROR(OFFSET(Tabella!$G$1,MATCH(J527,Tabella!$G:$G,0)-1,MATCH(K527,Tabella!$G$1:$FG$1,0)-1)=TRUE),0,OFFSET(Tabella!$G$1,MATCH(J527,Tabella!$G:$G,0)-1,MATCH(K527,Tabella!$G$1:$AB$1,0)-1))</f>
        <v>0</v>
      </c>
      <c r="S527" s="205">
        <f ca="1">IF(ISERROR(OFFSET(Ottone!$F$1,MATCH(J527,Ottone!$A:$A,0)-1,MATCH(K527,Ottone!$F$1:$FF$1,0)-1)=TRUE),0,OFFSET(Ottone!$F$1,MATCH(J527,Ottone!$A:$A,0)-1,MATCH(K527,Ottone!$F$1:$FF$1,0)-1))*IF(G527="Ottone",1,0)</f>
        <v>0</v>
      </c>
      <c r="T527" s="205">
        <f ca="1">IF(ISERROR(OFFSET(Rame!$F$1,MATCH(J527,Rame!$F:$F,0)-1,MATCH(K527,Rame!$F$1:$FF$1,0)-1)=TRUE),0,OFFSET(Rame!$F$1,MATCH(J527,Rame!$F:$F,0)-1,MATCH(K527,Rame!$F$1:$FF$1,0)-1))*IF(G527="Rame",1,0)</f>
        <v>0</v>
      </c>
      <c r="U527" s="205">
        <f ca="1">IF(ISERROR(OFFSET(Bronzo!$A$1,MATCH(J527,Bronzo!$A:$A,0)-1,MATCH(K527,Bronzo!$A$1:$AA$1,0)-1)=TRUE),0,OFFSET(Bronzo!$A$1,MATCH(J527,Bronzo!$A:$A,0)-1,MATCH(K527,Bronzo!$A$1:$AA$1,0)-1))</f>
        <v>0</v>
      </c>
      <c r="V527" s="205">
        <f t="shared" ref="V527:V590" ca="1" si="214">SUM(R527:U527)</f>
        <v>0</v>
      </c>
      <c r="W527" s="204"/>
      <c r="X527" s="205">
        <v>0</v>
      </c>
      <c r="Y527" s="206">
        <f t="shared" ref="Y527:Y590" ca="1" si="215">+Q527+V527+W527+X527</f>
        <v>0</v>
      </c>
      <c r="Z527" s="277">
        <f t="shared" ref="Z527:Z590" si="216">+L527*F527</f>
        <v>0</v>
      </c>
      <c r="AA527" s="203"/>
      <c r="AB527" s="203">
        <f t="shared" ref="AB527:AB590" ca="1" si="217">+AA527-Y527-H527</f>
        <v>0</v>
      </c>
      <c r="AC527" s="238"/>
      <c r="AI527" s="367">
        <f t="shared" ca="1" si="212"/>
        <v>46092</v>
      </c>
      <c r="AJ527" s="367" t="b">
        <f t="shared" si="206"/>
        <v>1</v>
      </c>
      <c r="AK527" s="370" t="str">
        <f t="shared" si="207"/>
        <v/>
      </c>
      <c r="AN527">
        <f t="shared" si="208"/>
        <v>0</v>
      </c>
      <c r="AO527">
        <f t="shared" si="209"/>
        <v>1900</v>
      </c>
      <c r="AV527">
        <f t="shared" si="210"/>
        <v>0</v>
      </c>
      <c r="AW527">
        <f t="shared" si="211"/>
        <v>0</v>
      </c>
    </row>
    <row r="528" spans="4:49" ht="15.75" x14ac:dyDescent="0.25">
      <c r="D528" s="199"/>
      <c r="E528" s="200"/>
      <c r="F528" s="287"/>
      <c r="G528" s="201"/>
      <c r="H528" s="219"/>
      <c r="I528" s="202"/>
      <c r="J528" s="200"/>
      <c r="K528" s="200"/>
      <c r="L528" s="203"/>
      <c r="M528" s="204">
        <f ca="1">IF(ISERROR(OFFSET(Tabella!$A$1,MATCH(J528,Tabella!$A:$A,0)-1,MATCH(L528,Tabella!$A$1:$AC$1,0)-1)=TRUE),0,+OFFSET(Tabella!$A$1,MATCH(J528,Tabella!$A:$A,0)-1,MATCH(L528,Tabella!$A$1:$AC$1,0)-1))</f>
        <v>0</v>
      </c>
      <c r="N528" s="205">
        <f ca="1">IF(ISERROR(OFFSET(Ottone!$A$1,MATCH(J528,Ottone!$A:$A,0)-1,MATCH(L528,Ottone!$A$1:$Z$1,0)-1)=TRUE),0,OFFSET(Ottone!$A$1,MATCH(J528,Ottone!$A:$A,0)-1,MATCH(L528,Ottone!$A$1:$Z$1,0)-1))*IF(G528="Ottone",1,0)</f>
        <v>0</v>
      </c>
      <c r="O528" s="205">
        <f ca="1">IF(ISERROR(OFFSET(Rame!$A$1,MATCH(J528,Rame!$A:$A,0)-1,MATCH(L528,Rame!$A$1:$AA$1,0)-1)=TRUE),0,OFFSET(Rame!$A$1,MATCH(J528,Rame!$A:$A,0)-1,MATCH(L528,Rame!$A$1:$AA$1,0)-1))*IF(G528="Rame",1,0)</f>
        <v>0</v>
      </c>
      <c r="P528" s="205">
        <v>0</v>
      </c>
      <c r="Q528" s="205">
        <f t="shared" ca="1" si="213"/>
        <v>0</v>
      </c>
      <c r="R528" s="205">
        <f ca="1">+IF(ISERROR(OFFSET(Tabella!$G$1,MATCH(J528,Tabella!$G:$G,0)-1,MATCH(K528,Tabella!$G$1:$FG$1,0)-1)=TRUE),0,OFFSET(Tabella!$G$1,MATCH(J528,Tabella!$G:$G,0)-1,MATCH(K528,Tabella!$G$1:$AB$1,0)-1))</f>
        <v>0</v>
      </c>
      <c r="S528" s="205">
        <f ca="1">IF(ISERROR(OFFSET(Ottone!$F$1,MATCH(J528,Ottone!$A:$A,0)-1,MATCH(K528,Ottone!$F$1:$FF$1,0)-1)=TRUE),0,OFFSET(Ottone!$F$1,MATCH(J528,Ottone!$A:$A,0)-1,MATCH(K528,Ottone!$F$1:$FF$1,0)-1))*IF(G528="Ottone",1,0)</f>
        <v>0</v>
      </c>
      <c r="T528" s="205">
        <f ca="1">IF(ISERROR(OFFSET(Rame!$F$1,MATCH(J528,Rame!$F:$F,0)-1,MATCH(K528,Rame!$F$1:$FF$1,0)-1)=TRUE),0,OFFSET(Rame!$F$1,MATCH(J528,Rame!$F:$F,0)-1,MATCH(K528,Rame!$F$1:$FF$1,0)-1))*IF(G528="Rame",1,0)</f>
        <v>0</v>
      </c>
      <c r="U528" s="205">
        <f ca="1">IF(ISERROR(OFFSET(Bronzo!$A$1,MATCH(J528,Bronzo!$A:$A,0)-1,MATCH(K528,Bronzo!$A$1:$AA$1,0)-1)=TRUE),0,OFFSET(Bronzo!$A$1,MATCH(J528,Bronzo!$A:$A,0)-1,MATCH(K528,Bronzo!$A$1:$AA$1,0)-1))</f>
        <v>0</v>
      </c>
      <c r="V528" s="205">
        <f t="shared" ca="1" si="214"/>
        <v>0</v>
      </c>
      <c r="W528" s="204"/>
      <c r="X528" s="205">
        <v>0</v>
      </c>
      <c r="Y528" s="206">
        <f t="shared" ca="1" si="215"/>
        <v>0</v>
      </c>
      <c r="Z528" s="277">
        <f t="shared" si="216"/>
        <v>0</v>
      </c>
      <c r="AA528" s="203"/>
      <c r="AB528" s="203">
        <f t="shared" ca="1" si="217"/>
        <v>0</v>
      </c>
      <c r="AC528" s="238"/>
      <c r="AI528" s="367">
        <f t="shared" ca="1" si="212"/>
        <v>46092</v>
      </c>
      <c r="AJ528" s="367" t="b">
        <f t="shared" si="206"/>
        <v>1</v>
      </c>
      <c r="AK528" s="370" t="str">
        <f t="shared" si="207"/>
        <v/>
      </c>
      <c r="AN528">
        <f t="shared" si="208"/>
        <v>0</v>
      </c>
      <c r="AO528">
        <f t="shared" si="209"/>
        <v>1900</v>
      </c>
      <c r="AV528">
        <f t="shared" si="210"/>
        <v>0</v>
      </c>
      <c r="AW528">
        <f t="shared" si="211"/>
        <v>0</v>
      </c>
    </row>
    <row r="529" spans="4:49" ht="15.75" x14ac:dyDescent="0.25">
      <c r="D529" s="199"/>
      <c r="E529" s="200"/>
      <c r="F529" s="287"/>
      <c r="G529" s="201"/>
      <c r="H529" s="219"/>
      <c r="I529" s="202"/>
      <c r="J529" s="200"/>
      <c r="K529" s="200"/>
      <c r="L529" s="203"/>
      <c r="M529" s="204">
        <f ca="1">IF(ISERROR(OFFSET(Tabella!$A$1,MATCH(J529,Tabella!$A:$A,0)-1,MATCH(L529,Tabella!$A$1:$AC$1,0)-1)=TRUE),0,+OFFSET(Tabella!$A$1,MATCH(J529,Tabella!$A:$A,0)-1,MATCH(L529,Tabella!$A$1:$AC$1,0)-1))</f>
        <v>0</v>
      </c>
      <c r="N529" s="205">
        <f ca="1">IF(ISERROR(OFFSET(Ottone!$A$1,MATCH(J529,Ottone!$A:$A,0)-1,MATCH(L529,Ottone!$A$1:$Z$1,0)-1)=TRUE),0,OFFSET(Ottone!$A$1,MATCH(J529,Ottone!$A:$A,0)-1,MATCH(L529,Ottone!$A$1:$Z$1,0)-1))*IF(G529="Ottone",1,0)</f>
        <v>0</v>
      </c>
      <c r="O529" s="205">
        <f ca="1">IF(ISERROR(OFFSET(Rame!$A$1,MATCH(J529,Rame!$A:$A,0)-1,MATCH(L529,Rame!$A$1:$AA$1,0)-1)=TRUE),0,OFFSET(Rame!$A$1,MATCH(J529,Rame!$A:$A,0)-1,MATCH(L529,Rame!$A$1:$AA$1,0)-1))*IF(G529="Rame",1,0)</f>
        <v>0</v>
      </c>
      <c r="P529" s="205">
        <v>0</v>
      </c>
      <c r="Q529" s="205">
        <f t="shared" ca="1" si="213"/>
        <v>0</v>
      </c>
      <c r="R529" s="205">
        <f ca="1">+IF(ISERROR(OFFSET(Tabella!$G$1,MATCH(J529,Tabella!$G:$G,0)-1,MATCH(K529,Tabella!$G$1:$FG$1,0)-1)=TRUE),0,OFFSET(Tabella!$G$1,MATCH(J529,Tabella!$G:$G,0)-1,MATCH(K529,Tabella!$G$1:$AB$1,0)-1))</f>
        <v>0</v>
      </c>
      <c r="S529" s="205">
        <f ca="1">IF(ISERROR(OFFSET(Ottone!$F$1,MATCH(J529,Ottone!$A:$A,0)-1,MATCH(K529,Ottone!$F$1:$FF$1,0)-1)=TRUE),0,OFFSET(Ottone!$F$1,MATCH(J529,Ottone!$A:$A,0)-1,MATCH(K529,Ottone!$F$1:$FF$1,0)-1))*IF(G529="Ottone",1,0)</f>
        <v>0</v>
      </c>
      <c r="T529" s="205">
        <f ca="1">IF(ISERROR(OFFSET(Rame!$F$1,MATCH(J529,Rame!$F:$F,0)-1,MATCH(K529,Rame!$F$1:$FF$1,0)-1)=TRUE),0,OFFSET(Rame!$F$1,MATCH(J529,Rame!$F:$F,0)-1,MATCH(K529,Rame!$F$1:$FF$1,0)-1))*IF(G529="Rame",1,0)</f>
        <v>0</v>
      </c>
      <c r="U529" s="205">
        <f ca="1">IF(ISERROR(OFFSET(Bronzo!$A$1,MATCH(J529,Bronzo!$A:$A,0)-1,MATCH(K529,Bronzo!$A$1:$AA$1,0)-1)=TRUE),0,OFFSET(Bronzo!$A$1,MATCH(J529,Bronzo!$A:$A,0)-1,MATCH(K529,Bronzo!$A$1:$AA$1,0)-1))</f>
        <v>0</v>
      </c>
      <c r="V529" s="205">
        <f t="shared" ca="1" si="214"/>
        <v>0</v>
      </c>
      <c r="W529" s="204"/>
      <c r="X529" s="205">
        <v>0</v>
      </c>
      <c r="Y529" s="206">
        <f t="shared" ca="1" si="215"/>
        <v>0</v>
      </c>
      <c r="Z529" s="277">
        <f t="shared" si="216"/>
        <v>0</v>
      </c>
      <c r="AA529" s="203"/>
      <c r="AB529" s="203">
        <f t="shared" ca="1" si="217"/>
        <v>0</v>
      </c>
      <c r="AC529" s="238"/>
      <c r="AI529" s="367">
        <f t="shared" ca="1" si="212"/>
        <v>46092</v>
      </c>
      <c r="AJ529" s="367" t="b">
        <f t="shared" si="206"/>
        <v>1</v>
      </c>
      <c r="AK529" s="370" t="str">
        <f t="shared" si="207"/>
        <v/>
      </c>
      <c r="AN529">
        <f t="shared" si="208"/>
        <v>0</v>
      </c>
      <c r="AO529">
        <f t="shared" si="209"/>
        <v>1900</v>
      </c>
      <c r="AV529">
        <f t="shared" si="210"/>
        <v>0</v>
      </c>
      <c r="AW529">
        <f t="shared" si="211"/>
        <v>0</v>
      </c>
    </row>
    <row r="530" spans="4:49" ht="15.75" x14ac:dyDescent="0.25">
      <c r="D530" s="199"/>
      <c r="E530" s="200"/>
      <c r="F530" s="287"/>
      <c r="G530" s="201"/>
      <c r="H530" s="219"/>
      <c r="I530" s="202"/>
      <c r="J530" s="200"/>
      <c r="K530" s="200"/>
      <c r="L530" s="203"/>
      <c r="M530" s="204">
        <f ca="1">IF(ISERROR(OFFSET(Tabella!$A$1,MATCH(J530,Tabella!$A:$A,0)-1,MATCH(L530,Tabella!$A$1:$AC$1,0)-1)=TRUE),0,+OFFSET(Tabella!$A$1,MATCH(J530,Tabella!$A:$A,0)-1,MATCH(L530,Tabella!$A$1:$AC$1,0)-1))</f>
        <v>0</v>
      </c>
      <c r="N530" s="205">
        <f ca="1">IF(ISERROR(OFFSET(Ottone!$A$1,MATCH(J530,Ottone!$A:$A,0)-1,MATCH(L530,Ottone!$A$1:$Z$1,0)-1)=TRUE),0,OFFSET(Ottone!$A$1,MATCH(J530,Ottone!$A:$A,0)-1,MATCH(L530,Ottone!$A$1:$Z$1,0)-1))*IF(G530="Ottone",1,0)</f>
        <v>0</v>
      </c>
      <c r="O530" s="205">
        <f ca="1">IF(ISERROR(OFFSET(Rame!$A$1,MATCH(J530,Rame!$A:$A,0)-1,MATCH(L530,Rame!$A$1:$AA$1,0)-1)=TRUE),0,OFFSET(Rame!$A$1,MATCH(J530,Rame!$A:$A,0)-1,MATCH(L530,Rame!$A$1:$AA$1,0)-1))*IF(G530="Rame",1,0)</f>
        <v>0</v>
      </c>
      <c r="P530" s="205">
        <v>0</v>
      </c>
      <c r="Q530" s="205">
        <f t="shared" ca="1" si="213"/>
        <v>0</v>
      </c>
      <c r="R530" s="205">
        <f ca="1">+IF(ISERROR(OFFSET(Tabella!$G$1,MATCH(J530,Tabella!$G:$G,0)-1,MATCH(K530,Tabella!$G$1:$FG$1,0)-1)=TRUE),0,OFFSET(Tabella!$G$1,MATCH(J530,Tabella!$G:$G,0)-1,MATCH(K530,Tabella!$G$1:$AB$1,0)-1))</f>
        <v>0</v>
      </c>
      <c r="S530" s="205">
        <f ca="1">IF(ISERROR(OFFSET(Ottone!$F$1,MATCH(J530,Ottone!$A:$A,0)-1,MATCH(K530,Ottone!$F$1:$FF$1,0)-1)=TRUE),0,OFFSET(Ottone!$F$1,MATCH(J530,Ottone!$A:$A,0)-1,MATCH(K530,Ottone!$F$1:$FF$1,0)-1))*IF(G530="Ottone",1,0)</f>
        <v>0</v>
      </c>
      <c r="T530" s="205">
        <f ca="1">IF(ISERROR(OFFSET(Rame!$F$1,MATCH(J530,Rame!$F:$F,0)-1,MATCH(K530,Rame!$F$1:$FF$1,0)-1)=TRUE),0,OFFSET(Rame!$F$1,MATCH(J530,Rame!$F:$F,0)-1,MATCH(K530,Rame!$F$1:$FF$1,0)-1))*IF(G530="Rame",1,0)</f>
        <v>0</v>
      </c>
      <c r="U530" s="205">
        <f ca="1">IF(ISERROR(OFFSET(Bronzo!$A$1,MATCH(J530,Bronzo!$A:$A,0)-1,MATCH(K530,Bronzo!$A$1:$AA$1,0)-1)=TRUE),0,OFFSET(Bronzo!$A$1,MATCH(J530,Bronzo!$A:$A,0)-1,MATCH(K530,Bronzo!$A$1:$AA$1,0)-1))</f>
        <v>0</v>
      </c>
      <c r="V530" s="205">
        <f t="shared" ca="1" si="214"/>
        <v>0</v>
      </c>
      <c r="W530" s="204"/>
      <c r="X530" s="205">
        <v>0</v>
      </c>
      <c r="Y530" s="206">
        <f t="shared" ca="1" si="215"/>
        <v>0</v>
      </c>
      <c r="Z530" s="277">
        <f t="shared" si="216"/>
        <v>0</v>
      </c>
      <c r="AA530" s="203"/>
      <c r="AB530" s="203">
        <f t="shared" ca="1" si="217"/>
        <v>0</v>
      </c>
      <c r="AC530" s="238"/>
      <c r="AI530" s="367">
        <f t="shared" ca="1" si="212"/>
        <v>46092</v>
      </c>
      <c r="AJ530" s="367" t="b">
        <f t="shared" si="206"/>
        <v>1</v>
      </c>
      <c r="AK530" s="370" t="str">
        <f t="shared" si="207"/>
        <v/>
      </c>
      <c r="AN530">
        <f t="shared" si="208"/>
        <v>0</v>
      </c>
      <c r="AO530">
        <f t="shared" si="209"/>
        <v>1900</v>
      </c>
      <c r="AV530">
        <f t="shared" si="210"/>
        <v>0</v>
      </c>
      <c r="AW530">
        <f t="shared" si="211"/>
        <v>0</v>
      </c>
    </row>
    <row r="531" spans="4:49" ht="15.75" x14ac:dyDescent="0.25">
      <c r="D531" s="199"/>
      <c r="E531" s="200"/>
      <c r="F531" s="287"/>
      <c r="G531" s="201"/>
      <c r="H531" s="219"/>
      <c r="I531" s="202"/>
      <c r="J531" s="200"/>
      <c r="K531" s="200"/>
      <c r="L531" s="203"/>
      <c r="M531" s="204">
        <f ca="1">IF(ISERROR(OFFSET(Tabella!$A$1,MATCH(J531,Tabella!$A:$A,0)-1,MATCH(L531,Tabella!$A$1:$AC$1,0)-1)=TRUE),0,+OFFSET(Tabella!$A$1,MATCH(J531,Tabella!$A:$A,0)-1,MATCH(L531,Tabella!$A$1:$AC$1,0)-1))</f>
        <v>0</v>
      </c>
      <c r="N531" s="205">
        <f ca="1">IF(ISERROR(OFFSET(Ottone!$A$1,MATCH(J531,Ottone!$A:$A,0)-1,MATCH(L531,Ottone!$A$1:$Z$1,0)-1)=TRUE),0,OFFSET(Ottone!$A$1,MATCH(J531,Ottone!$A:$A,0)-1,MATCH(L531,Ottone!$A$1:$Z$1,0)-1))*IF(G531="Ottone",1,0)</f>
        <v>0</v>
      </c>
      <c r="O531" s="205">
        <f ca="1">IF(ISERROR(OFFSET(Rame!$A$1,MATCH(J531,Rame!$A:$A,0)-1,MATCH(L531,Rame!$A$1:$AA$1,0)-1)=TRUE),0,OFFSET(Rame!$A$1,MATCH(J531,Rame!$A:$A,0)-1,MATCH(L531,Rame!$A$1:$AA$1,0)-1))*IF(G531="Rame",1,0)</f>
        <v>0</v>
      </c>
      <c r="P531" s="205">
        <v>0</v>
      </c>
      <c r="Q531" s="205">
        <f t="shared" ca="1" si="213"/>
        <v>0</v>
      </c>
      <c r="R531" s="205">
        <f ca="1">+IF(ISERROR(OFFSET(Tabella!$G$1,MATCH(J531,Tabella!$G:$G,0)-1,MATCH(K531,Tabella!$G$1:$FG$1,0)-1)=TRUE),0,OFFSET(Tabella!$G$1,MATCH(J531,Tabella!$G:$G,0)-1,MATCH(K531,Tabella!$G$1:$AB$1,0)-1))</f>
        <v>0</v>
      </c>
      <c r="S531" s="205">
        <f ca="1">IF(ISERROR(OFFSET(Ottone!$F$1,MATCH(J531,Ottone!$A:$A,0)-1,MATCH(K531,Ottone!$F$1:$FF$1,0)-1)=TRUE),0,OFFSET(Ottone!$F$1,MATCH(J531,Ottone!$A:$A,0)-1,MATCH(K531,Ottone!$F$1:$FF$1,0)-1))*IF(G531="Ottone",1,0)</f>
        <v>0</v>
      </c>
      <c r="T531" s="205">
        <f ca="1">IF(ISERROR(OFFSET(Rame!$F$1,MATCH(J531,Rame!$F:$F,0)-1,MATCH(K531,Rame!$F$1:$FF$1,0)-1)=TRUE),0,OFFSET(Rame!$F$1,MATCH(J531,Rame!$F:$F,0)-1,MATCH(K531,Rame!$F$1:$FF$1,0)-1))*IF(G531="Rame",1,0)</f>
        <v>0</v>
      </c>
      <c r="U531" s="205">
        <f ca="1">IF(ISERROR(OFFSET(Bronzo!$A$1,MATCH(J531,Bronzo!$A:$A,0)-1,MATCH(K531,Bronzo!$A$1:$AA$1,0)-1)=TRUE),0,OFFSET(Bronzo!$A$1,MATCH(J531,Bronzo!$A:$A,0)-1,MATCH(K531,Bronzo!$A$1:$AA$1,0)-1))</f>
        <v>0</v>
      </c>
      <c r="V531" s="205">
        <f t="shared" ca="1" si="214"/>
        <v>0</v>
      </c>
      <c r="W531" s="204"/>
      <c r="X531" s="205">
        <v>0</v>
      </c>
      <c r="Y531" s="206">
        <f t="shared" ca="1" si="215"/>
        <v>0</v>
      </c>
      <c r="Z531" s="277">
        <f t="shared" si="216"/>
        <v>0</v>
      </c>
      <c r="AA531" s="203"/>
      <c r="AB531" s="203">
        <f t="shared" ca="1" si="217"/>
        <v>0</v>
      </c>
      <c r="AC531" s="238"/>
      <c r="AI531" s="367">
        <f t="shared" ca="1" si="212"/>
        <v>46092</v>
      </c>
      <c r="AJ531" s="367" t="b">
        <f t="shared" si="206"/>
        <v>1</v>
      </c>
      <c r="AK531" s="370" t="str">
        <f t="shared" si="207"/>
        <v/>
      </c>
      <c r="AN531">
        <f t="shared" si="208"/>
        <v>0</v>
      </c>
      <c r="AO531">
        <f t="shared" si="209"/>
        <v>1900</v>
      </c>
      <c r="AV531">
        <f t="shared" si="210"/>
        <v>0</v>
      </c>
      <c r="AW531">
        <f t="shared" si="211"/>
        <v>0</v>
      </c>
    </row>
    <row r="532" spans="4:49" ht="15.75" x14ac:dyDescent="0.25">
      <c r="D532" s="199"/>
      <c r="E532" s="200"/>
      <c r="F532" s="287"/>
      <c r="G532" s="201"/>
      <c r="H532" s="219"/>
      <c r="I532" s="202"/>
      <c r="J532" s="200"/>
      <c r="K532" s="200"/>
      <c r="L532" s="203"/>
      <c r="M532" s="204">
        <f ca="1">IF(ISERROR(OFFSET(Tabella!$A$1,MATCH(J532,Tabella!$A:$A,0)-1,MATCH(L532,Tabella!$A$1:$AC$1,0)-1)=TRUE),0,+OFFSET(Tabella!$A$1,MATCH(J532,Tabella!$A:$A,0)-1,MATCH(L532,Tabella!$A$1:$AC$1,0)-1))</f>
        <v>0</v>
      </c>
      <c r="N532" s="205">
        <f ca="1">IF(ISERROR(OFFSET(Ottone!$A$1,MATCH(J532,Ottone!$A:$A,0)-1,MATCH(L532,Ottone!$A$1:$Z$1,0)-1)=TRUE),0,OFFSET(Ottone!$A$1,MATCH(J532,Ottone!$A:$A,0)-1,MATCH(L532,Ottone!$A$1:$Z$1,0)-1))*IF(G532="Ottone",1,0)</f>
        <v>0</v>
      </c>
      <c r="O532" s="205">
        <f ca="1">IF(ISERROR(OFFSET(Rame!$A$1,MATCH(J532,Rame!$A:$A,0)-1,MATCH(L532,Rame!$A$1:$AA$1,0)-1)=TRUE),0,OFFSET(Rame!$A$1,MATCH(J532,Rame!$A:$A,0)-1,MATCH(L532,Rame!$A$1:$AA$1,0)-1))*IF(G532="Rame",1,0)</f>
        <v>0</v>
      </c>
      <c r="P532" s="205">
        <v>0</v>
      </c>
      <c r="Q532" s="205">
        <f t="shared" ca="1" si="213"/>
        <v>0</v>
      </c>
      <c r="R532" s="205">
        <f ca="1">+IF(ISERROR(OFFSET(Tabella!$G$1,MATCH(J532,Tabella!$G:$G,0)-1,MATCH(K532,Tabella!$G$1:$FG$1,0)-1)=TRUE),0,OFFSET(Tabella!$G$1,MATCH(J532,Tabella!$G:$G,0)-1,MATCH(K532,Tabella!$G$1:$AB$1,0)-1))</f>
        <v>0</v>
      </c>
      <c r="S532" s="205">
        <f ca="1">IF(ISERROR(OFFSET(Ottone!$F$1,MATCH(J532,Ottone!$A:$A,0)-1,MATCH(K532,Ottone!$F$1:$FF$1,0)-1)=TRUE),0,OFFSET(Ottone!$F$1,MATCH(J532,Ottone!$A:$A,0)-1,MATCH(K532,Ottone!$F$1:$FF$1,0)-1))*IF(G532="Ottone",1,0)</f>
        <v>0</v>
      </c>
      <c r="T532" s="205">
        <f ca="1">IF(ISERROR(OFFSET(Rame!$F$1,MATCH(J532,Rame!$F:$F,0)-1,MATCH(K532,Rame!$F$1:$FF$1,0)-1)=TRUE),0,OFFSET(Rame!$F$1,MATCH(J532,Rame!$F:$F,0)-1,MATCH(K532,Rame!$F$1:$FF$1,0)-1))*IF(G532="Rame",1,0)</f>
        <v>0</v>
      </c>
      <c r="U532" s="205">
        <f ca="1">IF(ISERROR(OFFSET(Bronzo!$A$1,MATCH(J532,Bronzo!$A:$A,0)-1,MATCH(K532,Bronzo!$A$1:$AA$1,0)-1)=TRUE),0,OFFSET(Bronzo!$A$1,MATCH(J532,Bronzo!$A:$A,0)-1,MATCH(K532,Bronzo!$A$1:$AA$1,0)-1))</f>
        <v>0</v>
      </c>
      <c r="V532" s="205">
        <f t="shared" ca="1" si="214"/>
        <v>0</v>
      </c>
      <c r="W532" s="204"/>
      <c r="X532" s="205">
        <v>0</v>
      </c>
      <c r="Y532" s="206">
        <f t="shared" ca="1" si="215"/>
        <v>0</v>
      </c>
      <c r="Z532" s="277">
        <f t="shared" si="216"/>
        <v>0</v>
      </c>
      <c r="AA532" s="203"/>
      <c r="AB532" s="203">
        <f t="shared" ca="1" si="217"/>
        <v>0</v>
      </c>
      <c r="AC532" s="238"/>
      <c r="AI532" s="367">
        <f t="shared" ca="1" si="212"/>
        <v>46092</v>
      </c>
      <c r="AJ532" s="367" t="b">
        <f t="shared" si="206"/>
        <v>1</v>
      </c>
      <c r="AK532" s="370" t="str">
        <f t="shared" si="207"/>
        <v/>
      </c>
      <c r="AN532">
        <f t="shared" si="208"/>
        <v>0</v>
      </c>
      <c r="AO532">
        <f t="shared" si="209"/>
        <v>1900</v>
      </c>
      <c r="AV532">
        <f t="shared" si="210"/>
        <v>0</v>
      </c>
      <c r="AW532">
        <f t="shared" si="211"/>
        <v>0</v>
      </c>
    </row>
    <row r="533" spans="4:49" ht="15.75" x14ac:dyDescent="0.25">
      <c r="D533" s="199"/>
      <c r="E533" s="200"/>
      <c r="F533" s="287"/>
      <c r="G533" s="201"/>
      <c r="H533" s="219"/>
      <c r="I533" s="202"/>
      <c r="J533" s="200"/>
      <c r="K533" s="200"/>
      <c r="L533" s="203"/>
      <c r="M533" s="204">
        <f ca="1">IF(ISERROR(OFFSET(Tabella!$A$1,MATCH(J533,Tabella!$A:$A,0)-1,MATCH(L533,Tabella!$A$1:$AC$1,0)-1)=TRUE),0,+OFFSET(Tabella!$A$1,MATCH(J533,Tabella!$A:$A,0)-1,MATCH(L533,Tabella!$A$1:$AC$1,0)-1))</f>
        <v>0</v>
      </c>
      <c r="N533" s="205">
        <f ca="1">IF(ISERROR(OFFSET(Ottone!$A$1,MATCH(J533,Ottone!$A:$A,0)-1,MATCH(L533,Ottone!$A$1:$Z$1,0)-1)=TRUE),0,OFFSET(Ottone!$A$1,MATCH(J533,Ottone!$A:$A,0)-1,MATCH(L533,Ottone!$A$1:$Z$1,0)-1))*IF(G533="Ottone",1,0)</f>
        <v>0</v>
      </c>
      <c r="O533" s="205">
        <f ca="1">IF(ISERROR(OFFSET(Rame!$A$1,MATCH(J533,Rame!$A:$A,0)-1,MATCH(L533,Rame!$A$1:$AA$1,0)-1)=TRUE),0,OFFSET(Rame!$A$1,MATCH(J533,Rame!$A:$A,0)-1,MATCH(L533,Rame!$A$1:$AA$1,0)-1))*IF(G533="Rame",1,0)</f>
        <v>0</v>
      </c>
      <c r="P533" s="205">
        <v>0</v>
      </c>
      <c r="Q533" s="205">
        <f t="shared" ca="1" si="213"/>
        <v>0</v>
      </c>
      <c r="R533" s="205">
        <f ca="1">+IF(ISERROR(OFFSET(Tabella!$G$1,MATCH(J533,Tabella!$G:$G,0)-1,MATCH(K533,Tabella!$G$1:$FG$1,0)-1)=TRUE),0,OFFSET(Tabella!$G$1,MATCH(J533,Tabella!$G:$G,0)-1,MATCH(K533,Tabella!$G$1:$AB$1,0)-1))</f>
        <v>0</v>
      </c>
      <c r="S533" s="205">
        <f ca="1">IF(ISERROR(OFFSET(Ottone!$F$1,MATCH(J533,Ottone!$A:$A,0)-1,MATCH(K533,Ottone!$F$1:$FF$1,0)-1)=TRUE),0,OFFSET(Ottone!$F$1,MATCH(J533,Ottone!$A:$A,0)-1,MATCH(K533,Ottone!$F$1:$FF$1,0)-1))*IF(G533="Ottone",1,0)</f>
        <v>0</v>
      </c>
      <c r="T533" s="205">
        <f ca="1">IF(ISERROR(OFFSET(Rame!$F$1,MATCH(J533,Rame!$F:$F,0)-1,MATCH(K533,Rame!$F$1:$FF$1,0)-1)=TRUE),0,OFFSET(Rame!$F$1,MATCH(J533,Rame!$F:$F,0)-1,MATCH(K533,Rame!$F$1:$FF$1,0)-1))*IF(G533="Rame",1,0)</f>
        <v>0</v>
      </c>
      <c r="U533" s="205">
        <f ca="1">IF(ISERROR(OFFSET(Bronzo!$A$1,MATCH(J533,Bronzo!$A:$A,0)-1,MATCH(K533,Bronzo!$A$1:$AA$1,0)-1)=TRUE),0,OFFSET(Bronzo!$A$1,MATCH(J533,Bronzo!$A:$A,0)-1,MATCH(K533,Bronzo!$A$1:$AA$1,0)-1))</f>
        <v>0</v>
      </c>
      <c r="V533" s="205">
        <f t="shared" ca="1" si="214"/>
        <v>0</v>
      </c>
      <c r="W533" s="204"/>
      <c r="X533" s="205">
        <v>0</v>
      </c>
      <c r="Y533" s="206">
        <f t="shared" ca="1" si="215"/>
        <v>0</v>
      </c>
      <c r="Z533" s="277">
        <f t="shared" si="216"/>
        <v>0</v>
      </c>
      <c r="AA533" s="203"/>
      <c r="AB533" s="203">
        <f t="shared" ca="1" si="217"/>
        <v>0</v>
      </c>
      <c r="AC533" s="238"/>
      <c r="AI533" s="367">
        <f t="shared" ca="1" si="212"/>
        <v>46092</v>
      </c>
      <c r="AJ533" s="367" t="b">
        <f t="shared" si="206"/>
        <v>1</v>
      </c>
      <c r="AK533" s="370" t="str">
        <f t="shared" si="207"/>
        <v/>
      </c>
      <c r="AN533">
        <f t="shared" si="208"/>
        <v>0</v>
      </c>
      <c r="AO533">
        <f t="shared" si="209"/>
        <v>1900</v>
      </c>
      <c r="AV533">
        <f t="shared" si="210"/>
        <v>0</v>
      </c>
      <c r="AW533">
        <f t="shared" si="211"/>
        <v>0</v>
      </c>
    </row>
    <row r="534" spans="4:49" ht="15.75" x14ac:dyDescent="0.25">
      <c r="D534" s="199"/>
      <c r="E534" s="200"/>
      <c r="F534" s="287"/>
      <c r="G534" s="201"/>
      <c r="H534" s="219"/>
      <c r="I534" s="202"/>
      <c r="J534" s="200"/>
      <c r="K534" s="200"/>
      <c r="L534" s="203"/>
      <c r="M534" s="204">
        <f ca="1">IF(ISERROR(OFFSET(Tabella!$A$1,MATCH(J534,Tabella!$A:$A,0)-1,MATCH(L534,Tabella!$A$1:$AC$1,0)-1)=TRUE),0,+OFFSET(Tabella!$A$1,MATCH(J534,Tabella!$A:$A,0)-1,MATCH(L534,Tabella!$A$1:$AC$1,0)-1))</f>
        <v>0</v>
      </c>
      <c r="N534" s="205">
        <f ca="1">IF(ISERROR(OFFSET(Ottone!$A$1,MATCH(J534,Ottone!$A:$A,0)-1,MATCH(L534,Ottone!$A$1:$Z$1,0)-1)=TRUE),0,OFFSET(Ottone!$A$1,MATCH(J534,Ottone!$A:$A,0)-1,MATCH(L534,Ottone!$A$1:$Z$1,0)-1))*IF(G534="Ottone",1,0)</f>
        <v>0</v>
      </c>
      <c r="O534" s="205">
        <f ca="1">IF(ISERROR(OFFSET(Rame!$A$1,MATCH(J534,Rame!$A:$A,0)-1,MATCH(L534,Rame!$A$1:$AA$1,0)-1)=TRUE),0,OFFSET(Rame!$A$1,MATCH(J534,Rame!$A:$A,0)-1,MATCH(L534,Rame!$A$1:$AA$1,0)-1))*IF(G534="Rame",1,0)</f>
        <v>0</v>
      </c>
      <c r="P534" s="205">
        <v>0</v>
      </c>
      <c r="Q534" s="205">
        <f t="shared" ca="1" si="213"/>
        <v>0</v>
      </c>
      <c r="R534" s="205">
        <f ca="1">+IF(ISERROR(OFFSET(Tabella!$G$1,MATCH(J534,Tabella!$G:$G,0)-1,MATCH(K534,Tabella!$G$1:$FG$1,0)-1)=TRUE),0,OFFSET(Tabella!$G$1,MATCH(J534,Tabella!$G:$G,0)-1,MATCH(K534,Tabella!$G$1:$AB$1,0)-1))</f>
        <v>0</v>
      </c>
      <c r="S534" s="205">
        <f ca="1">IF(ISERROR(OFFSET(Ottone!$F$1,MATCH(J534,Ottone!$A:$A,0)-1,MATCH(K534,Ottone!$F$1:$FF$1,0)-1)=TRUE),0,OFFSET(Ottone!$F$1,MATCH(J534,Ottone!$A:$A,0)-1,MATCH(K534,Ottone!$F$1:$FF$1,0)-1))*IF(G534="Ottone",1,0)</f>
        <v>0</v>
      </c>
      <c r="T534" s="205">
        <f ca="1">IF(ISERROR(OFFSET(Rame!$F$1,MATCH(J534,Rame!$F:$F,0)-1,MATCH(K534,Rame!$F$1:$FF$1,0)-1)=TRUE),0,OFFSET(Rame!$F$1,MATCH(J534,Rame!$F:$F,0)-1,MATCH(K534,Rame!$F$1:$FF$1,0)-1))*IF(G534="Rame",1,0)</f>
        <v>0</v>
      </c>
      <c r="U534" s="205">
        <f ca="1">IF(ISERROR(OFFSET(Bronzo!$A$1,MATCH(J534,Bronzo!$A:$A,0)-1,MATCH(K534,Bronzo!$A$1:$AA$1,0)-1)=TRUE),0,OFFSET(Bronzo!$A$1,MATCH(J534,Bronzo!$A:$A,0)-1,MATCH(K534,Bronzo!$A$1:$AA$1,0)-1))</f>
        <v>0</v>
      </c>
      <c r="V534" s="205">
        <f t="shared" ca="1" si="214"/>
        <v>0</v>
      </c>
      <c r="W534" s="204"/>
      <c r="X534" s="205">
        <v>0</v>
      </c>
      <c r="Y534" s="206">
        <f t="shared" ca="1" si="215"/>
        <v>0</v>
      </c>
      <c r="Z534" s="277">
        <f t="shared" si="216"/>
        <v>0</v>
      </c>
      <c r="AA534" s="203"/>
      <c r="AB534" s="203">
        <f t="shared" ca="1" si="217"/>
        <v>0</v>
      </c>
      <c r="AC534" s="238"/>
      <c r="AI534" s="367">
        <f t="shared" ca="1" si="212"/>
        <v>46092</v>
      </c>
      <c r="AJ534" s="367" t="b">
        <f t="shared" si="206"/>
        <v>1</v>
      </c>
      <c r="AK534" s="370" t="str">
        <f t="shared" si="207"/>
        <v/>
      </c>
      <c r="AN534">
        <f t="shared" si="208"/>
        <v>0</v>
      </c>
      <c r="AO534">
        <f t="shared" si="209"/>
        <v>1900</v>
      </c>
      <c r="AV534">
        <f t="shared" si="210"/>
        <v>0</v>
      </c>
      <c r="AW534">
        <f t="shared" si="211"/>
        <v>0</v>
      </c>
    </row>
    <row r="535" spans="4:49" ht="15.75" x14ac:dyDescent="0.25">
      <c r="D535" s="199"/>
      <c r="E535" s="200"/>
      <c r="F535" s="287"/>
      <c r="G535" s="201"/>
      <c r="H535" s="219"/>
      <c r="I535" s="202"/>
      <c r="J535" s="200"/>
      <c r="K535" s="200"/>
      <c r="L535" s="203"/>
      <c r="M535" s="204">
        <f ca="1">IF(ISERROR(OFFSET(Tabella!$A$1,MATCH(J535,Tabella!$A:$A,0)-1,MATCH(L535,Tabella!$A$1:$AC$1,0)-1)=TRUE),0,+OFFSET(Tabella!$A$1,MATCH(J535,Tabella!$A:$A,0)-1,MATCH(L535,Tabella!$A$1:$AC$1,0)-1))</f>
        <v>0</v>
      </c>
      <c r="N535" s="205">
        <f ca="1">IF(ISERROR(OFFSET(Ottone!$A$1,MATCH(J535,Ottone!$A:$A,0)-1,MATCH(L535,Ottone!$A$1:$Z$1,0)-1)=TRUE),0,OFFSET(Ottone!$A$1,MATCH(J535,Ottone!$A:$A,0)-1,MATCH(L535,Ottone!$A$1:$Z$1,0)-1))*IF(G535="Ottone",1,0)</f>
        <v>0</v>
      </c>
      <c r="O535" s="205">
        <f ca="1">IF(ISERROR(OFFSET(Rame!$A$1,MATCH(J535,Rame!$A:$A,0)-1,MATCH(L535,Rame!$A$1:$AA$1,0)-1)=TRUE),0,OFFSET(Rame!$A$1,MATCH(J535,Rame!$A:$A,0)-1,MATCH(L535,Rame!$A$1:$AA$1,0)-1))*IF(G535="Rame",1,0)</f>
        <v>0</v>
      </c>
      <c r="P535" s="205">
        <v>0</v>
      </c>
      <c r="Q535" s="205">
        <f t="shared" ca="1" si="213"/>
        <v>0</v>
      </c>
      <c r="R535" s="205">
        <f ca="1">+IF(ISERROR(OFFSET(Tabella!$G$1,MATCH(J535,Tabella!$G:$G,0)-1,MATCH(K535,Tabella!$G$1:$FG$1,0)-1)=TRUE),0,OFFSET(Tabella!$G$1,MATCH(J535,Tabella!$G:$G,0)-1,MATCH(K535,Tabella!$G$1:$AB$1,0)-1))</f>
        <v>0</v>
      </c>
      <c r="S535" s="205">
        <f ca="1">IF(ISERROR(OFFSET(Ottone!$F$1,MATCH(J535,Ottone!$A:$A,0)-1,MATCH(K535,Ottone!$F$1:$FF$1,0)-1)=TRUE),0,OFFSET(Ottone!$F$1,MATCH(J535,Ottone!$A:$A,0)-1,MATCH(K535,Ottone!$F$1:$FF$1,0)-1))*IF(G535="Ottone",1,0)</f>
        <v>0</v>
      </c>
      <c r="T535" s="205">
        <f ca="1">IF(ISERROR(OFFSET(Rame!$F$1,MATCH(J535,Rame!$F:$F,0)-1,MATCH(K535,Rame!$F$1:$FF$1,0)-1)=TRUE),0,OFFSET(Rame!$F$1,MATCH(J535,Rame!$F:$F,0)-1,MATCH(K535,Rame!$F$1:$FF$1,0)-1))*IF(G535="Rame",1,0)</f>
        <v>0</v>
      </c>
      <c r="U535" s="205">
        <f ca="1">IF(ISERROR(OFFSET(Bronzo!$A$1,MATCH(J535,Bronzo!$A:$A,0)-1,MATCH(K535,Bronzo!$A$1:$AA$1,0)-1)=TRUE),0,OFFSET(Bronzo!$A$1,MATCH(J535,Bronzo!$A:$A,0)-1,MATCH(K535,Bronzo!$A$1:$AA$1,0)-1))</f>
        <v>0</v>
      </c>
      <c r="V535" s="205">
        <f t="shared" ca="1" si="214"/>
        <v>0</v>
      </c>
      <c r="W535" s="204"/>
      <c r="X535" s="205">
        <v>0</v>
      </c>
      <c r="Y535" s="206">
        <f t="shared" ca="1" si="215"/>
        <v>0</v>
      </c>
      <c r="Z535" s="277">
        <f t="shared" si="216"/>
        <v>0</v>
      </c>
      <c r="AA535" s="203"/>
      <c r="AB535" s="203">
        <f t="shared" ca="1" si="217"/>
        <v>0</v>
      </c>
      <c r="AC535" s="238"/>
      <c r="AI535" s="367">
        <f t="shared" ca="1" si="212"/>
        <v>46092</v>
      </c>
      <c r="AJ535" s="367" t="b">
        <f t="shared" si="206"/>
        <v>1</v>
      </c>
      <c r="AK535" s="370" t="str">
        <f t="shared" si="207"/>
        <v/>
      </c>
      <c r="AN535">
        <f t="shared" si="208"/>
        <v>0</v>
      </c>
      <c r="AO535">
        <f t="shared" si="209"/>
        <v>1900</v>
      </c>
      <c r="AV535">
        <f t="shared" si="210"/>
        <v>0</v>
      </c>
      <c r="AW535">
        <f t="shared" si="211"/>
        <v>0</v>
      </c>
    </row>
    <row r="536" spans="4:49" ht="15.75" x14ac:dyDescent="0.25">
      <c r="D536" s="199"/>
      <c r="E536" s="200"/>
      <c r="F536" s="287"/>
      <c r="G536" s="201"/>
      <c r="H536" s="219"/>
      <c r="I536" s="202"/>
      <c r="J536" s="200"/>
      <c r="K536" s="200"/>
      <c r="L536" s="203"/>
      <c r="M536" s="204">
        <f ca="1">IF(ISERROR(OFFSET(Tabella!$A$1,MATCH(J536,Tabella!$A:$A,0)-1,MATCH(L536,Tabella!$A$1:$AC$1,0)-1)=TRUE),0,+OFFSET(Tabella!$A$1,MATCH(J536,Tabella!$A:$A,0)-1,MATCH(L536,Tabella!$A$1:$AC$1,0)-1))</f>
        <v>0</v>
      </c>
      <c r="N536" s="205">
        <f ca="1">IF(ISERROR(OFFSET(Ottone!$A$1,MATCH(J536,Ottone!$A:$A,0)-1,MATCH(L536,Ottone!$A$1:$Z$1,0)-1)=TRUE),0,OFFSET(Ottone!$A$1,MATCH(J536,Ottone!$A:$A,0)-1,MATCH(L536,Ottone!$A$1:$Z$1,0)-1))*IF(G536="Ottone",1,0)</f>
        <v>0</v>
      </c>
      <c r="O536" s="205">
        <f ca="1">IF(ISERROR(OFFSET(Rame!$A$1,MATCH(J536,Rame!$A:$A,0)-1,MATCH(L536,Rame!$A$1:$AA$1,0)-1)=TRUE),0,OFFSET(Rame!$A$1,MATCH(J536,Rame!$A:$A,0)-1,MATCH(L536,Rame!$A$1:$AA$1,0)-1))*IF(G536="Rame",1,0)</f>
        <v>0</v>
      </c>
      <c r="P536" s="205">
        <v>0</v>
      </c>
      <c r="Q536" s="205">
        <f t="shared" ca="1" si="213"/>
        <v>0</v>
      </c>
      <c r="R536" s="205">
        <f ca="1">+IF(ISERROR(OFFSET(Tabella!$G$1,MATCH(J536,Tabella!$G:$G,0)-1,MATCH(K536,Tabella!$G$1:$FG$1,0)-1)=TRUE),0,OFFSET(Tabella!$G$1,MATCH(J536,Tabella!$G:$G,0)-1,MATCH(K536,Tabella!$G$1:$AB$1,0)-1))</f>
        <v>0</v>
      </c>
      <c r="S536" s="205">
        <f ca="1">IF(ISERROR(OFFSET(Ottone!$F$1,MATCH(J536,Ottone!$A:$A,0)-1,MATCH(K536,Ottone!$F$1:$FF$1,0)-1)=TRUE),0,OFFSET(Ottone!$F$1,MATCH(J536,Ottone!$A:$A,0)-1,MATCH(K536,Ottone!$F$1:$FF$1,0)-1))*IF(G536="Ottone",1,0)</f>
        <v>0</v>
      </c>
      <c r="T536" s="205">
        <f ca="1">IF(ISERROR(OFFSET(Rame!$F$1,MATCH(J536,Rame!$F:$F,0)-1,MATCH(K536,Rame!$F$1:$FF$1,0)-1)=TRUE),0,OFFSET(Rame!$F$1,MATCH(J536,Rame!$F:$F,0)-1,MATCH(K536,Rame!$F$1:$FF$1,0)-1))*IF(G536="Rame",1,0)</f>
        <v>0</v>
      </c>
      <c r="U536" s="205">
        <f ca="1">IF(ISERROR(OFFSET(Bronzo!$A$1,MATCH(J536,Bronzo!$A:$A,0)-1,MATCH(K536,Bronzo!$A$1:$AA$1,0)-1)=TRUE),0,OFFSET(Bronzo!$A$1,MATCH(J536,Bronzo!$A:$A,0)-1,MATCH(K536,Bronzo!$A$1:$AA$1,0)-1))</f>
        <v>0</v>
      </c>
      <c r="V536" s="205">
        <f t="shared" ca="1" si="214"/>
        <v>0</v>
      </c>
      <c r="W536" s="204"/>
      <c r="X536" s="205">
        <v>0</v>
      </c>
      <c r="Y536" s="206">
        <f t="shared" ca="1" si="215"/>
        <v>0</v>
      </c>
      <c r="Z536" s="277">
        <f t="shared" si="216"/>
        <v>0</v>
      </c>
      <c r="AA536" s="203"/>
      <c r="AB536" s="203">
        <f t="shared" ca="1" si="217"/>
        <v>0</v>
      </c>
      <c r="AC536" s="238"/>
      <c r="AI536" s="367">
        <f t="shared" ca="1" si="212"/>
        <v>46092</v>
      </c>
      <c r="AJ536" s="367" t="b">
        <f t="shared" si="206"/>
        <v>1</v>
      </c>
      <c r="AK536" s="370" t="str">
        <f t="shared" si="207"/>
        <v/>
      </c>
      <c r="AN536">
        <f t="shared" si="208"/>
        <v>0</v>
      </c>
      <c r="AO536">
        <f t="shared" si="209"/>
        <v>1900</v>
      </c>
      <c r="AV536">
        <f t="shared" si="210"/>
        <v>0</v>
      </c>
      <c r="AW536">
        <f t="shared" si="211"/>
        <v>0</v>
      </c>
    </row>
    <row r="537" spans="4:49" ht="15.75" x14ac:dyDescent="0.25">
      <c r="D537" s="199"/>
      <c r="E537" s="200"/>
      <c r="F537" s="287"/>
      <c r="G537" s="201"/>
      <c r="H537" s="219"/>
      <c r="I537" s="202"/>
      <c r="J537" s="200"/>
      <c r="K537" s="200"/>
      <c r="L537" s="203"/>
      <c r="M537" s="204">
        <f ca="1">IF(ISERROR(OFFSET(Tabella!$A$1,MATCH(J537,Tabella!$A:$A,0)-1,MATCH(L537,Tabella!$A$1:$AC$1,0)-1)=TRUE),0,+OFFSET(Tabella!$A$1,MATCH(J537,Tabella!$A:$A,0)-1,MATCH(L537,Tabella!$A$1:$AC$1,0)-1))</f>
        <v>0</v>
      </c>
      <c r="N537" s="205">
        <f ca="1">IF(ISERROR(OFFSET(Ottone!$A$1,MATCH(J537,Ottone!$A:$A,0)-1,MATCH(L537,Ottone!$A$1:$Z$1,0)-1)=TRUE),0,OFFSET(Ottone!$A$1,MATCH(J537,Ottone!$A:$A,0)-1,MATCH(L537,Ottone!$A$1:$Z$1,0)-1))*IF(G537="Ottone",1,0)</f>
        <v>0</v>
      </c>
      <c r="O537" s="205">
        <f ca="1">IF(ISERROR(OFFSET(Rame!$A$1,MATCH(J537,Rame!$A:$A,0)-1,MATCH(L537,Rame!$A$1:$AA$1,0)-1)=TRUE),0,OFFSET(Rame!$A$1,MATCH(J537,Rame!$A:$A,0)-1,MATCH(L537,Rame!$A$1:$AA$1,0)-1))*IF(G537="Rame",1,0)</f>
        <v>0</v>
      </c>
      <c r="P537" s="205">
        <v>0</v>
      </c>
      <c r="Q537" s="205">
        <f t="shared" ca="1" si="213"/>
        <v>0</v>
      </c>
      <c r="R537" s="205">
        <f ca="1">+IF(ISERROR(OFFSET(Tabella!$G$1,MATCH(J537,Tabella!$G:$G,0)-1,MATCH(K537,Tabella!$G$1:$FG$1,0)-1)=TRUE),0,OFFSET(Tabella!$G$1,MATCH(J537,Tabella!$G:$G,0)-1,MATCH(K537,Tabella!$G$1:$AB$1,0)-1))</f>
        <v>0</v>
      </c>
      <c r="S537" s="205">
        <f ca="1">IF(ISERROR(OFFSET(Ottone!$F$1,MATCH(J537,Ottone!$A:$A,0)-1,MATCH(K537,Ottone!$F$1:$FF$1,0)-1)=TRUE),0,OFFSET(Ottone!$F$1,MATCH(J537,Ottone!$A:$A,0)-1,MATCH(K537,Ottone!$F$1:$FF$1,0)-1))*IF(G537="Ottone",1,0)</f>
        <v>0</v>
      </c>
      <c r="T537" s="205">
        <f ca="1">IF(ISERROR(OFFSET(Rame!$F$1,MATCH(J537,Rame!$F:$F,0)-1,MATCH(K537,Rame!$F$1:$FF$1,0)-1)=TRUE),0,OFFSET(Rame!$F$1,MATCH(J537,Rame!$F:$F,0)-1,MATCH(K537,Rame!$F$1:$FF$1,0)-1))*IF(G537="Rame",1,0)</f>
        <v>0</v>
      </c>
      <c r="U537" s="205">
        <f ca="1">IF(ISERROR(OFFSET(Bronzo!$A$1,MATCH(J537,Bronzo!$A:$A,0)-1,MATCH(K537,Bronzo!$A$1:$AA$1,0)-1)=TRUE),0,OFFSET(Bronzo!$A$1,MATCH(J537,Bronzo!$A:$A,0)-1,MATCH(K537,Bronzo!$A$1:$AA$1,0)-1))</f>
        <v>0</v>
      </c>
      <c r="V537" s="205">
        <f t="shared" ca="1" si="214"/>
        <v>0</v>
      </c>
      <c r="W537" s="204"/>
      <c r="X537" s="205">
        <v>0</v>
      </c>
      <c r="Y537" s="206">
        <f t="shared" ca="1" si="215"/>
        <v>0</v>
      </c>
      <c r="Z537" s="277">
        <f t="shared" si="216"/>
        <v>0</v>
      </c>
      <c r="AA537" s="203"/>
      <c r="AB537" s="203">
        <f t="shared" ca="1" si="217"/>
        <v>0</v>
      </c>
      <c r="AC537" s="238"/>
      <c r="AI537" s="367">
        <f t="shared" ca="1" si="212"/>
        <v>46092</v>
      </c>
      <c r="AJ537" s="367" t="b">
        <f t="shared" si="206"/>
        <v>1</v>
      </c>
      <c r="AK537" s="370" t="str">
        <f t="shared" si="207"/>
        <v/>
      </c>
      <c r="AN537">
        <f t="shared" si="208"/>
        <v>0</v>
      </c>
      <c r="AO537">
        <f t="shared" si="209"/>
        <v>1900</v>
      </c>
      <c r="AV537">
        <f t="shared" si="210"/>
        <v>0</v>
      </c>
      <c r="AW537">
        <f t="shared" si="211"/>
        <v>0</v>
      </c>
    </row>
    <row r="538" spans="4:49" ht="15.75" x14ac:dyDescent="0.25">
      <c r="D538" s="199"/>
      <c r="E538" s="200"/>
      <c r="F538" s="287"/>
      <c r="G538" s="201"/>
      <c r="H538" s="219"/>
      <c r="I538" s="202"/>
      <c r="J538" s="200"/>
      <c r="K538" s="200"/>
      <c r="L538" s="203"/>
      <c r="M538" s="204">
        <f ca="1">IF(ISERROR(OFFSET(Tabella!$A$1,MATCH(J538,Tabella!$A:$A,0)-1,MATCH(L538,Tabella!$A$1:$AC$1,0)-1)=TRUE),0,+OFFSET(Tabella!$A$1,MATCH(J538,Tabella!$A:$A,0)-1,MATCH(L538,Tabella!$A$1:$AC$1,0)-1))</f>
        <v>0</v>
      </c>
      <c r="N538" s="205">
        <f ca="1">IF(ISERROR(OFFSET(Ottone!$A$1,MATCH(J538,Ottone!$A:$A,0)-1,MATCH(L538,Ottone!$A$1:$Z$1,0)-1)=TRUE),0,OFFSET(Ottone!$A$1,MATCH(J538,Ottone!$A:$A,0)-1,MATCH(L538,Ottone!$A$1:$Z$1,0)-1))*IF(G538="Ottone",1,0)</f>
        <v>0</v>
      </c>
      <c r="O538" s="205">
        <f ca="1">IF(ISERROR(OFFSET(Rame!$A$1,MATCH(J538,Rame!$A:$A,0)-1,MATCH(L538,Rame!$A$1:$AA$1,0)-1)=TRUE),0,OFFSET(Rame!$A$1,MATCH(J538,Rame!$A:$A,0)-1,MATCH(L538,Rame!$A$1:$AA$1,0)-1))*IF(G538="Rame",1,0)</f>
        <v>0</v>
      </c>
      <c r="P538" s="205">
        <v>0</v>
      </c>
      <c r="Q538" s="205">
        <f t="shared" ca="1" si="213"/>
        <v>0</v>
      </c>
      <c r="R538" s="205">
        <f ca="1">+IF(ISERROR(OFFSET(Tabella!$G$1,MATCH(J538,Tabella!$G:$G,0)-1,MATCH(K538,Tabella!$G$1:$FG$1,0)-1)=TRUE),0,OFFSET(Tabella!$G$1,MATCH(J538,Tabella!$G:$G,0)-1,MATCH(K538,Tabella!$G$1:$AB$1,0)-1))</f>
        <v>0</v>
      </c>
      <c r="S538" s="205">
        <f ca="1">IF(ISERROR(OFFSET(Ottone!$F$1,MATCH(J538,Ottone!$A:$A,0)-1,MATCH(K538,Ottone!$F$1:$FF$1,0)-1)=TRUE),0,OFFSET(Ottone!$F$1,MATCH(J538,Ottone!$A:$A,0)-1,MATCH(K538,Ottone!$F$1:$FF$1,0)-1))*IF(G538="Ottone",1,0)</f>
        <v>0</v>
      </c>
      <c r="T538" s="205">
        <f ca="1">IF(ISERROR(OFFSET(Rame!$F$1,MATCH(J538,Rame!$F:$F,0)-1,MATCH(K538,Rame!$F$1:$FF$1,0)-1)=TRUE),0,OFFSET(Rame!$F$1,MATCH(J538,Rame!$F:$F,0)-1,MATCH(K538,Rame!$F$1:$FF$1,0)-1))*IF(G538="Rame",1,0)</f>
        <v>0</v>
      </c>
      <c r="U538" s="205">
        <f ca="1">IF(ISERROR(OFFSET(Bronzo!$A$1,MATCH(J538,Bronzo!$A:$A,0)-1,MATCH(K538,Bronzo!$A$1:$AA$1,0)-1)=TRUE),0,OFFSET(Bronzo!$A$1,MATCH(J538,Bronzo!$A:$A,0)-1,MATCH(K538,Bronzo!$A$1:$AA$1,0)-1))</f>
        <v>0</v>
      </c>
      <c r="V538" s="205">
        <f t="shared" ca="1" si="214"/>
        <v>0</v>
      </c>
      <c r="W538" s="204"/>
      <c r="X538" s="205">
        <v>0</v>
      </c>
      <c r="Y538" s="206">
        <f t="shared" ca="1" si="215"/>
        <v>0</v>
      </c>
      <c r="Z538" s="277">
        <f t="shared" si="216"/>
        <v>0</v>
      </c>
      <c r="AA538" s="203"/>
      <c r="AB538" s="203">
        <f t="shared" ca="1" si="217"/>
        <v>0</v>
      </c>
      <c r="AC538" s="238"/>
      <c r="AI538" s="367">
        <f t="shared" ca="1" si="212"/>
        <v>46092</v>
      </c>
      <c r="AJ538" s="367" t="b">
        <f t="shared" si="206"/>
        <v>1</v>
      </c>
      <c r="AK538" s="370" t="str">
        <f t="shared" si="207"/>
        <v/>
      </c>
      <c r="AN538">
        <f t="shared" si="208"/>
        <v>0</v>
      </c>
      <c r="AO538">
        <f t="shared" si="209"/>
        <v>1900</v>
      </c>
      <c r="AV538">
        <f t="shared" si="210"/>
        <v>0</v>
      </c>
      <c r="AW538">
        <f t="shared" si="211"/>
        <v>0</v>
      </c>
    </row>
    <row r="539" spans="4:49" ht="15.75" x14ac:dyDescent="0.25">
      <c r="D539" s="199"/>
      <c r="E539" s="200"/>
      <c r="F539" s="287"/>
      <c r="G539" s="201"/>
      <c r="H539" s="219"/>
      <c r="I539" s="202"/>
      <c r="J539" s="200"/>
      <c r="K539" s="200"/>
      <c r="L539" s="203"/>
      <c r="M539" s="204">
        <f ca="1">IF(ISERROR(OFFSET(Tabella!$A$1,MATCH(J539,Tabella!$A:$A,0)-1,MATCH(L539,Tabella!$A$1:$AC$1,0)-1)=TRUE),0,+OFFSET(Tabella!$A$1,MATCH(J539,Tabella!$A:$A,0)-1,MATCH(L539,Tabella!$A$1:$AC$1,0)-1))</f>
        <v>0</v>
      </c>
      <c r="N539" s="205">
        <f ca="1">IF(ISERROR(OFFSET(Ottone!$A$1,MATCH(J539,Ottone!$A:$A,0)-1,MATCH(L539,Ottone!$A$1:$Z$1,0)-1)=TRUE),0,OFFSET(Ottone!$A$1,MATCH(J539,Ottone!$A:$A,0)-1,MATCH(L539,Ottone!$A$1:$Z$1,0)-1))*IF(G539="Ottone",1,0)</f>
        <v>0</v>
      </c>
      <c r="O539" s="205">
        <f ca="1">IF(ISERROR(OFFSET(Rame!$A$1,MATCH(J539,Rame!$A:$A,0)-1,MATCH(L539,Rame!$A$1:$AA$1,0)-1)=TRUE),0,OFFSET(Rame!$A$1,MATCH(J539,Rame!$A:$A,0)-1,MATCH(L539,Rame!$A$1:$AA$1,0)-1))*IF(G539="Rame",1,0)</f>
        <v>0</v>
      </c>
      <c r="P539" s="205">
        <v>0</v>
      </c>
      <c r="Q539" s="205">
        <f t="shared" ca="1" si="213"/>
        <v>0</v>
      </c>
      <c r="R539" s="205">
        <f ca="1">+IF(ISERROR(OFFSET(Tabella!$G$1,MATCH(J539,Tabella!$G:$G,0)-1,MATCH(K539,Tabella!$G$1:$FG$1,0)-1)=TRUE),0,OFFSET(Tabella!$G$1,MATCH(J539,Tabella!$G:$G,0)-1,MATCH(K539,Tabella!$G$1:$AB$1,0)-1))</f>
        <v>0</v>
      </c>
      <c r="S539" s="205">
        <f ca="1">IF(ISERROR(OFFSET(Ottone!$F$1,MATCH(J539,Ottone!$A:$A,0)-1,MATCH(K539,Ottone!$F$1:$FF$1,0)-1)=TRUE),0,OFFSET(Ottone!$F$1,MATCH(J539,Ottone!$A:$A,0)-1,MATCH(K539,Ottone!$F$1:$FF$1,0)-1))*IF(G539="Ottone",1,0)</f>
        <v>0</v>
      </c>
      <c r="T539" s="205">
        <f ca="1">IF(ISERROR(OFFSET(Rame!$F$1,MATCH(J539,Rame!$F:$F,0)-1,MATCH(K539,Rame!$F$1:$FF$1,0)-1)=TRUE),0,OFFSET(Rame!$F$1,MATCH(J539,Rame!$F:$F,0)-1,MATCH(K539,Rame!$F$1:$FF$1,0)-1))*IF(G539="Rame",1,0)</f>
        <v>0</v>
      </c>
      <c r="U539" s="205">
        <f ca="1">IF(ISERROR(OFFSET(Bronzo!$A$1,MATCH(J539,Bronzo!$A:$A,0)-1,MATCH(K539,Bronzo!$A$1:$AA$1,0)-1)=TRUE),0,OFFSET(Bronzo!$A$1,MATCH(J539,Bronzo!$A:$A,0)-1,MATCH(K539,Bronzo!$A$1:$AA$1,0)-1))</f>
        <v>0</v>
      </c>
      <c r="V539" s="205">
        <f t="shared" ca="1" si="214"/>
        <v>0</v>
      </c>
      <c r="W539" s="204"/>
      <c r="X539" s="205">
        <v>0</v>
      </c>
      <c r="Y539" s="206">
        <f t="shared" ca="1" si="215"/>
        <v>0</v>
      </c>
      <c r="Z539" s="277">
        <f t="shared" si="216"/>
        <v>0</v>
      </c>
      <c r="AA539" s="203"/>
      <c r="AB539" s="203">
        <f t="shared" ca="1" si="217"/>
        <v>0</v>
      </c>
      <c r="AC539" s="238"/>
      <c r="AI539" s="367">
        <f t="shared" ca="1" si="212"/>
        <v>46092</v>
      </c>
      <c r="AJ539" s="367" t="b">
        <f t="shared" si="206"/>
        <v>1</v>
      </c>
      <c r="AK539" s="370" t="str">
        <f t="shared" si="207"/>
        <v/>
      </c>
      <c r="AN539">
        <f t="shared" si="208"/>
        <v>0</v>
      </c>
      <c r="AO539">
        <f t="shared" si="209"/>
        <v>1900</v>
      </c>
      <c r="AV539">
        <f t="shared" si="210"/>
        <v>0</v>
      </c>
      <c r="AW539">
        <f t="shared" si="211"/>
        <v>0</v>
      </c>
    </row>
    <row r="540" spans="4:49" ht="15.75" x14ac:dyDescent="0.25">
      <c r="D540" s="199"/>
      <c r="E540" s="200"/>
      <c r="F540" s="287"/>
      <c r="G540" s="201"/>
      <c r="H540" s="219"/>
      <c r="I540" s="202"/>
      <c r="J540" s="200"/>
      <c r="K540" s="200"/>
      <c r="L540" s="203"/>
      <c r="M540" s="204">
        <f ca="1">IF(ISERROR(OFFSET(Tabella!$A$1,MATCH(J540,Tabella!$A:$A,0)-1,MATCH(L540,Tabella!$A$1:$AC$1,0)-1)=TRUE),0,+OFFSET(Tabella!$A$1,MATCH(J540,Tabella!$A:$A,0)-1,MATCH(L540,Tabella!$A$1:$AC$1,0)-1))</f>
        <v>0</v>
      </c>
      <c r="N540" s="205">
        <f ca="1">IF(ISERROR(OFFSET(Ottone!$A$1,MATCH(J540,Ottone!$A:$A,0)-1,MATCH(L540,Ottone!$A$1:$Z$1,0)-1)=TRUE),0,OFFSET(Ottone!$A$1,MATCH(J540,Ottone!$A:$A,0)-1,MATCH(L540,Ottone!$A$1:$Z$1,0)-1))*IF(G540="Ottone",1,0)</f>
        <v>0</v>
      </c>
      <c r="O540" s="205">
        <f ca="1">IF(ISERROR(OFFSET(Rame!$A$1,MATCH(J540,Rame!$A:$A,0)-1,MATCH(L540,Rame!$A$1:$AA$1,0)-1)=TRUE),0,OFFSET(Rame!$A$1,MATCH(J540,Rame!$A:$A,0)-1,MATCH(L540,Rame!$A$1:$AA$1,0)-1))*IF(G540="Rame",1,0)</f>
        <v>0</v>
      </c>
      <c r="P540" s="205">
        <v>0</v>
      </c>
      <c r="Q540" s="205">
        <f t="shared" ca="1" si="213"/>
        <v>0</v>
      </c>
      <c r="R540" s="205">
        <f ca="1">+IF(ISERROR(OFFSET(Tabella!$G$1,MATCH(J540,Tabella!$G:$G,0)-1,MATCH(K540,Tabella!$G$1:$FG$1,0)-1)=TRUE),0,OFFSET(Tabella!$G$1,MATCH(J540,Tabella!$G:$G,0)-1,MATCH(K540,Tabella!$G$1:$AB$1,0)-1))</f>
        <v>0</v>
      </c>
      <c r="S540" s="205">
        <f ca="1">IF(ISERROR(OFFSET(Ottone!$F$1,MATCH(J540,Ottone!$A:$A,0)-1,MATCH(K540,Ottone!$F$1:$FF$1,0)-1)=TRUE),0,OFFSET(Ottone!$F$1,MATCH(J540,Ottone!$A:$A,0)-1,MATCH(K540,Ottone!$F$1:$FF$1,0)-1))*IF(G540="Ottone",1,0)</f>
        <v>0</v>
      </c>
      <c r="T540" s="205">
        <f ca="1">IF(ISERROR(OFFSET(Rame!$F$1,MATCH(J540,Rame!$F:$F,0)-1,MATCH(K540,Rame!$F$1:$FF$1,0)-1)=TRUE),0,OFFSET(Rame!$F$1,MATCH(J540,Rame!$F:$F,0)-1,MATCH(K540,Rame!$F$1:$FF$1,0)-1))*IF(G540="Rame",1,0)</f>
        <v>0</v>
      </c>
      <c r="U540" s="205">
        <f ca="1">IF(ISERROR(OFFSET(Bronzo!$A$1,MATCH(J540,Bronzo!$A:$A,0)-1,MATCH(K540,Bronzo!$A$1:$AA$1,0)-1)=TRUE),0,OFFSET(Bronzo!$A$1,MATCH(J540,Bronzo!$A:$A,0)-1,MATCH(K540,Bronzo!$A$1:$AA$1,0)-1))</f>
        <v>0</v>
      </c>
      <c r="V540" s="205">
        <f t="shared" ca="1" si="214"/>
        <v>0</v>
      </c>
      <c r="W540" s="204"/>
      <c r="X540" s="205">
        <v>0</v>
      </c>
      <c r="Y540" s="206">
        <f t="shared" ca="1" si="215"/>
        <v>0</v>
      </c>
      <c r="Z540" s="277">
        <f t="shared" si="216"/>
        <v>0</v>
      </c>
      <c r="AA540" s="203"/>
      <c r="AB540" s="203">
        <f t="shared" ca="1" si="217"/>
        <v>0</v>
      </c>
      <c r="AC540" s="238"/>
      <c r="AI540" s="367">
        <f t="shared" ca="1" si="212"/>
        <v>46092</v>
      </c>
      <c r="AJ540" s="367" t="b">
        <f t="shared" si="206"/>
        <v>1</v>
      </c>
      <c r="AK540" s="370" t="str">
        <f t="shared" si="207"/>
        <v/>
      </c>
      <c r="AN540">
        <f t="shared" si="208"/>
        <v>0</v>
      </c>
      <c r="AO540">
        <f t="shared" si="209"/>
        <v>1900</v>
      </c>
      <c r="AV540">
        <f t="shared" si="210"/>
        <v>0</v>
      </c>
      <c r="AW540">
        <f t="shared" si="211"/>
        <v>0</v>
      </c>
    </row>
    <row r="541" spans="4:49" ht="15.75" x14ac:dyDescent="0.25">
      <c r="D541" s="199"/>
      <c r="E541" s="200"/>
      <c r="F541" s="287"/>
      <c r="G541" s="201"/>
      <c r="H541" s="219"/>
      <c r="I541" s="202"/>
      <c r="J541" s="200"/>
      <c r="K541" s="200"/>
      <c r="L541" s="203"/>
      <c r="M541" s="204">
        <f ca="1">IF(ISERROR(OFFSET(Tabella!$A$1,MATCH(J541,Tabella!$A:$A,0)-1,MATCH(L541,Tabella!$A$1:$AC$1,0)-1)=TRUE),0,+OFFSET(Tabella!$A$1,MATCH(J541,Tabella!$A:$A,0)-1,MATCH(L541,Tabella!$A$1:$AC$1,0)-1))</f>
        <v>0</v>
      </c>
      <c r="N541" s="205">
        <f ca="1">IF(ISERROR(OFFSET(Ottone!$A$1,MATCH(J541,Ottone!$A:$A,0)-1,MATCH(L541,Ottone!$A$1:$Z$1,0)-1)=TRUE),0,OFFSET(Ottone!$A$1,MATCH(J541,Ottone!$A:$A,0)-1,MATCH(L541,Ottone!$A$1:$Z$1,0)-1))*IF(G541="Ottone",1,0)</f>
        <v>0</v>
      </c>
      <c r="O541" s="205">
        <f ca="1">IF(ISERROR(OFFSET(Rame!$A$1,MATCH(J541,Rame!$A:$A,0)-1,MATCH(L541,Rame!$A$1:$AA$1,0)-1)=TRUE),0,OFFSET(Rame!$A$1,MATCH(J541,Rame!$A:$A,0)-1,MATCH(L541,Rame!$A$1:$AA$1,0)-1))*IF(G541="Rame",1,0)</f>
        <v>0</v>
      </c>
      <c r="P541" s="205">
        <v>0</v>
      </c>
      <c r="Q541" s="205">
        <f t="shared" ca="1" si="213"/>
        <v>0</v>
      </c>
      <c r="R541" s="205">
        <f ca="1">+IF(ISERROR(OFFSET(Tabella!$G$1,MATCH(J541,Tabella!$G:$G,0)-1,MATCH(K541,Tabella!$G$1:$FG$1,0)-1)=TRUE),0,OFFSET(Tabella!$G$1,MATCH(J541,Tabella!$G:$G,0)-1,MATCH(K541,Tabella!$G$1:$AB$1,0)-1))</f>
        <v>0</v>
      </c>
      <c r="S541" s="205">
        <f ca="1">IF(ISERROR(OFFSET(Ottone!$F$1,MATCH(J541,Ottone!$A:$A,0)-1,MATCH(K541,Ottone!$F$1:$FF$1,0)-1)=TRUE),0,OFFSET(Ottone!$F$1,MATCH(J541,Ottone!$A:$A,0)-1,MATCH(K541,Ottone!$F$1:$FF$1,0)-1))*IF(G541="Ottone",1,0)</f>
        <v>0</v>
      </c>
      <c r="T541" s="205">
        <f ca="1">IF(ISERROR(OFFSET(Rame!$F$1,MATCH(J541,Rame!$F:$F,0)-1,MATCH(K541,Rame!$F$1:$FF$1,0)-1)=TRUE),0,OFFSET(Rame!$F$1,MATCH(J541,Rame!$F:$F,0)-1,MATCH(K541,Rame!$F$1:$FF$1,0)-1))*IF(G541="Rame",1,0)</f>
        <v>0</v>
      </c>
      <c r="U541" s="205">
        <f ca="1">IF(ISERROR(OFFSET(Bronzo!$A$1,MATCH(J541,Bronzo!$A:$A,0)-1,MATCH(K541,Bronzo!$A$1:$AA$1,0)-1)=TRUE),0,OFFSET(Bronzo!$A$1,MATCH(J541,Bronzo!$A:$A,0)-1,MATCH(K541,Bronzo!$A$1:$AA$1,0)-1))</f>
        <v>0</v>
      </c>
      <c r="V541" s="205">
        <f t="shared" ca="1" si="214"/>
        <v>0</v>
      </c>
      <c r="W541" s="204"/>
      <c r="X541" s="205">
        <v>0</v>
      </c>
      <c r="Y541" s="206">
        <f t="shared" ca="1" si="215"/>
        <v>0</v>
      </c>
      <c r="Z541" s="277">
        <f t="shared" si="216"/>
        <v>0</v>
      </c>
      <c r="AA541" s="203"/>
      <c r="AB541" s="203">
        <f t="shared" ca="1" si="217"/>
        <v>0</v>
      </c>
      <c r="AC541" s="238"/>
      <c r="AI541" s="367">
        <f t="shared" ca="1" si="212"/>
        <v>46092</v>
      </c>
      <c r="AJ541" s="367" t="b">
        <f t="shared" si="206"/>
        <v>1</v>
      </c>
      <c r="AK541" s="370" t="str">
        <f t="shared" si="207"/>
        <v/>
      </c>
      <c r="AN541">
        <f t="shared" si="208"/>
        <v>0</v>
      </c>
      <c r="AO541">
        <f t="shared" si="209"/>
        <v>1900</v>
      </c>
      <c r="AV541">
        <f t="shared" si="210"/>
        <v>0</v>
      </c>
      <c r="AW541">
        <f t="shared" si="211"/>
        <v>0</v>
      </c>
    </row>
    <row r="542" spans="4:49" ht="15.75" x14ac:dyDescent="0.25">
      <c r="D542" s="199"/>
      <c r="E542" s="200"/>
      <c r="F542" s="287"/>
      <c r="G542" s="201"/>
      <c r="H542" s="219"/>
      <c r="I542" s="202"/>
      <c r="J542" s="200"/>
      <c r="K542" s="200"/>
      <c r="L542" s="203"/>
      <c r="M542" s="204">
        <f ca="1">IF(ISERROR(OFFSET(Tabella!$A$1,MATCH(J542,Tabella!$A:$A,0)-1,MATCH(L542,Tabella!$A$1:$AC$1,0)-1)=TRUE),0,+OFFSET(Tabella!$A$1,MATCH(J542,Tabella!$A:$A,0)-1,MATCH(L542,Tabella!$A$1:$AC$1,0)-1))</f>
        <v>0</v>
      </c>
      <c r="N542" s="205">
        <f ca="1">IF(ISERROR(OFFSET(Ottone!$A$1,MATCH(J542,Ottone!$A:$A,0)-1,MATCH(L542,Ottone!$A$1:$Z$1,0)-1)=TRUE),0,OFFSET(Ottone!$A$1,MATCH(J542,Ottone!$A:$A,0)-1,MATCH(L542,Ottone!$A$1:$Z$1,0)-1))*IF(G542="Ottone",1,0)</f>
        <v>0</v>
      </c>
      <c r="O542" s="205">
        <f ca="1">IF(ISERROR(OFFSET(Rame!$A$1,MATCH(J542,Rame!$A:$A,0)-1,MATCH(L542,Rame!$A$1:$AA$1,0)-1)=TRUE),0,OFFSET(Rame!$A$1,MATCH(J542,Rame!$A:$A,0)-1,MATCH(L542,Rame!$A$1:$AA$1,0)-1))*IF(G542="Rame",1,0)</f>
        <v>0</v>
      </c>
      <c r="P542" s="205">
        <v>0</v>
      </c>
      <c r="Q542" s="205">
        <f t="shared" ca="1" si="213"/>
        <v>0</v>
      </c>
      <c r="R542" s="205">
        <f ca="1">+IF(ISERROR(OFFSET(Tabella!$G$1,MATCH(J542,Tabella!$G:$G,0)-1,MATCH(K542,Tabella!$G$1:$FG$1,0)-1)=TRUE),0,OFFSET(Tabella!$G$1,MATCH(J542,Tabella!$G:$G,0)-1,MATCH(K542,Tabella!$G$1:$AB$1,0)-1))</f>
        <v>0</v>
      </c>
      <c r="S542" s="205">
        <f ca="1">IF(ISERROR(OFFSET(Ottone!$F$1,MATCH(J542,Ottone!$A:$A,0)-1,MATCH(K542,Ottone!$F$1:$FF$1,0)-1)=TRUE),0,OFFSET(Ottone!$F$1,MATCH(J542,Ottone!$A:$A,0)-1,MATCH(K542,Ottone!$F$1:$FF$1,0)-1))*IF(G542="Ottone",1,0)</f>
        <v>0</v>
      </c>
      <c r="T542" s="205">
        <f ca="1">IF(ISERROR(OFFSET(Rame!$F$1,MATCH(J542,Rame!$F:$F,0)-1,MATCH(K542,Rame!$F$1:$FF$1,0)-1)=TRUE),0,OFFSET(Rame!$F$1,MATCH(J542,Rame!$F:$F,0)-1,MATCH(K542,Rame!$F$1:$FF$1,0)-1))*IF(G542="Rame",1,0)</f>
        <v>0</v>
      </c>
      <c r="U542" s="205">
        <f ca="1">IF(ISERROR(OFFSET(Bronzo!$A$1,MATCH(J542,Bronzo!$A:$A,0)-1,MATCH(K542,Bronzo!$A$1:$AA$1,0)-1)=TRUE),0,OFFSET(Bronzo!$A$1,MATCH(J542,Bronzo!$A:$A,0)-1,MATCH(K542,Bronzo!$A$1:$AA$1,0)-1))</f>
        <v>0</v>
      </c>
      <c r="V542" s="205">
        <f t="shared" ca="1" si="214"/>
        <v>0</v>
      </c>
      <c r="W542" s="204"/>
      <c r="X542" s="205">
        <v>0</v>
      </c>
      <c r="Y542" s="206">
        <f t="shared" ca="1" si="215"/>
        <v>0</v>
      </c>
      <c r="Z542" s="277">
        <f t="shared" si="216"/>
        <v>0</v>
      </c>
      <c r="AA542" s="203"/>
      <c r="AB542" s="203">
        <f t="shared" ca="1" si="217"/>
        <v>0</v>
      </c>
      <c r="AC542" s="238"/>
      <c r="AI542" s="367">
        <f t="shared" ca="1" si="212"/>
        <v>46092</v>
      </c>
      <c r="AJ542" s="367" t="b">
        <f t="shared" si="206"/>
        <v>1</v>
      </c>
      <c r="AK542" s="370" t="str">
        <f t="shared" si="207"/>
        <v/>
      </c>
      <c r="AN542">
        <f t="shared" si="208"/>
        <v>0</v>
      </c>
      <c r="AO542">
        <f t="shared" si="209"/>
        <v>1900</v>
      </c>
      <c r="AV542">
        <f t="shared" si="210"/>
        <v>0</v>
      </c>
      <c r="AW542">
        <f t="shared" si="211"/>
        <v>0</v>
      </c>
    </row>
    <row r="543" spans="4:49" ht="15.75" x14ac:dyDescent="0.25">
      <c r="D543" s="199"/>
      <c r="E543" s="200"/>
      <c r="F543" s="287"/>
      <c r="G543" s="201"/>
      <c r="H543" s="219"/>
      <c r="I543" s="202"/>
      <c r="J543" s="200"/>
      <c r="K543" s="200"/>
      <c r="L543" s="203"/>
      <c r="M543" s="204">
        <f ca="1">IF(ISERROR(OFFSET(Tabella!$A$1,MATCH(J543,Tabella!$A:$A,0)-1,MATCH(L543,Tabella!$A$1:$AC$1,0)-1)=TRUE),0,+OFFSET(Tabella!$A$1,MATCH(J543,Tabella!$A:$A,0)-1,MATCH(L543,Tabella!$A$1:$AC$1,0)-1))</f>
        <v>0</v>
      </c>
      <c r="N543" s="205">
        <f ca="1">IF(ISERROR(OFFSET(Ottone!$A$1,MATCH(J543,Ottone!$A:$A,0)-1,MATCH(L543,Ottone!$A$1:$Z$1,0)-1)=TRUE),0,OFFSET(Ottone!$A$1,MATCH(J543,Ottone!$A:$A,0)-1,MATCH(L543,Ottone!$A$1:$Z$1,0)-1))*IF(G543="Ottone",1,0)</f>
        <v>0</v>
      </c>
      <c r="O543" s="205">
        <f ca="1">IF(ISERROR(OFFSET(Rame!$A$1,MATCH(J543,Rame!$A:$A,0)-1,MATCH(L543,Rame!$A$1:$AA$1,0)-1)=TRUE),0,OFFSET(Rame!$A$1,MATCH(J543,Rame!$A:$A,0)-1,MATCH(L543,Rame!$A$1:$AA$1,0)-1))*IF(G543="Rame",1,0)</f>
        <v>0</v>
      </c>
      <c r="P543" s="205">
        <v>0</v>
      </c>
      <c r="Q543" s="205">
        <f t="shared" ca="1" si="213"/>
        <v>0</v>
      </c>
      <c r="R543" s="205">
        <f ca="1">+IF(ISERROR(OFFSET(Tabella!$G$1,MATCH(J543,Tabella!$G:$G,0)-1,MATCH(K543,Tabella!$G$1:$FG$1,0)-1)=TRUE),0,OFFSET(Tabella!$G$1,MATCH(J543,Tabella!$G:$G,0)-1,MATCH(K543,Tabella!$G$1:$AB$1,0)-1))</f>
        <v>0</v>
      </c>
      <c r="S543" s="205">
        <f ca="1">IF(ISERROR(OFFSET(Ottone!$F$1,MATCH(J543,Ottone!$A:$A,0)-1,MATCH(K543,Ottone!$F$1:$FF$1,0)-1)=TRUE),0,OFFSET(Ottone!$F$1,MATCH(J543,Ottone!$A:$A,0)-1,MATCH(K543,Ottone!$F$1:$FF$1,0)-1))*IF(G543="Ottone",1,0)</f>
        <v>0</v>
      </c>
      <c r="T543" s="205">
        <f ca="1">IF(ISERROR(OFFSET(Rame!$F$1,MATCH(J543,Rame!$F:$F,0)-1,MATCH(K543,Rame!$F$1:$FF$1,0)-1)=TRUE),0,OFFSET(Rame!$F$1,MATCH(J543,Rame!$F:$F,0)-1,MATCH(K543,Rame!$F$1:$FF$1,0)-1))*IF(G543="Rame",1,0)</f>
        <v>0</v>
      </c>
      <c r="U543" s="205">
        <f ca="1">IF(ISERROR(OFFSET(Bronzo!$A$1,MATCH(J543,Bronzo!$A:$A,0)-1,MATCH(K543,Bronzo!$A$1:$AA$1,0)-1)=TRUE),0,OFFSET(Bronzo!$A$1,MATCH(J543,Bronzo!$A:$A,0)-1,MATCH(K543,Bronzo!$A$1:$AA$1,0)-1))</f>
        <v>0</v>
      </c>
      <c r="V543" s="205">
        <f t="shared" ca="1" si="214"/>
        <v>0</v>
      </c>
      <c r="W543" s="204"/>
      <c r="X543" s="205">
        <v>0</v>
      </c>
      <c r="Y543" s="206">
        <f t="shared" ca="1" si="215"/>
        <v>0</v>
      </c>
      <c r="Z543" s="277">
        <f t="shared" si="216"/>
        <v>0</v>
      </c>
      <c r="AA543" s="203"/>
      <c r="AB543" s="203">
        <f t="shared" ca="1" si="217"/>
        <v>0</v>
      </c>
      <c r="AC543" s="238"/>
      <c r="AI543" s="367">
        <f t="shared" ca="1" si="212"/>
        <v>46092</v>
      </c>
      <c r="AJ543" s="367" t="b">
        <f t="shared" si="206"/>
        <v>1</v>
      </c>
      <c r="AK543" s="370" t="str">
        <f t="shared" si="207"/>
        <v/>
      </c>
      <c r="AN543">
        <f t="shared" si="208"/>
        <v>0</v>
      </c>
      <c r="AO543">
        <f t="shared" si="209"/>
        <v>1900</v>
      </c>
      <c r="AV543">
        <f t="shared" si="210"/>
        <v>0</v>
      </c>
      <c r="AW543">
        <f t="shared" si="211"/>
        <v>0</v>
      </c>
    </row>
    <row r="544" spans="4:49" ht="15.75" x14ac:dyDescent="0.25">
      <c r="D544" s="199"/>
      <c r="E544" s="200"/>
      <c r="F544" s="287"/>
      <c r="G544" s="201"/>
      <c r="H544" s="219"/>
      <c r="I544" s="202"/>
      <c r="J544" s="200"/>
      <c r="K544" s="200"/>
      <c r="L544" s="203"/>
      <c r="M544" s="204">
        <f ca="1">IF(ISERROR(OFFSET(Tabella!$A$1,MATCH(J544,Tabella!$A:$A,0)-1,MATCH(L544,Tabella!$A$1:$AC$1,0)-1)=TRUE),0,+OFFSET(Tabella!$A$1,MATCH(J544,Tabella!$A:$A,0)-1,MATCH(L544,Tabella!$A$1:$AC$1,0)-1))</f>
        <v>0</v>
      </c>
      <c r="N544" s="205">
        <f ca="1">IF(ISERROR(OFFSET(Ottone!$A$1,MATCH(J544,Ottone!$A:$A,0)-1,MATCH(L544,Ottone!$A$1:$Z$1,0)-1)=TRUE),0,OFFSET(Ottone!$A$1,MATCH(J544,Ottone!$A:$A,0)-1,MATCH(L544,Ottone!$A$1:$Z$1,0)-1))*IF(G544="Ottone",1,0)</f>
        <v>0</v>
      </c>
      <c r="O544" s="205">
        <f ca="1">IF(ISERROR(OFFSET(Rame!$A$1,MATCH(J544,Rame!$A:$A,0)-1,MATCH(L544,Rame!$A$1:$AA$1,0)-1)=TRUE),0,OFFSET(Rame!$A$1,MATCH(J544,Rame!$A:$A,0)-1,MATCH(L544,Rame!$A$1:$AA$1,0)-1))*IF(G544="Rame",1,0)</f>
        <v>0</v>
      </c>
      <c r="P544" s="205">
        <v>0</v>
      </c>
      <c r="Q544" s="205">
        <f t="shared" ca="1" si="213"/>
        <v>0</v>
      </c>
      <c r="R544" s="205">
        <f ca="1">+IF(ISERROR(OFFSET(Tabella!$G$1,MATCH(J544,Tabella!$G:$G,0)-1,MATCH(K544,Tabella!$G$1:$FG$1,0)-1)=TRUE),0,OFFSET(Tabella!$G$1,MATCH(J544,Tabella!$G:$G,0)-1,MATCH(K544,Tabella!$G$1:$AB$1,0)-1))</f>
        <v>0</v>
      </c>
      <c r="S544" s="205">
        <f ca="1">IF(ISERROR(OFFSET(Ottone!$F$1,MATCH(J544,Ottone!$A:$A,0)-1,MATCH(K544,Ottone!$F$1:$FF$1,0)-1)=TRUE),0,OFFSET(Ottone!$F$1,MATCH(J544,Ottone!$A:$A,0)-1,MATCH(K544,Ottone!$F$1:$FF$1,0)-1))*IF(G544="Ottone",1,0)</f>
        <v>0</v>
      </c>
      <c r="T544" s="205">
        <f ca="1">IF(ISERROR(OFFSET(Rame!$F$1,MATCH(J544,Rame!$F:$F,0)-1,MATCH(K544,Rame!$F$1:$FF$1,0)-1)=TRUE),0,OFFSET(Rame!$F$1,MATCH(J544,Rame!$F:$F,0)-1,MATCH(K544,Rame!$F$1:$FF$1,0)-1))*IF(G544="Rame",1,0)</f>
        <v>0</v>
      </c>
      <c r="U544" s="205">
        <f ca="1">IF(ISERROR(OFFSET(Bronzo!$A$1,MATCH(J544,Bronzo!$A:$A,0)-1,MATCH(K544,Bronzo!$A$1:$AA$1,0)-1)=TRUE),0,OFFSET(Bronzo!$A$1,MATCH(J544,Bronzo!$A:$A,0)-1,MATCH(K544,Bronzo!$A$1:$AA$1,0)-1))</f>
        <v>0</v>
      </c>
      <c r="V544" s="205">
        <f t="shared" ca="1" si="214"/>
        <v>0</v>
      </c>
      <c r="W544" s="204"/>
      <c r="X544" s="205">
        <v>0</v>
      </c>
      <c r="Y544" s="206">
        <f t="shared" ca="1" si="215"/>
        <v>0</v>
      </c>
      <c r="Z544" s="277">
        <f t="shared" si="216"/>
        <v>0</v>
      </c>
      <c r="AA544" s="203"/>
      <c r="AB544" s="203">
        <f t="shared" ca="1" si="217"/>
        <v>0</v>
      </c>
      <c r="AC544" s="238"/>
      <c r="AI544" s="367">
        <f t="shared" ca="1" si="212"/>
        <v>46092</v>
      </c>
      <c r="AJ544" s="367" t="b">
        <f t="shared" ref="AJ544:AJ607" si="218">ISBLANK(AC544)</f>
        <v>1</v>
      </c>
      <c r="AK544" s="370" t="str">
        <f t="shared" ref="AK544:AK607" si="219">IF(AJ544=FALSE,_xlfn.DAYS(AC544,AI544),"")</f>
        <v/>
      </c>
      <c r="AN544">
        <f t="shared" ref="AN544:AN607" si="220">WEEKNUM(AC544)</f>
        <v>0</v>
      </c>
      <c r="AO544">
        <f t="shared" ref="AO544:AO607" si="221">YEAR(AC544)</f>
        <v>1900</v>
      </c>
      <c r="AV544">
        <f t="shared" ref="AV544:AV607" si="222">IF(AC544="",0,MONTH(AC544))</f>
        <v>0</v>
      </c>
      <c r="AW544">
        <f t="shared" ref="AW544:AW607" si="223">IF(AC544="",0,YEAR(AC544))</f>
        <v>0</v>
      </c>
    </row>
    <row r="545" spans="4:49" ht="15.75" x14ac:dyDescent="0.25">
      <c r="D545" s="199"/>
      <c r="E545" s="200"/>
      <c r="F545" s="287"/>
      <c r="G545" s="201"/>
      <c r="H545" s="219"/>
      <c r="I545" s="202"/>
      <c r="J545" s="200"/>
      <c r="K545" s="200"/>
      <c r="L545" s="203"/>
      <c r="M545" s="204">
        <f ca="1">IF(ISERROR(OFFSET(Tabella!$A$1,MATCH(J545,Tabella!$A:$A,0)-1,MATCH(L545,Tabella!$A$1:$AC$1,0)-1)=TRUE),0,+OFFSET(Tabella!$A$1,MATCH(J545,Tabella!$A:$A,0)-1,MATCH(L545,Tabella!$A$1:$AC$1,0)-1))</f>
        <v>0</v>
      </c>
      <c r="N545" s="205">
        <f ca="1">IF(ISERROR(OFFSET(Ottone!$A$1,MATCH(J545,Ottone!$A:$A,0)-1,MATCH(L545,Ottone!$A$1:$Z$1,0)-1)=TRUE),0,OFFSET(Ottone!$A$1,MATCH(J545,Ottone!$A:$A,0)-1,MATCH(L545,Ottone!$A$1:$Z$1,0)-1))*IF(G545="Ottone",1,0)</f>
        <v>0</v>
      </c>
      <c r="O545" s="205">
        <f ca="1">IF(ISERROR(OFFSET(Rame!$A$1,MATCH(J545,Rame!$A:$A,0)-1,MATCH(L545,Rame!$A$1:$AA$1,0)-1)=TRUE),0,OFFSET(Rame!$A$1,MATCH(J545,Rame!$A:$A,0)-1,MATCH(L545,Rame!$A$1:$AA$1,0)-1))*IF(G545="Rame",1,0)</f>
        <v>0</v>
      </c>
      <c r="P545" s="205">
        <v>0</v>
      </c>
      <c r="Q545" s="205">
        <f t="shared" ca="1" si="213"/>
        <v>0</v>
      </c>
      <c r="R545" s="205">
        <f ca="1">+IF(ISERROR(OFFSET(Tabella!$G$1,MATCH(J545,Tabella!$G:$G,0)-1,MATCH(K545,Tabella!$G$1:$FG$1,0)-1)=TRUE),0,OFFSET(Tabella!$G$1,MATCH(J545,Tabella!$G:$G,0)-1,MATCH(K545,Tabella!$G$1:$AB$1,0)-1))</f>
        <v>0</v>
      </c>
      <c r="S545" s="205">
        <f ca="1">IF(ISERROR(OFFSET(Ottone!$F$1,MATCH(J545,Ottone!$A:$A,0)-1,MATCH(K545,Ottone!$F$1:$FF$1,0)-1)=TRUE),0,OFFSET(Ottone!$F$1,MATCH(J545,Ottone!$A:$A,0)-1,MATCH(K545,Ottone!$F$1:$FF$1,0)-1))*IF(G545="Ottone",1,0)</f>
        <v>0</v>
      </c>
      <c r="T545" s="205">
        <f ca="1">IF(ISERROR(OFFSET(Rame!$F$1,MATCH(J545,Rame!$F:$F,0)-1,MATCH(K545,Rame!$F$1:$FF$1,0)-1)=TRUE),0,OFFSET(Rame!$F$1,MATCH(J545,Rame!$F:$F,0)-1,MATCH(K545,Rame!$F$1:$FF$1,0)-1))*IF(G545="Rame",1,0)</f>
        <v>0</v>
      </c>
      <c r="U545" s="205">
        <f ca="1">IF(ISERROR(OFFSET(Bronzo!$A$1,MATCH(J545,Bronzo!$A:$A,0)-1,MATCH(K545,Bronzo!$A$1:$AA$1,0)-1)=TRUE),0,OFFSET(Bronzo!$A$1,MATCH(J545,Bronzo!$A:$A,0)-1,MATCH(K545,Bronzo!$A$1:$AA$1,0)-1))</f>
        <v>0</v>
      </c>
      <c r="V545" s="205">
        <f t="shared" ca="1" si="214"/>
        <v>0</v>
      </c>
      <c r="W545" s="204"/>
      <c r="X545" s="205">
        <v>0</v>
      </c>
      <c r="Y545" s="206">
        <f t="shared" ca="1" si="215"/>
        <v>0</v>
      </c>
      <c r="Z545" s="277">
        <f t="shared" si="216"/>
        <v>0</v>
      </c>
      <c r="AA545" s="203"/>
      <c r="AB545" s="203">
        <f t="shared" ca="1" si="217"/>
        <v>0</v>
      </c>
      <c r="AC545" s="238"/>
      <c r="AI545" s="367">
        <f t="shared" ca="1" si="212"/>
        <v>46092</v>
      </c>
      <c r="AJ545" s="367" t="b">
        <f t="shared" si="218"/>
        <v>1</v>
      </c>
      <c r="AK545" s="370" t="str">
        <f t="shared" si="219"/>
        <v/>
      </c>
      <c r="AN545">
        <f t="shared" si="220"/>
        <v>0</v>
      </c>
      <c r="AO545">
        <f t="shared" si="221"/>
        <v>1900</v>
      </c>
      <c r="AV545">
        <f t="shared" si="222"/>
        <v>0</v>
      </c>
      <c r="AW545">
        <f t="shared" si="223"/>
        <v>0</v>
      </c>
    </row>
    <row r="546" spans="4:49" ht="15.75" x14ac:dyDescent="0.25">
      <c r="D546" s="199"/>
      <c r="E546" s="200"/>
      <c r="F546" s="287"/>
      <c r="G546" s="201"/>
      <c r="H546" s="219"/>
      <c r="I546" s="202"/>
      <c r="J546" s="200"/>
      <c r="K546" s="200"/>
      <c r="L546" s="203"/>
      <c r="M546" s="204">
        <f ca="1">IF(ISERROR(OFFSET(Tabella!$A$1,MATCH(J546,Tabella!$A:$A,0)-1,MATCH(L546,Tabella!$A$1:$AC$1,0)-1)=TRUE),0,+OFFSET(Tabella!$A$1,MATCH(J546,Tabella!$A:$A,0)-1,MATCH(L546,Tabella!$A$1:$AC$1,0)-1))</f>
        <v>0</v>
      </c>
      <c r="N546" s="205">
        <f ca="1">IF(ISERROR(OFFSET(Ottone!$A$1,MATCH(J546,Ottone!$A:$A,0)-1,MATCH(L546,Ottone!$A$1:$Z$1,0)-1)=TRUE),0,OFFSET(Ottone!$A$1,MATCH(J546,Ottone!$A:$A,0)-1,MATCH(L546,Ottone!$A$1:$Z$1,0)-1))*IF(G546="Ottone",1,0)</f>
        <v>0</v>
      </c>
      <c r="O546" s="205">
        <f ca="1">IF(ISERROR(OFFSET(Rame!$A$1,MATCH(J546,Rame!$A:$A,0)-1,MATCH(L546,Rame!$A$1:$AA$1,0)-1)=TRUE),0,OFFSET(Rame!$A$1,MATCH(J546,Rame!$A:$A,0)-1,MATCH(L546,Rame!$A$1:$AA$1,0)-1))*IF(G546="Rame",1,0)</f>
        <v>0</v>
      </c>
      <c r="P546" s="205">
        <v>0</v>
      </c>
      <c r="Q546" s="205">
        <f t="shared" ca="1" si="213"/>
        <v>0</v>
      </c>
      <c r="R546" s="205">
        <f ca="1">+IF(ISERROR(OFFSET(Tabella!$G$1,MATCH(J546,Tabella!$G:$G,0)-1,MATCH(K546,Tabella!$G$1:$FG$1,0)-1)=TRUE),0,OFFSET(Tabella!$G$1,MATCH(J546,Tabella!$G:$G,0)-1,MATCH(K546,Tabella!$G$1:$AB$1,0)-1))</f>
        <v>0</v>
      </c>
      <c r="S546" s="205">
        <f ca="1">IF(ISERROR(OFFSET(Ottone!$F$1,MATCH(J546,Ottone!$A:$A,0)-1,MATCH(K546,Ottone!$F$1:$FF$1,0)-1)=TRUE),0,OFFSET(Ottone!$F$1,MATCH(J546,Ottone!$A:$A,0)-1,MATCH(K546,Ottone!$F$1:$FF$1,0)-1))*IF(G546="Ottone",1,0)</f>
        <v>0</v>
      </c>
      <c r="T546" s="205">
        <f ca="1">IF(ISERROR(OFFSET(Rame!$F$1,MATCH(J546,Rame!$F:$F,0)-1,MATCH(K546,Rame!$F$1:$FF$1,0)-1)=TRUE),0,OFFSET(Rame!$F$1,MATCH(J546,Rame!$F:$F,0)-1,MATCH(K546,Rame!$F$1:$FF$1,0)-1))*IF(G546="Rame",1,0)</f>
        <v>0</v>
      </c>
      <c r="U546" s="205">
        <f ca="1">IF(ISERROR(OFFSET(Bronzo!$A$1,MATCH(J546,Bronzo!$A:$A,0)-1,MATCH(K546,Bronzo!$A$1:$AA$1,0)-1)=TRUE),0,OFFSET(Bronzo!$A$1,MATCH(J546,Bronzo!$A:$A,0)-1,MATCH(K546,Bronzo!$A$1:$AA$1,0)-1))</f>
        <v>0</v>
      </c>
      <c r="V546" s="205">
        <f t="shared" ca="1" si="214"/>
        <v>0</v>
      </c>
      <c r="W546" s="204"/>
      <c r="X546" s="205">
        <v>0</v>
      </c>
      <c r="Y546" s="206">
        <f t="shared" ca="1" si="215"/>
        <v>0</v>
      </c>
      <c r="Z546" s="277">
        <f t="shared" si="216"/>
        <v>0</v>
      </c>
      <c r="AA546" s="203"/>
      <c r="AB546" s="203">
        <f t="shared" ca="1" si="217"/>
        <v>0</v>
      </c>
      <c r="AC546" s="238"/>
      <c r="AI546" s="367">
        <f t="shared" ca="1" si="212"/>
        <v>46092</v>
      </c>
      <c r="AJ546" s="367" t="b">
        <f t="shared" si="218"/>
        <v>1</v>
      </c>
      <c r="AK546" s="370" t="str">
        <f t="shared" si="219"/>
        <v/>
      </c>
      <c r="AN546">
        <f t="shared" si="220"/>
        <v>0</v>
      </c>
      <c r="AO546">
        <f t="shared" si="221"/>
        <v>1900</v>
      </c>
      <c r="AV546">
        <f t="shared" si="222"/>
        <v>0</v>
      </c>
      <c r="AW546">
        <f t="shared" si="223"/>
        <v>0</v>
      </c>
    </row>
    <row r="547" spans="4:49" ht="15.75" x14ac:dyDescent="0.25">
      <c r="D547" s="199"/>
      <c r="E547" s="200"/>
      <c r="F547" s="287"/>
      <c r="G547" s="201"/>
      <c r="H547" s="219"/>
      <c r="I547" s="202"/>
      <c r="J547" s="200"/>
      <c r="K547" s="200"/>
      <c r="L547" s="203"/>
      <c r="M547" s="204">
        <f ca="1">IF(ISERROR(OFFSET(Tabella!$A$1,MATCH(J547,Tabella!$A:$A,0)-1,MATCH(L547,Tabella!$A$1:$AC$1,0)-1)=TRUE),0,+OFFSET(Tabella!$A$1,MATCH(J547,Tabella!$A:$A,0)-1,MATCH(L547,Tabella!$A$1:$AC$1,0)-1))</f>
        <v>0</v>
      </c>
      <c r="N547" s="205">
        <f ca="1">IF(ISERROR(OFFSET(Ottone!$A$1,MATCH(J547,Ottone!$A:$A,0)-1,MATCH(L547,Ottone!$A$1:$Z$1,0)-1)=TRUE),0,OFFSET(Ottone!$A$1,MATCH(J547,Ottone!$A:$A,0)-1,MATCH(L547,Ottone!$A$1:$Z$1,0)-1))*IF(G547="Ottone",1,0)</f>
        <v>0</v>
      </c>
      <c r="O547" s="205">
        <f ca="1">IF(ISERROR(OFFSET(Rame!$A$1,MATCH(J547,Rame!$A:$A,0)-1,MATCH(L547,Rame!$A$1:$AA$1,0)-1)=TRUE),0,OFFSET(Rame!$A$1,MATCH(J547,Rame!$A:$A,0)-1,MATCH(L547,Rame!$A$1:$AA$1,0)-1))*IF(G547="Rame",1,0)</f>
        <v>0</v>
      </c>
      <c r="P547" s="205">
        <v>0</v>
      </c>
      <c r="Q547" s="205">
        <f t="shared" ca="1" si="213"/>
        <v>0</v>
      </c>
      <c r="R547" s="205">
        <f ca="1">+IF(ISERROR(OFFSET(Tabella!$G$1,MATCH(J547,Tabella!$G:$G,0)-1,MATCH(K547,Tabella!$G$1:$FG$1,0)-1)=TRUE),0,OFFSET(Tabella!$G$1,MATCH(J547,Tabella!$G:$G,0)-1,MATCH(K547,Tabella!$G$1:$AB$1,0)-1))</f>
        <v>0</v>
      </c>
      <c r="S547" s="205">
        <f ca="1">IF(ISERROR(OFFSET(Ottone!$F$1,MATCH(J547,Ottone!$A:$A,0)-1,MATCH(K547,Ottone!$F$1:$FF$1,0)-1)=TRUE),0,OFFSET(Ottone!$F$1,MATCH(J547,Ottone!$A:$A,0)-1,MATCH(K547,Ottone!$F$1:$FF$1,0)-1))*IF(G547="Ottone",1,0)</f>
        <v>0</v>
      </c>
      <c r="T547" s="205">
        <f ca="1">IF(ISERROR(OFFSET(Rame!$F$1,MATCH(J547,Rame!$F:$F,0)-1,MATCH(K547,Rame!$F$1:$FF$1,0)-1)=TRUE),0,OFFSET(Rame!$F$1,MATCH(J547,Rame!$F:$F,0)-1,MATCH(K547,Rame!$F$1:$FF$1,0)-1))*IF(G547="Rame",1,0)</f>
        <v>0</v>
      </c>
      <c r="U547" s="205">
        <f ca="1">IF(ISERROR(OFFSET(Bronzo!$A$1,MATCH(J547,Bronzo!$A:$A,0)-1,MATCH(K547,Bronzo!$A$1:$AA$1,0)-1)=TRUE),0,OFFSET(Bronzo!$A$1,MATCH(J547,Bronzo!$A:$A,0)-1,MATCH(K547,Bronzo!$A$1:$AA$1,0)-1))</f>
        <v>0</v>
      </c>
      <c r="V547" s="205">
        <f t="shared" ca="1" si="214"/>
        <v>0</v>
      </c>
      <c r="W547" s="204"/>
      <c r="X547" s="205">
        <v>0</v>
      </c>
      <c r="Y547" s="206">
        <f t="shared" ca="1" si="215"/>
        <v>0</v>
      </c>
      <c r="Z547" s="277">
        <f t="shared" si="216"/>
        <v>0</v>
      </c>
      <c r="AA547" s="203"/>
      <c r="AB547" s="203">
        <f t="shared" ca="1" si="217"/>
        <v>0</v>
      </c>
      <c r="AC547" s="238"/>
      <c r="AI547" s="367">
        <f t="shared" ca="1" si="212"/>
        <v>46092</v>
      </c>
      <c r="AJ547" s="367" t="b">
        <f t="shared" si="218"/>
        <v>1</v>
      </c>
      <c r="AK547" s="370" t="str">
        <f t="shared" si="219"/>
        <v/>
      </c>
      <c r="AN547">
        <f t="shared" si="220"/>
        <v>0</v>
      </c>
      <c r="AO547">
        <f t="shared" si="221"/>
        <v>1900</v>
      </c>
      <c r="AV547">
        <f t="shared" si="222"/>
        <v>0</v>
      </c>
      <c r="AW547">
        <f t="shared" si="223"/>
        <v>0</v>
      </c>
    </row>
    <row r="548" spans="4:49" ht="15.75" x14ac:dyDescent="0.25">
      <c r="D548" s="199"/>
      <c r="E548" s="200"/>
      <c r="F548" s="287"/>
      <c r="G548" s="201"/>
      <c r="H548" s="219"/>
      <c r="I548" s="202"/>
      <c r="J548" s="200"/>
      <c r="K548" s="200"/>
      <c r="L548" s="203"/>
      <c r="M548" s="204">
        <f ca="1">IF(ISERROR(OFFSET(Tabella!$A$1,MATCH(J548,Tabella!$A:$A,0)-1,MATCH(L548,Tabella!$A$1:$AC$1,0)-1)=TRUE),0,+OFFSET(Tabella!$A$1,MATCH(J548,Tabella!$A:$A,0)-1,MATCH(L548,Tabella!$A$1:$AC$1,0)-1))</f>
        <v>0</v>
      </c>
      <c r="N548" s="205">
        <f ca="1">IF(ISERROR(OFFSET(Ottone!$A$1,MATCH(J548,Ottone!$A:$A,0)-1,MATCH(L548,Ottone!$A$1:$Z$1,0)-1)=TRUE),0,OFFSET(Ottone!$A$1,MATCH(J548,Ottone!$A:$A,0)-1,MATCH(L548,Ottone!$A$1:$Z$1,0)-1))*IF(G548="Ottone",1,0)</f>
        <v>0</v>
      </c>
      <c r="O548" s="205">
        <f ca="1">IF(ISERROR(OFFSET(Rame!$A$1,MATCH(J548,Rame!$A:$A,0)-1,MATCH(L548,Rame!$A$1:$AA$1,0)-1)=TRUE),0,OFFSET(Rame!$A$1,MATCH(J548,Rame!$A:$A,0)-1,MATCH(L548,Rame!$A$1:$AA$1,0)-1))*IF(G548="Rame",1,0)</f>
        <v>0</v>
      </c>
      <c r="P548" s="205">
        <v>0</v>
      </c>
      <c r="Q548" s="205">
        <f t="shared" ca="1" si="213"/>
        <v>0</v>
      </c>
      <c r="R548" s="205">
        <f ca="1">+IF(ISERROR(OFFSET(Tabella!$G$1,MATCH(J548,Tabella!$G:$G,0)-1,MATCH(K548,Tabella!$G$1:$FG$1,0)-1)=TRUE),0,OFFSET(Tabella!$G$1,MATCH(J548,Tabella!$G:$G,0)-1,MATCH(K548,Tabella!$G$1:$AB$1,0)-1))</f>
        <v>0</v>
      </c>
      <c r="S548" s="205">
        <f ca="1">IF(ISERROR(OFFSET(Ottone!$F$1,MATCH(J548,Ottone!$A:$A,0)-1,MATCH(K548,Ottone!$F$1:$FF$1,0)-1)=TRUE),0,OFFSET(Ottone!$F$1,MATCH(J548,Ottone!$A:$A,0)-1,MATCH(K548,Ottone!$F$1:$FF$1,0)-1))*IF(G548="Ottone",1,0)</f>
        <v>0</v>
      </c>
      <c r="T548" s="205">
        <f ca="1">IF(ISERROR(OFFSET(Rame!$F$1,MATCH(J548,Rame!$F:$F,0)-1,MATCH(K548,Rame!$F$1:$FF$1,0)-1)=TRUE),0,OFFSET(Rame!$F$1,MATCH(J548,Rame!$F:$F,0)-1,MATCH(K548,Rame!$F$1:$FF$1,0)-1))*IF(G548="Rame",1,0)</f>
        <v>0</v>
      </c>
      <c r="U548" s="205">
        <f ca="1">IF(ISERROR(OFFSET(Bronzo!$A$1,MATCH(J548,Bronzo!$A:$A,0)-1,MATCH(K548,Bronzo!$A$1:$AA$1,0)-1)=TRUE),0,OFFSET(Bronzo!$A$1,MATCH(J548,Bronzo!$A:$A,0)-1,MATCH(K548,Bronzo!$A$1:$AA$1,0)-1))</f>
        <v>0</v>
      </c>
      <c r="V548" s="205">
        <f t="shared" ca="1" si="214"/>
        <v>0</v>
      </c>
      <c r="W548" s="204"/>
      <c r="X548" s="205">
        <v>0</v>
      </c>
      <c r="Y548" s="206">
        <f t="shared" ca="1" si="215"/>
        <v>0</v>
      </c>
      <c r="Z548" s="277">
        <f t="shared" si="216"/>
        <v>0</v>
      </c>
      <c r="AA548" s="203"/>
      <c r="AB548" s="203">
        <f t="shared" ca="1" si="217"/>
        <v>0</v>
      </c>
      <c r="AC548" s="238"/>
      <c r="AI548" s="367">
        <f t="shared" ca="1" si="212"/>
        <v>46092</v>
      </c>
      <c r="AJ548" s="367" t="b">
        <f t="shared" si="218"/>
        <v>1</v>
      </c>
      <c r="AK548" s="370" t="str">
        <f t="shared" si="219"/>
        <v/>
      </c>
      <c r="AN548">
        <f t="shared" si="220"/>
        <v>0</v>
      </c>
      <c r="AO548">
        <f t="shared" si="221"/>
        <v>1900</v>
      </c>
      <c r="AV548">
        <f t="shared" si="222"/>
        <v>0</v>
      </c>
      <c r="AW548">
        <f t="shared" si="223"/>
        <v>0</v>
      </c>
    </row>
    <row r="549" spans="4:49" ht="15.75" x14ac:dyDescent="0.25">
      <c r="D549" s="199"/>
      <c r="E549" s="200"/>
      <c r="F549" s="287"/>
      <c r="G549" s="201"/>
      <c r="H549" s="219"/>
      <c r="I549" s="202"/>
      <c r="J549" s="200"/>
      <c r="K549" s="200"/>
      <c r="L549" s="203"/>
      <c r="M549" s="204">
        <f ca="1">IF(ISERROR(OFFSET(Tabella!$A$1,MATCH(J549,Tabella!$A:$A,0)-1,MATCH(L549,Tabella!$A$1:$AC$1,0)-1)=TRUE),0,+OFFSET(Tabella!$A$1,MATCH(J549,Tabella!$A:$A,0)-1,MATCH(L549,Tabella!$A$1:$AC$1,0)-1))</f>
        <v>0</v>
      </c>
      <c r="N549" s="205">
        <f ca="1">IF(ISERROR(OFFSET(Ottone!$A$1,MATCH(J549,Ottone!$A:$A,0)-1,MATCH(L549,Ottone!$A$1:$Z$1,0)-1)=TRUE),0,OFFSET(Ottone!$A$1,MATCH(J549,Ottone!$A:$A,0)-1,MATCH(L549,Ottone!$A$1:$Z$1,0)-1))*IF(G549="Ottone",1,0)</f>
        <v>0</v>
      </c>
      <c r="O549" s="205">
        <f ca="1">IF(ISERROR(OFFSET(Rame!$A$1,MATCH(J549,Rame!$A:$A,0)-1,MATCH(L549,Rame!$A$1:$AA$1,0)-1)=TRUE),0,OFFSET(Rame!$A$1,MATCH(J549,Rame!$A:$A,0)-1,MATCH(L549,Rame!$A$1:$AA$1,0)-1))*IF(G549="Rame",1,0)</f>
        <v>0</v>
      </c>
      <c r="P549" s="205">
        <v>0</v>
      </c>
      <c r="Q549" s="205">
        <f t="shared" ca="1" si="213"/>
        <v>0</v>
      </c>
      <c r="R549" s="205">
        <f ca="1">+IF(ISERROR(OFFSET(Tabella!$G$1,MATCH(J549,Tabella!$G:$G,0)-1,MATCH(K549,Tabella!$G$1:$FG$1,0)-1)=TRUE),0,OFFSET(Tabella!$G$1,MATCH(J549,Tabella!$G:$G,0)-1,MATCH(K549,Tabella!$G$1:$AB$1,0)-1))</f>
        <v>0</v>
      </c>
      <c r="S549" s="205">
        <f ca="1">IF(ISERROR(OFFSET(Ottone!$F$1,MATCH(J549,Ottone!$A:$A,0)-1,MATCH(K549,Ottone!$F$1:$FF$1,0)-1)=TRUE),0,OFFSET(Ottone!$F$1,MATCH(J549,Ottone!$A:$A,0)-1,MATCH(K549,Ottone!$F$1:$FF$1,0)-1))*IF(G549="Ottone",1,0)</f>
        <v>0</v>
      </c>
      <c r="T549" s="205">
        <f ca="1">IF(ISERROR(OFFSET(Rame!$F$1,MATCH(J549,Rame!$F:$F,0)-1,MATCH(K549,Rame!$F$1:$FF$1,0)-1)=TRUE),0,OFFSET(Rame!$F$1,MATCH(J549,Rame!$F:$F,0)-1,MATCH(K549,Rame!$F$1:$FF$1,0)-1))*IF(G549="Rame",1,0)</f>
        <v>0</v>
      </c>
      <c r="U549" s="205">
        <f ca="1">IF(ISERROR(OFFSET(Bronzo!$A$1,MATCH(J549,Bronzo!$A:$A,0)-1,MATCH(K549,Bronzo!$A$1:$AA$1,0)-1)=TRUE),0,OFFSET(Bronzo!$A$1,MATCH(J549,Bronzo!$A:$A,0)-1,MATCH(K549,Bronzo!$A$1:$AA$1,0)-1))</f>
        <v>0</v>
      </c>
      <c r="V549" s="205">
        <f t="shared" ca="1" si="214"/>
        <v>0</v>
      </c>
      <c r="W549" s="204"/>
      <c r="X549" s="205">
        <v>0</v>
      </c>
      <c r="Y549" s="206">
        <f t="shared" ca="1" si="215"/>
        <v>0</v>
      </c>
      <c r="Z549" s="277">
        <f t="shared" si="216"/>
        <v>0</v>
      </c>
      <c r="AA549" s="203"/>
      <c r="AB549" s="203">
        <f t="shared" ca="1" si="217"/>
        <v>0</v>
      </c>
      <c r="AC549" s="238"/>
      <c r="AI549" s="367">
        <f t="shared" ca="1" si="212"/>
        <v>46092</v>
      </c>
      <c r="AJ549" s="367" t="b">
        <f t="shared" si="218"/>
        <v>1</v>
      </c>
      <c r="AK549" s="370" t="str">
        <f t="shared" si="219"/>
        <v/>
      </c>
      <c r="AN549">
        <f t="shared" si="220"/>
        <v>0</v>
      </c>
      <c r="AO549">
        <f t="shared" si="221"/>
        <v>1900</v>
      </c>
      <c r="AV549">
        <f t="shared" si="222"/>
        <v>0</v>
      </c>
      <c r="AW549">
        <f t="shared" si="223"/>
        <v>0</v>
      </c>
    </row>
    <row r="550" spans="4:49" ht="15.75" x14ac:dyDescent="0.25">
      <c r="D550" s="199"/>
      <c r="E550" s="200"/>
      <c r="F550" s="287"/>
      <c r="G550" s="201"/>
      <c r="H550" s="219"/>
      <c r="I550" s="202"/>
      <c r="J550" s="200"/>
      <c r="K550" s="200"/>
      <c r="L550" s="203"/>
      <c r="M550" s="204">
        <f ca="1">IF(ISERROR(OFFSET(Tabella!$A$1,MATCH(J550,Tabella!$A:$A,0)-1,MATCH(L550,Tabella!$A$1:$AC$1,0)-1)=TRUE),0,+OFFSET(Tabella!$A$1,MATCH(J550,Tabella!$A:$A,0)-1,MATCH(L550,Tabella!$A$1:$AC$1,0)-1))</f>
        <v>0</v>
      </c>
      <c r="N550" s="205">
        <f ca="1">IF(ISERROR(OFFSET(Ottone!$A$1,MATCH(J550,Ottone!$A:$A,0)-1,MATCH(L550,Ottone!$A$1:$Z$1,0)-1)=TRUE),0,OFFSET(Ottone!$A$1,MATCH(J550,Ottone!$A:$A,0)-1,MATCH(L550,Ottone!$A$1:$Z$1,0)-1))*IF(G550="Ottone",1,0)</f>
        <v>0</v>
      </c>
      <c r="O550" s="205">
        <f ca="1">IF(ISERROR(OFFSET(Rame!$A$1,MATCH(J550,Rame!$A:$A,0)-1,MATCH(L550,Rame!$A$1:$AA$1,0)-1)=TRUE),0,OFFSET(Rame!$A$1,MATCH(J550,Rame!$A:$A,0)-1,MATCH(L550,Rame!$A$1:$AA$1,0)-1))*IF(G550="Rame",1,0)</f>
        <v>0</v>
      </c>
      <c r="P550" s="205">
        <v>0</v>
      </c>
      <c r="Q550" s="205">
        <f t="shared" ca="1" si="213"/>
        <v>0</v>
      </c>
      <c r="R550" s="205">
        <f ca="1">+IF(ISERROR(OFFSET(Tabella!$G$1,MATCH(J550,Tabella!$G:$G,0)-1,MATCH(K550,Tabella!$G$1:$FG$1,0)-1)=TRUE),0,OFFSET(Tabella!$G$1,MATCH(J550,Tabella!$G:$G,0)-1,MATCH(K550,Tabella!$G$1:$AB$1,0)-1))</f>
        <v>0</v>
      </c>
      <c r="S550" s="205">
        <f ca="1">IF(ISERROR(OFFSET(Ottone!$F$1,MATCH(J550,Ottone!$A:$A,0)-1,MATCH(K550,Ottone!$F$1:$FF$1,0)-1)=TRUE),0,OFFSET(Ottone!$F$1,MATCH(J550,Ottone!$A:$A,0)-1,MATCH(K550,Ottone!$F$1:$FF$1,0)-1))*IF(G550="Ottone",1,0)</f>
        <v>0</v>
      </c>
      <c r="T550" s="205">
        <f ca="1">IF(ISERROR(OFFSET(Rame!$F$1,MATCH(J550,Rame!$F:$F,0)-1,MATCH(K550,Rame!$F$1:$FF$1,0)-1)=TRUE),0,OFFSET(Rame!$F$1,MATCH(J550,Rame!$F:$F,0)-1,MATCH(K550,Rame!$F$1:$FF$1,0)-1))*IF(G550="Rame",1,0)</f>
        <v>0</v>
      </c>
      <c r="U550" s="205">
        <f ca="1">IF(ISERROR(OFFSET(Bronzo!$A$1,MATCH(J550,Bronzo!$A:$A,0)-1,MATCH(K550,Bronzo!$A$1:$AA$1,0)-1)=TRUE),0,OFFSET(Bronzo!$A$1,MATCH(J550,Bronzo!$A:$A,0)-1,MATCH(K550,Bronzo!$A$1:$AA$1,0)-1))</f>
        <v>0</v>
      </c>
      <c r="V550" s="205">
        <f t="shared" ca="1" si="214"/>
        <v>0</v>
      </c>
      <c r="W550" s="204"/>
      <c r="X550" s="205">
        <v>0</v>
      </c>
      <c r="Y550" s="206">
        <f t="shared" ca="1" si="215"/>
        <v>0</v>
      </c>
      <c r="Z550" s="277">
        <f t="shared" si="216"/>
        <v>0</v>
      </c>
      <c r="AA550" s="203"/>
      <c r="AB550" s="203">
        <f t="shared" ca="1" si="217"/>
        <v>0</v>
      </c>
      <c r="AC550" s="238"/>
      <c r="AI550" s="367">
        <f t="shared" ca="1" si="212"/>
        <v>46092</v>
      </c>
      <c r="AJ550" s="367" t="b">
        <f t="shared" si="218"/>
        <v>1</v>
      </c>
      <c r="AK550" s="370" t="str">
        <f t="shared" si="219"/>
        <v/>
      </c>
      <c r="AN550">
        <f t="shared" si="220"/>
        <v>0</v>
      </c>
      <c r="AO550">
        <f t="shared" si="221"/>
        <v>1900</v>
      </c>
      <c r="AV550">
        <f t="shared" si="222"/>
        <v>0</v>
      </c>
      <c r="AW550">
        <f t="shared" si="223"/>
        <v>0</v>
      </c>
    </row>
    <row r="551" spans="4:49" ht="15.75" x14ac:dyDescent="0.25">
      <c r="D551" s="199"/>
      <c r="E551" s="200"/>
      <c r="F551" s="287"/>
      <c r="G551" s="201"/>
      <c r="H551" s="219"/>
      <c r="I551" s="202"/>
      <c r="J551" s="200"/>
      <c r="K551" s="200"/>
      <c r="L551" s="203"/>
      <c r="M551" s="204">
        <f ca="1">IF(ISERROR(OFFSET(Tabella!$A$1,MATCH(J551,Tabella!$A:$A,0)-1,MATCH(L551,Tabella!$A$1:$AC$1,0)-1)=TRUE),0,+OFFSET(Tabella!$A$1,MATCH(J551,Tabella!$A:$A,0)-1,MATCH(L551,Tabella!$A$1:$AC$1,0)-1))</f>
        <v>0</v>
      </c>
      <c r="N551" s="205">
        <f ca="1">IF(ISERROR(OFFSET(Ottone!$A$1,MATCH(J551,Ottone!$A:$A,0)-1,MATCH(L551,Ottone!$A$1:$Z$1,0)-1)=TRUE),0,OFFSET(Ottone!$A$1,MATCH(J551,Ottone!$A:$A,0)-1,MATCH(L551,Ottone!$A$1:$Z$1,0)-1))*IF(G551="Ottone",1,0)</f>
        <v>0</v>
      </c>
      <c r="O551" s="205">
        <f ca="1">IF(ISERROR(OFFSET(Rame!$A$1,MATCH(J551,Rame!$A:$A,0)-1,MATCH(L551,Rame!$A$1:$AA$1,0)-1)=TRUE),0,OFFSET(Rame!$A$1,MATCH(J551,Rame!$A:$A,0)-1,MATCH(L551,Rame!$A$1:$AA$1,0)-1))*IF(G551="Rame",1,0)</f>
        <v>0</v>
      </c>
      <c r="P551" s="205">
        <v>0</v>
      </c>
      <c r="Q551" s="205">
        <f t="shared" ca="1" si="213"/>
        <v>0</v>
      </c>
      <c r="R551" s="205">
        <f ca="1">+IF(ISERROR(OFFSET(Tabella!$G$1,MATCH(J551,Tabella!$G:$G,0)-1,MATCH(K551,Tabella!$G$1:$FG$1,0)-1)=TRUE),0,OFFSET(Tabella!$G$1,MATCH(J551,Tabella!$G:$G,0)-1,MATCH(K551,Tabella!$G$1:$AB$1,0)-1))</f>
        <v>0</v>
      </c>
      <c r="S551" s="205">
        <f ca="1">IF(ISERROR(OFFSET(Ottone!$F$1,MATCH(J551,Ottone!$A:$A,0)-1,MATCH(K551,Ottone!$F$1:$FF$1,0)-1)=TRUE),0,OFFSET(Ottone!$F$1,MATCH(J551,Ottone!$A:$A,0)-1,MATCH(K551,Ottone!$F$1:$FF$1,0)-1))*IF(G551="Ottone",1,0)</f>
        <v>0</v>
      </c>
      <c r="T551" s="205">
        <f ca="1">IF(ISERROR(OFFSET(Rame!$F$1,MATCH(J551,Rame!$F:$F,0)-1,MATCH(K551,Rame!$F$1:$FF$1,0)-1)=TRUE),0,OFFSET(Rame!$F$1,MATCH(J551,Rame!$F:$F,0)-1,MATCH(K551,Rame!$F$1:$FF$1,0)-1))*IF(G551="Rame",1,0)</f>
        <v>0</v>
      </c>
      <c r="U551" s="205">
        <f ca="1">IF(ISERROR(OFFSET(Bronzo!$A$1,MATCH(J551,Bronzo!$A:$A,0)-1,MATCH(K551,Bronzo!$A$1:$AA$1,0)-1)=TRUE),0,OFFSET(Bronzo!$A$1,MATCH(J551,Bronzo!$A:$A,0)-1,MATCH(K551,Bronzo!$A$1:$AA$1,0)-1))</f>
        <v>0</v>
      </c>
      <c r="V551" s="205">
        <f t="shared" ca="1" si="214"/>
        <v>0</v>
      </c>
      <c r="W551" s="204"/>
      <c r="X551" s="205">
        <v>0</v>
      </c>
      <c r="Y551" s="206">
        <f t="shared" ca="1" si="215"/>
        <v>0</v>
      </c>
      <c r="Z551" s="277">
        <f t="shared" si="216"/>
        <v>0</v>
      </c>
      <c r="AA551" s="203"/>
      <c r="AB551" s="203">
        <f t="shared" ca="1" si="217"/>
        <v>0</v>
      </c>
      <c r="AC551" s="238"/>
      <c r="AI551" s="367">
        <f t="shared" ca="1" si="212"/>
        <v>46092</v>
      </c>
      <c r="AJ551" s="367" t="b">
        <f t="shared" si="218"/>
        <v>1</v>
      </c>
      <c r="AK551" s="370" t="str">
        <f t="shared" si="219"/>
        <v/>
      </c>
      <c r="AN551">
        <f t="shared" si="220"/>
        <v>0</v>
      </c>
      <c r="AO551">
        <f t="shared" si="221"/>
        <v>1900</v>
      </c>
      <c r="AV551">
        <f t="shared" si="222"/>
        <v>0</v>
      </c>
      <c r="AW551">
        <f t="shared" si="223"/>
        <v>0</v>
      </c>
    </row>
    <row r="552" spans="4:49" ht="15.75" x14ac:dyDescent="0.25">
      <c r="D552" s="199"/>
      <c r="E552" s="200"/>
      <c r="F552" s="287"/>
      <c r="G552" s="201"/>
      <c r="H552" s="219"/>
      <c r="I552" s="202"/>
      <c r="J552" s="200"/>
      <c r="K552" s="200"/>
      <c r="L552" s="203"/>
      <c r="M552" s="204">
        <f ca="1">IF(ISERROR(OFFSET(Tabella!$A$1,MATCH(J552,Tabella!$A:$A,0)-1,MATCH(L552,Tabella!$A$1:$AC$1,0)-1)=TRUE),0,+OFFSET(Tabella!$A$1,MATCH(J552,Tabella!$A:$A,0)-1,MATCH(L552,Tabella!$A$1:$AC$1,0)-1))</f>
        <v>0</v>
      </c>
      <c r="N552" s="205">
        <f ca="1">IF(ISERROR(OFFSET(Ottone!$A$1,MATCH(J552,Ottone!$A:$A,0)-1,MATCH(L552,Ottone!$A$1:$Z$1,0)-1)=TRUE),0,OFFSET(Ottone!$A$1,MATCH(J552,Ottone!$A:$A,0)-1,MATCH(L552,Ottone!$A$1:$Z$1,0)-1))*IF(G552="Ottone",1,0)</f>
        <v>0</v>
      </c>
      <c r="O552" s="205">
        <f ca="1">IF(ISERROR(OFFSET(Rame!$A$1,MATCH(J552,Rame!$A:$A,0)-1,MATCH(L552,Rame!$A$1:$AA$1,0)-1)=TRUE),0,OFFSET(Rame!$A$1,MATCH(J552,Rame!$A:$A,0)-1,MATCH(L552,Rame!$A$1:$AA$1,0)-1))*IF(G552="Rame",1,0)</f>
        <v>0</v>
      </c>
      <c r="P552" s="205">
        <v>0</v>
      </c>
      <c r="Q552" s="205">
        <f t="shared" ca="1" si="213"/>
        <v>0</v>
      </c>
      <c r="R552" s="205">
        <f ca="1">+IF(ISERROR(OFFSET(Tabella!$G$1,MATCH(J552,Tabella!$G:$G,0)-1,MATCH(K552,Tabella!$G$1:$FG$1,0)-1)=TRUE),0,OFFSET(Tabella!$G$1,MATCH(J552,Tabella!$G:$G,0)-1,MATCH(K552,Tabella!$G$1:$AB$1,0)-1))</f>
        <v>0</v>
      </c>
      <c r="S552" s="205">
        <f ca="1">IF(ISERROR(OFFSET(Ottone!$F$1,MATCH(J552,Ottone!$A:$A,0)-1,MATCH(K552,Ottone!$F$1:$FF$1,0)-1)=TRUE),0,OFFSET(Ottone!$F$1,MATCH(J552,Ottone!$A:$A,0)-1,MATCH(K552,Ottone!$F$1:$FF$1,0)-1))*IF(G552="Ottone",1,0)</f>
        <v>0</v>
      </c>
      <c r="T552" s="205">
        <f ca="1">IF(ISERROR(OFFSET(Rame!$F$1,MATCH(J552,Rame!$F:$F,0)-1,MATCH(K552,Rame!$F$1:$FF$1,0)-1)=TRUE),0,OFFSET(Rame!$F$1,MATCH(J552,Rame!$F:$F,0)-1,MATCH(K552,Rame!$F$1:$FF$1,0)-1))*IF(G552="Rame",1,0)</f>
        <v>0</v>
      </c>
      <c r="U552" s="205">
        <f ca="1">IF(ISERROR(OFFSET(Bronzo!$A$1,MATCH(J552,Bronzo!$A:$A,0)-1,MATCH(K552,Bronzo!$A$1:$AA$1,0)-1)=TRUE),0,OFFSET(Bronzo!$A$1,MATCH(J552,Bronzo!$A:$A,0)-1,MATCH(K552,Bronzo!$A$1:$AA$1,0)-1))</f>
        <v>0</v>
      </c>
      <c r="V552" s="205">
        <f t="shared" ca="1" si="214"/>
        <v>0</v>
      </c>
      <c r="W552" s="204"/>
      <c r="X552" s="205">
        <v>0</v>
      </c>
      <c r="Y552" s="206">
        <f t="shared" ca="1" si="215"/>
        <v>0</v>
      </c>
      <c r="Z552" s="277">
        <f t="shared" si="216"/>
        <v>0</v>
      </c>
      <c r="AA552" s="203"/>
      <c r="AB552" s="203">
        <f t="shared" ca="1" si="217"/>
        <v>0</v>
      </c>
      <c r="AC552" s="238"/>
      <c r="AI552" s="367">
        <f t="shared" ca="1" si="212"/>
        <v>46092</v>
      </c>
      <c r="AJ552" s="367" t="b">
        <f t="shared" si="218"/>
        <v>1</v>
      </c>
      <c r="AK552" s="370" t="str">
        <f t="shared" si="219"/>
        <v/>
      </c>
      <c r="AN552">
        <f t="shared" si="220"/>
        <v>0</v>
      </c>
      <c r="AO552">
        <f t="shared" si="221"/>
        <v>1900</v>
      </c>
      <c r="AV552">
        <f t="shared" si="222"/>
        <v>0</v>
      </c>
      <c r="AW552">
        <f t="shared" si="223"/>
        <v>0</v>
      </c>
    </row>
    <row r="553" spans="4:49" ht="15.75" x14ac:dyDescent="0.25">
      <c r="D553" s="199"/>
      <c r="E553" s="200"/>
      <c r="F553" s="287"/>
      <c r="G553" s="201"/>
      <c r="H553" s="219"/>
      <c r="I553" s="202"/>
      <c r="J553" s="200"/>
      <c r="K553" s="200"/>
      <c r="L553" s="203"/>
      <c r="M553" s="204">
        <f ca="1">IF(ISERROR(OFFSET(Tabella!$A$1,MATCH(J553,Tabella!$A:$A,0)-1,MATCH(L553,Tabella!$A$1:$AC$1,0)-1)=TRUE),0,+OFFSET(Tabella!$A$1,MATCH(J553,Tabella!$A:$A,0)-1,MATCH(L553,Tabella!$A$1:$AC$1,0)-1))</f>
        <v>0</v>
      </c>
      <c r="N553" s="205">
        <f ca="1">IF(ISERROR(OFFSET(Ottone!$A$1,MATCH(J553,Ottone!$A:$A,0)-1,MATCH(L553,Ottone!$A$1:$Z$1,0)-1)=TRUE),0,OFFSET(Ottone!$A$1,MATCH(J553,Ottone!$A:$A,0)-1,MATCH(L553,Ottone!$A$1:$Z$1,0)-1))*IF(G553="Ottone",1,0)</f>
        <v>0</v>
      </c>
      <c r="O553" s="205">
        <f ca="1">IF(ISERROR(OFFSET(Rame!$A$1,MATCH(J553,Rame!$A:$A,0)-1,MATCH(L553,Rame!$A$1:$AA$1,0)-1)=TRUE),0,OFFSET(Rame!$A$1,MATCH(J553,Rame!$A:$A,0)-1,MATCH(L553,Rame!$A$1:$AA$1,0)-1))*IF(G553="Rame",1,0)</f>
        <v>0</v>
      </c>
      <c r="P553" s="205">
        <v>0</v>
      </c>
      <c r="Q553" s="205">
        <f t="shared" ca="1" si="213"/>
        <v>0</v>
      </c>
      <c r="R553" s="205">
        <f ca="1">+IF(ISERROR(OFFSET(Tabella!$G$1,MATCH(J553,Tabella!$G:$G,0)-1,MATCH(K553,Tabella!$G$1:$FG$1,0)-1)=TRUE),0,OFFSET(Tabella!$G$1,MATCH(J553,Tabella!$G:$G,0)-1,MATCH(K553,Tabella!$G$1:$AB$1,0)-1))</f>
        <v>0</v>
      </c>
      <c r="S553" s="205">
        <f ca="1">IF(ISERROR(OFFSET(Ottone!$F$1,MATCH(J553,Ottone!$A:$A,0)-1,MATCH(K553,Ottone!$F$1:$FF$1,0)-1)=TRUE),0,OFFSET(Ottone!$F$1,MATCH(J553,Ottone!$A:$A,0)-1,MATCH(K553,Ottone!$F$1:$FF$1,0)-1))*IF(G553="Ottone",1,0)</f>
        <v>0</v>
      </c>
      <c r="T553" s="205">
        <f ca="1">IF(ISERROR(OFFSET(Rame!$F$1,MATCH(J553,Rame!$F:$F,0)-1,MATCH(K553,Rame!$F$1:$FF$1,0)-1)=TRUE),0,OFFSET(Rame!$F$1,MATCH(J553,Rame!$F:$F,0)-1,MATCH(K553,Rame!$F$1:$FF$1,0)-1))*IF(G553="Rame",1,0)</f>
        <v>0</v>
      </c>
      <c r="U553" s="205">
        <f ca="1">IF(ISERROR(OFFSET(Bronzo!$A$1,MATCH(J553,Bronzo!$A:$A,0)-1,MATCH(K553,Bronzo!$A$1:$AA$1,0)-1)=TRUE),0,OFFSET(Bronzo!$A$1,MATCH(J553,Bronzo!$A:$A,0)-1,MATCH(K553,Bronzo!$A$1:$AA$1,0)-1))</f>
        <v>0</v>
      </c>
      <c r="V553" s="205">
        <f t="shared" ca="1" si="214"/>
        <v>0</v>
      </c>
      <c r="W553" s="204"/>
      <c r="X553" s="205">
        <v>0</v>
      </c>
      <c r="Y553" s="206">
        <f t="shared" ca="1" si="215"/>
        <v>0</v>
      </c>
      <c r="Z553" s="277">
        <f t="shared" si="216"/>
        <v>0</v>
      </c>
      <c r="AA553" s="203"/>
      <c r="AB553" s="203">
        <f t="shared" ca="1" si="217"/>
        <v>0</v>
      </c>
      <c r="AC553" s="238"/>
      <c r="AI553" s="367">
        <f t="shared" ca="1" si="212"/>
        <v>46092</v>
      </c>
      <c r="AJ553" s="367" t="b">
        <f t="shared" si="218"/>
        <v>1</v>
      </c>
      <c r="AK553" s="370" t="str">
        <f t="shared" si="219"/>
        <v/>
      </c>
      <c r="AN553">
        <f t="shared" si="220"/>
        <v>0</v>
      </c>
      <c r="AO553">
        <f t="shared" si="221"/>
        <v>1900</v>
      </c>
      <c r="AV553">
        <f t="shared" si="222"/>
        <v>0</v>
      </c>
      <c r="AW553">
        <f t="shared" si="223"/>
        <v>0</v>
      </c>
    </row>
    <row r="554" spans="4:49" ht="15.75" x14ac:dyDescent="0.25">
      <c r="D554" s="199"/>
      <c r="E554" s="200"/>
      <c r="F554" s="287"/>
      <c r="G554" s="201"/>
      <c r="H554" s="219"/>
      <c r="I554" s="202"/>
      <c r="J554" s="200"/>
      <c r="K554" s="200"/>
      <c r="L554" s="203"/>
      <c r="M554" s="204">
        <f ca="1">IF(ISERROR(OFFSET(Tabella!$A$1,MATCH(J554,Tabella!$A:$A,0)-1,MATCH(L554,Tabella!$A$1:$AC$1,0)-1)=TRUE),0,+OFFSET(Tabella!$A$1,MATCH(J554,Tabella!$A:$A,0)-1,MATCH(L554,Tabella!$A$1:$AC$1,0)-1))</f>
        <v>0</v>
      </c>
      <c r="N554" s="205">
        <f ca="1">IF(ISERROR(OFFSET(Ottone!$A$1,MATCH(J554,Ottone!$A:$A,0)-1,MATCH(L554,Ottone!$A$1:$Z$1,0)-1)=TRUE),0,OFFSET(Ottone!$A$1,MATCH(J554,Ottone!$A:$A,0)-1,MATCH(L554,Ottone!$A$1:$Z$1,0)-1))*IF(G554="Ottone",1,0)</f>
        <v>0</v>
      </c>
      <c r="O554" s="205">
        <f ca="1">IF(ISERROR(OFFSET(Rame!$A$1,MATCH(J554,Rame!$A:$A,0)-1,MATCH(L554,Rame!$A$1:$AA$1,0)-1)=TRUE),0,OFFSET(Rame!$A$1,MATCH(J554,Rame!$A:$A,0)-1,MATCH(L554,Rame!$A$1:$AA$1,0)-1))*IF(G554="Rame",1,0)</f>
        <v>0</v>
      </c>
      <c r="P554" s="205">
        <v>0</v>
      </c>
      <c r="Q554" s="205">
        <f t="shared" ca="1" si="213"/>
        <v>0</v>
      </c>
      <c r="R554" s="205">
        <f ca="1">+IF(ISERROR(OFFSET(Tabella!$G$1,MATCH(J554,Tabella!$G:$G,0)-1,MATCH(K554,Tabella!$G$1:$FG$1,0)-1)=TRUE),0,OFFSET(Tabella!$G$1,MATCH(J554,Tabella!$G:$G,0)-1,MATCH(K554,Tabella!$G$1:$AB$1,0)-1))</f>
        <v>0</v>
      </c>
      <c r="S554" s="205">
        <f ca="1">IF(ISERROR(OFFSET(Ottone!$F$1,MATCH(J554,Ottone!$A:$A,0)-1,MATCH(K554,Ottone!$F$1:$FF$1,0)-1)=TRUE),0,OFFSET(Ottone!$F$1,MATCH(J554,Ottone!$A:$A,0)-1,MATCH(K554,Ottone!$F$1:$FF$1,0)-1))*IF(G554="Ottone",1,0)</f>
        <v>0</v>
      </c>
      <c r="T554" s="205">
        <f ca="1">IF(ISERROR(OFFSET(Rame!$F$1,MATCH(J554,Rame!$F:$F,0)-1,MATCH(K554,Rame!$F$1:$FF$1,0)-1)=TRUE),0,OFFSET(Rame!$F$1,MATCH(J554,Rame!$F:$F,0)-1,MATCH(K554,Rame!$F$1:$FF$1,0)-1))*IF(G554="Rame",1,0)</f>
        <v>0</v>
      </c>
      <c r="U554" s="205">
        <f ca="1">IF(ISERROR(OFFSET(Bronzo!$A$1,MATCH(J554,Bronzo!$A:$A,0)-1,MATCH(K554,Bronzo!$A$1:$AA$1,0)-1)=TRUE),0,OFFSET(Bronzo!$A$1,MATCH(J554,Bronzo!$A:$A,0)-1,MATCH(K554,Bronzo!$A$1:$AA$1,0)-1))</f>
        <v>0</v>
      </c>
      <c r="V554" s="205">
        <f t="shared" ca="1" si="214"/>
        <v>0</v>
      </c>
      <c r="W554" s="204"/>
      <c r="X554" s="205">
        <v>0</v>
      </c>
      <c r="Y554" s="206">
        <f t="shared" ca="1" si="215"/>
        <v>0</v>
      </c>
      <c r="Z554" s="277">
        <f t="shared" si="216"/>
        <v>0</v>
      </c>
      <c r="AA554" s="203"/>
      <c r="AB554" s="203">
        <f t="shared" ca="1" si="217"/>
        <v>0</v>
      </c>
      <c r="AC554" s="238"/>
      <c r="AI554" s="367">
        <f t="shared" ca="1" si="212"/>
        <v>46092</v>
      </c>
      <c r="AJ554" s="367" t="b">
        <f t="shared" si="218"/>
        <v>1</v>
      </c>
      <c r="AK554" s="370" t="str">
        <f t="shared" si="219"/>
        <v/>
      </c>
      <c r="AN554">
        <f t="shared" si="220"/>
        <v>0</v>
      </c>
      <c r="AO554">
        <f t="shared" si="221"/>
        <v>1900</v>
      </c>
      <c r="AV554">
        <f t="shared" si="222"/>
        <v>0</v>
      </c>
      <c r="AW554">
        <f t="shared" si="223"/>
        <v>0</v>
      </c>
    </row>
    <row r="555" spans="4:49" ht="15.75" x14ac:dyDescent="0.25">
      <c r="D555" s="199"/>
      <c r="E555" s="200"/>
      <c r="F555" s="287"/>
      <c r="G555" s="201"/>
      <c r="H555" s="219"/>
      <c r="I555" s="202"/>
      <c r="J555" s="200"/>
      <c r="K555" s="200"/>
      <c r="L555" s="203"/>
      <c r="M555" s="204">
        <f ca="1">IF(ISERROR(OFFSET(Tabella!$A$1,MATCH(J555,Tabella!$A:$A,0)-1,MATCH(L555,Tabella!$A$1:$AC$1,0)-1)=TRUE),0,+OFFSET(Tabella!$A$1,MATCH(J555,Tabella!$A:$A,0)-1,MATCH(L555,Tabella!$A$1:$AC$1,0)-1))</f>
        <v>0</v>
      </c>
      <c r="N555" s="205">
        <f ca="1">IF(ISERROR(OFFSET(Ottone!$A$1,MATCH(J555,Ottone!$A:$A,0)-1,MATCH(L555,Ottone!$A$1:$Z$1,0)-1)=TRUE),0,OFFSET(Ottone!$A$1,MATCH(J555,Ottone!$A:$A,0)-1,MATCH(L555,Ottone!$A$1:$Z$1,0)-1))*IF(G555="Ottone",1,0)</f>
        <v>0</v>
      </c>
      <c r="O555" s="205">
        <f ca="1">IF(ISERROR(OFFSET(Rame!$A$1,MATCH(J555,Rame!$A:$A,0)-1,MATCH(L555,Rame!$A$1:$AA$1,0)-1)=TRUE),0,OFFSET(Rame!$A$1,MATCH(J555,Rame!$A:$A,0)-1,MATCH(L555,Rame!$A$1:$AA$1,0)-1))*IF(G555="Rame",1,0)</f>
        <v>0</v>
      </c>
      <c r="P555" s="205">
        <v>0</v>
      </c>
      <c r="Q555" s="205">
        <f t="shared" ca="1" si="213"/>
        <v>0</v>
      </c>
      <c r="R555" s="205">
        <f ca="1">+IF(ISERROR(OFFSET(Tabella!$G$1,MATCH(J555,Tabella!$G:$G,0)-1,MATCH(K555,Tabella!$G$1:$FG$1,0)-1)=TRUE),0,OFFSET(Tabella!$G$1,MATCH(J555,Tabella!$G:$G,0)-1,MATCH(K555,Tabella!$G$1:$AB$1,0)-1))</f>
        <v>0</v>
      </c>
      <c r="S555" s="205">
        <f ca="1">IF(ISERROR(OFFSET(Ottone!$F$1,MATCH(J555,Ottone!$A:$A,0)-1,MATCH(K555,Ottone!$F$1:$FF$1,0)-1)=TRUE),0,OFFSET(Ottone!$F$1,MATCH(J555,Ottone!$A:$A,0)-1,MATCH(K555,Ottone!$F$1:$FF$1,0)-1))*IF(G555="Ottone",1,0)</f>
        <v>0</v>
      </c>
      <c r="T555" s="205">
        <f ca="1">IF(ISERROR(OFFSET(Rame!$F$1,MATCH(J555,Rame!$F:$F,0)-1,MATCH(K555,Rame!$F$1:$FF$1,0)-1)=TRUE),0,OFFSET(Rame!$F$1,MATCH(J555,Rame!$F:$F,0)-1,MATCH(K555,Rame!$F$1:$FF$1,0)-1))*IF(G555="Rame",1,0)</f>
        <v>0</v>
      </c>
      <c r="U555" s="205">
        <f ca="1">IF(ISERROR(OFFSET(Bronzo!$A$1,MATCH(J555,Bronzo!$A:$A,0)-1,MATCH(K555,Bronzo!$A$1:$AA$1,0)-1)=TRUE),0,OFFSET(Bronzo!$A$1,MATCH(J555,Bronzo!$A:$A,0)-1,MATCH(K555,Bronzo!$A$1:$AA$1,0)-1))</f>
        <v>0</v>
      </c>
      <c r="V555" s="205">
        <f t="shared" ca="1" si="214"/>
        <v>0</v>
      </c>
      <c r="W555" s="204"/>
      <c r="X555" s="205">
        <v>0</v>
      </c>
      <c r="Y555" s="206">
        <f t="shared" ca="1" si="215"/>
        <v>0</v>
      </c>
      <c r="Z555" s="277">
        <f t="shared" si="216"/>
        <v>0</v>
      </c>
      <c r="AA555" s="203"/>
      <c r="AB555" s="203">
        <f t="shared" ca="1" si="217"/>
        <v>0</v>
      </c>
      <c r="AC555" s="238"/>
      <c r="AI555" s="367">
        <f t="shared" ca="1" si="212"/>
        <v>46092</v>
      </c>
      <c r="AJ555" s="367" t="b">
        <f t="shared" si="218"/>
        <v>1</v>
      </c>
      <c r="AK555" s="370" t="str">
        <f t="shared" si="219"/>
        <v/>
      </c>
      <c r="AN555">
        <f t="shared" si="220"/>
        <v>0</v>
      </c>
      <c r="AO555">
        <f t="shared" si="221"/>
        <v>1900</v>
      </c>
      <c r="AV555">
        <f t="shared" si="222"/>
        <v>0</v>
      </c>
      <c r="AW555">
        <f t="shared" si="223"/>
        <v>0</v>
      </c>
    </row>
    <row r="556" spans="4:49" ht="15.75" x14ac:dyDescent="0.25">
      <c r="D556" s="199"/>
      <c r="E556" s="200"/>
      <c r="F556" s="287"/>
      <c r="G556" s="201"/>
      <c r="H556" s="219"/>
      <c r="I556" s="202"/>
      <c r="J556" s="200"/>
      <c r="K556" s="200"/>
      <c r="L556" s="203"/>
      <c r="M556" s="204">
        <f ca="1">IF(ISERROR(OFFSET(Tabella!$A$1,MATCH(J556,Tabella!$A:$A,0)-1,MATCH(L556,Tabella!$A$1:$AC$1,0)-1)=TRUE),0,+OFFSET(Tabella!$A$1,MATCH(J556,Tabella!$A:$A,0)-1,MATCH(L556,Tabella!$A$1:$AC$1,0)-1))</f>
        <v>0</v>
      </c>
      <c r="N556" s="205">
        <f ca="1">IF(ISERROR(OFFSET(Ottone!$A$1,MATCH(J556,Ottone!$A:$A,0)-1,MATCH(L556,Ottone!$A$1:$Z$1,0)-1)=TRUE),0,OFFSET(Ottone!$A$1,MATCH(J556,Ottone!$A:$A,0)-1,MATCH(L556,Ottone!$A$1:$Z$1,0)-1))*IF(G556="Ottone",1,0)</f>
        <v>0</v>
      </c>
      <c r="O556" s="205">
        <f ca="1">IF(ISERROR(OFFSET(Rame!$A$1,MATCH(J556,Rame!$A:$A,0)-1,MATCH(L556,Rame!$A$1:$AA$1,0)-1)=TRUE),0,OFFSET(Rame!$A$1,MATCH(J556,Rame!$A:$A,0)-1,MATCH(L556,Rame!$A$1:$AA$1,0)-1))*IF(G556="Rame",1,0)</f>
        <v>0</v>
      </c>
      <c r="P556" s="205">
        <v>0</v>
      </c>
      <c r="Q556" s="205">
        <f t="shared" ca="1" si="213"/>
        <v>0</v>
      </c>
      <c r="R556" s="205">
        <f ca="1">+IF(ISERROR(OFFSET(Tabella!$G$1,MATCH(J556,Tabella!$G:$G,0)-1,MATCH(K556,Tabella!$G$1:$FG$1,0)-1)=TRUE),0,OFFSET(Tabella!$G$1,MATCH(J556,Tabella!$G:$G,0)-1,MATCH(K556,Tabella!$G$1:$AB$1,0)-1))</f>
        <v>0</v>
      </c>
      <c r="S556" s="205">
        <f ca="1">IF(ISERROR(OFFSET(Ottone!$F$1,MATCH(J556,Ottone!$A:$A,0)-1,MATCH(K556,Ottone!$F$1:$FF$1,0)-1)=TRUE),0,OFFSET(Ottone!$F$1,MATCH(J556,Ottone!$A:$A,0)-1,MATCH(K556,Ottone!$F$1:$FF$1,0)-1))*IF(G556="Ottone",1,0)</f>
        <v>0</v>
      </c>
      <c r="T556" s="205">
        <f ca="1">IF(ISERROR(OFFSET(Rame!$F$1,MATCH(J556,Rame!$F:$F,0)-1,MATCH(K556,Rame!$F$1:$FF$1,0)-1)=TRUE),0,OFFSET(Rame!$F$1,MATCH(J556,Rame!$F:$F,0)-1,MATCH(K556,Rame!$F$1:$FF$1,0)-1))*IF(G556="Rame",1,0)</f>
        <v>0</v>
      </c>
      <c r="U556" s="205">
        <f ca="1">IF(ISERROR(OFFSET(Bronzo!$A$1,MATCH(J556,Bronzo!$A:$A,0)-1,MATCH(K556,Bronzo!$A$1:$AA$1,0)-1)=TRUE),0,OFFSET(Bronzo!$A$1,MATCH(J556,Bronzo!$A:$A,0)-1,MATCH(K556,Bronzo!$A$1:$AA$1,0)-1))</f>
        <v>0</v>
      </c>
      <c r="V556" s="205">
        <f t="shared" ca="1" si="214"/>
        <v>0</v>
      </c>
      <c r="W556" s="204"/>
      <c r="X556" s="205">
        <v>0</v>
      </c>
      <c r="Y556" s="206">
        <f t="shared" ca="1" si="215"/>
        <v>0</v>
      </c>
      <c r="Z556" s="277">
        <f t="shared" si="216"/>
        <v>0</v>
      </c>
      <c r="AA556" s="203"/>
      <c r="AB556" s="203">
        <f t="shared" ca="1" si="217"/>
        <v>0</v>
      </c>
      <c r="AC556" s="238"/>
      <c r="AI556" s="367">
        <f t="shared" ca="1" si="212"/>
        <v>46092</v>
      </c>
      <c r="AJ556" s="367" t="b">
        <f t="shared" si="218"/>
        <v>1</v>
      </c>
      <c r="AK556" s="370" t="str">
        <f t="shared" si="219"/>
        <v/>
      </c>
      <c r="AN556">
        <f t="shared" si="220"/>
        <v>0</v>
      </c>
      <c r="AO556">
        <f t="shared" si="221"/>
        <v>1900</v>
      </c>
      <c r="AV556">
        <f t="shared" si="222"/>
        <v>0</v>
      </c>
      <c r="AW556">
        <f t="shared" si="223"/>
        <v>0</v>
      </c>
    </row>
    <row r="557" spans="4:49" ht="15.75" x14ac:dyDescent="0.25">
      <c r="D557" s="199"/>
      <c r="E557" s="200"/>
      <c r="F557" s="287"/>
      <c r="G557" s="201"/>
      <c r="H557" s="219"/>
      <c r="I557" s="202"/>
      <c r="J557" s="200"/>
      <c r="K557" s="200"/>
      <c r="L557" s="203"/>
      <c r="M557" s="204">
        <f ca="1">IF(ISERROR(OFFSET(Tabella!$A$1,MATCH(J557,Tabella!$A:$A,0)-1,MATCH(L557,Tabella!$A$1:$AC$1,0)-1)=TRUE),0,+OFFSET(Tabella!$A$1,MATCH(J557,Tabella!$A:$A,0)-1,MATCH(L557,Tabella!$A$1:$AC$1,0)-1))</f>
        <v>0</v>
      </c>
      <c r="N557" s="205">
        <f ca="1">IF(ISERROR(OFFSET(Ottone!$A$1,MATCH(J557,Ottone!$A:$A,0)-1,MATCH(L557,Ottone!$A$1:$Z$1,0)-1)=TRUE),0,OFFSET(Ottone!$A$1,MATCH(J557,Ottone!$A:$A,0)-1,MATCH(L557,Ottone!$A$1:$Z$1,0)-1))*IF(G557="Ottone",1,0)</f>
        <v>0</v>
      </c>
      <c r="O557" s="205">
        <f ca="1">IF(ISERROR(OFFSET(Rame!$A$1,MATCH(J557,Rame!$A:$A,0)-1,MATCH(L557,Rame!$A$1:$AA$1,0)-1)=TRUE),0,OFFSET(Rame!$A$1,MATCH(J557,Rame!$A:$A,0)-1,MATCH(L557,Rame!$A$1:$AA$1,0)-1))*IF(G557="Rame",1,0)</f>
        <v>0</v>
      </c>
      <c r="P557" s="205">
        <v>0</v>
      </c>
      <c r="Q557" s="205">
        <f t="shared" ca="1" si="213"/>
        <v>0</v>
      </c>
      <c r="R557" s="205">
        <f ca="1">+IF(ISERROR(OFFSET(Tabella!$G$1,MATCH(J557,Tabella!$G:$G,0)-1,MATCH(K557,Tabella!$G$1:$FG$1,0)-1)=TRUE),0,OFFSET(Tabella!$G$1,MATCH(J557,Tabella!$G:$G,0)-1,MATCH(K557,Tabella!$G$1:$AB$1,0)-1))</f>
        <v>0</v>
      </c>
      <c r="S557" s="205">
        <f ca="1">IF(ISERROR(OFFSET(Ottone!$F$1,MATCH(J557,Ottone!$A:$A,0)-1,MATCH(K557,Ottone!$F$1:$FF$1,0)-1)=TRUE),0,OFFSET(Ottone!$F$1,MATCH(J557,Ottone!$A:$A,0)-1,MATCH(K557,Ottone!$F$1:$FF$1,0)-1))*IF(G557="Ottone",1,0)</f>
        <v>0</v>
      </c>
      <c r="T557" s="205">
        <f ca="1">IF(ISERROR(OFFSET(Rame!$F$1,MATCH(J557,Rame!$F:$F,0)-1,MATCH(K557,Rame!$F$1:$FF$1,0)-1)=TRUE),0,OFFSET(Rame!$F$1,MATCH(J557,Rame!$F:$F,0)-1,MATCH(K557,Rame!$F$1:$FF$1,0)-1))*IF(G557="Rame",1,0)</f>
        <v>0</v>
      </c>
      <c r="U557" s="205">
        <f ca="1">IF(ISERROR(OFFSET(Bronzo!$A$1,MATCH(J557,Bronzo!$A:$A,0)-1,MATCH(K557,Bronzo!$A$1:$AA$1,0)-1)=TRUE),0,OFFSET(Bronzo!$A$1,MATCH(J557,Bronzo!$A:$A,0)-1,MATCH(K557,Bronzo!$A$1:$AA$1,0)-1))</f>
        <v>0</v>
      </c>
      <c r="V557" s="205">
        <f t="shared" ca="1" si="214"/>
        <v>0</v>
      </c>
      <c r="W557" s="204"/>
      <c r="X557" s="205">
        <v>0</v>
      </c>
      <c r="Y557" s="206">
        <f t="shared" ca="1" si="215"/>
        <v>0</v>
      </c>
      <c r="Z557" s="277">
        <f t="shared" si="216"/>
        <v>0</v>
      </c>
      <c r="AA557" s="203"/>
      <c r="AB557" s="203">
        <f t="shared" ca="1" si="217"/>
        <v>0</v>
      </c>
      <c r="AC557" s="238"/>
      <c r="AI557" s="367">
        <f t="shared" ca="1" si="212"/>
        <v>46092</v>
      </c>
      <c r="AJ557" s="367" t="b">
        <f t="shared" si="218"/>
        <v>1</v>
      </c>
      <c r="AK557" s="370" t="str">
        <f t="shared" si="219"/>
        <v/>
      </c>
      <c r="AN557">
        <f t="shared" si="220"/>
        <v>0</v>
      </c>
      <c r="AO557">
        <f t="shared" si="221"/>
        <v>1900</v>
      </c>
      <c r="AV557">
        <f t="shared" si="222"/>
        <v>0</v>
      </c>
      <c r="AW557">
        <f t="shared" si="223"/>
        <v>0</v>
      </c>
    </row>
    <row r="558" spans="4:49" ht="15.75" x14ac:dyDescent="0.25">
      <c r="D558" s="199"/>
      <c r="E558" s="200"/>
      <c r="F558" s="287"/>
      <c r="G558" s="201"/>
      <c r="H558" s="219"/>
      <c r="I558" s="202"/>
      <c r="J558" s="200"/>
      <c r="K558" s="200"/>
      <c r="L558" s="203"/>
      <c r="M558" s="204">
        <f ca="1">IF(ISERROR(OFFSET(Tabella!$A$1,MATCH(J558,Tabella!$A:$A,0)-1,MATCH(L558,Tabella!$A$1:$AC$1,0)-1)=TRUE),0,+OFFSET(Tabella!$A$1,MATCH(J558,Tabella!$A:$A,0)-1,MATCH(L558,Tabella!$A$1:$AC$1,0)-1))</f>
        <v>0</v>
      </c>
      <c r="N558" s="205">
        <f ca="1">IF(ISERROR(OFFSET(Ottone!$A$1,MATCH(J558,Ottone!$A:$A,0)-1,MATCH(L558,Ottone!$A$1:$Z$1,0)-1)=TRUE),0,OFFSET(Ottone!$A$1,MATCH(J558,Ottone!$A:$A,0)-1,MATCH(L558,Ottone!$A$1:$Z$1,0)-1))*IF(G558="Ottone",1,0)</f>
        <v>0</v>
      </c>
      <c r="O558" s="205">
        <f ca="1">IF(ISERROR(OFFSET(Rame!$A$1,MATCH(J558,Rame!$A:$A,0)-1,MATCH(L558,Rame!$A$1:$AA$1,0)-1)=TRUE),0,OFFSET(Rame!$A$1,MATCH(J558,Rame!$A:$A,0)-1,MATCH(L558,Rame!$A$1:$AA$1,0)-1))*IF(G558="Rame",1,0)</f>
        <v>0</v>
      </c>
      <c r="P558" s="205">
        <v>0</v>
      </c>
      <c r="Q558" s="205">
        <f t="shared" ca="1" si="213"/>
        <v>0</v>
      </c>
      <c r="R558" s="205">
        <f ca="1">+IF(ISERROR(OFFSET(Tabella!$G$1,MATCH(J558,Tabella!$G:$G,0)-1,MATCH(K558,Tabella!$G$1:$FG$1,0)-1)=TRUE),0,OFFSET(Tabella!$G$1,MATCH(J558,Tabella!$G:$G,0)-1,MATCH(K558,Tabella!$G$1:$AB$1,0)-1))</f>
        <v>0</v>
      </c>
      <c r="S558" s="205">
        <f ca="1">IF(ISERROR(OFFSET(Ottone!$F$1,MATCH(J558,Ottone!$A:$A,0)-1,MATCH(K558,Ottone!$F$1:$FF$1,0)-1)=TRUE),0,OFFSET(Ottone!$F$1,MATCH(J558,Ottone!$A:$A,0)-1,MATCH(K558,Ottone!$F$1:$FF$1,0)-1))*IF(G558="Ottone",1,0)</f>
        <v>0</v>
      </c>
      <c r="T558" s="205">
        <f ca="1">IF(ISERROR(OFFSET(Rame!$F$1,MATCH(J558,Rame!$F:$F,0)-1,MATCH(K558,Rame!$F$1:$FF$1,0)-1)=TRUE),0,OFFSET(Rame!$F$1,MATCH(J558,Rame!$F:$F,0)-1,MATCH(K558,Rame!$F$1:$FF$1,0)-1))*IF(G558="Rame",1,0)</f>
        <v>0</v>
      </c>
      <c r="U558" s="205">
        <f ca="1">IF(ISERROR(OFFSET(Bronzo!$A$1,MATCH(J558,Bronzo!$A:$A,0)-1,MATCH(K558,Bronzo!$A$1:$AA$1,0)-1)=TRUE),0,OFFSET(Bronzo!$A$1,MATCH(J558,Bronzo!$A:$A,0)-1,MATCH(K558,Bronzo!$A$1:$AA$1,0)-1))</f>
        <v>0</v>
      </c>
      <c r="V558" s="205">
        <f t="shared" ca="1" si="214"/>
        <v>0</v>
      </c>
      <c r="W558" s="204"/>
      <c r="X558" s="205">
        <v>0</v>
      </c>
      <c r="Y558" s="206">
        <f t="shared" ca="1" si="215"/>
        <v>0</v>
      </c>
      <c r="Z558" s="277">
        <f t="shared" si="216"/>
        <v>0</v>
      </c>
      <c r="AA558" s="203"/>
      <c r="AB558" s="203">
        <f t="shared" ca="1" si="217"/>
        <v>0</v>
      </c>
      <c r="AC558" s="238"/>
      <c r="AI558" s="367">
        <f t="shared" ca="1" si="212"/>
        <v>46092</v>
      </c>
      <c r="AJ558" s="367" t="b">
        <f t="shared" si="218"/>
        <v>1</v>
      </c>
      <c r="AK558" s="370" t="str">
        <f t="shared" si="219"/>
        <v/>
      </c>
      <c r="AN558">
        <f t="shared" si="220"/>
        <v>0</v>
      </c>
      <c r="AO558">
        <f t="shared" si="221"/>
        <v>1900</v>
      </c>
      <c r="AV558">
        <f t="shared" si="222"/>
        <v>0</v>
      </c>
      <c r="AW558">
        <f t="shared" si="223"/>
        <v>0</v>
      </c>
    </row>
    <row r="559" spans="4:49" ht="15.75" x14ac:dyDescent="0.25">
      <c r="D559" s="199"/>
      <c r="E559" s="200"/>
      <c r="F559" s="287"/>
      <c r="G559" s="201"/>
      <c r="H559" s="219"/>
      <c r="I559" s="202"/>
      <c r="J559" s="200"/>
      <c r="K559" s="200"/>
      <c r="L559" s="203"/>
      <c r="M559" s="204">
        <f ca="1">IF(ISERROR(OFFSET(Tabella!$A$1,MATCH(J559,Tabella!$A:$A,0)-1,MATCH(L559,Tabella!$A$1:$AC$1,0)-1)=TRUE),0,+OFFSET(Tabella!$A$1,MATCH(J559,Tabella!$A:$A,0)-1,MATCH(L559,Tabella!$A$1:$AC$1,0)-1))</f>
        <v>0</v>
      </c>
      <c r="N559" s="205">
        <f ca="1">IF(ISERROR(OFFSET(Ottone!$A$1,MATCH(J559,Ottone!$A:$A,0)-1,MATCH(L559,Ottone!$A$1:$Z$1,0)-1)=TRUE),0,OFFSET(Ottone!$A$1,MATCH(J559,Ottone!$A:$A,0)-1,MATCH(L559,Ottone!$A$1:$Z$1,0)-1))*IF(G559="Ottone",1,0)</f>
        <v>0</v>
      </c>
      <c r="O559" s="205">
        <f ca="1">IF(ISERROR(OFFSET(Rame!$A$1,MATCH(J559,Rame!$A:$A,0)-1,MATCH(L559,Rame!$A$1:$AA$1,0)-1)=TRUE),0,OFFSET(Rame!$A$1,MATCH(J559,Rame!$A:$A,0)-1,MATCH(L559,Rame!$A$1:$AA$1,0)-1))*IF(G559="Rame",1,0)</f>
        <v>0</v>
      </c>
      <c r="P559" s="205">
        <v>0</v>
      </c>
      <c r="Q559" s="205">
        <f t="shared" ca="1" si="213"/>
        <v>0</v>
      </c>
      <c r="R559" s="205">
        <f ca="1">+IF(ISERROR(OFFSET(Tabella!$G$1,MATCH(J559,Tabella!$G:$G,0)-1,MATCH(K559,Tabella!$G$1:$FG$1,0)-1)=TRUE),0,OFFSET(Tabella!$G$1,MATCH(J559,Tabella!$G:$G,0)-1,MATCH(K559,Tabella!$G$1:$AB$1,0)-1))</f>
        <v>0</v>
      </c>
      <c r="S559" s="205">
        <f ca="1">IF(ISERROR(OFFSET(Ottone!$F$1,MATCH(J559,Ottone!$A:$A,0)-1,MATCH(K559,Ottone!$F$1:$FF$1,0)-1)=TRUE),0,OFFSET(Ottone!$F$1,MATCH(J559,Ottone!$A:$A,0)-1,MATCH(K559,Ottone!$F$1:$FF$1,0)-1))*IF(G559="Ottone",1,0)</f>
        <v>0</v>
      </c>
      <c r="T559" s="205">
        <f ca="1">IF(ISERROR(OFFSET(Rame!$F$1,MATCH(J559,Rame!$F:$F,0)-1,MATCH(K559,Rame!$F$1:$FF$1,0)-1)=TRUE),0,OFFSET(Rame!$F$1,MATCH(J559,Rame!$F:$F,0)-1,MATCH(K559,Rame!$F$1:$FF$1,0)-1))*IF(G559="Rame",1,0)</f>
        <v>0</v>
      </c>
      <c r="U559" s="205">
        <f ca="1">IF(ISERROR(OFFSET(Bronzo!$A$1,MATCH(J559,Bronzo!$A:$A,0)-1,MATCH(K559,Bronzo!$A$1:$AA$1,0)-1)=TRUE),0,OFFSET(Bronzo!$A$1,MATCH(J559,Bronzo!$A:$A,0)-1,MATCH(K559,Bronzo!$A$1:$AA$1,0)-1))</f>
        <v>0</v>
      </c>
      <c r="V559" s="205">
        <f t="shared" ca="1" si="214"/>
        <v>0</v>
      </c>
      <c r="W559" s="204"/>
      <c r="X559" s="205">
        <v>0</v>
      </c>
      <c r="Y559" s="206">
        <f t="shared" ca="1" si="215"/>
        <v>0</v>
      </c>
      <c r="Z559" s="277">
        <f t="shared" si="216"/>
        <v>0</v>
      </c>
      <c r="AA559" s="203"/>
      <c r="AB559" s="203">
        <f t="shared" ca="1" si="217"/>
        <v>0</v>
      </c>
      <c r="AC559" s="238"/>
      <c r="AI559" s="367">
        <f t="shared" ca="1" si="212"/>
        <v>46092</v>
      </c>
      <c r="AJ559" s="367" t="b">
        <f t="shared" si="218"/>
        <v>1</v>
      </c>
      <c r="AK559" s="370" t="str">
        <f t="shared" si="219"/>
        <v/>
      </c>
      <c r="AN559">
        <f t="shared" si="220"/>
        <v>0</v>
      </c>
      <c r="AO559">
        <f t="shared" si="221"/>
        <v>1900</v>
      </c>
      <c r="AV559">
        <f t="shared" si="222"/>
        <v>0</v>
      </c>
      <c r="AW559">
        <f t="shared" si="223"/>
        <v>0</v>
      </c>
    </row>
    <row r="560" spans="4:49" ht="15.75" x14ac:dyDescent="0.25">
      <c r="D560" s="199"/>
      <c r="E560" s="200"/>
      <c r="F560" s="287"/>
      <c r="G560" s="201"/>
      <c r="H560" s="219"/>
      <c r="I560" s="202"/>
      <c r="J560" s="200"/>
      <c r="K560" s="200"/>
      <c r="L560" s="203"/>
      <c r="M560" s="204">
        <f ca="1">IF(ISERROR(OFFSET(Tabella!$A$1,MATCH(J560,Tabella!$A:$A,0)-1,MATCH(L560,Tabella!$A$1:$AC$1,0)-1)=TRUE),0,+OFFSET(Tabella!$A$1,MATCH(J560,Tabella!$A:$A,0)-1,MATCH(L560,Tabella!$A$1:$AC$1,0)-1))</f>
        <v>0</v>
      </c>
      <c r="N560" s="205">
        <f ca="1">IF(ISERROR(OFFSET(Ottone!$A$1,MATCH(J560,Ottone!$A:$A,0)-1,MATCH(L560,Ottone!$A$1:$Z$1,0)-1)=TRUE),0,OFFSET(Ottone!$A$1,MATCH(J560,Ottone!$A:$A,0)-1,MATCH(L560,Ottone!$A$1:$Z$1,0)-1))*IF(G560="Ottone",1,0)</f>
        <v>0</v>
      </c>
      <c r="O560" s="205">
        <f ca="1">IF(ISERROR(OFFSET(Rame!$A$1,MATCH(J560,Rame!$A:$A,0)-1,MATCH(L560,Rame!$A$1:$AA$1,0)-1)=TRUE),0,OFFSET(Rame!$A$1,MATCH(J560,Rame!$A:$A,0)-1,MATCH(L560,Rame!$A$1:$AA$1,0)-1))*IF(G560="Rame",1,0)</f>
        <v>0</v>
      </c>
      <c r="P560" s="205">
        <v>0</v>
      </c>
      <c r="Q560" s="205">
        <f t="shared" ca="1" si="213"/>
        <v>0</v>
      </c>
      <c r="R560" s="205">
        <f ca="1">+IF(ISERROR(OFFSET(Tabella!$G$1,MATCH(J560,Tabella!$G:$G,0)-1,MATCH(K560,Tabella!$G$1:$FG$1,0)-1)=TRUE),0,OFFSET(Tabella!$G$1,MATCH(J560,Tabella!$G:$G,0)-1,MATCH(K560,Tabella!$G$1:$AB$1,0)-1))</f>
        <v>0</v>
      </c>
      <c r="S560" s="205">
        <f ca="1">IF(ISERROR(OFFSET(Ottone!$F$1,MATCH(J560,Ottone!$A:$A,0)-1,MATCH(K560,Ottone!$F$1:$FF$1,0)-1)=TRUE),0,OFFSET(Ottone!$F$1,MATCH(J560,Ottone!$A:$A,0)-1,MATCH(K560,Ottone!$F$1:$FF$1,0)-1))*IF(G560="Ottone",1,0)</f>
        <v>0</v>
      </c>
      <c r="T560" s="205">
        <f ca="1">IF(ISERROR(OFFSET(Rame!$F$1,MATCH(J560,Rame!$F:$F,0)-1,MATCH(K560,Rame!$F$1:$FF$1,0)-1)=TRUE),0,OFFSET(Rame!$F$1,MATCH(J560,Rame!$F:$F,0)-1,MATCH(K560,Rame!$F$1:$FF$1,0)-1))*IF(G560="Rame",1,0)</f>
        <v>0</v>
      </c>
      <c r="U560" s="205">
        <f ca="1">IF(ISERROR(OFFSET(Bronzo!$A$1,MATCH(J560,Bronzo!$A:$A,0)-1,MATCH(K560,Bronzo!$A$1:$AA$1,0)-1)=TRUE),0,OFFSET(Bronzo!$A$1,MATCH(J560,Bronzo!$A:$A,0)-1,MATCH(K560,Bronzo!$A$1:$AA$1,0)-1))</f>
        <v>0</v>
      </c>
      <c r="V560" s="205">
        <f t="shared" ca="1" si="214"/>
        <v>0</v>
      </c>
      <c r="W560" s="204"/>
      <c r="X560" s="205">
        <v>0</v>
      </c>
      <c r="Y560" s="206">
        <f t="shared" ca="1" si="215"/>
        <v>0</v>
      </c>
      <c r="Z560" s="277">
        <f t="shared" si="216"/>
        <v>0</v>
      </c>
      <c r="AA560" s="203"/>
      <c r="AB560" s="203">
        <f t="shared" ca="1" si="217"/>
        <v>0</v>
      </c>
      <c r="AC560" s="238"/>
      <c r="AI560" s="367">
        <f t="shared" ca="1" si="212"/>
        <v>46092</v>
      </c>
      <c r="AJ560" s="367" t="b">
        <f t="shared" si="218"/>
        <v>1</v>
      </c>
      <c r="AK560" s="370" t="str">
        <f t="shared" si="219"/>
        <v/>
      </c>
      <c r="AN560">
        <f t="shared" si="220"/>
        <v>0</v>
      </c>
      <c r="AO560">
        <f t="shared" si="221"/>
        <v>1900</v>
      </c>
      <c r="AV560">
        <f t="shared" si="222"/>
        <v>0</v>
      </c>
      <c r="AW560">
        <f t="shared" si="223"/>
        <v>0</v>
      </c>
    </row>
    <row r="561" spans="4:49" ht="15.75" x14ac:dyDescent="0.25">
      <c r="D561" s="199"/>
      <c r="E561" s="200"/>
      <c r="F561" s="287"/>
      <c r="G561" s="201"/>
      <c r="H561" s="219"/>
      <c r="I561" s="202"/>
      <c r="J561" s="200"/>
      <c r="K561" s="200"/>
      <c r="L561" s="203"/>
      <c r="M561" s="204">
        <f ca="1">IF(ISERROR(OFFSET(Tabella!$A$1,MATCH(J561,Tabella!$A:$A,0)-1,MATCH(L561,Tabella!$A$1:$AC$1,0)-1)=TRUE),0,+OFFSET(Tabella!$A$1,MATCH(J561,Tabella!$A:$A,0)-1,MATCH(L561,Tabella!$A$1:$AC$1,0)-1))</f>
        <v>0</v>
      </c>
      <c r="N561" s="205">
        <f ca="1">IF(ISERROR(OFFSET(Ottone!$A$1,MATCH(J561,Ottone!$A:$A,0)-1,MATCH(L561,Ottone!$A$1:$Z$1,0)-1)=TRUE),0,OFFSET(Ottone!$A$1,MATCH(J561,Ottone!$A:$A,0)-1,MATCH(L561,Ottone!$A$1:$Z$1,0)-1))*IF(G561="Ottone",1,0)</f>
        <v>0</v>
      </c>
      <c r="O561" s="205">
        <f ca="1">IF(ISERROR(OFFSET(Rame!$A$1,MATCH(J561,Rame!$A:$A,0)-1,MATCH(L561,Rame!$A$1:$AA$1,0)-1)=TRUE),0,OFFSET(Rame!$A$1,MATCH(J561,Rame!$A:$A,0)-1,MATCH(L561,Rame!$A$1:$AA$1,0)-1))*IF(G561="Rame",1,0)</f>
        <v>0</v>
      </c>
      <c r="P561" s="205">
        <v>0</v>
      </c>
      <c r="Q561" s="205">
        <f t="shared" ca="1" si="213"/>
        <v>0</v>
      </c>
      <c r="R561" s="205">
        <f ca="1">+IF(ISERROR(OFFSET(Tabella!$G$1,MATCH(J561,Tabella!$G:$G,0)-1,MATCH(K561,Tabella!$G$1:$FG$1,0)-1)=TRUE),0,OFFSET(Tabella!$G$1,MATCH(J561,Tabella!$G:$G,0)-1,MATCH(K561,Tabella!$G$1:$AB$1,0)-1))</f>
        <v>0</v>
      </c>
      <c r="S561" s="205">
        <f ca="1">IF(ISERROR(OFFSET(Ottone!$F$1,MATCH(J561,Ottone!$A:$A,0)-1,MATCH(K561,Ottone!$F$1:$FF$1,0)-1)=TRUE),0,OFFSET(Ottone!$F$1,MATCH(J561,Ottone!$A:$A,0)-1,MATCH(K561,Ottone!$F$1:$FF$1,0)-1))*IF(G561="Ottone",1,0)</f>
        <v>0</v>
      </c>
      <c r="T561" s="205">
        <f ca="1">IF(ISERROR(OFFSET(Rame!$F$1,MATCH(J561,Rame!$F:$F,0)-1,MATCH(K561,Rame!$F$1:$FF$1,0)-1)=TRUE),0,OFFSET(Rame!$F$1,MATCH(J561,Rame!$F:$F,0)-1,MATCH(K561,Rame!$F$1:$FF$1,0)-1))*IF(G561="Rame",1,0)</f>
        <v>0</v>
      </c>
      <c r="U561" s="205">
        <f ca="1">IF(ISERROR(OFFSET(Bronzo!$A$1,MATCH(J561,Bronzo!$A:$A,0)-1,MATCH(K561,Bronzo!$A$1:$AA$1,0)-1)=TRUE),0,OFFSET(Bronzo!$A$1,MATCH(J561,Bronzo!$A:$A,0)-1,MATCH(K561,Bronzo!$A$1:$AA$1,0)-1))</f>
        <v>0</v>
      </c>
      <c r="V561" s="205">
        <f t="shared" ca="1" si="214"/>
        <v>0</v>
      </c>
      <c r="W561" s="204"/>
      <c r="X561" s="205">
        <v>0</v>
      </c>
      <c r="Y561" s="206">
        <f t="shared" ca="1" si="215"/>
        <v>0</v>
      </c>
      <c r="Z561" s="277">
        <f t="shared" si="216"/>
        <v>0</v>
      </c>
      <c r="AA561" s="203"/>
      <c r="AB561" s="203">
        <f t="shared" ca="1" si="217"/>
        <v>0</v>
      </c>
      <c r="AC561" s="238"/>
      <c r="AI561" s="367">
        <f t="shared" ca="1" si="212"/>
        <v>46092</v>
      </c>
      <c r="AJ561" s="367" t="b">
        <f t="shared" si="218"/>
        <v>1</v>
      </c>
      <c r="AK561" s="370" t="str">
        <f t="shared" si="219"/>
        <v/>
      </c>
      <c r="AN561">
        <f t="shared" si="220"/>
        <v>0</v>
      </c>
      <c r="AO561">
        <f t="shared" si="221"/>
        <v>1900</v>
      </c>
      <c r="AV561">
        <f t="shared" si="222"/>
        <v>0</v>
      </c>
      <c r="AW561">
        <f t="shared" si="223"/>
        <v>0</v>
      </c>
    </row>
    <row r="562" spans="4:49" ht="15.75" x14ac:dyDescent="0.25">
      <c r="D562" s="199"/>
      <c r="E562" s="200"/>
      <c r="F562" s="287"/>
      <c r="G562" s="201"/>
      <c r="H562" s="219"/>
      <c r="I562" s="202"/>
      <c r="J562" s="200"/>
      <c r="K562" s="200"/>
      <c r="L562" s="203"/>
      <c r="M562" s="204">
        <f ca="1">IF(ISERROR(OFFSET(Tabella!$A$1,MATCH(J562,Tabella!$A:$A,0)-1,MATCH(L562,Tabella!$A$1:$AC$1,0)-1)=TRUE),0,+OFFSET(Tabella!$A$1,MATCH(J562,Tabella!$A:$A,0)-1,MATCH(L562,Tabella!$A$1:$AC$1,0)-1))</f>
        <v>0</v>
      </c>
      <c r="N562" s="205">
        <f ca="1">IF(ISERROR(OFFSET(Ottone!$A$1,MATCH(J562,Ottone!$A:$A,0)-1,MATCH(L562,Ottone!$A$1:$Z$1,0)-1)=TRUE),0,OFFSET(Ottone!$A$1,MATCH(J562,Ottone!$A:$A,0)-1,MATCH(L562,Ottone!$A$1:$Z$1,0)-1))*IF(G562="Ottone",1,0)</f>
        <v>0</v>
      </c>
      <c r="O562" s="205">
        <f ca="1">IF(ISERROR(OFFSET(Rame!$A$1,MATCH(J562,Rame!$A:$A,0)-1,MATCH(L562,Rame!$A$1:$AA$1,0)-1)=TRUE),0,OFFSET(Rame!$A$1,MATCH(J562,Rame!$A:$A,0)-1,MATCH(L562,Rame!$A$1:$AA$1,0)-1))*IF(G562="Rame",1,0)</f>
        <v>0</v>
      </c>
      <c r="P562" s="205">
        <v>0</v>
      </c>
      <c r="Q562" s="205">
        <f t="shared" ca="1" si="213"/>
        <v>0</v>
      </c>
      <c r="R562" s="205">
        <f ca="1">+IF(ISERROR(OFFSET(Tabella!$G$1,MATCH(J562,Tabella!$G:$G,0)-1,MATCH(K562,Tabella!$G$1:$FG$1,0)-1)=TRUE),0,OFFSET(Tabella!$G$1,MATCH(J562,Tabella!$G:$G,0)-1,MATCH(K562,Tabella!$G$1:$AB$1,0)-1))</f>
        <v>0</v>
      </c>
      <c r="S562" s="205">
        <f ca="1">IF(ISERROR(OFFSET(Ottone!$F$1,MATCH(J562,Ottone!$A:$A,0)-1,MATCH(K562,Ottone!$F$1:$FF$1,0)-1)=TRUE),0,OFFSET(Ottone!$F$1,MATCH(J562,Ottone!$A:$A,0)-1,MATCH(K562,Ottone!$F$1:$FF$1,0)-1))*IF(G562="Ottone",1,0)</f>
        <v>0</v>
      </c>
      <c r="T562" s="205">
        <f ca="1">IF(ISERROR(OFFSET(Rame!$F$1,MATCH(J562,Rame!$F:$F,0)-1,MATCH(K562,Rame!$F$1:$FF$1,0)-1)=TRUE),0,OFFSET(Rame!$F$1,MATCH(J562,Rame!$F:$F,0)-1,MATCH(K562,Rame!$F$1:$FF$1,0)-1))*IF(G562="Rame",1,0)</f>
        <v>0</v>
      </c>
      <c r="U562" s="205">
        <f ca="1">IF(ISERROR(OFFSET(Bronzo!$A$1,MATCH(J562,Bronzo!$A:$A,0)-1,MATCH(K562,Bronzo!$A$1:$AA$1,0)-1)=TRUE),0,OFFSET(Bronzo!$A$1,MATCH(J562,Bronzo!$A:$A,0)-1,MATCH(K562,Bronzo!$A$1:$AA$1,0)-1))</f>
        <v>0</v>
      </c>
      <c r="V562" s="205">
        <f t="shared" ca="1" si="214"/>
        <v>0</v>
      </c>
      <c r="W562" s="204"/>
      <c r="X562" s="205">
        <v>0</v>
      </c>
      <c r="Y562" s="206">
        <f t="shared" ca="1" si="215"/>
        <v>0</v>
      </c>
      <c r="Z562" s="277">
        <f t="shared" si="216"/>
        <v>0</v>
      </c>
      <c r="AA562" s="203"/>
      <c r="AB562" s="203">
        <f t="shared" ca="1" si="217"/>
        <v>0</v>
      </c>
      <c r="AC562" s="238"/>
      <c r="AI562" s="367">
        <f t="shared" ca="1" si="212"/>
        <v>46092</v>
      </c>
      <c r="AJ562" s="367" t="b">
        <f t="shared" si="218"/>
        <v>1</v>
      </c>
      <c r="AK562" s="370" t="str">
        <f t="shared" si="219"/>
        <v/>
      </c>
      <c r="AN562">
        <f t="shared" si="220"/>
        <v>0</v>
      </c>
      <c r="AO562">
        <f t="shared" si="221"/>
        <v>1900</v>
      </c>
      <c r="AV562">
        <f t="shared" si="222"/>
        <v>0</v>
      </c>
      <c r="AW562">
        <f t="shared" si="223"/>
        <v>0</v>
      </c>
    </row>
    <row r="563" spans="4:49" ht="15.75" x14ac:dyDescent="0.25">
      <c r="D563" s="199"/>
      <c r="E563" s="200"/>
      <c r="F563" s="287"/>
      <c r="G563" s="201"/>
      <c r="H563" s="219"/>
      <c r="I563" s="202"/>
      <c r="J563" s="200"/>
      <c r="K563" s="200"/>
      <c r="L563" s="203"/>
      <c r="M563" s="204">
        <f ca="1">IF(ISERROR(OFFSET(Tabella!$A$1,MATCH(J563,Tabella!$A:$A,0)-1,MATCH(L563,Tabella!$A$1:$AC$1,0)-1)=TRUE),0,+OFFSET(Tabella!$A$1,MATCH(J563,Tabella!$A:$A,0)-1,MATCH(L563,Tabella!$A$1:$AC$1,0)-1))</f>
        <v>0</v>
      </c>
      <c r="N563" s="205">
        <f ca="1">IF(ISERROR(OFFSET(Ottone!$A$1,MATCH(J563,Ottone!$A:$A,0)-1,MATCH(L563,Ottone!$A$1:$Z$1,0)-1)=TRUE),0,OFFSET(Ottone!$A$1,MATCH(J563,Ottone!$A:$A,0)-1,MATCH(L563,Ottone!$A$1:$Z$1,0)-1))*IF(G563="Ottone",1,0)</f>
        <v>0</v>
      </c>
      <c r="O563" s="205">
        <f ca="1">IF(ISERROR(OFFSET(Rame!$A$1,MATCH(J563,Rame!$A:$A,0)-1,MATCH(L563,Rame!$A$1:$AA$1,0)-1)=TRUE),0,OFFSET(Rame!$A$1,MATCH(J563,Rame!$A:$A,0)-1,MATCH(L563,Rame!$A$1:$AA$1,0)-1))*IF(G563="Rame",1,0)</f>
        <v>0</v>
      </c>
      <c r="P563" s="205">
        <v>0</v>
      </c>
      <c r="Q563" s="205">
        <f t="shared" ca="1" si="213"/>
        <v>0</v>
      </c>
      <c r="R563" s="205">
        <f ca="1">+IF(ISERROR(OFFSET(Tabella!$G$1,MATCH(J563,Tabella!$G:$G,0)-1,MATCH(K563,Tabella!$G$1:$FG$1,0)-1)=TRUE),0,OFFSET(Tabella!$G$1,MATCH(J563,Tabella!$G:$G,0)-1,MATCH(K563,Tabella!$G$1:$AB$1,0)-1))</f>
        <v>0</v>
      </c>
      <c r="S563" s="205">
        <f ca="1">IF(ISERROR(OFFSET(Ottone!$F$1,MATCH(J563,Ottone!$A:$A,0)-1,MATCH(K563,Ottone!$F$1:$FF$1,0)-1)=TRUE),0,OFFSET(Ottone!$F$1,MATCH(J563,Ottone!$A:$A,0)-1,MATCH(K563,Ottone!$F$1:$FF$1,0)-1))*IF(G563="Ottone",1,0)</f>
        <v>0</v>
      </c>
      <c r="T563" s="205">
        <f ca="1">IF(ISERROR(OFFSET(Rame!$F$1,MATCH(J563,Rame!$F:$F,0)-1,MATCH(K563,Rame!$F$1:$FF$1,0)-1)=TRUE),0,OFFSET(Rame!$F$1,MATCH(J563,Rame!$F:$F,0)-1,MATCH(K563,Rame!$F$1:$FF$1,0)-1))*IF(G563="Rame",1,0)</f>
        <v>0</v>
      </c>
      <c r="U563" s="205">
        <f ca="1">IF(ISERROR(OFFSET(Bronzo!$A$1,MATCH(J563,Bronzo!$A:$A,0)-1,MATCH(K563,Bronzo!$A$1:$AA$1,0)-1)=TRUE),0,OFFSET(Bronzo!$A$1,MATCH(J563,Bronzo!$A:$A,0)-1,MATCH(K563,Bronzo!$A$1:$AA$1,0)-1))</f>
        <v>0</v>
      </c>
      <c r="V563" s="205">
        <f t="shared" ca="1" si="214"/>
        <v>0</v>
      </c>
      <c r="W563" s="204"/>
      <c r="X563" s="205">
        <v>0</v>
      </c>
      <c r="Y563" s="206">
        <f t="shared" ca="1" si="215"/>
        <v>0</v>
      </c>
      <c r="Z563" s="277">
        <f t="shared" si="216"/>
        <v>0</v>
      </c>
      <c r="AA563" s="203"/>
      <c r="AB563" s="203">
        <f t="shared" ca="1" si="217"/>
        <v>0</v>
      </c>
      <c r="AC563" s="238"/>
      <c r="AI563" s="367">
        <f t="shared" ca="1" si="212"/>
        <v>46092</v>
      </c>
      <c r="AJ563" s="367" t="b">
        <f t="shared" si="218"/>
        <v>1</v>
      </c>
      <c r="AK563" s="370" t="str">
        <f t="shared" si="219"/>
        <v/>
      </c>
      <c r="AN563">
        <f t="shared" si="220"/>
        <v>0</v>
      </c>
      <c r="AO563">
        <f t="shared" si="221"/>
        <v>1900</v>
      </c>
      <c r="AV563">
        <f t="shared" si="222"/>
        <v>0</v>
      </c>
      <c r="AW563">
        <f t="shared" si="223"/>
        <v>0</v>
      </c>
    </row>
    <row r="564" spans="4:49" ht="15.75" x14ac:dyDescent="0.25">
      <c r="D564" s="199"/>
      <c r="E564" s="200"/>
      <c r="F564" s="287"/>
      <c r="G564" s="201"/>
      <c r="H564" s="219"/>
      <c r="I564" s="202"/>
      <c r="J564" s="200"/>
      <c r="K564" s="200"/>
      <c r="L564" s="203"/>
      <c r="M564" s="204">
        <f ca="1">IF(ISERROR(OFFSET(Tabella!$A$1,MATCH(J564,Tabella!$A:$A,0)-1,MATCH(L564,Tabella!$A$1:$AC$1,0)-1)=TRUE),0,+OFFSET(Tabella!$A$1,MATCH(J564,Tabella!$A:$A,0)-1,MATCH(L564,Tabella!$A$1:$AC$1,0)-1))</f>
        <v>0</v>
      </c>
      <c r="N564" s="205">
        <f ca="1">IF(ISERROR(OFFSET(Ottone!$A$1,MATCH(J564,Ottone!$A:$A,0)-1,MATCH(L564,Ottone!$A$1:$Z$1,0)-1)=TRUE),0,OFFSET(Ottone!$A$1,MATCH(J564,Ottone!$A:$A,0)-1,MATCH(L564,Ottone!$A$1:$Z$1,0)-1))*IF(G564="Ottone",1,0)</f>
        <v>0</v>
      </c>
      <c r="O564" s="205">
        <f ca="1">IF(ISERROR(OFFSET(Rame!$A$1,MATCH(J564,Rame!$A:$A,0)-1,MATCH(L564,Rame!$A$1:$AA$1,0)-1)=TRUE),0,OFFSET(Rame!$A$1,MATCH(J564,Rame!$A:$A,0)-1,MATCH(L564,Rame!$A$1:$AA$1,0)-1))*IF(G564="Rame",1,0)</f>
        <v>0</v>
      </c>
      <c r="P564" s="205">
        <v>0</v>
      </c>
      <c r="Q564" s="205">
        <f t="shared" ca="1" si="213"/>
        <v>0</v>
      </c>
      <c r="R564" s="205">
        <f ca="1">+IF(ISERROR(OFFSET(Tabella!$G$1,MATCH(J564,Tabella!$G:$G,0)-1,MATCH(K564,Tabella!$G$1:$FG$1,0)-1)=TRUE),0,OFFSET(Tabella!$G$1,MATCH(J564,Tabella!$G:$G,0)-1,MATCH(K564,Tabella!$G$1:$AB$1,0)-1))</f>
        <v>0</v>
      </c>
      <c r="S564" s="205">
        <f ca="1">IF(ISERROR(OFFSET(Ottone!$F$1,MATCH(J564,Ottone!$A:$A,0)-1,MATCH(K564,Ottone!$F$1:$FF$1,0)-1)=TRUE),0,OFFSET(Ottone!$F$1,MATCH(J564,Ottone!$A:$A,0)-1,MATCH(K564,Ottone!$F$1:$FF$1,0)-1))*IF(G564="Ottone",1,0)</f>
        <v>0</v>
      </c>
      <c r="T564" s="205">
        <f ca="1">IF(ISERROR(OFFSET(Rame!$F$1,MATCH(J564,Rame!$F:$F,0)-1,MATCH(K564,Rame!$F$1:$FF$1,0)-1)=TRUE),0,OFFSET(Rame!$F$1,MATCH(J564,Rame!$F:$F,0)-1,MATCH(K564,Rame!$F$1:$FF$1,0)-1))*IF(G564="Rame",1,0)</f>
        <v>0</v>
      </c>
      <c r="U564" s="205">
        <f ca="1">IF(ISERROR(OFFSET(Bronzo!$A$1,MATCH(J564,Bronzo!$A:$A,0)-1,MATCH(K564,Bronzo!$A$1:$AA$1,0)-1)=TRUE),0,OFFSET(Bronzo!$A$1,MATCH(J564,Bronzo!$A:$A,0)-1,MATCH(K564,Bronzo!$A$1:$AA$1,0)-1))</f>
        <v>0</v>
      </c>
      <c r="V564" s="205">
        <f t="shared" ca="1" si="214"/>
        <v>0</v>
      </c>
      <c r="W564" s="204"/>
      <c r="X564" s="205">
        <v>0</v>
      </c>
      <c r="Y564" s="206">
        <f t="shared" ca="1" si="215"/>
        <v>0</v>
      </c>
      <c r="Z564" s="277">
        <f t="shared" si="216"/>
        <v>0</v>
      </c>
      <c r="AA564" s="203"/>
      <c r="AB564" s="203">
        <f t="shared" ca="1" si="217"/>
        <v>0</v>
      </c>
      <c r="AC564" s="238"/>
      <c r="AI564" s="367">
        <f t="shared" ca="1" si="212"/>
        <v>46092</v>
      </c>
      <c r="AJ564" s="367" t="b">
        <f t="shared" si="218"/>
        <v>1</v>
      </c>
      <c r="AK564" s="370" t="str">
        <f t="shared" si="219"/>
        <v/>
      </c>
      <c r="AN564">
        <f t="shared" si="220"/>
        <v>0</v>
      </c>
      <c r="AO564">
        <f t="shared" si="221"/>
        <v>1900</v>
      </c>
      <c r="AV564">
        <f t="shared" si="222"/>
        <v>0</v>
      </c>
      <c r="AW564">
        <f t="shared" si="223"/>
        <v>0</v>
      </c>
    </row>
    <row r="565" spans="4:49" ht="15.75" x14ac:dyDescent="0.25">
      <c r="D565" s="199"/>
      <c r="E565" s="200"/>
      <c r="F565" s="287"/>
      <c r="G565" s="201"/>
      <c r="H565" s="219"/>
      <c r="I565" s="202"/>
      <c r="J565" s="200"/>
      <c r="K565" s="200"/>
      <c r="L565" s="203"/>
      <c r="M565" s="204">
        <f ca="1">IF(ISERROR(OFFSET(Tabella!$A$1,MATCH(J565,Tabella!$A:$A,0)-1,MATCH(L565,Tabella!$A$1:$AC$1,0)-1)=TRUE),0,+OFFSET(Tabella!$A$1,MATCH(J565,Tabella!$A:$A,0)-1,MATCH(L565,Tabella!$A$1:$AC$1,0)-1))</f>
        <v>0</v>
      </c>
      <c r="N565" s="205">
        <f ca="1">IF(ISERROR(OFFSET(Ottone!$A$1,MATCH(J565,Ottone!$A:$A,0)-1,MATCH(L565,Ottone!$A$1:$Z$1,0)-1)=TRUE),0,OFFSET(Ottone!$A$1,MATCH(J565,Ottone!$A:$A,0)-1,MATCH(L565,Ottone!$A$1:$Z$1,0)-1))*IF(G565="Ottone",1,0)</f>
        <v>0</v>
      </c>
      <c r="O565" s="205">
        <f ca="1">IF(ISERROR(OFFSET(Rame!$A$1,MATCH(J565,Rame!$A:$A,0)-1,MATCH(L565,Rame!$A$1:$AA$1,0)-1)=TRUE),0,OFFSET(Rame!$A$1,MATCH(J565,Rame!$A:$A,0)-1,MATCH(L565,Rame!$A$1:$AA$1,0)-1))*IF(G565="Rame",1,0)</f>
        <v>0</v>
      </c>
      <c r="P565" s="205">
        <v>0</v>
      </c>
      <c r="Q565" s="205">
        <f t="shared" ca="1" si="213"/>
        <v>0</v>
      </c>
      <c r="R565" s="205">
        <f ca="1">+IF(ISERROR(OFFSET(Tabella!$G$1,MATCH(J565,Tabella!$G:$G,0)-1,MATCH(K565,Tabella!$G$1:$FG$1,0)-1)=TRUE),0,OFFSET(Tabella!$G$1,MATCH(J565,Tabella!$G:$G,0)-1,MATCH(K565,Tabella!$G$1:$AB$1,0)-1))</f>
        <v>0</v>
      </c>
      <c r="S565" s="205">
        <f ca="1">IF(ISERROR(OFFSET(Ottone!$F$1,MATCH(J565,Ottone!$A:$A,0)-1,MATCH(K565,Ottone!$F$1:$FF$1,0)-1)=TRUE),0,OFFSET(Ottone!$F$1,MATCH(J565,Ottone!$A:$A,0)-1,MATCH(K565,Ottone!$F$1:$FF$1,0)-1))*IF(G565="Ottone",1,0)</f>
        <v>0</v>
      </c>
      <c r="T565" s="205">
        <f ca="1">IF(ISERROR(OFFSET(Rame!$F$1,MATCH(J565,Rame!$F:$F,0)-1,MATCH(K565,Rame!$F$1:$FF$1,0)-1)=TRUE),0,OFFSET(Rame!$F$1,MATCH(J565,Rame!$F:$F,0)-1,MATCH(K565,Rame!$F$1:$FF$1,0)-1))*IF(G565="Rame",1,0)</f>
        <v>0</v>
      </c>
      <c r="U565" s="205">
        <f ca="1">IF(ISERROR(OFFSET(Bronzo!$A$1,MATCH(J565,Bronzo!$A:$A,0)-1,MATCH(K565,Bronzo!$A$1:$AA$1,0)-1)=TRUE),0,OFFSET(Bronzo!$A$1,MATCH(J565,Bronzo!$A:$A,0)-1,MATCH(K565,Bronzo!$A$1:$AA$1,0)-1))</f>
        <v>0</v>
      </c>
      <c r="V565" s="205">
        <f t="shared" ca="1" si="214"/>
        <v>0</v>
      </c>
      <c r="W565" s="204"/>
      <c r="X565" s="205">
        <v>0</v>
      </c>
      <c r="Y565" s="206">
        <f t="shared" ca="1" si="215"/>
        <v>0</v>
      </c>
      <c r="Z565" s="277">
        <f t="shared" si="216"/>
        <v>0</v>
      </c>
      <c r="AA565" s="203"/>
      <c r="AB565" s="203">
        <f t="shared" ca="1" si="217"/>
        <v>0</v>
      </c>
      <c r="AC565" s="238"/>
      <c r="AI565" s="367">
        <f t="shared" ca="1" si="212"/>
        <v>46092</v>
      </c>
      <c r="AJ565" s="367" t="b">
        <f t="shared" si="218"/>
        <v>1</v>
      </c>
      <c r="AK565" s="370" t="str">
        <f t="shared" si="219"/>
        <v/>
      </c>
      <c r="AN565">
        <f t="shared" si="220"/>
        <v>0</v>
      </c>
      <c r="AO565">
        <f t="shared" si="221"/>
        <v>1900</v>
      </c>
      <c r="AV565">
        <f t="shared" si="222"/>
        <v>0</v>
      </c>
      <c r="AW565">
        <f t="shared" si="223"/>
        <v>0</v>
      </c>
    </row>
    <row r="566" spans="4:49" ht="15.75" x14ac:dyDescent="0.25">
      <c r="D566" s="199"/>
      <c r="E566" s="200"/>
      <c r="F566" s="287"/>
      <c r="G566" s="201"/>
      <c r="H566" s="219"/>
      <c r="I566" s="202"/>
      <c r="J566" s="200"/>
      <c r="K566" s="200"/>
      <c r="L566" s="203"/>
      <c r="M566" s="204">
        <f ca="1">IF(ISERROR(OFFSET(Tabella!$A$1,MATCH(J566,Tabella!$A:$A,0)-1,MATCH(L566,Tabella!$A$1:$AC$1,0)-1)=TRUE),0,+OFFSET(Tabella!$A$1,MATCH(J566,Tabella!$A:$A,0)-1,MATCH(L566,Tabella!$A$1:$AC$1,0)-1))</f>
        <v>0</v>
      </c>
      <c r="N566" s="205">
        <f ca="1">IF(ISERROR(OFFSET(Ottone!$A$1,MATCH(J566,Ottone!$A:$A,0)-1,MATCH(L566,Ottone!$A$1:$Z$1,0)-1)=TRUE),0,OFFSET(Ottone!$A$1,MATCH(J566,Ottone!$A:$A,0)-1,MATCH(L566,Ottone!$A$1:$Z$1,0)-1))*IF(G566="Ottone",1,0)</f>
        <v>0</v>
      </c>
      <c r="O566" s="205">
        <f ca="1">IF(ISERROR(OFFSET(Rame!$A$1,MATCH(J566,Rame!$A:$A,0)-1,MATCH(L566,Rame!$A$1:$AA$1,0)-1)=TRUE),0,OFFSET(Rame!$A$1,MATCH(J566,Rame!$A:$A,0)-1,MATCH(L566,Rame!$A$1:$AA$1,0)-1))*IF(G566="Rame",1,0)</f>
        <v>0</v>
      </c>
      <c r="P566" s="205">
        <v>0</v>
      </c>
      <c r="Q566" s="205">
        <f t="shared" ca="1" si="213"/>
        <v>0</v>
      </c>
      <c r="R566" s="205">
        <f ca="1">+IF(ISERROR(OFFSET(Tabella!$G$1,MATCH(J566,Tabella!$G:$G,0)-1,MATCH(K566,Tabella!$G$1:$FG$1,0)-1)=TRUE),0,OFFSET(Tabella!$G$1,MATCH(J566,Tabella!$G:$G,0)-1,MATCH(K566,Tabella!$G$1:$AB$1,0)-1))</f>
        <v>0</v>
      </c>
      <c r="S566" s="205">
        <f ca="1">IF(ISERROR(OFFSET(Ottone!$F$1,MATCH(J566,Ottone!$A:$A,0)-1,MATCH(K566,Ottone!$F$1:$FF$1,0)-1)=TRUE),0,OFFSET(Ottone!$F$1,MATCH(J566,Ottone!$A:$A,0)-1,MATCH(K566,Ottone!$F$1:$FF$1,0)-1))*IF(G566="Ottone",1,0)</f>
        <v>0</v>
      </c>
      <c r="T566" s="205">
        <f ca="1">IF(ISERROR(OFFSET(Rame!$F$1,MATCH(J566,Rame!$F:$F,0)-1,MATCH(K566,Rame!$F$1:$FF$1,0)-1)=TRUE),0,OFFSET(Rame!$F$1,MATCH(J566,Rame!$F:$F,0)-1,MATCH(K566,Rame!$F$1:$FF$1,0)-1))*IF(G566="Rame",1,0)</f>
        <v>0</v>
      </c>
      <c r="U566" s="205">
        <f ca="1">IF(ISERROR(OFFSET(Bronzo!$A$1,MATCH(J566,Bronzo!$A:$A,0)-1,MATCH(K566,Bronzo!$A$1:$AA$1,0)-1)=TRUE),0,OFFSET(Bronzo!$A$1,MATCH(J566,Bronzo!$A:$A,0)-1,MATCH(K566,Bronzo!$A$1:$AA$1,0)-1))</f>
        <v>0</v>
      </c>
      <c r="V566" s="205">
        <f t="shared" ca="1" si="214"/>
        <v>0</v>
      </c>
      <c r="W566" s="204"/>
      <c r="X566" s="205">
        <v>0</v>
      </c>
      <c r="Y566" s="206">
        <f t="shared" ca="1" si="215"/>
        <v>0</v>
      </c>
      <c r="Z566" s="277">
        <f t="shared" si="216"/>
        <v>0</v>
      </c>
      <c r="AA566" s="203"/>
      <c r="AB566" s="203">
        <f t="shared" ca="1" si="217"/>
        <v>0</v>
      </c>
      <c r="AC566" s="238"/>
      <c r="AI566" s="367">
        <f t="shared" ca="1" si="212"/>
        <v>46092</v>
      </c>
      <c r="AJ566" s="367" t="b">
        <f t="shared" si="218"/>
        <v>1</v>
      </c>
      <c r="AK566" s="370" t="str">
        <f t="shared" si="219"/>
        <v/>
      </c>
      <c r="AN566">
        <f t="shared" si="220"/>
        <v>0</v>
      </c>
      <c r="AO566">
        <f t="shared" si="221"/>
        <v>1900</v>
      </c>
      <c r="AV566">
        <f t="shared" si="222"/>
        <v>0</v>
      </c>
      <c r="AW566">
        <f t="shared" si="223"/>
        <v>0</v>
      </c>
    </row>
    <row r="567" spans="4:49" ht="15.75" x14ac:dyDescent="0.25">
      <c r="D567" s="199"/>
      <c r="E567" s="200"/>
      <c r="F567" s="287"/>
      <c r="G567" s="201"/>
      <c r="H567" s="219"/>
      <c r="I567" s="202"/>
      <c r="J567" s="200"/>
      <c r="K567" s="200"/>
      <c r="L567" s="203"/>
      <c r="M567" s="204">
        <f ca="1">IF(ISERROR(OFFSET(Tabella!$A$1,MATCH(J567,Tabella!$A:$A,0)-1,MATCH(L567,Tabella!$A$1:$AC$1,0)-1)=TRUE),0,+OFFSET(Tabella!$A$1,MATCH(J567,Tabella!$A:$A,0)-1,MATCH(L567,Tabella!$A$1:$AC$1,0)-1))</f>
        <v>0</v>
      </c>
      <c r="N567" s="205">
        <f ca="1">IF(ISERROR(OFFSET(Ottone!$A$1,MATCH(J567,Ottone!$A:$A,0)-1,MATCH(L567,Ottone!$A$1:$Z$1,0)-1)=TRUE),0,OFFSET(Ottone!$A$1,MATCH(J567,Ottone!$A:$A,0)-1,MATCH(L567,Ottone!$A$1:$Z$1,0)-1))*IF(G567="Ottone",1,0)</f>
        <v>0</v>
      </c>
      <c r="O567" s="205">
        <f ca="1">IF(ISERROR(OFFSET(Rame!$A$1,MATCH(J567,Rame!$A:$A,0)-1,MATCH(L567,Rame!$A$1:$AA$1,0)-1)=TRUE),0,OFFSET(Rame!$A$1,MATCH(J567,Rame!$A:$A,0)-1,MATCH(L567,Rame!$A$1:$AA$1,0)-1))*IF(G567="Rame",1,0)</f>
        <v>0</v>
      </c>
      <c r="P567" s="205">
        <v>0</v>
      </c>
      <c r="Q567" s="205">
        <f t="shared" ca="1" si="213"/>
        <v>0</v>
      </c>
      <c r="R567" s="205">
        <f ca="1">+IF(ISERROR(OFFSET(Tabella!$G$1,MATCH(J567,Tabella!$G:$G,0)-1,MATCH(K567,Tabella!$G$1:$FG$1,0)-1)=TRUE),0,OFFSET(Tabella!$G$1,MATCH(J567,Tabella!$G:$G,0)-1,MATCH(K567,Tabella!$G$1:$AB$1,0)-1))</f>
        <v>0</v>
      </c>
      <c r="S567" s="205">
        <f ca="1">IF(ISERROR(OFFSET(Ottone!$F$1,MATCH(J567,Ottone!$A:$A,0)-1,MATCH(K567,Ottone!$F$1:$FF$1,0)-1)=TRUE),0,OFFSET(Ottone!$F$1,MATCH(J567,Ottone!$A:$A,0)-1,MATCH(K567,Ottone!$F$1:$FF$1,0)-1))*IF(G567="Ottone",1,0)</f>
        <v>0</v>
      </c>
      <c r="T567" s="205">
        <f ca="1">IF(ISERROR(OFFSET(Rame!$F$1,MATCH(J567,Rame!$F:$F,0)-1,MATCH(K567,Rame!$F$1:$FF$1,0)-1)=TRUE),0,OFFSET(Rame!$F$1,MATCH(J567,Rame!$F:$F,0)-1,MATCH(K567,Rame!$F$1:$FF$1,0)-1))*IF(G567="Rame",1,0)</f>
        <v>0</v>
      </c>
      <c r="U567" s="205">
        <f ca="1">IF(ISERROR(OFFSET(Bronzo!$A$1,MATCH(J567,Bronzo!$A:$A,0)-1,MATCH(K567,Bronzo!$A$1:$AA$1,0)-1)=TRUE),0,OFFSET(Bronzo!$A$1,MATCH(J567,Bronzo!$A:$A,0)-1,MATCH(K567,Bronzo!$A$1:$AA$1,0)-1))</f>
        <v>0</v>
      </c>
      <c r="V567" s="205">
        <f t="shared" ca="1" si="214"/>
        <v>0</v>
      </c>
      <c r="W567" s="204"/>
      <c r="X567" s="205">
        <v>0</v>
      </c>
      <c r="Y567" s="206">
        <f t="shared" ca="1" si="215"/>
        <v>0</v>
      </c>
      <c r="Z567" s="277">
        <f t="shared" si="216"/>
        <v>0</v>
      </c>
      <c r="AA567" s="203"/>
      <c r="AB567" s="203">
        <f t="shared" ca="1" si="217"/>
        <v>0</v>
      </c>
      <c r="AC567" s="238"/>
      <c r="AI567" s="367">
        <f t="shared" ca="1" si="212"/>
        <v>46092</v>
      </c>
      <c r="AJ567" s="367" t="b">
        <f t="shared" si="218"/>
        <v>1</v>
      </c>
      <c r="AK567" s="370" t="str">
        <f t="shared" si="219"/>
        <v/>
      </c>
      <c r="AN567">
        <f t="shared" si="220"/>
        <v>0</v>
      </c>
      <c r="AO567">
        <f t="shared" si="221"/>
        <v>1900</v>
      </c>
      <c r="AV567">
        <f t="shared" si="222"/>
        <v>0</v>
      </c>
      <c r="AW567">
        <f t="shared" si="223"/>
        <v>0</v>
      </c>
    </row>
    <row r="568" spans="4:49" ht="15.75" x14ac:dyDescent="0.25">
      <c r="D568" s="199"/>
      <c r="E568" s="200"/>
      <c r="F568" s="287"/>
      <c r="G568" s="201"/>
      <c r="H568" s="219"/>
      <c r="I568" s="202"/>
      <c r="J568" s="200"/>
      <c r="K568" s="200"/>
      <c r="L568" s="203"/>
      <c r="M568" s="204">
        <f ca="1">IF(ISERROR(OFFSET(Tabella!$A$1,MATCH(J568,Tabella!$A:$A,0)-1,MATCH(L568,Tabella!$A$1:$AC$1,0)-1)=TRUE),0,+OFFSET(Tabella!$A$1,MATCH(J568,Tabella!$A:$A,0)-1,MATCH(L568,Tabella!$A$1:$AC$1,0)-1))</f>
        <v>0</v>
      </c>
      <c r="N568" s="205">
        <f ca="1">IF(ISERROR(OFFSET(Ottone!$A$1,MATCH(J568,Ottone!$A:$A,0)-1,MATCH(L568,Ottone!$A$1:$Z$1,0)-1)=TRUE),0,OFFSET(Ottone!$A$1,MATCH(J568,Ottone!$A:$A,0)-1,MATCH(L568,Ottone!$A$1:$Z$1,0)-1))*IF(G568="Ottone",1,0)</f>
        <v>0</v>
      </c>
      <c r="O568" s="205">
        <f ca="1">IF(ISERROR(OFFSET(Rame!$A$1,MATCH(J568,Rame!$A:$A,0)-1,MATCH(L568,Rame!$A$1:$AA$1,0)-1)=TRUE),0,OFFSET(Rame!$A$1,MATCH(J568,Rame!$A:$A,0)-1,MATCH(L568,Rame!$A$1:$AA$1,0)-1))*IF(G568="Rame",1,0)</f>
        <v>0</v>
      </c>
      <c r="P568" s="205">
        <v>0</v>
      </c>
      <c r="Q568" s="205">
        <f t="shared" ca="1" si="213"/>
        <v>0</v>
      </c>
      <c r="R568" s="205">
        <f ca="1">+IF(ISERROR(OFFSET(Tabella!$G$1,MATCH(J568,Tabella!$G:$G,0)-1,MATCH(K568,Tabella!$G$1:$FG$1,0)-1)=TRUE),0,OFFSET(Tabella!$G$1,MATCH(J568,Tabella!$G:$G,0)-1,MATCH(K568,Tabella!$G$1:$AB$1,0)-1))</f>
        <v>0</v>
      </c>
      <c r="S568" s="205">
        <f ca="1">IF(ISERROR(OFFSET(Ottone!$F$1,MATCH(J568,Ottone!$A:$A,0)-1,MATCH(K568,Ottone!$F$1:$FF$1,0)-1)=TRUE),0,OFFSET(Ottone!$F$1,MATCH(J568,Ottone!$A:$A,0)-1,MATCH(K568,Ottone!$F$1:$FF$1,0)-1))*IF(G568="Ottone",1,0)</f>
        <v>0</v>
      </c>
      <c r="T568" s="205">
        <f ca="1">IF(ISERROR(OFFSET(Rame!$F$1,MATCH(J568,Rame!$F:$F,0)-1,MATCH(K568,Rame!$F$1:$FF$1,0)-1)=TRUE),0,OFFSET(Rame!$F$1,MATCH(J568,Rame!$F:$F,0)-1,MATCH(K568,Rame!$F$1:$FF$1,0)-1))*IF(G568="Rame",1,0)</f>
        <v>0</v>
      </c>
      <c r="U568" s="205">
        <f ca="1">IF(ISERROR(OFFSET(Bronzo!$A$1,MATCH(J568,Bronzo!$A:$A,0)-1,MATCH(K568,Bronzo!$A$1:$AA$1,0)-1)=TRUE),0,OFFSET(Bronzo!$A$1,MATCH(J568,Bronzo!$A:$A,0)-1,MATCH(K568,Bronzo!$A$1:$AA$1,0)-1))</f>
        <v>0</v>
      </c>
      <c r="V568" s="205">
        <f t="shared" ca="1" si="214"/>
        <v>0</v>
      </c>
      <c r="W568" s="204"/>
      <c r="X568" s="205">
        <v>0</v>
      </c>
      <c r="Y568" s="206">
        <f t="shared" ca="1" si="215"/>
        <v>0</v>
      </c>
      <c r="Z568" s="277">
        <f t="shared" si="216"/>
        <v>0</v>
      </c>
      <c r="AA568" s="203"/>
      <c r="AB568" s="203">
        <f t="shared" ca="1" si="217"/>
        <v>0</v>
      </c>
      <c r="AC568" s="238"/>
      <c r="AI568" s="367">
        <f t="shared" ca="1" si="212"/>
        <v>46092</v>
      </c>
      <c r="AJ568" s="367" t="b">
        <f t="shared" si="218"/>
        <v>1</v>
      </c>
      <c r="AK568" s="370" t="str">
        <f t="shared" si="219"/>
        <v/>
      </c>
      <c r="AN568">
        <f t="shared" si="220"/>
        <v>0</v>
      </c>
      <c r="AO568">
        <f t="shared" si="221"/>
        <v>1900</v>
      </c>
      <c r="AV568">
        <f t="shared" si="222"/>
        <v>0</v>
      </c>
      <c r="AW568">
        <f t="shared" si="223"/>
        <v>0</v>
      </c>
    </row>
    <row r="569" spans="4:49" ht="15.75" x14ac:dyDescent="0.25">
      <c r="D569" s="199"/>
      <c r="E569" s="200"/>
      <c r="F569" s="287"/>
      <c r="G569" s="201"/>
      <c r="H569" s="219"/>
      <c r="I569" s="202"/>
      <c r="J569" s="200"/>
      <c r="K569" s="200"/>
      <c r="L569" s="203"/>
      <c r="M569" s="204">
        <f ca="1">IF(ISERROR(OFFSET(Tabella!$A$1,MATCH(J569,Tabella!$A:$A,0)-1,MATCH(L569,Tabella!$A$1:$AC$1,0)-1)=TRUE),0,+OFFSET(Tabella!$A$1,MATCH(J569,Tabella!$A:$A,0)-1,MATCH(L569,Tabella!$A$1:$AC$1,0)-1))</f>
        <v>0</v>
      </c>
      <c r="N569" s="205">
        <f ca="1">IF(ISERROR(OFFSET(Ottone!$A$1,MATCH(J569,Ottone!$A:$A,0)-1,MATCH(L569,Ottone!$A$1:$Z$1,0)-1)=TRUE),0,OFFSET(Ottone!$A$1,MATCH(J569,Ottone!$A:$A,0)-1,MATCH(L569,Ottone!$A$1:$Z$1,0)-1))*IF(G569="Ottone",1,0)</f>
        <v>0</v>
      </c>
      <c r="O569" s="205">
        <f ca="1">IF(ISERROR(OFFSET(Rame!$A$1,MATCH(J569,Rame!$A:$A,0)-1,MATCH(L569,Rame!$A$1:$AA$1,0)-1)=TRUE),0,OFFSET(Rame!$A$1,MATCH(J569,Rame!$A:$A,0)-1,MATCH(L569,Rame!$A$1:$AA$1,0)-1))*IF(G569="Rame",1,0)</f>
        <v>0</v>
      </c>
      <c r="P569" s="205">
        <v>0</v>
      </c>
      <c r="Q569" s="205">
        <f t="shared" ca="1" si="213"/>
        <v>0</v>
      </c>
      <c r="R569" s="205">
        <f ca="1">+IF(ISERROR(OFFSET(Tabella!$G$1,MATCH(J569,Tabella!$G:$G,0)-1,MATCH(K569,Tabella!$G$1:$FG$1,0)-1)=TRUE),0,OFFSET(Tabella!$G$1,MATCH(J569,Tabella!$G:$G,0)-1,MATCH(K569,Tabella!$G$1:$AB$1,0)-1))</f>
        <v>0</v>
      </c>
      <c r="S569" s="205">
        <f ca="1">IF(ISERROR(OFFSET(Ottone!$F$1,MATCH(J569,Ottone!$A:$A,0)-1,MATCH(K569,Ottone!$F$1:$FF$1,0)-1)=TRUE),0,OFFSET(Ottone!$F$1,MATCH(J569,Ottone!$A:$A,0)-1,MATCH(K569,Ottone!$F$1:$FF$1,0)-1))*IF(G569="Ottone",1,0)</f>
        <v>0</v>
      </c>
      <c r="T569" s="205">
        <f ca="1">IF(ISERROR(OFFSET(Rame!$F$1,MATCH(J569,Rame!$F:$F,0)-1,MATCH(K569,Rame!$F$1:$FF$1,0)-1)=TRUE),0,OFFSET(Rame!$F$1,MATCH(J569,Rame!$F:$F,0)-1,MATCH(K569,Rame!$F$1:$FF$1,0)-1))*IF(G569="Rame",1,0)</f>
        <v>0</v>
      </c>
      <c r="U569" s="205">
        <f ca="1">IF(ISERROR(OFFSET(Bronzo!$A$1,MATCH(J569,Bronzo!$A:$A,0)-1,MATCH(K569,Bronzo!$A$1:$AA$1,0)-1)=TRUE),0,OFFSET(Bronzo!$A$1,MATCH(J569,Bronzo!$A:$A,0)-1,MATCH(K569,Bronzo!$A$1:$AA$1,0)-1))</f>
        <v>0</v>
      </c>
      <c r="V569" s="205">
        <f t="shared" ca="1" si="214"/>
        <v>0</v>
      </c>
      <c r="W569" s="204"/>
      <c r="X569" s="205">
        <v>0</v>
      </c>
      <c r="Y569" s="206">
        <f t="shared" ca="1" si="215"/>
        <v>0</v>
      </c>
      <c r="Z569" s="277">
        <f t="shared" si="216"/>
        <v>0</v>
      </c>
      <c r="AA569" s="203"/>
      <c r="AB569" s="203">
        <f t="shared" ca="1" si="217"/>
        <v>0</v>
      </c>
      <c r="AC569" s="238"/>
      <c r="AI569" s="367">
        <f t="shared" ca="1" si="212"/>
        <v>46092</v>
      </c>
      <c r="AJ569" s="367" t="b">
        <f t="shared" si="218"/>
        <v>1</v>
      </c>
      <c r="AK569" s="370" t="str">
        <f t="shared" si="219"/>
        <v/>
      </c>
      <c r="AN569">
        <f t="shared" si="220"/>
        <v>0</v>
      </c>
      <c r="AO569">
        <f t="shared" si="221"/>
        <v>1900</v>
      </c>
      <c r="AV569">
        <f t="shared" si="222"/>
        <v>0</v>
      </c>
      <c r="AW569">
        <f t="shared" si="223"/>
        <v>0</v>
      </c>
    </row>
    <row r="570" spans="4:49" ht="15.75" x14ac:dyDescent="0.25">
      <c r="D570" s="199"/>
      <c r="E570" s="200"/>
      <c r="F570" s="287"/>
      <c r="G570" s="201"/>
      <c r="H570" s="219"/>
      <c r="I570" s="202"/>
      <c r="J570" s="200"/>
      <c r="K570" s="200"/>
      <c r="L570" s="203"/>
      <c r="M570" s="204">
        <f ca="1">IF(ISERROR(OFFSET(Tabella!$A$1,MATCH(J570,Tabella!$A:$A,0)-1,MATCH(L570,Tabella!$A$1:$AC$1,0)-1)=TRUE),0,+OFFSET(Tabella!$A$1,MATCH(J570,Tabella!$A:$A,0)-1,MATCH(L570,Tabella!$A$1:$AC$1,0)-1))</f>
        <v>0</v>
      </c>
      <c r="N570" s="205">
        <f ca="1">IF(ISERROR(OFFSET(Ottone!$A$1,MATCH(J570,Ottone!$A:$A,0)-1,MATCH(L570,Ottone!$A$1:$Z$1,0)-1)=TRUE),0,OFFSET(Ottone!$A$1,MATCH(J570,Ottone!$A:$A,0)-1,MATCH(L570,Ottone!$A$1:$Z$1,0)-1))*IF(G570="Ottone",1,0)</f>
        <v>0</v>
      </c>
      <c r="O570" s="205">
        <f ca="1">IF(ISERROR(OFFSET(Rame!$A$1,MATCH(J570,Rame!$A:$A,0)-1,MATCH(L570,Rame!$A$1:$AA$1,0)-1)=TRUE),0,OFFSET(Rame!$A$1,MATCH(J570,Rame!$A:$A,0)-1,MATCH(L570,Rame!$A$1:$AA$1,0)-1))*IF(G570="Rame",1,0)</f>
        <v>0</v>
      </c>
      <c r="P570" s="205">
        <v>0</v>
      </c>
      <c r="Q570" s="205">
        <f t="shared" ca="1" si="213"/>
        <v>0</v>
      </c>
      <c r="R570" s="205">
        <f ca="1">+IF(ISERROR(OFFSET(Tabella!$G$1,MATCH(J570,Tabella!$G:$G,0)-1,MATCH(K570,Tabella!$G$1:$FG$1,0)-1)=TRUE),0,OFFSET(Tabella!$G$1,MATCH(J570,Tabella!$G:$G,0)-1,MATCH(K570,Tabella!$G$1:$AB$1,0)-1))</f>
        <v>0</v>
      </c>
      <c r="S570" s="205">
        <f ca="1">IF(ISERROR(OFFSET(Ottone!$F$1,MATCH(J570,Ottone!$A:$A,0)-1,MATCH(K570,Ottone!$F$1:$FF$1,0)-1)=TRUE),0,OFFSET(Ottone!$F$1,MATCH(J570,Ottone!$A:$A,0)-1,MATCH(K570,Ottone!$F$1:$FF$1,0)-1))*IF(G570="Ottone",1,0)</f>
        <v>0</v>
      </c>
      <c r="T570" s="205">
        <f ca="1">IF(ISERROR(OFFSET(Rame!$F$1,MATCH(J570,Rame!$F:$F,0)-1,MATCH(K570,Rame!$F$1:$FF$1,0)-1)=TRUE),0,OFFSET(Rame!$F$1,MATCH(J570,Rame!$F:$F,0)-1,MATCH(K570,Rame!$F$1:$FF$1,0)-1))*IF(G570="Rame",1,0)</f>
        <v>0</v>
      </c>
      <c r="U570" s="205">
        <f ca="1">IF(ISERROR(OFFSET(Bronzo!$A$1,MATCH(J570,Bronzo!$A:$A,0)-1,MATCH(K570,Bronzo!$A$1:$AA$1,0)-1)=TRUE),0,OFFSET(Bronzo!$A$1,MATCH(J570,Bronzo!$A:$A,0)-1,MATCH(K570,Bronzo!$A$1:$AA$1,0)-1))</f>
        <v>0</v>
      </c>
      <c r="V570" s="205">
        <f t="shared" ca="1" si="214"/>
        <v>0</v>
      </c>
      <c r="W570" s="204"/>
      <c r="X570" s="205">
        <v>0</v>
      </c>
      <c r="Y570" s="206">
        <f t="shared" ca="1" si="215"/>
        <v>0</v>
      </c>
      <c r="Z570" s="277">
        <f t="shared" si="216"/>
        <v>0</v>
      </c>
      <c r="AA570" s="203"/>
      <c r="AB570" s="203">
        <f t="shared" ca="1" si="217"/>
        <v>0</v>
      </c>
      <c r="AC570" s="238"/>
      <c r="AI570" s="367">
        <f t="shared" ca="1" si="212"/>
        <v>46092</v>
      </c>
      <c r="AJ570" s="367" t="b">
        <f t="shared" si="218"/>
        <v>1</v>
      </c>
      <c r="AK570" s="370" t="str">
        <f t="shared" si="219"/>
        <v/>
      </c>
      <c r="AN570">
        <f t="shared" si="220"/>
        <v>0</v>
      </c>
      <c r="AO570">
        <f t="shared" si="221"/>
        <v>1900</v>
      </c>
      <c r="AV570">
        <f t="shared" si="222"/>
        <v>0</v>
      </c>
      <c r="AW570">
        <f t="shared" si="223"/>
        <v>0</v>
      </c>
    </row>
    <row r="571" spans="4:49" ht="15.75" x14ac:dyDescent="0.25">
      <c r="D571" s="199"/>
      <c r="E571" s="200"/>
      <c r="F571" s="287"/>
      <c r="G571" s="201"/>
      <c r="H571" s="219"/>
      <c r="I571" s="202"/>
      <c r="J571" s="200"/>
      <c r="K571" s="200"/>
      <c r="L571" s="203"/>
      <c r="M571" s="204">
        <f ca="1">IF(ISERROR(OFFSET(Tabella!$A$1,MATCH(J571,Tabella!$A:$A,0)-1,MATCH(L571,Tabella!$A$1:$AC$1,0)-1)=TRUE),0,+OFFSET(Tabella!$A$1,MATCH(J571,Tabella!$A:$A,0)-1,MATCH(L571,Tabella!$A$1:$AC$1,0)-1))</f>
        <v>0</v>
      </c>
      <c r="N571" s="205">
        <f ca="1">IF(ISERROR(OFFSET(Ottone!$A$1,MATCH(J571,Ottone!$A:$A,0)-1,MATCH(L571,Ottone!$A$1:$Z$1,0)-1)=TRUE),0,OFFSET(Ottone!$A$1,MATCH(J571,Ottone!$A:$A,0)-1,MATCH(L571,Ottone!$A$1:$Z$1,0)-1))*IF(G571="Ottone",1,0)</f>
        <v>0</v>
      </c>
      <c r="O571" s="205">
        <f ca="1">IF(ISERROR(OFFSET(Rame!$A$1,MATCH(J571,Rame!$A:$A,0)-1,MATCH(L571,Rame!$A$1:$AA$1,0)-1)=TRUE),0,OFFSET(Rame!$A$1,MATCH(J571,Rame!$A:$A,0)-1,MATCH(L571,Rame!$A$1:$AA$1,0)-1))*IF(G571="Rame",1,0)</f>
        <v>0</v>
      </c>
      <c r="P571" s="205">
        <v>0</v>
      </c>
      <c r="Q571" s="205">
        <f t="shared" ca="1" si="213"/>
        <v>0</v>
      </c>
      <c r="R571" s="205">
        <f ca="1">+IF(ISERROR(OFFSET(Tabella!$G$1,MATCH(J571,Tabella!$G:$G,0)-1,MATCH(K571,Tabella!$G$1:$FG$1,0)-1)=TRUE),0,OFFSET(Tabella!$G$1,MATCH(J571,Tabella!$G:$G,0)-1,MATCH(K571,Tabella!$G$1:$AB$1,0)-1))</f>
        <v>0</v>
      </c>
      <c r="S571" s="205">
        <f ca="1">IF(ISERROR(OFFSET(Ottone!$F$1,MATCH(J571,Ottone!$A:$A,0)-1,MATCH(K571,Ottone!$F$1:$FF$1,0)-1)=TRUE),0,OFFSET(Ottone!$F$1,MATCH(J571,Ottone!$A:$A,0)-1,MATCH(K571,Ottone!$F$1:$FF$1,0)-1))*IF(G571="Ottone",1,0)</f>
        <v>0</v>
      </c>
      <c r="T571" s="205">
        <f ca="1">IF(ISERROR(OFFSET(Rame!$F$1,MATCH(J571,Rame!$F:$F,0)-1,MATCH(K571,Rame!$F$1:$FF$1,0)-1)=TRUE),0,OFFSET(Rame!$F$1,MATCH(J571,Rame!$F:$F,0)-1,MATCH(K571,Rame!$F$1:$FF$1,0)-1))*IF(G571="Rame",1,0)</f>
        <v>0</v>
      </c>
      <c r="U571" s="205">
        <f ca="1">IF(ISERROR(OFFSET(Bronzo!$A$1,MATCH(J571,Bronzo!$A:$A,0)-1,MATCH(K571,Bronzo!$A$1:$AA$1,0)-1)=TRUE),0,OFFSET(Bronzo!$A$1,MATCH(J571,Bronzo!$A:$A,0)-1,MATCH(K571,Bronzo!$A$1:$AA$1,0)-1))</f>
        <v>0</v>
      </c>
      <c r="V571" s="205">
        <f t="shared" ca="1" si="214"/>
        <v>0</v>
      </c>
      <c r="W571" s="204"/>
      <c r="X571" s="205">
        <v>0</v>
      </c>
      <c r="Y571" s="206">
        <f t="shared" ca="1" si="215"/>
        <v>0</v>
      </c>
      <c r="Z571" s="277">
        <f t="shared" si="216"/>
        <v>0</v>
      </c>
      <c r="AA571" s="203"/>
      <c r="AB571" s="203">
        <f t="shared" ca="1" si="217"/>
        <v>0</v>
      </c>
      <c r="AC571" s="238"/>
      <c r="AI571" s="367">
        <f t="shared" ca="1" si="212"/>
        <v>46092</v>
      </c>
      <c r="AJ571" s="367" t="b">
        <f t="shared" si="218"/>
        <v>1</v>
      </c>
      <c r="AK571" s="370" t="str">
        <f t="shared" si="219"/>
        <v/>
      </c>
      <c r="AN571">
        <f t="shared" si="220"/>
        <v>0</v>
      </c>
      <c r="AO571">
        <f t="shared" si="221"/>
        <v>1900</v>
      </c>
      <c r="AV571">
        <f t="shared" si="222"/>
        <v>0</v>
      </c>
      <c r="AW571">
        <f t="shared" si="223"/>
        <v>0</v>
      </c>
    </row>
    <row r="572" spans="4:49" ht="15.75" x14ac:dyDescent="0.25">
      <c r="D572" s="199"/>
      <c r="E572" s="200"/>
      <c r="F572" s="287"/>
      <c r="G572" s="201"/>
      <c r="H572" s="219"/>
      <c r="I572" s="202"/>
      <c r="J572" s="200"/>
      <c r="K572" s="200"/>
      <c r="L572" s="203"/>
      <c r="M572" s="204">
        <f ca="1">IF(ISERROR(OFFSET(Tabella!$A$1,MATCH(J572,Tabella!$A:$A,0)-1,MATCH(L572,Tabella!$A$1:$AC$1,0)-1)=TRUE),0,+OFFSET(Tabella!$A$1,MATCH(J572,Tabella!$A:$A,0)-1,MATCH(L572,Tabella!$A$1:$AC$1,0)-1))</f>
        <v>0</v>
      </c>
      <c r="N572" s="205">
        <f ca="1">IF(ISERROR(OFFSET(Ottone!$A$1,MATCH(J572,Ottone!$A:$A,0)-1,MATCH(L572,Ottone!$A$1:$Z$1,0)-1)=TRUE),0,OFFSET(Ottone!$A$1,MATCH(J572,Ottone!$A:$A,0)-1,MATCH(L572,Ottone!$A$1:$Z$1,0)-1))*IF(G572="Ottone",1,0)</f>
        <v>0</v>
      </c>
      <c r="O572" s="205">
        <f ca="1">IF(ISERROR(OFFSET(Rame!$A$1,MATCH(J572,Rame!$A:$A,0)-1,MATCH(L572,Rame!$A$1:$AA$1,0)-1)=TRUE),0,OFFSET(Rame!$A$1,MATCH(J572,Rame!$A:$A,0)-1,MATCH(L572,Rame!$A$1:$AA$1,0)-1))*IF(G572="Rame",1,0)</f>
        <v>0</v>
      </c>
      <c r="P572" s="205">
        <v>0</v>
      </c>
      <c r="Q572" s="205">
        <f t="shared" ca="1" si="213"/>
        <v>0</v>
      </c>
      <c r="R572" s="205">
        <f ca="1">+IF(ISERROR(OFFSET(Tabella!$G$1,MATCH(J572,Tabella!$G:$G,0)-1,MATCH(K572,Tabella!$G$1:$FG$1,0)-1)=TRUE),0,OFFSET(Tabella!$G$1,MATCH(J572,Tabella!$G:$G,0)-1,MATCH(K572,Tabella!$G$1:$AB$1,0)-1))</f>
        <v>0</v>
      </c>
      <c r="S572" s="205">
        <f ca="1">IF(ISERROR(OFFSET(Ottone!$F$1,MATCH(J572,Ottone!$A:$A,0)-1,MATCH(K572,Ottone!$F$1:$FF$1,0)-1)=TRUE),0,OFFSET(Ottone!$F$1,MATCH(J572,Ottone!$A:$A,0)-1,MATCH(K572,Ottone!$F$1:$FF$1,0)-1))*IF(G572="Ottone",1,0)</f>
        <v>0</v>
      </c>
      <c r="T572" s="205">
        <f ca="1">IF(ISERROR(OFFSET(Rame!$F$1,MATCH(J572,Rame!$F:$F,0)-1,MATCH(K572,Rame!$F$1:$FF$1,0)-1)=TRUE),0,OFFSET(Rame!$F$1,MATCH(J572,Rame!$F:$F,0)-1,MATCH(K572,Rame!$F$1:$FF$1,0)-1))*IF(G572="Rame",1,0)</f>
        <v>0</v>
      </c>
      <c r="U572" s="205">
        <f ca="1">IF(ISERROR(OFFSET(Bronzo!$A$1,MATCH(J572,Bronzo!$A:$A,0)-1,MATCH(K572,Bronzo!$A$1:$AA$1,0)-1)=TRUE),0,OFFSET(Bronzo!$A$1,MATCH(J572,Bronzo!$A:$A,0)-1,MATCH(K572,Bronzo!$A$1:$AA$1,0)-1))</f>
        <v>0</v>
      </c>
      <c r="V572" s="205">
        <f t="shared" ca="1" si="214"/>
        <v>0</v>
      </c>
      <c r="W572" s="204"/>
      <c r="X572" s="205">
        <v>0</v>
      </c>
      <c r="Y572" s="206">
        <f t="shared" ca="1" si="215"/>
        <v>0</v>
      </c>
      <c r="Z572" s="277">
        <f t="shared" si="216"/>
        <v>0</v>
      </c>
      <c r="AA572" s="203"/>
      <c r="AB572" s="203">
        <f t="shared" ca="1" si="217"/>
        <v>0</v>
      </c>
      <c r="AC572" s="238"/>
      <c r="AI572" s="367">
        <f t="shared" ca="1" si="212"/>
        <v>46092</v>
      </c>
      <c r="AJ572" s="367" t="b">
        <f t="shared" si="218"/>
        <v>1</v>
      </c>
      <c r="AK572" s="370" t="str">
        <f t="shared" si="219"/>
        <v/>
      </c>
      <c r="AN572">
        <f t="shared" si="220"/>
        <v>0</v>
      </c>
      <c r="AO572">
        <f t="shared" si="221"/>
        <v>1900</v>
      </c>
      <c r="AV572">
        <f t="shared" si="222"/>
        <v>0</v>
      </c>
      <c r="AW572">
        <f t="shared" si="223"/>
        <v>0</v>
      </c>
    </row>
    <row r="573" spans="4:49" ht="15.75" x14ac:dyDescent="0.25">
      <c r="D573" s="199"/>
      <c r="E573" s="200"/>
      <c r="F573" s="287"/>
      <c r="G573" s="201"/>
      <c r="H573" s="219"/>
      <c r="I573" s="202"/>
      <c r="J573" s="200"/>
      <c r="K573" s="200"/>
      <c r="L573" s="203"/>
      <c r="M573" s="204">
        <f ca="1">IF(ISERROR(OFFSET(Tabella!$A$1,MATCH(J573,Tabella!$A:$A,0)-1,MATCH(L573,Tabella!$A$1:$AC$1,0)-1)=TRUE),0,+OFFSET(Tabella!$A$1,MATCH(J573,Tabella!$A:$A,0)-1,MATCH(L573,Tabella!$A$1:$AC$1,0)-1))</f>
        <v>0</v>
      </c>
      <c r="N573" s="205">
        <f ca="1">IF(ISERROR(OFFSET(Ottone!$A$1,MATCH(J573,Ottone!$A:$A,0)-1,MATCH(L573,Ottone!$A$1:$Z$1,0)-1)=TRUE),0,OFFSET(Ottone!$A$1,MATCH(J573,Ottone!$A:$A,0)-1,MATCH(L573,Ottone!$A$1:$Z$1,0)-1))*IF(G573="Ottone",1,0)</f>
        <v>0</v>
      </c>
      <c r="O573" s="205">
        <f ca="1">IF(ISERROR(OFFSET(Rame!$A$1,MATCH(J573,Rame!$A:$A,0)-1,MATCH(L573,Rame!$A$1:$AA$1,0)-1)=TRUE),0,OFFSET(Rame!$A$1,MATCH(J573,Rame!$A:$A,0)-1,MATCH(L573,Rame!$A$1:$AA$1,0)-1))*IF(G573="Rame",1,0)</f>
        <v>0</v>
      </c>
      <c r="P573" s="205">
        <v>0</v>
      </c>
      <c r="Q573" s="205">
        <f t="shared" ca="1" si="213"/>
        <v>0</v>
      </c>
      <c r="R573" s="205">
        <f ca="1">+IF(ISERROR(OFFSET(Tabella!$G$1,MATCH(J573,Tabella!$G:$G,0)-1,MATCH(K573,Tabella!$G$1:$FG$1,0)-1)=TRUE),0,OFFSET(Tabella!$G$1,MATCH(J573,Tabella!$G:$G,0)-1,MATCH(K573,Tabella!$G$1:$AB$1,0)-1))</f>
        <v>0</v>
      </c>
      <c r="S573" s="205">
        <f ca="1">IF(ISERROR(OFFSET(Ottone!$F$1,MATCH(J573,Ottone!$A:$A,0)-1,MATCH(K573,Ottone!$F$1:$FF$1,0)-1)=TRUE),0,OFFSET(Ottone!$F$1,MATCH(J573,Ottone!$A:$A,0)-1,MATCH(K573,Ottone!$F$1:$FF$1,0)-1))*IF(G573="Ottone",1,0)</f>
        <v>0</v>
      </c>
      <c r="T573" s="205">
        <f ca="1">IF(ISERROR(OFFSET(Rame!$F$1,MATCH(J573,Rame!$F:$F,0)-1,MATCH(K573,Rame!$F$1:$FF$1,0)-1)=TRUE),0,OFFSET(Rame!$F$1,MATCH(J573,Rame!$F:$F,0)-1,MATCH(K573,Rame!$F$1:$FF$1,0)-1))*IF(G573="Rame",1,0)</f>
        <v>0</v>
      </c>
      <c r="U573" s="205">
        <f ca="1">IF(ISERROR(OFFSET(Bronzo!$A$1,MATCH(J573,Bronzo!$A:$A,0)-1,MATCH(K573,Bronzo!$A$1:$AA$1,0)-1)=TRUE),0,OFFSET(Bronzo!$A$1,MATCH(J573,Bronzo!$A:$A,0)-1,MATCH(K573,Bronzo!$A$1:$AA$1,0)-1))</f>
        <v>0</v>
      </c>
      <c r="V573" s="205">
        <f t="shared" ca="1" si="214"/>
        <v>0</v>
      </c>
      <c r="W573" s="204"/>
      <c r="X573" s="205">
        <v>0</v>
      </c>
      <c r="Y573" s="206">
        <f t="shared" ca="1" si="215"/>
        <v>0</v>
      </c>
      <c r="Z573" s="277">
        <f t="shared" si="216"/>
        <v>0</v>
      </c>
      <c r="AA573" s="203"/>
      <c r="AB573" s="203">
        <f t="shared" ca="1" si="217"/>
        <v>0</v>
      </c>
      <c r="AC573" s="238"/>
      <c r="AI573" s="367">
        <f t="shared" ca="1" si="212"/>
        <v>46092</v>
      </c>
      <c r="AJ573" s="367" t="b">
        <f t="shared" si="218"/>
        <v>1</v>
      </c>
      <c r="AK573" s="370" t="str">
        <f t="shared" si="219"/>
        <v/>
      </c>
      <c r="AN573">
        <f t="shared" si="220"/>
        <v>0</v>
      </c>
      <c r="AO573">
        <f t="shared" si="221"/>
        <v>1900</v>
      </c>
      <c r="AV573">
        <f t="shared" si="222"/>
        <v>0</v>
      </c>
      <c r="AW573">
        <f t="shared" si="223"/>
        <v>0</v>
      </c>
    </row>
    <row r="574" spans="4:49" ht="15.75" x14ac:dyDescent="0.25">
      <c r="D574" s="199"/>
      <c r="E574" s="200"/>
      <c r="F574" s="287"/>
      <c r="G574" s="201"/>
      <c r="H574" s="219"/>
      <c r="I574" s="202"/>
      <c r="J574" s="200"/>
      <c r="K574" s="200"/>
      <c r="L574" s="203"/>
      <c r="M574" s="204">
        <f ca="1">IF(ISERROR(OFFSET(Tabella!$A$1,MATCH(J574,Tabella!$A:$A,0)-1,MATCH(L574,Tabella!$A$1:$AC$1,0)-1)=TRUE),0,+OFFSET(Tabella!$A$1,MATCH(J574,Tabella!$A:$A,0)-1,MATCH(L574,Tabella!$A$1:$AC$1,0)-1))</f>
        <v>0</v>
      </c>
      <c r="N574" s="205">
        <f ca="1">IF(ISERROR(OFFSET(Ottone!$A$1,MATCH(J574,Ottone!$A:$A,0)-1,MATCH(L574,Ottone!$A$1:$Z$1,0)-1)=TRUE),0,OFFSET(Ottone!$A$1,MATCH(J574,Ottone!$A:$A,0)-1,MATCH(L574,Ottone!$A$1:$Z$1,0)-1))*IF(G574="Ottone",1,0)</f>
        <v>0</v>
      </c>
      <c r="O574" s="205">
        <f ca="1">IF(ISERROR(OFFSET(Rame!$A$1,MATCH(J574,Rame!$A:$A,0)-1,MATCH(L574,Rame!$A$1:$AA$1,0)-1)=TRUE),0,OFFSET(Rame!$A$1,MATCH(J574,Rame!$A:$A,0)-1,MATCH(L574,Rame!$A$1:$AA$1,0)-1))*IF(G574="Rame",1,0)</f>
        <v>0</v>
      </c>
      <c r="P574" s="205">
        <v>0</v>
      </c>
      <c r="Q574" s="205">
        <f t="shared" ca="1" si="213"/>
        <v>0</v>
      </c>
      <c r="R574" s="205">
        <f ca="1">+IF(ISERROR(OFFSET(Tabella!$G$1,MATCH(J574,Tabella!$G:$G,0)-1,MATCH(K574,Tabella!$G$1:$FG$1,0)-1)=TRUE),0,OFFSET(Tabella!$G$1,MATCH(J574,Tabella!$G:$G,0)-1,MATCH(K574,Tabella!$G$1:$AB$1,0)-1))</f>
        <v>0</v>
      </c>
      <c r="S574" s="205">
        <f ca="1">IF(ISERROR(OFFSET(Ottone!$F$1,MATCH(J574,Ottone!$A:$A,0)-1,MATCH(K574,Ottone!$F$1:$FF$1,0)-1)=TRUE),0,OFFSET(Ottone!$F$1,MATCH(J574,Ottone!$A:$A,0)-1,MATCH(K574,Ottone!$F$1:$FF$1,0)-1))*IF(G574="Ottone",1,0)</f>
        <v>0</v>
      </c>
      <c r="T574" s="205">
        <f ca="1">IF(ISERROR(OFFSET(Rame!$F$1,MATCH(J574,Rame!$F:$F,0)-1,MATCH(K574,Rame!$F$1:$FF$1,0)-1)=TRUE),0,OFFSET(Rame!$F$1,MATCH(J574,Rame!$F:$F,0)-1,MATCH(K574,Rame!$F$1:$FF$1,0)-1))*IF(G574="Rame",1,0)</f>
        <v>0</v>
      </c>
      <c r="U574" s="205">
        <f ca="1">IF(ISERROR(OFFSET(Bronzo!$A$1,MATCH(J574,Bronzo!$A:$A,0)-1,MATCH(K574,Bronzo!$A$1:$AA$1,0)-1)=TRUE),0,OFFSET(Bronzo!$A$1,MATCH(J574,Bronzo!$A:$A,0)-1,MATCH(K574,Bronzo!$A$1:$AA$1,0)-1))</f>
        <v>0</v>
      </c>
      <c r="V574" s="205">
        <f t="shared" ca="1" si="214"/>
        <v>0</v>
      </c>
      <c r="W574" s="204"/>
      <c r="X574" s="205">
        <v>0</v>
      </c>
      <c r="Y574" s="206">
        <f t="shared" ca="1" si="215"/>
        <v>0</v>
      </c>
      <c r="Z574" s="277">
        <f t="shared" si="216"/>
        <v>0</v>
      </c>
      <c r="AA574" s="203"/>
      <c r="AB574" s="203">
        <f t="shared" ca="1" si="217"/>
        <v>0</v>
      </c>
      <c r="AC574" s="238"/>
      <c r="AI574" s="367">
        <f t="shared" ca="1" si="212"/>
        <v>46092</v>
      </c>
      <c r="AJ574" s="367" t="b">
        <f t="shared" si="218"/>
        <v>1</v>
      </c>
      <c r="AK574" s="370" t="str">
        <f t="shared" si="219"/>
        <v/>
      </c>
      <c r="AN574">
        <f t="shared" si="220"/>
        <v>0</v>
      </c>
      <c r="AO574">
        <f t="shared" si="221"/>
        <v>1900</v>
      </c>
      <c r="AV574">
        <f t="shared" si="222"/>
        <v>0</v>
      </c>
      <c r="AW574">
        <f t="shared" si="223"/>
        <v>0</v>
      </c>
    </row>
    <row r="575" spans="4:49" ht="15.75" x14ac:dyDescent="0.25">
      <c r="D575" s="199"/>
      <c r="E575" s="200"/>
      <c r="F575" s="287"/>
      <c r="G575" s="201"/>
      <c r="H575" s="219"/>
      <c r="I575" s="202"/>
      <c r="J575" s="200"/>
      <c r="K575" s="200"/>
      <c r="L575" s="203"/>
      <c r="M575" s="204">
        <f ca="1">IF(ISERROR(OFFSET(Tabella!$A$1,MATCH(J575,Tabella!$A:$A,0)-1,MATCH(L575,Tabella!$A$1:$AC$1,0)-1)=TRUE),0,+OFFSET(Tabella!$A$1,MATCH(J575,Tabella!$A:$A,0)-1,MATCH(L575,Tabella!$A$1:$AC$1,0)-1))</f>
        <v>0</v>
      </c>
      <c r="N575" s="205">
        <f ca="1">IF(ISERROR(OFFSET(Ottone!$A$1,MATCH(J575,Ottone!$A:$A,0)-1,MATCH(L575,Ottone!$A$1:$Z$1,0)-1)=TRUE),0,OFFSET(Ottone!$A$1,MATCH(J575,Ottone!$A:$A,0)-1,MATCH(L575,Ottone!$A$1:$Z$1,0)-1))*IF(G575="Ottone",1,0)</f>
        <v>0</v>
      </c>
      <c r="O575" s="205">
        <f ca="1">IF(ISERROR(OFFSET(Rame!$A$1,MATCH(J575,Rame!$A:$A,0)-1,MATCH(L575,Rame!$A$1:$AA$1,0)-1)=TRUE),0,OFFSET(Rame!$A$1,MATCH(J575,Rame!$A:$A,0)-1,MATCH(L575,Rame!$A$1:$AA$1,0)-1))*IF(G575="Rame",1,0)</f>
        <v>0</v>
      </c>
      <c r="P575" s="205">
        <v>0</v>
      </c>
      <c r="Q575" s="205">
        <f t="shared" ca="1" si="213"/>
        <v>0</v>
      </c>
      <c r="R575" s="205">
        <f ca="1">+IF(ISERROR(OFFSET(Tabella!$G$1,MATCH(J575,Tabella!$G:$G,0)-1,MATCH(K575,Tabella!$G$1:$FG$1,0)-1)=TRUE),0,OFFSET(Tabella!$G$1,MATCH(J575,Tabella!$G:$G,0)-1,MATCH(K575,Tabella!$G$1:$AB$1,0)-1))</f>
        <v>0</v>
      </c>
      <c r="S575" s="205">
        <f ca="1">IF(ISERROR(OFFSET(Ottone!$F$1,MATCH(J575,Ottone!$A:$A,0)-1,MATCH(K575,Ottone!$F$1:$FF$1,0)-1)=TRUE),0,OFFSET(Ottone!$F$1,MATCH(J575,Ottone!$A:$A,0)-1,MATCH(K575,Ottone!$F$1:$FF$1,0)-1))*IF(G575="Ottone",1,0)</f>
        <v>0</v>
      </c>
      <c r="T575" s="205">
        <f ca="1">IF(ISERROR(OFFSET(Rame!$F$1,MATCH(J575,Rame!$F:$F,0)-1,MATCH(K575,Rame!$F$1:$FF$1,0)-1)=TRUE),0,OFFSET(Rame!$F$1,MATCH(J575,Rame!$F:$F,0)-1,MATCH(K575,Rame!$F$1:$FF$1,0)-1))*IF(G575="Rame",1,0)</f>
        <v>0</v>
      </c>
      <c r="U575" s="205">
        <f ca="1">IF(ISERROR(OFFSET(Bronzo!$A$1,MATCH(J575,Bronzo!$A:$A,0)-1,MATCH(K575,Bronzo!$A$1:$AA$1,0)-1)=TRUE),0,OFFSET(Bronzo!$A$1,MATCH(J575,Bronzo!$A:$A,0)-1,MATCH(K575,Bronzo!$A$1:$AA$1,0)-1))</f>
        <v>0</v>
      </c>
      <c r="V575" s="205">
        <f t="shared" ca="1" si="214"/>
        <v>0</v>
      </c>
      <c r="W575" s="204"/>
      <c r="X575" s="205">
        <v>0</v>
      </c>
      <c r="Y575" s="206">
        <f t="shared" ca="1" si="215"/>
        <v>0</v>
      </c>
      <c r="Z575" s="277">
        <f t="shared" si="216"/>
        <v>0</v>
      </c>
      <c r="AA575" s="203"/>
      <c r="AB575" s="203">
        <f t="shared" ca="1" si="217"/>
        <v>0</v>
      </c>
      <c r="AC575" s="238"/>
      <c r="AI575" s="367">
        <f t="shared" ca="1" si="212"/>
        <v>46092</v>
      </c>
      <c r="AJ575" s="367" t="b">
        <f t="shared" si="218"/>
        <v>1</v>
      </c>
      <c r="AK575" s="370" t="str">
        <f t="shared" si="219"/>
        <v/>
      </c>
      <c r="AN575">
        <f t="shared" si="220"/>
        <v>0</v>
      </c>
      <c r="AO575">
        <f t="shared" si="221"/>
        <v>1900</v>
      </c>
      <c r="AV575">
        <f t="shared" si="222"/>
        <v>0</v>
      </c>
      <c r="AW575">
        <f t="shared" si="223"/>
        <v>0</v>
      </c>
    </row>
    <row r="576" spans="4:49" ht="15.75" x14ac:dyDescent="0.25">
      <c r="D576" s="199"/>
      <c r="E576" s="200"/>
      <c r="F576" s="287"/>
      <c r="G576" s="201"/>
      <c r="H576" s="219"/>
      <c r="I576" s="202"/>
      <c r="J576" s="200"/>
      <c r="K576" s="200"/>
      <c r="L576" s="203"/>
      <c r="M576" s="204">
        <f ca="1">IF(ISERROR(OFFSET(Tabella!$A$1,MATCH(J576,Tabella!$A:$A,0)-1,MATCH(L576,Tabella!$A$1:$AC$1,0)-1)=TRUE),0,+OFFSET(Tabella!$A$1,MATCH(J576,Tabella!$A:$A,0)-1,MATCH(L576,Tabella!$A$1:$AC$1,0)-1))</f>
        <v>0</v>
      </c>
      <c r="N576" s="205">
        <f ca="1">IF(ISERROR(OFFSET(Ottone!$A$1,MATCH(J576,Ottone!$A:$A,0)-1,MATCH(L576,Ottone!$A$1:$Z$1,0)-1)=TRUE),0,OFFSET(Ottone!$A$1,MATCH(J576,Ottone!$A:$A,0)-1,MATCH(L576,Ottone!$A$1:$Z$1,0)-1))*IF(G576="Ottone",1,0)</f>
        <v>0</v>
      </c>
      <c r="O576" s="205">
        <f ca="1">IF(ISERROR(OFFSET(Rame!$A$1,MATCH(J576,Rame!$A:$A,0)-1,MATCH(L576,Rame!$A$1:$AA$1,0)-1)=TRUE),0,OFFSET(Rame!$A$1,MATCH(J576,Rame!$A:$A,0)-1,MATCH(L576,Rame!$A$1:$AA$1,0)-1))*IF(G576="Rame",1,0)</f>
        <v>0</v>
      </c>
      <c r="P576" s="205">
        <v>0</v>
      </c>
      <c r="Q576" s="205">
        <f t="shared" ca="1" si="213"/>
        <v>0</v>
      </c>
      <c r="R576" s="205">
        <f ca="1">+IF(ISERROR(OFFSET(Tabella!$G$1,MATCH(J576,Tabella!$G:$G,0)-1,MATCH(K576,Tabella!$G$1:$FG$1,0)-1)=TRUE),0,OFFSET(Tabella!$G$1,MATCH(J576,Tabella!$G:$G,0)-1,MATCH(K576,Tabella!$G$1:$AB$1,0)-1))</f>
        <v>0</v>
      </c>
      <c r="S576" s="205">
        <f ca="1">IF(ISERROR(OFFSET(Ottone!$F$1,MATCH(J576,Ottone!$A:$A,0)-1,MATCH(K576,Ottone!$F$1:$FF$1,0)-1)=TRUE),0,OFFSET(Ottone!$F$1,MATCH(J576,Ottone!$A:$A,0)-1,MATCH(K576,Ottone!$F$1:$FF$1,0)-1))*IF(G576="Ottone",1,0)</f>
        <v>0</v>
      </c>
      <c r="T576" s="205">
        <f ca="1">IF(ISERROR(OFFSET(Rame!$F$1,MATCH(J576,Rame!$F:$F,0)-1,MATCH(K576,Rame!$F$1:$FF$1,0)-1)=TRUE),0,OFFSET(Rame!$F$1,MATCH(J576,Rame!$F:$F,0)-1,MATCH(K576,Rame!$F$1:$FF$1,0)-1))*IF(G576="Rame",1,0)</f>
        <v>0</v>
      </c>
      <c r="U576" s="205">
        <f ca="1">IF(ISERROR(OFFSET(Bronzo!$A$1,MATCH(J576,Bronzo!$A:$A,0)-1,MATCH(K576,Bronzo!$A$1:$AA$1,0)-1)=TRUE),0,OFFSET(Bronzo!$A$1,MATCH(J576,Bronzo!$A:$A,0)-1,MATCH(K576,Bronzo!$A$1:$AA$1,0)-1))</f>
        <v>0</v>
      </c>
      <c r="V576" s="205">
        <f t="shared" ca="1" si="214"/>
        <v>0</v>
      </c>
      <c r="W576" s="204"/>
      <c r="X576" s="205">
        <v>0</v>
      </c>
      <c r="Y576" s="206">
        <f t="shared" ca="1" si="215"/>
        <v>0</v>
      </c>
      <c r="Z576" s="277">
        <f t="shared" si="216"/>
        <v>0</v>
      </c>
      <c r="AA576" s="203"/>
      <c r="AB576" s="203">
        <f t="shared" ca="1" si="217"/>
        <v>0</v>
      </c>
      <c r="AC576" s="238"/>
      <c r="AI576" s="367">
        <f t="shared" ref="AI576:AI639" ca="1" si="224">TODAY()</f>
        <v>46092</v>
      </c>
      <c r="AJ576" s="367" t="b">
        <f t="shared" si="218"/>
        <v>1</v>
      </c>
      <c r="AK576" s="370" t="str">
        <f t="shared" si="219"/>
        <v/>
      </c>
      <c r="AN576">
        <f t="shared" si="220"/>
        <v>0</v>
      </c>
      <c r="AO576">
        <f t="shared" si="221"/>
        <v>1900</v>
      </c>
      <c r="AV576">
        <f t="shared" si="222"/>
        <v>0</v>
      </c>
      <c r="AW576">
        <f t="shared" si="223"/>
        <v>0</v>
      </c>
    </row>
    <row r="577" spans="4:49" ht="15.75" x14ac:dyDescent="0.25">
      <c r="D577" s="199"/>
      <c r="E577" s="200"/>
      <c r="F577" s="287"/>
      <c r="G577" s="201"/>
      <c r="H577" s="219"/>
      <c r="I577" s="202"/>
      <c r="J577" s="200"/>
      <c r="K577" s="200"/>
      <c r="L577" s="203"/>
      <c r="M577" s="204">
        <f ca="1">IF(ISERROR(OFFSET(Tabella!$A$1,MATCH(J577,Tabella!$A:$A,0)-1,MATCH(L577,Tabella!$A$1:$AC$1,0)-1)=TRUE),0,+OFFSET(Tabella!$A$1,MATCH(J577,Tabella!$A:$A,0)-1,MATCH(L577,Tabella!$A$1:$AC$1,0)-1))</f>
        <v>0</v>
      </c>
      <c r="N577" s="205">
        <f ca="1">IF(ISERROR(OFFSET(Ottone!$A$1,MATCH(J577,Ottone!$A:$A,0)-1,MATCH(L577,Ottone!$A$1:$Z$1,0)-1)=TRUE),0,OFFSET(Ottone!$A$1,MATCH(J577,Ottone!$A:$A,0)-1,MATCH(L577,Ottone!$A$1:$Z$1,0)-1))*IF(G577="Ottone",1,0)</f>
        <v>0</v>
      </c>
      <c r="O577" s="205">
        <f ca="1">IF(ISERROR(OFFSET(Rame!$A$1,MATCH(J577,Rame!$A:$A,0)-1,MATCH(L577,Rame!$A$1:$AA$1,0)-1)=TRUE),0,OFFSET(Rame!$A$1,MATCH(J577,Rame!$A:$A,0)-1,MATCH(L577,Rame!$A$1:$AA$1,0)-1))*IF(G577="Rame",1,0)</f>
        <v>0</v>
      </c>
      <c r="P577" s="205">
        <v>0</v>
      </c>
      <c r="Q577" s="205">
        <f t="shared" ca="1" si="213"/>
        <v>0</v>
      </c>
      <c r="R577" s="205">
        <f ca="1">+IF(ISERROR(OFFSET(Tabella!$G$1,MATCH(J577,Tabella!$G:$G,0)-1,MATCH(K577,Tabella!$G$1:$FG$1,0)-1)=TRUE),0,OFFSET(Tabella!$G$1,MATCH(J577,Tabella!$G:$G,0)-1,MATCH(K577,Tabella!$G$1:$AB$1,0)-1))</f>
        <v>0</v>
      </c>
      <c r="S577" s="205">
        <f ca="1">IF(ISERROR(OFFSET(Ottone!$F$1,MATCH(J577,Ottone!$A:$A,0)-1,MATCH(K577,Ottone!$F$1:$FF$1,0)-1)=TRUE),0,OFFSET(Ottone!$F$1,MATCH(J577,Ottone!$A:$A,0)-1,MATCH(K577,Ottone!$F$1:$FF$1,0)-1))*IF(G577="Ottone",1,0)</f>
        <v>0</v>
      </c>
      <c r="T577" s="205">
        <f ca="1">IF(ISERROR(OFFSET(Rame!$F$1,MATCH(J577,Rame!$F:$F,0)-1,MATCH(K577,Rame!$F$1:$FF$1,0)-1)=TRUE),0,OFFSET(Rame!$F$1,MATCH(J577,Rame!$F:$F,0)-1,MATCH(K577,Rame!$F$1:$FF$1,0)-1))*IF(G577="Rame",1,0)</f>
        <v>0</v>
      </c>
      <c r="U577" s="205">
        <f ca="1">IF(ISERROR(OFFSET(Bronzo!$A$1,MATCH(J577,Bronzo!$A:$A,0)-1,MATCH(K577,Bronzo!$A$1:$AA$1,0)-1)=TRUE),0,OFFSET(Bronzo!$A$1,MATCH(J577,Bronzo!$A:$A,0)-1,MATCH(K577,Bronzo!$A$1:$AA$1,0)-1))</f>
        <v>0</v>
      </c>
      <c r="V577" s="205">
        <f t="shared" ca="1" si="214"/>
        <v>0</v>
      </c>
      <c r="W577" s="204"/>
      <c r="X577" s="205">
        <v>0</v>
      </c>
      <c r="Y577" s="206">
        <f t="shared" ca="1" si="215"/>
        <v>0</v>
      </c>
      <c r="Z577" s="277">
        <f t="shared" si="216"/>
        <v>0</v>
      </c>
      <c r="AA577" s="203"/>
      <c r="AB577" s="203">
        <f t="shared" ca="1" si="217"/>
        <v>0</v>
      </c>
      <c r="AC577" s="238"/>
      <c r="AI577" s="367">
        <f t="shared" ca="1" si="224"/>
        <v>46092</v>
      </c>
      <c r="AJ577" s="367" t="b">
        <f t="shared" si="218"/>
        <v>1</v>
      </c>
      <c r="AK577" s="370" t="str">
        <f t="shared" si="219"/>
        <v/>
      </c>
      <c r="AN577">
        <f t="shared" si="220"/>
        <v>0</v>
      </c>
      <c r="AO577">
        <f t="shared" si="221"/>
        <v>1900</v>
      </c>
      <c r="AV577">
        <f t="shared" si="222"/>
        <v>0</v>
      </c>
      <c r="AW577">
        <f t="shared" si="223"/>
        <v>0</v>
      </c>
    </row>
    <row r="578" spans="4:49" ht="15.75" x14ac:dyDescent="0.25">
      <c r="D578" s="199"/>
      <c r="E578" s="200"/>
      <c r="F578" s="287"/>
      <c r="G578" s="201"/>
      <c r="H578" s="219"/>
      <c r="I578" s="202"/>
      <c r="J578" s="200"/>
      <c r="K578" s="200"/>
      <c r="L578" s="203"/>
      <c r="M578" s="204">
        <f ca="1">IF(ISERROR(OFFSET(Tabella!$A$1,MATCH(J578,Tabella!$A:$A,0)-1,MATCH(L578,Tabella!$A$1:$AC$1,0)-1)=TRUE),0,+OFFSET(Tabella!$A$1,MATCH(J578,Tabella!$A:$A,0)-1,MATCH(L578,Tabella!$A$1:$AC$1,0)-1))</f>
        <v>0</v>
      </c>
      <c r="N578" s="205">
        <f ca="1">IF(ISERROR(OFFSET(Ottone!$A$1,MATCH(J578,Ottone!$A:$A,0)-1,MATCH(L578,Ottone!$A$1:$Z$1,0)-1)=TRUE),0,OFFSET(Ottone!$A$1,MATCH(J578,Ottone!$A:$A,0)-1,MATCH(L578,Ottone!$A$1:$Z$1,0)-1))*IF(G578="Ottone",1,0)</f>
        <v>0</v>
      </c>
      <c r="O578" s="205">
        <f ca="1">IF(ISERROR(OFFSET(Rame!$A$1,MATCH(J578,Rame!$A:$A,0)-1,MATCH(L578,Rame!$A$1:$AA$1,0)-1)=TRUE),0,OFFSET(Rame!$A$1,MATCH(J578,Rame!$A:$A,0)-1,MATCH(L578,Rame!$A$1:$AA$1,0)-1))*IF(G578="Rame",1,0)</f>
        <v>0</v>
      </c>
      <c r="P578" s="205">
        <v>0</v>
      </c>
      <c r="Q578" s="205">
        <f t="shared" ca="1" si="213"/>
        <v>0</v>
      </c>
      <c r="R578" s="205">
        <f ca="1">+IF(ISERROR(OFFSET(Tabella!$G$1,MATCH(J578,Tabella!$G:$G,0)-1,MATCH(K578,Tabella!$G$1:$FG$1,0)-1)=TRUE),0,OFFSET(Tabella!$G$1,MATCH(J578,Tabella!$G:$G,0)-1,MATCH(K578,Tabella!$G$1:$AB$1,0)-1))</f>
        <v>0</v>
      </c>
      <c r="S578" s="205">
        <f ca="1">IF(ISERROR(OFFSET(Ottone!$F$1,MATCH(J578,Ottone!$A:$A,0)-1,MATCH(K578,Ottone!$F$1:$FF$1,0)-1)=TRUE),0,OFFSET(Ottone!$F$1,MATCH(J578,Ottone!$A:$A,0)-1,MATCH(K578,Ottone!$F$1:$FF$1,0)-1))*IF(G578="Ottone",1,0)</f>
        <v>0</v>
      </c>
      <c r="T578" s="205">
        <f ca="1">IF(ISERROR(OFFSET(Rame!$F$1,MATCH(J578,Rame!$F:$F,0)-1,MATCH(K578,Rame!$F$1:$FF$1,0)-1)=TRUE),0,OFFSET(Rame!$F$1,MATCH(J578,Rame!$F:$F,0)-1,MATCH(K578,Rame!$F$1:$FF$1,0)-1))*IF(G578="Rame",1,0)</f>
        <v>0</v>
      </c>
      <c r="U578" s="205">
        <f ca="1">IF(ISERROR(OFFSET(Bronzo!$A$1,MATCH(J578,Bronzo!$A:$A,0)-1,MATCH(K578,Bronzo!$A$1:$AA$1,0)-1)=TRUE),0,OFFSET(Bronzo!$A$1,MATCH(J578,Bronzo!$A:$A,0)-1,MATCH(K578,Bronzo!$A$1:$AA$1,0)-1))</f>
        <v>0</v>
      </c>
      <c r="V578" s="205">
        <f t="shared" ca="1" si="214"/>
        <v>0</v>
      </c>
      <c r="W578" s="204"/>
      <c r="X578" s="205">
        <v>0</v>
      </c>
      <c r="Y578" s="206">
        <f t="shared" ca="1" si="215"/>
        <v>0</v>
      </c>
      <c r="Z578" s="277">
        <f t="shared" si="216"/>
        <v>0</v>
      </c>
      <c r="AA578" s="203"/>
      <c r="AB578" s="203">
        <f t="shared" ca="1" si="217"/>
        <v>0</v>
      </c>
      <c r="AC578" s="238"/>
      <c r="AI578" s="367">
        <f t="shared" ca="1" si="224"/>
        <v>46092</v>
      </c>
      <c r="AJ578" s="367" t="b">
        <f t="shared" si="218"/>
        <v>1</v>
      </c>
      <c r="AK578" s="370" t="str">
        <f t="shared" si="219"/>
        <v/>
      </c>
      <c r="AN578">
        <f t="shared" si="220"/>
        <v>0</v>
      </c>
      <c r="AO578">
        <f t="shared" si="221"/>
        <v>1900</v>
      </c>
      <c r="AV578">
        <f t="shared" si="222"/>
        <v>0</v>
      </c>
      <c r="AW578">
        <f t="shared" si="223"/>
        <v>0</v>
      </c>
    </row>
    <row r="579" spans="4:49" ht="15.75" x14ac:dyDescent="0.25">
      <c r="D579" s="199"/>
      <c r="E579" s="200"/>
      <c r="F579" s="287"/>
      <c r="G579" s="201"/>
      <c r="H579" s="219"/>
      <c r="I579" s="202"/>
      <c r="J579" s="200"/>
      <c r="K579" s="200"/>
      <c r="L579" s="203"/>
      <c r="M579" s="204">
        <f ca="1">IF(ISERROR(OFFSET(Tabella!$A$1,MATCH(J579,Tabella!$A:$A,0)-1,MATCH(L579,Tabella!$A$1:$AC$1,0)-1)=TRUE),0,+OFFSET(Tabella!$A$1,MATCH(J579,Tabella!$A:$A,0)-1,MATCH(L579,Tabella!$A$1:$AC$1,0)-1))</f>
        <v>0</v>
      </c>
      <c r="N579" s="205">
        <f ca="1">IF(ISERROR(OFFSET(Ottone!$A$1,MATCH(J579,Ottone!$A:$A,0)-1,MATCH(L579,Ottone!$A$1:$Z$1,0)-1)=TRUE),0,OFFSET(Ottone!$A$1,MATCH(J579,Ottone!$A:$A,0)-1,MATCH(L579,Ottone!$A$1:$Z$1,0)-1))*IF(G579="Ottone",1,0)</f>
        <v>0</v>
      </c>
      <c r="O579" s="205">
        <f ca="1">IF(ISERROR(OFFSET(Rame!$A$1,MATCH(J579,Rame!$A:$A,0)-1,MATCH(L579,Rame!$A$1:$AA$1,0)-1)=TRUE),0,OFFSET(Rame!$A$1,MATCH(J579,Rame!$A:$A,0)-1,MATCH(L579,Rame!$A$1:$AA$1,0)-1))*IF(G579="Rame",1,0)</f>
        <v>0</v>
      </c>
      <c r="P579" s="205">
        <v>0</v>
      </c>
      <c r="Q579" s="205">
        <f t="shared" ca="1" si="213"/>
        <v>0</v>
      </c>
      <c r="R579" s="205">
        <f ca="1">+IF(ISERROR(OFFSET(Tabella!$G$1,MATCH(J579,Tabella!$G:$G,0)-1,MATCH(K579,Tabella!$G$1:$FG$1,0)-1)=TRUE),0,OFFSET(Tabella!$G$1,MATCH(J579,Tabella!$G:$G,0)-1,MATCH(K579,Tabella!$G$1:$AB$1,0)-1))</f>
        <v>0</v>
      </c>
      <c r="S579" s="205">
        <f ca="1">IF(ISERROR(OFFSET(Ottone!$F$1,MATCH(J579,Ottone!$A:$A,0)-1,MATCH(K579,Ottone!$F$1:$FF$1,0)-1)=TRUE),0,OFFSET(Ottone!$F$1,MATCH(J579,Ottone!$A:$A,0)-1,MATCH(K579,Ottone!$F$1:$FF$1,0)-1))*IF(G579="Ottone",1,0)</f>
        <v>0</v>
      </c>
      <c r="T579" s="205">
        <f ca="1">IF(ISERROR(OFFSET(Rame!$F$1,MATCH(J579,Rame!$F:$F,0)-1,MATCH(K579,Rame!$F$1:$FF$1,0)-1)=TRUE),0,OFFSET(Rame!$F$1,MATCH(J579,Rame!$F:$F,0)-1,MATCH(K579,Rame!$F$1:$FF$1,0)-1))*IF(G579="Rame",1,0)</f>
        <v>0</v>
      </c>
      <c r="U579" s="205">
        <f ca="1">IF(ISERROR(OFFSET(Bronzo!$A$1,MATCH(J579,Bronzo!$A:$A,0)-1,MATCH(K579,Bronzo!$A$1:$AA$1,0)-1)=TRUE),0,OFFSET(Bronzo!$A$1,MATCH(J579,Bronzo!$A:$A,0)-1,MATCH(K579,Bronzo!$A$1:$AA$1,0)-1))</f>
        <v>0</v>
      </c>
      <c r="V579" s="205">
        <f t="shared" ca="1" si="214"/>
        <v>0</v>
      </c>
      <c r="W579" s="204"/>
      <c r="X579" s="205">
        <v>0</v>
      </c>
      <c r="Y579" s="206">
        <f t="shared" ca="1" si="215"/>
        <v>0</v>
      </c>
      <c r="Z579" s="277">
        <f t="shared" si="216"/>
        <v>0</v>
      </c>
      <c r="AA579" s="203"/>
      <c r="AB579" s="203">
        <f t="shared" ca="1" si="217"/>
        <v>0</v>
      </c>
      <c r="AC579" s="238"/>
      <c r="AI579" s="367">
        <f t="shared" ca="1" si="224"/>
        <v>46092</v>
      </c>
      <c r="AJ579" s="367" t="b">
        <f t="shared" si="218"/>
        <v>1</v>
      </c>
      <c r="AK579" s="370" t="str">
        <f t="shared" si="219"/>
        <v/>
      </c>
      <c r="AN579">
        <f t="shared" si="220"/>
        <v>0</v>
      </c>
      <c r="AO579">
        <f t="shared" si="221"/>
        <v>1900</v>
      </c>
      <c r="AV579">
        <f t="shared" si="222"/>
        <v>0</v>
      </c>
      <c r="AW579">
        <f t="shared" si="223"/>
        <v>0</v>
      </c>
    </row>
    <row r="580" spans="4:49" ht="15.75" x14ac:dyDescent="0.25">
      <c r="D580" s="199"/>
      <c r="E580" s="200"/>
      <c r="F580" s="287"/>
      <c r="G580" s="201"/>
      <c r="H580" s="219"/>
      <c r="I580" s="202"/>
      <c r="J580" s="200"/>
      <c r="K580" s="200"/>
      <c r="L580" s="203"/>
      <c r="M580" s="204">
        <f ca="1">IF(ISERROR(OFFSET(Tabella!$A$1,MATCH(J580,Tabella!$A:$A,0)-1,MATCH(L580,Tabella!$A$1:$AC$1,0)-1)=TRUE),0,+OFFSET(Tabella!$A$1,MATCH(J580,Tabella!$A:$A,0)-1,MATCH(L580,Tabella!$A$1:$AC$1,0)-1))</f>
        <v>0</v>
      </c>
      <c r="N580" s="205">
        <f ca="1">IF(ISERROR(OFFSET(Ottone!$A$1,MATCH(J580,Ottone!$A:$A,0)-1,MATCH(L580,Ottone!$A$1:$Z$1,0)-1)=TRUE),0,OFFSET(Ottone!$A$1,MATCH(J580,Ottone!$A:$A,0)-1,MATCH(L580,Ottone!$A$1:$Z$1,0)-1))*IF(G580="Ottone",1,0)</f>
        <v>0</v>
      </c>
      <c r="O580" s="205">
        <f ca="1">IF(ISERROR(OFFSET(Rame!$A$1,MATCH(J580,Rame!$A:$A,0)-1,MATCH(L580,Rame!$A$1:$AA$1,0)-1)=TRUE),0,OFFSET(Rame!$A$1,MATCH(J580,Rame!$A:$A,0)-1,MATCH(L580,Rame!$A$1:$AA$1,0)-1))*IF(G580="Rame",1,0)</f>
        <v>0</v>
      </c>
      <c r="P580" s="205">
        <v>0</v>
      </c>
      <c r="Q580" s="205">
        <f t="shared" ca="1" si="213"/>
        <v>0</v>
      </c>
      <c r="R580" s="205">
        <f ca="1">+IF(ISERROR(OFFSET(Tabella!$G$1,MATCH(J580,Tabella!$G:$G,0)-1,MATCH(K580,Tabella!$G$1:$FG$1,0)-1)=TRUE),0,OFFSET(Tabella!$G$1,MATCH(J580,Tabella!$G:$G,0)-1,MATCH(K580,Tabella!$G$1:$AB$1,0)-1))</f>
        <v>0</v>
      </c>
      <c r="S580" s="205">
        <f ca="1">IF(ISERROR(OFFSET(Ottone!$F$1,MATCH(J580,Ottone!$A:$A,0)-1,MATCH(K580,Ottone!$F$1:$FF$1,0)-1)=TRUE),0,OFFSET(Ottone!$F$1,MATCH(J580,Ottone!$A:$A,0)-1,MATCH(K580,Ottone!$F$1:$FF$1,0)-1))*IF(G580="Ottone",1,0)</f>
        <v>0</v>
      </c>
      <c r="T580" s="205">
        <f ca="1">IF(ISERROR(OFFSET(Rame!$F$1,MATCH(J580,Rame!$F:$F,0)-1,MATCH(K580,Rame!$F$1:$FF$1,0)-1)=TRUE),0,OFFSET(Rame!$F$1,MATCH(J580,Rame!$F:$F,0)-1,MATCH(K580,Rame!$F$1:$FF$1,0)-1))*IF(G580="Rame",1,0)</f>
        <v>0</v>
      </c>
      <c r="U580" s="205">
        <f ca="1">IF(ISERROR(OFFSET(Bronzo!$A$1,MATCH(J580,Bronzo!$A:$A,0)-1,MATCH(K580,Bronzo!$A$1:$AA$1,0)-1)=TRUE),0,OFFSET(Bronzo!$A$1,MATCH(J580,Bronzo!$A:$A,0)-1,MATCH(K580,Bronzo!$A$1:$AA$1,0)-1))</f>
        <v>0</v>
      </c>
      <c r="V580" s="205">
        <f t="shared" ca="1" si="214"/>
        <v>0</v>
      </c>
      <c r="W580" s="204"/>
      <c r="X580" s="205">
        <v>0</v>
      </c>
      <c r="Y580" s="206">
        <f t="shared" ca="1" si="215"/>
        <v>0</v>
      </c>
      <c r="Z580" s="277">
        <f t="shared" si="216"/>
        <v>0</v>
      </c>
      <c r="AA580" s="203"/>
      <c r="AB580" s="203">
        <f t="shared" ca="1" si="217"/>
        <v>0</v>
      </c>
      <c r="AC580" s="238"/>
      <c r="AI580" s="367">
        <f t="shared" ca="1" si="224"/>
        <v>46092</v>
      </c>
      <c r="AJ580" s="367" t="b">
        <f t="shared" si="218"/>
        <v>1</v>
      </c>
      <c r="AK580" s="370" t="str">
        <f t="shared" si="219"/>
        <v/>
      </c>
      <c r="AN580">
        <f t="shared" si="220"/>
        <v>0</v>
      </c>
      <c r="AO580">
        <f t="shared" si="221"/>
        <v>1900</v>
      </c>
      <c r="AV580">
        <f t="shared" si="222"/>
        <v>0</v>
      </c>
      <c r="AW580">
        <f t="shared" si="223"/>
        <v>0</v>
      </c>
    </row>
    <row r="581" spans="4:49" ht="15.75" x14ac:dyDescent="0.25">
      <c r="D581" s="199"/>
      <c r="E581" s="200"/>
      <c r="F581" s="287"/>
      <c r="G581" s="201"/>
      <c r="H581" s="219"/>
      <c r="I581" s="202"/>
      <c r="J581" s="200"/>
      <c r="K581" s="200"/>
      <c r="L581" s="203"/>
      <c r="M581" s="204">
        <f ca="1">IF(ISERROR(OFFSET(Tabella!$A$1,MATCH(J581,Tabella!$A:$A,0)-1,MATCH(L581,Tabella!$A$1:$AC$1,0)-1)=TRUE),0,+OFFSET(Tabella!$A$1,MATCH(J581,Tabella!$A:$A,0)-1,MATCH(L581,Tabella!$A$1:$AC$1,0)-1))</f>
        <v>0</v>
      </c>
      <c r="N581" s="205">
        <f ca="1">IF(ISERROR(OFFSET(Ottone!$A$1,MATCH(J581,Ottone!$A:$A,0)-1,MATCH(L581,Ottone!$A$1:$Z$1,0)-1)=TRUE),0,OFFSET(Ottone!$A$1,MATCH(J581,Ottone!$A:$A,0)-1,MATCH(L581,Ottone!$A$1:$Z$1,0)-1))*IF(G581="Ottone",1,0)</f>
        <v>0</v>
      </c>
      <c r="O581" s="205">
        <f ca="1">IF(ISERROR(OFFSET(Rame!$A$1,MATCH(J581,Rame!$A:$A,0)-1,MATCH(L581,Rame!$A$1:$AA$1,0)-1)=TRUE),0,OFFSET(Rame!$A$1,MATCH(J581,Rame!$A:$A,0)-1,MATCH(L581,Rame!$A$1:$AA$1,0)-1))*IF(G581="Rame",1,0)</f>
        <v>0</v>
      </c>
      <c r="P581" s="205">
        <v>0</v>
      </c>
      <c r="Q581" s="205">
        <f t="shared" ca="1" si="213"/>
        <v>0</v>
      </c>
      <c r="R581" s="205">
        <f ca="1">+IF(ISERROR(OFFSET(Tabella!$G$1,MATCH(J581,Tabella!$G:$G,0)-1,MATCH(K581,Tabella!$G$1:$FG$1,0)-1)=TRUE),0,OFFSET(Tabella!$G$1,MATCH(J581,Tabella!$G:$G,0)-1,MATCH(K581,Tabella!$G$1:$AB$1,0)-1))</f>
        <v>0</v>
      </c>
      <c r="S581" s="205">
        <f ca="1">IF(ISERROR(OFFSET(Ottone!$F$1,MATCH(J581,Ottone!$A:$A,0)-1,MATCH(K581,Ottone!$F$1:$FF$1,0)-1)=TRUE),0,OFFSET(Ottone!$F$1,MATCH(J581,Ottone!$A:$A,0)-1,MATCH(K581,Ottone!$F$1:$FF$1,0)-1))*IF(G581="Ottone",1,0)</f>
        <v>0</v>
      </c>
      <c r="T581" s="205">
        <f ca="1">IF(ISERROR(OFFSET(Rame!$F$1,MATCH(J581,Rame!$F:$F,0)-1,MATCH(K581,Rame!$F$1:$FF$1,0)-1)=TRUE),0,OFFSET(Rame!$F$1,MATCH(J581,Rame!$F:$F,0)-1,MATCH(K581,Rame!$F$1:$FF$1,0)-1))*IF(G581="Rame",1,0)</f>
        <v>0</v>
      </c>
      <c r="U581" s="205">
        <f ca="1">IF(ISERROR(OFFSET(Bronzo!$A$1,MATCH(J581,Bronzo!$A:$A,0)-1,MATCH(K581,Bronzo!$A$1:$AA$1,0)-1)=TRUE),0,OFFSET(Bronzo!$A$1,MATCH(J581,Bronzo!$A:$A,0)-1,MATCH(K581,Bronzo!$A$1:$AA$1,0)-1))</f>
        <v>0</v>
      </c>
      <c r="V581" s="205">
        <f t="shared" ca="1" si="214"/>
        <v>0</v>
      </c>
      <c r="W581" s="204"/>
      <c r="X581" s="205">
        <v>0</v>
      </c>
      <c r="Y581" s="206">
        <f t="shared" ca="1" si="215"/>
        <v>0</v>
      </c>
      <c r="Z581" s="277">
        <f t="shared" si="216"/>
        <v>0</v>
      </c>
      <c r="AA581" s="203"/>
      <c r="AB581" s="203">
        <f t="shared" ca="1" si="217"/>
        <v>0</v>
      </c>
      <c r="AC581" s="238"/>
      <c r="AI581" s="367">
        <f t="shared" ca="1" si="224"/>
        <v>46092</v>
      </c>
      <c r="AJ581" s="367" t="b">
        <f t="shared" si="218"/>
        <v>1</v>
      </c>
      <c r="AK581" s="370" t="str">
        <f t="shared" si="219"/>
        <v/>
      </c>
      <c r="AN581">
        <f t="shared" si="220"/>
        <v>0</v>
      </c>
      <c r="AO581">
        <f t="shared" si="221"/>
        <v>1900</v>
      </c>
      <c r="AV581">
        <f t="shared" si="222"/>
        <v>0</v>
      </c>
      <c r="AW581">
        <f t="shared" si="223"/>
        <v>0</v>
      </c>
    </row>
    <row r="582" spans="4:49" ht="15.75" x14ac:dyDescent="0.25">
      <c r="D582" s="199"/>
      <c r="E582" s="200"/>
      <c r="F582" s="287"/>
      <c r="G582" s="201"/>
      <c r="H582" s="219"/>
      <c r="I582" s="202"/>
      <c r="J582" s="200"/>
      <c r="K582" s="200"/>
      <c r="L582" s="203"/>
      <c r="M582" s="204">
        <f ca="1">IF(ISERROR(OFFSET(Tabella!$A$1,MATCH(J582,Tabella!$A:$A,0)-1,MATCH(L582,Tabella!$A$1:$AC$1,0)-1)=TRUE),0,+OFFSET(Tabella!$A$1,MATCH(J582,Tabella!$A:$A,0)-1,MATCH(L582,Tabella!$A$1:$AC$1,0)-1))</f>
        <v>0</v>
      </c>
      <c r="N582" s="205">
        <f ca="1">IF(ISERROR(OFFSET(Ottone!$A$1,MATCH(J582,Ottone!$A:$A,0)-1,MATCH(L582,Ottone!$A$1:$Z$1,0)-1)=TRUE),0,OFFSET(Ottone!$A$1,MATCH(J582,Ottone!$A:$A,0)-1,MATCH(L582,Ottone!$A$1:$Z$1,0)-1))*IF(G582="Ottone",1,0)</f>
        <v>0</v>
      </c>
      <c r="O582" s="205">
        <f ca="1">IF(ISERROR(OFFSET(Rame!$A$1,MATCH(J582,Rame!$A:$A,0)-1,MATCH(L582,Rame!$A$1:$AA$1,0)-1)=TRUE),0,OFFSET(Rame!$A$1,MATCH(J582,Rame!$A:$A,0)-1,MATCH(L582,Rame!$A$1:$AA$1,0)-1))*IF(G582="Rame",1,0)</f>
        <v>0</v>
      </c>
      <c r="P582" s="205">
        <v>0</v>
      </c>
      <c r="Q582" s="205">
        <f t="shared" ca="1" si="213"/>
        <v>0</v>
      </c>
      <c r="R582" s="205">
        <f ca="1">+IF(ISERROR(OFFSET(Tabella!$G$1,MATCH(J582,Tabella!$G:$G,0)-1,MATCH(K582,Tabella!$G$1:$FG$1,0)-1)=TRUE),0,OFFSET(Tabella!$G$1,MATCH(J582,Tabella!$G:$G,0)-1,MATCH(K582,Tabella!$G$1:$AB$1,0)-1))</f>
        <v>0</v>
      </c>
      <c r="S582" s="205">
        <f ca="1">IF(ISERROR(OFFSET(Ottone!$F$1,MATCH(J582,Ottone!$A:$A,0)-1,MATCH(K582,Ottone!$F$1:$FF$1,0)-1)=TRUE),0,OFFSET(Ottone!$F$1,MATCH(J582,Ottone!$A:$A,0)-1,MATCH(K582,Ottone!$F$1:$FF$1,0)-1))*IF(G582="Ottone",1,0)</f>
        <v>0</v>
      </c>
      <c r="T582" s="205">
        <f ca="1">IF(ISERROR(OFFSET(Rame!$F$1,MATCH(J582,Rame!$F:$F,0)-1,MATCH(K582,Rame!$F$1:$FF$1,0)-1)=TRUE),0,OFFSET(Rame!$F$1,MATCH(J582,Rame!$F:$F,0)-1,MATCH(K582,Rame!$F$1:$FF$1,0)-1))*IF(G582="Rame",1,0)</f>
        <v>0</v>
      </c>
      <c r="U582" s="205">
        <f ca="1">IF(ISERROR(OFFSET(Bronzo!$A$1,MATCH(J582,Bronzo!$A:$A,0)-1,MATCH(K582,Bronzo!$A$1:$AA$1,0)-1)=TRUE),0,OFFSET(Bronzo!$A$1,MATCH(J582,Bronzo!$A:$A,0)-1,MATCH(K582,Bronzo!$A$1:$AA$1,0)-1))</f>
        <v>0</v>
      </c>
      <c r="V582" s="205">
        <f t="shared" ca="1" si="214"/>
        <v>0</v>
      </c>
      <c r="W582" s="204"/>
      <c r="X582" s="205">
        <v>0</v>
      </c>
      <c r="Y582" s="206">
        <f t="shared" ca="1" si="215"/>
        <v>0</v>
      </c>
      <c r="Z582" s="277">
        <f t="shared" si="216"/>
        <v>0</v>
      </c>
      <c r="AA582" s="203"/>
      <c r="AB582" s="203">
        <f t="shared" ca="1" si="217"/>
        <v>0</v>
      </c>
      <c r="AC582" s="238"/>
      <c r="AI582" s="367">
        <f t="shared" ca="1" si="224"/>
        <v>46092</v>
      </c>
      <c r="AJ582" s="367" t="b">
        <f t="shared" si="218"/>
        <v>1</v>
      </c>
      <c r="AK582" s="370" t="str">
        <f t="shared" si="219"/>
        <v/>
      </c>
      <c r="AN582">
        <f t="shared" si="220"/>
        <v>0</v>
      </c>
      <c r="AO582">
        <f t="shared" si="221"/>
        <v>1900</v>
      </c>
      <c r="AV582">
        <f t="shared" si="222"/>
        <v>0</v>
      </c>
      <c r="AW582">
        <f t="shared" si="223"/>
        <v>0</v>
      </c>
    </row>
    <row r="583" spans="4:49" ht="15.75" x14ac:dyDescent="0.25">
      <c r="D583" s="199"/>
      <c r="E583" s="200"/>
      <c r="F583" s="287"/>
      <c r="G583" s="201"/>
      <c r="H583" s="219"/>
      <c r="I583" s="202"/>
      <c r="J583" s="200"/>
      <c r="K583" s="200"/>
      <c r="L583" s="203"/>
      <c r="M583" s="204">
        <f ca="1">IF(ISERROR(OFFSET(Tabella!$A$1,MATCH(J583,Tabella!$A:$A,0)-1,MATCH(L583,Tabella!$A$1:$AC$1,0)-1)=TRUE),0,+OFFSET(Tabella!$A$1,MATCH(J583,Tabella!$A:$A,0)-1,MATCH(L583,Tabella!$A$1:$AC$1,0)-1))</f>
        <v>0</v>
      </c>
      <c r="N583" s="205">
        <f ca="1">IF(ISERROR(OFFSET(Ottone!$A$1,MATCH(J583,Ottone!$A:$A,0)-1,MATCH(L583,Ottone!$A$1:$Z$1,0)-1)=TRUE),0,OFFSET(Ottone!$A$1,MATCH(J583,Ottone!$A:$A,0)-1,MATCH(L583,Ottone!$A$1:$Z$1,0)-1))*IF(G583="Ottone",1,0)</f>
        <v>0</v>
      </c>
      <c r="O583" s="205">
        <f ca="1">IF(ISERROR(OFFSET(Rame!$A$1,MATCH(J583,Rame!$A:$A,0)-1,MATCH(L583,Rame!$A$1:$AA$1,0)-1)=TRUE),0,OFFSET(Rame!$A$1,MATCH(J583,Rame!$A:$A,0)-1,MATCH(L583,Rame!$A$1:$AA$1,0)-1))*IF(G583="Rame",1,0)</f>
        <v>0</v>
      </c>
      <c r="P583" s="205">
        <v>0</v>
      </c>
      <c r="Q583" s="205">
        <f t="shared" ca="1" si="213"/>
        <v>0</v>
      </c>
      <c r="R583" s="205">
        <f ca="1">+IF(ISERROR(OFFSET(Tabella!$G$1,MATCH(J583,Tabella!$G:$G,0)-1,MATCH(K583,Tabella!$G$1:$FG$1,0)-1)=TRUE),0,OFFSET(Tabella!$G$1,MATCH(J583,Tabella!$G:$G,0)-1,MATCH(K583,Tabella!$G$1:$AB$1,0)-1))</f>
        <v>0</v>
      </c>
      <c r="S583" s="205">
        <f ca="1">IF(ISERROR(OFFSET(Ottone!$F$1,MATCH(J583,Ottone!$A:$A,0)-1,MATCH(K583,Ottone!$F$1:$FF$1,0)-1)=TRUE),0,OFFSET(Ottone!$F$1,MATCH(J583,Ottone!$A:$A,0)-1,MATCH(K583,Ottone!$F$1:$FF$1,0)-1))*IF(G583="Ottone",1,0)</f>
        <v>0</v>
      </c>
      <c r="T583" s="205">
        <f ca="1">IF(ISERROR(OFFSET(Rame!$F$1,MATCH(J583,Rame!$F:$F,0)-1,MATCH(K583,Rame!$F$1:$FF$1,0)-1)=TRUE),0,OFFSET(Rame!$F$1,MATCH(J583,Rame!$F:$F,0)-1,MATCH(K583,Rame!$F$1:$FF$1,0)-1))*IF(G583="Rame",1,0)</f>
        <v>0</v>
      </c>
      <c r="U583" s="205">
        <f ca="1">IF(ISERROR(OFFSET(Bronzo!$A$1,MATCH(J583,Bronzo!$A:$A,0)-1,MATCH(K583,Bronzo!$A$1:$AA$1,0)-1)=TRUE),0,OFFSET(Bronzo!$A$1,MATCH(J583,Bronzo!$A:$A,0)-1,MATCH(K583,Bronzo!$A$1:$AA$1,0)-1))</f>
        <v>0</v>
      </c>
      <c r="V583" s="205">
        <f t="shared" ca="1" si="214"/>
        <v>0</v>
      </c>
      <c r="W583" s="204"/>
      <c r="X583" s="205">
        <v>0</v>
      </c>
      <c r="Y583" s="206">
        <f t="shared" ca="1" si="215"/>
        <v>0</v>
      </c>
      <c r="Z583" s="277">
        <f t="shared" si="216"/>
        <v>0</v>
      </c>
      <c r="AA583" s="203"/>
      <c r="AB583" s="203">
        <f t="shared" ca="1" si="217"/>
        <v>0</v>
      </c>
      <c r="AC583" s="238"/>
      <c r="AI583" s="367">
        <f t="shared" ca="1" si="224"/>
        <v>46092</v>
      </c>
      <c r="AJ583" s="367" t="b">
        <f t="shared" si="218"/>
        <v>1</v>
      </c>
      <c r="AK583" s="370" t="str">
        <f t="shared" si="219"/>
        <v/>
      </c>
      <c r="AN583">
        <f t="shared" si="220"/>
        <v>0</v>
      </c>
      <c r="AO583">
        <f t="shared" si="221"/>
        <v>1900</v>
      </c>
      <c r="AV583">
        <f t="shared" si="222"/>
        <v>0</v>
      </c>
      <c r="AW583">
        <f t="shared" si="223"/>
        <v>0</v>
      </c>
    </row>
    <row r="584" spans="4:49" ht="15.75" x14ac:dyDescent="0.25">
      <c r="D584" s="199"/>
      <c r="E584" s="200"/>
      <c r="F584" s="287"/>
      <c r="G584" s="201"/>
      <c r="H584" s="219"/>
      <c r="I584" s="202"/>
      <c r="J584" s="200"/>
      <c r="K584" s="200"/>
      <c r="L584" s="203"/>
      <c r="M584" s="204">
        <f ca="1">IF(ISERROR(OFFSET(Tabella!$A$1,MATCH(J584,Tabella!$A:$A,0)-1,MATCH(L584,Tabella!$A$1:$AC$1,0)-1)=TRUE),0,+OFFSET(Tabella!$A$1,MATCH(J584,Tabella!$A:$A,0)-1,MATCH(L584,Tabella!$A$1:$AC$1,0)-1))</f>
        <v>0</v>
      </c>
      <c r="N584" s="205">
        <f ca="1">IF(ISERROR(OFFSET(Ottone!$A$1,MATCH(J584,Ottone!$A:$A,0)-1,MATCH(L584,Ottone!$A$1:$Z$1,0)-1)=TRUE),0,OFFSET(Ottone!$A$1,MATCH(J584,Ottone!$A:$A,0)-1,MATCH(L584,Ottone!$A$1:$Z$1,0)-1))*IF(G584="Ottone",1,0)</f>
        <v>0</v>
      </c>
      <c r="O584" s="205">
        <f ca="1">IF(ISERROR(OFFSET(Rame!$A$1,MATCH(J584,Rame!$A:$A,0)-1,MATCH(L584,Rame!$A$1:$AA$1,0)-1)=TRUE),0,OFFSET(Rame!$A$1,MATCH(J584,Rame!$A:$A,0)-1,MATCH(L584,Rame!$A$1:$AA$1,0)-1))*IF(G584="Rame",1,0)</f>
        <v>0</v>
      </c>
      <c r="P584" s="205">
        <v>0</v>
      </c>
      <c r="Q584" s="205">
        <f t="shared" ca="1" si="213"/>
        <v>0</v>
      </c>
      <c r="R584" s="205">
        <f ca="1">+IF(ISERROR(OFFSET(Tabella!$G$1,MATCH(J584,Tabella!$G:$G,0)-1,MATCH(K584,Tabella!$G$1:$FG$1,0)-1)=TRUE),0,OFFSET(Tabella!$G$1,MATCH(J584,Tabella!$G:$G,0)-1,MATCH(K584,Tabella!$G$1:$AB$1,0)-1))</f>
        <v>0</v>
      </c>
      <c r="S584" s="205">
        <f ca="1">IF(ISERROR(OFFSET(Ottone!$F$1,MATCH(J584,Ottone!$A:$A,0)-1,MATCH(K584,Ottone!$F$1:$FF$1,0)-1)=TRUE),0,OFFSET(Ottone!$F$1,MATCH(J584,Ottone!$A:$A,0)-1,MATCH(K584,Ottone!$F$1:$FF$1,0)-1))*IF(G584="Ottone",1,0)</f>
        <v>0</v>
      </c>
      <c r="T584" s="205">
        <f ca="1">IF(ISERROR(OFFSET(Rame!$F$1,MATCH(J584,Rame!$F:$F,0)-1,MATCH(K584,Rame!$F$1:$FF$1,0)-1)=TRUE),0,OFFSET(Rame!$F$1,MATCH(J584,Rame!$F:$F,0)-1,MATCH(K584,Rame!$F$1:$FF$1,0)-1))*IF(G584="Rame",1,0)</f>
        <v>0</v>
      </c>
      <c r="U584" s="205">
        <f ca="1">IF(ISERROR(OFFSET(Bronzo!$A$1,MATCH(J584,Bronzo!$A:$A,0)-1,MATCH(K584,Bronzo!$A$1:$AA$1,0)-1)=TRUE),0,OFFSET(Bronzo!$A$1,MATCH(J584,Bronzo!$A:$A,0)-1,MATCH(K584,Bronzo!$A$1:$AA$1,0)-1))</f>
        <v>0</v>
      </c>
      <c r="V584" s="205">
        <f t="shared" ca="1" si="214"/>
        <v>0</v>
      </c>
      <c r="W584" s="204"/>
      <c r="X584" s="205">
        <v>0</v>
      </c>
      <c r="Y584" s="206">
        <f t="shared" ca="1" si="215"/>
        <v>0</v>
      </c>
      <c r="Z584" s="277">
        <f t="shared" si="216"/>
        <v>0</v>
      </c>
      <c r="AA584" s="203"/>
      <c r="AB584" s="203">
        <f t="shared" ca="1" si="217"/>
        <v>0</v>
      </c>
      <c r="AC584" s="238"/>
      <c r="AI584" s="367">
        <f t="shared" ca="1" si="224"/>
        <v>46092</v>
      </c>
      <c r="AJ584" s="367" t="b">
        <f t="shared" si="218"/>
        <v>1</v>
      </c>
      <c r="AK584" s="370" t="str">
        <f t="shared" si="219"/>
        <v/>
      </c>
      <c r="AN584">
        <f t="shared" si="220"/>
        <v>0</v>
      </c>
      <c r="AO584">
        <f t="shared" si="221"/>
        <v>1900</v>
      </c>
      <c r="AV584">
        <f t="shared" si="222"/>
        <v>0</v>
      </c>
      <c r="AW584">
        <f t="shared" si="223"/>
        <v>0</v>
      </c>
    </row>
    <row r="585" spans="4:49" ht="15.75" x14ac:dyDescent="0.25">
      <c r="D585" s="199"/>
      <c r="E585" s="200"/>
      <c r="F585" s="287"/>
      <c r="G585" s="201"/>
      <c r="H585" s="219"/>
      <c r="I585" s="202"/>
      <c r="J585" s="200"/>
      <c r="K585" s="200"/>
      <c r="L585" s="203"/>
      <c r="M585" s="204">
        <f ca="1">IF(ISERROR(OFFSET(Tabella!$A$1,MATCH(J585,Tabella!$A:$A,0)-1,MATCH(L585,Tabella!$A$1:$AC$1,0)-1)=TRUE),0,+OFFSET(Tabella!$A$1,MATCH(J585,Tabella!$A:$A,0)-1,MATCH(L585,Tabella!$A$1:$AC$1,0)-1))</f>
        <v>0</v>
      </c>
      <c r="N585" s="205">
        <f ca="1">IF(ISERROR(OFFSET(Ottone!$A$1,MATCH(J585,Ottone!$A:$A,0)-1,MATCH(L585,Ottone!$A$1:$Z$1,0)-1)=TRUE),0,OFFSET(Ottone!$A$1,MATCH(J585,Ottone!$A:$A,0)-1,MATCH(L585,Ottone!$A$1:$Z$1,0)-1))*IF(G585="Ottone",1,0)</f>
        <v>0</v>
      </c>
      <c r="O585" s="205">
        <f ca="1">IF(ISERROR(OFFSET(Rame!$A$1,MATCH(J585,Rame!$A:$A,0)-1,MATCH(L585,Rame!$A$1:$AA$1,0)-1)=TRUE),0,OFFSET(Rame!$A$1,MATCH(J585,Rame!$A:$A,0)-1,MATCH(L585,Rame!$A$1:$AA$1,0)-1))*IF(G585="Rame",1,0)</f>
        <v>0</v>
      </c>
      <c r="P585" s="205">
        <v>0</v>
      </c>
      <c r="Q585" s="205">
        <f t="shared" ca="1" si="213"/>
        <v>0</v>
      </c>
      <c r="R585" s="205">
        <f ca="1">+IF(ISERROR(OFFSET(Tabella!$G$1,MATCH(J585,Tabella!$G:$G,0)-1,MATCH(K585,Tabella!$G$1:$FG$1,0)-1)=TRUE),0,OFFSET(Tabella!$G$1,MATCH(J585,Tabella!$G:$G,0)-1,MATCH(K585,Tabella!$G$1:$AB$1,0)-1))</f>
        <v>0</v>
      </c>
      <c r="S585" s="205">
        <f ca="1">IF(ISERROR(OFFSET(Ottone!$F$1,MATCH(J585,Ottone!$A:$A,0)-1,MATCH(K585,Ottone!$F$1:$FF$1,0)-1)=TRUE),0,OFFSET(Ottone!$F$1,MATCH(J585,Ottone!$A:$A,0)-1,MATCH(K585,Ottone!$F$1:$FF$1,0)-1))*IF(G585="Ottone",1,0)</f>
        <v>0</v>
      </c>
      <c r="T585" s="205">
        <f ca="1">IF(ISERROR(OFFSET(Rame!$F$1,MATCH(J585,Rame!$F:$F,0)-1,MATCH(K585,Rame!$F$1:$FF$1,0)-1)=TRUE),0,OFFSET(Rame!$F$1,MATCH(J585,Rame!$F:$F,0)-1,MATCH(K585,Rame!$F$1:$FF$1,0)-1))*IF(G585="Rame",1,0)</f>
        <v>0</v>
      </c>
      <c r="U585" s="205">
        <f ca="1">IF(ISERROR(OFFSET(Bronzo!$A$1,MATCH(J585,Bronzo!$A:$A,0)-1,MATCH(K585,Bronzo!$A$1:$AA$1,0)-1)=TRUE),0,OFFSET(Bronzo!$A$1,MATCH(J585,Bronzo!$A:$A,0)-1,MATCH(K585,Bronzo!$A$1:$AA$1,0)-1))</f>
        <v>0</v>
      </c>
      <c r="V585" s="205">
        <f t="shared" ca="1" si="214"/>
        <v>0</v>
      </c>
      <c r="W585" s="204"/>
      <c r="X585" s="205">
        <v>0</v>
      </c>
      <c r="Y585" s="206">
        <f t="shared" ca="1" si="215"/>
        <v>0</v>
      </c>
      <c r="Z585" s="277">
        <f t="shared" si="216"/>
        <v>0</v>
      </c>
      <c r="AA585" s="203"/>
      <c r="AB585" s="203">
        <f t="shared" ca="1" si="217"/>
        <v>0</v>
      </c>
      <c r="AC585" s="238"/>
      <c r="AI585" s="367">
        <f t="shared" ca="1" si="224"/>
        <v>46092</v>
      </c>
      <c r="AJ585" s="367" t="b">
        <f t="shared" si="218"/>
        <v>1</v>
      </c>
      <c r="AK585" s="370" t="str">
        <f t="shared" si="219"/>
        <v/>
      </c>
      <c r="AN585">
        <f t="shared" si="220"/>
        <v>0</v>
      </c>
      <c r="AO585">
        <f t="shared" si="221"/>
        <v>1900</v>
      </c>
      <c r="AV585">
        <f t="shared" si="222"/>
        <v>0</v>
      </c>
      <c r="AW585">
        <f t="shared" si="223"/>
        <v>0</v>
      </c>
    </row>
    <row r="586" spans="4:49" ht="15.75" x14ac:dyDescent="0.25">
      <c r="D586" s="199"/>
      <c r="E586" s="200"/>
      <c r="F586" s="287"/>
      <c r="G586" s="201"/>
      <c r="H586" s="219"/>
      <c r="I586" s="202"/>
      <c r="J586" s="200"/>
      <c r="K586" s="200"/>
      <c r="L586" s="203"/>
      <c r="M586" s="204">
        <f ca="1">IF(ISERROR(OFFSET(Tabella!$A$1,MATCH(J586,Tabella!$A:$A,0)-1,MATCH(L586,Tabella!$A$1:$AC$1,0)-1)=TRUE),0,+OFFSET(Tabella!$A$1,MATCH(J586,Tabella!$A:$A,0)-1,MATCH(L586,Tabella!$A$1:$AC$1,0)-1))</f>
        <v>0</v>
      </c>
      <c r="N586" s="205">
        <f ca="1">IF(ISERROR(OFFSET(Ottone!$A$1,MATCH(J586,Ottone!$A:$A,0)-1,MATCH(L586,Ottone!$A$1:$Z$1,0)-1)=TRUE),0,OFFSET(Ottone!$A$1,MATCH(J586,Ottone!$A:$A,0)-1,MATCH(L586,Ottone!$A$1:$Z$1,0)-1))*IF(G586="Ottone",1,0)</f>
        <v>0</v>
      </c>
      <c r="O586" s="205">
        <f ca="1">IF(ISERROR(OFFSET(Rame!$A$1,MATCH(J586,Rame!$A:$A,0)-1,MATCH(L586,Rame!$A$1:$AA$1,0)-1)=TRUE),0,OFFSET(Rame!$A$1,MATCH(J586,Rame!$A:$A,0)-1,MATCH(L586,Rame!$A$1:$AA$1,0)-1))*IF(G586="Rame",1,0)</f>
        <v>0</v>
      </c>
      <c r="P586" s="205">
        <v>0</v>
      </c>
      <c r="Q586" s="205">
        <f t="shared" ca="1" si="213"/>
        <v>0</v>
      </c>
      <c r="R586" s="205">
        <f ca="1">+IF(ISERROR(OFFSET(Tabella!$G$1,MATCH(J586,Tabella!$G:$G,0)-1,MATCH(K586,Tabella!$G$1:$FG$1,0)-1)=TRUE),0,OFFSET(Tabella!$G$1,MATCH(J586,Tabella!$G:$G,0)-1,MATCH(K586,Tabella!$G$1:$AB$1,0)-1))</f>
        <v>0</v>
      </c>
      <c r="S586" s="205">
        <f ca="1">IF(ISERROR(OFFSET(Ottone!$F$1,MATCH(J586,Ottone!$A:$A,0)-1,MATCH(K586,Ottone!$F$1:$FF$1,0)-1)=TRUE),0,OFFSET(Ottone!$F$1,MATCH(J586,Ottone!$A:$A,0)-1,MATCH(K586,Ottone!$F$1:$FF$1,0)-1))*IF(G586="Ottone",1,0)</f>
        <v>0</v>
      </c>
      <c r="T586" s="205">
        <f ca="1">IF(ISERROR(OFFSET(Rame!$F$1,MATCH(J586,Rame!$F:$F,0)-1,MATCH(K586,Rame!$F$1:$FF$1,0)-1)=TRUE),0,OFFSET(Rame!$F$1,MATCH(J586,Rame!$F:$F,0)-1,MATCH(K586,Rame!$F$1:$FF$1,0)-1))*IF(G586="Rame",1,0)</f>
        <v>0</v>
      </c>
      <c r="U586" s="205">
        <f ca="1">IF(ISERROR(OFFSET(Bronzo!$A$1,MATCH(J586,Bronzo!$A:$A,0)-1,MATCH(K586,Bronzo!$A$1:$AA$1,0)-1)=TRUE),0,OFFSET(Bronzo!$A$1,MATCH(J586,Bronzo!$A:$A,0)-1,MATCH(K586,Bronzo!$A$1:$AA$1,0)-1))</f>
        <v>0</v>
      </c>
      <c r="V586" s="205">
        <f t="shared" ca="1" si="214"/>
        <v>0</v>
      </c>
      <c r="W586" s="204"/>
      <c r="X586" s="205">
        <v>0</v>
      </c>
      <c r="Y586" s="206">
        <f t="shared" ca="1" si="215"/>
        <v>0</v>
      </c>
      <c r="Z586" s="277">
        <f t="shared" si="216"/>
        <v>0</v>
      </c>
      <c r="AA586" s="203"/>
      <c r="AB586" s="203">
        <f t="shared" ca="1" si="217"/>
        <v>0</v>
      </c>
      <c r="AC586" s="238"/>
      <c r="AI586" s="367">
        <f t="shared" ca="1" si="224"/>
        <v>46092</v>
      </c>
      <c r="AJ586" s="367" t="b">
        <f t="shared" si="218"/>
        <v>1</v>
      </c>
      <c r="AK586" s="370" t="str">
        <f t="shared" si="219"/>
        <v/>
      </c>
      <c r="AN586">
        <f t="shared" si="220"/>
        <v>0</v>
      </c>
      <c r="AO586">
        <f t="shared" si="221"/>
        <v>1900</v>
      </c>
      <c r="AV586">
        <f t="shared" si="222"/>
        <v>0</v>
      </c>
      <c r="AW586">
        <f t="shared" si="223"/>
        <v>0</v>
      </c>
    </row>
    <row r="587" spans="4:49" ht="15.75" x14ac:dyDescent="0.25">
      <c r="D587" s="199"/>
      <c r="E587" s="200"/>
      <c r="F587" s="287"/>
      <c r="G587" s="201"/>
      <c r="H587" s="219"/>
      <c r="I587" s="202"/>
      <c r="J587" s="200"/>
      <c r="K587" s="200"/>
      <c r="L587" s="203"/>
      <c r="M587" s="204">
        <f ca="1">IF(ISERROR(OFFSET(Tabella!$A$1,MATCH(J587,Tabella!$A:$A,0)-1,MATCH(L587,Tabella!$A$1:$AC$1,0)-1)=TRUE),0,+OFFSET(Tabella!$A$1,MATCH(J587,Tabella!$A:$A,0)-1,MATCH(L587,Tabella!$A$1:$AC$1,0)-1))</f>
        <v>0</v>
      </c>
      <c r="N587" s="205">
        <f ca="1">IF(ISERROR(OFFSET(Ottone!$A$1,MATCH(J587,Ottone!$A:$A,0)-1,MATCH(L587,Ottone!$A$1:$Z$1,0)-1)=TRUE),0,OFFSET(Ottone!$A$1,MATCH(J587,Ottone!$A:$A,0)-1,MATCH(L587,Ottone!$A$1:$Z$1,0)-1))*IF(G587="Ottone",1,0)</f>
        <v>0</v>
      </c>
      <c r="O587" s="205">
        <f ca="1">IF(ISERROR(OFFSET(Rame!$A$1,MATCH(J587,Rame!$A:$A,0)-1,MATCH(L587,Rame!$A$1:$AA$1,0)-1)=TRUE),0,OFFSET(Rame!$A$1,MATCH(J587,Rame!$A:$A,0)-1,MATCH(L587,Rame!$A$1:$AA$1,0)-1))*IF(G587="Rame",1,0)</f>
        <v>0</v>
      </c>
      <c r="P587" s="205">
        <v>0</v>
      </c>
      <c r="Q587" s="205">
        <f t="shared" ca="1" si="213"/>
        <v>0</v>
      </c>
      <c r="R587" s="205">
        <f ca="1">+IF(ISERROR(OFFSET(Tabella!$G$1,MATCH(J587,Tabella!$G:$G,0)-1,MATCH(K587,Tabella!$G$1:$FG$1,0)-1)=TRUE),0,OFFSET(Tabella!$G$1,MATCH(J587,Tabella!$G:$G,0)-1,MATCH(K587,Tabella!$G$1:$AB$1,0)-1))</f>
        <v>0</v>
      </c>
      <c r="S587" s="205">
        <f ca="1">IF(ISERROR(OFFSET(Ottone!$F$1,MATCH(J587,Ottone!$A:$A,0)-1,MATCH(K587,Ottone!$F$1:$FF$1,0)-1)=TRUE),0,OFFSET(Ottone!$F$1,MATCH(J587,Ottone!$A:$A,0)-1,MATCH(K587,Ottone!$F$1:$FF$1,0)-1))*IF(G587="Ottone",1,0)</f>
        <v>0</v>
      </c>
      <c r="T587" s="205">
        <f ca="1">IF(ISERROR(OFFSET(Rame!$F$1,MATCH(J587,Rame!$F:$F,0)-1,MATCH(K587,Rame!$F$1:$FF$1,0)-1)=TRUE),0,OFFSET(Rame!$F$1,MATCH(J587,Rame!$F:$F,0)-1,MATCH(K587,Rame!$F$1:$FF$1,0)-1))*IF(G587="Rame",1,0)</f>
        <v>0</v>
      </c>
      <c r="U587" s="205">
        <f ca="1">IF(ISERROR(OFFSET(Bronzo!$A$1,MATCH(J587,Bronzo!$A:$A,0)-1,MATCH(K587,Bronzo!$A$1:$AA$1,0)-1)=TRUE),0,OFFSET(Bronzo!$A$1,MATCH(J587,Bronzo!$A:$A,0)-1,MATCH(K587,Bronzo!$A$1:$AA$1,0)-1))</f>
        <v>0</v>
      </c>
      <c r="V587" s="205">
        <f t="shared" ca="1" si="214"/>
        <v>0</v>
      </c>
      <c r="W587" s="204"/>
      <c r="X587" s="205">
        <v>0</v>
      </c>
      <c r="Y587" s="206">
        <f t="shared" ca="1" si="215"/>
        <v>0</v>
      </c>
      <c r="Z587" s="277">
        <f t="shared" si="216"/>
        <v>0</v>
      </c>
      <c r="AA587" s="203"/>
      <c r="AB587" s="203">
        <f t="shared" ca="1" si="217"/>
        <v>0</v>
      </c>
      <c r="AC587" s="238"/>
      <c r="AI587" s="367">
        <f t="shared" ca="1" si="224"/>
        <v>46092</v>
      </c>
      <c r="AJ587" s="367" t="b">
        <f t="shared" si="218"/>
        <v>1</v>
      </c>
      <c r="AK587" s="370" t="str">
        <f t="shared" si="219"/>
        <v/>
      </c>
      <c r="AN587">
        <f t="shared" si="220"/>
        <v>0</v>
      </c>
      <c r="AO587">
        <f t="shared" si="221"/>
        <v>1900</v>
      </c>
      <c r="AV587">
        <f t="shared" si="222"/>
        <v>0</v>
      </c>
      <c r="AW587">
        <f t="shared" si="223"/>
        <v>0</v>
      </c>
    </row>
    <row r="588" spans="4:49" ht="15.75" x14ac:dyDescent="0.25">
      <c r="D588" s="199"/>
      <c r="E588" s="200"/>
      <c r="F588" s="287"/>
      <c r="G588" s="201"/>
      <c r="H588" s="219"/>
      <c r="I588" s="202"/>
      <c r="J588" s="200"/>
      <c r="K588" s="200"/>
      <c r="L588" s="203"/>
      <c r="M588" s="204">
        <f ca="1">IF(ISERROR(OFFSET(Tabella!$A$1,MATCH(J588,Tabella!$A:$A,0)-1,MATCH(L588,Tabella!$A$1:$AC$1,0)-1)=TRUE),0,+OFFSET(Tabella!$A$1,MATCH(J588,Tabella!$A:$A,0)-1,MATCH(L588,Tabella!$A$1:$AC$1,0)-1))</f>
        <v>0</v>
      </c>
      <c r="N588" s="205">
        <f ca="1">IF(ISERROR(OFFSET(Ottone!$A$1,MATCH(J588,Ottone!$A:$A,0)-1,MATCH(L588,Ottone!$A$1:$Z$1,0)-1)=TRUE),0,OFFSET(Ottone!$A$1,MATCH(J588,Ottone!$A:$A,0)-1,MATCH(L588,Ottone!$A$1:$Z$1,0)-1))*IF(G588="Ottone",1,0)</f>
        <v>0</v>
      </c>
      <c r="O588" s="205">
        <f ca="1">IF(ISERROR(OFFSET(Rame!$A$1,MATCH(J588,Rame!$A:$A,0)-1,MATCH(L588,Rame!$A$1:$AA$1,0)-1)=TRUE),0,OFFSET(Rame!$A$1,MATCH(J588,Rame!$A:$A,0)-1,MATCH(L588,Rame!$A$1:$AA$1,0)-1))*IF(G588="Rame",1,0)</f>
        <v>0</v>
      </c>
      <c r="P588" s="205">
        <v>0</v>
      </c>
      <c r="Q588" s="205">
        <f t="shared" ca="1" si="213"/>
        <v>0</v>
      </c>
      <c r="R588" s="205">
        <f ca="1">+IF(ISERROR(OFFSET(Tabella!$G$1,MATCH(J588,Tabella!$G:$G,0)-1,MATCH(K588,Tabella!$G$1:$FG$1,0)-1)=TRUE),0,OFFSET(Tabella!$G$1,MATCH(J588,Tabella!$G:$G,0)-1,MATCH(K588,Tabella!$G$1:$AB$1,0)-1))</f>
        <v>0</v>
      </c>
      <c r="S588" s="205">
        <f ca="1">IF(ISERROR(OFFSET(Ottone!$F$1,MATCH(J588,Ottone!$A:$A,0)-1,MATCH(K588,Ottone!$F$1:$FF$1,0)-1)=TRUE),0,OFFSET(Ottone!$F$1,MATCH(J588,Ottone!$A:$A,0)-1,MATCH(K588,Ottone!$F$1:$FF$1,0)-1))*IF(G588="Ottone",1,0)</f>
        <v>0</v>
      </c>
      <c r="T588" s="205">
        <f ca="1">IF(ISERROR(OFFSET(Rame!$F$1,MATCH(J588,Rame!$F:$F,0)-1,MATCH(K588,Rame!$F$1:$FF$1,0)-1)=TRUE),0,OFFSET(Rame!$F$1,MATCH(J588,Rame!$F:$F,0)-1,MATCH(K588,Rame!$F$1:$FF$1,0)-1))*IF(G588="Rame",1,0)</f>
        <v>0</v>
      </c>
      <c r="U588" s="205">
        <f ca="1">IF(ISERROR(OFFSET(Bronzo!$A$1,MATCH(J588,Bronzo!$A:$A,0)-1,MATCH(K588,Bronzo!$A$1:$AA$1,0)-1)=TRUE),0,OFFSET(Bronzo!$A$1,MATCH(J588,Bronzo!$A:$A,0)-1,MATCH(K588,Bronzo!$A$1:$AA$1,0)-1))</f>
        <v>0</v>
      </c>
      <c r="V588" s="205">
        <f t="shared" ca="1" si="214"/>
        <v>0</v>
      </c>
      <c r="W588" s="204"/>
      <c r="X588" s="205">
        <v>0</v>
      </c>
      <c r="Y588" s="206">
        <f t="shared" ca="1" si="215"/>
        <v>0</v>
      </c>
      <c r="Z588" s="277">
        <f t="shared" si="216"/>
        <v>0</v>
      </c>
      <c r="AA588" s="203"/>
      <c r="AB588" s="203">
        <f t="shared" ca="1" si="217"/>
        <v>0</v>
      </c>
      <c r="AC588" s="238"/>
      <c r="AI588" s="367">
        <f t="shared" ca="1" si="224"/>
        <v>46092</v>
      </c>
      <c r="AJ588" s="367" t="b">
        <f t="shared" si="218"/>
        <v>1</v>
      </c>
      <c r="AK588" s="370" t="str">
        <f t="shared" si="219"/>
        <v/>
      </c>
      <c r="AN588">
        <f t="shared" si="220"/>
        <v>0</v>
      </c>
      <c r="AO588">
        <f t="shared" si="221"/>
        <v>1900</v>
      </c>
      <c r="AV588">
        <f t="shared" si="222"/>
        <v>0</v>
      </c>
      <c r="AW588">
        <f t="shared" si="223"/>
        <v>0</v>
      </c>
    </row>
    <row r="589" spans="4:49" ht="15.75" x14ac:dyDescent="0.25">
      <c r="D589" s="199"/>
      <c r="E589" s="200"/>
      <c r="F589" s="287"/>
      <c r="G589" s="201"/>
      <c r="H589" s="219"/>
      <c r="I589" s="202"/>
      <c r="J589" s="200"/>
      <c r="K589" s="200"/>
      <c r="L589" s="203"/>
      <c r="M589" s="204">
        <f ca="1">IF(ISERROR(OFFSET(Tabella!$A$1,MATCH(J589,Tabella!$A:$A,0)-1,MATCH(L589,Tabella!$A$1:$AC$1,0)-1)=TRUE),0,+OFFSET(Tabella!$A$1,MATCH(J589,Tabella!$A:$A,0)-1,MATCH(L589,Tabella!$A$1:$AC$1,0)-1))</f>
        <v>0</v>
      </c>
      <c r="N589" s="205">
        <f ca="1">IF(ISERROR(OFFSET(Ottone!$A$1,MATCH(J589,Ottone!$A:$A,0)-1,MATCH(L589,Ottone!$A$1:$Z$1,0)-1)=TRUE),0,OFFSET(Ottone!$A$1,MATCH(J589,Ottone!$A:$A,0)-1,MATCH(L589,Ottone!$A$1:$Z$1,0)-1))*IF(G589="Ottone",1,0)</f>
        <v>0</v>
      </c>
      <c r="O589" s="205">
        <f ca="1">IF(ISERROR(OFFSET(Rame!$A$1,MATCH(J589,Rame!$A:$A,0)-1,MATCH(L589,Rame!$A$1:$AA$1,0)-1)=TRUE),0,OFFSET(Rame!$A$1,MATCH(J589,Rame!$A:$A,0)-1,MATCH(L589,Rame!$A$1:$AA$1,0)-1))*IF(G589="Rame",1,0)</f>
        <v>0</v>
      </c>
      <c r="P589" s="205">
        <v>0</v>
      </c>
      <c r="Q589" s="205">
        <f t="shared" ca="1" si="213"/>
        <v>0</v>
      </c>
      <c r="R589" s="205">
        <f ca="1">+IF(ISERROR(OFFSET(Tabella!$G$1,MATCH(J589,Tabella!$G:$G,0)-1,MATCH(K589,Tabella!$G$1:$FG$1,0)-1)=TRUE),0,OFFSET(Tabella!$G$1,MATCH(J589,Tabella!$G:$G,0)-1,MATCH(K589,Tabella!$G$1:$AB$1,0)-1))</f>
        <v>0</v>
      </c>
      <c r="S589" s="205">
        <f ca="1">IF(ISERROR(OFFSET(Ottone!$F$1,MATCH(J589,Ottone!$A:$A,0)-1,MATCH(K589,Ottone!$F$1:$FF$1,0)-1)=TRUE),0,OFFSET(Ottone!$F$1,MATCH(J589,Ottone!$A:$A,0)-1,MATCH(K589,Ottone!$F$1:$FF$1,0)-1))*IF(G589="Ottone",1,0)</f>
        <v>0</v>
      </c>
      <c r="T589" s="205">
        <f ca="1">IF(ISERROR(OFFSET(Rame!$F$1,MATCH(J589,Rame!$F:$F,0)-1,MATCH(K589,Rame!$F$1:$FF$1,0)-1)=TRUE),0,OFFSET(Rame!$F$1,MATCH(J589,Rame!$F:$F,0)-1,MATCH(K589,Rame!$F$1:$FF$1,0)-1))*IF(G589="Rame",1,0)</f>
        <v>0</v>
      </c>
      <c r="U589" s="205">
        <f ca="1">IF(ISERROR(OFFSET(Bronzo!$A$1,MATCH(J589,Bronzo!$A:$A,0)-1,MATCH(K589,Bronzo!$A$1:$AA$1,0)-1)=TRUE),0,OFFSET(Bronzo!$A$1,MATCH(J589,Bronzo!$A:$A,0)-1,MATCH(K589,Bronzo!$A$1:$AA$1,0)-1))</f>
        <v>0</v>
      </c>
      <c r="V589" s="205">
        <f t="shared" ca="1" si="214"/>
        <v>0</v>
      </c>
      <c r="W589" s="204"/>
      <c r="X589" s="205">
        <v>0</v>
      </c>
      <c r="Y589" s="206">
        <f t="shared" ca="1" si="215"/>
        <v>0</v>
      </c>
      <c r="Z589" s="277">
        <f t="shared" si="216"/>
        <v>0</v>
      </c>
      <c r="AA589" s="203"/>
      <c r="AB589" s="203">
        <f t="shared" ca="1" si="217"/>
        <v>0</v>
      </c>
      <c r="AC589" s="238"/>
      <c r="AI589" s="367">
        <f t="shared" ca="1" si="224"/>
        <v>46092</v>
      </c>
      <c r="AJ589" s="367" t="b">
        <f t="shared" si="218"/>
        <v>1</v>
      </c>
      <c r="AK589" s="370" t="str">
        <f t="shared" si="219"/>
        <v/>
      </c>
      <c r="AN589">
        <f t="shared" si="220"/>
        <v>0</v>
      </c>
      <c r="AO589">
        <f t="shared" si="221"/>
        <v>1900</v>
      </c>
      <c r="AV589">
        <f t="shared" si="222"/>
        <v>0</v>
      </c>
      <c r="AW589">
        <f t="shared" si="223"/>
        <v>0</v>
      </c>
    </row>
    <row r="590" spans="4:49" ht="15.75" x14ac:dyDescent="0.25">
      <c r="D590" s="199"/>
      <c r="E590" s="200"/>
      <c r="F590" s="287"/>
      <c r="G590" s="201"/>
      <c r="H590" s="219"/>
      <c r="I590" s="202"/>
      <c r="J590" s="200"/>
      <c r="K590" s="200"/>
      <c r="L590" s="203"/>
      <c r="M590" s="204">
        <f ca="1">IF(ISERROR(OFFSET(Tabella!$A$1,MATCH(J590,Tabella!$A:$A,0)-1,MATCH(L590,Tabella!$A$1:$AC$1,0)-1)=TRUE),0,+OFFSET(Tabella!$A$1,MATCH(J590,Tabella!$A:$A,0)-1,MATCH(L590,Tabella!$A$1:$AC$1,0)-1))</f>
        <v>0</v>
      </c>
      <c r="N590" s="205">
        <f ca="1">IF(ISERROR(OFFSET(Ottone!$A$1,MATCH(J590,Ottone!$A:$A,0)-1,MATCH(L590,Ottone!$A$1:$Z$1,0)-1)=TRUE),0,OFFSET(Ottone!$A$1,MATCH(J590,Ottone!$A:$A,0)-1,MATCH(L590,Ottone!$A$1:$Z$1,0)-1))*IF(G590="Ottone",1,0)</f>
        <v>0</v>
      </c>
      <c r="O590" s="205">
        <f ca="1">IF(ISERROR(OFFSET(Rame!$A$1,MATCH(J590,Rame!$A:$A,0)-1,MATCH(L590,Rame!$A$1:$AA$1,0)-1)=TRUE),0,OFFSET(Rame!$A$1,MATCH(J590,Rame!$A:$A,0)-1,MATCH(L590,Rame!$A$1:$AA$1,0)-1))*IF(G590="Rame",1,0)</f>
        <v>0</v>
      </c>
      <c r="P590" s="205">
        <v>0</v>
      </c>
      <c r="Q590" s="205">
        <f t="shared" ca="1" si="213"/>
        <v>0</v>
      </c>
      <c r="R590" s="205">
        <f ca="1">+IF(ISERROR(OFFSET(Tabella!$G$1,MATCH(J590,Tabella!$G:$G,0)-1,MATCH(K590,Tabella!$G$1:$FG$1,0)-1)=TRUE),0,OFFSET(Tabella!$G$1,MATCH(J590,Tabella!$G:$G,0)-1,MATCH(K590,Tabella!$G$1:$AB$1,0)-1))</f>
        <v>0</v>
      </c>
      <c r="S590" s="205">
        <f ca="1">IF(ISERROR(OFFSET(Ottone!$F$1,MATCH(J590,Ottone!$A:$A,0)-1,MATCH(K590,Ottone!$F$1:$FF$1,0)-1)=TRUE),0,OFFSET(Ottone!$F$1,MATCH(J590,Ottone!$A:$A,0)-1,MATCH(K590,Ottone!$F$1:$FF$1,0)-1))*IF(G590="Ottone",1,0)</f>
        <v>0</v>
      </c>
      <c r="T590" s="205">
        <f ca="1">IF(ISERROR(OFFSET(Rame!$F$1,MATCH(J590,Rame!$F:$F,0)-1,MATCH(K590,Rame!$F$1:$FF$1,0)-1)=TRUE),0,OFFSET(Rame!$F$1,MATCH(J590,Rame!$F:$F,0)-1,MATCH(K590,Rame!$F$1:$FF$1,0)-1))*IF(G590="Rame",1,0)</f>
        <v>0</v>
      </c>
      <c r="U590" s="205">
        <f ca="1">IF(ISERROR(OFFSET(Bronzo!$A$1,MATCH(J590,Bronzo!$A:$A,0)-1,MATCH(K590,Bronzo!$A$1:$AA$1,0)-1)=TRUE),0,OFFSET(Bronzo!$A$1,MATCH(J590,Bronzo!$A:$A,0)-1,MATCH(K590,Bronzo!$A$1:$AA$1,0)-1))</f>
        <v>0</v>
      </c>
      <c r="V590" s="205">
        <f t="shared" ca="1" si="214"/>
        <v>0</v>
      </c>
      <c r="W590" s="204"/>
      <c r="X590" s="205">
        <v>0</v>
      </c>
      <c r="Y590" s="206">
        <f t="shared" ca="1" si="215"/>
        <v>0</v>
      </c>
      <c r="Z590" s="277">
        <f t="shared" si="216"/>
        <v>0</v>
      </c>
      <c r="AA590" s="203"/>
      <c r="AB590" s="203">
        <f t="shared" ca="1" si="217"/>
        <v>0</v>
      </c>
      <c r="AC590" s="238"/>
      <c r="AI590" s="367">
        <f t="shared" ca="1" si="224"/>
        <v>46092</v>
      </c>
      <c r="AJ590" s="367" t="b">
        <f t="shared" si="218"/>
        <v>1</v>
      </c>
      <c r="AK590" s="370" t="str">
        <f t="shared" si="219"/>
        <v/>
      </c>
      <c r="AN590">
        <f t="shared" si="220"/>
        <v>0</v>
      </c>
      <c r="AO590">
        <f t="shared" si="221"/>
        <v>1900</v>
      </c>
      <c r="AV590">
        <f t="shared" si="222"/>
        <v>0</v>
      </c>
      <c r="AW590">
        <f t="shared" si="223"/>
        <v>0</v>
      </c>
    </row>
    <row r="591" spans="4:49" ht="15.75" x14ac:dyDescent="0.25">
      <c r="D591" s="199"/>
      <c r="E591" s="200"/>
      <c r="F591" s="287"/>
      <c r="G591" s="201"/>
      <c r="H591" s="219"/>
      <c r="I591" s="202"/>
      <c r="J591" s="200"/>
      <c r="K591" s="200"/>
      <c r="L591" s="203"/>
      <c r="M591" s="204">
        <f ca="1">IF(ISERROR(OFFSET(Tabella!$A$1,MATCH(J591,Tabella!$A:$A,0)-1,MATCH(L591,Tabella!$A$1:$AC$1,0)-1)=TRUE),0,+OFFSET(Tabella!$A$1,MATCH(J591,Tabella!$A:$A,0)-1,MATCH(L591,Tabella!$A$1:$AC$1,0)-1))</f>
        <v>0</v>
      </c>
      <c r="N591" s="205">
        <f ca="1">IF(ISERROR(OFFSET(Ottone!$A$1,MATCH(J591,Ottone!$A:$A,0)-1,MATCH(L591,Ottone!$A$1:$Z$1,0)-1)=TRUE),0,OFFSET(Ottone!$A$1,MATCH(J591,Ottone!$A:$A,0)-1,MATCH(L591,Ottone!$A$1:$Z$1,0)-1))*IF(G591="Ottone",1,0)</f>
        <v>0</v>
      </c>
      <c r="O591" s="205">
        <f ca="1">IF(ISERROR(OFFSET(Rame!$A$1,MATCH(J591,Rame!$A:$A,0)-1,MATCH(L591,Rame!$A$1:$AA$1,0)-1)=TRUE),0,OFFSET(Rame!$A$1,MATCH(J591,Rame!$A:$A,0)-1,MATCH(L591,Rame!$A$1:$AA$1,0)-1))*IF(G591="Rame",1,0)</f>
        <v>0</v>
      </c>
      <c r="P591" s="205">
        <v>0</v>
      </c>
      <c r="Q591" s="205">
        <f t="shared" ref="Q591:Q654" ca="1" si="225">SUM(M591:P591)</f>
        <v>0</v>
      </c>
      <c r="R591" s="205">
        <f ca="1">+IF(ISERROR(OFFSET(Tabella!$G$1,MATCH(J591,Tabella!$G:$G,0)-1,MATCH(K591,Tabella!$G$1:$FG$1,0)-1)=TRUE),0,OFFSET(Tabella!$G$1,MATCH(J591,Tabella!$G:$G,0)-1,MATCH(K591,Tabella!$G$1:$AB$1,0)-1))</f>
        <v>0</v>
      </c>
      <c r="S591" s="205">
        <f ca="1">IF(ISERROR(OFFSET(Ottone!$F$1,MATCH(J591,Ottone!$A:$A,0)-1,MATCH(K591,Ottone!$F$1:$FF$1,0)-1)=TRUE),0,OFFSET(Ottone!$F$1,MATCH(J591,Ottone!$A:$A,0)-1,MATCH(K591,Ottone!$F$1:$FF$1,0)-1))*IF(G591="Ottone",1,0)</f>
        <v>0</v>
      </c>
      <c r="T591" s="205">
        <f ca="1">IF(ISERROR(OFFSET(Rame!$F$1,MATCH(J591,Rame!$F:$F,0)-1,MATCH(K591,Rame!$F$1:$FF$1,0)-1)=TRUE),0,OFFSET(Rame!$F$1,MATCH(J591,Rame!$F:$F,0)-1,MATCH(K591,Rame!$F$1:$FF$1,0)-1))*IF(G591="Rame",1,0)</f>
        <v>0</v>
      </c>
      <c r="U591" s="205">
        <f ca="1">IF(ISERROR(OFFSET(Bronzo!$A$1,MATCH(J591,Bronzo!$A:$A,0)-1,MATCH(K591,Bronzo!$A$1:$AA$1,0)-1)=TRUE),0,OFFSET(Bronzo!$A$1,MATCH(J591,Bronzo!$A:$A,0)-1,MATCH(K591,Bronzo!$A$1:$AA$1,0)-1))</f>
        <v>0</v>
      </c>
      <c r="V591" s="205">
        <f t="shared" ref="V591:V654" ca="1" si="226">SUM(R591:U591)</f>
        <v>0</v>
      </c>
      <c r="W591" s="204"/>
      <c r="X591" s="205">
        <v>0</v>
      </c>
      <c r="Y591" s="206">
        <f t="shared" ref="Y591:Y654" ca="1" si="227">+Q591+V591+W591+X591</f>
        <v>0</v>
      </c>
      <c r="Z591" s="277">
        <f t="shared" ref="Z591:Z654" si="228">+L591*F591</f>
        <v>0</v>
      </c>
      <c r="AA591" s="203"/>
      <c r="AB591" s="203">
        <f t="shared" ref="AB591:AB654" ca="1" si="229">+AA591-Y591-H591</f>
        <v>0</v>
      </c>
      <c r="AC591" s="238"/>
      <c r="AI591" s="367">
        <f t="shared" ca="1" si="224"/>
        <v>46092</v>
      </c>
      <c r="AJ591" s="367" t="b">
        <f t="shared" si="218"/>
        <v>1</v>
      </c>
      <c r="AK591" s="370" t="str">
        <f t="shared" si="219"/>
        <v/>
      </c>
      <c r="AN591">
        <f t="shared" si="220"/>
        <v>0</v>
      </c>
      <c r="AO591">
        <f t="shared" si="221"/>
        <v>1900</v>
      </c>
      <c r="AV591">
        <f t="shared" si="222"/>
        <v>0</v>
      </c>
      <c r="AW591">
        <f t="shared" si="223"/>
        <v>0</v>
      </c>
    </row>
    <row r="592" spans="4:49" ht="15.75" x14ac:dyDescent="0.25">
      <c r="D592" s="199"/>
      <c r="E592" s="200"/>
      <c r="F592" s="287"/>
      <c r="G592" s="201"/>
      <c r="H592" s="219"/>
      <c r="I592" s="202"/>
      <c r="J592" s="200"/>
      <c r="K592" s="200"/>
      <c r="L592" s="203"/>
      <c r="M592" s="204">
        <f ca="1">IF(ISERROR(OFFSET(Tabella!$A$1,MATCH(J592,Tabella!$A:$A,0)-1,MATCH(L592,Tabella!$A$1:$AC$1,0)-1)=TRUE),0,+OFFSET(Tabella!$A$1,MATCH(J592,Tabella!$A:$A,0)-1,MATCH(L592,Tabella!$A$1:$AC$1,0)-1))</f>
        <v>0</v>
      </c>
      <c r="N592" s="205">
        <f ca="1">IF(ISERROR(OFFSET(Ottone!$A$1,MATCH(J592,Ottone!$A:$A,0)-1,MATCH(L592,Ottone!$A$1:$Z$1,0)-1)=TRUE),0,OFFSET(Ottone!$A$1,MATCH(J592,Ottone!$A:$A,0)-1,MATCH(L592,Ottone!$A$1:$Z$1,0)-1))*IF(G592="Ottone",1,0)</f>
        <v>0</v>
      </c>
      <c r="O592" s="205">
        <f ca="1">IF(ISERROR(OFFSET(Rame!$A$1,MATCH(J592,Rame!$A:$A,0)-1,MATCH(L592,Rame!$A$1:$AA$1,0)-1)=TRUE),0,OFFSET(Rame!$A$1,MATCH(J592,Rame!$A:$A,0)-1,MATCH(L592,Rame!$A$1:$AA$1,0)-1))*IF(G592="Rame",1,0)</f>
        <v>0</v>
      </c>
      <c r="P592" s="205">
        <v>0</v>
      </c>
      <c r="Q592" s="205">
        <f t="shared" ca="1" si="225"/>
        <v>0</v>
      </c>
      <c r="R592" s="205">
        <f ca="1">+IF(ISERROR(OFFSET(Tabella!$G$1,MATCH(J592,Tabella!$G:$G,0)-1,MATCH(K592,Tabella!$G$1:$FG$1,0)-1)=TRUE),0,OFFSET(Tabella!$G$1,MATCH(J592,Tabella!$G:$G,0)-1,MATCH(K592,Tabella!$G$1:$AB$1,0)-1))</f>
        <v>0</v>
      </c>
      <c r="S592" s="205">
        <f ca="1">IF(ISERROR(OFFSET(Ottone!$F$1,MATCH(J592,Ottone!$A:$A,0)-1,MATCH(K592,Ottone!$F$1:$FF$1,0)-1)=TRUE),0,OFFSET(Ottone!$F$1,MATCH(J592,Ottone!$A:$A,0)-1,MATCH(K592,Ottone!$F$1:$FF$1,0)-1))*IF(G592="Ottone",1,0)</f>
        <v>0</v>
      </c>
      <c r="T592" s="205">
        <f ca="1">IF(ISERROR(OFFSET(Rame!$F$1,MATCH(J592,Rame!$F:$F,0)-1,MATCH(K592,Rame!$F$1:$FF$1,0)-1)=TRUE),0,OFFSET(Rame!$F$1,MATCH(J592,Rame!$F:$F,0)-1,MATCH(K592,Rame!$F$1:$FF$1,0)-1))*IF(G592="Rame",1,0)</f>
        <v>0</v>
      </c>
      <c r="U592" s="205">
        <f ca="1">IF(ISERROR(OFFSET(Bronzo!$A$1,MATCH(J592,Bronzo!$A:$A,0)-1,MATCH(K592,Bronzo!$A$1:$AA$1,0)-1)=TRUE),0,OFFSET(Bronzo!$A$1,MATCH(J592,Bronzo!$A:$A,0)-1,MATCH(K592,Bronzo!$A$1:$AA$1,0)-1))</f>
        <v>0</v>
      </c>
      <c r="V592" s="205">
        <f t="shared" ca="1" si="226"/>
        <v>0</v>
      </c>
      <c r="W592" s="204"/>
      <c r="X592" s="205">
        <v>0</v>
      </c>
      <c r="Y592" s="206">
        <f t="shared" ca="1" si="227"/>
        <v>0</v>
      </c>
      <c r="Z592" s="277">
        <f t="shared" si="228"/>
        <v>0</v>
      </c>
      <c r="AA592" s="203"/>
      <c r="AB592" s="203">
        <f t="shared" ca="1" si="229"/>
        <v>0</v>
      </c>
      <c r="AC592" s="238"/>
      <c r="AI592" s="367">
        <f t="shared" ca="1" si="224"/>
        <v>46092</v>
      </c>
      <c r="AJ592" s="367" t="b">
        <f t="shared" si="218"/>
        <v>1</v>
      </c>
      <c r="AK592" s="370" t="str">
        <f t="shared" si="219"/>
        <v/>
      </c>
      <c r="AN592">
        <f t="shared" si="220"/>
        <v>0</v>
      </c>
      <c r="AO592">
        <f t="shared" si="221"/>
        <v>1900</v>
      </c>
      <c r="AV592">
        <f t="shared" si="222"/>
        <v>0</v>
      </c>
      <c r="AW592">
        <f t="shared" si="223"/>
        <v>0</v>
      </c>
    </row>
    <row r="593" spans="4:49" ht="15.75" x14ac:dyDescent="0.25">
      <c r="D593" s="199"/>
      <c r="E593" s="200"/>
      <c r="F593" s="287"/>
      <c r="G593" s="201"/>
      <c r="H593" s="219"/>
      <c r="I593" s="202"/>
      <c r="J593" s="200"/>
      <c r="K593" s="200"/>
      <c r="L593" s="203"/>
      <c r="M593" s="204">
        <f ca="1">IF(ISERROR(OFFSET(Tabella!$A$1,MATCH(J593,Tabella!$A:$A,0)-1,MATCH(L593,Tabella!$A$1:$AC$1,0)-1)=TRUE),0,+OFFSET(Tabella!$A$1,MATCH(J593,Tabella!$A:$A,0)-1,MATCH(L593,Tabella!$A$1:$AC$1,0)-1))</f>
        <v>0</v>
      </c>
      <c r="N593" s="205">
        <f ca="1">IF(ISERROR(OFFSET(Ottone!$A$1,MATCH(J593,Ottone!$A:$A,0)-1,MATCH(L593,Ottone!$A$1:$Z$1,0)-1)=TRUE),0,OFFSET(Ottone!$A$1,MATCH(J593,Ottone!$A:$A,0)-1,MATCH(L593,Ottone!$A$1:$Z$1,0)-1))*IF(G593="Ottone",1,0)</f>
        <v>0</v>
      </c>
      <c r="O593" s="205">
        <f ca="1">IF(ISERROR(OFFSET(Rame!$A$1,MATCH(J593,Rame!$A:$A,0)-1,MATCH(L593,Rame!$A$1:$AA$1,0)-1)=TRUE),0,OFFSET(Rame!$A$1,MATCH(J593,Rame!$A:$A,0)-1,MATCH(L593,Rame!$A$1:$AA$1,0)-1))*IF(G593="Rame",1,0)</f>
        <v>0</v>
      </c>
      <c r="P593" s="205">
        <v>0</v>
      </c>
      <c r="Q593" s="205">
        <f t="shared" ca="1" si="225"/>
        <v>0</v>
      </c>
      <c r="R593" s="205">
        <f ca="1">+IF(ISERROR(OFFSET(Tabella!$G$1,MATCH(J593,Tabella!$G:$G,0)-1,MATCH(K593,Tabella!$G$1:$FG$1,0)-1)=TRUE),0,OFFSET(Tabella!$G$1,MATCH(J593,Tabella!$G:$G,0)-1,MATCH(K593,Tabella!$G$1:$AB$1,0)-1))</f>
        <v>0</v>
      </c>
      <c r="S593" s="205">
        <f ca="1">IF(ISERROR(OFFSET(Ottone!$F$1,MATCH(J593,Ottone!$A:$A,0)-1,MATCH(K593,Ottone!$F$1:$FF$1,0)-1)=TRUE),0,OFFSET(Ottone!$F$1,MATCH(J593,Ottone!$A:$A,0)-1,MATCH(K593,Ottone!$F$1:$FF$1,0)-1))*IF(G593="Ottone",1,0)</f>
        <v>0</v>
      </c>
      <c r="T593" s="205">
        <f ca="1">IF(ISERROR(OFFSET(Rame!$F$1,MATCH(J593,Rame!$F:$F,0)-1,MATCH(K593,Rame!$F$1:$FF$1,0)-1)=TRUE),0,OFFSET(Rame!$F$1,MATCH(J593,Rame!$F:$F,0)-1,MATCH(K593,Rame!$F$1:$FF$1,0)-1))*IF(G593="Rame",1,0)</f>
        <v>0</v>
      </c>
      <c r="U593" s="205">
        <f ca="1">IF(ISERROR(OFFSET(Bronzo!$A$1,MATCH(J593,Bronzo!$A:$A,0)-1,MATCH(K593,Bronzo!$A$1:$AA$1,0)-1)=TRUE),0,OFFSET(Bronzo!$A$1,MATCH(J593,Bronzo!$A:$A,0)-1,MATCH(K593,Bronzo!$A$1:$AA$1,0)-1))</f>
        <v>0</v>
      </c>
      <c r="V593" s="205">
        <f t="shared" ca="1" si="226"/>
        <v>0</v>
      </c>
      <c r="W593" s="204"/>
      <c r="X593" s="205">
        <v>0</v>
      </c>
      <c r="Y593" s="206">
        <f t="shared" ca="1" si="227"/>
        <v>0</v>
      </c>
      <c r="Z593" s="277">
        <f t="shared" si="228"/>
        <v>0</v>
      </c>
      <c r="AA593" s="203"/>
      <c r="AB593" s="203">
        <f t="shared" ca="1" si="229"/>
        <v>0</v>
      </c>
      <c r="AC593" s="238"/>
      <c r="AI593" s="367">
        <f t="shared" ca="1" si="224"/>
        <v>46092</v>
      </c>
      <c r="AJ593" s="367" t="b">
        <f t="shared" si="218"/>
        <v>1</v>
      </c>
      <c r="AK593" s="370" t="str">
        <f t="shared" si="219"/>
        <v/>
      </c>
      <c r="AN593">
        <f t="shared" si="220"/>
        <v>0</v>
      </c>
      <c r="AO593">
        <f t="shared" si="221"/>
        <v>1900</v>
      </c>
      <c r="AV593">
        <f t="shared" si="222"/>
        <v>0</v>
      </c>
      <c r="AW593">
        <f t="shared" si="223"/>
        <v>0</v>
      </c>
    </row>
    <row r="594" spans="4:49" ht="15.75" x14ac:dyDescent="0.25">
      <c r="D594" s="199"/>
      <c r="E594" s="200"/>
      <c r="F594" s="287"/>
      <c r="G594" s="201"/>
      <c r="H594" s="219"/>
      <c r="I594" s="202"/>
      <c r="J594" s="200"/>
      <c r="K594" s="200"/>
      <c r="L594" s="203"/>
      <c r="M594" s="204">
        <f ca="1">IF(ISERROR(OFFSET(Tabella!$A$1,MATCH(J594,Tabella!$A:$A,0)-1,MATCH(L594,Tabella!$A$1:$AC$1,0)-1)=TRUE),0,+OFFSET(Tabella!$A$1,MATCH(J594,Tabella!$A:$A,0)-1,MATCH(L594,Tabella!$A$1:$AC$1,0)-1))</f>
        <v>0</v>
      </c>
      <c r="N594" s="205">
        <f ca="1">IF(ISERROR(OFFSET(Ottone!$A$1,MATCH(J594,Ottone!$A:$A,0)-1,MATCH(L594,Ottone!$A$1:$Z$1,0)-1)=TRUE),0,OFFSET(Ottone!$A$1,MATCH(J594,Ottone!$A:$A,0)-1,MATCH(L594,Ottone!$A$1:$Z$1,0)-1))*IF(G594="Ottone",1,0)</f>
        <v>0</v>
      </c>
      <c r="O594" s="205">
        <f ca="1">IF(ISERROR(OFFSET(Rame!$A$1,MATCH(J594,Rame!$A:$A,0)-1,MATCH(L594,Rame!$A$1:$AA$1,0)-1)=TRUE),0,OFFSET(Rame!$A$1,MATCH(J594,Rame!$A:$A,0)-1,MATCH(L594,Rame!$A$1:$AA$1,0)-1))*IF(G594="Rame",1,0)</f>
        <v>0</v>
      </c>
      <c r="P594" s="205">
        <v>0</v>
      </c>
      <c r="Q594" s="205">
        <f t="shared" ca="1" si="225"/>
        <v>0</v>
      </c>
      <c r="R594" s="205">
        <f ca="1">+IF(ISERROR(OFFSET(Tabella!$G$1,MATCH(J594,Tabella!$G:$G,0)-1,MATCH(K594,Tabella!$G$1:$FG$1,0)-1)=TRUE),0,OFFSET(Tabella!$G$1,MATCH(J594,Tabella!$G:$G,0)-1,MATCH(K594,Tabella!$G$1:$AB$1,0)-1))</f>
        <v>0</v>
      </c>
      <c r="S594" s="205">
        <f ca="1">IF(ISERROR(OFFSET(Ottone!$F$1,MATCH(J594,Ottone!$A:$A,0)-1,MATCH(K594,Ottone!$F$1:$FF$1,0)-1)=TRUE),0,OFFSET(Ottone!$F$1,MATCH(J594,Ottone!$A:$A,0)-1,MATCH(K594,Ottone!$F$1:$FF$1,0)-1))*IF(G594="Ottone",1,0)</f>
        <v>0</v>
      </c>
      <c r="T594" s="205">
        <f ca="1">IF(ISERROR(OFFSET(Rame!$F$1,MATCH(J594,Rame!$F:$F,0)-1,MATCH(K594,Rame!$F$1:$FF$1,0)-1)=TRUE),0,OFFSET(Rame!$F$1,MATCH(J594,Rame!$F:$F,0)-1,MATCH(K594,Rame!$F$1:$FF$1,0)-1))*IF(G594="Rame",1,0)</f>
        <v>0</v>
      </c>
      <c r="U594" s="205">
        <f ca="1">IF(ISERROR(OFFSET(Bronzo!$A$1,MATCH(J594,Bronzo!$A:$A,0)-1,MATCH(K594,Bronzo!$A$1:$AA$1,0)-1)=TRUE),0,OFFSET(Bronzo!$A$1,MATCH(J594,Bronzo!$A:$A,0)-1,MATCH(K594,Bronzo!$A$1:$AA$1,0)-1))</f>
        <v>0</v>
      </c>
      <c r="V594" s="205">
        <f t="shared" ca="1" si="226"/>
        <v>0</v>
      </c>
      <c r="W594" s="204"/>
      <c r="X594" s="205">
        <v>0</v>
      </c>
      <c r="Y594" s="206">
        <f t="shared" ca="1" si="227"/>
        <v>0</v>
      </c>
      <c r="Z594" s="277">
        <f t="shared" si="228"/>
        <v>0</v>
      </c>
      <c r="AA594" s="203"/>
      <c r="AB594" s="203">
        <f t="shared" ca="1" si="229"/>
        <v>0</v>
      </c>
      <c r="AC594" s="238"/>
      <c r="AI594" s="367">
        <f t="shared" ca="1" si="224"/>
        <v>46092</v>
      </c>
      <c r="AJ594" s="367" t="b">
        <f t="shared" si="218"/>
        <v>1</v>
      </c>
      <c r="AK594" s="370" t="str">
        <f t="shared" si="219"/>
        <v/>
      </c>
      <c r="AN594">
        <f t="shared" si="220"/>
        <v>0</v>
      </c>
      <c r="AO594">
        <f t="shared" si="221"/>
        <v>1900</v>
      </c>
      <c r="AV594">
        <f t="shared" si="222"/>
        <v>0</v>
      </c>
      <c r="AW594">
        <f t="shared" si="223"/>
        <v>0</v>
      </c>
    </row>
    <row r="595" spans="4:49" ht="15.75" x14ac:dyDescent="0.25">
      <c r="D595" s="199"/>
      <c r="E595" s="200"/>
      <c r="F595" s="287"/>
      <c r="G595" s="201"/>
      <c r="H595" s="219"/>
      <c r="I595" s="202"/>
      <c r="J595" s="200"/>
      <c r="K595" s="200"/>
      <c r="L595" s="203"/>
      <c r="M595" s="204">
        <f ca="1">IF(ISERROR(OFFSET(Tabella!$A$1,MATCH(J595,Tabella!$A:$A,0)-1,MATCH(L595,Tabella!$A$1:$AC$1,0)-1)=TRUE),0,+OFFSET(Tabella!$A$1,MATCH(J595,Tabella!$A:$A,0)-1,MATCH(L595,Tabella!$A$1:$AC$1,0)-1))</f>
        <v>0</v>
      </c>
      <c r="N595" s="205">
        <f ca="1">IF(ISERROR(OFFSET(Ottone!$A$1,MATCH(J595,Ottone!$A:$A,0)-1,MATCH(L595,Ottone!$A$1:$Z$1,0)-1)=TRUE),0,OFFSET(Ottone!$A$1,MATCH(J595,Ottone!$A:$A,0)-1,MATCH(L595,Ottone!$A$1:$Z$1,0)-1))*IF(G595="Ottone",1,0)</f>
        <v>0</v>
      </c>
      <c r="O595" s="205">
        <f ca="1">IF(ISERROR(OFFSET(Rame!$A$1,MATCH(J595,Rame!$A:$A,0)-1,MATCH(L595,Rame!$A$1:$AA$1,0)-1)=TRUE),0,OFFSET(Rame!$A$1,MATCH(J595,Rame!$A:$A,0)-1,MATCH(L595,Rame!$A$1:$AA$1,0)-1))*IF(G595="Rame",1,0)</f>
        <v>0</v>
      </c>
      <c r="P595" s="205">
        <v>0</v>
      </c>
      <c r="Q595" s="205">
        <f t="shared" ca="1" si="225"/>
        <v>0</v>
      </c>
      <c r="R595" s="205">
        <f ca="1">+IF(ISERROR(OFFSET(Tabella!$G$1,MATCH(J595,Tabella!$G:$G,0)-1,MATCH(K595,Tabella!$G$1:$FG$1,0)-1)=TRUE),0,OFFSET(Tabella!$G$1,MATCH(J595,Tabella!$G:$G,0)-1,MATCH(K595,Tabella!$G$1:$AB$1,0)-1))</f>
        <v>0</v>
      </c>
      <c r="S595" s="205">
        <f ca="1">IF(ISERROR(OFFSET(Ottone!$F$1,MATCH(J595,Ottone!$A:$A,0)-1,MATCH(K595,Ottone!$F$1:$FF$1,0)-1)=TRUE),0,OFFSET(Ottone!$F$1,MATCH(J595,Ottone!$A:$A,0)-1,MATCH(K595,Ottone!$F$1:$FF$1,0)-1))*IF(G595="Ottone",1,0)</f>
        <v>0</v>
      </c>
      <c r="T595" s="205">
        <f ca="1">IF(ISERROR(OFFSET(Rame!$F$1,MATCH(J595,Rame!$F:$F,0)-1,MATCH(K595,Rame!$F$1:$FF$1,0)-1)=TRUE),0,OFFSET(Rame!$F$1,MATCH(J595,Rame!$F:$F,0)-1,MATCH(K595,Rame!$F$1:$FF$1,0)-1))*IF(G595="Rame",1,0)</f>
        <v>0</v>
      </c>
      <c r="U595" s="205">
        <f ca="1">IF(ISERROR(OFFSET(Bronzo!$A$1,MATCH(J595,Bronzo!$A:$A,0)-1,MATCH(K595,Bronzo!$A$1:$AA$1,0)-1)=TRUE),0,OFFSET(Bronzo!$A$1,MATCH(J595,Bronzo!$A:$A,0)-1,MATCH(K595,Bronzo!$A$1:$AA$1,0)-1))</f>
        <v>0</v>
      </c>
      <c r="V595" s="205">
        <f t="shared" ca="1" si="226"/>
        <v>0</v>
      </c>
      <c r="W595" s="204"/>
      <c r="X595" s="205">
        <v>0</v>
      </c>
      <c r="Y595" s="206">
        <f t="shared" ca="1" si="227"/>
        <v>0</v>
      </c>
      <c r="Z595" s="277">
        <f t="shared" si="228"/>
        <v>0</v>
      </c>
      <c r="AA595" s="203"/>
      <c r="AB595" s="203">
        <f t="shared" ca="1" si="229"/>
        <v>0</v>
      </c>
      <c r="AC595" s="238"/>
      <c r="AI595" s="367">
        <f t="shared" ca="1" si="224"/>
        <v>46092</v>
      </c>
      <c r="AJ595" s="367" t="b">
        <f t="shared" si="218"/>
        <v>1</v>
      </c>
      <c r="AK595" s="370" t="str">
        <f t="shared" si="219"/>
        <v/>
      </c>
      <c r="AN595">
        <f t="shared" si="220"/>
        <v>0</v>
      </c>
      <c r="AO595">
        <f t="shared" si="221"/>
        <v>1900</v>
      </c>
      <c r="AV595">
        <f t="shared" si="222"/>
        <v>0</v>
      </c>
      <c r="AW595">
        <f t="shared" si="223"/>
        <v>0</v>
      </c>
    </row>
    <row r="596" spans="4:49" ht="15.75" x14ac:dyDescent="0.25">
      <c r="D596" s="199"/>
      <c r="E596" s="200"/>
      <c r="F596" s="287"/>
      <c r="G596" s="201"/>
      <c r="H596" s="219"/>
      <c r="I596" s="202"/>
      <c r="J596" s="200"/>
      <c r="K596" s="200"/>
      <c r="L596" s="203"/>
      <c r="M596" s="204">
        <f ca="1">IF(ISERROR(OFFSET(Tabella!$A$1,MATCH(J596,Tabella!$A:$A,0)-1,MATCH(L596,Tabella!$A$1:$AC$1,0)-1)=TRUE),0,+OFFSET(Tabella!$A$1,MATCH(J596,Tabella!$A:$A,0)-1,MATCH(L596,Tabella!$A$1:$AC$1,0)-1))</f>
        <v>0</v>
      </c>
      <c r="N596" s="205">
        <f ca="1">IF(ISERROR(OFFSET(Ottone!$A$1,MATCH(J596,Ottone!$A:$A,0)-1,MATCH(L596,Ottone!$A$1:$Z$1,0)-1)=TRUE),0,OFFSET(Ottone!$A$1,MATCH(J596,Ottone!$A:$A,0)-1,MATCH(L596,Ottone!$A$1:$Z$1,0)-1))*IF(G596="Ottone",1,0)</f>
        <v>0</v>
      </c>
      <c r="O596" s="205">
        <f ca="1">IF(ISERROR(OFFSET(Rame!$A$1,MATCH(J596,Rame!$A:$A,0)-1,MATCH(L596,Rame!$A$1:$AA$1,0)-1)=TRUE),0,OFFSET(Rame!$A$1,MATCH(J596,Rame!$A:$A,0)-1,MATCH(L596,Rame!$A$1:$AA$1,0)-1))*IF(G596="Rame",1,0)</f>
        <v>0</v>
      </c>
      <c r="P596" s="205">
        <v>0</v>
      </c>
      <c r="Q596" s="205">
        <f t="shared" ca="1" si="225"/>
        <v>0</v>
      </c>
      <c r="R596" s="205">
        <f ca="1">+IF(ISERROR(OFFSET(Tabella!$G$1,MATCH(J596,Tabella!$G:$G,0)-1,MATCH(K596,Tabella!$G$1:$FG$1,0)-1)=TRUE),0,OFFSET(Tabella!$G$1,MATCH(J596,Tabella!$G:$G,0)-1,MATCH(K596,Tabella!$G$1:$AB$1,0)-1))</f>
        <v>0</v>
      </c>
      <c r="S596" s="205">
        <f ca="1">IF(ISERROR(OFFSET(Ottone!$F$1,MATCH(J596,Ottone!$A:$A,0)-1,MATCH(K596,Ottone!$F$1:$FF$1,0)-1)=TRUE),0,OFFSET(Ottone!$F$1,MATCH(J596,Ottone!$A:$A,0)-1,MATCH(K596,Ottone!$F$1:$FF$1,0)-1))*IF(G596="Ottone",1,0)</f>
        <v>0</v>
      </c>
      <c r="T596" s="205">
        <f ca="1">IF(ISERROR(OFFSET(Rame!$F$1,MATCH(J596,Rame!$F:$F,0)-1,MATCH(K596,Rame!$F$1:$FF$1,0)-1)=TRUE),0,OFFSET(Rame!$F$1,MATCH(J596,Rame!$F:$F,0)-1,MATCH(K596,Rame!$F$1:$FF$1,0)-1))*IF(G596="Rame",1,0)</f>
        <v>0</v>
      </c>
      <c r="U596" s="205">
        <f ca="1">IF(ISERROR(OFFSET(Bronzo!$A$1,MATCH(J596,Bronzo!$A:$A,0)-1,MATCH(K596,Bronzo!$A$1:$AA$1,0)-1)=TRUE),0,OFFSET(Bronzo!$A$1,MATCH(J596,Bronzo!$A:$A,0)-1,MATCH(K596,Bronzo!$A$1:$AA$1,0)-1))</f>
        <v>0</v>
      </c>
      <c r="V596" s="205">
        <f t="shared" ca="1" si="226"/>
        <v>0</v>
      </c>
      <c r="W596" s="204"/>
      <c r="X596" s="205">
        <v>0</v>
      </c>
      <c r="Y596" s="206">
        <f t="shared" ca="1" si="227"/>
        <v>0</v>
      </c>
      <c r="Z596" s="277">
        <f t="shared" si="228"/>
        <v>0</v>
      </c>
      <c r="AA596" s="203"/>
      <c r="AB596" s="203">
        <f t="shared" ca="1" si="229"/>
        <v>0</v>
      </c>
      <c r="AC596" s="238"/>
      <c r="AI596" s="367">
        <f t="shared" ca="1" si="224"/>
        <v>46092</v>
      </c>
      <c r="AJ596" s="367" t="b">
        <f t="shared" si="218"/>
        <v>1</v>
      </c>
      <c r="AK596" s="370" t="str">
        <f t="shared" si="219"/>
        <v/>
      </c>
      <c r="AN596">
        <f t="shared" si="220"/>
        <v>0</v>
      </c>
      <c r="AO596">
        <f t="shared" si="221"/>
        <v>1900</v>
      </c>
      <c r="AV596">
        <f t="shared" si="222"/>
        <v>0</v>
      </c>
      <c r="AW596">
        <f t="shared" si="223"/>
        <v>0</v>
      </c>
    </row>
    <row r="597" spans="4:49" ht="15.75" x14ac:dyDescent="0.25">
      <c r="D597" s="199"/>
      <c r="E597" s="200"/>
      <c r="F597" s="287"/>
      <c r="G597" s="201"/>
      <c r="H597" s="219"/>
      <c r="I597" s="202"/>
      <c r="J597" s="200"/>
      <c r="K597" s="200"/>
      <c r="L597" s="203"/>
      <c r="M597" s="204">
        <f ca="1">IF(ISERROR(OFFSET(Tabella!$A$1,MATCH(J597,Tabella!$A:$A,0)-1,MATCH(L597,Tabella!$A$1:$AC$1,0)-1)=TRUE),0,+OFFSET(Tabella!$A$1,MATCH(J597,Tabella!$A:$A,0)-1,MATCH(L597,Tabella!$A$1:$AC$1,0)-1))</f>
        <v>0</v>
      </c>
      <c r="N597" s="205">
        <f ca="1">IF(ISERROR(OFFSET(Ottone!$A$1,MATCH(J597,Ottone!$A:$A,0)-1,MATCH(L597,Ottone!$A$1:$Z$1,0)-1)=TRUE),0,OFFSET(Ottone!$A$1,MATCH(J597,Ottone!$A:$A,0)-1,MATCH(L597,Ottone!$A$1:$Z$1,0)-1))*IF(G597="Ottone",1,0)</f>
        <v>0</v>
      </c>
      <c r="O597" s="205">
        <f ca="1">IF(ISERROR(OFFSET(Rame!$A$1,MATCH(J597,Rame!$A:$A,0)-1,MATCH(L597,Rame!$A$1:$AA$1,0)-1)=TRUE),0,OFFSET(Rame!$A$1,MATCH(J597,Rame!$A:$A,0)-1,MATCH(L597,Rame!$A$1:$AA$1,0)-1))*IF(G597="Rame",1,0)</f>
        <v>0</v>
      </c>
      <c r="P597" s="205">
        <v>0</v>
      </c>
      <c r="Q597" s="205">
        <f t="shared" ca="1" si="225"/>
        <v>0</v>
      </c>
      <c r="R597" s="205">
        <f ca="1">+IF(ISERROR(OFFSET(Tabella!$G$1,MATCH(J597,Tabella!$G:$G,0)-1,MATCH(K597,Tabella!$G$1:$FG$1,0)-1)=TRUE),0,OFFSET(Tabella!$G$1,MATCH(J597,Tabella!$G:$G,0)-1,MATCH(K597,Tabella!$G$1:$AB$1,0)-1))</f>
        <v>0</v>
      </c>
      <c r="S597" s="205">
        <f ca="1">IF(ISERROR(OFFSET(Ottone!$F$1,MATCH(J597,Ottone!$A:$A,0)-1,MATCH(K597,Ottone!$F$1:$FF$1,0)-1)=TRUE),0,OFFSET(Ottone!$F$1,MATCH(J597,Ottone!$A:$A,0)-1,MATCH(K597,Ottone!$F$1:$FF$1,0)-1))*IF(G597="Ottone",1,0)</f>
        <v>0</v>
      </c>
      <c r="T597" s="205">
        <f ca="1">IF(ISERROR(OFFSET(Rame!$F$1,MATCH(J597,Rame!$F:$F,0)-1,MATCH(K597,Rame!$F$1:$FF$1,0)-1)=TRUE),0,OFFSET(Rame!$F$1,MATCH(J597,Rame!$F:$F,0)-1,MATCH(K597,Rame!$F$1:$FF$1,0)-1))*IF(G597="Rame",1,0)</f>
        <v>0</v>
      </c>
      <c r="U597" s="205">
        <f ca="1">IF(ISERROR(OFFSET(Bronzo!$A$1,MATCH(J597,Bronzo!$A:$A,0)-1,MATCH(K597,Bronzo!$A$1:$AA$1,0)-1)=TRUE),0,OFFSET(Bronzo!$A$1,MATCH(J597,Bronzo!$A:$A,0)-1,MATCH(K597,Bronzo!$A$1:$AA$1,0)-1))</f>
        <v>0</v>
      </c>
      <c r="V597" s="205">
        <f t="shared" ca="1" si="226"/>
        <v>0</v>
      </c>
      <c r="W597" s="204"/>
      <c r="X597" s="205">
        <v>0</v>
      </c>
      <c r="Y597" s="206">
        <f t="shared" ca="1" si="227"/>
        <v>0</v>
      </c>
      <c r="Z597" s="277">
        <f t="shared" si="228"/>
        <v>0</v>
      </c>
      <c r="AA597" s="203"/>
      <c r="AB597" s="203">
        <f t="shared" ca="1" si="229"/>
        <v>0</v>
      </c>
      <c r="AC597" s="238"/>
      <c r="AI597" s="367">
        <f t="shared" ca="1" si="224"/>
        <v>46092</v>
      </c>
      <c r="AJ597" s="367" t="b">
        <f t="shared" si="218"/>
        <v>1</v>
      </c>
      <c r="AK597" s="370" t="str">
        <f t="shared" si="219"/>
        <v/>
      </c>
      <c r="AN597">
        <f t="shared" si="220"/>
        <v>0</v>
      </c>
      <c r="AO597">
        <f t="shared" si="221"/>
        <v>1900</v>
      </c>
      <c r="AV597">
        <f t="shared" si="222"/>
        <v>0</v>
      </c>
      <c r="AW597">
        <f t="shared" si="223"/>
        <v>0</v>
      </c>
    </row>
    <row r="598" spans="4:49" ht="15.75" x14ac:dyDescent="0.25">
      <c r="D598" s="199"/>
      <c r="E598" s="200"/>
      <c r="F598" s="287"/>
      <c r="G598" s="201"/>
      <c r="H598" s="219"/>
      <c r="I598" s="202"/>
      <c r="J598" s="200"/>
      <c r="K598" s="200"/>
      <c r="L598" s="203"/>
      <c r="M598" s="204">
        <f ca="1">IF(ISERROR(OFFSET(Tabella!$A$1,MATCH(J598,Tabella!$A:$A,0)-1,MATCH(L598,Tabella!$A$1:$AC$1,0)-1)=TRUE),0,+OFFSET(Tabella!$A$1,MATCH(J598,Tabella!$A:$A,0)-1,MATCH(L598,Tabella!$A$1:$AC$1,0)-1))</f>
        <v>0</v>
      </c>
      <c r="N598" s="205">
        <f ca="1">IF(ISERROR(OFFSET(Ottone!$A$1,MATCH(J598,Ottone!$A:$A,0)-1,MATCH(L598,Ottone!$A$1:$Z$1,0)-1)=TRUE),0,OFFSET(Ottone!$A$1,MATCH(J598,Ottone!$A:$A,0)-1,MATCH(L598,Ottone!$A$1:$Z$1,0)-1))*IF(G598="Ottone",1,0)</f>
        <v>0</v>
      </c>
      <c r="O598" s="205">
        <f ca="1">IF(ISERROR(OFFSET(Rame!$A$1,MATCH(J598,Rame!$A:$A,0)-1,MATCH(L598,Rame!$A$1:$AA$1,0)-1)=TRUE),0,OFFSET(Rame!$A$1,MATCH(J598,Rame!$A:$A,0)-1,MATCH(L598,Rame!$A$1:$AA$1,0)-1))*IF(G598="Rame",1,0)</f>
        <v>0</v>
      </c>
      <c r="P598" s="205">
        <v>0</v>
      </c>
      <c r="Q598" s="205">
        <f t="shared" ca="1" si="225"/>
        <v>0</v>
      </c>
      <c r="R598" s="205">
        <f ca="1">+IF(ISERROR(OFFSET(Tabella!$G$1,MATCH(J598,Tabella!$G:$G,0)-1,MATCH(K598,Tabella!$G$1:$FG$1,0)-1)=TRUE),0,OFFSET(Tabella!$G$1,MATCH(J598,Tabella!$G:$G,0)-1,MATCH(K598,Tabella!$G$1:$AB$1,0)-1))</f>
        <v>0</v>
      </c>
      <c r="S598" s="205">
        <f ca="1">IF(ISERROR(OFFSET(Ottone!$F$1,MATCH(J598,Ottone!$A:$A,0)-1,MATCH(K598,Ottone!$F$1:$FF$1,0)-1)=TRUE),0,OFFSET(Ottone!$F$1,MATCH(J598,Ottone!$A:$A,0)-1,MATCH(K598,Ottone!$F$1:$FF$1,0)-1))*IF(G598="Ottone",1,0)</f>
        <v>0</v>
      </c>
      <c r="T598" s="205">
        <f ca="1">IF(ISERROR(OFFSET(Rame!$F$1,MATCH(J598,Rame!$F:$F,0)-1,MATCH(K598,Rame!$F$1:$FF$1,0)-1)=TRUE),0,OFFSET(Rame!$F$1,MATCH(J598,Rame!$F:$F,0)-1,MATCH(K598,Rame!$F$1:$FF$1,0)-1))*IF(G598="Rame",1,0)</f>
        <v>0</v>
      </c>
      <c r="U598" s="205">
        <f ca="1">IF(ISERROR(OFFSET(Bronzo!$A$1,MATCH(J598,Bronzo!$A:$A,0)-1,MATCH(K598,Bronzo!$A$1:$AA$1,0)-1)=TRUE),0,OFFSET(Bronzo!$A$1,MATCH(J598,Bronzo!$A:$A,0)-1,MATCH(K598,Bronzo!$A$1:$AA$1,0)-1))</f>
        <v>0</v>
      </c>
      <c r="V598" s="205">
        <f t="shared" ca="1" si="226"/>
        <v>0</v>
      </c>
      <c r="W598" s="204"/>
      <c r="X598" s="205">
        <v>0</v>
      </c>
      <c r="Y598" s="206">
        <f t="shared" ca="1" si="227"/>
        <v>0</v>
      </c>
      <c r="Z598" s="277">
        <f t="shared" si="228"/>
        <v>0</v>
      </c>
      <c r="AA598" s="203"/>
      <c r="AB598" s="203">
        <f t="shared" ca="1" si="229"/>
        <v>0</v>
      </c>
      <c r="AC598" s="238"/>
      <c r="AI598" s="367">
        <f t="shared" ca="1" si="224"/>
        <v>46092</v>
      </c>
      <c r="AJ598" s="367" t="b">
        <f t="shared" si="218"/>
        <v>1</v>
      </c>
      <c r="AK598" s="370" t="str">
        <f t="shared" si="219"/>
        <v/>
      </c>
      <c r="AN598">
        <f t="shared" si="220"/>
        <v>0</v>
      </c>
      <c r="AO598">
        <f t="shared" si="221"/>
        <v>1900</v>
      </c>
      <c r="AV598">
        <f t="shared" si="222"/>
        <v>0</v>
      </c>
      <c r="AW598">
        <f t="shared" si="223"/>
        <v>0</v>
      </c>
    </row>
    <row r="599" spans="4:49" ht="15.75" x14ac:dyDescent="0.25">
      <c r="D599" s="199"/>
      <c r="E599" s="200"/>
      <c r="F599" s="287"/>
      <c r="G599" s="201"/>
      <c r="H599" s="219"/>
      <c r="I599" s="202"/>
      <c r="J599" s="200"/>
      <c r="K599" s="200"/>
      <c r="L599" s="203"/>
      <c r="M599" s="204">
        <f ca="1">IF(ISERROR(OFFSET(Tabella!$A$1,MATCH(J599,Tabella!$A:$A,0)-1,MATCH(L599,Tabella!$A$1:$AC$1,0)-1)=TRUE),0,+OFFSET(Tabella!$A$1,MATCH(J599,Tabella!$A:$A,0)-1,MATCH(L599,Tabella!$A$1:$AC$1,0)-1))</f>
        <v>0</v>
      </c>
      <c r="N599" s="205">
        <f ca="1">IF(ISERROR(OFFSET(Ottone!$A$1,MATCH(J599,Ottone!$A:$A,0)-1,MATCH(L599,Ottone!$A$1:$Z$1,0)-1)=TRUE),0,OFFSET(Ottone!$A$1,MATCH(J599,Ottone!$A:$A,0)-1,MATCH(L599,Ottone!$A$1:$Z$1,0)-1))*IF(G599="Ottone",1,0)</f>
        <v>0</v>
      </c>
      <c r="O599" s="205">
        <f ca="1">IF(ISERROR(OFFSET(Rame!$A$1,MATCH(J599,Rame!$A:$A,0)-1,MATCH(L599,Rame!$A$1:$AA$1,0)-1)=TRUE),0,OFFSET(Rame!$A$1,MATCH(J599,Rame!$A:$A,0)-1,MATCH(L599,Rame!$A$1:$AA$1,0)-1))*IF(G599="Rame",1,0)</f>
        <v>0</v>
      </c>
      <c r="P599" s="205">
        <v>0</v>
      </c>
      <c r="Q599" s="205">
        <f t="shared" ca="1" si="225"/>
        <v>0</v>
      </c>
      <c r="R599" s="205">
        <f ca="1">+IF(ISERROR(OFFSET(Tabella!$G$1,MATCH(J599,Tabella!$G:$G,0)-1,MATCH(K599,Tabella!$G$1:$FG$1,0)-1)=TRUE),0,OFFSET(Tabella!$G$1,MATCH(J599,Tabella!$G:$G,0)-1,MATCH(K599,Tabella!$G$1:$AB$1,0)-1))</f>
        <v>0</v>
      </c>
      <c r="S599" s="205">
        <f ca="1">IF(ISERROR(OFFSET(Ottone!$F$1,MATCH(J599,Ottone!$A:$A,0)-1,MATCH(K599,Ottone!$F$1:$FF$1,0)-1)=TRUE),0,OFFSET(Ottone!$F$1,MATCH(J599,Ottone!$A:$A,0)-1,MATCH(K599,Ottone!$F$1:$FF$1,0)-1))*IF(G599="Ottone",1,0)</f>
        <v>0</v>
      </c>
      <c r="T599" s="205">
        <f ca="1">IF(ISERROR(OFFSET(Rame!$F$1,MATCH(J599,Rame!$F:$F,0)-1,MATCH(K599,Rame!$F$1:$FF$1,0)-1)=TRUE),0,OFFSET(Rame!$F$1,MATCH(J599,Rame!$F:$F,0)-1,MATCH(K599,Rame!$F$1:$FF$1,0)-1))*IF(G599="Rame",1,0)</f>
        <v>0</v>
      </c>
      <c r="U599" s="205">
        <f ca="1">IF(ISERROR(OFFSET(Bronzo!$A$1,MATCH(J599,Bronzo!$A:$A,0)-1,MATCH(K599,Bronzo!$A$1:$AA$1,0)-1)=TRUE),0,OFFSET(Bronzo!$A$1,MATCH(J599,Bronzo!$A:$A,0)-1,MATCH(K599,Bronzo!$A$1:$AA$1,0)-1))</f>
        <v>0</v>
      </c>
      <c r="V599" s="205">
        <f t="shared" ca="1" si="226"/>
        <v>0</v>
      </c>
      <c r="W599" s="204"/>
      <c r="X599" s="205">
        <v>0</v>
      </c>
      <c r="Y599" s="206">
        <f t="shared" ca="1" si="227"/>
        <v>0</v>
      </c>
      <c r="Z599" s="277">
        <f t="shared" si="228"/>
        <v>0</v>
      </c>
      <c r="AA599" s="203"/>
      <c r="AB599" s="203">
        <f t="shared" ca="1" si="229"/>
        <v>0</v>
      </c>
      <c r="AC599" s="238"/>
      <c r="AI599" s="367">
        <f t="shared" ca="1" si="224"/>
        <v>46092</v>
      </c>
      <c r="AJ599" s="367" t="b">
        <f t="shared" si="218"/>
        <v>1</v>
      </c>
      <c r="AK599" s="370" t="str">
        <f t="shared" si="219"/>
        <v/>
      </c>
      <c r="AN599">
        <f t="shared" si="220"/>
        <v>0</v>
      </c>
      <c r="AO599">
        <f t="shared" si="221"/>
        <v>1900</v>
      </c>
      <c r="AV599">
        <f t="shared" si="222"/>
        <v>0</v>
      </c>
      <c r="AW599">
        <f t="shared" si="223"/>
        <v>0</v>
      </c>
    </row>
    <row r="600" spans="4:49" ht="15.75" x14ac:dyDescent="0.25">
      <c r="D600" s="199"/>
      <c r="E600" s="200"/>
      <c r="F600" s="287"/>
      <c r="G600" s="201"/>
      <c r="H600" s="219"/>
      <c r="I600" s="202"/>
      <c r="J600" s="200"/>
      <c r="K600" s="200"/>
      <c r="L600" s="203"/>
      <c r="M600" s="204">
        <f ca="1">IF(ISERROR(OFFSET(Tabella!$A$1,MATCH(J600,Tabella!$A:$A,0)-1,MATCH(L600,Tabella!$A$1:$AC$1,0)-1)=TRUE),0,+OFFSET(Tabella!$A$1,MATCH(J600,Tabella!$A:$A,0)-1,MATCH(L600,Tabella!$A$1:$AC$1,0)-1))</f>
        <v>0</v>
      </c>
      <c r="N600" s="205">
        <f ca="1">IF(ISERROR(OFFSET(Ottone!$A$1,MATCH(J600,Ottone!$A:$A,0)-1,MATCH(L600,Ottone!$A$1:$Z$1,0)-1)=TRUE),0,OFFSET(Ottone!$A$1,MATCH(J600,Ottone!$A:$A,0)-1,MATCH(L600,Ottone!$A$1:$Z$1,0)-1))*IF(G600="Ottone",1,0)</f>
        <v>0</v>
      </c>
      <c r="O600" s="205">
        <f ca="1">IF(ISERROR(OFFSET(Rame!$A$1,MATCH(J600,Rame!$A:$A,0)-1,MATCH(L600,Rame!$A$1:$AA$1,0)-1)=TRUE),0,OFFSET(Rame!$A$1,MATCH(J600,Rame!$A:$A,0)-1,MATCH(L600,Rame!$A$1:$AA$1,0)-1))*IF(G600="Rame",1,0)</f>
        <v>0</v>
      </c>
      <c r="P600" s="205">
        <v>0</v>
      </c>
      <c r="Q600" s="205">
        <f t="shared" ca="1" si="225"/>
        <v>0</v>
      </c>
      <c r="R600" s="205">
        <f ca="1">+IF(ISERROR(OFFSET(Tabella!$G$1,MATCH(J600,Tabella!$G:$G,0)-1,MATCH(K600,Tabella!$G$1:$FG$1,0)-1)=TRUE),0,OFFSET(Tabella!$G$1,MATCH(J600,Tabella!$G:$G,0)-1,MATCH(K600,Tabella!$G$1:$AB$1,0)-1))</f>
        <v>0</v>
      </c>
      <c r="S600" s="205">
        <f ca="1">IF(ISERROR(OFFSET(Ottone!$F$1,MATCH(J600,Ottone!$A:$A,0)-1,MATCH(K600,Ottone!$F$1:$FF$1,0)-1)=TRUE),0,OFFSET(Ottone!$F$1,MATCH(J600,Ottone!$A:$A,0)-1,MATCH(K600,Ottone!$F$1:$FF$1,0)-1))*IF(G600="Ottone",1,0)</f>
        <v>0</v>
      </c>
      <c r="T600" s="205">
        <f ca="1">IF(ISERROR(OFFSET(Rame!$F$1,MATCH(J600,Rame!$F:$F,0)-1,MATCH(K600,Rame!$F$1:$FF$1,0)-1)=TRUE),0,OFFSET(Rame!$F$1,MATCH(J600,Rame!$F:$F,0)-1,MATCH(K600,Rame!$F$1:$FF$1,0)-1))*IF(G600="Rame",1,0)</f>
        <v>0</v>
      </c>
      <c r="U600" s="205">
        <f ca="1">IF(ISERROR(OFFSET(Bronzo!$A$1,MATCH(J600,Bronzo!$A:$A,0)-1,MATCH(K600,Bronzo!$A$1:$AA$1,0)-1)=TRUE),0,OFFSET(Bronzo!$A$1,MATCH(J600,Bronzo!$A:$A,0)-1,MATCH(K600,Bronzo!$A$1:$AA$1,0)-1))</f>
        <v>0</v>
      </c>
      <c r="V600" s="205">
        <f t="shared" ca="1" si="226"/>
        <v>0</v>
      </c>
      <c r="W600" s="204"/>
      <c r="X600" s="205">
        <v>0</v>
      </c>
      <c r="Y600" s="206">
        <f t="shared" ca="1" si="227"/>
        <v>0</v>
      </c>
      <c r="Z600" s="277">
        <f t="shared" si="228"/>
        <v>0</v>
      </c>
      <c r="AA600" s="203"/>
      <c r="AB600" s="203">
        <f t="shared" ca="1" si="229"/>
        <v>0</v>
      </c>
      <c r="AC600" s="238"/>
      <c r="AI600" s="367">
        <f t="shared" ca="1" si="224"/>
        <v>46092</v>
      </c>
      <c r="AJ600" s="367" t="b">
        <f t="shared" si="218"/>
        <v>1</v>
      </c>
      <c r="AK600" s="370" t="str">
        <f t="shared" si="219"/>
        <v/>
      </c>
      <c r="AN600">
        <f t="shared" si="220"/>
        <v>0</v>
      </c>
      <c r="AO600">
        <f t="shared" si="221"/>
        <v>1900</v>
      </c>
      <c r="AV600">
        <f t="shared" si="222"/>
        <v>0</v>
      </c>
      <c r="AW600">
        <f t="shared" si="223"/>
        <v>0</v>
      </c>
    </row>
    <row r="601" spans="4:49" ht="15.75" x14ac:dyDescent="0.25">
      <c r="D601" s="199"/>
      <c r="E601" s="200"/>
      <c r="F601" s="287"/>
      <c r="G601" s="201"/>
      <c r="H601" s="219"/>
      <c r="I601" s="202"/>
      <c r="J601" s="200"/>
      <c r="K601" s="200"/>
      <c r="L601" s="203"/>
      <c r="M601" s="204">
        <f ca="1">IF(ISERROR(OFFSET(Tabella!$A$1,MATCH(J601,Tabella!$A:$A,0)-1,MATCH(L601,Tabella!$A$1:$AC$1,0)-1)=TRUE),0,+OFFSET(Tabella!$A$1,MATCH(J601,Tabella!$A:$A,0)-1,MATCH(L601,Tabella!$A$1:$AC$1,0)-1))</f>
        <v>0</v>
      </c>
      <c r="N601" s="205">
        <f ca="1">IF(ISERROR(OFFSET(Ottone!$A$1,MATCH(J601,Ottone!$A:$A,0)-1,MATCH(L601,Ottone!$A$1:$Z$1,0)-1)=TRUE),0,OFFSET(Ottone!$A$1,MATCH(J601,Ottone!$A:$A,0)-1,MATCH(L601,Ottone!$A$1:$Z$1,0)-1))*IF(G601="Ottone",1,0)</f>
        <v>0</v>
      </c>
      <c r="O601" s="205">
        <f ca="1">IF(ISERROR(OFFSET(Rame!$A$1,MATCH(J601,Rame!$A:$A,0)-1,MATCH(L601,Rame!$A$1:$AA$1,0)-1)=TRUE),0,OFFSET(Rame!$A$1,MATCH(J601,Rame!$A:$A,0)-1,MATCH(L601,Rame!$A$1:$AA$1,0)-1))*IF(G601="Rame",1,0)</f>
        <v>0</v>
      </c>
      <c r="P601" s="205">
        <v>0</v>
      </c>
      <c r="Q601" s="205">
        <f t="shared" ca="1" si="225"/>
        <v>0</v>
      </c>
      <c r="R601" s="205">
        <f ca="1">+IF(ISERROR(OFFSET(Tabella!$G$1,MATCH(J601,Tabella!$G:$G,0)-1,MATCH(K601,Tabella!$G$1:$FG$1,0)-1)=TRUE),0,OFFSET(Tabella!$G$1,MATCH(J601,Tabella!$G:$G,0)-1,MATCH(K601,Tabella!$G$1:$AB$1,0)-1))</f>
        <v>0</v>
      </c>
      <c r="S601" s="205">
        <f ca="1">IF(ISERROR(OFFSET(Ottone!$F$1,MATCH(J601,Ottone!$A:$A,0)-1,MATCH(K601,Ottone!$F$1:$FF$1,0)-1)=TRUE),0,OFFSET(Ottone!$F$1,MATCH(J601,Ottone!$A:$A,0)-1,MATCH(K601,Ottone!$F$1:$FF$1,0)-1))*IF(G601="Ottone",1,0)</f>
        <v>0</v>
      </c>
      <c r="T601" s="205">
        <f ca="1">IF(ISERROR(OFFSET(Rame!$F$1,MATCH(J601,Rame!$F:$F,0)-1,MATCH(K601,Rame!$F$1:$FF$1,0)-1)=TRUE),0,OFFSET(Rame!$F$1,MATCH(J601,Rame!$F:$F,0)-1,MATCH(K601,Rame!$F$1:$FF$1,0)-1))*IF(G601="Rame",1,0)</f>
        <v>0</v>
      </c>
      <c r="U601" s="205">
        <f ca="1">IF(ISERROR(OFFSET(Bronzo!$A$1,MATCH(J601,Bronzo!$A:$A,0)-1,MATCH(K601,Bronzo!$A$1:$AA$1,0)-1)=TRUE),0,OFFSET(Bronzo!$A$1,MATCH(J601,Bronzo!$A:$A,0)-1,MATCH(K601,Bronzo!$A$1:$AA$1,0)-1))</f>
        <v>0</v>
      </c>
      <c r="V601" s="205">
        <f t="shared" ca="1" si="226"/>
        <v>0</v>
      </c>
      <c r="W601" s="204"/>
      <c r="X601" s="205">
        <v>0</v>
      </c>
      <c r="Y601" s="206">
        <f t="shared" ca="1" si="227"/>
        <v>0</v>
      </c>
      <c r="Z601" s="277">
        <f t="shared" si="228"/>
        <v>0</v>
      </c>
      <c r="AA601" s="203"/>
      <c r="AB601" s="203">
        <f t="shared" ca="1" si="229"/>
        <v>0</v>
      </c>
      <c r="AC601" s="238"/>
      <c r="AI601" s="367">
        <f t="shared" ca="1" si="224"/>
        <v>46092</v>
      </c>
      <c r="AJ601" s="367" t="b">
        <f t="shared" si="218"/>
        <v>1</v>
      </c>
      <c r="AK601" s="370" t="str">
        <f t="shared" si="219"/>
        <v/>
      </c>
      <c r="AN601">
        <f t="shared" si="220"/>
        <v>0</v>
      </c>
      <c r="AO601">
        <f t="shared" si="221"/>
        <v>1900</v>
      </c>
      <c r="AV601">
        <f t="shared" si="222"/>
        <v>0</v>
      </c>
      <c r="AW601">
        <f t="shared" si="223"/>
        <v>0</v>
      </c>
    </row>
    <row r="602" spans="4:49" ht="15.75" x14ac:dyDescent="0.25">
      <c r="D602" s="199"/>
      <c r="E602" s="200"/>
      <c r="F602" s="287"/>
      <c r="G602" s="201"/>
      <c r="H602" s="219"/>
      <c r="I602" s="202"/>
      <c r="J602" s="200"/>
      <c r="K602" s="200"/>
      <c r="L602" s="203"/>
      <c r="M602" s="204">
        <f ca="1">IF(ISERROR(OFFSET(Tabella!$A$1,MATCH(J602,Tabella!$A:$A,0)-1,MATCH(L602,Tabella!$A$1:$AC$1,0)-1)=TRUE),0,+OFFSET(Tabella!$A$1,MATCH(J602,Tabella!$A:$A,0)-1,MATCH(L602,Tabella!$A$1:$AC$1,0)-1))</f>
        <v>0</v>
      </c>
      <c r="N602" s="205">
        <f ca="1">IF(ISERROR(OFFSET(Ottone!$A$1,MATCH(J602,Ottone!$A:$A,0)-1,MATCH(L602,Ottone!$A$1:$Z$1,0)-1)=TRUE),0,OFFSET(Ottone!$A$1,MATCH(J602,Ottone!$A:$A,0)-1,MATCH(L602,Ottone!$A$1:$Z$1,0)-1))*IF(G602="Ottone",1,0)</f>
        <v>0</v>
      </c>
      <c r="O602" s="205">
        <f ca="1">IF(ISERROR(OFFSET(Rame!$A$1,MATCH(J602,Rame!$A:$A,0)-1,MATCH(L602,Rame!$A$1:$AA$1,0)-1)=TRUE),0,OFFSET(Rame!$A$1,MATCH(J602,Rame!$A:$A,0)-1,MATCH(L602,Rame!$A$1:$AA$1,0)-1))*IF(G602="Rame",1,0)</f>
        <v>0</v>
      </c>
      <c r="P602" s="205">
        <v>0</v>
      </c>
      <c r="Q602" s="205">
        <f t="shared" ca="1" si="225"/>
        <v>0</v>
      </c>
      <c r="R602" s="205">
        <f ca="1">+IF(ISERROR(OFFSET(Tabella!$G$1,MATCH(J602,Tabella!$G:$G,0)-1,MATCH(K602,Tabella!$G$1:$FG$1,0)-1)=TRUE),0,OFFSET(Tabella!$G$1,MATCH(J602,Tabella!$G:$G,0)-1,MATCH(K602,Tabella!$G$1:$AB$1,0)-1))</f>
        <v>0</v>
      </c>
      <c r="S602" s="205">
        <f ca="1">IF(ISERROR(OFFSET(Ottone!$F$1,MATCH(J602,Ottone!$A:$A,0)-1,MATCH(K602,Ottone!$F$1:$FF$1,0)-1)=TRUE),0,OFFSET(Ottone!$F$1,MATCH(J602,Ottone!$A:$A,0)-1,MATCH(K602,Ottone!$F$1:$FF$1,0)-1))*IF(G602="Ottone",1,0)</f>
        <v>0</v>
      </c>
      <c r="T602" s="205">
        <f ca="1">IF(ISERROR(OFFSET(Rame!$F$1,MATCH(J602,Rame!$F:$F,0)-1,MATCH(K602,Rame!$F$1:$FF$1,0)-1)=TRUE),0,OFFSET(Rame!$F$1,MATCH(J602,Rame!$F:$F,0)-1,MATCH(K602,Rame!$F$1:$FF$1,0)-1))*IF(G602="Rame",1,0)</f>
        <v>0</v>
      </c>
      <c r="U602" s="205">
        <f ca="1">IF(ISERROR(OFFSET(Bronzo!$A$1,MATCH(J602,Bronzo!$A:$A,0)-1,MATCH(K602,Bronzo!$A$1:$AA$1,0)-1)=TRUE),0,OFFSET(Bronzo!$A$1,MATCH(J602,Bronzo!$A:$A,0)-1,MATCH(K602,Bronzo!$A$1:$AA$1,0)-1))</f>
        <v>0</v>
      </c>
      <c r="V602" s="205">
        <f t="shared" ca="1" si="226"/>
        <v>0</v>
      </c>
      <c r="W602" s="204"/>
      <c r="X602" s="205">
        <v>0</v>
      </c>
      <c r="Y602" s="206">
        <f t="shared" ca="1" si="227"/>
        <v>0</v>
      </c>
      <c r="Z602" s="277">
        <f t="shared" si="228"/>
        <v>0</v>
      </c>
      <c r="AA602" s="203"/>
      <c r="AB602" s="203">
        <f t="shared" ca="1" si="229"/>
        <v>0</v>
      </c>
      <c r="AC602" s="238"/>
      <c r="AI602" s="367">
        <f t="shared" ca="1" si="224"/>
        <v>46092</v>
      </c>
      <c r="AJ602" s="367" t="b">
        <f t="shared" si="218"/>
        <v>1</v>
      </c>
      <c r="AK602" s="370" t="str">
        <f t="shared" si="219"/>
        <v/>
      </c>
      <c r="AN602">
        <f t="shared" si="220"/>
        <v>0</v>
      </c>
      <c r="AO602">
        <f t="shared" si="221"/>
        <v>1900</v>
      </c>
      <c r="AV602">
        <f t="shared" si="222"/>
        <v>0</v>
      </c>
      <c r="AW602">
        <f t="shared" si="223"/>
        <v>0</v>
      </c>
    </row>
    <row r="603" spans="4:49" ht="15.75" x14ac:dyDescent="0.25">
      <c r="D603" s="199"/>
      <c r="E603" s="200"/>
      <c r="F603" s="287"/>
      <c r="G603" s="201"/>
      <c r="H603" s="219"/>
      <c r="I603" s="202"/>
      <c r="J603" s="200"/>
      <c r="K603" s="200"/>
      <c r="L603" s="203"/>
      <c r="M603" s="204">
        <f ca="1">IF(ISERROR(OFFSET(Tabella!$A$1,MATCH(J603,Tabella!$A:$A,0)-1,MATCH(L603,Tabella!$A$1:$AC$1,0)-1)=TRUE),0,+OFFSET(Tabella!$A$1,MATCH(J603,Tabella!$A:$A,0)-1,MATCH(L603,Tabella!$A$1:$AC$1,0)-1))</f>
        <v>0</v>
      </c>
      <c r="N603" s="205">
        <f ca="1">IF(ISERROR(OFFSET(Ottone!$A$1,MATCH(J603,Ottone!$A:$A,0)-1,MATCH(L603,Ottone!$A$1:$Z$1,0)-1)=TRUE),0,OFFSET(Ottone!$A$1,MATCH(J603,Ottone!$A:$A,0)-1,MATCH(L603,Ottone!$A$1:$Z$1,0)-1))*IF(G603="Ottone",1,0)</f>
        <v>0</v>
      </c>
      <c r="O603" s="205">
        <f ca="1">IF(ISERROR(OFFSET(Rame!$A$1,MATCH(J603,Rame!$A:$A,0)-1,MATCH(L603,Rame!$A$1:$AA$1,0)-1)=TRUE),0,OFFSET(Rame!$A$1,MATCH(J603,Rame!$A:$A,0)-1,MATCH(L603,Rame!$A$1:$AA$1,0)-1))*IF(G603="Rame",1,0)</f>
        <v>0</v>
      </c>
      <c r="P603" s="205">
        <v>0</v>
      </c>
      <c r="Q603" s="205">
        <f t="shared" ca="1" si="225"/>
        <v>0</v>
      </c>
      <c r="R603" s="205">
        <f ca="1">+IF(ISERROR(OFFSET(Tabella!$G$1,MATCH(J603,Tabella!$G:$G,0)-1,MATCH(K603,Tabella!$G$1:$FG$1,0)-1)=TRUE),0,OFFSET(Tabella!$G$1,MATCH(J603,Tabella!$G:$G,0)-1,MATCH(K603,Tabella!$G$1:$AB$1,0)-1))</f>
        <v>0</v>
      </c>
      <c r="S603" s="205">
        <f ca="1">IF(ISERROR(OFFSET(Ottone!$F$1,MATCH(J603,Ottone!$A:$A,0)-1,MATCH(K603,Ottone!$F$1:$FF$1,0)-1)=TRUE),0,OFFSET(Ottone!$F$1,MATCH(J603,Ottone!$A:$A,0)-1,MATCH(K603,Ottone!$F$1:$FF$1,0)-1))*IF(G603="Ottone",1,0)</f>
        <v>0</v>
      </c>
      <c r="T603" s="205">
        <f ca="1">IF(ISERROR(OFFSET(Rame!$F$1,MATCH(J603,Rame!$F:$F,0)-1,MATCH(K603,Rame!$F$1:$FF$1,0)-1)=TRUE),0,OFFSET(Rame!$F$1,MATCH(J603,Rame!$F:$F,0)-1,MATCH(K603,Rame!$F$1:$FF$1,0)-1))*IF(G603="Rame",1,0)</f>
        <v>0</v>
      </c>
      <c r="U603" s="205">
        <f ca="1">IF(ISERROR(OFFSET(Bronzo!$A$1,MATCH(J603,Bronzo!$A:$A,0)-1,MATCH(K603,Bronzo!$A$1:$AA$1,0)-1)=TRUE),0,OFFSET(Bronzo!$A$1,MATCH(J603,Bronzo!$A:$A,0)-1,MATCH(K603,Bronzo!$A$1:$AA$1,0)-1))</f>
        <v>0</v>
      </c>
      <c r="V603" s="205">
        <f t="shared" ca="1" si="226"/>
        <v>0</v>
      </c>
      <c r="W603" s="204"/>
      <c r="X603" s="205">
        <v>0</v>
      </c>
      <c r="Y603" s="206">
        <f t="shared" ca="1" si="227"/>
        <v>0</v>
      </c>
      <c r="Z603" s="277">
        <f t="shared" si="228"/>
        <v>0</v>
      </c>
      <c r="AA603" s="203"/>
      <c r="AB603" s="203">
        <f t="shared" ca="1" si="229"/>
        <v>0</v>
      </c>
      <c r="AC603" s="238"/>
      <c r="AI603" s="367">
        <f t="shared" ca="1" si="224"/>
        <v>46092</v>
      </c>
      <c r="AJ603" s="367" t="b">
        <f t="shared" si="218"/>
        <v>1</v>
      </c>
      <c r="AK603" s="370" t="str">
        <f t="shared" si="219"/>
        <v/>
      </c>
      <c r="AN603">
        <f t="shared" si="220"/>
        <v>0</v>
      </c>
      <c r="AO603">
        <f t="shared" si="221"/>
        <v>1900</v>
      </c>
      <c r="AV603">
        <f t="shared" si="222"/>
        <v>0</v>
      </c>
      <c r="AW603">
        <f t="shared" si="223"/>
        <v>0</v>
      </c>
    </row>
    <row r="604" spans="4:49" ht="15.75" x14ac:dyDescent="0.25">
      <c r="D604" s="199"/>
      <c r="E604" s="200"/>
      <c r="F604" s="287"/>
      <c r="G604" s="201"/>
      <c r="H604" s="219"/>
      <c r="I604" s="202"/>
      <c r="J604" s="200"/>
      <c r="K604" s="200"/>
      <c r="L604" s="203"/>
      <c r="M604" s="204">
        <f ca="1">IF(ISERROR(OFFSET(Tabella!$A$1,MATCH(J604,Tabella!$A:$A,0)-1,MATCH(L604,Tabella!$A$1:$AC$1,0)-1)=TRUE),0,+OFFSET(Tabella!$A$1,MATCH(J604,Tabella!$A:$A,0)-1,MATCH(L604,Tabella!$A$1:$AC$1,0)-1))</f>
        <v>0</v>
      </c>
      <c r="N604" s="205">
        <f ca="1">IF(ISERROR(OFFSET(Ottone!$A$1,MATCH(J604,Ottone!$A:$A,0)-1,MATCH(L604,Ottone!$A$1:$Z$1,0)-1)=TRUE),0,OFFSET(Ottone!$A$1,MATCH(J604,Ottone!$A:$A,0)-1,MATCH(L604,Ottone!$A$1:$Z$1,0)-1))*IF(G604="Ottone",1,0)</f>
        <v>0</v>
      </c>
      <c r="O604" s="205">
        <f ca="1">IF(ISERROR(OFFSET(Rame!$A$1,MATCH(J604,Rame!$A:$A,0)-1,MATCH(L604,Rame!$A$1:$AA$1,0)-1)=TRUE),0,OFFSET(Rame!$A$1,MATCH(J604,Rame!$A:$A,0)-1,MATCH(L604,Rame!$A$1:$AA$1,0)-1))*IF(G604="Rame",1,0)</f>
        <v>0</v>
      </c>
      <c r="P604" s="205">
        <v>0</v>
      </c>
      <c r="Q604" s="205">
        <f t="shared" ca="1" si="225"/>
        <v>0</v>
      </c>
      <c r="R604" s="205">
        <f ca="1">+IF(ISERROR(OFFSET(Tabella!$G$1,MATCH(J604,Tabella!$G:$G,0)-1,MATCH(K604,Tabella!$G$1:$FG$1,0)-1)=TRUE),0,OFFSET(Tabella!$G$1,MATCH(J604,Tabella!$G:$G,0)-1,MATCH(K604,Tabella!$G$1:$AB$1,0)-1))</f>
        <v>0</v>
      </c>
      <c r="S604" s="205">
        <f ca="1">IF(ISERROR(OFFSET(Ottone!$F$1,MATCH(J604,Ottone!$A:$A,0)-1,MATCH(K604,Ottone!$F$1:$FF$1,0)-1)=TRUE),0,OFFSET(Ottone!$F$1,MATCH(J604,Ottone!$A:$A,0)-1,MATCH(K604,Ottone!$F$1:$FF$1,0)-1))*IF(G604="Ottone",1,0)</f>
        <v>0</v>
      </c>
      <c r="T604" s="205">
        <f ca="1">IF(ISERROR(OFFSET(Rame!$F$1,MATCH(J604,Rame!$F:$F,0)-1,MATCH(K604,Rame!$F$1:$FF$1,0)-1)=TRUE),0,OFFSET(Rame!$F$1,MATCH(J604,Rame!$F:$F,0)-1,MATCH(K604,Rame!$F$1:$FF$1,0)-1))*IF(G604="Rame",1,0)</f>
        <v>0</v>
      </c>
      <c r="U604" s="205">
        <f ca="1">IF(ISERROR(OFFSET(Bronzo!$A$1,MATCH(J604,Bronzo!$A:$A,0)-1,MATCH(K604,Bronzo!$A$1:$AA$1,0)-1)=TRUE),0,OFFSET(Bronzo!$A$1,MATCH(J604,Bronzo!$A:$A,0)-1,MATCH(K604,Bronzo!$A$1:$AA$1,0)-1))</f>
        <v>0</v>
      </c>
      <c r="V604" s="205">
        <f t="shared" ca="1" si="226"/>
        <v>0</v>
      </c>
      <c r="W604" s="204"/>
      <c r="X604" s="205">
        <v>0</v>
      </c>
      <c r="Y604" s="206">
        <f t="shared" ca="1" si="227"/>
        <v>0</v>
      </c>
      <c r="Z604" s="277">
        <f t="shared" si="228"/>
        <v>0</v>
      </c>
      <c r="AA604" s="203"/>
      <c r="AB604" s="203">
        <f t="shared" ca="1" si="229"/>
        <v>0</v>
      </c>
      <c r="AC604" s="238"/>
      <c r="AI604" s="367">
        <f t="shared" ca="1" si="224"/>
        <v>46092</v>
      </c>
      <c r="AJ604" s="367" t="b">
        <f t="shared" si="218"/>
        <v>1</v>
      </c>
      <c r="AK604" s="370" t="str">
        <f t="shared" si="219"/>
        <v/>
      </c>
      <c r="AN604">
        <f t="shared" si="220"/>
        <v>0</v>
      </c>
      <c r="AO604">
        <f t="shared" si="221"/>
        <v>1900</v>
      </c>
      <c r="AV604">
        <f t="shared" si="222"/>
        <v>0</v>
      </c>
      <c r="AW604">
        <f t="shared" si="223"/>
        <v>0</v>
      </c>
    </row>
    <row r="605" spans="4:49" ht="15.75" x14ac:dyDescent="0.25">
      <c r="D605" s="199"/>
      <c r="E605" s="200"/>
      <c r="F605" s="287"/>
      <c r="G605" s="201"/>
      <c r="H605" s="219"/>
      <c r="I605" s="202"/>
      <c r="J605" s="200"/>
      <c r="K605" s="200"/>
      <c r="L605" s="203"/>
      <c r="M605" s="204">
        <f ca="1">IF(ISERROR(OFFSET(Tabella!$A$1,MATCH(J605,Tabella!$A:$A,0)-1,MATCH(L605,Tabella!$A$1:$AC$1,0)-1)=TRUE),0,+OFFSET(Tabella!$A$1,MATCH(J605,Tabella!$A:$A,0)-1,MATCH(L605,Tabella!$A$1:$AC$1,0)-1))</f>
        <v>0</v>
      </c>
      <c r="N605" s="205">
        <f ca="1">IF(ISERROR(OFFSET(Ottone!$A$1,MATCH(J605,Ottone!$A:$A,0)-1,MATCH(L605,Ottone!$A$1:$Z$1,0)-1)=TRUE),0,OFFSET(Ottone!$A$1,MATCH(J605,Ottone!$A:$A,0)-1,MATCH(L605,Ottone!$A$1:$Z$1,0)-1))*IF(G605="Ottone",1,0)</f>
        <v>0</v>
      </c>
      <c r="O605" s="205">
        <f ca="1">IF(ISERROR(OFFSET(Rame!$A$1,MATCH(J605,Rame!$A:$A,0)-1,MATCH(L605,Rame!$A$1:$AA$1,0)-1)=TRUE),0,OFFSET(Rame!$A$1,MATCH(J605,Rame!$A:$A,0)-1,MATCH(L605,Rame!$A$1:$AA$1,0)-1))*IF(G605="Rame",1,0)</f>
        <v>0</v>
      </c>
      <c r="P605" s="205">
        <v>0</v>
      </c>
      <c r="Q605" s="205">
        <f t="shared" ca="1" si="225"/>
        <v>0</v>
      </c>
      <c r="R605" s="205">
        <f ca="1">+IF(ISERROR(OFFSET(Tabella!$G$1,MATCH(J605,Tabella!$G:$G,0)-1,MATCH(K605,Tabella!$G$1:$FG$1,0)-1)=TRUE),0,OFFSET(Tabella!$G$1,MATCH(J605,Tabella!$G:$G,0)-1,MATCH(K605,Tabella!$G$1:$AB$1,0)-1))</f>
        <v>0</v>
      </c>
      <c r="S605" s="205">
        <f ca="1">IF(ISERROR(OFFSET(Ottone!$F$1,MATCH(J605,Ottone!$A:$A,0)-1,MATCH(K605,Ottone!$F$1:$FF$1,0)-1)=TRUE),0,OFFSET(Ottone!$F$1,MATCH(J605,Ottone!$A:$A,0)-1,MATCH(K605,Ottone!$F$1:$FF$1,0)-1))*IF(G605="Ottone",1,0)</f>
        <v>0</v>
      </c>
      <c r="T605" s="205">
        <f ca="1">IF(ISERROR(OFFSET(Rame!$F$1,MATCH(J605,Rame!$F:$F,0)-1,MATCH(K605,Rame!$F$1:$FF$1,0)-1)=TRUE),0,OFFSET(Rame!$F$1,MATCH(J605,Rame!$F:$F,0)-1,MATCH(K605,Rame!$F$1:$FF$1,0)-1))*IF(G605="Rame",1,0)</f>
        <v>0</v>
      </c>
      <c r="U605" s="205">
        <f ca="1">IF(ISERROR(OFFSET(Bronzo!$A$1,MATCH(J605,Bronzo!$A:$A,0)-1,MATCH(K605,Bronzo!$A$1:$AA$1,0)-1)=TRUE),0,OFFSET(Bronzo!$A$1,MATCH(J605,Bronzo!$A:$A,0)-1,MATCH(K605,Bronzo!$A$1:$AA$1,0)-1))</f>
        <v>0</v>
      </c>
      <c r="V605" s="205">
        <f t="shared" ca="1" si="226"/>
        <v>0</v>
      </c>
      <c r="W605" s="204"/>
      <c r="X605" s="205">
        <v>0</v>
      </c>
      <c r="Y605" s="206">
        <f t="shared" ca="1" si="227"/>
        <v>0</v>
      </c>
      <c r="Z605" s="277">
        <f t="shared" si="228"/>
        <v>0</v>
      </c>
      <c r="AA605" s="203"/>
      <c r="AB605" s="203">
        <f t="shared" ca="1" si="229"/>
        <v>0</v>
      </c>
      <c r="AC605" s="238"/>
      <c r="AI605" s="367">
        <f t="shared" ca="1" si="224"/>
        <v>46092</v>
      </c>
      <c r="AJ605" s="367" t="b">
        <f t="shared" si="218"/>
        <v>1</v>
      </c>
      <c r="AK605" s="370" t="str">
        <f t="shared" si="219"/>
        <v/>
      </c>
      <c r="AN605">
        <f t="shared" si="220"/>
        <v>0</v>
      </c>
      <c r="AO605">
        <f t="shared" si="221"/>
        <v>1900</v>
      </c>
      <c r="AV605">
        <f t="shared" si="222"/>
        <v>0</v>
      </c>
      <c r="AW605">
        <f t="shared" si="223"/>
        <v>0</v>
      </c>
    </row>
    <row r="606" spans="4:49" ht="15.75" x14ac:dyDescent="0.25">
      <c r="D606" s="199"/>
      <c r="E606" s="200"/>
      <c r="F606" s="287"/>
      <c r="G606" s="201"/>
      <c r="H606" s="219"/>
      <c r="I606" s="202"/>
      <c r="J606" s="200"/>
      <c r="K606" s="200"/>
      <c r="L606" s="203"/>
      <c r="M606" s="204">
        <f ca="1">IF(ISERROR(OFFSET(Tabella!$A$1,MATCH(J606,Tabella!$A:$A,0)-1,MATCH(L606,Tabella!$A$1:$AC$1,0)-1)=TRUE),0,+OFFSET(Tabella!$A$1,MATCH(J606,Tabella!$A:$A,0)-1,MATCH(L606,Tabella!$A$1:$AC$1,0)-1))</f>
        <v>0</v>
      </c>
      <c r="N606" s="205">
        <f ca="1">IF(ISERROR(OFFSET(Ottone!$A$1,MATCH(J606,Ottone!$A:$A,0)-1,MATCH(L606,Ottone!$A$1:$Z$1,0)-1)=TRUE),0,OFFSET(Ottone!$A$1,MATCH(J606,Ottone!$A:$A,0)-1,MATCH(L606,Ottone!$A$1:$Z$1,0)-1))*IF(G606="Ottone",1,0)</f>
        <v>0</v>
      </c>
      <c r="O606" s="205">
        <f ca="1">IF(ISERROR(OFFSET(Rame!$A$1,MATCH(J606,Rame!$A:$A,0)-1,MATCH(L606,Rame!$A$1:$AA$1,0)-1)=TRUE),0,OFFSET(Rame!$A$1,MATCH(J606,Rame!$A:$A,0)-1,MATCH(L606,Rame!$A$1:$AA$1,0)-1))*IF(G606="Rame",1,0)</f>
        <v>0</v>
      </c>
      <c r="P606" s="205">
        <v>0</v>
      </c>
      <c r="Q606" s="205">
        <f t="shared" ca="1" si="225"/>
        <v>0</v>
      </c>
      <c r="R606" s="205">
        <f ca="1">+IF(ISERROR(OFFSET(Tabella!$G$1,MATCH(J606,Tabella!$G:$G,0)-1,MATCH(K606,Tabella!$G$1:$FG$1,0)-1)=TRUE),0,OFFSET(Tabella!$G$1,MATCH(J606,Tabella!$G:$G,0)-1,MATCH(K606,Tabella!$G$1:$AB$1,0)-1))</f>
        <v>0</v>
      </c>
      <c r="S606" s="205">
        <f ca="1">IF(ISERROR(OFFSET(Ottone!$F$1,MATCH(J606,Ottone!$A:$A,0)-1,MATCH(K606,Ottone!$F$1:$FF$1,0)-1)=TRUE),0,OFFSET(Ottone!$F$1,MATCH(J606,Ottone!$A:$A,0)-1,MATCH(K606,Ottone!$F$1:$FF$1,0)-1))*IF(G606="Ottone",1,0)</f>
        <v>0</v>
      </c>
      <c r="T606" s="205">
        <f ca="1">IF(ISERROR(OFFSET(Rame!$F$1,MATCH(J606,Rame!$F:$F,0)-1,MATCH(K606,Rame!$F$1:$FF$1,0)-1)=TRUE),0,OFFSET(Rame!$F$1,MATCH(J606,Rame!$F:$F,0)-1,MATCH(K606,Rame!$F$1:$FF$1,0)-1))*IF(G606="Rame",1,0)</f>
        <v>0</v>
      </c>
      <c r="U606" s="205">
        <f ca="1">IF(ISERROR(OFFSET(Bronzo!$A$1,MATCH(J606,Bronzo!$A:$A,0)-1,MATCH(K606,Bronzo!$A$1:$AA$1,0)-1)=TRUE),0,OFFSET(Bronzo!$A$1,MATCH(J606,Bronzo!$A:$A,0)-1,MATCH(K606,Bronzo!$A$1:$AA$1,0)-1))</f>
        <v>0</v>
      </c>
      <c r="V606" s="205">
        <f t="shared" ca="1" si="226"/>
        <v>0</v>
      </c>
      <c r="W606" s="204"/>
      <c r="X606" s="205">
        <v>0</v>
      </c>
      <c r="Y606" s="206">
        <f t="shared" ca="1" si="227"/>
        <v>0</v>
      </c>
      <c r="Z606" s="277">
        <f t="shared" si="228"/>
        <v>0</v>
      </c>
      <c r="AA606" s="203"/>
      <c r="AB606" s="203">
        <f t="shared" ca="1" si="229"/>
        <v>0</v>
      </c>
      <c r="AC606" s="238"/>
      <c r="AI606" s="367">
        <f t="shared" ca="1" si="224"/>
        <v>46092</v>
      </c>
      <c r="AJ606" s="367" t="b">
        <f t="shared" si="218"/>
        <v>1</v>
      </c>
      <c r="AK606" s="370" t="str">
        <f t="shared" si="219"/>
        <v/>
      </c>
      <c r="AN606">
        <f t="shared" si="220"/>
        <v>0</v>
      </c>
      <c r="AO606">
        <f t="shared" si="221"/>
        <v>1900</v>
      </c>
      <c r="AV606">
        <f t="shared" si="222"/>
        <v>0</v>
      </c>
      <c r="AW606">
        <f t="shared" si="223"/>
        <v>0</v>
      </c>
    </row>
    <row r="607" spans="4:49" ht="15.75" x14ac:dyDescent="0.25">
      <c r="D607" s="199"/>
      <c r="E607" s="200"/>
      <c r="F607" s="287"/>
      <c r="G607" s="201"/>
      <c r="H607" s="219"/>
      <c r="I607" s="202"/>
      <c r="J607" s="200"/>
      <c r="K607" s="200"/>
      <c r="L607" s="203"/>
      <c r="M607" s="204">
        <f ca="1">IF(ISERROR(OFFSET(Tabella!$A$1,MATCH(J607,Tabella!$A:$A,0)-1,MATCH(L607,Tabella!$A$1:$AC$1,0)-1)=TRUE),0,+OFFSET(Tabella!$A$1,MATCH(J607,Tabella!$A:$A,0)-1,MATCH(L607,Tabella!$A$1:$AC$1,0)-1))</f>
        <v>0</v>
      </c>
      <c r="N607" s="205">
        <f ca="1">IF(ISERROR(OFFSET(Ottone!$A$1,MATCH(J607,Ottone!$A:$A,0)-1,MATCH(L607,Ottone!$A$1:$Z$1,0)-1)=TRUE),0,OFFSET(Ottone!$A$1,MATCH(J607,Ottone!$A:$A,0)-1,MATCH(L607,Ottone!$A$1:$Z$1,0)-1))*IF(G607="Ottone",1,0)</f>
        <v>0</v>
      </c>
      <c r="O607" s="205">
        <f ca="1">IF(ISERROR(OFFSET(Rame!$A$1,MATCH(J607,Rame!$A:$A,0)-1,MATCH(L607,Rame!$A$1:$AA$1,0)-1)=TRUE),0,OFFSET(Rame!$A$1,MATCH(J607,Rame!$A:$A,0)-1,MATCH(L607,Rame!$A$1:$AA$1,0)-1))*IF(G607="Rame",1,0)</f>
        <v>0</v>
      </c>
      <c r="P607" s="205">
        <v>0</v>
      </c>
      <c r="Q607" s="205">
        <f t="shared" ca="1" si="225"/>
        <v>0</v>
      </c>
      <c r="R607" s="205">
        <f ca="1">+IF(ISERROR(OFFSET(Tabella!$G$1,MATCH(J607,Tabella!$G:$G,0)-1,MATCH(K607,Tabella!$G$1:$FG$1,0)-1)=TRUE),0,OFFSET(Tabella!$G$1,MATCH(J607,Tabella!$G:$G,0)-1,MATCH(K607,Tabella!$G$1:$AB$1,0)-1))</f>
        <v>0</v>
      </c>
      <c r="S607" s="205">
        <f ca="1">IF(ISERROR(OFFSET(Ottone!$F$1,MATCH(J607,Ottone!$A:$A,0)-1,MATCH(K607,Ottone!$F$1:$FF$1,0)-1)=TRUE),0,OFFSET(Ottone!$F$1,MATCH(J607,Ottone!$A:$A,0)-1,MATCH(K607,Ottone!$F$1:$FF$1,0)-1))*IF(G607="Ottone",1,0)</f>
        <v>0</v>
      </c>
      <c r="T607" s="205">
        <f ca="1">IF(ISERROR(OFFSET(Rame!$F$1,MATCH(J607,Rame!$F:$F,0)-1,MATCH(K607,Rame!$F$1:$FF$1,0)-1)=TRUE),0,OFFSET(Rame!$F$1,MATCH(J607,Rame!$F:$F,0)-1,MATCH(K607,Rame!$F$1:$FF$1,0)-1))*IF(G607="Rame",1,0)</f>
        <v>0</v>
      </c>
      <c r="U607" s="205">
        <f ca="1">IF(ISERROR(OFFSET(Bronzo!$A$1,MATCH(J607,Bronzo!$A:$A,0)-1,MATCH(K607,Bronzo!$A$1:$AA$1,0)-1)=TRUE),0,OFFSET(Bronzo!$A$1,MATCH(J607,Bronzo!$A:$A,0)-1,MATCH(K607,Bronzo!$A$1:$AA$1,0)-1))</f>
        <v>0</v>
      </c>
      <c r="V607" s="205">
        <f t="shared" ca="1" si="226"/>
        <v>0</v>
      </c>
      <c r="W607" s="204"/>
      <c r="X607" s="205">
        <v>0</v>
      </c>
      <c r="Y607" s="206">
        <f t="shared" ca="1" si="227"/>
        <v>0</v>
      </c>
      <c r="Z607" s="277">
        <f t="shared" si="228"/>
        <v>0</v>
      </c>
      <c r="AA607" s="203"/>
      <c r="AB607" s="203">
        <f t="shared" ca="1" si="229"/>
        <v>0</v>
      </c>
      <c r="AC607" s="238"/>
      <c r="AI607" s="367">
        <f t="shared" ca="1" si="224"/>
        <v>46092</v>
      </c>
      <c r="AJ607" s="367" t="b">
        <f t="shared" si="218"/>
        <v>1</v>
      </c>
      <c r="AK607" s="370" t="str">
        <f t="shared" si="219"/>
        <v/>
      </c>
      <c r="AN607">
        <f t="shared" si="220"/>
        <v>0</v>
      </c>
      <c r="AO607">
        <f t="shared" si="221"/>
        <v>1900</v>
      </c>
      <c r="AV607">
        <f t="shared" si="222"/>
        <v>0</v>
      </c>
      <c r="AW607">
        <f t="shared" si="223"/>
        <v>0</v>
      </c>
    </row>
    <row r="608" spans="4:49" ht="15.75" x14ac:dyDescent="0.25">
      <c r="D608" s="199"/>
      <c r="E608" s="200"/>
      <c r="F608" s="287"/>
      <c r="G608" s="201"/>
      <c r="H608" s="219"/>
      <c r="I608" s="202"/>
      <c r="J608" s="200"/>
      <c r="K608" s="200"/>
      <c r="L608" s="203"/>
      <c r="M608" s="204">
        <f ca="1">IF(ISERROR(OFFSET(Tabella!$A$1,MATCH(J608,Tabella!$A:$A,0)-1,MATCH(L608,Tabella!$A$1:$AC$1,0)-1)=TRUE),0,+OFFSET(Tabella!$A$1,MATCH(J608,Tabella!$A:$A,0)-1,MATCH(L608,Tabella!$A$1:$AC$1,0)-1))</f>
        <v>0</v>
      </c>
      <c r="N608" s="205">
        <f ca="1">IF(ISERROR(OFFSET(Ottone!$A$1,MATCH(J608,Ottone!$A:$A,0)-1,MATCH(L608,Ottone!$A$1:$Z$1,0)-1)=TRUE),0,OFFSET(Ottone!$A$1,MATCH(J608,Ottone!$A:$A,0)-1,MATCH(L608,Ottone!$A$1:$Z$1,0)-1))*IF(G608="Ottone",1,0)</f>
        <v>0</v>
      </c>
      <c r="O608" s="205">
        <f ca="1">IF(ISERROR(OFFSET(Rame!$A$1,MATCH(J608,Rame!$A:$A,0)-1,MATCH(L608,Rame!$A$1:$AA$1,0)-1)=TRUE),0,OFFSET(Rame!$A$1,MATCH(J608,Rame!$A:$A,0)-1,MATCH(L608,Rame!$A$1:$AA$1,0)-1))*IF(G608="Rame",1,0)</f>
        <v>0</v>
      </c>
      <c r="P608" s="205">
        <v>0</v>
      </c>
      <c r="Q608" s="205">
        <f t="shared" ca="1" si="225"/>
        <v>0</v>
      </c>
      <c r="R608" s="205">
        <f ca="1">+IF(ISERROR(OFFSET(Tabella!$G$1,MATCH(J608,Tabella!$G:$G,0)-1,MATCH(K608,Tabella!$G$1:$FG$1,0)-1)=TRUE),0,OFFSET(Tabella!$G$1,MATCH(J608,Tabella!$G:$G,0)-1,MATCH(K608,Tabella!$G$1:$AB$1,0)-1))</f>
        <v>0</v>
      </c>
      <c r="S608" s="205">
        <f ca="1">IF(ISERROR(OFFSET(Ottone!$F$1,MATCH(J608,Ottone!$A:$A,0)-1,MATCH(K608,Ottone!$F$1:$FF$1,0)-1)=TRUE),0,OFFSET(Ottone!$F$1,MATCH(J608,Ottone!$A:$A,0)-1,MATCH(K608,Ottone!$F$1:$FF$1,0)-1))*IF(G608="Ottone",1,0)</f>
        <v>0</v>
      </c>
      <c r="T608" s="205">
        <f ca="1">IF(ISERROR(OFFSET(Rame!$F$1,MATCH(J608,Rame!$F:$F,0)-1,MATCH(K608,Rame!$F$1:$FF$1,0)-1)=TRUE),0,OFFSET(Rame!$F$1,MATCH(J608,Rame!$F:$F,0)-1,MATCH(K608,Rame!$F$1:$FF$1,0)-1))*IF(G608="Rame",1,0)</f>
        <v>0</v>
      </c>
      <c r="U608" s="205">
        <f ca="1">IF(ISERROR(OFFSET(Bronzo!$A$1,MATCH(J608,Bronzo!$A:$A,0)-1,MATCH(K608,Bronzo!$A$1:$AA$1,0)-1)=TRUE),0,OFFSET(Bronzo!$A$1,MATCH(J608,Bronzo!$A:$A,0)-1,MATCH(K608,Bronzo!$A$1:$AA$1,0)-1))</f>
        <v>0</v>
      </c>
      <c r="V608" s="205">
        <f t="shared" ca="1" si="226"/>
        <v>0</v>
      </c>
      <c r="W608" s="204"/>
      <c r="X608" s="205">
        <v>0</v>
      </c>
      <c r="Y608" s="206">
        <f t="shared" ca="1" si="227"/>
        <v>0</v>
      </c>
      <c r="Z608" s="277">
        <f t="shared" si="228"/>
        <v>0</v>
      </c>
      <c r="AA608" s="203"/>
      <c r="AB608" s="203">
        <f t="shared" ca="1" si="229"/>
        <v>0</v>
      </c>
      <c r="AC608" s="238"/>
      <c r="AI608" s="367">
        <f t="shared" ca="1" si="224"/>
        <v>46092</v>
      </c>
      <c r="AJ608" s="367" t="b">
        <f t="shared" ref="AJ608:AJ671" si="230">ISBLANK(AC608)</f>
        <v>1</v>
      </c>
      <c r="AK608" s="370" t="str">
        <f t="shared" ref="AK608:AK671" si="231">IF(AJ608=FALSE,_xlfn.DAYS(AC608,AI608),"")</f>
        <v/>
      </c>
      <c r="AN608">
        <f t="shared" ref="AN608:AN671" si="232">WEEKNUM(AC608)</f>
        <v>0</v>
      </c>
      <c r="AO608">
        <f t="shared" ref="AO608:AO671" si="233">YEAR(AC608)</f>
        <v>1900</v>
      </c>
      <c r="AV608">
        <f t="shared" ref="AV608:AV671" si="234">IF(AC608="",0,MONTH(AC608))</f>
        <v>0</v>
      </c>
      <c r="AW608">
        <f t="shared" ref="AW608:AW671" si="235">IF(AC608="",0,YEAR(AC608))</f>
        <v>0</v>
      </c>
    </row>
    <row r="609" spans="4:49" ht="15.75" x14ac:dyDescent="0.25">
      <c r="D609" s="199"/>
      <c r="E609" s="200"/>
      <c r="F609" s="287"/>
      <c r="G609" s="201"/>
      <c r="H609" s="219"/>
      <c r="I609" s="202"/>
      <c r="J609" s="200"/>
      <c r="K609" s="200"/>
      <c r="L609" s="203"/>
      <c r="M609" s="204">
        <f ca="1">IF(ISERROR(OFFSET(Tabella!$A$1,MATCH(J609,Tabella!$A:$A,0)-1,MATCH(L609,Tabella!$A$1:$AC$1,0)-1)=TRUE),0,+OFFSET(Tabella!$A$1,MATCH(J609,Tabella!$A:$A,0)-1,MATCH(L609,Tabella!$A$1:$AC$1,0)-1))</f>
        <v>0</v>
      </c>
      <c r="N609" s="205">
        <f ca="1">IF(ISERROR(OFFSET(Ottone!$A$1,MATCH(J609,Ottone!$A:$A,0)-1,MATCH(L609,Ottone!$A$1:$Z$1,0)-1)=TRUE),0,OFFSET(Ottone!$A$1,MATCH(J609,Ottone!$A:$A,0)-1,MATCH(L609,Ottone!$A$1:$Z$1,0)-1))*IF(G609="Ottone",1,0)</f>
        <v>0</v>
      </c>
      <c r="O609" s="205">
        <f ca="1">IF(ISERROR(OFFSET(Rame!$A$1,MATCH(J609,Rame!$A:$A,0)-1,MATCH(L609,Rame!$A$1:$AA$1,0)-1)=TRUE),0,OFFSET(Rame!$A$1,MATCH(J609,Rame!$A:$A,0)-1,MATCH(L609,Rame!$A$1:$AA$1,0)-1))*IF(G609="Rame",1,0)</f>
        <v>0</v>
      </c>
      <c r="P609" s="205">
        <v>0</v>
      </c>
      <c r="Q609" s="205">
        <f t="shared" ca="1" si="225"/>
        <v>0</v>
      </c>
      <c r="R609" s="205">
        <f ca="1">+IF(ISERROR(OFFSET(Tabella!$G$1,MATCH(J609,Tabella!$G:$G,0)-1,MATCH(K609,Tabella!$G$1:$FG$1,0)-1)=TRUE),0,OFFSET(Tabella!$G$1,MATCH(J609,Tabella!$G:$G,0)-1,MATCH(K609,Tabella!$G$1:$AB$1,0)-1))</f>
        <v>0</v>
      </c>
      <c r="S609" s="205">
        <f ca="1">IF(ISERROR(OFFSET(Ottone!$F$1,MATCH(J609,Ottone!$A:$A,0)-1,MATCH(K609,Ottone!$F$1:$FF$1,0)-1)=TRUE),0,OFFSET(Ottone!$F$1,MATCH(J609,Ottone!$A:$A,0)-1,MATCH(K609,Ottone!$F$1:$FF$1,0)-1))*IF(G609="Ottone",1,0)</f>
        <v>0</v>
      </c>
      <c r="T609" s="205">
        <f ca="1">IF(ISERROR(OFFSET(Rame!$F$1,MATCH(J609,Rame!$F:$F,0)-1,MATCH(K609,Rame!$F$1:$FF$1,0)-1)=TRUE),0,OFFSET(Rame!$F$1,MATCH(J609,Rame!$F:$F,0)-1,MATCH(K609,Rame!$F$1:$FF$1,0)-1))*IF(G609="Rame",1,0)</f>
        <v>0</v>
      </c>
      <c r="U609" s="205">
        <f ca="1">IF(ISERROR(OFFSET(Bronzo!$A$1,MATCH(J609,Bronzo!$A:$A,0)-1,MATCH(K609,Bronzo!$A$1:$AA$1,0)-1)=TRUE),0,OFFSET(Bronzo!$A$1,MATCH(J609,Bronzo!$A:$A,0)-1,MATCH(K609,Bronzo!$A$1:$AA$1,0)-1))</f>
        <v>0</v>
      </c>
      <c r="V609" s="205">
        <f t="shared" ca="1" si="226"/>
        <v>0</v>
      </c>
      <c r="W609" s="204"/>
      <c r="X609" s="205">
        <v>0</v>
      </c>
      <c r="Y609" s="206">
        <f t="shared" ca="1" si="227"/>
        <v>0</v>
      </c>
      <c r="Z609" s="277">
        <f t="shared" si="228"/>
        <v>0</v>
      </c>
      <c r="AA609" s="203"/>
      <c r="AB609" s="203">
        <f t="shared" ca="1" si="229"/>
        <v>0</v>
      </c>
      <c r="AC609" s="238"/>
      <c r="AI609" s="367">
        <f t="shared" ca="1" si="224"/>
        <v>46092</v>
      </c>
      <c r="AJ609" s="367" t="b">
        <f t="shared" si="230"/>
        <v>1</v>
      </c>
      <c r="AK609" s="370" t="str">
        <f t="shared" si="231"/>
        <v/>
      </c>
      <c r="AN609">
        <f t="shared" si="232"/>
        <v>0</v>
      </c>
      <c r="AO609">
        <f t="shared" si="233"/>
        <v>1900</v>
      </c>
      <c r="AV609">
        <f t="shared" si="234"/>
        <v>0</v>
      </c>
      <c r="AW609">
        <f t="shared" si="235"/>
        <v>0</v>
      </c>
    </row>
    <row r="610" spans="4:49" ht="15.75" x14ac:dyDescent="0.25">
      <c r="D610" s="199"/>
      <c r="E610" s="200"/>
      <c r="F610" s="287"/>
      <c r="G610" s="201"/>
      <c r="H610" s="219"/>
      <c r="I610" s="202"/>
      <c r="J610" s="200"/>
      <c r="K610" s="200"/>
      <c r="L610" s="203"/>
      <c r="M610" s="204">
        <f ca="1">IF(ISERROR(OFFSET(Tabella!$A$1,MATCH(J610,Tabella!$A:$A,0)-1,MATCH(L610,Tabella!$A$1:$AC$1,0)-1)=TRUE),0,+OFFSET(Tabella!$A$1,MATCH(J610,Tabella!$A:$A,0)-1,MATCH(L610,Tabella!$A$1:$AC$1,0)-1))</f>
        <v>0</v>
      </c>
      <c r="N610" s="205">
        <f ca="1">IF(ISERROR(OFFSET(Ottone!$A$1,MATCH(J610,Ottone!$A:$A,0)-1,MATCH(L610,Ottone!$A$1:$Z$1,0)-1)=TRUE),0,OFFSET(Ottone!$A$1,MATCH(J610,Ottone!$A:$A,0)-1,MATCH(L610,Ottone!$A$1:$Z$1,0)-1))*IF(G610="Ottone",1,0)</f>
        <v>0</v>
      </c>
      <c r="O610" s="205">
        <f ca="1">IF(ISERROR(OFFSET(Rame!$A$1,MATCH(J610,Rame!$A:$A,0)-1,MATCH(L610,Rame!$A$1:$AA$1,0)-1)=TRUE),0,OFFSET(Rame!$A$1,MATCH(J610,Rame!$A:$A,0)-1,MATCH(L610,Rame!$A$1:$AA$1,0)-1))*IF(G610="Rame",1,0)</f>
        <v>0</v>
      </c>
      <c r="P610" s="205">
        <v>0</v>
      </c>
      <c r="Q610" s="205">
        <f t="shared" ca="1" si="225"/>
        <v>0</v>
      </c>
      <c r="R610" s="205">
        <f ca="1">+IF(ISERROR(OFFSET(Tabella!$G$1,MATCH(J610,Tabella!$G:$G,0)-1,MATCH(K610,Tabella!$G$1:$FG$1,0)-1)=TRUE),0,OFFSET(Tabella!$G$1,MATCH(J610,Tabella!$G:$G,0)-1,MATCH(K610,Tabella!$G$1:$AB$1,0)-1))</f>
        <v>0</v>
      </c>
      <c r="S610" s="205">
        <f ca="1">IF(ISERROR(OFFSET(Ottone!$F$1,MATCH(J610,Ottone!$A:$A,0)-1,MATCH(K610,Ottone!$F$1:$FF$1,0)-1)=TRUE),0,OFFSET(Ottone!$F$1,MATCH(J610,Ottone!$A:$A,0)-1,MATCH(K610,Ottone!$F$1:$FF$1,0)-1))*IF(G610="Ottone",1,0)</f>
        <v>0</v>
      </c>
      <c r="T610" s="205">
        <f ca="1">IF(ISERROR(OFFSET(Rame!$F$1,MATCH(J610,Rame!$F:$F,0)-1,MATCH(K610,Rame!$F$1:$FF$1,0)-1)=TRUE),0,OFFSET(Rame!$F$1,MATCH(J610,Rame!$F:$F,0)-1,MATCH(K610,Rame!$F$1:$FF$1,0)-1))*IF(G610="Rame",1,0)</f>
        <v>0</v>
      </c>
      <c r="U610" s="205">
        <f ca="1">IF(ISERROR(OFFSET(Bronzo!$A$1,MATCH(J610,Bronzo!$A:$A,0)-1,MATCH(K610,Bronzo!$A$1:$AA$1,0)-1)=TRUE),0,OFFSET(Bronzo!$A$1,MATCH(J610,Bronzo!$A:$A,0)-1,MATCH(K610,Bronzo!$A$1:$AA$1,0)-1))</f>
        <v>0</v>
      </c>
      <c r="V610" s="205">
        <f t="shared" ca="1" si="226"/>
        <v>0</v>
      </c>
      <c r="W610" s="204"/>
      <c r="X610" s="205">
        <v>0</v>
      </c>
      <c r="Y610" s="206">
        <f t="shared" ca="1" si="227"/>
        <v>0</v>
      </c>
      <c r="Z610" s="277">
        <f t="shared" si="228"/>
        <v>0</v>
      </c>
      <c r="AA610" s="203"/>
      <c r="AB610" s="203">
        <f t="shared" ca="1" si="229"/>
        <v>0</v>
      </c>
      <c r="AC610" s="238"/>
      <c r="AI610" s="367">
        <f t="shared" ca="1" si="224"/>
        <v>46092</v>
      </c>
      <c r="AJ610" s="367" t="b">
        <f t="shared" si="230"/>
        <v>1</v>
      </c>
      <c r="AK610" s="370" t="str">
        <f t="shared" si="231"/>
        <v/>
      </c>
      <c r="AN610">
        <f t="shared" si="232"/>
        <v>0</v>
      </c>
      <c r="AO610">
        <f t="shared" si="233"/>
        <v>1900</v>
      </c>
      <c r="AV610">
        <f t="shared" si="234"/>
        <v>0</v>
      </c>
      <c r="AW610">
        <f t="shared" si="235"/>
        <v>0</v>
      </c>
    </row>
    <row r="611" spans="4:49" ht="15.75" x14ac:dyDescent="0.25">
      <c r="D611" s="199"/>
      <c r="E611" s="200"/>
      <c r="F611" s="287"/>
      <c r="G611" s="201"/>
      <c r="H611" s="219"/>
      <c r="I611" s="202"/>
      <c r="J611" s="200"/>
      <c r="K611" s="200"/>
      <c r="L611" s="203"/>
      <c r="M611" s="204">
        <f ca="1">IF(ISERROR(OFFSET(Tabella!$A$1,MATCH(J611,Tabella!$A:$A,0)-1,MATCH(L611,Tabella!$A$1:$AC$1,0)-1)=TRUE),0,+OFFSET(Tabella!$A$1,MATCH(J611,Tabella!$A:$A,0)-1,MATCH(L611,Tabella!$A$1:$AC$1,0)-1))</f>
        <v>0</v>
      </c>
      <c r="N611" s="205">
        <f ca="1">IF(ISERROR(OFFSET(Ottone!$A$1,MATCH(J611,Ottone!$A:$A,0)-1,MATCH(L611,Ottone!$A$1:$Z$1,0)-1)=TRUE),0,OFFSET(Ottone!$A$1,MATCH(J611,Ottone!$A:$A,0)-1,MATCH(L611,Ottone!$A$1:$Z$1,0)-1))*IF(G611="Ottone",1,0)</f>
        <v>0</v>
      </c>
      <c r="O611" s="205">
        <f ca="1">IF(ISERROR(OFFSET(Rame!$A$1,MATCH(J611,Rame!$A:$A,0)-1,MATCH(L611,Rame!$A$1:$AA$1,0)-1)=TRUE),0,OFFSET(Rame!$A$1,MATCH(J611,Rame!$A:$A,0)-1,MATCH(L611,Rame!$A$1:$AA$1,0)-1))*IF(G611="Rame",1,0)</f>
        <v>0</v>
      </c>
      <c r="P611" s="205">
        <v>0</v>
      </c>
      <c r="Q611" s="205">
        <f t="shared" ca="1" si="225"/>
        <v>0</v>
      </c>
      <c r="R611" s="205">
        <f ca="1">+IF(ISERROR(OFFSET(Tabella!$G$1,MATCH(J611,Tabella!$G:$G,0)-1,MATCH(K611,Tabella!$G$1:$FG$1,0)-1)=TRUE),0,OFFSET(Tabella!$G$1,MATCH(J611,Tabella!$G:$G,0)-1,MATCH(K611,Tabella!$G$1:$AB$1,0)-1))</f>
        <v>0</v>
      </c>
      <c r="S611" s="205">
        <f ca="1">IF(ISERROR(OFFSET(Ottone!$F$1,MATCH(J611,Ottone!$A:$A,0)-1,MATCH(K611,Ottone!$F$1:$FF$1,0)-1)=TRUE),0,OFFSET(Ottone!$F$1,MATCH(J611,Ottone!$A:$A,0)-1,MATCH(K611,Ottone!$F$1:$FF$1,0)-1))*IF(G611="Ottone",1,0)</f>
        <v>0</v>
      </c>
      <c r="T611" s="205">
        <f ca="1">IF(ISERROR(OFFSET(Rame!$F$1,MATCH(J611,Rame!$F:$F,0)-1,MATCH(K611,Rame!$F$1:$FF$1,0)-1)=TRUE),0,OFFSET(Rame!$F$1,MATCH(J611,Rame!$F:$F,0)-1,MATCH(K611,Rame!$F$1:$FF$1,0)-1))*IF(G611="Rame",1,0)</f>
        <v>0</v>
      </c>
      <c r="U611" s="205">
        <f ca="1">IF(ISERROR(OFFSET(Bronzo!$A$1,MATCH(J611,Bronzo!$A:$A,0)-1,MATCH(K611,Bronzo!$A$1:$AA$1,0)-1)=TRUE),0,OFFSET(Bronzo!$A$1,MATCH(J611,Bronzo!$A:$A,0)-1,MATCH(K611,Bronzo!$A$1:$AA$1,0)-1))</f>
        <v>0</v>
      </c>
      <c r="V611" s="205">
        <f t="shared" ca="1" si="226"/>
        <v>0</v>
      </c>
      <c r="W611" s="204"/>
      <c r="X611" s="205">
        <v>0</v>
      </c>
      <c r="Y611" s="206">
        <f t="shared" ca="1" si="227"/>
        <v>0</v>
      </c>
      <c r="Z611" s="277">
        <f t="shared" si="228"/>
        <v>0</v>
      </c>
      <c r="AA611" s="203"/>
      <c r="AB611" s="203">
        <f t="shared" ca="1" si="229"/>
        <v>0</v>
      </c>
      <c r="AC611" s="238"/>
      <c r="AI611" s="367">
        <f t="shared" ca="1" si="224"/>
        <v>46092</v>
      </c>
      <c r="AJ611" s="367" t="b">
        <f t="shared" si="230"/>
        <v>1</v>
      </c>
      <c r="AK611" s="370" t="str">
        <f t="shared" si="231"/>
        <v/>
      </c>
      <c r="AN611">
        <f t="shared" si="232"/>
        <v>0</v>
      </c>
      <c r="AO611">
        <f t="shared" si="233"/>
        <v>1900</v>
      </c>
      <c r="AV611">
        <f t="shared" si="234"/>
        <v>0</v>
      </c>
      <c r="AW611">
        <f t="shared" si="235"/>
        <v>0</v>
      </c>
    </row>
    <row r="612" spans="4:49" ht="15.75" x14ac:dyDescent="0.25">
      <c r="D612" s="199"/>
      <c r="E612" s="200"/>
      <c r="F612" s="287"/>
      <c r="G612" s="201"/>
      <c r="H612" s="219"/>
      <c r="I612" s="202"/>
      <c r="J612" s="200"/>
      <c r="K612" s="200"/>
      <c r="L612" s="203"/>
      <c r="M612" s="204">
        <f ca="1">IF(ISERROR(OFFSET(Tabella!$A$1,MATCH(J612,Tabella!$A:$A,0)-1,MATCH(L612,Tabella!$A$1:$AC$1,0)-1)=TRUE),0,+OFFSET(Tabella!$A$1,MATCH(J612,Tabella!$A:$A,0)-1,MATCH(L612,Tabella!$A$1:$AC$1,0)-1))</f>
        <v>0</v>
      </c>
      <c r="N612" s="205">
        <f ca="1">IF(ISERROR(OFFSET(Ottone!$A$1,MATCH(J612,Ottone!$A:$A,0)-1,MATCH(L612,Ottone!$A$1:$Z$1,0)-1)=TRUE),0,OFFSET(Ottone!$A$1,MATCH(J612,Ottone!$A:$A,0)-1,MATCH(L612,Ottone!$A$1:$Z$1,0)-1))*IF(G612="Ottone",1,0)</f>
        <v>0</v>
      </c>
      <c r="O612" s="205">
        <f ca="1">IF(ISERROR(OFFSET(Rame!$A$1,MATCH(J612,Rame!$A:$A,0)-1,MATCH(L612,Rame!$A$1:$AA$1,0)-1)=TRUE),0,OFFSET(Rame!$A$1,MATCH(J612,Rame!$A:$A,0)-1,MATCH(L612,Rame!$A$1:$AA$1,0)-1))*IF(G612="Rame",1,0)</f>
        <v>0</v>
      </c>
      <c r="P612" s="205">
        <v>0</v>
      </c>
      <c r="Q612" s="205">
        <f t="shared" ca="1" si="225"/>
        <v>0</v>
      </c>
      <c r="R612" s="205">
        <f ca="1">+IF(ISERROR(OFFSET(Tabella!$G$1,MATCH(J612,Tabella!$G:$G,0)-1,MATCH(K612,Tabella!$G$1:$FG$1,0)-1)=TRUE),0,OFFSET(Tabella!$G$1,MATCH(J612,Tabella!$G:$G,0)-1,MATCH(K612,Tabella!$G$1:$AB$1,0)-1))</f>
        <v>0</v>
      </c>
      <c r="S612" s="205">
        <f ca="1">IF(ISERROR(OFFSET(Ottone!$F$1,MATCH(J612,Ottone!$A:$A,0)-1,MATCH(K612,Ottone!$F$1:$FF$1,0)-1)=TRUE),0,OFFSET(Ottone!$F$1,MATCH(J612,Ottone!$A:$A,0)-1,MATCH(K612,Ottone!$F$1:$FF$1,0)-1))*IF(G612="Ottone",1,0)</f>
        <v>0</v>
      </c>
      <c r="T612" s="205">
        <f ca="1">IF(ISERROR(OFFSET(Rame!$F$1,MATCH(J612,Rame!$F:$F,0)-1,MATCH(K612,Rame!$F$1:$FF$1,0)-1)=TRUE),0,OFFSET(Rame!$F$1,MATCH(J612,Rame!$F:$F,0)-1,MATCH(K612,Rame!$F$1:$FF$1,0)-1))*IF(G612="Rame",1,0)</f>
        <v>0</v>
      </c>
      <c r="U612" s="205">
        <f ca="1">IF(ISERROR(OFFSET(Bronzo!$A$1,MATCH(J612,Bronzo!$A:$A,0)-1,MATCH(K612,Bronzo!$A$1:$AA$1,0)-1)=TRUE),0,OFFSET(Bronzo!$A$1,MATCH(J612,Bronzo!$A:$A,0)-1,MATCH(K612,Bronzo!$A$1:$AA$1,0)-1))</f>
        <v>0</v>
      </c>
      <c r="V612" s="205">
        <f t="shared" ca="1" si="226"/>
        <v>0</v>
      </c>
      <c r="W612" s="204"/>
      <c r="X612" s="205">
        <v>0</v>
      </c>
      <c r="Y612" s="206">
        <f t="shared" ca="1" si="227"/>
        <v>0</v>
      </c>
      <c r="Z612" s="277">
        <f t="shared" si="228"/>
        <v>0</v>
      </c>
      <c r="AA612" s="203"/>
      <c r="AB612" s="203">
        <f t="shared" ca="1" si="229"/>
        <v>0</v>
      </c>
      <c r="AC612" s="238"/>
      <c r="AI612" s="367">
        <f t="shared" ca="1" si="224"/>
        <v>46092</v>
      </c>
      <c r="AJ612" s="367" t="b">
        <f t="shared" si="230"/>
        <v>1</v>
      </c>
      <c r="AK612" s="370" t="str">
        <f t="shared" si="231"/>
        <v/>
      </c>
      <c r="AN612">
        <f t="shared" si="232"/>
        <v>0</v>
      </c>
      <c r="AO612">
        <f t="shared" si="233"/>
        <v>1900</v>
      </c>
      <c r="AV612">
        <f t="shared" si="234"/>
        <v>0</v>
      </c>
      <c r="AW612">
        <f t="shared" si="235"/>
        <v>0</v>
      </c>
    </row>
    <row r="613" spans="4:49" ht="15.75" x14ac:dyDescent="0.25">
      <c r="D613" s="199"/>
      <c r="E613" s="200"/>
      <c r="F613" s="287"/>
      <c r="G613" s="201"/>
      <c r="H613" s="219"/>
      <c r="I613" s="202"/>
      <c r="J613" s="200"/>
      <c r="K613" s="200"/>
      <c r="L613" s="203"/>
      <c r="M613" s="204">
        <f ca="1">IF(ISERROR(OFFSET(Tabella!$A$1,MATCH(J613,Tabella!$A:$A,0)-1,MATCH(L613,Tabella!$A$1:$AC$1,0)-1)=TRUE),0,+OFFSET(Tabella!$A$1,MATCH(J613,Tabella!$A:$A,0)-1,MATCH(L613,Tabella!$A$1:$AC$1,0)-1))</f>
        <v>0</v>
      </c>
      <c r="N613" s="205">
        <f ca="1">IF(ISERROR(OFFSET(Ottone!$A$1,MATCH(J613,Ottone!$A:$A,0)-1,MATCH(L613,Ottone!$A$1:$Z$1,0)-1)=TRUE),0,OFFSET(Ottone!$A$1,MATCH(J613,Ottone!$A:$A,0)-1,MATCH(L613,Ottone!$A$1:$Z$1,0)-1))*IF(G613="Ottone",1,0)</f>
        <v>0</v>
      </c>
      <c r="O613" s="205">
        <f ca="1">IF(ISERROR(OFFSET(Rame!$A$1,MATCH(J613,Rame!$A:$A,0)-1,MATCH(L613,Rame!$A$1:$AA$1,0)-1)=TRUE),0,OFFSET(Rame!$A$1,MATCH(J613,Rame!$A:$A,0)-1,MATCH(L613,Rame!$A$1:$AA$1,0)-1))*IF(G613="Rame",1,0)</f>
        <v>0</v>
      </c>
      <c r="P613" s="205">
        <v>0</v>
      </c>
      <c r="Q613" s="205">
        <f t="shared" ca="1" si="225"/>
        <v>0</v>
      </c>
      <c r="R613" s="205">
        <f ca="1">+IF(ISERROR(OFFSET(Tabella!$G$1,MATCH(J613,Tabella!$G:$G,0)-1,MATCH(K613,Tabella!$G$1:$FG$1,0)-1)=TRUE),0,OFFSET(Tabella!$G$1,MATCH(J613,Tabella!$G:$G,0)-1,MATCH(K613,Tabella!$G$1:$AB$1,0)-1))</f>
        <v>0</v>
      </c>
      <c r="S613" s="205">
        <f ca="1">IF(ISERROR(OFFSET(Ottone!$F$1,MATCH(J613,Ottone!$A:$A,0)-1,MATCH(K613,Ottone!$F$1:$FF$1,0)-1)=TRUE),0,OFFSET(Ottone!$F$1,MATCH(J613,Ottone!$A:$A,0)-1,MATCH(K613,Ottone!$F$1:$FF$1,0)-1))*IF(G613="Ottone",1,0)</f>
        <v>0</v>
      </c>
      <c r="T613" s="205">
        <f ca="1">IF(ISERROR(OFFSET(Rame!$F$1,MATCH(J613,Rame!$F:$F,0)-1,MATCH(K613,Rame!$F$1:$FF$1,0)-1)=TRUE),0,OFFSET(Rame!$F$1,MATCH(J613,Rame!$F:$F,0)-1,MATCH(K613,Rame!$F$1:$FF$1,0)-1))*IF(G613="Rame",1,0)</f>
        <v>0</v>
      </c>
      <c r="U613" s="205">
        <f ca="1">IF(ISERROR(OFFSET(Bronzo!$A$1,MATCH(J613,Bronzo!$A:$A,0)-1,MATCH(K613,Bronzo!$A$1:$AA$1,0)-1)=TRUE),0,OFFSET(Bronzo!$A$1,MATCH(J613,Bronzo!$A:$A,0)-1,MATCH(K613,Bronzo!$A$1:$AA$1,0)-1))</f>
        <v>0</v>
      </c>
      <c r="V613" s="205">
        <f t="shared" ca="1" si="226"/>
        <v>0</v>
      </c>
      <c r="W613" s="204"/>
      <c r="X613" s="205">
        <v>0</v>
      </c>
      <c r="Y613" s="206">
        <f t="shared" ca="1" si="227"/>
        <v>0</v>
      </c>
      <c r="Z613" s="277">
        <f t="shared" si="228"/>
        <v>0</v>
      </c>
      <c r="AA613" s="203"/>
      <c r="AB613" s="203">
        <f t="shared" ca="1" si="229"/>
        <v>0</v>
      </c>
      <c r="AC613" s="238"/>
      <c r="AI613" s="367">
        <f t="shared" ca="1" si="224"/>
        <v>46092</v>
      </c>
      <c r="AJ613" s="367" t="b">
        <f t="shared" si="230"/>
        <v>1</v>
      </c>
      <c r="AK613" s="370" t="str">
        <f t="shared" si="231"/>
        <v/>
      </c>
      <c r="AN613">
        <f t="shared" si="232"/>
        <v>0</v>
      </c>
      <c r="AO613">
        <f t="shared" si="233"/>
        <v>1900</v>
      </c>
      <c r="AV613">
        <f t="shared" si="234"/>
        <v>0</v>
      </c>
      <c r="AW613">
        <f t="shared" si="235"/>
        <v>0</v>
      </c>
    </row>
    <row r="614" spans="4:49" ht="15.75" x14ac:dyDescent="0.25">
      <c r="D614" s="199"/>
      <c r="E614" s="200"/>
      <c r="F614" s="287"/>
      <c r="G614" s="201"/>
      <c r="H614" s="219"/>
      <c r="I614" s="202"/>
      <c r="J614" s="200"/>
      <c r="K614" s="200"/>
      <c r="L614" s="203"/>
      <c r="M614" s="204">
        <f ca="1">IF(ISERROR(OFFSET(Tabella!$A$1,MATCH(J614,Tabella!$A:$A,0)-1,MATCH(L614,Tabella!$A$1:$AC$1,0)-1)=TRUE),0,+OFFSET(Tabella!$A$1,MATCH(J614,Tabella!$A:$A,0)-1,MATCH(L614,Tabella!$A$1:$AC$1,0)-1))</f>
        <v>0</v>
      </c>
      <c r="N614" s="205">
        <f ca="1">IF(ISERROR(OFFSET(Ottone!$A$1,MATCH(J614,Ottone!$A:$A,0)-1,MATCH(L614,Ottone!$A$1:$Z$1,0)-1)=TRUE),0,OFFSET(Ottone!$A$1,MATCH(J614,Ottone!$A:$A,0)-1,MATCH(L614,Ottone!$A$1:$Z$1,0)-1))*IF(G614="Ottone",1,0)</f>
        <v>0</v>
      </c>
      <c r="O614" s="205">
        <f ca="1">IF(ISERROR(OFFSET(Rame!$A$1,MATCH(J614,Rame!$A:$A,0)-1,MATCH(L614,Rame!$A$1:$AA$1,0)-1)=TRUE),0,OFFSET(Rame!$A$1,MATCH(J614,Rame!$A:$A,0)-1,MATCH(L614,Rame!$A$1:$AA$1,0)-1))*IF(G614="Rame",1,0)</f>
        <v>0</v>
      </c>
      <c r="P614" s="205">
        <v>0</v>
      </c>
      <c r="Q614" s="205">
        <f t="shared" ca="1" si="225"/>
        <v>0</v>
      </c>
      <c r="R614" s="205">
        <f ca="1">+IF(ISERROR(OFFSET(Tabella!$G$1,MATCH(J614,Tabella!$G:$G,0)-1,MATCH(K614,Tabella!$G$1:$FG$1,0)-1)=TRUE),0,OFFSET(Tabella!$G$1,MATCH(J614,Tabella!$G:$G,0)-1,MATCH(K614,Tabella!$G$1:$AB$1,0)-1))</f>
        <v>0</v>
      </c>
      <c r="S614" s="205">
        <f ca="1">IF(ISERROR(OFFSET(Ottone!$F$1,MATCH(J614,Ottone!$A:$A,0)-1,MATCH(K614,Ottone!$F$1:$FF$1,0)-1)=TRUE),0,OFFSET(Ottone!$F$1,MATCH(J614,Ottone!$A:$A,0)-1,MATCH(K614,Ottone!$F$1:$FF$1,0)-1))*IF(G614="Ottone",1,0)</f>
        <v>0</v>
      </c>
      <c r="T614" s="205">
        <f ca="1">IF(ISERROR(OFFSET(Rame!$F$1,MATCH(J614,Rame!$F:$F,0)-1,MATCH(K614,Rame!$F$1:$FF$1,0)-1)=TRUE),0,OFFSET(Rame!$F$1,MATCH(J614,Rame!$F:$F,0)-1,MATCH(K614,Rame!$F$1:$FF$1,0)-1))*IF(G614="Rame",1,0)</f>
        <v>0</v>
      </c>
      <c r="U614" s="205">
        <f ca="1">IF(ISERROR(OFFSET(Bronzo!$A$1,MATCH(J614,Bronzo!$A:$A,0)-1,MATCH(K614,Bronzo!$A$1:$AA$1,0)-1)=TRUE),0,OFFSET(Bronzo!$A$1,MATCH(J614,Bronzo!$A:$A,0)-1,MATCH(K614,Bronzo!$A$1:$AA$1,0)-1))</f>
        <v>0</v>
      </c>
      <c r="V614" s="205">
        <f t="shared" ca="1" si="226"/>
        <v>0</v>
      </c>
      <c r="W614" s="204"/>
      <c r="X614" s="205">
        <v>0</v>
      </c>
      <c r="Y614" s="206">
        <f t="shared" ca="1" si="227"/>
        <v>0</v>
      </c>
      <c r="Z614" s="277">
        <f t="shared" si="228"/>
        <v>0</v>
      </c>
      <c r="AA614" s="203"/>
      <c r="AB614" s="203">
        <f t="shared" ca="1" si="229"/>
        <v>0</v>
      </c>
      <c r="AC614" s="238"/>
      <c r="AI614" s="367">
        <f t="shared" ca="1" si="224"/>
        <v>46092</v>
      </c>
      <c r="AJ614" s="367" t="b">
        <f t="shared" si="230"/>
        <v>1</v>
      </c>
      <c r="AK614" s="370" t="str">
        <f t="shared" si="231"/>
        <v/>
      </c>
      <c r="AN614">
        <f t="shared" si="232"/>
        <v>0</v>
      </c>
      <c r="AO614">
        <f t="shared" si="233"/>
        <v>1900</v>
      </c>
      <c r="AV614">
        <f t="shared" si="234"/>
        <v>0</v>
      </c>
      <c r="AW614">
        <f t="shared" si="235"/>
        <v>0</v>
      </c>
    </row>
    <row r="615" spans="4:49" ht="15.75" x14ac:dyDescent="0.25">
      <c r="D615" s="199"/>
      <c r="E615" s="200"/>
      <c r="F615" s="287"/>
      <c r="G615" s="201"/>
      <c r="H615" s="219"/>
      <c r="I615" s="202"/>
      <c r="J615" s="200"/>
      <c r="K615" s="200"/>
      <c r="L615" s="203"/>
      <c r="M615" s="204">
        <f ca="1">IF(ISERROR(OFFSET(Tabella!$A$1,MATCH(J615,Tabella!$A:$A,0)-1,MATCH(L615,Tabella!$A$1:$AC$1,0)-1)=TRUE),0,+OFFSET(Tabella!$A$1,MATCH(J615,Tabella!$A:$A,0)-1,MATCH(L615,Tabella!$A$1:$AC$1,0)-1))</f>
        <v>0</v>
      </c>
      <c r="N615" s="205">
        <f ca="1">IF(ISERROR(OFFSET(Ottone!$A$1,MATCH(J615,Ottone!$A:$A,0)-1,MATCH(L615,Ottone!$A$1:$Z$1,0)-1)=TRUE),0,OFFSET(Ottone!$A$1,MATCH(J615,Ottone!$A:$A,0)-1,MATCH(L615,Ottone!$A$1:$Z$1,0)-1))*IF(G615="Ottone",1,0)</f>
        <v>0</v>
      </c>
      <c r="O615" s="205">
        <f ca="1">IF(ISERROR(OFFSET(Rame!$A$1,MATCH(J615,Rame!$A:$A,0)-1,MATCH(L615,Rame!$A$1:$AA$1,0)-1)=TRUE),0,OFFSET(Rame!$A$1,MATCH(J615,Rame!$A:$A,0)-1,MATCH(L615,Rame!$A$1:$AA$1,0)-1))*IF(G615="Rame",1,0)</f>
        <v>0</v>
      </c>
      <c r="P615" s="205">
        <v>0</v>
      </c>
      <c r="Q615" s="205">
        <f t="shared" ca="1" si="225"/>
        <v>0</v>
      </c>
      <c r="R615" s="205">
        <f ca="1">+IF(ISERROR(OFFSET(Tabella!$G$1,MATCH(J615,Tabella!$G:$G,0)-1,MATCH(K615,Tabella!$G$1:$FG$1,0)-1)=TRUE),0,OFFSET(Tabella!$G$1,MATCH(J615,Tabella!$G:$G,0)-1,MATCH(K615,Tabella!$G$1:$AB$1,0)-1))</f>
        <v>0</v>
      </c>
      <c r="S615" s="205">
        <f ca="1">IF(ISERROR(OFFSET(Ottone!$F$1,MATCH(J615,Ottone!$A:$A,0)-1,MATCH(K615,Ottone!$F$1:$FF$1,0)-1)=TRUE),0,OFFSET(Ottone!$F$1,MATCH(J615,Ottone!$A:$A,0)-1,MATCH(K615,Ottone!$F$1:$FF$1,0)-1))*IF(G615="Ottone",1,0)</f>
        <v>0</v>
      </c>
      <c r="T615" s="205">
        <f ca="1">IF(ISERROR(OFFSET(Rame!$F$1,MATCH(J615,Rame!$F:$F,0)-1,MATCH(K615,Rame!$F$1:$FF$1,0)-1)=TRUE),0,OFFSET(Rame!$F$1,MATCH(J615,Rame!$F:$F,0)-1,MATCH(K615,Rame!$F$1:$FF$1,0)-1))*IF(G615="Rame",1,0)</f>
        <v>0</v>
      </c>
      <c r="U615" s="205">
        <f ca="1">IF(ISERROR(OFFSET(Bronzo!$A$1,MATCH(J615,Bronzo!$A:$A,0)-1,MATCH(K615,Bronzo!$A$1:$AA$1,0)-1)=TRUE),0,OFFSET(Bronzo!$A$1,MATCH(J615,Bronzo!$A:$A,0)-1,MATCH(K615,Bronzo!$A$1:$AA$1,0)-1))</f>
        <v>0</v>
      </c>
      <c r="V615" s="205">
        <f t="shared" ca="1" si="226"/>
        <v>0</v>
      </c>
      <c r="W615" s="204"/>
      <c r="X615" s="205">
        <v>0</v>
      </c>
      <c r="Y615" s="206">
        <f t="shared" ca="1" si="227"/>
        <v>0</v>
      </c>
      <c r="Z615" s="277">
        <f t="shared" si="228"/>
        <v>0</v>
      </c>
      <c r="AA615" s="203"/>
      <c r="AB615" s="203">
        <f t="shared" ca="1" si="229"/>
        <v>0</v>
      </c>
      <c r="AC615" s="238"/>
      <c r="AI615" s="367">
        <f t="shared" ca="1" si="224"/>
        <v>46092</v>
      </c>
      <c r="AJ615" s="367" t="b">
        <f t="shared" si="230"/>
        <v>1</v>
      </c>
      <c r="AK615" s="370" t="str">
        <f t="shared" si="231"/>
        <v/>
      </c>
      <c r="AN615">
        <f t="shared" si="232"/>
        <v>0</v>
      </c>
      <c r="AO615">
        <f t="shared" si="233"/>
        <v>1900</v>
      </c>
      <c r="AV615">
        <f t="shared" si="234"/>
        <v>0</v>
      </c>
      <c r="AW615">
        <f t="shared" si="235"/>
        <v>0</v>
      </c>
    </row>
    <row r="616" spans="4:49" ht="15.75" x14ac:dyDescent="0.25">
      <c r="D616" s="199"/>
      <c r="E616" s="200"/>
      <c r="F616" s="287"/>
      <c r="G616" s="201"/>
      <c r="H616" s="219"/>
      <c r="I616" s="202"/>
      <c r="J616" s="200"/>
      <c r="K616" s="200"/>
      <c r="L616" s="203"/>
      <c r="M616" s="204">
        <f ca="1">IF(ISERROR(OFFSET(Tabella!$A$1,MATCH(J616,Tabella!$A:$A,0)-1,MATCH(L616,Tabella!$A$1:$AC$1,0)-1)=TRUE),0,+OFFSET(Tabella!$A$1,MATCH(J616,Tabella!$A:$A,0)-1,MATCH(L616,Tabella!$A$1:$AC$1,0)-1))</f>
        <v>0</v>
      </c>
      <c r="N616" s="205">
        <f ca="1">IF(ISERROR(OFFSET(Ottone!$A$1,MATCH(J616,Ottone!$A:$A,0)-1,MATCH(L616,Ottone!$A$1:$Z$1,0)-1)=TRUE),0,OFFSET(Ottone!$A$1,MATCH(J616,Ottone!$A:$A,0)-1,MATCH(L616,Ottone!$A$1:$Z$1,0)-1))*IF(G616="Ottone",1,0)</f>
        <v>0</v>
      </c>
      <c r="O616" s="205">
        <f ca="1">IF(ISERROR(OFFSET(Rame!$A$1,MATCH(J616,Rame!$A:$A,0)-1,MATCH(L616,Rame!$A$1:$AA$1,0)-1)=TRUE),0,OFFSET(Rame!$A$1,MATCH(J616,Rame!$A:$A,0)-1,MATCH(L616,Rame!$A$1:$AA$1,0)-1))*IF(G616="Rame",1,0)</f>
        <v>0</v>
      </c>
      <c r="P616" s="205">
        <v>0</v>
      </c>
      <c r="Q616" s="205">
        <f t="shared" ca="1" si="225"/>
        <v>0</v>
      </c>
      <c r="R616" s="205">
        <f ca="1">+IF(ISERROR(OFFSET(Tabella!$G$1,MATCH(J616,Tabella!$G:$G,0)-1,MATCH(K616,Tabella!$G$1:$FG$1,0)-1)=TRUE),0,OFFSET(Tabella!$G$1,MATCH(J616,Tabella!$G:$G,0)-1,MATCH(K616,Tabella!$G$1:$AB$1,0)-1))</f>
        <v>0</v>
      </c>
      <c r="S616" s="205">
        <f ca="1">IF(ISERROR(OFFSET(Ottone!$F$1,MATCH(J616,Ottone!$A:$A,0)-1,MATCH(K616,Ottone!$F$1:$FF$1,0)-1)=TRUE),0,OFFSET(Ottone!$F$1,MATCH(J616,Ottone!$A:$A,0)-1,MATCH(K616,Ottone!$F$1:$FF$1,0)-1))*IF(G616="Ottone",1,0)</f>
        <v>0</v>
      </c>
      <c r="T616" s="205">
        <f ca="1">IF(ISERROR(OFFSET(Rame!$F$1,MATCH(J616,Rame!$F:$F,0)-1,MATCH(K616,Rame!$F$1:$FF$1,0)-1)=TRUE),0,OFFSET(Rame!$F$1,MATCH(J616,Rame!$F:$F,0)-1,MATCH(K616,Rame!$F$1:$FF$1,0)-1))*IF(G616="Rame",1,0)</f>
        <v>0</v>
      </c>
      <c r="U616" s="205">
        <f ca="1">IF(ISERROR(OFFSET(Bronzo!$A$1,MATCH(J616,Bronzo!$A:$A,0)-1,MATCH(K616,Bronzo!$A$1:$AA$1,0)-1)=TRUE),0,OFFSET(Bronzo!$A$1,MATCH(J616,Bronzo!$A:$A,0)-1,MATCH(K616,Bronzo!$A$1:$AA$1,0)-1))</f>
        <v>0</v>
      </c>
      <c r="V616" s="205">
        <f t="shared" ca="1" si="226"/>
        <v>0</v>
      </c>
      <c r="W616" s="204"/>
      <c r="X616" s="205">
        <v>0</v>
      </c>
      <c r="Y616" s="206">
        <f t="shared" ca="1" si="227"/>
        <v>0</v>
      </c>
      <c r="Z616" s="277">
        <f t="shared" si="228"/>
        <v>0</v>
      </c>
      <c r="AA616" s="203"/>
      <c r="AB616" s="203">
        <f t="shared" ca="1" si="229"/>
        <v>0</v>
      </c>
      <c r="AC616" s="238"/>
      <c r="AI616" s="367">
        <f t="shared" ca="1" si="224"/>
        <v>46092</v>
      </c>
      <c r="AJ616" s="367" t="b">
        <f t="shared" si="230"/>
        <v>1</v>
      </c>
      <c r="AK616" s="370" t="str">
        <f t="shared" si="231"/>
        <v/>
      </c>
      <c r="AN616">
        <f t="shared" si="232"/>
        <v>0</v>
      </c>
      <c r="AO616">
        <f t="shared" si="233"/>
        <v>1900</v>
      </c>
      <c r="AV616">
        <f t="shared" si="234"/>
        <v>0</v>
      </c>
      <c r="AW616">
        <f t="shared" si="235"/>
        <v>0</v>
      </c>
    </row>
    <row r="617" spans="4:49" ht="15.75" x14ac:dyDescent="0.25">
      <c r="D617" s="199"/>
      <c r="E617" s="200"/>
      <c r="F617" s="287"/>
      <c r="G617" s="201"/>
      <c r="H617" s="219"/>
      <c r="I617" s="202"/>
      <c r="J617" s="200"/>
      <c r="K617" s="200"/>
      <c r="L617" s="203"/>
      <c r="M617" s="204">
        <f ca="1">IF(ISERROR(OFFSET(Tabella!$A$1,MATCH(J617,Tabella!$A:$A,0)-1,MATCH(L617,Tabella!$A$1:$AC$1,0)-1)=TRUE),0,+OFFSET(Tabella!$A$1,MATCH(J617,Tabella!$A:$A,0)-1,MATCH(L617,Tabella!$A$1:$AC$1,0)-1))</f>
        <v>0</v>
      </c>
      <c r="N617" s="205">
        <f ca="1">IF(ISERROR(OFFSET(Ottone!$A$1,MATCH(J617,Ottone!$A:$A,0)-1,MATCH(L617,Ottone!$A$1:$Z$1,0)-1)=TRUE),0,OFFSET(Ottone!$A$1,MATCH(J617,Ottone!$A:$A,0)-1,MATCH(L617,Ottone!$A$1:$Z$1,0)-1))*IF(G617="Ottone",1,0)</f>
        <v>0</v>
      </c>
      <c r="O617" s="205">
        <f ca="1">IF(ISERROR(OFFSET(Rame!$A$1,MATCH(J617,Rame!$A:$A,0)-1,MATCH(L617,Rame!$A$1:$AA$1,0)-1)=TRUE),0,OFFSET(Rame!$A$1,MATCH(J617,Rame!$A:$A,0)-1,MATCH(L617,Rame!$A$1:$AA$1,0)-1))*IF(G617="Rame",1,0)</f>
        <v>0</v>
      </c>
      <c r="P617" s="205">
        <v>0</v>
      </c>
      <c r="Q617" s="205">
        <f t="shared" ca="1" si="225"/>
        <v>0</v>
      </c>
      <c r="R617" s="205">
        <f ca="1">+IF(ISERROR(OFFSET(Tabella!$G$1,MATCH(J617,Tabella!$G:$G,0)-1,MATCH(K617,Tabella!$G$1:$FG$1,0)-1)=TRUE),0,OFFSET(Tabella!$G$1,MATCH(J617,Tabella!$G:$G,0)-1,MATCH(K617,Tabella!$G$1:$AB$1,0)-1))</f>
        <v>0</v>
      </c>
      <c r="S617" s="205">
        <f ca="1">IF(ISERROR(OFFSET(Ottone!$F$1,MATCH(J617,Ottone!$A:$A,0)-1,MATCH(K617,Ottone!$F$1:$FF$1,0)-1)=TRUE),0,OFFSET(Ottone!$F$1,MATCH(J617,Ottone!$A:$A,0)-1,MATCH(K617,Ottone!$F$1:$FF$1,0)-1))*IF(G617="Ottone",1,0)</f>
        <v>0</v>
      </c>
      <c r="T617" s="205">
        <f ca="1">IF(ISERROR(OFFSET(Rame!$F$1,MATCH(J617,Rame!$F:$F,0)-1,MATCH(K617,Rame!$F$1:$FF$1,0)-1)=TRUE),0,OFFSET(Rame!$F$1,MATCH(J617,Rame!$F:$F,0)-1,MATCH(K617,Rame!$F$1:$FF$1,0)-1))*IF(G617="Rame",1,0)</f>
        <v>0</v>
      </c>
      <c r="U617" s="205">
        <f ca="1">IF(ISERROR(OFFSET(Bronzo!$A$1,MATCH(J617,Bronzo!$A:$A,0)-1,MATCH(K617,Bronzo!$A$1:$AA$1,0)-1)=TRUE),0,OFFSET(Bronzo!$A$1,MATCH(J617,Bronzo!$A:$A,0)-1,MATCH(K617,Bronzo!$A$1:$AA$1,0)-1))</f>
        <v>0</v>
      </c>
      <c r="V617" s="205">
        <f t="shared" ca="1" si="226"/>
        <v>0</v>
      </c>
      <c r="W617" s="204"/>
      <c r="X617" s="205">
        <v>0</v>
      </c>
      <c r="Y617" s="206">
        <f t="shared" ca="1" si="227"/>
        <v>0</v>
      </c>
      <c r="Z617" s="277">
        <f t="shared" si="228"/>
        <v>0</v>
      </c>
      <c r="AA617" s="203"/>
      <c r="AB617" s="203">
        <f t="shared" ca="1" si="229"/>
        <v>0</v>
      </c>
      <c r="AC617" s="238"/>
      <c r="AI617" s="367">
        <f t="shared" ca="1" si="224"/>
        <v>46092</v>
      </c>
      <c r="AJ617" s="367" t="b">
        <f t="shared" si="230"/>
        <v>1</v>
      </c>
      <c r="AK617" s="370" t="str">
        <f t="shared" si="231"/>
        <v/>
      </c>
      <c r="AN617">
        <f t="shared" si="232"/>
        <v>0</v>
      </c>
      <c r="AO617">
        <f t="shared" si="233"/>
        <v>1900</v>
      </c>
      <c r="AV617">
        <f t="shared" si="234"/>
        <v>0</v>
      </c>
      <c r="AW617">
        <f t="shared" si="235"/>
        <v>0</v>
      </c>
    </row>
    <row r="618" spans="4:49" ht="15.75" x14ac:dyDescent="0.25">
      <c r="D618" s="199"/>
      <c r="E618" s="200"/>
      <c r="F618" s="287"/>
      <c r="G618" s="201"/>
      <c r="H618" s="219"/>
      <c r="I618" s="202"/>
      <c r="J618" s="200"/>
      <c r="K618" s="200"/>
      <c r="L618" s="203"/>
      <c r="M618" s="204">
        <f ca="1">IF(ISERROR(OFFSET(Tabella!$A$1,MATCH(J618,Tabella!$A:$A,0)-1,MATCH(L618,Tabella!$A$1:$AC$1,0)-1)=TRUE),0,+OFFSET(Tabella!$A$1,MATCH(J618,Tabella!$A:$A,0)-1,MATCH(L618,Tabella!$A$1:$AC$1,0)-1))</f>
        <v>0</v>
      </c>
      <c r="N618" s="205">
        <f ca="1">IF(ISERROR(OFFSET(Ottone!$A$1,MATCH(J618,Ottone!$A:$A,0)-1,MATCH(L618,Ottone!$A$1:$Z$1,0)-1)=TRUE),0,OFFSET(Ottone!$A$1,MATCH(J618,Ottone!$A:$A,0)-1,MATCH(L618,Ottone!$A$1:$Z$1,0)-1))*IF(G618="Ottone",1,0)</f>
        <v>0</v>
      </c>
      <c r="O618" s="205">
        <f ca="1">IF(ISERROR(OFFSET(Rame!$A$1,MATCH(J618,Rame!$A:$A,0)-1,MATCH(L618,Rame!$A$1:$AA$1,0)-1)=TRUE),0,OFFSET(Rame!$A$1,MATCH(J618,Rame!$A:$A,0)-1,MATCH(L618,Rame!$A$1:$AA$1,0)-1))*IF(G618="Rame",1,0)</f>
        <v>0</v>
      </c>
      <c r="P618" s="205">
        <v>0</v>
      </c>
      <c r="Q618" s="205">
        <f t="shared" ca="1" si="225"/>
        <v>0</v>
      </c>
      <c r="R618" s="205">
        <f ca="1">+IF(ISERROR(OFFSET(Tabella!$G$1,MATCH(J618,Tabella!$G:$G,0)-1,MATCH(K618,Tabella!$G$1:$FG$1,0)-1)=TRUE),0,OFFSET(Tabella!$G$1,MATCH(J618,Tabella!$G:$G,0)-1,MATCH(K618,Tabella!$G$1:$AB$1,0)-1))</f>
        <v>0</v>
      </c>
      <c r="S618" s="205">
        <f ca="1">IF(ISERROR(OFFSET(Ottone!$F$1,MATCH(J618,Ottone!$A:$A,0)-1,MATCH(K618,Ottone!$F$1:$FF$1,0)-1)=TRUE),0,OFFSET(Ottone!$F$1,MATCH(J618,Ottone!$A:$A,0)-1,MATCH(K618,Ottone!$F$1:$FF$1,0)-1))*IF(G618="Ottone",1,0)</f>
        <v>0</v>
      </c>
      <c r="T618" s="205">
        <f ca="1">IF(ISERROR(OFFSET(Rame!$F$1,MATCH(J618,Rame!$F:$F,0)-1,MATCH(K618,Rame!$F$1:$FF$1,0)-1)=TRUE),0,OFFSET(Rame!$F$1,MATCH(J618,Rame!$F:$F,0)-1,MATCH(K618,Rame!$F$1:$FF$1,0)-1))*IF(G618="Rame",1,0)</f>
        <v>0</v>
      </c>
      <c r="U618" s="205">
        <f ca="1">IF(ISERROR(OFFSET(Bronzo!$A$1,MATCH(J618,Bronzo!$A:$A,0)-1,MATCH(K618,Bronzo!$A$1:$AA$1,0)-1)=TRUE),0,OFFSET(Bronzo!$A$1,MATCH(J618,Bronzo!$A:$A,0)-1,MATCH(K618,Bronzo!$A$1:$AA$1,0)-1))</f>
        <v>0</v>
      </c>
      <c r="V618" s="205">
        <f t="shared" ca="1" si="226"/>
        <v>0</v>
      </c>
      <c r="W618" s="204"/>
      <c r="X618" s="205">
        <v>0</v>
      </c>
      <c r="Y618" s="206">
        <f t="shared" ca="1" si="227"/>
        <v>0</v>
      </c>
      <c r="Z618" s="277">
        <f t="shared" si="228"/>
        <v>0</v>
      </c>
      <c r="AA618" s="203"/>
      <c r="AB618" s="203">
        <f t="shared" ca="1" si="229"/>
        <v>0</v>
      </c>
      <c r="AC618" s="238"/>
      <c r="AI618" s="367">
        <f t="shared" ca="1" si="224"/>
        <v>46092</v>
      </c>
      <c r="AJ618" s="367" t="b">
        <f t="shared" si="230"/>
        <v>1</v>
      </c>
      <c r="AK618" s="370" t="str">
        <f t="shared" si="231"/>
        <v/>
      </c>
      <c r="AN618">
        <f t="shared" si="232"/>
        <v>0</v>
      </c>
      <c r="AO618">
        <f t="shared" si="233"/>
        <v>1900</v>
      </c>
      <c r="AV618">
        <f t="shared" si="234"/>
        <v>0</v>
      </c>
      <c r="AW618">
        <f t="shared" si="235"/>
        <v>0</v>
      </c>
    </row>
    <row r="619" spans="4:49" ht="15.75" x14ac:dyDescent="0.25">
      <c r="D619" s="199"/>
      <c r="E619" s="200"/>
      <c r="F619" s="287"/>
      <c r="G619" s="201"/>
      <c r="H619" s="219"/>
      <c r="I619" s="202"/>
      <c r="J619" s="200"/>
      <c r="K619" s="200"/>
      <c r="L619" s="203"/>
      <c r="M619" s="204">
        <f ca="1">IF(ISERROR(OFFSET(Tabella!$A$1,MATCH(J619,Tabella!$A:$A,0)-1,MATCH(L619,Tabella!$A$1:$AC$1,0)-1)=TRUE),0,+OFFSET(Tabella!$A$1,MATCH(J619,Tabella!$A:$A,0)-1,MATCH(L619,Tabella!$A$1:$AC$1,0)-1))</f>
        <v>0</v>
      </c>
      <c r="N619" s="205">
        <f ca="1">IF(ISERROR(OFFSET(Ottone!$A$1,MATCH(J619,Ottone!$A:$A,0)-1,MATCH(L619,Ottone!$A$1:$Z$1,0)-1)=TRUE),0,OFFSET(Ottone!$A$1,MATCH(J619,Ottone!$A:$A,0)-1,MATCH(L619,Ottone!$A$1:$Z$1,0)-1))*IF(G619="Ottone",1,0)</f>
        <v>0</v>
      </c>
      <c r="O619" s="205">
        <f ca="1">IF(ISERROR(OFFSET(Rame!$A$1,MATCH(J619,Rame!$A:$A,0)-1,MATCH(L619,Rame!$A$1:$AA$1,0)-1)=TRUE),0,OFFSET(Rame!$A$1,MATCH(J619,Rame!$A:$A,0)-1,MATCH(L619,Rame!$A$1:$AA$1,0)-1))*IF(G619="Rame",1,0)</f>
        <v>0</v>
      </c>
      <c r="P619" s="205">
        <v>0</v>
      </c>
      <c r="Q619" s="205">
        <f t="shared" ca="1" si="225"/>
        <v>0</v>
      </c>
      <c r="R619" s="205">
        <f ca="1">+IF(ISERROR(OFFSET(Tabella!$G$1,MATCH(J619,Tabella!$G:$G,0)-1,MATCH(K619,Tabella!$G$1:$FG$1,0)-1)=TRUE),0,OFFSET(Tabella!$G$1,MATCH(J619,Tabella!$G:$G,0)-1,MATCH(K619,Tabella!$G$1:$AB$1,0)-1))</f>
        <v>0</v>
      </c>
      <c r="S619" s="205">
        <f ca="1">IF(ISERROR(OFFSET(Ottone!$F$1,MATCH(J619,Ottone!$A:$A,0)-1,MATCH(K619,Ottone!$F$1:$FF$1,0)-1)=TRUE),0,OFFSET(Ottone!$F$1,MATCH(J619,Ottone!$A:$A,0)-1,MATCH(K619,Ottone!$F$1:$FF$1,0)-1))*IF(G619="Ottone",1,0)</f>
        <v>0</v>
      </c>
      <c r="T619" s="205">
        <f ca="1">IF(ISERROR(OFFSET(Rame!$F$1,MATCH(J619,Rame!$F:$F,0)-1,MATCH(K619,Rame!$F$1:$FF$1,0)-1)=TRUE),0,OFFSET(Rame!$F$1,MATCH(J619,Rame!$F:$F,0)-1,MATCH(K619,Rame!$F$1:$FF$1,0)-1))*IF(G619="Rame",1,0)</f>
        <v>0</v>
      </c>
      <c r="U619" s="205">
        <f ca="1">IF(ISERROR(OFFSET(Bronzo!$A$1,MATCH(J619,Bronzo!$A:$A,0)-1,MATCH(K619,Bronzo!$A$1:$AA$1,0)-1)=TRUE),0,OFFSET(Bronzo!$A$1,MATCH(J619,Bronzo!$A:$A,0)-1,MATCH(K619,Bronzo!$A$1:$AA$1,0)-1))</f>
        <v>0</v>
      </c>
      <c r="V619" s="205">
        <f t="shared" ca="1" si="226"/>
        <v>0</v>
      </c>
      <c r="W619" s="204"/>
      <c r="X619" s="205">
        <v>0</v>
      </c>
      <c r="Y619" s="206">
        <f t="shared" ca="1" si="227"/>
        <v>0</v>
      </c>
      <c r="Z619" s="277">
        <f t="shared" si="228"/>
        <v>0</v>
      </c>
      <c r="AA619" s="203"/>
      <c r="AB619" s="203">
        <f t="shared" ca="1" si="229"/>
        <v>0</v>
      </c>
      <c r="AC619" s="238"/>
      <c r="AI619" s="367">
        <f t="shared" ca="1" si="224"/>
        <v>46092</v>
      </c>
      <c r="AJ619" s="367" t="b">
        <f t="shared" si="230"/>
        <v>1</v>
      </c>
      <c r="AK619" s="370" t="str">
        <f t="shared" si="231"/>
        <v/>
      </c>
      <c r="AN619">
        <f t="shared" si="232"/>
        <v>0</v>
      </c>
      <c r="AO619">
        <f t="shared" si="233"/>
        <v>1900</v>
      </c>
      <c r="AV619">
        <f t="shared" si="234"/>
        <v>0</v>
      </c>
      <c r="AW619">
        <f t="shared" si="235"/>
        <v>0</v>
      </c>
    </row>
    <row r="620" spans="4:49" ht="15.75" x14ac:dyDescent="0.25">
      <c r="D620" s="199"/>
      <c r="E620" s="200"/>
      <c r="F620" s="287"/>
      <c r="G620" s="201"/>
      <c r="H620" s="219"/>
      <c r="I620" s="202"/>
      <c r="J620" s="200"/>
      <c r="K620" s="200"/>
      <c r="L620" s="203"/>
      <c r="M620" s="204">
        <f ca="1">IF(ISERROR(OFFSET(Tabella!$A$1,MATCH(J620,Tabella!$A:$A,0)-1,MATCH(L620,Tabella!$A$1:$AC$1,0)-1)=TRUE),0,+OFFSET(Tabella!$A$1,MATCH(J620,Tabella!$A:$A,0)-1,MATCH(L620,Tabella!$A$1:$AC$1,0)-1))</f>
        <v>0</v>
      </c>
      <c r="N620" s="205">
        <f ca="1">IF(ISERROR(OFFSET(Ottone!$A$1,MATCH(J620,Ottone!$A:$A,0)-1,MATCH(L620,Ottone!$A$1:$Z$1,0)-1)=TRUE),0,OFFSET(Ottone!$A$1,MATCH(J620,Ottone!$A:$A,0)-1,MATCH(L620,Ottone!$A$1:$Z$1,0)-1))*IF(G620="Ottone",1,0)</f>
        <v>0</v>
      </c>
      <c r="O620" s="205">
        <f ca="1">IF(ISERROR(OFFSET(Rame!$A$1,MATCH(J620,Rame!$A:$A,0)-1,MATCH(L620,Rame!$A$1:$AA$1,0)-1)=TRUE),0,OFFSET(Rame!$A$1,MATCH(J620,Rame!$A:$A,0)-1,MATCH(L620,Rame!$A$1:$AA$1,0)-1))*IF(G620="Rame",1,0)</f>
        <v>0</v>
      </c>
      <c r="P620" s="205">
        <v>0</v>
      </c>
      <c r="Q620" s="205">
        <f t="shared" ca="1" si="225"/>
        <v>0</v>
      </c>
      <c r="R620" s="205">
        <f ca="1">+IF(ISERROR(OFFSET(Tabella!$G$1,MATCH(J620,Tabella!$G:$G,0)-1,MATCH(K620,Tabella!$G$1:$FG$1,0)-1)=TRUE),0,OFFSET(Tabella!$G$1,MATCH(J620,Tabella!$G:$G,0)-1,MATCH(K620,Tabella!$G$1:$AB$1,0)-1))</f>
        <v>0</v>
      </c>
      <c r="S620" s="205">
        <f ca="1">IF(ISERROR(OFFSET(Ottone!$F$1,MATCH(J620,Ottone!$A:$A,0)-1,MATCH(K620,Ottone!$F$1:$FF$1,0)-1)=TRUE),0,OFFSET(Ottone!$F$1,MATCH(J620,Ottone!$A:$A,0)-1,MATCH(K620,Ottone!$F$1:$FF$1,0)-1))*IF(G620="Ottone",1,0)</f>
        <v>0</v>
      </c>
      <c r="T620" s="205">
        <f ca="1">IF(ISERROR(OFFSET(Rame!$F$1,MATCH(J620,Rame!$F:$F,0)-1,MATCH(K620,Rame!$F$1:$FF$1,0)-1)=TRUE),0,OFFSET(Rame!$F$1,MATCH(J620,Rame!$F:$F,0)-1,MATCH(K620,Rame!$F$1:$FF$1,0)-1))*IF(G620="Rame",1,0)</f>
        <v>0</v>
      </c>
      <c r="U620" s="205">
        <f ca="1">IF(ISERROR(OFFSET(Bronzo!$A$1,MATCH(J620,Bronzo!$A:$A,0)-1,MATCH(K620,Bronzo!$A$1:$AA$1,0)-1)=TRUE),0,OFFSET(Bronzo!$A$1,MATCH(J620,Bronzo!$A:$A,0)-1,MATCH(K620,Bronzo!$A$1:$AA$1,0)-1))</f>
        <v>0</v>
      </c>
      <c r="V620" s="205">
        <f t="shared" ca="1" si="226"/>
        <v>0</v>
      </c>
      <c r="W620" s="204"/>
      <c r="X620" s="205">
        <v>0</v>
      </c>
      <c r="Y620" s="206">
        <f t="shared" ca="1" si="227"/>
        <v>0</v>
      </c>
      <c r="Z620" s="277">
        <f t="shared" si="228"/>
        <v>0</v>
      </c>
      <c r="AA620" s="203"/>
      <c r="AB620" s="203">
        <f t="shared" ca="1" si="229"/>
        <v>0</v>
      </c>
      <c r="AC620" s="238"/>
      <c r="AI620" s="367">
        <f t="shared" ca="1" si="224"/>
        <v>46092</v>
      </c>
      <c r="AJ620" s="367" t="b">
        <f t="shared" si="230"/>
        <v>1</v>
      </c>
      <c r="AK620" s="370" t="str">
        <f t="shared" si="231"/>
        <v/>
      </c>
      <c r="AN620">
        <f t="shared" si="232"/>
        <v>0</v>
      </c>
      <c r="AO620">
        <f t="shared" si="233"/>
        <v>1900</v>
      </c>
      <c r="AV620">
        <f t="shared" si="234"/>
        <v>0</v>
      </c>
      <c r="AW620">
        <f t="shared" si="235"/>
        <v>0</v>
      </c>
    </row>
    <row r="621" spans="4:49" ht="15.75" x14ac:dyDescent="0.25">
      <c r="D621" s="199"/>
      <c r="E621" s="200"/>
      <c r="F621" s="287"/>
      <c r="G621" s="201"/>
      <c r="H621" s="219"/>
      <c r="I621" s="202"/>
      <c r="J621" s="200"/>
      <c r="K621" s="200"/>
      <c r="L621" s="203"/>
      <c r="M621" s="204">
        <f ca="1">IF(ISERROR(OFFSET(Tabella!$A$1,MATCH(J621,Tabella!$A:$A,0)-1,MATCH(L621,Tabella!$A$1:$AC$1,0)-1)=TRUE),0,+OFFSET(Tabella!$A$1,MATCH(J621,Tabella!$A:$A,0)-1,MATCH(L621,Tabella!$A$1:$AC$1,0)-1))</f>
        <v>0</v>
      </c>
      <c r="N621" s="205">
        <f ca="1">IF(ISERROR(OFFSET(Ottone!$A$1,MATCH(J621,Ottone!$A:$A,0)-1,MATCH(L621,Ottone!$A$1:$Z$1,0)-1)=TRUE),0,OFFSET(Ottone!$A$1,MATCH(J621,Ottone!$A:$A,0)-1,MATCH(L621,Ottone!$A$1:$Z$1,0)-1))*IF(G621="Ottone",1,0)</f>
        <v>0</v>
      </c>
      <c r="O621" s="205">
        <f ca="1">IF(ISERROR(OFFSET(Rame!$A$1,MATCH(J621,Rame!$A:$A,0)-1,MATCH(L621,Rame!$A$1:$AA$1,0)-1)=TRUE),0,OFFSET(Rame!$A$1,MATCH(J621,Rame!$A:$A,0)-1,MATCH(L621,Rame!$A$1:$AA$1,0)-1))*IF(G621="Rame",1,0)</f>
        <v>0</v>
      </c>
      <c r="P621" s="205">
        <v>0</v>
      </c>
      <c r="Q621" s="205">
        <f t="shared" ca="1" si="225"/>
        <v>0</v>
      </c>
      <c r="R621" s="205">
        <f ca="1">+IF(ISERROR(OFFSET(Tabella!$G$1,MATCH(J621,Tabella!$G:$G,0)-1,MATCH(K621,Tabella!$G$1:$FG$1,0)-1)=TRUE),0,OFFSET(Tabella!$G$1,MATCH(J621,Tabella!$G:$G,0)-1,MATCH(K621,Tabella!$G$1:$AB$1,0)-1))</f>
        <v>0</v>
      </c>
      <c r="S621" s="205">
        <f ca="1">IF(ISERROR(OFFSET(Ottone!$F$1,MATCH(J621,Ottone!$A:$A,0)-1,MATCH(K621,Ottone!$F$1:$FF$1,0)-1)=TRUE),0,OFFSET(Ottone!$F$1,MATCH(J621,Ottone!$A:$A,0)-1,MATCH(K621,Ottone!$F$1:$FF$1,0)-1))*IF(G621="Ottone",1,0)</f>
        <v>0</v>
      </c>
      <c r="T621" s="205">
        <f ca="1">IF(ISERROR(OFFSET(Rame!$F$1,MATCH(J621,Rame!$F:$F,0)-1,MATCH(K621,Rame!$F$1:$FF$1,0)-1)=TRUE),0,OFFSET(Rame!$F$1,MATCH(J621,Rame!$F:$F,0)-1,MATCH(K621,Rame!$F$1:$FF$1,0)-1))*IF(G621="Rame",1,0)</f>
        <v>0</v>
      </c>
      <c r="U621" s="205">
        <f ca="1">IF(ISERROR(OFFSET(Bronzo!$A$1,MATCH(J621,Bronzo!$A:$A,0)-1,MATCH(K621,Bronzo!$A$1:$AA$1,0)-1)=TRUE),0,OFFSET(Bronzo!$A$1,MATCH(J621,Bronzo!$A:$A,0)-1,MATCH(K621,Bronzo!$A$1:$AA$1,0)-1))</f>
        <v>0</v>
      </c>
      <c r="V621" s="205">
        <f t="shared" ca="1" si="226"/>
        <v>0</v>
      </c>
      <c r="W621" s="204"/>
      <c r="X621" s="205">
        <v>0</v>
      </c>
      <c r="Y621" s="206">
        <f t="shared" ca="1" si="227"/>
        <v>0</v>
      </c>
      <c r="Z621" s="277">
        <f t="shared" si="228"/>
        <v>0</v>
      </c>
      <c r="AA621" s="203"/>
      <c r="AB621" s="203">
        <f t="shared" ca="1" si="229"/>
        <v>0</v>
      </c>
      <c r="AC621" s="238"/>
      <c r="AI621" s="367">
        <f t="shared" ca="1" si="224"/>
        <v>46092</v>
      </c>
      <c r="AJ621" s="367" t="b">
        <f t="shared" si="230"/>
        <v>1</v>
      </c>
      <c r="AK621" s="370" t="str">
        <f t="shared" si="231"/>
        <v/>
      </c>
      <c r="AN621">
        <f t="shared" si="232"/>
        <v>0</v>
      </c>
      <c r="AO621">
        <f t="shared" si="233"/>
        <v>1900</v>
      </c>
      <c r="AV621">
        <f t="shared" si="234"/>
        <v>0</v>
      </c>
      <c r="AW621">
        <f t="shared" si="235"/>
        <v>0</v>
      </c>
    </row>
    <row r="622" spans="4:49" ht="15.75" x14ac:dyDescent="0.25">
      <c r="D622" s="199"/>
      <c r="E622" s="200"/>
      <c r="F622" s="287"/>
      <c r="G622" s="201"/>
      <c r="H622" s="219"/>
      <c r="I622" s="202"/>
      <c r="J622" s="200"/>
      <c r="K622" s="200"/>
      <c r="L622" s="203"/>
      <c r="M622" s="204">
        <f ca="1">IF(ISERROR(OFFSET(Tabella!$A$1,MATCH(J622,Tabella!$A:$A,0)-1,MATCH(L622,Tabella!$A$1:$AC$1,0)-1)=TRUE),0,+OFFSET(Tabella!$A$1,MATCH(J622,Tabella!$A:$A,0)-1,MATCH(L622,Tabella!$A$1:$AC$1,0)-1))</f>
        <v>0</v>
      </c>
      <c r="N622" s="205">
        <f ca="1">IF(ISERROR(OFFSET(Ottone!$A$1,MATCH(J622,Ottone!$A:$A,0)-1,MATCH(L622,Ottone!$A$1:$Z$1,0)-1)=TRUE),0,OFFSET(Ottone!$A$1,MATCH(J622,Ottone!$A:$A,0)-1,MATCH(L622,Ottone!$A$1:$Z$1,0)-1))*IF(G622="Ottone",1,0)</f>
        <v>0</v>
      </c>
      <c r="O622" s="205">
        <f ca="1">IF(ISERROR(OFFSET(Rame!$A$1,MATCH(J622,Rame!$A:$A,0)-1,MATCH(L622,Rame!$A$1:$AA$1,0)-1)=TRUE),0,OFFSET(Rame!$A$1,MATCH(J622,Rame!$A:$A,0)-1,MATCH(L622,Rame!$A$1:$AA$1,0)-1))*IF(G622="Rame",1,0)</f>
        <v>0</v>
      </c>
      <c r="P622" s="205">
        <v>0</v>
      </c>
      <c r="Q622" s="205">
        <f t="shared" ca="1" si="225"/>
        <v>0</v>
      </c>
      <c r="R622" s="205">
        <f ca="1">+IF(ISERROR(OFFSET(Tabella!$G$1,MATCH(J622,Tabella!$G:$G,0)-1,MATCH(K622,Tabella!$G$1:$FG$1,0)-1)=TRUE),0,OFFSET(Tabella!$G$1,MATCH(J622,Tabella!$G:$G,0)-1,MATCH(K622,Tabella!$G$1:$AB$1,0)-1))</f>
        <v>0</v>
      </c>
      <c r="S622" s="205">
        <f ca="1">IF(ISERROR(OFFSET(Ottone!$F$1,MATCH(J622,Ottone!$A:$A,0)-1,MATCH(K622,Ottone!$F$1:$FF$1,0)-1)=TRUE),0,OFFSET(Ottone!$F$1,MATCH(J622,Ottone!$A:$A,0)-1,MATCH(K622,Ottone!$F$1:$FF$1,0)-1))*IF(G622="Ottone",1,0)</f>
        <v>0</v>
      </c>
      <c r="T622" s="205">
        <f ca="1">IF(ISERROR(OFFSET(Rame!$F$1,MATCH(J622,Rame!$F:$F,0)-1,MATCH(K622,Rame!$F$1:$FF$1,0)-1)=TRUE),0,OFFSET(Rame!$F$1,MATCH(J622,Rame!$F:$F,0)-1,MATCH(K622,Rame!$F$1:$FF$1,0)-1))*IF(G622="Rame",1,0)</f>
        <v>0</v>
      </c>
      <c r="U622" s="205">
        <f ca="1">IF(ISERROR(OFFSET(Bronzo!$A$1,MATCH(J622,Bronzo!$A:$A,0)-1,MATCH(K622,Bronzo!$A$1:$AA$1,0)-1)=TRUE),0,OFFSET(Bronzo!$A$1,MATCH(J622,Bronzo!$A:$A,0)-1,MATCH(K622,Bronzo!$A$1:$AA$1,0)-1))</f>
        <v>0</v>
      </c>
      <c r="V622" s="205">
        <f t="shared" ca="1" si="226"/>
        <v>0</v>
      </c>
      <c r="W622" s="204"/>
      <c r="X622" s="205">
        <v>0</v>
      </c>
      <c r="Y622" s="206">
        <f t="shared" ca="1" si="227"/>
        <v>0</v>
      </c>
      <c r="Z622" s="277">
        <f t="shared" si="228"/>
        <v>0</v>
      </c>
      <c r="AA622" s="203"/>
      <c r="AB622" s="203">
        <f t="shared" ca="1" si="229"/>
        <v>0</v>
      </c>
      <c r="AC622" s="238"/>
      <c r="AI622" s="367">
        <f t="shared" ca="1" si="224"/>
        <v>46092</v>
      </c>
      <c r="AJ622" s="367" t="b">
        <f t="shared" si="230"/>
        <v>1</v>
      </c>
      <c r="AK622" s="370" t="str">
        <f t="shared" si="231"/>
        <v/>
      </c>
      <c r="AN622">
        <f t="shared" si="232"/>
        <v>0</v>
      </c>
      <c r="AO622">
        <f t="shared" si="233"/>
        <v>1900</v>
      </c>
      <c r="AV622">
        <f t="shared" si="234"/>
        <v>0</v>
      </c>
      <c r="AW622">
        <f t="shared" si="235"/>
        <v>0</v>
      </c>
    </row>
    <row r="623" spans="4:49" ht="15.75" x14ac:dyDescent="0.25">
      <c r="D623" s="199"/>
      <c r="E623" s="200"/>
      <c r="F623" s="287"/>
      <c r="G623" s="201"/>
      <c r="H623" s="219"/>
      <c r="I623" s="202"/>
      <c r="J623" s="200"/>
      <c r="K623" s="200"/>
      <c r="L623" s="203"/>
      <c r="M623" s="204">
        <f ca="1">IF(ISERROR(OFFSET(Tabella!$A$1,MATCH(J623,Tabella!$A:$A,0)-1,MATCH(L623,Tabella!$A$1:$AC$1,0)-1)=TRUE),0,+OFFSET(Tabella!$A$1,MATCH(J623,Tabella!$A:$A,0)-1,MATCH(L623,Tabella!$A$1:$AC$1,0)-1))</f>
        <v>0</v>
      </c>
      <c r="N623" s="205">
        <f ca="1">IF(ISERROR(OFFSET(Ottone!$A$1,MATCH(J623,Ottone!$A:$A,0)-1,MATCH(L623,Ottone!$A$1:$Z$1,0)-1)=TRUE),0,OFFSET(Ottone!$A$1,MATCH(J623,Ottone!$A:$A,0)-1,MATCH(L623,Ottone!$A$1:$Z$1,0)-1))*IF(G623="Ottone",1,0)</f>
        <v>0</v>
      </c>
      <c r="O623" s="205">
        <f ca="1">IF(ISERROR(OFFSET(Rame!$A$1,MATCH(J623,Rame!$A:$A,0)-1,MATCH(L623,Rame!$A$1:$AA$1,0)-1)=TRUE),0,OFFSET(Rame!$A$1,MATCH(J623,Rame!$A:$A,0)-1,MATCH(L623,Rame!$A$1:$AA$1,0)-1))*IF(G623="Rame",1,0)</f>
        <v>0</v>
      </c>
      <c r="P623" s="205">
        <v>0</v>
      </c>
      <c r="Q623" s="205">
        <f t="shared" ca="1" si="225"/>
        <v>0</v>
      </c>
      <c r="R623" s="205">
        <f ca="1">+IF(ISERROR(OFFSET(Tabella!$G$1,MATCH(J623,Tabella!$G:$G,0)-1,MATCH(K623,Tabella!$G$1:$FG$1,0)-1)=TRUE),0,OFFSET(Tabella!$G$1,MATCH(J623,Tabella!$G:$G,0)-1,MATCH(K623,Tabella!$G$1:$AB$1,0)-1))</f>
        <v>0</v>
      </c>
      <c r="S623" s="205">
        <f ca="1">IF(ISERROR(OFFSET(Ottone!$F$1,MATCH(J623,Ottone!$A:$A,0)-1,MATCH(K623,Ottone!$F$1:$FF$1,0)-1)=TRUE),0,OFFSET(Ottone!$F$1,MATCH(J623,Ottone!$A:$A,0)-1,MATCH(K623,Ottone!$F$1:$FF$1,0)-1))*IF(G623="Ottone",1,0)</f>
        <v>0</v>
      </c>
      <c r="T623" s="205">
        <f ca="1">IF(ISERROR(OFFSET(Rame!$F$1,MATCH(J623,Rame!$F:$F,0)-1,MATCH(K623,Rame!$F$1:$FF$1,0)-1)=TRUE),0,OFFSET(Rame!$F$1,MATCH(J623,Rame!$F:$F,0)-1,MATCH(K623,Rame!$F$1:$FF$1,0)-1))*IF(G623="Rame",1,0)</f>
        <v>0</v>
      </c>
      <c r="U623" s="205">
        <f ca="1">IF(ISERROR(OFFSET(Bronzo!$A$1,MATCH(J623,Bronzo!$A:$A,0)-1,MATCH(K623,Bronzo!$A$1:$AA$1,0)-1)=TRUE),0,OFFSET(Bronzo!$A$1,MATCH(J623,Bronzo!$A:$A,0)-1,MATCH(K623,Bronzo!$A$1:$AA$1,0)-1))</f>
        <v>0</v>
      </c>
      <c r="V623" s="205">
        <f t="shared" ca="1" si="226"/>
        <v>0</v>
      </c>
      <c r="W623" s="204"/>
      <c r="X623" s="205">
        <v>0</v>
      </c>
      <c r="Y623" s="206">
        <f t="shared" ca="1" si="227"/>
        <v>0</v>
      </c>
      <c r="Z623" s="277">
        <f t="shared" si="228"/>
        <v>0</v>
      </c>
      <c r="AA623" s="203"/>
      <c r="AB623" s="203">
        <f t="shared" ca="1" si="229"/>
        <v>0</v>
      </c>
      <c r="AC623" s="238"/>
      <c r="AI623" s="367">
        <f t="shared" ca="1" si="224"/>
        <v>46092</v>
      </c>
      <c r="AJ623" s="367" t="b">
        <f t="shared" si="230"/>
        <v>1</v>
      </c>
      <c r="AK623" s="370" t="str">
        <f t="shared" si="231"/>
        <v/>
      </c>
      <c r="AN623">
        <f t="shared" si="232"/>
        <v>0</v>
      </c>
      <c r="AO623">
        <f t="shared" si="233"/>
        <v>1900</v>
      </c>
      <c r="AV623">
        <f t="shared" si="234"/>
        <v>0</v>
      </c>
      <c r="AW623">
        <f t="shared" si="235"/>
        <v>0</v>
      </c>
    </row>
    <row r="624" spans="4:49" ht="15.75" x14ac:dyDescent="0.25">
      <c r="D624" s="199"/>
      <c r="E624" s="200"/>
      <c r="F624" s="287"/>
      <c r="G624" s="201"/>
      <c r="H624" s="219"/>
      <c r="I624" s="202"/>
      <c r="J624" s="200"/>
      <c r="K624" s="200"/>
      <c r="L624" s="203"/>
      <c r="M624" s="204">
        <f ca="1">IF(ISERROR(OFFSET(Tabella!$A$1,MATCH(J624,Tabella!$A:$A,0)-1,MATCH(L624,Tabella!$A$1:$AC$1,0)-1)=TRUE),0,+OFFSET(Tabella!$A$1,MATCH(J624,Tabella!$A:$A,0)-1,MATCH(L624,Tabella!$A$1:$AC$1,0)-1))</f>
        <v>0</v>
      </c>
      <c r="N624" s="205">
        <f ca="1">IF(ISERROR(OFFSET(Ottone!$A$1,MATCH(J624,Ottone!$A:$A,0)-1,MATCH(L624,Ottone!$A$1:$Z$1,0)-1)=TRUE),0,OFFSET(Ottone!$A$1,MATCH(J624,Ottone!$A:$A,0)-1,MATCH(L624,Ottone!$A$1:$Z$1,0)-1))*IF(G624="Ottone",1,0)</f>
        <v>0</v>
      </c>
      <c r="O624" s="205">
        <f ca="1">IF(ISERROR(OFFSET(Rame!$A$1,MATCH(J624,Rame!$A:$A,0)-1,MATCH(L624,Rame!$A$1:$AA$1,0)-1)=TRUE),0,OFFSET(Rame!$A$1,MATCH(J624,Rame!$A:$A,0)-1,MATCH(L624,Rame!$A$1:$AA$1,0)-1))*IF(G624="Rame",1,0)</f>
        <v>0</v>
      </c>
      <c r="P624" s="205">
        <v>0</v>
      </c>
      <c r="Q624" s="205">
        <f t="shared" ca="1" si="225"/>
        <v>0</v>
      </c>
      <c r="R624" s="205">
        <f ca="1">+IF(ISERROR(OFFSET(Tabella!$G$1,MATCH(J624,Tabella!$G:$G,0)-1,MATCH(K624,Tabella!$G$1:$FG$1,0)-1)=TRUE),0,OFFSET(Tabella!$G$1,MATCH(J624,Tabella!$G:$G,0)-1,MATCH(K624,Tabella!$G$1:$AB$1,0)-1))</f>
        <v>0</v>
      </c>
      <c r="S624" s="205">
        <f ca="1">IF(ISERROR(OFFSET(Ottone!$F$1,MATCH(J624,Ottone!$A:$A,0)-1,MATCH(K624,Ottone!$F$1:$FF$1,0)-1)=TRUE),0,OFFSET(Ottone!$F$1,MATCH(J624,Ottone!$A:$A,0)-1,MATCH(K624,Ottone!$F$1:$FF$1,0)-1))*IF(G624="Ottone",1,0)</f>
        <v>0</v>
      </c>
      <c r="T624" s="205">
        <f ca="1">IF(ISERROR(OFFSET(Rame!$F$1,MATCH(J624,Rame!$F:$F,0)-1,MATCH(K624,Rame!$F$1:$FF$1,0)-1)=TRUE),0,OFFSET(Rame!$F$1,MATCH(J624,Rame!$F:$F,0)-1,MATCH(K624,Rame!$F$1:$FF$1,0)-1))*IF(G624="Rame",1,0)</f>
        <v>0</v>
      </c>
      <c r="U624" s="205">
        <f ca="1">IF(ISERROR(OFFSET(Bronzo!$A$1,MATCH(J624,Bronzo!$A:$A,0)-1,MATCH(K624,Bronzo!$A$1:$AA$1,0)-1)=TRUE),0,OFFSET(Bronzo!$A$1,MATCH(J624,Bronzo!$A:$A,0)-1,MATCH(K624,Bronzo!$A$1:$AA$1,0)-1))</f>
        <v>0</v>
      </c>
      <c r="V624" s="205">
        <f t="shared" ca="1" si="226"/>
        <v>0</v>
      </c>
      <c r="W624" s="204"/>
      <c r="X624" s="205">
        <v>0</v>
      </c>
      <c r="Y624" s="206">
        <f t="shared" ca="1" si="227"/>
        <v>0</v>
      </c>
      <c r="Z624" s="277">
        <f t="shared" si="228"/>
        <v>0</v>
      </c>
      <c r="AA624" s="203"/>
      <c r="AB624" s="203">
        <f t="shared" ca="1" si="229"/>
        <v>0</v>
      </c>
      <c r="AC624" s="238"/>
      <c r="AI624" s="367">
        <f t="shared" ca="1" si="224"/>
        <v>46092</v>
      </c>
      <c r="AJ624" s="367" t="b">
        <f t="shared" si="230"/>
        <v>1</v>
      </c>
      <c r="AK624" s="370" t="str">
        <f t="shared" si="231"/>
        <v/>
      </c>
      <c r="AN624">
        <f t="shared" si="232"/>
        <v>0</v>
      </c>
      <c r="AO624">
        <f t="shared" si="233"/>
        <v>1900</v>
      </c>
      <c r="AV624">
        <f t="shared" si="234"/>
        <v>0</v>
      </c>
      <c r="AW624">
        <f t="shared" si="235"/>
        <v>0</v>
      </c>
    </row>
    <row r="625" spans="4:49" ht="15.75" x14ac:dyDescent="0.25">
      <c r="D625" s="199"/>
      <c r="E625" s="200"/>
      <c r="F625" s="287"/>
      <c r="G625" s="201"/>
      <c r="H625" s="219"/>
      <c r="I625" s="202"/>
      <c r="J625" s="200"/>
      <c r="K625" s="200"/>
      <c r="L625" s="203"/>
      <c r="M625" s="204">
        <f ca="1">IF(ISERROR(OFFSET(Tabella!$A$1,MATCH(J625,Tabella!$A:$A,0)-1,MATCH(L625,Tabella!$A$1:$AC$1,0)-1)=TRUE),0,+OFFSET(Tabella!$A$1,MATCH(J625,Tabella!$A:$A,0)-1,MATCH(L625,Tabella!$A$1:$AC$1,0)-1))</f>
        <v>0</v>
      </c>
      <c r="N625" s="205">
        <f ca="1">IF(ISERROR(OFFSET(Ottone!$A$1,MATCH(J625,Ottone!$A:$A,0)-1,MATCH(L625,Ottone!$A$1:$Z$1,0)-1)=TRUE),0,OFFSET(Ottone!$A$1,MATCH(J625,Ottone!$A:$A,0)-1,MATCH(L625,Ottone!$A$1:$Z$1,0)-1))*IF(G625="Ottone",1,0)</f>
        <v>0</v>
      </c>
      <c r="O625" s="205">
        <f ca="1">IF(ISERROR(OFFSET(Rame!$A$1,MATCH(J625,Rame!$A:$A,0)-1,MATCH(L625,Rame!$A$1:$AA$1,0)-1)=TRUE),0,OFFSET(Rame!$A$1,MATCH(J625,Rame!$A:$A,0)-1,MATCH(L625,Rame!$A$1:$AA$1,0)-1))*IF(G625="Rame",1,0)</f>
        <v>0</v>
      </c>
      <c r="P625" s="205">
        <v>0</v>
      </c>
      <c r="Q625" s="205">
        <f t="shared" ca="1" si="225"/>
        <v>0</v>
      </c>
      <c r="R625" s="205">
        <f ca="1">+IF(ISERROR(OFFSET(Tabella!$G$1,MATCH(J625,Tabella!$G:$G,0)-1,MATCH(K625,Tabella!$G$1:$FG$1,0)-1)=TRUE),0,OFFSET(Tabella!$G$1,MATCH(J625,Tabella!$G:$G,0)-1,MATCH(K625,Tabella!$G$1:$AB$1,0)-1))</f>
        <v>0</v>
      </c>
      <c r="S625" s="205">
        <f ca="1">IF(ISERROR(OFFSET(Ottone!$F$1,MATCH(J625,Ottone!$A:$A,0)-1,MATCH(K625,Ottone!$F$1:$FF$1,0)-1)=TRUE),0,OFFSET(Ottone!$F$1,MATCH(J625,Ottone!$A:$A,0)-1,MATCH(K625,Ottone!$F$1:$FF$1,0)-1))*IF(G625="Ottone",1,0)</f>
        <v>0</v>
      </c>
      <c r="T625" s="205">
        <f ca="1">IF(ISERROR(OFFSET(Rame!$F$1,MATCH(J625,Rame!$F:$F,0)-1,MATCH(K625,Rame!$F$1:$FF$1,0)-1)=TRUE),0,OFFSET(Rame!$F$1,MATCH(J625,Rame!$F:$F,0)-1,MATCH(K625,Rame!$F$1:$FF$1,0)-1))*IF(G625="Rame",1,0)</f>
        <v>0</v>
      </c>
      <c r="U625" s="205">
        <f ca="1">IF(ISERROR(OFFSET(Bronzo!$A$1,MATCH(J625,Bronzo!$A:$A,0)-1,MATCH(K625,Bronzo!$A$1:$AA$1,0)-1)=TRUE),0,OFFSET(Bronzo!$A$1,MATCH(J625,Bronzo!$A:$A,0)-1,MATCH(K625,Bronzo!$A$1:$AA$1,0)-1))</f>
        <v>0</v>
      </c>
      <c r="V625" s="205">
        <f t="shared" ca="1" si="226"/>
        <v>0</v>
      </c>
      <c r="W625" s="204"/>
      <c r="X625" s="205">
        <v>0</v>
      </c>
      <c r="Y625" s="206">
        <f t="shared" ca="1" si="227"/>
        <v>0</v>
      </c>
      <c r="Z625" s="277">
        <f t="shared" si="228"/>
        <v>0</v>
      </c>
      <c r="AA625" s="203"/>
      <c r="AB625" s="203">
        <f t="shared" ca="1" si="229"/>
        <v>0</v>
      </c>
      <c r="AC625" s="238"/>
      <c r="AI625" s="367">
        <f t="shared" ca="1" si="224"/>
        <v>46092</v>
      </c>
      <c r="AJ625" s="367" t="b">
        <f t="shared" si="230"/>
        <v>1</v>
      </c>
      <c r="AK625" s="370" t="str">
        <f t="shared" si="231"/>
        <v/>
      </c>
      <c r="AN625">
        <f t="shared" si="232"/>
        <v>0</v>
      </c>
      <c r="AO625">
        <f t="shared" si="233"/>
        <v>1900</v>
      </c>
      <c r="AV625">
        <f t="shared" si="234"/>
        <v>0</v>
      </c>
      <c r="AW625">
        <f t="shared" si="235"/>
        <v>0</v>
      </c>
    </row>
    <row r="626" spans="4:49" ht="15.75" x14ac:dyDescent="0.25">
      <c r="D626" s="199"/>
      <c r="E626" s="200"/>
      <c r="F626" s="287"/>
      <c r="G626" s="201"/>
      <c r="H626" s="219"/>
      <c r="I626" s="202"/>
      <c r="J626" s="200"/>
      <c r="K626" s="200"/>
      <c r="L626" s="203"/>
      <c r="M626" s="204">
        <f ca="1">IF(ISERROR(OFFSET(Tabella!$A$1,MATCH(J626,Tabella!$A:$A,0)-1,MATCH(L626,Tabella!$A$1:$AC$1,0)-1)=TRUE),0,+OFFSET(Tabella!$A$1,MATCH(J626,Tabella!$A:$A,0)-1,MATCH(L626,Tabella!$A$1:$AC$1,0)-1))</f>
        <v>0</v>
      </c>
      <c r="N626" s="205">
        <f ca="1">IF(ISERROR(OFFSET(Ottone!$A$1,MATCH(J626,Ottone!$A:$A,0)-1,MATCH(L626,Ottone!$A$1:$Z$1,0)-1)=TRUE),0,OFFSET(Ottone!$A$1,MATCH(J626,Ottone!$A:$A,0)-1,MATCH(L626,Ottone!$A$1:$Z$1,0)-1))*IF(G626="Ottone",1,0)</f>
        <v>0</v>
      </c>
      <c r="O626" s="205">
        <f ca="1">IF(ISERROR(OFFSET(Rame!$A$1,MATCH(J626,Rame!$A:$A,0)-1,MATCH(L626,Rame!$A$1:$AA$1,0)-1)=TRUE),0,OFFSET(Rame!$A$1,MATCH(J626,Rame!$A:$A,0)-1,MATCH(L626,Rame!$A$1:$AA$1,0)-1))*IF(G626="Rame",1,0)</f>
        <v>0</v>
      </c>
      <c r="P626" s="205">
        <v>0</v>
      </c>
      <c r="Q626" s="205">
        <f t="shared" ca="1" si="225"/>
        <v>0</v>
      </c>
      <c r="R626" s="205">
        <f ca="1">+IF(ISERROR(OFFSET(Tabella!$G$1,MATCH(J626,Tabella!$G:$G,0)-1,MATCH(K626,Tabella!$G$1:$FG$1,0)-1)=TRUE),0,OFFSET(Tabella!$G$1,MATCH(J626,Tabella!$G:$G,0)-1,MATCH(K626,Tabella!$G$1:$AB$1,0)-1))</f>
        <v>0</v>
      </c>
      <c r="S626" s="205">
        <f ca="1">IF(ISERROR(OFFSET(Ottone!$F$1,MATCH(J626,Ottone!$A:$A,0)-1,MATCH(K626,Ottone!$F$1:$FF$1,0)-1)=TRUE),0,OFFSET(Ottone!$F$1,MATCH(J626,Ottone!$A:$A,0)-1,MATCH(K626,Ottone!$F$1:$FF$1,0)-1))*IF(G626="Ottone",1,0)</f>
        <v>0</v>
      </c>
      <c r="T626" s="205">
        <f ca="1">IF(ISERROR(OFFSET(Rame!$F$1,MATCH(J626,Rame!$F:$F,0)-1,MATCH(K626,Rame!$F$1:$FF$1,0)-1)=TRUE),0,OFFSET(Rame!$F$1,MATCH(J626,Rame!$F:$F,0)-1,MATCH(K626,Rame!$F$1:$FF$1,0)-1))*IF(G626="Rame",1,0)</f>
        <v>0</v>
      </c>
      <c r="U626" s="205">
        <f ca="1">IF(ISERROR(OFFSET(Bronzo!$A$1,MATCH(J626,Bronzo!$A:$A,0)-1,MATCH(K626,Bronzo!$A$1:$AA$1,0)-1)=TRUE),0,OFFSET(Bronzo!$A$1,MATCH(J626,Bronzo!$A:$A,0)-1,MATCH(K626,Bronzo!$A$1:$AA$1,0)-1))</f>
        <v>0</v>
      </c>
      <c r="V626" s="205">
        <f t="shared" ca="1" si="226"/>
        <v>0</v>
      </c>
      <c r="W626" s="204"/>
      <c r="X626" s="205">
        <v>0</v>
      </c>
      <c r="Y626" s="206">
        <f t="shared" ca="1" si="227"/>
        <v>0</v>
      </c>
      <c r="Z626" s="277">
        <f t="shared" si="228"/>
        <v>0</v>
      </c>
      <c r="AA626" s="203"/>
      <c r="AB626" s="203">
        <f t="shared" ca="1" si="229"/>
        <v>0</v>
      </c>
      <c r="AC626" s="238"/>
      <c r="AI626" s="367">
        <f t="shared" ca="1" si="224"/>
        <v>46092</v>
      </c>
      <c r="AJ626" s="367" t="b">
        <f t="shared" si="230"/>
        <v>1</v>
      </c>
      <c r="AK626" s="370" t="str">
        <f t="shared" si="231"/>
        <v/>
      </c>
      <c r="AN626">
        <f t="shared" si="232"/>
        <v>0</v>
      </c>
      <c r="AO626">
        <f t="shared" si="233"/>
        <v>1900</v>
      </c>
      <c r="AV626">
        <f t="shared" si="234"/>
        <v>0</v>
      </c>
      <c r="AW626">
        <f t="shared" si="235"/>
        <v>0</v>
      </c>
    </row>
    <row r="627" spans="4:49" ht="15.75" x14ac:dyDescent="0.25">
      <c r="D627" s="199"/>
      <c r="E627" s="200"/>
      <c r="F627" s="287"/>
      <c r="G627" s="201"/>
      <c r="H627" s="219"/>
      <c r="I627" s="202"/>
      <c r="J627" s="200"/>
      <c r="K627" s="200"/>
      <c r="L627" s="203"/>
      <c r="M627" s="204">
        <f ca="1">IF(ISERROR(OFFSET(Tabella!$A$1,MATCH(J627,Tabella!$A:$A,0)-1,MATCH(L627,Tabella!$A$1:$AC$1,0)-1)=TRUE),0,+OFFSET(Tabella!$A$1,MATCH(J627,Tabella!$A:$A,0)-1,MATCH(L627,Tabella!$A$1:$AC$1,0)-1))</f>
        <v>0</v>
      </c>
      <c r="N627" s="205">
        <f ca="1">IF(ISERROR(OFFSET(Ottone!$A$1,MATCH(J627,Ottone!$A:$A,0)-1,MATCH(L627,Ottone!$A$1:$Z$1,0)-1)=TRUE),0,OFFSET(Ottone!$A$1,MATCH(J627,Ottone!$A:$A,0)-1,MATCH(L627,Ottone!$A$1:$Z$1,0)-1))*IF(G627="Ottone",1,0)</f>
        <v>0</v>
      </c>
      <c r="O627" s="205">
        <f ca="1">IF(ISERROR(OFFSET(Rame!$A$1,MATCH(J627,Rame!$A:$A,0)-1,MATCH(L627,Rame!$A$1:$AA$1,0)-1)=TRUE),0,OFFSET(Rame!$A$1,MATCH(J627,Rame!$A:$A,0)-1,MATCH(L627,Rame!$A$1:$AA$1,0)-1))*IF(G627="Rame",1,0)</f>
        <v>0</v>
      </c>
      <c r="P627" s="205">
        <v>0</v>
      </c>
      <c r="Q627" s="205">
        <f t="shared" ca="1" si="225"/>
        <v>0</v>
      </c>
      <c r="R627" s="205">
        <f ca="1">+IF(ISERROR(OFFSET(Tabella!$G$1,MATCH(J627,Tabella!$G:$G,0)-1,MATCH(K627,Tabella!$G$1:$FG$1,0)-1)=TRUE),0,OFFSET(Tabella!$G$1,MATCH(J627,Tabella!$G:$G,0)-1,MATCH(K627,Tabella!$G$1:$AB$1,0)-1))</f>
        <v>0</v>
      </c>
      <c r="S627" s="205">
        <f ca="1">IF(ISERROR(OFFSET(Ottone!$F$1,MATCH(J627,Ottone!$A:$A,0)-1,MATCH(K627,Ottone!$F$1:$FF$1,0)-1)=TRUE),0,OFFSET(Ottone!$F$1,MATCH(J627,Ottone!$A:$A,0)-1,MATCH(K627,Ottone!$F$1:$FF$1,0)-1))*IF(G627="Ottone",1,0)</f>
        <v>0</v>
      </c>
      <c r="T627" s="205">
        <f ca="1">IF(ISERROR(OFFSET(Rame!$F$1,MATCH(J627,Rame!$F:$F,0)-1,MATCH(K627,Rame!$F$1:$FF$1,0)-1)=TRUE),0,OFFSET(Rame!$F$1,MATCH(J627,Rame!$F:$F,0)-1,MATCH(K627,Rame!$F$1:$FF$1,0)-1))*IF(G627="Rame",1,0)</f>
        <v>0</v>
      </c>
      <c r="U627" s="205">
        <f ca="1">IF(ISERROR(OFFSET(Bronzo!$A$1,MATCH(J627,Bronzo!$A:$A,0)-1,MATCH(K627,Bronzo!$A$1:$AA$1,0)-1)=TRUE),0,OFFSET(Bronzo!$A$1,MATCH(J627,Bronzo!$A:$A,0)-1,MATCH(K627,Bronzo!$A$1:$AA$1,0)-1))</f>
        <v>0</v>
      </c>
      <c r="V627" s="205">
        <f t="shared" ca="1" si="226"/>
        <v>0</v>
      </c>
      <c r="W627" s="204"/>
      <c r="X627" s="205">
        <v>0</v>
      </c>
      <c r="Y627" s="206">
        <f t="shared" ca="1" si="227"/>
        <v>0</v>
      </c>
      <c r="Z627" s="277">
        <f t="shared" si="228"/>
        <v>0</v>
      </c>
      <c r="AA627" s="203"/>
      <c r="AB627" s="203">
        <f t="shared" ca="1" si="229"/>
        <v>0</v>
      </c>
      <c r="AC627" s="238"/>
      <c r="AI627" s="367">
        <f t="shared" ca="1" si="224"/>
        <v>46092</v>
      </c>
      <c r="AJ627" s="367" t="b">
        <f t="shared" si="230"/>
        <v>1</v>
      </c>
      <c r="AK627" s="370" t="str">
        <f t="shared" si="231"/>
        <v/>
      </c>
      <c r="AN627">
        <f t="shared" si="232"/>
        <v>0</v>
      </c>
      <c r="AO627">
        <f t="shared" si="233"/>
        <v>1900</v>
      </c>
      <c r="AV627">
        <f t="shared" si="234"/>
        <v>0</v>
      </c>
      <c r="AW627">
        <f t="shared" si="235"/>
        <v>0</v>
      </c>
    </row>
    <row r="628" spans="4:49" ht="15.75" x14ac:dyDescent="0.25">
      <c r="D628" s="199"/>
      <c r="E628" s="200"/>
      <c r="F628" s="287"/>
      <c r="G628" s="201"/>
      <c r="H628" s="219"/>
      <c r="I628" s="202"/>
      <c r="J628" s="200"/>
      <c r="K628" s="200"/>
      <c r="L628" s="203"/>
      <c r="M628" s="204">
        <f ca="1">IF(ISERROR(OFFSET(Tabella!$A$1,MATCH(J628,Tabella!$A:$A,0)-1,MATCH(L628,Tabella!$A$1:$AC$1,0)-1)=TRUE),0,+OFFSET(Tabella!$A$1,MATCH(J628,Tabella!$A:$A,0)-1,MATCH(L628,Tabella!$A$1:$AC$1,0)-1))</f>
        <v>0</v>
      </c>
      <c r="N628" s="205">
        <f ca="1">IF(ISERROR(OFFSET(Ottone!$A$1,MATCH(J628,Ottone!$A:$A,0)-1,MATCH(L628,Ottone!$A$1:$Z$1,0)-1)=TRUE),0,OFFSET(Ottone!$A$1,MATCH(J628,Ottone!$A:$A,0)-1,MATCH(L628,Ottone!$A$1:$Z$1,0)-1))*IF(G628="Ottone",1,0)</f>
        <v>0</v>
      </c>
      <c r="O628" s="205">
        <f ca="1">IF(ISERROR(OFFSET(Rame!$A$1,MATCH(J628,Rame!$A:$A,0)-1,MATCH(L628,Rame!$A$1:$AA$1,0)-1)=TRUE),0,OFFSET(Rame!$A$1,MATCH(J628,Rame!$A:$A,0)-1,MATCH(L628,Rame!$A$1:$AA$1,0)-1))*IF(G628="Rame",1,0)</f>
        <v>0</v>
      </c>
      <c r="P628" s="205">
        <v>0</v>
      </c>
      <c r="Q628" s="205">
        <f t="shared" ca="1" si="225"/>
        <v>0</v>
      </c>
      <c r="R628" s="205">
        <f ca="1">+IF(ISERROR(OFFSET(Tabella!$G$1,MATCH(J628,Tabella!$G:$G,0)-1,MATCH(K628,Tabella!$G$1:$FG$1,0)-1)=TRUE),0,OFFSET(Tabella!$G$1,MATCH(J628,Tabella!$G:$G,0)-1,MATCH(K628,Tabella!$G$1:$AB$1,0)-1))</f>
        <v>0</v>
      </c>
      <c r="S628" s="205">
        <f ca="1">IF(ISERROR(OFFSET(Ottone!$F$1,MATCH(J628,Ottone!$A:$A,0)-1,MATCH(K628,Ottone!$F$1:$FF$1,0)-1)=TRUE),0,OFFSET(Ottone!$F$1,MATCH(J628,Ottone!$A:$A,0)-1,MATCH(K628,Ottone!$F$1:$FF$1,0)-1))*IF(G628="Ottone",1,0)</f>
        <v>0</v>
      </c>
      <c r="T628" s="205">
        <f ca="1">IF(ISERROR(OFFSET(Rame!$F$1,MATCH(J628,Rame!$F:$F,0)-1,MATCH(K628,Rame!$F$1:$FF$1,0)-1)=TRUE),0,OFFSET(Rame!$F$1,MATCH(J628,Rame!$F:$F,0)-1,MATCH(K628,Rame!$F$1:$FF$1,0)-1))*IF(G628="Rame",1,0)</f>
        <v>0</v>
      </c>
      <c r="U628" s="205">
        <f ca="1">IF(ISERROR(OFFSET(Bronzo!$A$1,MATCH(J628,Bronzo!$A:$A,0)-1,MATCH(K628,Bronzo!$A$1:$AA$1,0)-1)=TRUE),0,OFFSET(Bronzo!$A$1,MATCH(J628,Bronzo!$A:$A,0)-1,MATCH(K628,Bronzo!$A$1:$AA$1,0)-1))</f>
        <v>0</v>
      </c>
      <c r="V628" s="205">
        <f t="shared" ca="1" si="226"/>
        <v>0</v>
      </c>
      <c r="W628" s="204"/>
      <c r="X628" s="205">
        <v>0</v>
      </c>
      <c r="Y628" s="206">
        <f t="shared" ca="1" si="227"/>
        <v>0</v>
      </c>
      <c r="Z628" s="277">
        <f t="shared" si="228"/>
        <v>0</v>
      </c>
      <c r="AA628" s="203"/>
      <c r="AB628" s="203">
        <f t="shared" ca="1" si="229"/>
        <v>0</v>
      </c>
      <c r="AC628" s="238"/>
      <c r="AI628" s="367">
        <f t="shared" ca="1" si="224"/>
        <v>46092</v>
      </c>
      <c r="AJ628" s="367" t="b">
        <f t="shared" si="230"/>
        <v>1</v>
      </c>
      <c r="AK628" s="370" t="str">
        <f t="shared" si="231"/>
        <v/>
      </c>
      <c r="AN628">
        <f t="shared" si="232"/>
        <v>0</v>
      </c>
      <c r="AO628">
        <f t="shared" si="233"/>
        <v>1900</v>
      </c>
      <c r="AV628">
        <f t="shared" si="234"/>
        <v>0</v>
      </c>
      <c r="AW628">
        <f t="shared" si="235"/>
        <v>0</v>
      </c>
    </row>
    <row r="629" spans="4:49" ht="15.75" x14ac:dyDescent="0.25">
      <c r="D629" s="199"/>
      <c r="E629" s="200"/>
      <c r="F629" s="287"/>
      <c r="G629" s="201"/>
      <c r="H629" s="219"/>
      <c r="I629" s="202"/>
      <c r="J629" s="200"/>
      <c r="K629" s="200"/>
      <c r="L629" s="203"/>
      <c r="M629" s="204">
        <f ca="1">IF(ISERROR(OFFSET(Tabella!$A$1,MATCH(J629,Tabella!$A:$A,0)-1,MATCH(L629,Tabella!$A$1:$AC$1,0)-1)=TRUE),0,+OFFSET(Tabella!$A$1,MATCH(J629,Tabella!$A:$A,0)-1,MATCH(L629,Tabella!$A$1:$AC$1,0)-1))</f>
        <v>0</v>
      </c>
      <c r="N629" s="205">
        <f ca="1">IF(ISERROR(OFFSET(Ottone!$A$1,MATCH(J629,Ottone!$A:$A,0)-1,MATCH(L629,Ottone!$A$1:$Z$1,0)-1)=TRUE),0,OFFSET(Ottone!$A$1,MATCH(J629,Ottone!$A:$A,0)-1,MATCH(L629,Ottone!$A$1:$Z$1,0)-1))*IF(G629="Ottone",1,0)</f>
        <v>0</v>
      </c>
      <c r="O629" s="205">
        <f ca="1">IF(ISERROR(OFFSET(Rame!$A$1,MATCH(J629,Rame!$A:$A,0)-1,MATCH(L629,Rame!$A$1:$AA$1,0)-1)=TRUE),0,OFFSET(Rame!$A$1,MATCH(J629,Rame!$A:$A,0)-1,MATCH(L629,Rame!$A$1:$AA$1,0)-1))*IF(G629="Rame",1,0)</f>
        <v>0</v>
      </c>
      <c r="P629" s="205">
        <v>0</v>
      </c>
      <c r="Q629" s="205">
        <f t="shared" ca="1" si="225"/>
        <v>0</v>
      </c>
      <c r="R629" s="205">
        <f ca="1">+IF(ISERROR(OFFSET(Tabella!$G$1,MATCH(J629,Tabella!$G:$G,0)-1,MATCH(K629,Tabella!$G$1:$FG$1,0)-1)=TRUE),0,OFFSET(Tabella!$G$1,MATCH(J629,Tabella!$G:$G,0)-1,MATCH(K629,Tabella!$G$1:$AB$1,0)-1))</f>
        <v>0</v>
      </c>
      <c r="S629" s="205">
        <f ca="1">IF(ISERROR(OFFSET(Ottone!$F$1,MATCH(J629,Ottone!$A:$A,0)-1,MATCH(K629,Ottone!$F$1:$FF$1,0)-1)=TRUE),0,OFFSET(Ottone!$F$1,MATCH(J629,Ottone!$A:$A,0)-1,MATCH(K629,Ottone!$F$1:$FF$1,0)-1))*IF(G629="Ottone",1,0)</f>
        <v>0</v>
      </c>
      <c r="T629" s="205">
        <f ca="1">IF(ISERROR(OFFSET(Rame!$F$1,MATCH(J629,Rame!$F:$F,0)-1,MATCH(K629,Rame!$F$1:$FF$1,0)-1)=TRUE),0,OFFSET(Rame!$F$1,MATCH(J629,Rame!$F:$F,0)-1,MATCH(K629,Rame!$F$1:$FF$1,0)-1))*IF(G629="Rame",1,0)</f>
        <v>0</v>
      </c>
      <c r="U629" s="205">
        <f ca="1">IF(ISERROR(OFFSET(Bronzo!$A$1,MATCH(J629,Bronzo!$A:$A,0)-1,MATCH(K629,Bronzo!$A$1:$AA$1,0)-1)=TRUE),0,OFFSET(Bronzo!$A$1,MATCH(J629,Bronzo!$A:$A,0)-1,MATCH(K629,Bronzo!$A$1:$AA$1,0)-1))</f>
        <v>0</v>
      </c>
      <c r="V629" s="205">
        <f t="shared" ca="1" si="226"/>
        <v>0</v>
      </c>
      <c r="W629" s="204"/>
      <c r="X629" s="205">
        <v>0</v>
      </c>
      <c r="Y629" s="206">
        <f t="shared" ca="1" si="227"/>
        <v>0</v>
      </c>
      <c r="Z629" s="277">
        <f t="shared" si="228"/>
        <v>0</v>
      </c>
      <c r="AA629" s="203"/>
      <c r="AB629" s="203">
        <f t="shared" ca="1" si="229"/>
        <v>0</v>
      </c>
      <c r="AC629" s="238"/>
      <c r="AI629" s="367">
        <f t="shared" ca="1" si="224"/>
        <v>46092</v>
      </c>
      <c r="AJ629" s="367" t="b">
        <f t="shared" si="230"/>
        <v>1</v>
      </c>
      <c r="AK629" s="370" t="str">
        <f t="shared" si="231"/>
        <v/>
      </c>
      <c r="AN629">
        <f t="shared" si="232"/>
        <v>0</v>
      </c>
      <c r="AO629">
        <f t="shared" si="233"/>
        <v>1900</v>
      </c>
      <c r="AV629">
        <f t="shared" si="234"/>
        <v>0</v>
      </c>
      <c r="AW629">
        <f t="shared" si="235"/>
        <v>0</v>
      </c>
    </row>
    <row r="630" spans="4:49" ht="15.75" x14ac:dyDescent="0.25">
      <c r="D630" s="199"/>
      <c r="E630" s="200"/>
      <c r="F630" s="287"/>
      <c r="G630" s="201"/>
      <c r="H630" s="219"/>
      <c r="I630" s="202"/>
      <c r="J630" s="200"/>
      <c r="K630" s="200"/>
      <c r="L630" s="203"/>
      <c r="M630" s="204">
        <f ca="1">IF(ISERROR(OFFSET(Tabella!$A$1,MATCH(J630,Tabella!$A:$A,0)-1,MATCH(L630,Tabella!$A$1:$AC$1,0)-1)=TRUE),0,+OFFSET(Tabella!$A$1,MATCH(J630,Tabella!$A:$A,0)-1,MATCH(L630,Tabella!$A$1:$AC$1,0)-1))</f>
        <v>0</v>
      </c>
      <c r="N630" s="205">
        <f ca="1">IF(ISERROR(OFFSET(Ottone!$A$1,MATCH(J630,Ottone!$A:$A,0)-1,MATCH(L630,Ottone!$A$1:$Z$1,0)-1)=TRUE),0,OFFSET(Ottone!$A$1,MATCH(J630,Ottone!$A:$A,0)-1,MATCH(L630,Ottone!$A$1:$Z$1,0)-1))*IF(G630="Ottone",1,0)</f>
        <v>0</v>
      </c>
      <c r="O630" s="205">
        <f ca="1">IF(ISERROR(OFFSET(Rame!$A$1,MATCH(J630,Rame!$A:$A,0)-1,MATCH(L630,Rame!$A$1:$AA$1,0)-1)=TRUE),0,OFFSET(Rame!$A$1,MATCH(J630,Rame!$A:$A,0)-1,MATCH(L630,Rame!$A$1:$AA$1,0)-1))*IF(G630="Rame",1,0)</f>
        <v>0</v>
      </c>
      <c r="P630" s="205">
        <v>0</v>
      </c>
      <c r="Q630" s="205">
        <f t="shared" ca="1" si="225"/>
        <v>0</v>
      </c>
      <c r="R630" s="205">
        <f ca="1">+IF(ISERROR(OFFSET(Tabella!$G$1,MATCH(J630,Tabella!$G:$G,0)-1,MATCH(K630,Tabella!$G$1:$FG$1,0)-1)=TRUE),0,OFFSET(Tabella!$G$1,MATCH(J630,Tabella!$G:$G,0)-1,MATCH(K630,Tabella!$G$1:$AB$1,0)-1))</f>
        <v>0</v>
      </c>
      <c r="S630" s="205">
        <f ca="1">IF(ISERROR(OFFSET(Ottone!$F$1,MATCH(J630,Ottone!$A:$A,0)-1,MATCH(K630,Ottone!$F$1:$FF$1,0)-1)=TRUE),0,OFFSET(Ottone!$F$1,MATCH(J630,Ottone!$A:$A,0)-1,MATCH(K630,Ottone!$F$1:$FF$1,0)-1))*IF(G630="Ottone",1,0)</f>
        <v>0</v>
      </c>
      <c r="T630" s="205">
        <f ca="1">IF(ISERROR(OFFSET(Rame!$F$1,MATCH(J630,Rame!$F:$F,0)-1,MATCH(K630,Rame!$F$1:$FF$1,0)-1)=TRUE),0,OFFSET(Rame!$F$1,MATCH(J630,Rame!$F:$F,0)-1,MATCH(K630,Rame!$F$1:$FF$1,0)-1))*IF(G630="Rame",1,0)</f>
        <v>0</v>
      </c>
      <c r="U630" s="205">
        <f ca="1">IF(ISERROR(OFFSET(Bronzo!$A$1,MATCH(J630,Bronzo!$A:$A,0)-1,MATCH(K630,Bronzo!$A$1:$AA$1,0)-1)=TRUE),0,OFFSET(Bronzo!$A$1,MATCH(J630,Bronzo!$A:$A,0)-1,MATCH(K630,Bronzo!$A$1:$AA$1,0)-1))</f>
        <v>0</v>
      </c>
      <c r="V630" s="205">
        <f t="shared" ca="1" si="226"/>
        <v>0</v>
      </c>
      <c r="W630" s="204"/>
      <c r="X630" s="205">
        <v>0</v>
      </c>
      <c r="Y630" s="206">
        <f t="shared" ca="1" si="227"/>
        <v>0</v>
      </c>
      <c r="Z630" s="277">
        <f t="shared" si="228"/>
        <v>0</v>
      </c>
      <c r="AA630" s="203"/>
      <c r="AB630" s="203">
        <f t="shared" ca="1" si="229"/>
        <v>0</v>
      </c>
      <c r="AC630" s="238"/>
      <c r="AI630" s="367">
        <f t="shared" ca="1" si="224"/>
        <v>46092</v>
      </c>
      <c r="AJ630" s="367" t="b">
        <f t="shared" si="230"/>
        <v>1</v>
      </c>
      <c r="AK630" s="370" t="str">
        <f t="shared" si="231"/>
        <v/>
      </c>
      <c r="AN630">
        <f t="shared" si="232"/>
        <v>0</v>
      </c>
      <c r="AO630">
        <f t="shared" si="233"/>
        <v>1900</v>
      </c>
      <c r="AV630">
        <f t="shared" si="234"/>
        <v>0</v>
      </c>
      <c r="AW630">
        <f t="shared" si="235"/>
        <v>0</v>
      </c>
    </row>
    <row r="631" spans="4:49" ht="15.75" x14ac:dyDescent="0.25">
      <c r="D631" s="199"/>
      <c r="E631" s="200"/>
      <c r="F631" s="287"/>
      <c r="G631" s="201"/>
      <c r="H631" s="219"/>
      <c r="I631" s="202"/>
      <c r="J631" s="200"/>
      <c r="K631" s="200"/>
      <c r="L631" s="203"/>
      <c r="M631" s="204">
        <f ca="1">IF(ISERROR(OFFSET(Tabella!$A$1,MATCH(J631,Tabella!$A:$A,0)-1,MATCH(L631,Tabella!$A$1:$AC$1,0)-1)=TRUE),0,+OFFSET(Tabella!$A$1,MATCH(J631,Tabella!$A:$A,0)-1,MATCH(L631,Tabella!$A$1:$AC$1,0)-1))</f>
        <v>0</v>
      </c>
      <c r="N631" s="205">
        <f ca="1">IF(ISERROR(OFFSET(Ottone!$A$1,MATCH(J631,Ottone!$A:$A,0)-1,MATCH(L631,Ottone!$A$1:$Z$1,0)-1)=TRUE),0,OFFSET(Ottone!$A$1,MATCH(J631,Ottone!$A:$A,0)-1,MATCH(L631,Ottone!$A$1:$Z$1,0)-1))*IF(G631="Ottone",1,0)</f>
        <v>0</v>
      </c>
      <c r="O631" s="205">
        <f ca="1">IF(ISERROR(OFFSET(Rame!$A$1,MATCH(J631,Rame!$A:$A,0)-1,MATCH(L631,Rame!$A$1:$AA$1,0)-1)=TRUE),0,OFFSET(Rame!$A$1,MATCH(J631,Rame!$A:$A,0)-1,MATCH(L631,Rame!$A$1:$AA$1,0)-1))*IF(G631="Rame",1,0)</f>
        <v>0</v>
      </c>
      <c r="P631" s="205">
        <v>0</v>
      </c>
      <c r="Q631" s="205">
        <f t="shared" ca="1" si="225"/>
        <v>0</v>
      </c>
      <c r="R631" s="205">
        <f ca="1">+IF(ISERROR(OFFSET(Tabella!$G$1,MATCH(J631,Tabella!$G:$G,0)-1,MATCH(K631,Tabella!$G$1:$FG$1,0)-1)=TRUE),0,OFFSET(Tabella!$G$1,MATCH(J631,Tabella!$G:$G,0)-1,MATCH(K631,Tabella!$G$1:$AB$1,0)-1))</f>
        <v>0</v>
      </c>
      <c r="S631" s="205">
        <f ca="1">IF(ISERROR(OFFSET(Ottone!$F$1,MATCH(J631,Ottone!$A:$A,0)-1,MATCH(K631,Ottone!$F$1:$FF$1,0)-1)=TRUE),0,OFFSET(Ottone!$F$1,MATCH(J631,Ottone!$A:$A,0)-1,MATCH(K631,Ottone!$F$1:$FF$1,0)-1))*IF(G631="Ottone",1,0)</f>
        <v>0</v>
      </c>
      <c r="T631" s="205">
        <f ca="1">IF(ISERROR(OFFSET(Rame!$F$1,MATCH(J631,Rame!$F:$F,0)-1,MATCH(K631,Rame!$F$1:$FF$1,0)-1)=TRUE),0,OFFSET(Rame!$F$1,MATCH(J631,Rame!$F:$F,0)-1,MATCH(K631,Rame!$F$1:$FF$1,0)-1))*IF(G631="Rame",1,0)</f>
        <v>0</v>
      </c>
      <c r="U631" s="205">
        <f ca="1">IF(ISERROR(OFFSET(Bronzo!$A$1,MATCH(J631,Bronzo!$A:$A,0)-1,MATCH(K631,Bronzo!$A$1:$AA$1,0)-1)=TRUE),0,OFFSET(Bronzo!$A$1,MATCH(J631,Bronzo!$A:$A,0)-1,MATCH(K631,Bronzo!$A$1:$AA$1,0)-1))</f>
        <v>0</v>
      </c>
      <c r="V631" s="205">
        <f t="shared" ca="1" si="226"/>
        <v>0</v>
      </c>
      <c r="W631" s="204"/>
      <c r="X631" s="205">
        <v>0</v>
      </c>
      <c r="Y631" s="206">
        <f t="shared" ca="1" si="227"/>
        <v>0</v>
      </c>
      <c r="Z631" s="277">
        <f t="shared" si="228"/>
        <v>0</v>
      </c>
      <c r="AA631" s="203"/>
      <c r="AB631" s="203">
        <f t="shared" ca="1" si="229"/>
        <v>0</v>
      </c>
      <c r="AC631" s="238"/>
      <c r="AI631" s="367">
        <f t="shared" ca="1" si="224"/>
        <v>46092</v>
      </c>
      <c r="AJ631" s="367" t="b">
        <f t="shared" si="230"/>
        <v>1</v>
      </c>
      <c r="AK631" s="370" t="str">
        <f t="shared" si="231"/>
        <v/>
      </c>
      <c r="AN631">
        <f t="shared" si="232"/>
        <v>0</v>
      </c>
      <c r="AO631">
        <f t="shared" si="233"/>
        <v>1900</v>
      </c>
      <c r="AV631">
        <f t="shared" si="234"/>
        <v>0</v>
      </c>
      <c r="AW631">
        <f t="shared" si="235"/>
        <v>0</v>
      </c>
    </row>
    <row r="632" spans="4:49" ht="15.75" x14ac:dyDescent="0.25">
      <c r="D632" s="199"/>
      <c r="E632" s="200"/>
      <c r="F632" s="287"/>
      <c r="G632" s="201"/>
      <c r="H632" s="219"/>
      <c r="I632" s="202"/>
      <c r="J632" s="200"/>
      <c r="K632" s="200"/>
      <c r="L632" s="203"/>
      <c r="M632" s="204">
        <f ca="1">IF(ISERROR(OFFSET(Tabella!$A$1,MATCH(J632,Tabella!$A:$A,0)-1,MATCH(L632,Tabella!$A$1:$AC$1,0)-1)=TRUE),0,+OFFSET(Tabella!$A$1,MATCH(J632,Tabella!$A:$A,0)-1,MATCH(L632,Tabella!$A$1:$AC$1,0)-1))</f>
        <v>0</v>
      </c>
      <c r="N632" s="205">
        <f ca="1">IF(ISERROR(OFFSET(Ottone!$A$1,MATCH(J632,Ottone!$A:$A,0)-1,MATCH(L632,Ottone!$A$1:$Z$1,0)-1)=TRUE),0,OFFSET(Ottone!$A$1,MATCH(J632,Ottone!$A:$A,0)-1,MATCH(L632,Ottone!$A$1:$Z$1,0)-1))*IF(G632="Ottone",1,0)</f>
        <v>0</v>
      </c>
      <c r="O632" s="205">
        <f ca="1">IF(ISERROR(OFFSET(Rame!$A$1,MATCH(J632,Rame!$A:$A,0)-1,MATCH(L632,Rame!$A$1:$AA$1,0)-1)=TRUE),0,OFFSET(Rame!$A$1,MATCH(J632,Rame!$A:$A,0)-1,MATCH(L632,Rame!$A$1:$AA$1,0)-1))*IF(G632="Rame",1,0)</f>
        <v>0</v>
      </c>
      <c r="P632" s="205">
        <v>0</v>
      </c>
      <c r="Q632" s="205">
        <f t="shared" ca="1" si="225"/>
        <v>0</v>
      </c>
      <c r="R632" s="205">
        <f ca="1">+IF(ISERROR(OFFSET(Tabella!$G$1,MATCH(J632,Tabella!$G:$G,0)-1,MATCH(K632,Tabella!$G$1:$FG$1,0)-1)=TRUE),0,OFFSET(Tabella!$G$1,MATCH(J632,Tabella!$G:$G,0)-1,MATCH(K632,Tabella!$G$1:$AB$1,0)-1))</f>
        <v>0</v>
      </c>
      <c r="S632" s="205">
        <f ca="1">IF(ISERROR(OFFSET(Ottone!$F$1,MATCH(J632,Ottone!$A:$A,0)-1,MATCH(K632,Ottone!$F$1:$FF$1,0)-1)=TRUE),0,OFFSET(Ottone!$F$1,MATCH(J632,Ottone!$A:$A,0)-1,MATCH(K632,Ottone!$F$1:$FF$1,0)-1))*IF(G632="Ottone",1,0)</f>
        <v>0</v>
      </c>
      <c r="T632" s="205">
        <f ca="1">IF(ISERROR(OFFSET(Rame!$F$1,MATCH(J632,Rame!$F:$F,0)-1,MATCH(K632,Rame!$F$1:$FF$1,0)-1)=TRUE),0,OFFSET(Rame!$F$1,MATCH(J632,Rame!$F:$F,0)-1,MATCH(K632,Rame!$F$1:$FF$1,0)-1))*IF(G632="Rame",1,0)</f>
        <v>0</v>
      </c>
      <c r="U632" s="205">
        <f ca="1">IF(ISERROR(OFFSET(Bronzo!$A$1,MATCH(J632,Bronzo!$A:$A,0)-1,MATCH(K632,Bronzo!$A$1:$AA$1,0)-1)=TRUE),0,OFFSET(Bronzo!$A$1,MATCH(J632,Bronzo!$A:$A,0)-1,MATCH(K632,Bronzo!$A$1:$AA$1,0)-1))</f>
        <v>0</v>
      </c>
      <c r="V632" s="205">
        <f t="shared" ca="1" si="226"/>
        <v>0</v>
      </c>
      <c r="W632" s="204"/>
      <c r="X632" s="205">
        <v>0</v>
      </c>
      <c r="Y632" s="206">
        <f t="shared" ca="1" si="227"/>
        <v>0</v>
      </c>
      <c r="Z632" s="277">
        <f t="shared" si="228"/>
        <v>0</v>
      </c>
      <c r="AA632" s="203"/>
      <c r="AB632" s="203">
        <f t="shared" ca="1" si="229"/>
        <v>0</v>
      </c>
      <c r="AC632" s="238"/>
      <c r="AI632" s="367">
        <f t="shared" ca="1" si="224"/>
        <v>46092</v>
      </c>
      <c r="AJ632" s="367" t="b">
        <f t="shared" si="230"/>
        <v>1</v>
      </c>
      <c r="AK632" s="370" t="str">
        <f t="shared" si="231"/>
        <v/>
      </c>
      <c r="AN632">
        <f t="shared" si="232"/>
        <v>0</v>
      </c>
      <c r="AO632">
        <f t="shared" si="233"/>
        <v>1900</v>
      </c>
      <c r="AV632">
        <f t="shared" si="234"/>
        <v>0</v>
      </c>
      <c r="AW632">
        <f t="shared" si="235"/>
        <v>0</v>
      </c>
    </row>
    <row r="633" spans="4:49" ht="15.75" x14ac:dyDescent="0.25">
      <c r="D633" s="199"/>
      <c r="E633" s="200"/>
      <c r="F633" s="287"/>
      <c r="G633" s="201"/>
      <c r="H633" s="219"/>
      <c r="I633" s="202"/>
      <c r="J633" s="200"/>
      <c r="K633" s="200"/>
      <c r="L633" s="203"/>
      <c r="M633" s="204">
        <f ca="1">IF(ISERROR(OFFSET(Tabella!$A$1,MATCH(J633,Tabella!$A:$A,0)-1,MATCH(L633,Tabella!$A$1:$AC$1,0)-1)=TRUE),0,+OFFSET(Tabella!$A$1,MATCH(J633,Tabella!$A:$A,0)-1,MATCH(L633,Tabella!$A$1:$AC$1,0)-1))</f>
        <v>0</v>
      </c>
      <c r="N633" s="205">
        <f ca="1">IF(ISERROR(OFFSET(Ottone!$A$1,MATCH(J633,Ottone!$A:$A,0)-1,MATCH(L633,Ottone!$A$1:$Z$1,0)-1)=TRUE),0,OFFSET(Ottone!$A$1,MATCH(J633,Ottone!$A:$A,0)-1,MATCH(L633,Ottone!$A$1:$Z$1,0)-1))*IF(G633="Ottone",1,0)</f>
        <v>0</v>
      </c>
      <c r="O633" s="205">
        <f ca="1">IF(ISERROR(OFFSET(Rame!$A$1,MATCH(J633,Rame!$A:$A,0)-1,MATCH(L633,Rame!$A$1:$AA$1,0)-1)=TRUE),0,OFFSET(Rame!$A$1,MATCH(J633,Rame!$A:$A,0)-1,MATCH(L633,Rame!$A$1:$AA$1,0)-1))*IF(G633="Rame",1,0)</f>
        <v>0</v>
      </c>
      <c r="P633" s="205">
        <v>0</v>
      </c>
      <c r="Q633" s="205">
        <f t="shared" ca="1" si="225"/>
        <v>0</v>
      </c>
      <c r="R633" s="205">
        <f ca="1">+IF(ISERROR(OFFSET(Tabella!$G$1,MATCH(J633,Tabella!$G:$G,0)-1,MATCH(K633,Tabella!$G$1:$FG$1,0)-1)=TRUE),0,OFFSET(Tabella!$G$1,MATCH(J633,Tabella!$G:$G,0)-1,MATCH(K633,Tabella!$G$1:$AB$1,0)-1))</f>
        <v>0</v>
      </c>
      <c r="S633" s="205">
        <f ca="1">IF(ISERROR(OFFSET(Ottone!$F$1,MATCH(J633,Ottone!$A:$A,0)-1,MATCH(K633,Ottone!$F$1:$FF$1,0)-1)=TRUE),0,OFFSET(Ottone!$F$1,MATCH(J633,Ottone!$A:$A,0)-1,MATCH(K633,Ottone!$F$1:$FF$1,0)-1))*IF(G633="Ottone",1,0)</f>
        <v>0</v>
      </c>
      <c r="T633" s="205">
        <f ca="1">IF(ISERROR(OFFSET(Rame!$F$1,MATCH(J633,Rame!$F:$F,0)-1,MATCH(K633,Rame!$F$1:$FF$1,0)-1)=TRUE),0,OFFSET(Rame!$F$1,MATCH(J633,Rame!$F:$F,0)-1,MATCH(K633,Rame!$F$1:$FF$1,0)-1))*IF(G633="Rame",1,0)</f>
        <v>0</v>
      </c>
      <c r="U633" s="205">
        <f ca="1">IF(ISERROR(OFFSET(Bronzo!$A$1,MATCH(J633,Bronzo!$A:$A,0)-1,MATCH(K633,Bronzo!$A$1:$AA$1,0)-1)=TRUE),0,OFFSET(Bronzo!$A$1,MATCH(J633,Bronzo!$A:$A,0)-1,MATCH(K633,Bronzo!$A$1:$AA$1,0)-1))</f>
        <v>0</v>
      </c>
      <c r="V633" s="205">
        <f t="shared" ca="1" si="226"/>
        <v>0</v>
      </c>
      <c r="W633" s="204"/>
      <c r="X633" s="205">
        <v>0</v>
      </c>
      <c r="Y633" s="206">
        <f t="shared" ca="1" si="227"/>
        <v>0</v>
      </c>
      <c r="Z633" s="277">
        <f t="shared" si="228"/>
        <v>0</v>
      </c>
      <c r="AA633" s="203"/>
      <c r="AB633" s="203">
        <f t="shared" ca="1" si="229"/>
        <v>0</v>
      </c>
      <c r="AC633" s="238"/>
      <c r="AI633" s="367">
        <f t="shared" ca="1" si="224"/>
        <v>46092</v>
      </c>
      <c r="AJ633" s="367" t="b">
        <f t="shared" si="230"/>
        <v>1</v>
      </c>
      <c r="AK633" s="370" t="str">
        <f t="shared" si="231"/>
        <v/>
      </c>
      <c r="AN633">
        <f t="shared" si="232"/>
        <v>0</v>
      </c>
      <c r="AO633">
        <f t="shared" si="233"/>
        <v>1900</v>
      </c>
      <c r="AV633">
        <f t="shared" si="234"/>
        <v>0</v>
      </c>
      <c r="AW633">
        <f t="shared" si="235"/>
        <v>0</v>
      </c>
    </row>
    <row r="634" spans="4:49" ht="15.75" x14ac:dyDescent="0.25">
      <c r="D634" s="199"/>
      <c r="E634" s="200"/>
      <c r="F634" s="287"/>
      <c r="G634" s="201"/>
      <c r="H634" s="219"/>
      <c r="I634" s="202"/>
      <c r="J634" s="200"/>
      <c r="K634" s="200"/>
      <c r="L634" s="203"/>
      <c r="M634" s="204">
        <f ca="1">IF(ISERROR(OFFSET(Tabella!$A$1,MATCH(J634,Tabella!$A:$A,0)-1,MATCH(L634,Tabella!$A$1:$AC$1,0)-1)=TRUE),0,+OFFSET(Tabella!$A$1,MATCH(J634,Tabella!$A:$A,0)-1,MATCH(L634,Tabella!$A$1:$AC$1,0)-1))</f>
        <v>0</v>
      </c>
      <c r="N634" s="205">
        <f ca="1">IF(ISERROR(OFFSET(Ottone!$A$1,MATCH(J634,Ottone!$A:$A,0)-1,MATCH(L634,Ottone!$A$1:$Z$1,0)-1)=TRUE),0,OFFSET(Ottone!$A$1,MATCH(J634,Ottone!$A:$A,0)-1,MATCH(L634,Ottone!$A$1:$Z$1,0)-1))*IF(G634="Ottone",1,0)</f>
        <v>0</v>
      </c>
      <c r="O634" s="205">
        <f ca="1">IF(ISERROR(OFFSET(Rame!$A$1,MATCH(J634,Rame!$A:$A,0)-1,MATCH(L634,Rame!$A$1:$AA$1,0)-1)=TRUE),0,OFFSET(Rame!$A$1,MATCH(J634,Rame!$A:$A,0)-1,MATCH(L634,Rame!$A$1:$AA$1,0)-1))*IF(G634="Rame",1,0)</f>
        <v>0</v>
      </c>
      <c r="P634" s="205">
        <v>0</v>
      </c>
      <c r="Q634" s="205">
        <f t="shared" ca="1" si="225"/>
        <v>0</v>
      </c>
      <c r="R634" s="205">
        <f ca="1">+IF(ISERROR(OFFSET(Tabella!$G$1,MATCH(J634,Tabella!$G:$G,0)-1,MATCH(K634,Tabella!$G$1:$FG$1,0)-1)=TRUE),0,OFFSET(Tabella!$G$1,MATCH(J634,Tabella!$G:$G,0)-1,MATCH(K634,Tabella!$G$1:$AB$1,0)-1))</f>
        <v>0</v>
      </c>
      <c r="S634" s="205">
        <f ca="1">IF(ISERROR(OFFSET(Ottone!$F$1,MATCH(J634,Ottone!$A:$A,0)-1,MATCH(K634,Ottone!$F$1:$FF$1,0)-1)=TRUE),0,OFFSET(Ottone!$F$1,MATCH(J634,Ottone!$A:$A,0)-1,MATCH(K634,Ottone!$F$1:$FF$1,0)-1))*IF(G634="Ottone",1,0)</f>
        <v>0</v>
      </c>
      <c r="T634" s="205">
        <f ca="1">IF(ISERROR(OFFSET(Rame!$F$1,MATCH(J634,Rame!$F:$F,0)-1,MATCH(K634,Rame!$F$1:$FF$1,0)-1)=TRUE),0,OFFSET(Rame!$F$1,MATCH(J634,Rame!$F:$F,0)-1,MATCH(K634,Rame!$F$1:$FF$1,0)-1))*IF(G634="Rame",1,0)</f>
        <v>0</v>
      </c>
      <c r="U634" s="205">
        <f ca="1">IF(ISERROR(OFFSET(Bronzo!$A$1,MATCH(J634,Bronzo!$A:$A,0)-1,MATCH(K634,Bronzo!$A$1:$AA$1,0)-1)=TRUE),0,OFFSET(Bronzo!$A$1,MATCH(J634,Bronzo!$A:$A,0)-1,MATCH(K634,Bronzo!$A$1:$AA$1,0)-1))</f>
        <v>0</v>
      </c>
      <c r="V634" s="205">
        <f t="shared" ca="1" si="226"/>
        <v>0</v>
      </c>
      <c r="W634" s="204"/>
      <c r="X634" s="205">
        <v>0</v>
      </c>
      <c r="Y634" s="206">
        <f t="shared" ca="1" si="227"/>
        <v>0</v>
      </c>
      <c r="Z634" s="277">
        <f t="shared" si="228"/>
        <v>0</v>
      </c>
      <c r="AA634" s="203"/>
      <c r="AB634" s="203">
        <f t="shared" ca="1" si="229"/>
        <v>0</v>
      </c>
      <c r="AC634" s="238"/>
      <c r="AI634" s="367">
        <f t="shared" ca="1" si="224"/>
        <v>46092</v>
      </c>
      <c r="AJ634" s="367" t="b">
        <f t="shared" si="230"/>
        <v>1</v>
      </c>
      <c r="AK634" s="370" t="str">
        <f t="shared" si="231"/>
        <v/>
      </c>
      <c r="AN634">
        <f t="shared" si="232"/>
        <v>0</v>
      </c>
      <c r="AO634">
        <f t="shared" si="233"/>
        <v>1900</v>
      </c>
      <c r="AV634">
        <f t="shared" si="234"/>
        <v>0</v>
      </c>
      <c r="AW634">
        <f t="shared" si="235"/>
        <v>0</v>
      </c>
    </row>
    <row r="635" spans="4:49" ht="15.75" x14ac:dyDescent="0.25">
      <c r="D635" s="199"/>
      <c r="E635" s="200"/>
      <c r="F635" s="287"/>
      <c r="G635" s="201"/>
      <c r="H635" s="219"/>
      <c r="I635" s="202"/>
      <c r="J635" s="200"/>
      <c r="K635" s="200"/>
      <c r="L635" s="203"/>
      <c r="M635" s="204">
        <f ca="1">IF(ISERROR(OFFSET(Tabella!$A$1,MATCH(J635,Tabella!$A:$A,0)-1,MATCH(L635,Tabella!$A$1:$AC$1,0)-1)=TRUE),0,+OFFSET(Tabella!$A$1,MATCH(J635,Tabella!$A:$A,0)-1,MATCH(L635,Tabella!$A$1:$AC$1,0)-1))</f>
        <v>0</v>
      </c>
      <c r="N635" s="205">
        <f ca="1">IF(ISERROR(OFFSET(Ottone!$A$1,MATCH(J635,Ottone!$A:$A,0)-1,MATCH(L635,Ottone!$A$1:$Z$1,0)-1)=TRUE),0,OFFSET(Ottone!$A$1,MATCH(J635,Ottone!$A:$A,0)-1,MATCH(L635,Ottone!$A$1:$Z$1,0)-1))*IF(G635="Ottone",1,0)</f>
        <v>0</v>
      </c>
      <c r="O635" s="205">
        <f ca="1">IF(ISERROR(OFFSET(Rame!$A$1,MATCH(J635,Rame!$A:$A,0)-1,MATCH(L635,Rame!$A$1:$AA$1,0)-1)=TRUE),0,OFFSET(Rame!$A$1,MATCH(J635,Rame!$A:$A,0)-1,MATCH(L635,Rame!$A$1:$AA$1,0)-1))*IF(G635="Rame",1,0)</f>
        <v>0</v>
      </c>
      <c r="P635" s="205">
        <v>0</v>
      </c>
      <c r="Q635" s="205">
        <f t="shared" ca="1" si="225"/>
        <v>0</v>
      </c>
      <c r="R635" s="205">
        <f ca="1">+IF(ISERROR(OFFSET(Tabella!$G$1,MATCH(J635,Tabella!$G:$G,0)-1,MATCH(K635,Tabella!$G$1:$FG$1,0)-1)=TRUE),0,OFFSET(Tabella!$G$1,MATCH(J635,Tabella!$G:$G,0)-1,MATCH(K635,Tabella!$G$1:$AB$1,0)-1))</f>
        <v>0</v>
      </c>
      <c r="S635" s="205">
        <f ca="1">IF(ISERROR(OFFSET(Ottone!$F$1,MATCH(J635,Ottone!$A:$A,0)-1,MATCH(K635,Ottone!$F$1:$FF$1,0)-1)=TRUE),0,OFFSET(Ottone!$F$1,MATCH(J635,Ottone!$A:$A,0)-1,MATCH(K635,Ottone!$F$1:$FF$1,0)-1))*IF(G635="Ottone",1,0)</f>
        <v>0</v>
      </c>
      <c r="T635" s="205">
        <f ca="1">IF(ISERROR(OFFSET(Rame!$F$1,MATCH(J635,Rame!$F:$F,0)-1,MATCH(K635,Rame!$F$1:$FF$1,0)-1)=TRUE),0,OFFSET(Rame!$F$1,MATCH(J635,Rame!$F:$F,0)-1,MATCH(K635,Rame!$F$1:$FF$1,0)-1))*IF(G635="Rame",1,0)</f>
        <v>0</v>
      </c>
      <c r="U635" s="205">
        <f ca="1">IF(ISERROR(OFFSET(Bronzo!$A$1,MATCH(J635,Bronzo!$A:$A,0)-1,MATCH(K635,Bronzo!$A$1:$AA$1,0)-1)=TRUE),0,OFFSET(Bronzo!$A$1,MATCH(J635,Bronzo!$A:$A,0)-1,MATCH(K635,Bronzo!$A$1:$AA$1,0)-1))</f>
        <v>0</v>
      </c>
      <c r="V635" s="205">
        <f t="shared" ca="1" si="226"/>
        <v>0</v>
      </c>
      <c r="W635" s="204"/>
      <c r="X635" s="205">
        <v>0</v>
      </c>
      <c r="Y635" s="206">
        <f t="shared" ca="1" si="227"/>
        <v>0</v>
      </c>
      <c r="Z635" s="277">
        <f t="shared" si="228"/>
        <v>0</v>
      </c>
      <c r="AA635" s="203"/>
      <c r="AB635" s="203">
        <f t="shared" ca="1" si="229"/>
        <v>0</v>
      </c>
      <c r="AC635" s="238"/>
      <c r="AI635" s="367">
        <f t="shared" ca="1" si="224"/>
        <v>46092</v>
      </c>
      <c r="AJ635" s="367" t="b">
        <f t="shared" si="230"/>
        <v>1</v>
      </c>
      <c r="AK635" s="370" t="str">
        <f t="shared" si="231"/>
        <v/>
      </c>
      <c r="AN635">
        <f t="shared" si="232"/>
        <v>0</v>
      </c>
      <c r="AO635">
        <f t="shared" si="233"/>
        <v>1900</v>
      </c>
      <c r="AV635">
        <f t="shared" si="234"/>
        <v>0</v>
      </c>
      <c r="AW635">
        <f t="shared" si="235"/>
        <v>0</v>
      </c>
    </row>
    <row r="636" spans="4:49" ht="15.75" x14ac:dyDescent="0.25">
      <c r="D636" s="199"/>
      <c r="E636" s="200"/>
      <c r="F636" s="287"/>
      <c r="G636" s="201"/>
      <c r="H636" s="219"/>
      <c r="I636" s="202"/>
      <c r="J636" s="200"/>
      <c r="K636" s="200"/>
      <c r="L636" s="203"/>
      <c r="M636" s="204">
        <f ca="1">IF(ISERROR(OFFSET(Tabella!$A$1,MATCH(J636,Tabella!$A:$A,0)-1,MATCH(L636,Tabella!$A$1:$AC$1,0)-1)=TRUE),0,+OFFSET(Tabella!$A$1,MATCH(J636,Tabella!$A:$A,0)-1,MATCH(L636,Tabella!$A$1:$AC$1,0)-1))</f>
        <v>0</v>
      </c>
      <c r="N636" s="205">
        <f ca="1">IF(ISERROR(OFFSET(Ottone!$A$1,MATCH(J636,Ottone!$A:$A,0)-1,MATCH(L636,Ottone!$A$1:$Z$1,0)-1)=TRUE),0,OFFSET(Ottone!$A$1,MATCH(J636,Ottone!$A:$A,0)-1,MATCH(L636,Ottone!$A$1:$Z$1,0)-1))*IF(G636="Ottone",1,0)</f>
        <v>0</v>
      </c>
      <c r="O636" s="205">
        <f ca="1">IF(ISERROR(OFFSET(Rame!$A$1,MATCH(J636,Rame!$A:$A,0)-1,MATCH(L636,Rame!$A$1:$AA$1,0)-1)=TRUE),0,OFFSET(Rame!$A$1,MATCH(J636,Rame!$A:$A,0)-1,MATCH(L636,Rame!$A$1:$AA$1,0)-1))*IF(G636="Rame",1,0)</f>
        <v>0</v>
      </c>
      <c r="P636" s="205">
        <v>0</v>
      </c>
      <c r="Q636" s="205">
        <f t="shared" ca="1" si="225"/>
        <v>0</v>
      </c>
      <c r="R636" s="205">
        <f ca="1">+IF(ISERROR(OFFSET(Tabella!$G$1,MATCH(J636,Tabella!$G:$G,0)-1,MATCH(K636,Tabella!$G$1:$FG$1,0)-1)=TRUE),0,OFFSET(Tabella!$G$1,MATCH(J636,Tabella!$G:$G,0)-1,MATCH(K636,Tabella!$G$1:$AB$1,0)-1))</f>
        <v>0</v>
      </c>
      <c r="S636" s="205">
        <f ca="1">IF(ISERROR(OFFSET(Ottone!$F$1,MATCH(J636,Ottone!$A:$A,0)-1,MATCH(K636,Ottone!$F$1:$FF$1,0)-1)=TRUE),0,OFFSET(Ottone!$F$1,MATCH(J636,Ottone!$A:$A,0)-1,MATCH(K636,Ottone!$F$1:$FF$1,0)-1))*IF(G636="Ottone",1,0)</f>
        <v>0</v>
      </c>
      <c r="T636" s="205">
        <f ca="1">IF(ISERROR(OFFSET(Rame!$F$1,MATCH(J636,Rame!$F:$F,0)-1,MATCH(K636,Rame!$F$1:$FF$1,0)-1)=TRUE),0,OFFSET(Rame!$F$1,MATCH(J636,Rame!$F:$F,0)-1,MATCH(K636,Rame!$F$1:$FF$1,0)-1))*IF(G636="Rame",1,0)</f>
        <v>0</v>
      </c>
      <c r="U636" s="205">
        <f ca="1">IF(ISERROR(OFFSET(Bronzo!$A$1,MATCH(J636,Bronzo!$A:$A,0)-1,MATCH(K636,Bronzo!$A$1:$AA$1,0)-1)=TRUE),0,OFFSET(Bronzo!$A$1,MATCH(J636,Bronzo!$A:$A,0)-1,MATCH(K636,Bronzo!$A$1:$AA$1,0)-1))</f>
        <v>0</v>
      </c>
      <c r="V636" s="205">
        <f t="shared" ca="1" si="226"/>
        <v>0</v>
      </c>
      <c r="W636" s="204"/>
      <c r="X636" s="205">
        <v>0</v>
      </c>
      <c r="Y636" s="206">
        <f t="shared" ca="1" si="227"/>
        <v>0</v>
      </c>
      <c r="Z636" s="277">
        <f t="shared" si="228"/>
        <v>0</v>
      </c>
      <c r="AA636" s="203"/>
      <c r="AB636" s="203">
        <f t="shared" ca="1" si="229"/>
        <v>0</v>
      </c>
      <c r="AC636" s="238"/>
      <c r="AI636" s="367">
        <f t="shared" ca="1" si="224"/>
        <v>46092</v>
      </c>
      <c r="AJ636" s="367" t="b">
        <f t="shared" si="230"/>
        <v>1</v>
      </c>
      <c r="AK636" s="370" t="str">
        <f t="shared" si="231"/>
        <v/>
      </c>
      <c r="AN636">
        <f t="shared" si="232"/>
        <v>0</v>
      </c>
      <c r="AO636">
        <f t="shared" si="233"/>
        <v>1900</v>
      </c>
      <c r="AV636">
        <f t="shared" si="234"/>
        <v>0</v>
      </c>
      <c r="AW636">
        <f t="shared" si="235"/>
        <v>0</v>
      </c>
    </row>
    <row r="637" spans="4:49" ht="15.75" x14ac:dyDescent="0.25">
      <c r="D637" s="199"/>
      <c r="E637" s="200"/>
      <c r="F637" s="287"/>
      <c r="G637" s="201"/>
      <c r="H637" s="219"/>
      <c r="I637" s="202"/>
      <c r="J637" s="200"/>
      <c r="K637" s="200"/>
      <c r="L637" s="203"/>
      <c r="M637" s="204">
        <f ca="1">IF(ISERROR(OFFSET(Tabella!$A$1,MATCH(J637,Tabella!$A:$A,0)-1,MATCH(L637,Tabella!$A$1:$AC$1,0)-1)=TRUE),0,+OFFSET(Tabella!$A$1,MATCH(J637,Tabella!$A:$A,0)-1,MATCH(L637,Tabella!$A$1:$AC$1,0)-1))</f>
        <v>0</v>
      </c>
      <c r="N637" s="205">
        <f ca="1">IF(ISERROR(OFFSET(Ottone!$A$1,MATCH(J637,Ottone!$A:$A,0)-1,MATCH(L637,Ottone!$A$1:$Z$1,0)-1)=TRUE),0,OFFSET(Ottone!$A$1,MATCH(J637,Ottone!$A:$A,0)-1,MATCH(L637,Ottone!$A$1:$Z$1,0)-1))*IF(G637="Ottone",1,0)</f>
        <v>0</v>
      </c>
      <c r="O637" s="205">
        <f ca="1">IF(ISERROR(OFFSET(Rame!$A$1,MATCH(J637,Rame!$A:$A,0)-1,MATCH(L637,Rame!$A$1:$AA$1,0)-1)=TRUE),0,OFFSET(Rame!$A$1,MATCH(J637,Rame!$A:$A,0)-1,MATCH(L637,Rame!$A$1:$AA$1,0)-1))*IF(G637="Rame",1,0)</f>
        <v>0</v>
      </c>
      <c r="P637" s="205">
        <v>0</v>
      </c>
      <c r="Q637" s="205">
        <f t="shared" ca="1" si="225"/>
        <v>0</v>
      </c>
      <c r="R637" s="205">
        <f ca="1">+IF(ISERROR(OFFSET(Tabella!$G$1,MATCH(J637,Tabella!$G:$G,0)-1,MATCH(K637,Tabella!$G$1:$FG$1,0)-1)=TRUE),0,OFFSET(Tabella!$G$1,MATCH(J637,Tabella!$G:$G,0)-1,MATCH(K637,Tabella!$G$1:$AB$1,0)-1))</f>
        <v>0</v>
      </c>
      <c r="S637" s="205">
        <f ca="1">IF(ISERROR(OFFSET(Ottone!$F$1,MATCH(J637,Ottone!$A:$A,0)-1,MATCH(K637,Ottone!$F$1:$FF$1,0)-1)=TRUE),0,OFFSET(Ottone!$F$1,MATCH(J637,Ottone!$A:$A,0)-1,MATCH(K637,Ottone!$F$1:$FF$1,0)-1))*IF(G637="Ottone",1,0)</f>
        <v>0</v>
      </c>
      <c r="T637" s="205">
        <f ca="1">IF(ISERROR(OFFSET(Rame!$F$1,MATCH(J637,Rame!$F:$F,0)-1,MATCH(K637,Rame!$F$1:$FF$1,0)-1)=TRUE),0,OFFSET(Rame!$F$1,MATCH(J637,Rame!$F:$F,0)-1,MATCH(K637,Rame!$F$1:$FF$1,0)-1))*IF(G637="Rame",1,0)</f>
        <v>0</v>
      </c>
      <c r="U637" s="205">
        <f ca="1">IF(ISERROR(OFFSET(Bronzo!$A$1,MATCH(J637,Bronzo!$A:$A,0)-1,MATCH(K637,Bronzo!$A$1:$AA$1,0)-1)=TRUE),0,OFFSET(Bronzo!$A$1,MATCH(J637,Bronzo!$A:$A,0)-1,MATCH(K637,Bronzo!$A$1:$AA$1,0)-1))</f>
        <v>0</v>
      </c>
      <c r="V637" s="205">
        <f t="shared" ca="1" si="226"/>
        <v>0</v>
      </c>
      <c r="W637" s="204"/>
      <c r="X637" s="205">
        <v>0</v>
      </c>
      <c r="Y637" s="206">
        <f t="shared" ca="1" si="227"/>
        <v>0</v>
      </c>
      <c r="Z637" s="277">
        <f t="shared" si="228"/>
        <v>0</v>
      </c>
      <c r="AA637" s="203"/>
      <c r="AB637" s="203">
        <f t="shared" ca="1" si="229"/>
        <v>0</v>
      </c>
      <c r="AC637" s="238"/>
      <c r="AI637" s="367">
        <f t="shared" ca="1" si="224"/>
        <v>46092</v>
      </c>
      <c r="AJ637" s="367" t="b">
        <f t="shared" si="230"/>
        <v>1</v>
      </c>
      <c r="AK637" s="370" t="str">
        <f t="shared" si="231"/>
        <v/>
      </c>
      <c r="AN637">
        <f t="shared" si="232"/>
        <v>0</v>
      </c>
      <c r="AO637">
        <f t="shared" si="233"/>
        <v>1900</v>
      </c>
      <c r="AV637">
        <f t="shared" si="234"/>
        <v>0</v>
      </c>
      <c r="AW637">
        <f t="shared" si="235"/>
        <v>0</v>
      </c>
    </row>
    <row r="638" spans="4:49" ht="15.75" x14ac:dyDescent="0.25">
      <c r="D638" s="199"/>
      <c r="E638" s="200"/>
      <c r="F638" s="287"/>
      <c r="G638" s="201"/>
      <c r="H638" s="219"/>
      <c r="I638" s="202"/>
      <c r="J638" s="200"/>
      <c r="K638" s="200"/>
      <c r="L638" s="203"/>
      <c r="M638" s="204">
        <f ca="1">IF(ISERROR(OFFSET(Tabella!$A$1,MATCH(J638,Tabella!$A:$A,0)-1,MATCH(L638,Tabella!$A$1:$AC$1,0)-1)=TRUE),0,+OFFSET(Tabella!$A$1,MATCH(J638,Tabella!$A:$A,0)-1,MATCH(L638,Tabella!$A$1:$AC$1,0)-1))</f>
        <v>0</v>
      </c>
      <c r="N638" s="205">
        <f ca="1">IF(ISERROR(OFFSET(Ottone!$A$1,MATCH(J638,Ottone!$A:$A,0)-1,MATCH(L638,Ottone!$A$1:$Z$1,0)-1)=TRUE),0,OFFSET(Ottone!$A$1,MATCH(J638,Ottone!$A:$A,0)-1,MATCH(L638,Ottone!$A$1:$Z$1,0)-1))*IF(G638="Ottone",1,0)</f>
        <v>0</v>
      </c>
      <c r="O638" s="205">
        <f ca="1">IF(ISERROR(OFFSET(Rame!$A$1,MATCH(J638,Rame!$A:$A,0)-1,MATCH(L638,Rame!$A$1:$AA$1,0)-1)=TRUE),0,OFFSET(Rame!$A$1,MATCH(J638,Rame!$A:$A,0)-1,MATCH(L638,Rame!$A$1:$AA$1,0)-1))*IF(G638="Rame",1,0)</f>
        <v>0</v>
      </c>
      <c r="P638" s="205">
        <v>0</v>
      </c>
      <c r="Q638" s="205">
        <f t="shared" ca="1" si="225"/>
        <v>0</v>
      </c>
      <c r="R638" s="205">
        <f ca="1">+IF(ISERROR(OFFSET(Tabella!$G$1,MATCH(J638,Tabella!$G:$G,0)-1,MATCH(K638,Tabella!$G$1:$FG$1,0)-1)=TRUE),0,OFFSET(Tabella!$G$1,MATCH(J638,Tabella!$G:$G,0)-1,MATCH(K638,Tabella!$G$1:$AB$1,0)-1))</f>
        <v>0</v>
      </c>
      <c r="S638" s="205">
        <f ca="1">IF(ISERROR(OFFSET(Ottone!$F$1,MATCH(J638,Ottone!$A:$A,0)-1,MATCH(K638,Ottone!$F$1:$FF$1,0)-1)=TRUE),0,OFFSET(Ottone!$F$1,MATCH(J638,Ottone!$A:$A,0)-1,MATCH(K638,Ottone!$F$1:$FF$1,0)-1))*IF(G638="Ottone",1,0)</f>
        <v>0</v>
      </c>
      <c r="T638" s="205">
        <f ca="1">IF(ISERROR(OFFSET(Rame!$F$1,MATCH(J638,Rame!$F:$F,0)-1,MATCH(K638,Rame!$F$1:$FF$1,0)-1)=TRUE),0,OFFSET(Rame!$F$1,MATCH(J638,Rame!$F:$F,0)-1,MATCH(K638,Rame!$F$1:$FF$1,0)-1))*IF(G638="Rame",1,0)</f>
        <v>0</v>
      </c>
      <c r="U638" s="205">
        <f ca="1">IF(ISERROR(OFFSET(Bronzo!$A$1,MATCH(J638,Bronzo!$A:$A,0)-1,MATCH(K638,Bronzo!$A$1:$AA$1,0)-1)=TRUE),0,OFFSET(Bronzo!$A$1,MATCH(J638,Bronzo!$A:$A,0)-1,MATCH(K638,Bronzo!$A$1:$AA$1,0)-1))</f>
        <v>0</v>
      </c>
      <c r="V638" s="205">
        <f t="shared" ca="1" si="226"/>
        <v>0</v>
      </c>
      <c r="W638" s="204"/>
      <c r="X638" s="205">
        <v>0</v>
      </c>
      <c r="Y638" s="206">
        <f t="shared" ca="1" si="227"/>
        <v>0</v>
      </c>
      <c r="Z638" s="277">
        <f t="shared" si="228"/>
        <v>0</v>
      </c>
      <c r="AA638" s="203"/>
      <c r="AB638" s="203">
        <f t="shared" ca="1" si="229"/>
        <v>0</v>
      </c>
      <c r="AC638" s="238"/>
      <c r="AI638" s="367">
        <f t="shared" ca="1" si="224"/>
        <v>46092</v>
      </c>
      <c r="AJ638" s="367" t="b">
        <f t="shared" si="230"/>
        <v>1</v>
      </c>
      <c r="AK638" s="370" t="str">
        <f t="shared" si="231"/>
        <v/>
      </c>
      <c r="AN638">
        <f t="shared" si="232"/>
        <v>0</v>
      </c>
      <c r="AO638">
        <f t="shared" si="233"/>
        <v>1900</v>
      </c>
      <c r="AV638">
        <f t="shared" si="234"/>
        <v>0</v>
      </c>
      <c r="AW638">
        <f t="shared" si="235"/>
        <v>0</v>
      </c>
    </row>
    <row r="639" spans="4:49" ht="15.75" x14ac:dyDescent="0.25">
      <c r="D639" s="199"/>
      <c r="E639" s="200"/>
      <c r="F639" s="287"/>
      <c r="G639" s="201"/>
      <c r="H639" s="219"/>
      <c r="I639" s="202"/>
      <c r="J639" s="200"/>
      <c r="K639" s="200"/>
      <c r="L639" s="203"/>
      <c r="M639" s="204">
        <f ca="1">IF(ISERROR(OFFSET(Tabella!$A$1,MATCH(J639,Tabella!$A:$A,0)-1,MATCH(L639,Tabella!$A$1:$AC$1,0)-1)=TRUE),0,+OFFSET(Tabella!$A$1,MATCH(J639,Tabella!$A:$A,0)-1,MATCH(L639,Tabella!$A$1:$AC$1,0)-1))</f>
        <v>0</v>
      </c>
      <c r="N639" s="205">
        <f ca="1">IF(ISERROR(OFFSET(Ottone!$A$1,MATCH(J639,Ottone!$A:$A,0)-1,MATCH(L639,Ottone!$A$1:$Z$1,0)-1)=TRUE),0,OFFSET(Ottone!$A$1,MATCH(J639,Ottone!$A:$A,0)-1,MATCH(L639,Ottone!$A$1:$Z$1,0)-1))*IF(G639="Ottone",1,0)</f>
        <v>0</v>
      </c>
      <c r="O639" s="205">
        <f ca="1">IF(ISERROR(OFFSET(Rame!$A$1,MATCH(J639,Rame!$A:$A,0)-1,MATCH(L639,Rame!$A$1:$AA$1,0)-1)=TRUE),0,OFFSET(Rame!$A$1,MATCH(J639,Rame!$A:$A,0)-1,MATCH(L639,Rame!$A$1:$AA$1,0)-1))*IF(G639="Rame",1,0)</f>
        <v>0</v>
      </c>
      <c r="P639" s="205">
        <v>0</v>
      </c>
      <c r="Q639" s="205">
        <f t="shared" ca="1" si="225"/>
        <v>0</v>
      </c>
      <c r="R639" s="205">
        <f ca="1">+IF(ISERROR(OFFSET(Tabella!$G$1,MATCH(J639,Tabella!$G:$G,0)-1,MATCH(K639,Tabella!$G$1:$FG$1,0)-1)=TRUE),0,OFFSET(Tabella!$G$1,MATCH(J639,Tabella!$G:$G,0)-1,MATCH(K639,Tabella!$G$1:$AB$1,0)-1))</f>
        <v>0</v>
      </c>
      <c r="S639" s="205">
        <f ca="1">IF(ISERROR(OFFSET(Ottone!$F$1,MATCH(J639,Ottone!$A:$A,0)-1,MATCH(K639,Ottone!$F$1:$FF$1,0)-1)=TRUE),0,OFFSET(Ottone!$F$1,MATCH(J639,Ottone!$A:$A,0)-1,MATCH(K639,Ottone!$F$1:$FF$1,0)-1))*IF(G639="Ottone",1,0)</f>
        <v>0</v>
      </c>
      <c r="T639" s="205">
        <f ca="1">IF(ISERROR(OFFSET(Rame!$F$1,MATCH(J639,Rame!$F:$F,0)-1,MATCH(K639,Rame!$F$1:$FF$1,0)-1)=TRUE),0,OFFSET(Rame!$F$1,MATCH(J639,Rame!$F:$F,0)-1,MATCH(K639,Rame!$F$1:$FF$1,0)-1))*IF(G639="Rame",1,0)</f>
        <v>0</v>
      </c>
      <c r="U639" s="205">
        <f ca="1">IF(ISERROR(OFFSET(Bronzo!$A$1,MATCH(J639,Bronzo!$A:$A,0)-1,MATCH(K639,Bronzo!$A$1:$AA$1,0)-1)=TRUE),0,OFFSET(Bronzo!$A$1,MATCH(J639,Bronzo!$A:$A,0)-1,MATCH(K639,Bronzo!$A$1:$AA$1,0)-1))</f>
        <v>0</v>
      </c>
      <c r="V639" s="205">
        <f t="shared" ca="1" si="226"/>
        <v>0</v>
      </c>
      <c r="W639" s="204"/>
      <c r="X639" s="205">
        <v>0</v>
      </c>
      <c r="Y639" s="206">
        <f t="shared" ca="1" si="227"/>
        <v>0</v>
      </c>
      <c r="Z639" s="277">
        <f t="shared" si="228"/>
        <v>0</v>
      </c>
      <c r="AA639" s="203"/>
      <c r="AB639" s="203">
        <f t="shared" ca="1" si="229"/>
        <v>0</v>
      </c>
      <c r="AC639" s="238"/>
      <c r="AI639" s="367">
        <f t="shared" ca="1" si="224"/>
        <v>46092</v>
      </c>
      <c r="AJ639" s="367" t="b">
        <f t="shared" si="230"/>
        <v>1</v>
      </c>
      <c r="AK639" s="370" t="str">
        <f t="shared" si="231"/>
        <v/>
      </c>
      <c r="AN639">
        <f t="shared" si="232"/>
        <v>0</v>
      </c>
      <c r="AO639">
        <f t="shared" si="233"/>
        <v>1900</v>
      </c>
      <c r="AV639">
        <f t="shared" si="234"/>
        <v>0</v>
      </c>
      <c r="AW639">
        <f t="shared" si="235"/>
        <v>0</v>
      </c>
    </row>
    <row r="640" spans="4:49" ht="15.75" x14ac:dyDescent="0.25">
      <c r="D640" s="199"/>
      <c r="E640" s="200"/>
      <c r="F640" s="287"/>
      <c r="G640" s="201"/>
      <c r="H640" s="219"/>
      <c r="I640" s="202"/>
      <c r="J640" s="200"/>
      <c r="K640" s="200"/>
      <c r="L640" s="203"/>
      <c r="M640" s="204">
        <f ca="1">IF(ISERROR(OFFSET(Tabella!$A$1,MATCH(J640,Tabella!$A:$A,0)-1,MATCH(L640,Tabella!$A$1:$AC$1,0)-1)=TRUE),0,+OFFSET(Tabella!$A$1,MATCH(J640,Tabella!$A:$A,0)-1,MATCH(L640,Tabella!$A$1:$AC$1,0)-1))</f>
        <v>0</v>
      </c>
      <c r="N640" s="205">
        <f ca="1">IF(ISERROR(OFFSET(Ottone!$A$1,MATCH(J640,Ottone!$A:$A,0)-1,MATCH(L640,Ottone!$A$1:$Z$1,0)-1)=TRUE),0,OFFSET(Ottone!$A$1,MATCH(J640,Ottone!$A:$A,0)-1,MATCH(L640,Ottone!$A$1:$Z$1,0)-1))*IF(G640="Ottone",1,0)</f>
        <v>0</v>
      </c>
      <c r="O640" s="205">
        <f ca="1">IF(ISERROR(OFFSET(Rame!$A$1,MATCH(J640,Rame!$A:$A,0)-1,MATCH(L640,Rame!$A$1:$AA$1,0)-1)=TRUE),0,OFFSET(Rame!$A$1,MATCH(J640,Rame!$A:$A,0)-1,MATCH(L640,Rame!$A$1:$AA$1,0)-1))*IF(G640="Rame",1,0)</f>
        <v>0</v>
      </c>
      <c r="P640" s="205">
        <v>0</v>
      </c>
      <c r="Q640" s="205">
        <f t="shared" ca="1" si="225"/>
        <v>0</v>
      </c>
      <c r="R640" s="205">
        <f ca="1">+IF(ISERROR(OFFSET(Tabella!$G$1,MATCH(J640,Tabella!$G:$G,0)-1,MATCH(K640,Tabella!$G$1:$FG$1,0)-1)=TRUE),0,OFFSET(Tabella!$G$1,MATCH(J640,Tabella!$G:$G,0)-1,MATCH(K640,Tabella!$G$1:$AB$1,0)-1))</f>
        <v>0</v>
      </c>
      <c r="S640" s="205">
        <f ca="1">IF(ISERROR(OFFSET(Ottone!$F$1,MATCH(J640,Ottone!$A:$A,0)-1,MATCH(K640,Ottone!$F$1:$FF$1,0)-1)=TRUE),0,OFFSET(Ottone!$F$1,MATCH(J640,Ottone!$A:$A,0)-1,MATCH(K640,Ottone!$F$1:$FF$1,0)-1))*IF(G640="Ottone",1,0)</f>
        <v>0</v>
      </c>
      <c r="T640" s="205">
        <f ca="1">IF(ISERROR(OFFSET(Rame!$F$1,MATCH(J640,Rame!$F:$F,0)-1,MATCH(K640,Rame!$F$1:$FF$1,0)-1)=TRUE),0,OFFSET(Rame!$F$1,MATCH(J640,Rame!$F:$F,0)-1,MATCH(K640,Rame!$F$1:$FF$1,0)-1))*IF(G640="Rame",1,0)</f>
        <v>0</v>
      </c>
      <c r="U640" s="205">
        <f ca="1">IF(ISERROR(OFFSET(Bronzo!$A$1,MATCH(J640,Bronzo!$A:$A,0)-1,MATCH(K640,Bronzo!$A$1:$AA$1,0)-1)=TRUE),0,OFFSET(Bronzo!$A$1,MATCH(J640,Bronzo!$A:$A,0)-1,MATCH(K640,Bronzo!$A$1:$AA$1,0)-1))</f>
        <v>0</v>
      </c>
      <c r="V640" s="205">
        <f t="shared" ca="1" si="226"/>
        <v>0</v>
      </c>
      <c r="W640" s="204"/>
      <c r="X640" s="205">
        <v>0</v>
      </c>
      <c r="Y640" s="206">
        <f t="shared" ca="1" si="227"/>
        <v>0</v>
      </c>
      <c r="Z640" s="277">
        <f t="shared" si="228"/>
        <v>0</v>
      </c>
      <c r="AA640" s="203"/>
      <c r="AB640" s="203">
        <f t="shared" ca="1" si="229"/>
        <v>0</v>
      </c>
      <c r="AC640" s="238"/>
      <c r="AI640" s="367">
        <f t="shared" ref="AI640:AI703" ca="1" si="236">TODAY()</f>
        <v>46092</v>
      </c>
      <c r="AJ640" s="367" t="b">
        <f t="shared" si="230"/>
        <v>1</v>
      </c>
      <c r="AK640" s="370" t="str">
        <f t="shared" si="231"/>
        <v/>
      </c>
      <c r="AN640">
        <f t="shared" si="232"/>
        <v>0</v>
      </c>
      <c r="AO640">
        <f t="shared" si="233"/>
        <v>1900</v>
      </c>
      <c r="AV640">
        <f t="shared" si="234"/>
        <v>0</v>
      </c>
      <c r="AW640">
        <f t="shared" si="235"/>
        <v>0</v>
      </c>
    </row>
    <row r="641" spans="4:49" ht="15.75" x14ac:dyDescent="0.25">
      <c r="D641" s="199"/>
      <c r="E641" s="200"/>
      <c r="F641" s="287"/>
      <c r="G641" s="201"/>
      <c r="H641" s="219"/>
      <c r="I641" s="202"/>
      <c r="J641" s="200"/>
      <c r="K641" s="200"/>
      <c r="L641" s="203"/>
      <c r="M641" s="204">
        <f ca="1">IF(ISERROR(OFFSET(Tabella!$A$1,MATCH(J641,Tabella!$A:$A,0)-1,MATCH(L641,Tabella!$A$1:$AC$1,0)-1)=TRUE),0,+OFFSET(Tabella!$A$1,MATCH(J641,Tabella!$A:$A,0)-1,MATCH(L641,Tabella!$A$1:$AC$1,0)-1))</f>
        <v>0</v>
      </c>
      <c r="N641" s="205">
        <f ca="1">IF(ISERROR(OFFSET(Ottone!$A$1,MATCH(J641,Ottone!$A:$A,0)-1,MATCH(L641,Ottone!$A$1:$Z$1,0)-1)=TRUE),0,OFFSET(Ottone!$A$1,MATCH(J641,Ottone!$A:$A,0)-1,MATCH(L641,Ottone!$A$1:$Z$1,0)-1))*IF(G641="Ottone",1,0)</f>
        <v>0</v>
      </c>
      <c r="O641" s="205">
        <f ca="1">IF(ISERROR(OFFSET(Rame!$A$1,MATCH(J641,Rame!$A:$A,0)-1,MATCH(L641,Rame!$A$1:$AA$1,0)-1)=TRUE),0,OFFSET(Rame!$A$1,MATCH(J641,Rame!$A:$A,0)-1,MATCH(L641,Rame!$A$1:$AA$1,0)-1))*IF(G641="Rame",1,0)</f>
        <v>0</v>
      </c>
      <c r="P641" s="205">
        <v>0</v>
      </c>
      <c r="Q641" s="205">
        <f t="shared" ca="1" si="225"/>
        <v>0</v>
      </c>
      <c r="R641" s="205">
        <f ca="1">+IF(ISERROR(OFFSET(Tabella!$G$1,MATCH(J641,Tabella!$G:$G,0)-1,MATCH(K641,Tabella!$G$1:$FG$1,0)-1)=TRUE),0,OFFSET(Tabella!$G$1,MATCH(J641,Tabella!$G:$G,0)-1,MATCH(K641,Tabella!$G$1:$AB$1,0)-1))</f>
        <v>0</v>
      </c>
      <c r="S641" s="205">
        <f ca="1">IF(ISERROR(OFFSET(Ottone!$F$1,MATCH(J641,Ottone!$A:$A,0)-1,MATCH(K641,Ottone!$F$1:$FF$1,0)-1)=TRUE),0,OFFSET(Ottone!$F$1,MATCH(J641,Ottone!$A:$A,0)-1,MATCH(K641,Ottone!$F$1:$FF$1,0)-1))*IF(G641="Ottone",1,0)</f>
        <v>0</v>
      </c>
      <c r="T641" s="205">
        <f ca="1">IF(ISERROR(OFFSET(Rame!$F$1,MATCH(J641,Rame!$F:$F,0)-1,MATCH(K641,Rame!$F$1:$FF$1,0)-1)=TRUE),0,OFFSET(Rame!$F$1,MATCH(J641,Rame!$F:$F,0)-1,MATCH(K641,Rame!$F$1:$FF$1,0)-1))*IF(G641="Rame",1,0)</f>
        <v>0</v>
      </c>
      <c r="U641" s="205">
        <f ca="1">IF(ISERROR(OFFSET(Bronzo!$A$1,MATCH(J641,Bronzo!$A:$A,0)-1,MATCH(K641,Bronzo!$A$1:$AA$1,0)-1)=TRUE),0,OFFSET(Bronzo!$A$1,MATCH(J641,Bronzo!$A:$A,0)-1,MATCH(K641,Bronzo!$A$1:$AA$1,0)-1))</f>
        <v>0</v>
      </c>
      <c r="V641" s="205">
        <f t="shared" ca="1" si="226"/>
        <v>0</v>
      </c>
      <c r="W641" s="204"/>
      <c r="X641" s="205">
        <v>0</v>
      </c>
      <c r="Y641" s="206">
        <f t="shared" ca="1" si="227"/>
        <v>0</v>
      </c>
      <c r="Z641" s="277">
        <f t="shared" si="228"/>
        <v>0</v>
      </c>
      <c r="AA641" s="203"/>
      <c r="AB641" s="203">
        <f t="shared" ca="1" si="229"/>
        <v>0</v>
      </c>
      <c r="AC641" s="238"/>
      <c r="AI641" s="367">
        <f t="shared" ca="1" si="236"/>
        <v>46092</v>
      </c>
      <c r="AJ641" s="367" t="b">
        <f t="shared" si="230"/>
        <v>1</v>
      </c>
      <c r="AK641" s="370" t="str">
        <f t="shared" si="231"/>
        <v/>
      </c>
      <c r="AN641">
        <f t="shared" si="232"/>
        <v>0</v>
      </c>
      <c r="AO641">
        <f t="shared" si="233"/>
        <v>1900</v>
      </c>
      <c r="AV641">
        <f t="shared" si="234"/>
        <v>0</v>
      </c>
      <c r="AW641">
        <f t="shared" si="235"/>
        <v>0</v>
      </c>
    </row>
    <row r="642" spans="4:49" ht="15.75" x14ac:dyDescent="0.25">
      <c r="D642" s="199"/>
      <c r="E642" s="200"/>
      <c r="F642" s="287"/>
      <c r="G642" s="201"/>
      <c r="H642" s="219"/>
      <c r="I642" s="202"/>
      <c r="J642" s="200"/>
      <c r="K642" s="200"/>
      <c r="L642" s="203"/>
      <c r="M642" s="204">
        <f ca="1">IF(ISERROR(OFFSET(Tabella!$A$1,MATCH(J642,Tabella!$A:$A,0)-1,MATCH(L642,Tabella!$A$1:$AC$1,0)-1)=TRUE),0,+OFFSET(Tabella!$A$1,MATCH(J642,Tabella!$A:$A,0)-1,MATCH(L642,Tabella!$A$1:$AC$1,0)-1))</f>
        <v>0</v>
      </c>
      <c r="N642" s="205">
        <f ca="1">IF(ISERROR(OFFSET(Ottone!$A$1,MATCH(J642,Ottone!$A:$A,0)-1,MATCH(L642,Ottone!$A$1:$Z$1,0)-1)=TRUE),0,OFFSET(Ottone!$A$1,MATCH(J642,Ottone!$A:$A,0)-1,MATCH(L642,Ottone!$A$1:$Z$1,0)-1))*IF(G642="Ottone",1,0)</f>
        <v>0</v>
      </c>
      <c r="O642" s="205">
        <f ca="1">IF(ISERROR(OFFSET(Rame!$A$1,MATCH(J642,Rame!$A:$A,0)-1,MATCH(L642,Rame!$A$1:$AA$1,0)-1)=TRUE),0,OFFSET(Rame!$A$1,MATCH(J642,Rame!$A:$A,0)-1,MATCH(L642,Rame!$A$1:$AA$1,0)-1))*IF(G642="Rame",1,0)</f>
        <v>0</v>
      </c>
      <c r="P642" s="205">
        <v>0</v>
      </c>
      <c r="Q642" s="205">
        <f t="shared" ca="1" si="225"/>
        <v>0</v>
      </c>
      <c r="R642" s="205">
        <f ca="1">+IF(ISERROR(OFFSET(Tabella!$G$1,MATCH(J642,Tabella!$G:$G,0)-1,MATCH(K642,Tabella!$G$1:$FG$1,0)-1)=TRUE),0,OFFSET(Tabella!$G$1,MATCH(J642,Tabella!$G:$G,0)-1,MATCH(K642,Tabella!$G$1:$AB$1,0)-1))</f>
        <v>0</v>
      </c>
      <c r="S642" s="205">
        <f ca="1">IF(ISERROR(OFFSET(Ottone!$F$1,MATCH(J642,Ottone!$A:$A,0)-1,MATCH(K642,Ottone!$F$1:$FF$1,0)-1)=TRUE),0,OFFSET(Ottone!$F$1,MATCH(J642,Ottone!$A:$A,0)-1,MATCH(K642,Ottone!$F$1:$FF$1,0)-1))*IF(G642="Ottone",1,0)</f>
        <v>0</v>
      </c>
      <c r="T642" s="205">
        <f ca="1">IF(ISERROR(OFFSET(Rame!$F$1,MATCH(J642,Rame!$F:$F,0)-1,MATCH(K642,Rame!$F$1:$FF$1,0)-1)=TRUE),0,OFFSET(Rame!$F$1,MATCH(J642,Rame!$F:$F,0)-1,MATCH(K642,Rame!$F$1:$FF$1,0)-1))*IF(G642="Rame",1,0)</f>
        <v>0</v>
      </c>
      <c r="U642" s="205">
        <f ca="1">IF(ISERROR(OFFSET(Bronzo!$A$1,MATCH(J642,Bronzo!$A:$A,0)-1,MATCH(K642,Bronzo!$A$1:$AA$1,0)-1)=TRUE),0,OFFSET(Bronzo!$A$1,MATCH(J642,Bronzo!$A:$A,0)-1,MATCH(K642,Bronzo!$A$1:$AA$1,0)-1))</f>
        <v>0</v>
      </c>
      <c r="V642" s="205">
        <f t="shared" ca="1" si="226"/>
        <v>0</v>
      </c>
      <c r="W642" s="204"/>
      <c r="X642" s="205">
        <v>0</v>
      </c>
      <c r="Y642" s="206">
        <f t="shared" ca="1" si="227"/>
        <v>0</v>
      </c>
      <c r="Z642" s="277">
        <f t="shared" si="228"/>
        <v>0</v>
      </c>
      <c r="AA642" s="203"/>
      <c r="AB642" s="203">
        <f t="shared" ca="1" si="229"/>
        <v>0</v>
      </c>
      <c r="AC642" s="238"/>
      <c r="AI642" s="367">
        <f t="shared" ca="1" si="236"/>
        <v>46092</v>
      </c>
      <c r="AJ642" s="367" t="b">
        <f t="shared" si="230"/>
        <v>1</v>
      </c>
      <c r="AK642" s="370" t="str">
        <f t="shared" si="231"/>
        <v/>
      </c>
      <c r="AN642">
        <f t="shared" si="232"/>
        <v>0</v>
      </c>
      <c r="AO642">
        <f t="shared" si="233"/>
        <v>1900</v>
      </c>
      <c r="AV642">
        <f t="shared" si="234"/>
        <v>0</v>
      </c>
      <c r="AW642">
        <f t="shared" si="235"/>
        <v>0</v>
      </c>
    </row>
    <row r="643" spans="4:49" ht="15.75" x14ac:dyDescent="0.25">
      <c r="D643" s="199"/>
      <c r="E643" s="200"/>
      <c r="F643" s="287"/>
      <c r="G643" s="201"/>
      <c r="H643" s="219"/>
      <c r="I643" s="202"/>
      <c r="J643" s="200"/>
      <c r="K643" s="200"/>
      <c r="L643" s="203"/>
      <c r="M643" s="204">
        <f ca="1">IF(ISERROR(OFFSET(Tabella!$A$1,MATCH(J643,Tabella!$A:$A,0)-1,MATCH(L643,Tabella!$A$1:$AC$1,0)-1)=TRUE),0,+OFFSET(Tabella!$A$1,MATCH(J643,Tabella!$A:$A,0)-1,MATCH(L643,Tabella!$A$1:$AC$1,0)-1))</f>
        <v>0</v>
      </c>
      <c r="N643" s="205">
        <f ca="1">IF(ISERROR(OFFSET(Ottone!$A$1,MATCH(J643,Ottone!$A:$A,0)-1,MATCH(L643,Ottone!$A$1:$Z$1,0)-1)=TRUE),0,OFFSET(Ottone!$A$1,MATCH(J643,Ottone!$A:$A,0)-1,MATCH(L643,Ottone!$A$1:$Z$1,0)-1))*IF(G643="Ottone",1,0)</f>
        <v>0</v>
      </c>
      <c r="O643" s="205">
        <f ca="1">IF(ISERROR(OFFSET(Rame!$A$1,MATCH(J643,Rame!$A:$A,0)-1,MATCH(L643,Rame!$A$1:$AA$1,0)-1)=TRUE),0,OFFSET(Rame!$A$1,MATCH(J643,Rame!$A:$A,0)-1,MATCH(L643,Rame!$A$1:$AA$1,0)-1))*IF(G643="Rame",1,0)</f>
        <v>0</v>
      </c>
      <c r="P643" s="205">
        <v>0</v>
      </c>
      <c r="Q643" s="205">
        <f t="shared" ca="1" si="225"/>
        <v>0</v>
      </c>
      <c r="R643" s="205">
        <f ca="1">+IF(ISERROR(OFFSET(Tabella!$G$1,MATCH(J643,Tabella!$G:$G,0)-1,MATCH(K643,Tabella!$G$1:$FG$1,0)-1)=TRUE),0,OFFSET(Tabella!$G$1,MATCH(J643,Tabella!$G:$G,0)-1,MATCH(K643,Tabella!$G$1:$AB$1,0)-1))</f>
        <v>0</v>
      </c>
      <c r="S643" s="205">
        <f ca="1">IF(ISERROR(OFFSET(Ottone!$F$1,MATCH(J643,Ottone!$A:$A,0)-1,MATCH(K643,Ottone!$F$1:$FF$1,0)-1)=TRUE),0,OFFSET(Ottone!$F$1,MATCH(J643,Ottone!$A:$A,0)-1,MATCH(K643,Ottone!$F$1:$FF$1,0)-1))*IF(G643="Ottone",1,0)</f>
        <v>0</v>
      </c>
      <c r="T643" s="205">
        <f ca="1">IF(ISERROR(OFFSET(Rame!$F$1,MATCH(J643,Rame!$F:$F,0)-1,MATCH(K643,Rame!$F$1:$FF$1,0)-1)=TRUE),0,OFFSET(Rame!$F$1,MATCH(J643,Rame!$F:$F,0)-1,MATCH(K643,Rame!$F$1:$FF$1,0)-1))*IF(G643="Rame",1,0)</f>
        <v>0</v>
      </c>
      <c r="U643" s="205">
        <f ca="1">IF(ISERROR(OFFSET(Bronzo!$A$1,MATCH(J643,Bronzo!$A:$A,0)-1,MATCH(K643,Bronzo!$A$1:$AA$1,0)-1)=TRUE),0,OFFSET(Bronzo!$A$1,MATCH(J643,Bronzo!$A:$A,0)-1,MATCH(K643,Bronzo!$A$1:$AA$1,0)-1))</f>
        <v>0</v>
      </c>
      <c r="V643" s="205">
        <f t="shared" ca="1" si="226"/>
        <v>0</v>
      </c>
      <c r="W643" s="204"/>
      <c r="X643" s="205">
        <v>0</v>
      </c>
      <c r="Y643" s="206">
        <f t="shared" ca="1" si="227"/>
        <v>0</v>
      </c>
      <c r="Z643" s="277">
        <f t="shared" si="228"/>
        <v>0</v>
      </c>
      <c r="AA643" s="203"/>
      <c r="AB643" s="203">
        <f t="shared" ca="1" si="229"/>
        <v>0</v>
      </c>
      <c r="AC643" s="238"/>
      <c r="AI643" s="367">
        <f t="shared" ca="1" si="236"/>
        <v>46092</v>
      </c>
      <c r="AJ643" s="367" t="b">
        <f t="shared" si="230"/>
        <v>1</v>
      </c>
      <c r="AK643" s="370" t="str">
        <f t="shared" si="231"/>
        <v/>
      </c>
      <c r="AN643">
        <f t="shared" si="232"/>
        <v>0</v>
      </c>
      <c r="AO643">
        <f t="shared" si="233"/>
        <v>1900</v>
      </c>
      <c r="AV643">
        <f t="shared" si="234"/>
        <v>0</v>
      </c>
      <c r="AW643">
        <f t="shared" si="235"/>
        <v>0</v>
      </c>
    </row>
    <row r="644" spans="4:49" ht="15.75" x14ac:dyDescent="0.25">
      <c r="D644" s="199"/>
      <c r="E644" s="200"/>
      <c r="F644" s="287"/>
      <c r="G644" s="201"/>
      <c r="H644" s="219"/>
      <c r="I644" s="202"/>
      <c r="J644" s="200"/>
      <c r="K644" s="200"/>
      <c r="L644" s="203"/>
      <c r="M644" s="204">
        <f ca="1">IF(ISERROR(OFFSET(Tabella!$A$1,MATCH(J644,Tabella!$A:$A,0)-1,MATCH(L644,Tabella!$A$1:$AC$1,0)-1)=TRUE),0,+OFFSET(Tabella!$A$1,MATCH(J644,Tabella!$A:$A,0)-1,MATCH(L644,Tabella!$A$1:$AC$1,0)-1))</f>
        <v>0</v>
      </c>
      <c r="N644" s="205">
        <f ca="1">IF(ISERROR(OFFSET(Ottone!$A$1,MATCH(J644,Ottone!$A:$A,0)-1,MATCH(L644,Ottone!$A$1:$Z$1,0)-1)=TRUE),0,OFFSET(Ottone!$A$1,MATCH(J644,Ottone!$A:$A,0)-1,MATCH(L644,Ottone!$A$1:$Z$1,0)-1))*IF(G644="Ottone",1,0)</f>
        <v>0</v>
      </c>
      <c r="O644" s="205">
        <f ca="1">IF(ISERROR(OFFSET(Rame!$A$1,MATCH(J644,Rame!$A:$A,0)-1,MATCH(L644,Rame!$A$1:$AA$1,0)-1)=TRUE),0,OFFSET(Rame!$A$1,MATCH(J644,Rame!$A:$A,0)-1,MATCH(L644,Rame!$A$1:$AA$1,0)-1))*IF(G644="Rame",1,0)</f>
        <v>0</v>
      </c>
      <c r="P644" s="205">
        <v>0</v>
      </c>
      <c r="Q644" s="205">
        <f t="shared" ca="1" si="225"/>
        <v>0</v>
      </c>
      <c r="R644" s="205">
        <f ca="1">+IF(ISERROR(OFFSET(Tabella!$G$1,MATCH(J644,Tabella!$G:$G,0)-1,MATCH(K644,Tabella!$G$1:$FG$1,0)-1)=TRUE),0,OFFSET(Tabella!$G$1,MATCH(J644,Tabella!$G:$G,0)-1,MATCH(K644,Tabella!$G$1:$AB$1,0)-1))</f>
        <v>0</v>
      </c>
      <c r="S644" s="205">
        <f ca="1">IF(ISERROR(OFFSET(Ottone!$F$1,MATCH(J644,Ottone!$A:$A,0)-1,MATCH(K644,Ottone!$F$1:$FF$1,0)-1)=TRUE),0,OFFSET(Ottone!$F$1,MATCH(J644,Ottone!$A:$A,0)-1,MATCH(K644,Ottone!$F$1:$FF$1,0)-1))*IF(G644="Ottone",1,0)</f>
        <v>0</v>
      </c>
      <c r="T644" s="205">
        <f ca="1">IF(ISERROR(OFFSET(Rame!$F$1,MATCH(J644,Rame!$F:$F,0)-1,MATCH(K644,Rame!$F$1:$FF$1,0)-1)=TRUE),0,OFFSET(Rame!$F$1,MATCH(J644,Rame!$F:$F,0)-1,MATCH(K644,Rame!$F$1:$FF$1,0)-1))*IF(G644="Rame",1,0)</f>
        <v>0</v>
      </c>
      <c r="U644" s="205">
        <f ca="1">IF(ISERROR(OFFSET(Bronzo!$A$1,MATCH(J644,Bronzo!$A:$A,0)-1,MATCH(K644,Bronzo!$A$1:$AA$1,0)-1)=TRUE),0,OFFSET(Bronzo!$A$1,MATCH(J644,Bronzo!$A:$A,0)-1,MATCH(K644,Bronzo!$A$1:$AA$1,0)-1))</f>
        <v>0</v>
      </c>
      <c r="V644" s="205">
        <f t="shared" ca="1" si="226"/>
        <v>0</v>
      </c>
      <c r="W644" s="204"/>
      <c r="X644" s="205">
        <v>0</v>
      </c>
      <c r="Y644" s="206">
        <f t="shared" ca="1" si="227"/>
        <v>0</v>
      </c>
      <c r="Z644" s="277">
        <f t="shared" si="228"/>
        <v>0</v>
      </c>
      <c r="AA644" s="203"/>
      <c r="AB644" s="203">
        <f t="shared" ca="1" si="229"/>
        <v>0</v>
      </c>
      <c r="AC644" s="238"/>
      <c r="AI644" s="367">
        <f t="shared" ca="1" si="236"/>
        <v>46092</v>
      </c>
      <c r="AJ644" s="367" t="b">
        <f t="shared" si="230"/>
        <v>1</v>
      </c>
      <c r="AK644" s="370" t="str">
        <f t="shared" si="231"/>
        <v/>
      </c>
      <c r="AN644">
        <f t="shared" si="232"/>
        <v>0</v>
      </c>
      <c r="AO644">
        <f t="shared" si="233"/>
        <v>1900</v>
      </c>
      <c r="AV644">
        <f t="shared" si="234"/>
        <v>0</v>
      </c>
      <c r="AW644">
        <f t="shared" si="235"/>
        <v>0</v>
      </c>
    </row>
    <row r="645" spans="4:49" ht="15.75" x14ac:dyDescent="0.25">
      <c r="D645" s="199"/>
      <c r="E645" s="200"/>
      <c r="F645" s="287"/>
      <c r="G645" s="201"/>
      <c r="H645" s="219"/>
      <c r="I645" s="202"/>
      <c r="J645" s="200"/>
      <c r="K645" s="200"/>
      <c r="L645" s="203"/>
      <c r="M645" s="204">
        <f ca="1">IF(ISERROR(OFFSET(Tabella!$A$1,MATCH(J645,Tabella!$A:$A,0)-1,MATCH(L645,Tabella!$A$1:$AC$1,0)-1)=TRUE),0,+OFFSET(Tabella!$A$1,MATCH(J645,Tabella!$A:$A,0)-1,MATCH(L645,Tabella!$A$1:$AC$1,0)-1))</f>
        <v>0</v>
      </c>
      <c r="N645" s="205">
        <f ca="1">IF(ISERROR(OFFSET(Ottone!$A$1,MATCH(J645,Ottone!$A:$A,0)-1,MATCH(L645,Ottone!$A$1:$Z$1,0)-1)=TRUE),0,OFFSET(Ottone!$A$1,MATCH(J645,Ottone!$A:$A,0)-1,MATCH(L645,Ottone!$A$1:$Z$1,0)-1))*IF(G645="Ottone",1,0)</f>
        <v>0</v>
      </c>
      <c r="O645" s="205">
        <f ca="1">IF(ISERROR(OFFSET(Rame!$A$1,MATCH(J645,Rame!$A:$A,0)-1,MATCH(L645,Rame!$A$1:$AA$1,0)-1)=TRUE),0,OFFSET(Rame!$A$1,MATCH(J645,Rame!$A:$A,0)-1,MATCH(L645,Rame!$A$1:$AA$1,0)-1))*IF(G645="Rame",1,0)</f>
        <v>0</v>
      </c>
      <c r="P645" s="205">
        <v>0</v>
      </c>
      <c r="Q645" s="205">
        <f t="shared" ca="1" si="225"/>
        <v>0</v>
      </c>
      <c r="R645" s="205">
        <f ca="1">+IF(ISERROR(OFFSET(Tabella!$G$1,MATCH(J645,Tabella!$G:$G,0)-1,MATCH(K645,Tabella!$G$1:$FG$1,0)-1)=TRUE),0,OFFSET(Tabella!$G$1,MATCH(J645,Tabella!$G:$G,0)-1,MATCH(K645,Tabella!$G$1:$AB$1,0)-1))</f>
        <v>0</v>
      </c>
      <c r="S645" s="205">
        <f ca="1">IF(ISERROR(OFFSET(Ottone!$F$1,MATCH(J645,Ottone!$A:$A,0)-1,MATCH(K645,Ottone!$F$1:$FF$1,0)-1)=TRUE),0,OFFSET(Ottone!$F$1,MATCH(J645,Ottone!$A:$A,0)-1,MATCH(K645,Ottone!$F$1:$FF$1,0)-1))*IF(G645="Ottone",1,0)</f>
        <v>0</v>
      </c>
      <c r="T645" s="205">
        <f ca="1">IF(ISERROR(OFFSET(Rame!$F$1,MATCH(J645,Rame!$F:$F,0)-1,MATCH(K645,Rame!$F$1:$FF$1,0)-1)=TRUE),0,OFFSET(Rame!$F$1,MATCH(J645,Rame!$F:$F,0)-1,MATCH(K645,Rame!$F$1:$FF$1,0)-1))*IF(G645="Rame",1,0)</f>
        <v>0</v>
      </c>
      <c r="U645" s="205">
        <f ca="1">IF(ISERROR(OFFSET(Bronzo!$A$1,MATCH(J645,Bronzo!$A:$A,0)-1,MATCH(K645,Bronzo!$A$1:$AA$1,0)-1)=TRUE),0,OFFSET(Bronzo!$A$1,MATCH(J645,Bronzo!$A:$A,0)-1,MATCH(K645,Bronzo!$A$1:$AA$1,0)-1))</f>
        <v>0</v>
      </c>
      <c r="V645" s="205">
        <f t="shared" ca="1" si="226"/>
        <v>0</v>
      </c>
      <c r="W645" s="204"/>
      <c r="X645" s="205">
        <v>0</v>
      </c>
      <c r="Y645" s="206">
        <f t="shared" ca="1" si="227"/>
        <v>0</v>
      </c>
      <c r="Z645" s="277">
        <f t="shared" si="228"/>
        <v>0</v>
      </c>
      <c r="AA645" s="203"/>
      <c r="AB645" s="203">
        <f t="shared" ca="1" si="229"/>
        <v>0</v>
      </c>
      <c r="AC645" s="238"/>
      <c r="AI645" s="367">
        <f t="shared" ca="1" si="236"/>
        <v>46092</v>
      </c>
      <c r="AJ645" s="367" t="b">
        <f t="shared" si="230"/>
        <v>1</v>
      </c>
      <c r="AK645" s="370" t="str">
        <f t="shared" si="231"/>
        <v/>
      </c>
      <c r="AN645">
        <f t="shared" si="232"/>
        <v>0</v>
      </c>
      <c r="AO645">
        <f t="shared" si="233"/>
        <v>1900</v>
      </c>
      <c r="AV645">
        <f t="shared" si="234"/>
        <v>0</v>
      </c>
      <c r="AW645">
        <f t="shared" si="235"/>
        <v>0</v>
      </c>
    </row>
    <row r="646" spans="4:49" ht="15.75" x14ac:dyDescent="0.25">
      <c r="D646" s="199"/>
      <c r="E646" s="200"/>
      <c r="F646" s="287"/>
      <c r="G646" s="201"/>
      <c r="H646" s="219"/>
      <c r="I646" s="202"/>
      <c r="J646" s="200"/>
      <c r="K646" s="200"/>
      <c r="L646" s="203"/>
      <c r="M646" s="204">
        <f ca="1">IF(ISERROR(OFFSET(Tabella!$A$1,MATCH(J646,Tabella!$A:$A,0)-1,MATCH(L646,Tabella!$A$1:$AC$1,0)-1)=TRUE),0,+OFFSET(Tabella!$A$1,MATCH(J646,Tabella!$A:$A,0)-1,MATCH(L646,Tabella!$A$1:$AC$1,0)-1))</f>
        <v>0</v>
      </c>
      <c r="N646" s="205">
        <f ca="1">IF(ISERROR(OFFSET(Ottone!$A$1,MATCH(J646,Ottone!$A:$A,0)-1,MATCH(L646,Ottone!$A$1:$Z$1,0)-1)=TRUE),0,OFFSET(Ottone!$A$1,MATCH(J646,Ottone!$A:$A,0)-1,MATCH(L646,Ottone!$A$1:$Z$1,0)-1))*IF(G646="Ottone",1,0)</f>
        <v>0</v>
      </c>
      <c r="O646" s="205">
        <f ca="1">IF(ISERROR(OFFSET(Rame!$A$1,MATCH(J646,Rame!$A:$A,0)-1,MATCH(L646,Rame!$A$1:$AA$1,0)-1)=TRUE),0,OFFSET(Rame!$A$1,MATCH(J646,Rame!$A:$A,0)-1,MATCH(L646,Rame!$A$1:$AA$1,0)-1))*IF(G646="Rame",1,0)</f>
        <v>0</v>
      </c>
      <c r="P646" s="205">
        <v>0</v>
      </c>
      <c r="Q646" s="205">
        <f t="shared" ca="1" si="225"/>
        <v>0</v>
      </c>
      <c r="R646" s="205">
        <f ca="1">+IF(ISERROR(OFFSET(Tabella!$G$1,MATCH(J646,Tabella!$G:$G,0)-1,MATCH(K646,Tabella!$G$1:$FG$1,0)-1)=TRUE),0,OFFSET(Tabella!$G$1,MATCH(J646,Tabella!$G:$G,0)-1,MATCH(K646,Tabella!$G$1:$AB$1,0)-1))</f>
        <v>0</v>
      </c>
      <c r="S646" s="205">
        <f ca="1">IF(ISERROR(OFFSET(Ottone!$F$1,MATCH(J646,Ottone!$A:$A,0)-1,MATCH(K646,Ottone!$F$1:$FF$1,0)-1)=TRUE),0,OFFSET(Ottone!$F$1,MATCH(J646,Ottone!$A:$A,0)-1,MATCH(K646,Ottone!$F$1:$FF$1,0)-1))*IF(G646="Ottone",1,0)</f>
        <v>0</v>
      </c>
      <c r="T646" s="205">
        <f ca="1">IF(ISERROR(OFFSET(Rame!$F$1,MATCH(J646,Rame!$F:$F,0)-1,MATCH(K646,Rame!$F$1:$FF$1,0)-1)=TRUE),0,OFFSET(Rame!$F$1,MATCH(J646,Rame!$F:$F,0)-1,MATCH(K646,Rame!$F$1:$FF$1,0)-1))*IF(G646="Rame",1,0)</f>
        <v>0</v>
      </c>
      <c r="U646" s="205">
        <f ca="1">IF(ISERROR(OFFSET(Bronzo!$A$1,MATCH(J646,Bronzo!$A:$A,0)-1,MATCH(K646,Bronzo!$A$1:$AA$1,0)-1)=TRUE),0,OFFSET(Bronzo!$A$1,MATCH(J646,Bronzo!$A:$A,0)-1,MATCH(K646,Bronzo!$A$1:$AA$1,0)-1))</f>
        <v>0</v>
      </c>
      <c r="V646" s="205">
        <f t="shared" ca="1" si="226"/>
        <v>0</v>
      </c>
      <c r="W646" s="204"/>
      <c r="X646" s="205">
        <v>0</v>
      </c>
      <c r="Y646" s="206">
        <f t="shared" ca="1" si="227"/>
        <v>0</v>
      </c>
      <c r="Z646" s="277">
        <f t="shared" si="228"/>
        <v>0</v>
      </c>
      <c r="AA646" s="203"/>
      <c r="AB646" s="203">
        <f t="shared" ca="1" si="229"/>
        <v>0</v>
      </c>
      <c r="AC646" s="238"/>
      <c r="AI646" s="367">
        <f t="shared" ca="1" si="236"/>
        <v>46092</v>
      </c>
      <c r="AJ646" s="367" t="b">
        <f t="shared" si="230"/>
        <v>1</v>
      </c>
      <c r="AK646" s="370" t="str">
        <f t="shared" si="231"/>
        <v/>
      </c>
      <c r="AN646">
        <f t="shared" si="232"/>
        <v>0</v>
      </c>
      <c r="AO646">
        <f t="shared" si="233"/>
        <v>1900</v>
      </c>
      <c r="AV646">
        <f t="shared" si="234"/>
        <v>0</v>
      </c>
      <c r="AW646">
        <f t="shared" si="235"/>
        <v>0</v>
      </c>
    </row>
    <row r="647" spans="4:49" ht="15.75" x14ac:dyDescent="0.25">
      <c r="D647" s="199"/>
      <c r="E647" s="200"/>
      <c r="F647" s="287"/>
      <c r="G647" s="201"/>
      <c r="H647" s="219"/>
      <c r="I647" s="202"/>
      <c r="J647" s="200"/>
      <c r="K647" s="200"/>
      <c r="L647" s="203"/>
      <c r="M647" s="204">
        <f ca="1">IF(ISERROR(OFFSET(Tabella!$A$1,MATCH(J647,Tabella!$A:$A,0)-1,MATCH(L647,Tabella!$A$1:$AC$1,0)-1)=TRUE),0,+OFFSET(Tabella!$A$1,MATCH(J647,Tabella!$A:$A,0)-1,MATCH(L647,Tabella!$A$1:$AC$1,0)-1))</f>
        <v>0</v>
      </c>
      <c r="N647" s="205">
        <f ca="1">IF(ISERROR(OFFSET(Ottone!$A$1,MATCH(J647,Ottone!$A:$A,0)-1,MATCH(L647,Ottone!$A$1:$Z$1,0)-1)=TRUE),0,OFFSET(Ottone!$A$1,MATCH(J647,Ottone!$A:$A,0)-1,MATCH(L647,Ottone!$A$1:$Z$1,0)-1))*IF(G647="Ottone",1,0)</f>
        <v>0</v>
      </c>
      <c r="O647" s="205">
        <f ca="1">IF(ISERROR(OFFSET(Rame!$A$1,MATCH(J647,Rame!$A:$A,0)-1,MATCH(L647,Rame!$A$1:$AA$1,0)-1)=TRUE),0,OFFSET(Rame!$A$1,MATCH(J647,Rame!$A:$A,0)-1,MATCH(L647,Rame!$A$1:$AA$1,0)-1))*IF(G647="Rame",1,0)</f>
        <v>0</v>
      </c>
      <c r="P647" s="205">
        <v>0</v>
      </c>
      <c r="Q647" s="205">
        <f t="shared" ca="1" si="225"/>
        <v>0</v>
      </c>
      <c r="R647" s="205">
        <f ca="1">+IF(ISERROR(OFFSET(Tabella!$G$1,MATCH(J647,Tabella!$G:$G,0)-1,MATCH(K647,Tabella!$G$1:$FG$1,0)-1)=TRUE),0,OFFSET(Tabella!$G$1,MATCH(J647,Tabella!$G:$G,0)-1,MATCH(K647,Tabella!$G$1:$AB$1,0)-1))</f>
        <v>0</v>
      </c>
      <c r="S647" s="205">
        <f ca="1">IF(ISERROR(OFFSET(Ottone!$F$1,MATCH(J647,Ottone!$A:$A,0)-1,MATCH(K647,Ottone!$F$1:$FF$1,0)-1)=TRUE),0,OFFSET(Ottone!$F$1,MATCH(J647,Ottone!$A:$A,0)-1,MATCH(K647,Ottone!$F$1:$FF$1,0)-1))*IF(G647="Ottone",1,0)</f>
        <v>0</v>
      </c>
      <c r="T647" s="205">
        <f ca="1">IF(ISERROR(OFFSET(Rame!$F$1,MATCH(J647,Rame!$F:$F,0)-1,MATCH(K647,Rame!$F$1:$FF$1,0)-1)=TRUE),0,OFFSET(Rame!$F$1,MATCH(J647,Rame!$F:$F,0)-1,MATCH(K647,Rame!$F$1:$FF$1,0)-1))*IF(G647="Rame",1,0)</f>
        <v>0</v>
      </c>
      <c r="U647" s="205">
        <f ca="1">IF(ISERROR(OFFSET(Bronzo!$A$1,MATCH(J647,Bronzo!$A:$A,0)-1,MATCH(K647,Bronzo!$A$1:$AA$1,0)-1)=TRUE),0,OFFSET(Bronzo!$A$1,MATCH(J647,Bronzo!$A:$A,0)-1,MATCH(K647,Bronzo!$A$1:$AA$1,0)-1))</f>
        <v>0</v>
      </c>
      <c r="V647" s="205">
        <f t="shared" ca="1" si="226"/>
        <v>0</v>
      </c>
      <c r="W647" s="204"/>
      <c r="X647" s="205">
        <v>0</v>
      </c>
      <c r="Y647" s="206">
        <f t="shared" ca="1" si="227"/>
        <v>0</v>
      </c>
      <c r="Z647" s="277">
        <f t="shared" si="228"/>
        <v>0</v>
      </c>
      <c r="AA647" s="203"/>
      <c r="AB647" s="203">
        <f t="shared" ca="1" si="229"/>
        <v>0</v>
      </c>
      <c r="AC647" s="238"/>
      <c r="AI647" s="367">
        <f t="shared" ca="1" si="236"/>
        <v>46092</v>
      </c>
      <c r="AJ647" s="367" t="b">
        <f t="shared" si="230"/>
        <v>1</v>
      </c>
      <c r="AK647" s="370" t="str">
        <f t="shared" si="231"/>
        <v/>
      </c>
      <c r="AN647">
        <f t="shared" si="232"/>
        <v>0</v>
      </c>
      <c r="AO647">
        <f t="shared" si="233"/>
        <v>1900</v>
      </c>
      <c r="AV647">
        <f t="shared" si="234"/>
        <v>0</v>
      </c>
      <c r="AW647">
        <f t="shared" si="235"/>
        <v>0</v>
      </c>
    </row>
    <row r="648" spans="4:49" ht="15.75" x14ac:dyDescent="0.25">
      <c r="D648" s="199"/>
      <c r="E648" s="200"/>
      <c r="F648" s="287"/>
      <c r="G648" s="201"/>
      <c r="H648" s="219"/>
      <c r="I648" s="202"/>
      <c r="J648" s="200"/>
      <c r="K648" s="200"/>
      <c r="L648" s="203"/>
      <c r="M648" s="204">
        <f ca="1">IF(ISERROR(OFFSET(Tabella!$A$1,MATCH(J648,Tabella!$A:$A,0)-1,MATCH(L648,Tabella!$A$1:$AC$1,0)-1)=TRUE),0,+OFFSET(Tabella!$A$1,MATCH(J648,Tabella!$A:$A,0)-1,MATCH(L648,Tabella!$A$1:$AC$1,0)-1))</f>
        <v>0</v>
      </c>
      <c r="N648" s="205">
        <f ca="1">IF(ISERROR(OFFSET(Ottone!$A$1,MATCH(J648,Ottone!$A:$A,0)-1,MATCH(L648,Ottone!$A$1:$Z$1,0)-1)=TRUE),0,OFFSET(Ottone!$A$1,MATCH(J648,Ottone!$A:$A,0)-1,MATCH(L648,Ottone!$A$1:$Z$1,0)-1))*IF(G648="Ottone",1,0)</f>
        <v>0</v>
      </c>
      <c r="O648" s="205">
        <f ca="1">IF(ISERROR(OFFSET(Rame!$A$1,MATCH(J648,Rame!$A:$A,0)-1,MATCH(L648,Rame!$A$1:$AA$1,0)-1)=TRUE),0,OFFSET(Rame!$A$1,MATCH(J648,Rame!$A:$A,0)-1,MATCH(L648,Rame!$A$1:$AA$1,0)-1))*IF(G648="Rame",1,0)</f>
        <v>0</v>
      </c>
      <c r="P648" s="205">
        <v>0</v>
      </c>
      <c r="Q648" s="205">
        <f t="shared" ca="1" si="225"/>
        <v>0</v>
      </c>
      <c r="R648" s="205">
        <f ca="1">+IF(ISERROR(OFFSET(Tabella!$G$1,MATCH(J648,Tabella!$G:$G,0)-1,MATCH(K648,Tabella!$G$1:$FG$1,0)-1)=TRUE),0,OFFSET(Tabella!$G$1,MATCH(J648,Tabella!$G:$G,0)-1,MATCH(K648,Tabella!$G$1:$AB$1,0)-1))</f>
        <v>0</v>
      </c>
      <c r="S648" s="205">
        <f ca="1">IF(ISERROR(OFFSET(Ottone!$F$1,MATCH(J648,Ottone!$A:$A,0)-1,MATCH(K648,Ottone!$F$1:$FF$1,0)-1)=TRUE),0,OFFSET(Ottone!$F$1,MATCH(J648,Ottone!$A:$A,0)-1,MATCH(K648,Ottone!$F$1:$FF$1,0)-1))*IF(G648="Ottone",1,0)</f>
        <v>0</v>
      </c>
      <c r="T648" s="205">
        <f ca="1">IF(ISERROR(OFFSET(Rame!$F$1,MATCH(J648,Rame!$F:$F,0)-1,MATCH(K648,Rame!$F$1:$FF$1,0)-1)=TRUE),0,OFFSET(Rame!$F$1,MATCH(J648,Rame!$F:$F,0)-1,MATCH(K648,Rame!$F$1:$FF$1,0)-1))*IF(G648="Rame",1,0)</f>
        <v>0</v>
      </c>
      <c r="U648" s="205">
        <f ca="1">IF(ISERROR(OFFSET(Bronzo!$A$1,MATCH(J648,Bronzo!$A:$A,0)-1,MATCH(K648,Bronzo!$A$1:$AA$1,0)-1)=TRUE),0,OFFSET(Bronzo!$A$1,MATCH(J648,Bronzo!$A:$A,0)-1,MATCH(K648,Bronzo!$A$1:$AA$1,0)-1))</f>
        <v>0</v>
      </c>
      <c r="V648" s="205">
        <f t="shared" ca="1" si="226"/>
        <v>0</v>
      </c>
      <c r="W648" s="204"/>
      <c r="X648" s="205">
        <v>0</v>
      </c>
      <c r="Y648" s="206">
        <f t="shared" ca="1" si="227"/>
        <v>0</v>
      </c>
      <c r="Z648" s="277">
        <f t="shared" si="228"/>
        <v>0</v>
      </c>
      <c r="AA648" s="203"/>
      <c r="AB648" s="203">
        <f t="shared" ca="1" si="229"/>
        <v>0</v>
      </c>
      <c r="AC648" s="238"/>
      <c r="AI648" s="367">
        <f t="shared" ca="1" si="236"/>
        <v>46092</v>
      </c>
      <c r="AJ648" s="367" t="b">
        <f t="shared" si="230"/>
        <v>1</v>
      </c>
      <c r="AK648" s="370" t="str">
        <f t="shared" si="231"/>
        <v/>
      </c>
      <c r="AN648">
        <f t="shared" si="232"/>
        <v>0</v>
      </c>
      <c r="AO648">
        <f t="shared" si="233"/>
        <v>1900</v>
      </c>
      <c r="AV648">
        <f t="shared" si="234"/>
        <v>0</v>
      </c>
      <c r="AW648">
        <f t="shared" si="235"/>
        <v>0</v>
      </c>
    </row>
    <row r="649" spans="4:49" ht="15.75" x14ac:dyDescent="0.25">
      <c r="D649" s="199"/>
      <c r="E649" s="200"/>
      <c r="F649" s="287"/>
      <c r="G649" s="201"/>
      <c r="H649" s="219"/>
      <c r="I649" s="202"/>
      <c r="J649" s="200"/>
      <c r="K649" s="200"/>
      <c r="L649" s="203"/>
      <c r="M649" s="204">
        <f ca="1">IF(ISERROR(OFFSET(Tabella!$A$1,MATCH(J649,Tabella!$A:$A,0)-1,MATCH(L649,Tabella!$A$1:$AC$1,0)-1)=TRUE),0,+OFFSET(Tabella!$A$1,MATCH(J649,Tabella!$A:$A,0)-1,MATCH(L649,Tabella!$A$1:$AC$1,0)-1))</f>
        <v>0</v>
      </c>
      <c r="N649" s="205">
        <f ca="1">IF(ISERROR(OFFSET(Ottone!$A$1,MATCH(J649,Ottone!$A:$A,0)-1,MATCH(L649,Ottone!$A$1:$Z$1,0)-1)=TRUE),0,OFFSET(Ottone!$A$1,MATCH(J649,Ottone!$A:$A,0)-1,MATCH(L649,Ottone!$A$1:$Z$1,0)-1))*IF(G649="Ottone",1,0)</f>
        <v>0</v>
      </c>
      <c r="O649" s="205">
        <f ca="1">IF(ISERROR(OFFSET(Rame!$A$1,MATCH(J649,Rame!$A:$A,0)-1,MATCH(L649,Rame!$A$1:$AA$1,0)-1)=TRUE),0,OFFSET(Rame!$A$1,MATCH(J649,Rame!$A:$A,0)-1,MATCH(L649,Rame!$A$1:$AA$1,0)-1))*IF(G649="Rame",1,0)</f>
        <v>0</v>
      </c>
      <c r="P649" s="205">
        <v>0</v>
      </c>
      <c r="Q649" s="205">
        <f t="shared" ca="1" si="225"/>
        <v>0</v>
      </c>
      <c r="R649" s="205">
        <f ca="1">+IF(ISERROR(OFFSET(Tabella!$G$1,MATCH(J649,Tabella!$G:$G,0)-1,MATCH(K649,Tabella!$G$1:$FG$1,0)-1)=TRUE),0,OFFSET(Tabella!$G$1,MATCH(J649,Tabella!$G:$G,0)-1,MATCH(K649,Tabella!$G$1:$AB$1,0)-1))</f>
        <v>0</v>
      </c>
      <c r="S649" s="205">
        <f ca="1">IF(ISERROR(OFFSET(Ottone!$F$1,MATCH(J649,Ottone!$A:$A,0)-1,MATCH(K649,Ottone!$F$1:$FF$1,0)-1)=TRUE),0,OFFSET(Ottone!$F$1,MATCH(J649,Ottone!$A:$A,0)-1,MATCH(K649,Ottone!$F$1:$FF$1,0)-1))*IF(G649="Ottone",1,0)</f>
        <v>0</v>
      </c>
      <c r="T649" s="205">
        <f ca="1">IF(ISERROR(OFFSET(Rame!$F$1,MATCH(J649,Rame!$F:$F,0)-1,MATCH(K649,Rame!$F$1:$FF$1,0)-1)=TRUE),0,OFFSET(Rame!$F$1,MATCH(J649,Rame!$F:$F,0)-1,MATCH(K649,Rame!$F$1:$FF$1,0)-1))*IF(G649="Rame",1,0)</f>
        <v>0</v>
      </c>
      <c r="U649" s="205">
        <f ca="1">IF(ISERROR(OFFSET(Bronzo!$A$1,MATCH(J649,Bronzo!$A:$A,0)-1,MATCH(K649,Bronzo!$A$1:$AA$1,0)-1)=TRUE),0,OFFSET(Bronzo!$A$1,MATCH(J649,Bronzo!$A:$A,0)-1,MATCH(K649,Bronzo!$A$1:$AA$1,0)-1))</f>
        <v>0</v>
      </c>
      <c r="V649" s="205">
        <f t="shared" ca="1" si="226"/>
        <v>0</v>
      </c>
      <c r="W649" s="204"/>
      <c r="X649" s="205">
        <v>0</v>
      </c>
      <c r="Y649" s="206">
        <f t="shared" ca="1" si="227"/>
        <v>0</v>
      </c>
      <c r="Z649" s="277">
        <f t="shared" si="228"/>
        <v>0</v>
      </c>
      <c r="AA649" s="203"/>
      <c r="AB649" s="203">
        <f t="shared" ca="1" si="229"/>
        <v>0</v>
      </c>
      <c r="AC649" s="238"/>
      <c r="AI649" s="367">
        <f t="shared" ca="1" si="236"/>
        <v>46092</v>
      </c>
      <c r="AJ649" s="367" t="b">
        <f t="shared" si="230"/>
        <v>1</v>
      </c>
      <c r="AK649" s="370" t="str">
        <f t="shared" si="231"/>
        <v/>
      </c>
      <c r="AN649">
        <f t="shared" si="232"/>
        <v>0</v>
      </c>
      <c r="AO649">
        <f t="shared" si="233"/>
        <v>1900</v>
      </c>
      <c r="AV649">
        <f t="shared" si="234"/>
        <v>0</v>
      </c>
      <c r="AW649">
        <f t="shared" si="235"/>
        <v>0</v>
      </c>
    </row>
    <row r="650" spans="4:49" ht="15.75" x14ac:dyDescent="0.25">
      <c r="D650" s="199"/>
      <c r="E650" s="200"/>
      <c r="F650" s="287"/>
      <c r="G650" s="201"/>
      <c r="H650" s="219"/>
      <c r="I650" s="202"/>
      <c r="J650" s="200"/>
      <c r="K650" s="200"/>
      <c r="L650" s="203"/>
      <c r="M650" s="204">
        <f ca="1">IF(ISERROR(OFFSET(Tabella!$A$1,MATCH(J650,Tabella!$A:$A,0)-1,MATCH(L650,Tabella!$A$1:$AC$1,0)-1)=TRUE),0,+OFFSET(Tabella!$A$1,MATCH(J650,Tabella!$A:$A,0)-1,MATCH(L650,Tabella!$A$1:$AC$1,0)-1))</f>
        <v>0</v>
      </c>
      <c r="N650" s="205">
        <f ca="1">IF(ISERROR(OFFSET(Ottone!$A$1,MATCH(J650,Ottone!$A:$A,0)-1,MATCH(L650,Ottone!$A$1:$Z$1,0)-1)=TRUE),0,OFFSET(Ottone!$A$1,MATCH(J650,Ottone!$A:$A,0)-1,MATCH(L650,Ottone!$A$1:$Z$1,0)-1))*IF(G650="Ottone",1,0)</f>
        <v>0</v>
      </c>
      <c r="O650" s="205">
        <f ca="1">IF(ISERROR(OFFSET(Rame!$A$1,MATCH(J650,Rame!$A:$A,0)-1,MATCH(L650,Rame!$A$1:$AA$1,0)-1)=TRUE),0,OFFSET(Rame!$A$1,MATCH(J650,Rame!$A:$A,0)-1,MATCH(L650,Rame!$A$1:$AA$1,0)-1))*IF(G650="Rame",1,0)</f>
        <v>0</v>
      </c>
      <c r="P650" s="205">
        <v>0</v>
      </c>
      <c r="Q650" s="205">
        <f t="shared" ca="1" si="225"/>
        <v>0</v>
      </c>
      <c r="R650" s="205">
        <f ca="1">+IF(ISERROR(OFFSET(Tabella!$G$1,MATCH(J650,Tabella!$G:$G,0)-1,MATCH(K650,Tabella!$G$1:$FG$1,0)-1)=TRUE),0,OFFSET(Tabella!$G$1,MATCH(J650,Tabella!$G:$G,0)-1,MATCH(K650,Tabella!$G$1:$AB$1,0)-1))</f>
        <v>0</v>
      </c>
      <c r="S650" s="205">
        <f ca="1">IF(ISERROR(OFFSET(Ottone!$F$1,MATCH(J650,Ottone!$A:$A,0)-1,MATCH(K650,Ottone!$F$1:$FF$1,0)-1)=TRUE),0,OFFSET(Ottone!$F$1,MATCH(J650,Ottone!$A:$A,0)-1,MATCH(K650,Ottone!$F$1:$FF$1,0)-1))*IF(G650="Ottone",1,0)</f>
        <v>0</v>
      </c>
      <c r="T650" s="205">
        <f ca="1">IF(ISERROR(OFFSET(Rame!$F$1,MATCH(J650,Rame!$F:$F,0)-1,MATCH(K650,Rame!$F$1:$FF$1,0)-1)=TRUE),0,OFFSET(Rame!$F$1,MATCH(J650,Rame!$F:$F,0)-1,MATCH(K650,Rame!$F$1:$FF$1,0)-1))*IF(G650="Rame",1,0)</f>
        <v>0</v>
      </c>
      <c r="U650" s="205">
        <f ca="1">IF(ISERROR(OFFSET(Bronzo!$A$1,MATCH(J650,Bronzo!$A:$A,0)-1,MATCH(K650,Bronzo!$A$1:$AA$1,0)-1)=TRUE),0,OFFSET(Bronzo!$A$1,MATCH(J650,Bronzo!$A:$A,0)-1,MATCH(K650,Bronzo!$A$1:$AA$1,0)-1))</f>
        <v>0</v>
      </c>
      <c r="V650" s="205">
        <f t="shared" ca="1" si="226"/>
        <v>0</v>
      </c>
      <c r="W650" s="204"/>
      <c r="X650" s="205">
        <v>0</v>
      </c>
      <c r="Y650" s="206">
        <f t="shared" ca="1" si="227"/>
        <v>0</v>
      </c>
      <c r="Z650" s="277">
        <f t="shared" si="228"/>
        <v>0</v>
      </c>
      <c r="AA650" s="203"/>
      <c r="AB650" s="203">
        <f t="shared" ca="1" si="229"/>
        <v>0</v>
      </c>
      <c r="AC650" s="238"/>
      <c r="AI650" s="367">
        <f t="shared" ca="1" si="236"/>
        <v>46092</v>
      </c>
      <c r="AJ650" s="367" t="b">
        <f t="shared" si="230"/>
        <v>1</v>
      </c>
      <c r="AK650" s="370" t="str">
        <f t="shared" si="231"/>
        <v/>
      </c>
      <c r="AN650">
        <f t="shared" si="232"/>
        <v>0</v>
      </c>
      <c r="AO650">
        <f t="shared" si="233"/>
        <v>1900</v>
      </c>
      <c r="AV650">
        <f t="shared" si="234"/>
        <v>0</v>
      </c>
      <c r="AW650">
        <f t="shared" si="235"/>
        <v>0</v>
      </c>
    </row>
    <row r="651" spans="4:49" ht="15.75" x14ac:dyDescent="0.25">
      <c r="D651" s="199"/>
      <c r="E651" s="200"/>
      <c r="F651" s="287"/>
      <c r="G651" s="201"/>
      <c r="H651" s="219"/>
      <c r="I651" s="202"/>
      <c r="J651" s="200"/>
      <c r="K651" s="200"/>
      <c r="L651" s="203"/>
      <c r="M651" s="204">
        <f ca="1">IF(ISERROR(OFFSET(Tabella!$A$1,MATCH(J651,Tabella!$A:$A,0)-1,MATCH(L651,Tabella!$A$1:$AC$1,0)-1)=TRUE),0,+OFFSET(Tabella!$A$1,MATCH(J651,Tabella!$A:$A,0)-1,MATCH(L651,Tabella!$A$1:$AC$1,0)-1))</f>
        <v>0</v>
      </c>
      <c r="N651" s="205">
        <f ca="1">IF(ISERROR(OFFSET(Ottone!$A$1,MATCH(J651,Ottone!$A:$A,0)-1,MATCH(L651,Ottone!$A$1:$Z$1,0)-1)=TRUE),0,OFFSET(Ottone!$A$1,MATCH(J651,Ottone!$A:$A,0)-1,MATCH(L651,Ottone!$A$1:$Z$1,0)-1))*IF(G651="Ottone",1,0)</f>
        <v>0</v>
      </c>
      <c r="O651" s="205">
        <f ca="1">IF(ISERROR(OFFSET(Rame!$A$1,MATCH(J651,Rame!$A:$A,0)-1,MATCH(L651,Rame!$A$1:$AA$1,0)-1)=TRUE),0,OFFSET(Rame!$A$1,MATCH(J651,Rame!$A:$A,0)-1,MATCH(L651,Rame!$A$1:$AA$1,0)-1))*IF(G651="Rame",1,0)</f>
        <v>0</v>
      </c>
      <c r="P651" s="205">
        <v>0</v>
      </c>
      <c r="Q651" s="205">
        <f t="shared" ca="1" si="225"/>
        <v>0</v>
      </c>
      <c r="R651" s="205">
        <f ca="1">+IF(ISERROR(OFFSET(Tabella!$G$1,MATCH(J651,Tabella!$G:$G,0)-1,MATCH(K651,Tabella!$G$1:$FG$1,0)-1)=TRUE),0,OFFSET(Tabella!$G$1,MATCH(J651,Tabella!$G:$G,0)-1,MATCH(K651,Tabella!$G$1:$AB$1,0)-1))</f>
        <v>0</v>
      </c>
      <c r="S651" s="205">
        <f ca="1">IF(ISERROR(OFFSET(Ottone!$F$1,MATCH(J651,Ottone!$A:$A,0)-1,MATCH(K651,Ottone!$F$1:$FF$1,0)-1)=TRUE),0,OFFSET(Ottone!$F$1,MATCH(J651,Ottone!$A:$A,0)-1,MATCH(K651,Ottone!$F$1:$FF$1,0)-1))*IF(G651="Ottone",1,0)</f>
        <v>0</v>
      </c>
      <c r="T651" s="205">
        <f ca="1">IF(ISERROR(OFFSET(Rame!$F$1,MATCH(J651,Rame!$F:$F,0)-1,MATCH(K651,Rame!$F$1:$FF$1,0)-1)=TRUE),0,OFFSET(Rame!$F$1,MATCH(J651,Rame!$F:$F,0)-1,MATCH(K651,Rame!$F$1:$FF$1,0)-1))*IF(G651="Rame",1,0)</f>
        <v>0</v>
      </c>
      <c r="U651" s="205">
        <f ca="1">IF(ISERROR(OFFSET(Bronzo!$A$1,MATCH(J651,Bronzo!$A:$A,0)-1,MATCH(K651,Bronzo!$A$1:$AA$1,0)-1)=TRUE),0,OFFSET(Bronzo!$A$1,MATCH(J651,Bronzo!$A:$A,0)-1,MATCH(K651,Bronzo!$A$1:$AA$1,0)-1))</f>
        <v>0</v>
      </c>
      <c r="V651" s="205">
        <f t="shared" ca="1" si="226"/>
        <v>0</v>
      </c>
      <c r="W651" s="204"/>
      <c r="X651" s="205">
        <v>0</v>
      </c>
      <c r="Y651" s="206">
        <f t="shared" ca="1" si="227"/>
        <v>0</v>
      </c>
      <c r="Z651" s="277">
        <f t="shared" si="228"/>
        <v>0</v>
      </c>
      <c r="AA651" s="203"/>
      <c r="AB651" s="203">
        <f t="shared" ca="1" si="229"/>
        <v>0</v>
      </c>
      <c r="AC651" s="238"/>
      <c r="AI651" s="367">
        <f t="shared" ca="1" si="236"/>
        <v>46092</v>
      </c>
      <c r="AJ651" s="367" t="b">
        <f t="shared" si="230"/>
        <v>1</v>
      </c>
      <c r="AK651" s="370" t="str">
        <f t="shared" si="231"/>
        <v/>
      </c>
      <c r="AN651">
        <f t="shared" si="232"/>
        <v>0</v>
      </c>
      <c r="AO651">
        <f t="shared" si="233"/>
        <v>1900</v>
      </c>
      <c r="AV651">
        <f t="shared" si="234"/>
        <v>0</v>
      </c>
      <c r="AW651">
        <f t="shared" si="235"/>
        <v>0</v>
      </c>
    </row>
    <row r="652" spans="4:49" ht="15.75" x14ac:dyDescent="0.25">
      <c r="D652" s="199"/>
      <c r="E652" s="200"/>
      <c r="F652" s="287"/>
      <c r="G652" s="201"/>
      <c r="H652" s="219"/>
      <c r="I652" s="202"/>
      <c r="J652" s="200"/>
      <c r="K652" s="200"/>
      <c r="L652" s="203"/>
      <c r="M652" s="204">
        <f ca="1">IF(ISERROR(OFFSET(Tabella!$A$1,MATCH(J652,Tabella!$A:$A,0)-1,MATCH(L652,Tabella!$A$1:$AC$1,0)-1)=TRUE),0,+OFFSET(Tabella!$A$1,MATCH(J652,Tabella!$A:$A,0)-1,MATCH(L652,Tabella!$A$1:$AC$1,0)-1))</f>
        <v>0</v>
      </c>
      <c r="N652" s="205">
        <f ca="1">IF(ISERROR(OFFSET(Ottone!$A$1,MATCH(J652,Ottone!$A:$A,0)-1,MATCH(L652,Ottone!$A$1:$Z$1,0)-1)=TRUE),0,OFFSET(Ottone!$A$1,MATCH(J652,Ottone!$A:$A,0)-1,MATCH(L652,Ottone!$A$1:$Z$1,0)-1))*IF(G652="Ottone",1,0)</f>
        <v>0</v>
      </c>
      <c r="O652" s="205">
        <f ca="1">IF(ISERROR(OFFSET(Rame!$A$1,MATCH(J652,Rame!$A:$A,0)-1,MATCH(L652,Rame!$A$1:$AA$1,0)-1)=TRUE),0,OFFSET(Rame!$A$1,MATCH(J652,Rame!$A:$A,0)-1,MATCH(L652,Rame!$A$1:$AA$1,0)-1))*IF(G652="Rame",1,0)</f>
        <v>0</v>
      </c>
      <c r="P652" s="205">
        <v>0</v>
      </c>
      <c r="Q652" s="205">
        <f t="shared" ca="1" si="225"/>
        <v>0</v>
      </c>
      <c r="R652" s="205">
        <f ca="1">+IF(ISERROR(OFFSET(Tabella!$G$1,MATCH(J652,Tabella!$G:$G,0)-1,MATCH(K652,Tabella!$G$1:$FG$1,0)-1)=TRUE),0,OFFSET(Tabella!$G$1,MATCH(J652,Tabella!$G:$G,0)-1,MATCH(K652,Tabella!$G$1:$AB$1,0)-1))</f>
        <v>0</v>
      </c>
      <c r="S652" s="205">
        <f ca="1">IF(ISERROR(OFFSET(Ottone!$F$1,MATCH(J652,Ottone!$A:$A,0)-1,MATCH(K652,Ottone!$F$1:$FF$1,0)-1)=TRUE),0,OFFSET(Ottone!$F$1,MATCH(J652,Ottone!$A:$A,0)-1,MATCH(K652,Ottone!$F$1:$FF$1,0)-1))*IF(G652="Ottone",1,0)</f>
        <v>0</v>
      </c>
      <c r="T652" s="205">
        <f ca="1">IF(ISERROR(OFFSET(Rame!$F$1,MATCH(J652,Rame!$F:$F,0)-1,MATCH(K652,Rame!$F$1:$FF$1,0)-1)=TRUE),0,OFFSET(Rame!$F$1,MATCH(J652,Rame!$F:$F,0)-1,MATCH(K652,Rame!$F$1:$FF$1,0)-1))*IF(G652="Rame",1,0)</f>
        <v>0</v>
      </c>
      <c r="U652" s="205">
        <f ca="1">IF(ISERROR(OFFSET(Bronzo!$A$1,MATCH(J652,Bronzo!$A:$A,0)-1,MATCH(K652,Bronzo!$A$1:$AA$1,0)-1)=TRUE),0,OFFSET(Bronzo!$A$1,MATCH(J652,Bronzo!$A:$A,0)-1,MATCH(K652,Bronzo!$A$1:$AA$1,0)-1))</f>
        <v>0</v>
      </c>
      <c r="V652" s="205">
        <f t="shared" ca="1" si="226"/>
        <v>0</v>
      </c>
      <c r="W652" s="204"/>
      <c r="X652" s="205">
        <v>0</v>
      </c>
      <c r="Y652" s="206">
        <f t="shared" ca="1" si="227"/>
        <v>0</v>
      </c>
      <c r="Z652" s="277">
        <f t="shared" si="228"/>
        <v>0</v>
      </c>
      <c r="AA652" s="203"/>
      <c r="AB652" s="203">
        <f t="shared" ca="1" si="229"/>
        <v>0</v>
      </c>
      <c r="AC652" s="238"/>
      <c r="AI652" s="367">
        <f t="shared" ca="1" si="236"/>
        <v>46092</v>
      </c>
      <c r="AJ652" s="367" t="b">
        <f t="shared" si="230"/>
        <v>1</v>
      </c>
      <c r="AK652" s="370" t="str">
        <f t="shared" si="231"/>
        <v/>
      </c>
      <c r="AN652">
        <f t="shared" si="232"/>
        <v>0</v>
      </c>
      <c r="AO652">
        <f t="shared" si="233"/>
        <v>1900</v>
      </c>
      <c r="AV652">
        <f t="shared" si="234"/>
        <v>0</v>
      </c>
      <c r="AW652">
        <f t="shared" si="235"/>
        <v>0</v>
      </c>
    </row>
    <row r="653" spans="4:49" ht="15.75" x14ac:dyDescent="0.25">
      <c r="D653" s="199"/>
      <c r="E653" s="200"/>
      <c r="F653" s="287"/>
      <c r="G653" s="201"/>
      <c r="H653" s="219"/>
      <c r="I653" s="202"/>
      <c r="J653" s="200"/>
      <c r="K653" s="200"/>
      <c r="L653" s="203"/>
      <c r="M653" s="204">
        <f ca="1">IF(ISERROR(OFFSET(Tabella!$A$1,MATCH(J653,Tabella!$A:$A,0)-1,MATCH(L653,Tabella!$A$1:$AC$1,0)-1)=TRUE),0,+OFFSET(Tabella!$A$1,MATCH(J653,Tabella!$A:$A,0)-1,MATCH(L653,Tabella!$A$1:$AC$1,0)-1))</f>
        <v>0</v>
      </c>
      <c r="N653" s="205">
        <f ca="1">IF(ISERROR(OFFSET(Ottone!$A$1,MATCH(J653,Ottone!$A:$A,0)-1,MATCH(L653,Ottone!$A$1:$Z$1,0)-1)=TRUE),0,OFFSET(Ottone!$A$1,MATCH(J653,Ottone!$A:$A,0)-1,MATCH(L653,Ottone!$A$1:$Z$1,0)-1))*IF(G653="Ottone",1,0)</f>
        <v>0</v>
      </c>
      <c r="O653" s="205">
        <f ca="1">IF(ISERROR(OFFSET(Rame!$A$1,MATCH(J653,Rame!$A:$A,0)-1,MATCH(L653,Rame!$A$1:$AA$1,0)-1)=TRUE),0,OFFSET(Rame!$A$1,MATCH(J653,Rame!$A:$A,0)-1,MATCH(L653,Rame!$A$1:$AA$1,0)-1))*IF(G653="Rame",1,0)</f>
        <v>0</v>
      </c>
      <c r="P653" s="205">
        <v>0</v>
      </c>
      <c r="Q653" s="205">
        <f t="shared" ca="1" si="225"/>
        <v>0</v>
      </c>
      <c r="R653" s="205">
        <f ca="1">+IF(ISERROR(OFFSET(Tabella!$G$1,MATCH(J653,Tabella!$G:$G,0)-1,MATCH(K653,Tabella!$G$1:$FG$1,0)-1)=TRUE),0,OFFSET(Tabella!$G$1,MATCH(J653,Tabella!$G:$G,0)-1,MATCH(K653,Tabella!$G$1:$AB$1,0)-1))</f>
        <v>0</v>
      </c>
      <c r="S653" s="205">
        <f ca="1">IF(ISERROR(OFFSET(Ottone!$F$1,MATCH(J653,Ottone!$A:$A,0)-1,MATCH(K653,Ottone!$F$1:$FF$1,0)-1)=TRUE),0,OFFSET(Ottone!$F$1,MATCH(J653,Ottone!$A:$A,0)-1,MATCH(K653,Ottone!$F$1:$FF$1,0)-1))*IF(G653="Ottone",1,0)</f>
        <v>0</v>
      </c>
      <c r="T653" s="205">
        <f ca="1">IF(ISERROR(OFFSET(Rame!$F$1,MATCH(J653,Rame!$F:$F,0)-1,MATCH(K653,Rame!$F$1:$FF$1,0)-1)=TRUE),0,OFFSET(Rame!$F$1,MATCH(J653,Rame!$F:$F,0)-1,MATCH(K653,Rame!$F$1:$FF$1,0)-1))*IF(G653="Rame",1,0)</f>
        <v>0</v>
      </c>
      <c r="U653" s="205">
        <f ca="1">IF(ISERROR(OFFSET(Bronzo!$A$1,MATCH(J653,Bronzo!$A:$A,0)-1,MATCH(K653,Bronzo!$A$1:$AA$1,0)-1)=TRUE),0,OFFSET(Bronzo!$A$1,MATCH(J653,Bronzo!$A:$A,0)-1,MATCH(K653,Bronzo!$A$1:$AA$1,0)-1))</f>
        <v>0</v>
      </c>
      <c r="V653" s="205">
        <f t="shared" ca="1" si="226"/>
        <v>0</v>
      </c>
      <c r="W653" s="204"/>
      <c r="X653" s="205">
        <v>0</v>
      </c>
      <c r="Y653" s="206">
        <f t="shared" ca="1" si="227"/>
        <v>0</v>
      </c>
      <c r="Z653" s="277">
        <f t="shared" si="228"/>
        <v>0</v>
      </c>
      <c r="AA653" s="203"/>
      <c r="AB653" s="203">
        <f t="shared" ca="1" si="229"/>
        <v>0</v>
      </c>
      <c r="AC653" s="238"/>
      <c r="AI653" s="367">
        <f t="shared" ca="1" si="236"/>
        <v>46092</v>
      </c>
      <c r="AJ653" s="367" t="b">
        <f t="shared" si="230"/>
        <v>1</v>
      </c>
      <c r="AK653" s="370" t="str">
        <f t="shared" si="231"/>
        <v/>
      </c>
      <c r="AN653">
        <f t="shared" si="232"/>
        <v>0</v>
      </c>
      <c r="AO653">
        <f t="shared" si="233"/>
        <v>1900</v>
      </c>
      <c r="AV653">
        <f t="shared" si="234"/>
        <v>0</v>
      </c>
      <c r="AW653">
        <f t="shared" si="235"/>
        <v>0</v>
      </c>
    </row>
    <row r="654" spans="4:49" ht="15.75" x14ac:dyDescent="0.25">
      <c r="D654" s="199"/>
      <c r="E654" s="200"/>
      <c r="F654" s="287"/>
      <c r="G654" s="201"/>
      <c r="H654" s="219"/>
      <c r="I654" s="202"/>
      <c r="J654" s="200"/>
      <c r="K654" s="200"/>
      <c r="L654" s="203"/>
      <c r="M654" s="204">
        <f ca="1">IF(ISERROR(OFFSET(Tabella!$A$1,MATCH(J654,Tabella!$A:$A,0)-1,MATCH(L654,Tabella!$A$1:$AC$1,0)-1)=TRUE),0,+OFFSET(Tabella!$A$1,MATCH(J654,Tabella!$A:$A,0)-1,MATCH(L654,Tabella!$A$1:$AC$1,0)-1))</f>
        <v>0</v>
      </c>
      <c r="N654" s="205">
        <f ca="1">IF(ISERROR(OFFSET(Ottone!$A$1,MATCH(J654,Ottone!$A:$A,0)-1,MATCH(L654,Ottone!$A$1:$Z$1,0)-1)=TRUE),0,OFFSET(Ottone!$A$1,MATCH(J654,Ottone!$A:$A,0)-1,MATCH(L654,Ottone!$A$1:$Z$1,0)-1))*IF(G654="Ottone",1,0)</f>
        <v>0</v>
      </c>
      <c r="O654" s="205">
        <f ca="1">IF(ISERROR(OFFSET(Rame!$A$1,MATCH(J654,Rame!$A:$A,0)-1,MATCH(L654,Rame!$A$1:$AA$1,0)-1)=TRUE),0,OFFSET(Rame!$A$1,MATCH(J654,Rame!$A:$A,0)-1,MATCH(L654,Rame!$A$1:$AA$1,0)-1))*IF(G654="Rame",1,0)</f>
        <v>0</v>
      </c>
      <c r="P654" s="205">
        <v>0</v>
      </c>
      <c r="Q654" s="205">
        <f t="shared" ca="1" si="225"/>
        <v>0</v>
      </c>
      <c r="R654" s="205">
        <f ca="1">+IF(ISERROR(OFFSET(Tabella!$G$1,MATCH(J654,Tabella!$G:$G,0)-1,MATCH(K654,Tabella!$G$1:$FG$1,0)-1)=TRUE),0,OFFSET(Tabella!$G$1,MATCH(J654,Tabella!$G:$G,0)-1,MATCH(K654,Tabella!$G$1:$AB$1,0)-1))</f>
        <v>0</v>
      </c>
      <c r="S654" s="205">
        <f ca="1">IF(ISERROR(OFFSET(Ottone!$F$1,MATCH(J654,Ottone!$A:$A,0)-1,MATCH(K654,Ottone!$F$1:$FF$1,0)-1)=TRUE),0,OFFSET(Ottone!$F$1,MATCH(J654,Ottone!$A:$A,0)-1,MATCH(K654,Ottone!$F$1:$FF$1,0)-1))*IF(G654="Ottone",1,0)</f>
        <v>0</v>
      </c>
      <c r="T654" s="205">
        <f ca="1">IF(ISERROR(OFFSET(Rame!$F$1,MATCH(J654,Rame!$F:$F,0)-1,MATCH(K654,Rame!$F$1:$FF$1,0)-1)=TRUE),0,OFFSET(Rame!$F$1,MATCH(J654,Rame!$F:$F,0)-1,MATCH(K654,Rame!$F$1:$FF$1,0)-1))*IF(G654="Rame",1,0)</f>
        <v>0</v>
      </c>
      <c r="U654" s="205">
        <f ca="1">IF(ISERROR(OFFSET(Bronzo!$A$1,MATCH(J654,Bronzo!$A:$A,0)-1,MATCH(K654,Bronzo!$A$1:$AA$1,0)-1)=TRUE),0,OFFSET(Bronzo!$A$1,MATCH(J654,Bronzo!$A:$A,0)-1,MATCH(K654,Bronzo!$A$1:$AA$1,0)-1))</f>
        <v>0</v>
      </c>
      <c r="V654" s="205">
        <f t="shared" ca="1" si="226"/>
        <v>0</v>
      </c>
      <c r="W654" s="204"/>
      <c r="X654" s="205">
        <v>0</v>
      </c>
      <c r="Y654" s="206">
        <f t="shared" ca="1" si="227"/>
        <v>0</v>
      </c>
      <c r="Z654" s="277">
        <f t="shared" si="228"/>
        <v>0</v>
      </c>
      <c r="AA654" s="203"/>
      <c r="AB654" s="203">
        <f t="shared" ca="1" si="229"/>
        <v>0</v>
      </c>
      <c r="AC654" s="238"/>
      <c r="AI654" s="367">
        <f t="shared" ca="1" si="236"/>
        <v>46092</v>
      </c>
      <c r="AJ654" s="367" t="b">
        <f t="shared" si="230"/>
        <v>1</v>
      </c>
      <c r="AK654" s="370" t="str">
        <f t="shared" si="231"/>
        <v/>
      </c>
      <c r="AN654">
        <f t="shared" si="232"/>
        <v>0</v>
      </c>
      <c r="AO654">
        <f t="shared" si="233"/>
        <v>1900</v>
      </c>
      <c r="AV654">
        <f t="shared" si="234"/>
        <v>0</v>
      </c>
      <c r="AW654">
        <f t="shared" si="235"/>
        <v>0</v>
      </c>
    </row>
    <row r="655" spans="4:49" ht="15.75" x14ac:dyDescent="0.25">
      <c r="D655" s="199"/>
      <c r="E655" s="200"/>
      <c r="F655" s="287"/>
      <c r="G655" s="201"/>
      <c r="H655" s="219"/>
      <c r="I655" s="202"/>
      <c r="J655" s="200"/>
      <c r="K655" s="200"/>
      <c r="L655" s="203"/>
      <c r="M655" s="204">
        <f ca="1">IF(ISERROR(OFFSET(Tabella!$A$1,MATCH(J655,Tabella!$A:$A,0)-1,MATCH(L655,Tabella!$A$1:$AC$1,0)-1)=TRUE),0,+OFFSET(Tabella!$A$1,MATCH(J655,Tabella!$A:$A,0)-1,MATCH(L655,Tabella!$A$1:$AC$1,0)-1))</f>
        <v>0</v>
      </c>
      <c r="N655" s="205">
        <f ca="1">IF(ISERROR(OFFSET(Ottone!$A$1,MATCH(J655,Ottone!$A:$A,0)-1,MATCH(L655,Ottone!$A$1:$Z$1,0)-1)=TRUE),0,OFFSET(Ottone!$A$1,MATCH(J655,Ottone!$A:$A,0)-1,MATCH(L655,Ottone!$A$1:$Z$1,0)-1))*IF(G655="Ottone",1,0)</f>
        <v>0</v>
      </c>
      <c r="O655" s="205">
        <f ca="1">IF(ISERROR(OFFSET(Rame!$A$1,MATCH(J655,Rame!$A:$A,0)-1,MATCH(L655,Rame!$A$1:$AA$1,0)-1)=TRUE),0,OFFSET(Rame!$A$1,MATCH(J655,Rame!$A:$A,0)-1,MATCH(L655,Rame!$A$1:$AA$1,0)-1))*IF(G655="Rame",1,0)</f>
        <v>0</v>
      </c>
      <c r="P655" s="205">
        <v>0</v>
      </c>
      <c r="Q655" s="205">
        <f t="shared" ref="Q655:Q718" ca="1" si="237">SUM(M655:P655)</f>
        <v>0</v>
      </c>
      <c r="R655" s="205">
        <f ca="1">+IF(ISERROR(OFFSET(Tabella!$G$1,MATCH(J655,Tabella!$G:$G,0)-1,MATCH(K655,Tabella!$G$1:$FG$1,0)-1)=TRUE),0,OFFSET(Tabella!$G$1,MATCH(J655,Tabella!$G:$G,0)-1,MATCH(K655,Tabella!$G$1:$AB$1,0)-1))</f>
        <v>0</v>
      </c>
      <c r="S655" s="205">
        <f ca="1">IF(ISERROR(OFFSET(Ottone!$F$1,MATCH(J655,Ottone!$A:$A,0)-1,MATCH(K655,Ottone!$F$1:$FF$1,0)-1)=TRUE),0,OFFSET(Ottone!$F$1,MATCH(J655,Ottone!$A:$A,0)-1,MATCH(K655,Ottone!$F$1:$FF$1,0)-1))*IF(G655="Ottone",1,0)</f>
        <v>0</v>
      </c>
      <c r="T655" s="205">
        <f ca="1">IF(ISERROR(OFFSET(Rame!$F$1,MATCH(J655,Rame!$F:$F,0)-1,MATCH(K655,Rame!$F$1:$FF$1,0)-1)=TRUE),0,OFFSET(Rame!$F$1,MATCH(J655,Rame!$F:$F,0)-1,MATCH(K655,Rame!$F$1:$FF$1,0)-1))*IF(G655="Rame",1,0)</f>
        <v>0</v>
      </c>
      <c r="U655" s="205">
        <f ca="1">IF(ISERROR(OFFSET(Bronzo!$A$1,MATCH(J655,Bronzo!$A:$A,0)-1,MATCH(K655,Bronzo!$A$1:$AA$1,0)-1)=TRUE),0,OFFSET(Bronzo!$A$1,MATCH(J655,Bronzo!$A:$A,0)-1,MATCH(K655,Bronzo!$A$1:$AA$1,0)-1))</f>
        <v>0</v>
      </c>
      <c r="V655" s="205">
        <f t="shared" ref="V655:V718" ca="1" si="238">SUM(R655:U655)</f>
        <v>0</v>
      </c>
      <c r="W655" s="204"/>
      <c r="X655" s="205">
        <v>0</v>
      </c>
      <c r="Y655" s="206">
        <f t="shared" ref="Y655:Y718" ca="1" si="239">+Q655+V655+W655+X655</f>
        <v>0</v>
      </c>
      <c r="Z655" s="277">
        <f t="shared" ref="Z655:Z718" si="240">+L655*F655</f>
        <v>0</v>
      </c>
      <c r="AA655" s="203"/>
      <c r="AB655" s="203">
        <f t="shared" ref="AB655:AB718" ca="1" si="241">+AA655-Y655-H655</f>
        <v>0</v>
      </c>
      <c r="AC655" s="238"/>
      <c r="AI655" s="367">
        <f t="shared" ca="1" si="236"/>
        <v>46092</v>
      </c>
      <c r="AJ655" s="367" t="b">
        <f t="shared" si="230"/>
        <v>1</v>
      </c>
      <c r="AK655" s="370" t="str">
        <f t="shared" si="231"/>
        <v/>
      </c>
      <c r="AN655">
        <f t="shared" si="232"/>
        <v>0</v>
      </c>
      <c r="AO655">
        <f t="shared" si="233"/>
        <v>1900</v>
      </c>
      <c r="AV655">
        <f t="shared" si="234"/>
        <v>0</v>
      </c>
      <c r="AW655">
        <f t="shared" si="235"/>
        <v>0</v>
      </c>
    </row>
    <row r="656" spans="4:49" ht="15.75" x14ac:dyDescent="0.25">
      <c r="D656" s="199"/>
      <c r="E656" s="200"/>
      <c r="F656" s="287"/>
      <c r="G656" s="201"/>
      <c r="H656" s="219"/>
      <c r="I656" s="202"/>
      <c r="J656" s="200"/>
      <c r="K656" s="200"/>
      <c r="L656" s="203"/>
      <c r="M656" s="204">
        <f ca="1">IF(ISERROR(OFFSET(Tabella!$A$1,MATCH(J656,Tabella!$A:$A,0)-1,MATCH(L656,Tabella!$A$1:$AC$1,0)-1)=TRUE),0,+OFFSET(Tabella!$A$1,MATCH(J656,Tabella!$A:$A,0)-1,MATCH(L656,Tabella!$A$1:$AC$1,0)-1))</f>
        <v>0</v>
      </c>
      <c r="N656" s="205">
        <f ca="1">IF(ISERROR(OFFSET(Ottone!$A$1,MATCH(J656,Ottone!$A:$A,0)-1,MATCH(L656,Ottone!$A$1:$Z$1,0)-1)=TRUE),0,OFFSET(Ottone!$A$1,MATCH(J656,Ottone!$A:$A,0)-1,MATCH(L656,Ottone!$A$1:$Z$1,0)-1))*IF(G656="Ottone",1,0)</f>
        <v>0</v>
      </c>
      <c r="O656" s="205">
        <f ca="1">IF(ISERROR(OFFSET(Rame!$A$1,MATCH(J656,Rame!$A:$A,0)-1,MATCH(L656,Rame!$A$1:$AA$1,0)-1)=TRUE),0,OFFSET(Rame!$A$1,MATCH(J656,Rame!$A:$A,0)-1,MATCH(L656,Rame!$A$1:$AA$1,0)-1))*IF(G656="Rame",1,0)</f>
        <v>0</v>
      </c>
      <c r="P656" s="205">
        <v>0</v>
      </c>
      <c r="Q656" s="205">
        <f t="shared" ca="1" si="237"/>
        <v>0</v>
      </c>
      <c r="R656" s="205">
        <f ca="1">+IF(ISERROR(OFFSET(Tabella!$G$1,MATCH(J656,Tabella!$G:$G,0)-1,MATCH(K656,Tabella!$G$1:$FG$1,0)-1)=TRUE),0,OFFSET(Tabella!$G$1,MATCH(J656,Tabella!$G:$G,0)-1,MATCH(K656,Tabella!$G$1:$AB$1,0)-1))</f>
        <v>0</v>
      </c>
      <c r="S656" s="205">
        <f ca="1">IF(ISERROR(OFFSET(Ottone!$F$1,MATCH(J656,Ottone!$A:$A,0)-1,MATCH(K656,Ottone!$F$1:$FF$1,0)-1)=TRUE),0,OFFSET(Ottone!$F$1,MATCH(J656,Ottone!$A:$A,0)-1,MATCH(K656,Ottone!$F$1:$FF$1,0)-1))*IF(G656="Ottone",1,0)</f>
        <v>0</v>
      </c>
      <c r="T656" s="205">
        <f ca="1">IF(ISERROR(OFFSET(Rame!$F$1,MATCH(J656,Rame!$F:$F,0)-1,MATCH(K656,Rame!$F$1:$FF$1,0)-1)=TRUE),0,OFFSET(Rame!$F$1,MATCH(J656,Rame!$F:$F,0)-1,MATCH(K656,Rame!$F$1:$FF$1,0)-1))*IF(G656="Rame",1,0)</f>
        <v>0</v>
      </c>
      <c r="U656" s="205">
        <f ca="1">IF(ISERROR(OFFSET(Bronzo!$A$1,MATCH(J656,Bronzo!$A:$A,0)-1,MATCH(K656,Bronzo!$A$1:$AA$1,0)-1)=TRUE),0,OFFSET(Bronzo!$A$1,MATCH(J656,Bronzo!$A:$A,0)-1,MATCH(K656,Bronzo!$A$1:$AA$1,0)-1))</f>
        <v>0</v>
      </c>
      <c r="V656" s="205">
        <f t="shared" ca="1" si="238"/>
        <v>0</v>
      </c>
      <c r="W656" s="204"/>
      <c r="X656" s="205">
        <v>0</v>
      </c>
      <c r="Y656" s="206">
        <f t="shared" ca="1" si="239"/>
        <v>0</v>
      </c>
      <c r="Z656" s="277">
        <f t="shared" si="240"/>
        <v>0</v>
      </c>
      <c r="AA656" s="203"/>
      <c r="AB656" s="203">
        <f t="shared" ca="1" si="241"/>
        <v>0</v>
      </c>
      <c r="AC656" s="238"/>
      <c r="AI656" s="367">
        <f t="shared" ca="1" si="236"/>
        <v>46092</v>
      </c>
      <c r="AJ656" s="367" t="b">
        <f t="shared" si="230"/>
        <v>1</v>
      </c>
      <c r="AK656" s="370" t="str">
        <f t="shared" si="231"/>
        <v/>
      </c>
      <c r="AN656">
        <f t="shared" si="232"/>
        <v>0</v>
      </c>
      <c r="AO656">
        <f t="shared" si="233"/>
        <v>1900</v>
      </c>
      <c r="AV656">
        <f t="shared" si="234"/>
        <v>0</v>
      </c>
      <c r="AW656">
        <f t="shared" si="235"/>
        <v>0</v>
      </c>
    </row>
    <row r="657" spans="4:49" ht="15.75" x14ac:dyDescent="0.25">
      <c r="D657" s="199"/>
      <c r="E657" s="200"/>
      <c r="F657" s="287"/>
      <c r="G657" s="201"/>
      <c r="H657" s="219"/>
      <c r="I657" s="202"/>
      <c r="J657" s="200"/>
      <c r="K657" s="200"/>
      <c r="L657" s="203"/>
      <c r="M657" s="204">
        <f ca="1">IF(ISERROR(OFFSET(Tabella!$A$1,MATCH(J657,Tabella!$A:$A,0)-1,MATCH(L657,Tabella!$A$1:$AC$1,0)-1)=TRUE),0,+OFFSET(Tabella!$A$1,MATCH(J657,Tabella!$A:$A,0)-1,MATCH(L657,Tabella!$A$1:$AC$1,0)-1))</f>
        <v>0</v>
      </c>
      <c r="N657" s="205">
        <f ca="1">IF(ISERROR(OFFSET(Ottone!$A$1,MATCH(J657,Ottone!$A:$A,0)-1,MATCH(L657,Ottone!$A$1:$Z$1,0)-1)=TRUE),0,OFFSET(Ottone!$A$1,MATCH(J657,Ottone!$A:$A,0)-1,MATCH(L657,Ottone!$A$1:$Z$1,0)-1))*IF(G657="Ottone",1,0)</f>
        <v>0</v>
      </c>
      <c r="O657" s="205">
        <f ca="1">IF(ISERROR(OFFSET(Rame!$A$1,MATCH(J657,Rame!$A:$A,0)-1,MATCH(L657,Rame!$A$1:$AA$1,0)-1)=TRUE),0,OFFSET(Rame!$A$1,MATCH(J657,Rame!$A:$A,0)-1,MATCH(L657,Rame!$A$1:$AA$1,0)-1))*IF(G657="Rame",1,0)</f>
        <v>0</v>
      </c>
      <c r="P657" s="205">
        <v>0</v>
      </c>
      <c r="Q657" s="205">
        <f t="shared" ca="1" si="237"/>
        <v>0</v>
      </c>
      <c r="R657" s="205">
        <f ca="1">+IF(ISERROR(OFFSET(Tabella!$G$1,MATCH(J657,Tabella!$G:$G,0)-1,MATCH(K657,Tabella!$G$1:$FG$1,0)-1)=TRUE),0,OFFSET(Tabella!$G$1,MATCH(J657,Tabella!$G:$G,0)-1,MATCH(K657,Tabella!$G$1:$AB$1,0)-1))</f>
        <v>0</v>
      </c>
      <c r="S657" s="205">
        <f ca="1">IF(ISERROR(OFFSET(Ottone!$F$1,MATCH(J657,Ottone!$A:$A,0)-1,MATCH(K657,Ottone!$F$1:$FF$1,0)-1)=TRUE),0,OFFSET(Ottone!$F$1,MATCH(J657,Ottone!$A:$A,0)-1,MATCH(K657,Ottone!$F$1:$FF$1,0)-1))*IF(G657="Ottone",1,0)</f>
        <v>0</v>
      </c>
      <c r="T657" s="205">
        <f ca="1">IF(ISERROR(OFFSET(Rame!$F$1,MATCH(J657,Rame!$F:$F,0)-1,MATCH(K657,Rame!$F$1:$FF$1,0)-1)=TRUE),0,OFFSET(Rame!$F$1,MATCH(J657,Rame!$F:$F,0)-1,MATCH(K657,Rame!$F$1:$FF$1,0)-1))*IF(G657="Rame",1,0)</f>
        <v>0</v>
      </c>
      <c r="U657" s="205">
        <f ca="1">IF(ISERROR(OFFSET(Bronzo!$A$1,MATCH(J657,Bronzo!$A:$A,0)-1,MATCH(K657,Bronzo!$A$1:$AA$1,0)-1)=TRUE),0,OFFSET(Bronzo!$A$1,MATCH(J657,Bronzo!$A:$A,0)-1,MATCH(K657,Bronzo!$A$1:$AA$1,0)-1))</f>
        <v>0</v>
      </c>
      <c r="V657" s="205">
        <f t="shared" ca="1" si="238"/>
        <v>0</v>
      </c>
      <c r="W657" s="204"/>
      <c r="X657" s="205">
        <v>0</v>
      </c>
      <c r="Y657" s="206">
        <f t="shared" ca="1" si="239"/>
        <v>0</v>
      </c>
      <c r="Z657" s="277">
        <f t="shared" si="240"/>
        <v>0</v>
      </c>
      <c r="AA657" s="203"/>
      <c r="AB657" s="203">
        <f t="shared" ca="1" si="241"/>
        <v>0</v>
      </c>
      <c r="AC657" s="238"/>
      <c r="AI657" s="367">
        <f t="shared" ca="1" si="236"/>
        <v>46092</v>
      </c>
      <c r="AJ657" s="367" t="b">
        <f t="shared" si="230"/>
        <v>1</v>
      </c>
      <c r="AK657" s="370" t="str">
        <f t="shared" si="231"/>
        <v/>
      </c>
      <c r="AN657">
        <f t="shared" si="232"/>
        <v>0</v>
      </c>
      <c r="AO657">
        <f t="shared" si="233"/>
        <v>1900</v>
      </c>
      <c r="AV657">
        <f t="shared" si="234"/>
        <v>0</v>
      </c>
      <c r="AW657">
        <f t="shared" si="235"/>
        <v>0</v>
      </c>
    </row>
    <row r="658" spans="4:49" ht="15.75" x14ac:dyDescent="0.25">
      <c r="D658" s="199"/>
      <c r="E658" s="200"/>
      <c r="F658" s="287"/>
      <c r="G658" s="201"/>
      <c r="H658" s="219"/>
      <c r="I658" s="202"/>
      <c r="J658" s="200"/>
      <c r="K658" s="200"/>
      <c r="L658" s="203"/>
      <c r="M658" s="204">
        <f ca="1">IF(ISERROR(OFFSET(Tabella!$A$1,MATCH(J658,Tabella!$A:$A,0)-1,MATCH(L658,Tabella!$A$1:$AC$1,0)-1)=TRUE),0,+OFFSET(Tabella!$A$1,MATCH(J658,Tabella!$A:$A,0)-1,MATCH(L658,Tabella!$A$1:$AC$1,0)-1))</f>
        <v>0</v>
      </c>
      <c r="N658" s="205">
        <f ca="1">IF(ISERROR(OFFSET(Ottone!$A$1,MATCH(J658,Ottone!$A:$A,0)-1,MATCH(L658,Ottone!$A$1:$Z$1,0)-1)=TRUE),0,OFFSET(Ottone!$A$1,MATCH(J658,Ottone!$A:$A,0)-1,MATCH(L658,Ottone!$A$1:$Z$1,0)-1))*IF(G658="Ottone",1,0)</f>
        <v>0</v>
      </c>
      <c r="O658" s="205">
        <f ca="1">IF(ISERROR(OFFSET(Rame!$A$1,MATCH(J658,Rame!$A:$A,0)-1,MATCH(L658,Rame!$A$1:$AA$1,0)-1)=TRUE),0,OFFSET(Rame!$A$1,MATCH(J658,Rame!$A:$A,0)-1,MATCH(L658,Rame!$A$1:$AA$1,0)-1))*IF(G658="Rame",1,0)</f>
        <v>0</v>
      </c>
      <c r="P658" s="205">
        <v>0</v>
      </c>
      <c r="Q658" s="205">
        <f t="shared" ca="1" si="237"/>
        <v>0</v>
      </c>
      <c r="R658" s="205">
        <f ca="1">+IF(ISERROR(OFFSET(Tabella!$G$1,MATCH(J658,Tabella!$G:$G,0)-1,MATCH(K658,Tabella!$G$1:$FG$1,0)-1)=TRUE),0,OFFSET(Tabella!$G$1,MATCH(J658,Tabella!$G:$G,0)-1,MATCH(K658,Tabella!$G$1:$AB$1,0)-1))</f>
        <v>0</v>
      </c>
      <c r="S658" s="205">
        <f ca="1">IF(ISERROR(OFFSET(Ottone!$F$1,MATCH(J658,Ottone!$A:$A,0)-1,MATCH(K658,Ottone!$F$1:$FF$1,0)-1)=TRUE),0,OFFSET(Ottone!$F$1,MATCH(J658,Ottone!$A:$A,0)-1,MATCH(K658,Ottone!$F$1:$FF$1,0)-1))*IF(G658="Ottone",1,0)</f>
        <v>0</v>
      </c>
      <c r="T658" s="205">
        <f ca="1">IF(ISERROR(OFFSET(Rame!$F$1,MATCH(J658,Rame!$F:$F,0)-1,MATCH(K658,Rame!$F$1:$FF$1,0)-1)=TRUE),0,OFFSET(Rame!$F$1,MATCH(J658,Rame!$F:$F,0)-1,MATCH(K658,Rame!$F$1:$FF$1,0)-1))*IF(G658="Rame",1,0)</f>
        <v>0</v>
      </c>
      <c r="U658" s="205">
        <f ca="1">IF(ISERROR(OFFSET(Bronzo!$A$1,MATCH(J658,Bronzo!$A:$A,0)-1,MATCH(K658,Bronzo!$A$1:$AA$1,0)-1)=TRUE),0,OFFSET(Bronzo!$A$1,MATCH(J658,Bronzo!$A:$A,0)-1,MATCH(K658,Bronzo!$A$1:$AA$1,0)-1))</f>
        <v>0</v>
      </c>
      <c r="V658" s="205">
        <f t="shared" ca="1" si="238"/>
        <v>0</v>
      </c>
      <c r="W658" s="204"/>
      <c r="X658" s="205">
        <v>0</v>
      </c>
      <c r="Y658" s="206">
        <f t="shared" ca="1" si="239"/>
        <v>0</v>
      </c>
      <c r="Z658" s="277">
        <f t="shared" si="240"/>
        <v>0</v>
      </c>
      <c r="AA658" s="203"/>
      <c r="AB658" s="203">
        <f t="shared" ca="1" si="241"/>
        <v>0</v>
      </c>
      <c r="AC658" s="238"/>
      <c r="AI658" s="367">
        <f t="shared" ca="1" si="236"/>
        <v>46092</v>
      </c>
      <c r="AJ658" s="367" t="b">
        <f t="shared" si="230"/>
        <v>1</v>
      </c>
      <c r="AK658" s="370" t="str">
        <f t="shared" si="231"/>
        <v/>
      </c>
      <c r="AN658">
        <f t="shared" si="232"/>
        <v>0</v>
      </c>
      <c r="AO658">
        <f t="shared" si="233"/>
        <v>1900</v>
      </c>
      <c r="AV658">
        <f t="shared" si="234"/>
        <v>0</v>
      </c>
      <c r="AW658">
        <f t="shared" si="235"/>
        <v>0</v>
      </c>
    </row>
    <row r="659" spans="4:49" ht="15.75" x14ac:dyDescent="0.25">
      <c r="D659" s="199"/>
      <c r="E659" s="200"/>
      <c r="F659" s="287"/>
      <c r="G659" s="201"/>
      <c r="H659" s="219"/>
      <c r="I659" s="202"/>
      <c r="J659" s="200"/>
      <c r="K659" s="200"/>
      <c r="L659" s="203"/>
      <c r="M659" s="204">
        <f ca="1">IF(ISERROR(OFFSET(Tabella!$A$1,MATCH(J659,Tabella!$A:$A,0)-1,MATCH(L659,Tabella!$A$1:$AC$1,0)-1)=TRUE),0,+OFFSET(Tabella!$A$1,MATCH(J659,Tabella!$A:$A,0)-1,MATCH(L659,Tabella!$A$1:$AC$1,0)-1))</f>
        <v>0</v>
      </c>
      <c r="N659" s="205">
        <f ca="1">IF(ISERROR(OFFSET(Ottone!$A$1,MATCH(J659,Ottone!$A:$A,0)-1,MATCH(L659,Ottone!$A$1:$Z$1,0)-1)=TRUE),0,OFFSET(Ottone!$A$1,MATCH(J659,Ottone!$A:$A,0)-1,MATCH(L659,Ottone!$A$1:$Z$1,0)-1))*IF(G659="Ottone",1,0)</f>
        <v>0</v>
      </c>
      <c r="O659" s="205">
        <f ca="1">IF(ISERROR(OFFSET(Rame!$A$1,MATCH(J659,Rame!$A:$A,0)-1,MATCH(L659,Rame!$A$1:$AA$1,0)-1)=TRUE),0,OFFSET(Rame!$A$1,MATCH(J659,Rame!$A:$A,0)-1,MATCH(L659,Rame!$A$1:$AA$1,0)-1))*IF(G659="Rame",1,0)</f>
        <v>0</v>
      </c>
      <c r="P659" s="205">
        <v>0</v>
      </c>
      <c r="Q659" s="205">
        <f t="shared" ca="1" si="237"/>
        <v>0</v>
      </c>
      <c r="R659" s="205">
        <f ca="1">+IF(ISERROR(OFFSET(Tabella!$G$1,MATCH(J659,Tabella!$G:$G,0)-1,MATCH(K659,Tabella!$G$1:$FG$1,0)-1)=TRUE),0,OFFSET(Tabella!$G$1,MATCH(J659,Tabella!$G:$G,0)-1,MATCH(K659,Tabella!$G$1:$AB$1,0)-1))</f>
        <v>0</v>
      </c>
      <c r="S659" s="205">
        <f ca="1">IF(ISERROR(OFFSET(Ottone!$F$1,MATCH(J659,Ottone!$A:$A,0)-1,MATCH(K659,Ottone!$F$1:$FF$1,0)-1)=TRUE),0,OFFSET(Ottone!$F$1,MATCH(J659,Ottone!$A:$A,0)-1,MATCH(K659,Ottone!$F$1:$FF$1,0)-1))*IF(G659="Ottone",1,0)</f>
        <v>0</v>
      </c>
      <c r="T659" s="205">
        <f ca="1">IF(ISERROR(OFFSET(Rame!$F$1,MATCH(J659,Rame!$F:$F,0)-1,MATCH(K659,Rame!$F$1:$FF$1,0)-1)=TRUE),0,OFFSET(Rame!$F$1,MATCH(J659,Rame!$F:$F,0)-1,MATCH(K659,Rame!$F$1:$FF$1,0)-1))*IF(G659="Rame",1,0)</f>
        <v>0</v>
      </c>
      <c r="U659" s="205">
        <f ca="1">IF(ISERROR(OFFSET(Bronzo!$A$1,MATCH(J659,Bronzo!$A:$A,0)-1,MATCH(K659,Bronzo!$A$1:$AA$1,0)-1)=TRUE),0,OFFSET(Bronzo!$A$1,MATCH(J659,Bronzo!$A:$A,0)-1,MATCH(K659,Bronzo!$A$1:$AA$1,0)-1))</f>
        <v>0</v>
      </c>
      <c r="V659" s="205">
        <f t="shared" ca="1" si="238"/>
        <v>0</v>
      </c>
      <c r="W659" s="204"/>
      <c r="X659" s="205">
        <v>0</v>
      </c>
      <c r="Y659" s="206">
        <f t="shared" ca="1" si="239"/>
        <v>0</v>
      </c>
      <c r="Z659" s="277">
        <f t="shared" si="240"/>
        <v>0</v>
      </c>
      <c r="AA659" s="203"/>
      <c r="AB659" s="203">
        <f t="shared" ca="1" si="241"/>
        <v>0</v>
      </c>
      <c r="AC659" s="238"/>
      <c r="AI659" s="367">
        <f t="shared" ca="1" si="236"/>
        <v>46092</v>
      </c>
      <c r="AJ659" s="367" t="b">
        <f t="shared" si="230"/>
        <v>1</v>
      </c>
      <c r="AK659" s="370" t="str">
        <f t="shared" si="231"/>
        <v/>
      </c>
      <c r="AN659">
        <f t="shared" si="232"/>
        <v>0</v>
      </c>
      <c r="AO659">
        <f t="shared" si="233"/>
        <v>1900</v>
      </c>
      <c r="AV659">
        <f t="shared" si="234"/>
        <v>0</v>
      </c>
      <c r="AW659">
        <f t="shared" si="235"/>
        <v>0</v>
      </c>
    </row>
    <row r="660" spans="4:49" ht="15.75" x14ac:dyDescent="0.25">
      <c r="D660" s="199"/>
      <c r="E660" s="200"/>
      <c r="F660" s="287"/>
      <c r="G660" s="201"/>
      <c r="H660" s="219"/>
      <c r="I660" s="202"/>
      <c r="J660" s="200"/>
      <c r="K660" s="200"/>
      <c r="L660" s="203"/>
      <c r="M660" s="204">
        <f ca="1">IF(ISERROR(OFFSET(Tabella!$A$1,MATCH(J660,Tabella!$A:$A,0)-1,MATCH(L660,Tabella!$A$1:$AC$1,0)-1)=TRUE),0,+OFFSET(Tabella!$A$1,MATCH(J660,Tabella!$A:$A,0)-1,MATCH(L660,Tabella!$A$1:$AC$1,0)-1))</f>
        <v>0</v>
      </c>
      <c r="N660" s="205">
        <f ca="1">IF(ISERROR(OFFSET(Ottone!$A$1,MATCH(J660,Ottone!$A:$A,0)-1,MATCH(L660,Ottone!$A$1:$Z$1,0)-1)=TRUE),0,OFFSET(Ottone!$A$1,MATCH(J660,Ottone!$A:$A,0)-1,MATCH(L660,Ottone!$A$1:$Z$1,0)-1))*IF(G660="Ottone",1,0)</f>
        <v>0</v>
      </c>
      <c r="O660" s="205">
        <f ca="1">IF(ISERROR(OFFSET(Rame!$A$1,MATCH(J660,Rame!$A:$A,0)-1,MATCH(L660,Rame!$A$1:$AA$1,0)-1)=TRUE),0,OFFSET(Rame!$A$1,MATCH(J660,Rame!$A:$A,0)-1,MATCH(L660,Rame!$A$1:$AA$1,0)-1))*IF(G660="Rame",1,0)</f>
        <v>0</v>
      </c>
      <c r="P660" s="205">
        <v>0</v>
      </c>
      <c r="Q660" s="205">
        <f t="shared" ca="1" si="237"/>
        <v>0</v>
      </c>
      <c r="R660" s="205">
        <f ca="1">+IF(ISERROR(OFFSET(Tabella!$G$1,MATCH(J660,Tabella!$G:$G,0)-1,MATCH(K660,Tabella!$G$1:$FG$1,0)-1)=TRUE),0,OFFSET(Tabella!$G$1,MATCH(J660,Tabella!$G:$G,0)-1,MATCH(K660,Tabella!$G$1:$AB$1,0)-1))</f>
        <v>0</v>
      </c>
      <c r="S660" s="205">
        <f ca="1">IF(ISERROR(OFFSET(Ottone!$F$1,MATCH(J660,Ottone!$A:$A,0)-1,MATCH(K660,Ottone!$F$1:$FF$1,0)-1)=TRUE),0,OFFSET(Ottone!$F$1,MATCH(J660,Ottone!$A:$A,0)-1,MATCH(K660,Ottone!$F$1:$FF$1,0)-1))*IF(G660="Ottone",1,0)</f>
        <v>0</v>
      </c>
      <c r="T660" s="205">
        <f ca="1">IF(ISERROR(OFFSET(Rame!$F$1,MATCH(J660,Rame!$F:$F,0)-1,MATCH(K660,Rame!$F$1:$FF$1,0)-1)=TRUE),0,OFFSET(Rame!$F$1,MATCH(J660,Rame!$F:$F,0)-1,MATCH(K660,Rame!$F$1:$FF$1,0)-1))*IF(G660="Rame",1,0)</f>
        <v>0</v>
      </c>
      <c r="U660" s="205">
        <f ca="1">IF(ISERROR(OFFSET(Bronzo!$A$1,MATCH(J660,Bronzo!$A:$A,0)-1,MATCH(K660,Bronzo!$A$1:$AA$1,0)-1)=TRUE),0,OFFSET(Bronzo!$A$1,MATCH(J660,Bronzo!$A:$A,0)-1,MATCH(K660,Bronzo!$A$1:$AA$1,0)-1))</f>
        <v>0</v>
      </c>
      <c r="V660" s="205">
        <f t="shared" ca="1" si="238"/>
        <v>0</v>
      </c>
      <c r="W660" s="204"/>
      <c r="X660" s="205">
        <v>0</v>
      </c>
      <c r="Y660" s="206">
        <f t="shared" ca="1" si="239"/>
        <v>0</v>
      </c>
      <c r="Z660" s="277">
        <f t="shared" si="240"/>
        <v>0</v>
      </c>
      <c r="AA660" s="203"/>
      <c r="AB660" s="203">
        <f t="shared" ca="1" si="241"/>
        <v>0</v>
      </c>
      <c r="AC660" s="238"/>
      <c r="AI660" s="367">
        <f t="shared" ca="1" si="236"/>
        <v>46092</v>
      </c>
      <c r="AJ660" s="367" t="b">
        <f t="shared" si="230"/>
        <v>1</v>
      </c>
      <c r="AK660" s="370" t="str">
        <f t="shared" si="231"/>
        <v/>
      </c>
      <c r="AN660">
        <f t="shared" si="232"/>
        <v>0</v>
      </c>
      <c r="AO660">
        <f t="shared" si="233"/>
        <v>1900</v>
      </c>
      <c r="AV660">
        <f t="shared" si="234"/>
        <v>0</v>
      </c>
      <c r="AW660">
        <f t="shared" si="235"/>
        <v>0</v>
      </c>
    </row>
    <row r="661" spans="4:49" ht="15.75" x14ac:dyDescent="0.25">
      <c r="D661" s="199"/>
      <c r="E661" s="200"/>
      <c r="F661" s="287"/>
      <c r="G661" s="201"/>
      <c r="H661" s="219"/>
      <c r="I661" s="202"/>
      <c r="J661" s="200"/>
      <c r="K661" s="200"/>
      <c r="L661" s="203"/>
      <c r="M661" s="204">
        <f ca="1">IF(ISERROR(OFFSET(Tabella!$A$1,MATCH(J661,Tabella!$A:$A,0)-1,MATCH(L661,Tabella!$A$1:$AC$1,0)-1)=TRUE),0,+OFFSET(Tabella!$A$1,MATCH(J661,Tabella!$A:$A,0)-1,MATCH(L661,Tabella!$A$1:$AC$1,0)-1))</f>
        <v>0</v>
      </c>
      <c r="N661" s="205">
        <f ca="1">IF(ISERROR(OFFSET(Ottone!$A$1,MATCH(J661,Ottone!$A:$A,0)-1,MATCH(L661,Ottone!$A$1:$Z$1,0)-1)=TRUE),0,OFFSET(Ottone!$A$1,MATCH(J661,Ottone!$A:$A,0)-1,MATCH(L661,Ottone!$A$1:$Z$1,0)-1))*IF(G661="Ottone",1,0)</f>
        <v>0</v>
      </c>
      <c r="O661" s="205">
        <f ca="1">IF(ISERROR(OFFSET(Rame!$A$1,MATCH(J661,Rame!$A:$A,0)-1,MATCH(L661,Rame!$A$1:$AA$1,0)-1)=TRUE),0,OFFSET(Rame!$A$1,MATCH(J661,Rame!$A:$A,0)-1,MATCH(L661,Rame!$A$1:$AA$1,0)-1))*IF(G661="Rame",1,0)</f>
        <v>0</v>
      </c>
      <c r="P661" s="205">
        <v>0</v>
      </c>
      <c r="Q661" s="205">
        <f t="shared" ca="1" si="237"/>
        <v>0</v>
      </c>
      <c r="R661" s="205">
        <f ca="1">+IF(ISERROR(OFFSET(Tabella!$G$1,MATCH(J661,Tabella!$G:$G,0)-1,MATCH(K661,Tabella!$G$1:$FG$1,0)-1)=TRUE),0,OFFSET(Tabella!$G$1,MATCH(J661,Tabella!$G:$G,0)-1,MATCH(K661,Tabella!$G$1:$AB$1,0)-1))</f>
        <v>0</v>
      </c>
      <c r="S661" s="205">
        <f ca="1">IF(ISERROR(OFFSET(Ottone!$F$1,MATCH(J661,Ottone!$A:$A,0)-1,MATCH(K661,Ottone!$F$1:$FF$1,0)-1)=TRUE),0,OFFSET(Ottone!$F$1,MATCH(J661,Ottone!$A:$A,0)-1,MATCH(K661,Ottone!$F$1:$FF$1,0)-1))*IF(G661="Ottone",1,0)</f>
        <v>0</v>
      </c>
      <c r="T661" s="205">
        <f ca="1">IF(ISERROR(OFFSET(Rame!$F$1,MATCH(J661,Rame!$F:$F,0)-1,MATCH(K661,Rame!$F$1:$FF$1,0)-1)=TRUE),0,OFFSET(Rame!$F$1,MATCH(J661,Rame!$F:$F,0)-1,MATCH(K661,Rame!$F$1:$FF$1,0)-1))*IF(G661="Rame",1,0)</f>
        <v>0</v>
      </c>
      <c r="U661" s="205">
        <f ca="1">IF(ISERROR(OFFSET(Bronzo!$A$1,MATCH(J661,Bronzo!$A:$A,0)-1,MATCH(K661,Bronzo!$A$1:$AA$1,0)-1)=TRUE),0,OFFSET(Bronzo!$A$1,MATCH(J661,Bronzo!$A:$A,0)-1,MATCH(K661,Bronzo!$A$1:$AA$1,0)-1))</f>
        <v>0</v>
      </c>
      <c r="V661" s="205">
        <f t="shared" ca="1" si="238"/>
        <v>0</v>
      </c>
      <c r="W661" s="204"/>
      <c r="X661" s="205">
        <v>0</v>
      </c>
      <c r="Y661" s="206">
        <f t="shared" ca="1" si="239"/>
        <v>0</v>
      </c>
      <c r="Z661" s="277">
        <f t="shared" si="240"/>
        <v>0</v>
      </c>
      <c r="AA661" s="203"/>
      <c r="AB661" s="203">
        <f t="shared" ca="1" si="241"/>
        <v>0</v>
      </c>
      <c r="AC661" s="238"/>
      <c r="AI661" s="367">
        <f t="shared" ca="1" si="236"/>
        <v>46092</v>
      </c>
      <c r="AJ661" s="367" t="b">
        <f t="shared" si="230"/>
        <v>1</v>
      </c>
      <c r="AK661" s="370" t="str">
        <f t="shared" si="231"/>
        <v/>
      </c>
      <c r="AN661">
        <f t="shared" si="232"/>
        <v>0</v>
      </c>
      <c r="AO661">
        <f t="shared" si="233"/>
        <v>1900</v>
      </c>
      <c r="AV661">
        <f t="shared" si="234"/>
        <v>0</v>
      </c>
      <c r="AW661">
        <f t="shared" si="235"/>
        <v>0</v>
      </c>
    </row>
    <row r="662" spans="4:49" ht="15.75" x14ac:dyDescent="0.25">
      <c r="D662" s="199"/>
      <c r="E662" s="200"/>
      <c r="F662" s="287"/>
      <c r="G662" s="201"/>
      <c r="H662" s="219"/>
      <c r="I662" s="202"/>
      <c r="J662" s="200"/>
      <c r="K662" s="200"/>
      <c r="L662" s="203"/>
      <c r="M662" s="204">
        <f ca="1">IF(ISERROR(OFFSET(Tabella!$A$1,MATCH(J662,Tabella!$A:$A,0)-1,MATCH(L662,Tabella!$A$1:$AC$1,0)-1)=TRUE),0,+OFFSET(Tabella!$A$1,MATCH(J662,Tabella!$A:$A,0)-1,MATCH(L662,Tabella!$A$1:$AC$1,0)-1))</f>
        <v>0</v>
      </c>
      <c r="N662" s="205">
        <f ca="1">IF(ISERROR(OFFSET(Ottone!$A$1,MATCH(J662,Ottone!$A:$A,0)-1,MATCH(L662,Ottone!$A$1:$Z$1,0)-1)=TRUE),0,OFFSET(Ottone!$A$1,MATCH(J662,Ottone!$A:$A,0)-1,MATCH(L662,Ottone!$A$1:$Z$1,0)-1))*IF(G662="Ottone",1,0)</f>
        <v>0</v>
      </c>
      <c r="O662" s="205">
        <f ca="1">IF(ISERROR(OFFSET(Rame!$A$1,MATCH(J662,Rame!$A:$A,0)-1,MATCH(L662,Rame!$A$1:$AA$1,0)-1)=TRUE),0,OFFSET(Rame!$A$1,MATCH(J662,Rame!$A:$A,0)-1,MATCH(L662,Rame!$A$1:$AA$1,0)-1))*IF(G662="Rame",1,0)</f>
        <v>0</v>
      </c>
      <c r="P662" s="205">
        <v>0</v>
      </c>
      <c r="Q662" s="205">
        <f t="shared" ca="1" si="237"/>
        <v>0</v>
      </c>
      <c r="R662" s="205">
        <f ca="1">+IF(ISERROR(OFFSET(Tabella!$G$1,MATCH(J662,Tabella!$G:$G,0)-1,MATCH(K662,Tabella!$G$1:$FG$1,0)-1)=TRUE),0,OFFSET(Tabella!$G$1,MATCH(J662,Tabella!$G:$G,0)-1,MATCH(K662,Tabella!$G$1:$AB$1,0)-1))</f>
        <v>0</v>
      </c>
      <c r="S662" s="205">
        <f ca="1">IF(ISERROR(OFFSET(Ottone!$F$1,MATCH(J662,Ottone!$A:$A,0)-1,MATCH(K662,Ottone!$F$1:$FF$1,0)-1)=TRUE),0,OFFSET(Ottone!$F$1,MATCH(J662,Ottone!$A:$A,0)-1,MATCH(K662,Ottone!$F$1:$FF$1,0)-1))*IF(G662="Ottone",1,0)</f>
        <v>0</v>
      </c>
      <c r="T662" s="205">
        <f ca="1">IF(ISERROR(OFFSET(Rame!$F$1,MATCH(J662,Rame!$F:$F,0)-1,MATCH(K662,Rame!$F$1:$FF$1,0)-1)=TRUE),0,OFFSET(Rame!$F$1,MATCH(J662,Rame!$F:$F,0)-1,MATCH(K662,Rame!$F$1:$FF$1,0)-1))*IF(G662="Rame",1,0)</f>
        <v>0</v>
      </c>
      <c r="U662" s="205">
        <f ca="1">IF(ISERROR(OFFSET(Bronzo!$A$1,MATCH(J662,Bronzo!$A:$A,0)-1,MATCH(K662,Bronzo!$A$1:$AA$1,0)-1)=TRUE),0,OFFSET(Bronzo!$A$1,MATCH(J662,Bronzo!$A:$A,0)-1,MATCH(K662,Bronzo!$A$1:$AA$1,0)-1))</f>
        <v>0</v>
      </c>
      <c r="V662" s="205">
        <f t="shared" ca="1" si="238"/>
        <v>0</v>
      </c>
      <c r="W662" s="204"/>
      <c r="X662" s="205">
        <v>0</v>
      </c>
      <c r="Y662" s="206">
        <f t="shared" ca="1" si="239"/>
        <v>0</v>
      </c>
      <c r="Z662" s="277">
        <f t="shared" si="240"/>
        <v>0</v>
      </c>
      <c r="AA662" s="203"/>
      <c r="AB662" s="203">
        <f t="shared" ca="1" si="241"/>
        <v>0</v>
      </c>
      <c r="AC662" s="238"/>
      <c r="AI662" s="367">
        <f t="shared" ca="1" si="236"/>
        <v>46092</v>
      </c>
      <c r="AJ662" s="367" t="b">
        <f t="shared" si="230"/>
        <v>1</v>
      </c>
      <c r="AK662" s="370" t="str">
        <f t="shared" si="231"/>
        <v/>
      </c>
      <c r="AN662">
        <f t="shared" si="232"/>
        <v>0</v>
      </c>
      <c r="AO662">
        <f t="shared" si="233"/>
        <v>1900</v>
      </c>
      <c r="AV662">
        <f t="shared" si="234"/>
        <v>0</v>
      </c>
      <c r="AW662">
        <f t="shared" si="235"/>
        <v>0</v>
      </c>
    </row>
    <row r="663" spans="4:49" ht="15.75" x14ac:dyDescent="0.25">
      <c r="D663" s="199"/>
      <c r="E663" s="200"/>
      <c r="F663" s="287"/>
      <c r="G663" s="201"/>
      <c r="H663" s="219"/>
      <c r="I663" s="202"/>
      <c r="J663" s="200"/>
      <c r="K663" s="200"/>
      <c r="L663" s="203"/>
      <c r="M663" s="204">
        <f ca="1">IF(ISERROR(OFFSET(Tabella!$A$1,MATCH(J663,Tabella!$A:$A,0)-1,MATCH(L663,Tabella!$A$1:$AC$1,0)-1)=TRUE),0,+OFFSET(Tabella!$A$1,MATCH(J663,Tabella!$A:$A,0)-1,MATCH(L663,Tabella!$A$1:$AC$1,0)-1))</f>
        <v>0</v>
      </c>
      <c r="N663" s="205">
        <f ca="1">IF(ISERROR(OFFSET(Ottone!$A$1,MATCH(J663,Ottone!$A:$A,0)-1,MATCH(L663,Ottone!$A$1:$Z$1,0)-1)=TRUE),0,OFFSET(Ottone!$A$1,MATCH(J663,Ottone!$A:$A,0)-1,MATCH(L663,Ottone!$A$1:$Z$1,0)-1))*IF(G663="Ottone",1,0)</f>
        <v>0</v>
      </c>
      <c r="O663" s="205">
        <f ca="1">IF(ISERROR(OFFSET(Rame!$A$1,MATCH(J663,Rame!$A:$A,0)-1,MATCH(L663,Rame!$A$1:$AA$1,0)-1)=TRUE),0,OFFSET(Rame!$A$1,MATCH(J663,Rame!$A:$A,0)-1,MATCH(L663,Rame!$A$1:$AA$1,0)-1))*IF(G663="Rame",1,0)</f>
        <v>0</v>
      </c>
      <c r="P663" s="205">
        <v>0</v>
      </c>
      <c r="Q663" s="205">
        <f t="shared" ca="1" si="237"/>
        <v>0</v>
      </c>
      <c r="R663" s="205">
        <f ca="1">+IF(ISERROR(OFFSET(Tabella!$G$1,MATCH(J663,Tabella!$G:$G,0)-1,MATCH(K663,Tabella!$G$1:$FG$1,0)-1)=TRUE),0,OFFSET(Tabella!$G$1,MATCH(J663,Tabella!$G:$G,0)-1,MATCH(K663,Tabella!$G$1:$AB$1,0)-1))</f>
        <v>0</v>
      </c>
      <c r="S663" s="205">
        <f ca="1">IF(ISERROR(OFFSET(Ottone!$F$1,MATCH(J663,Ottone!$A:$A,0)-1,MATCH(K663,Ottone!$F$1:$FF$1,0)-1)=TRUE),0,OFFSET(Ottone!$F$1,MATCH(J663,Ottone!$A:$A,0)-1,MATCH(K663,Ottone!$F$1:$FF$1,0)-1))*IF(G663="Ottone",1,0)</f>
        <v>0</v>
      </c>
      <c r="T663" s="205">
        <f ca="1">IF(ISERROR(OFFSET(Rame!$F$1,MATCH(J663,Rame!$F:$F,0)-1,MATCH(K663,Rame!$F$1:$FF$1,0)-1)=TRUE),0,OFFSET(Rame!$F$1,MATCH(J663,Rame!$F:$F,0)-1,MATCH(K663,Rame!$F$1:$FF$1,0)-1))*IF(G663="Rame",1,0)</f>
        <v>0</v>
      </c>
      <c r="U663" s="205">
        <f ca="1">IF(ISERROR(OFFSET(Bronzo!$A$1,MATCH(J663,Bronzo!$A:$A,0)-1,MATCH(K663,Bronzo!$A$1:$AA$1,0)-1)=TRUE),0,OFFSET(Bronzo!$A$1,MATCH(J663,Bronzo!$A:$A,0)-1,MATCH(K663,Bronzo!$A$1:$AA$1,0)-1))</f>
        <v>0</v>
      </c>
      <c r="V663" s="205">
        <f t="shared" ca="1" si="238"/>
        <v>0</v>
      </c>
      <c r="W663" s="204"/>
      <c r="X663" s="205">
        <v>0</v>
      </c>
      <c r="Y663" s="206">
        <f t="shared" ca="1" si="239"/>
        <v>0</v>
      </c>
      <c r="Z663" s="277">
        <f t="shared" si="240"/>
        <v>0</v>
      </c>
      <c r="AA663" s="203"/>
      <c r="AB663" s="203">
        <f t="shared" ca="1" si="241"/>
        <v>0</v>
      </c>
      <c r="AC663" s="238"/>
      <c r="AI663" s="367">
        <f t="shared" ca="1" si="236"/>
        <v>46092</v>
      </c>
      <c r="AJ663" s="367" t="b">
        <f t="shared" si="230"/>
        <v>1</v>
      </c>
      <c r="AK663" s="370" t="str">
        <f t="shared" si="231"/>
        <v/>
      </c>
      <c r="AN663">
        <f t="shared" si="232"/>
        <v>0</v>
      </c>
      <c r="AO663">
        <f t="shared" si="233"/>
        <v>1900</v>
      </c>
      <c r="AV663">
        <f t="shared" si="234"/>
        <v>0</v>
      </c>
      <c r="AW663">
        <f t="shared" si="235"/>
        <v>0</v>
      </c>
    </row>
    <row r="664" spans="4:49" ht="15.75" x14ac:dyDescent="0.25">
      <c r="D664" s="199"/>
      <c r="E664" s="200"/>
      <c r="F664" s="287"/>
      <c r="G664" s="201"/>
      <c r="H664" s="219"/>
      <c r="I664" s="202"/>
      <c r="J664" s="200"/>
      <c r="K664" s="200"/>
      <c r="L664" s="203"/>
      <c r="M664" s="204">
        <f ca="1">IF(ISERROR(OFFSET(Tabella!$A$1,MATCH(J664,Tabella!$A:$A,0)-1,MATCH(L664,Tabella!$A$1:$AC$1,0)-1)=TRUE),0,+OFFSET(Tabella!$A$1,MATCH(J664,Tabella!$A:$A,0)-1,MATCH(L664,Tabella!$A$1:$AC$1,0)-1))</f>
        <v>0</v>
      </c>
      <c r="N664" s="205">
        <f ca="1">IF(ISERROR(OFFSET(Ottone!$A$1,MATCH(J664,Ottone!$A:$A,0)-1,MATCH(L664,Ottone!$A$1:$Z$1,0)-1)=TRUE),0,OFFSET(Ottone!$A$1,MATCH(J664,Ottone!$A:$A,0)-1,MATCH(L664,Ottone!$A$1:$Z$1,0)-1))*IF(G664="Ottone",1,0)</f>
        <v>0</v>
      </c>
      <c r="O664" s="205">
        <f ca="1">IF(ISERROR(OFFSET(Rame!$A$1,MATCH(J664,Rame!$A:$A,0)-1,MATCH(L664,Rame!$A$1:$AA$1,0)-1)=TRUE),0,OFFSET(Rame!$A$1,MATCH(J664,Rame!$A:$A,0)-1,MATCH(L664,Rame!$A$1:$AA$1,0)-1))*IF(G664="Rame",1,0)</f>
        <v>0</v>
      </c>
      <c r="P664" s="205">
        <v>0</v>
      </c>
      <c r="Q664" s="205">
        <f t="shared" ca="1" si="237"/>
        <v>0</v>
      </c>
      <c r="R664" s="205">
        <f ca="1">+IF(ISERROR(OFFSET(Tabella!$G$1,MATCH(J664,Tabella!$G:$G,0)-1,MATCH(K664,Tabella!$G$1:$FG$1,0)-1)=TRUE),0,OFFSET(Tabella!$G$1,MATCH(J664,Tabella!$G:$G,0)-1,MATCH(K664,Tabella!$G$1:$AB$1,0)-1))</f>
        <v>0</v>
      </c>
      <c r="S664" s="205">
        <f ca="1">IF(ISERROR(OFFSET(Ottone!$F$1,MATCH(J664,Ottone!$A:$A,0)-1,MATCH(K664,Ottone!$F$1:$FF$1,0)-1)=TRUE),0,OFFSET(Ottone!$F$1,MATCH(J664,Ottone!$A:$A,0)-1,MATCH(K664,Ottone!$F$1:$FF$1,0)-1))*IF(G664="Ottone",1,0)</f>
        <v>0</v>
      </c>
      <c r="T664" s="205">
        <f ca="1">IF(ISERROR(OFFSET(Rame!$F$1,MATCH(J664,Rame!$F:$F,0)-1,MATCH(K664,Rame!$F$1:$FF$1,0)-1)=TRUE),0,OFFSET(Rame!$F$1,MATCH(J664,Rame!$F:$F,0)-1,MATCH(K664,Rame!$F$1:$FF$1,0)-1))*IF(G664="Rame",1,0)</f>
        <v>0</v>
      </c>
      <c r="U664" s="205">
        <f ca="1">IF(ISERROR(OFFSET(Bronzo!$A$1,MATCH(J664,Bronzo!$A:$A,0)-1,MATCH(K664,Bronzo!$A$1:$AA$1,0)-1)=TRUE),0,OFFSET(Bronzo!$A$1,MATCH(J664,Bronzo!$A:$A,0)-1,MATCH(K664,Bronzo!$A$1:$AA$1,0)-1))</f>
        <v>0</v>
      </c>
      <c r="V664" s="205">
        <f t="shared" ca="1" si="238"/>
        <v>0</v>
      </c>
      <c r="W664" s="204"/>
      <c r="X664" s="205">
        <v>0</v>
      </c>
      <c r="Y664" s="206">
        <f t="shared" ca="1" si="239"/>
        <v>0</v>
      </c>
      <c r="Z664" s="277">
        <f t="shared" si="240"/>
        <v>0</v>
      </c>
      <c r="AA664" s="203"/>
      <c r="AB664" s="203">
        <f t="shared" ca="1" si="241"/>
        <v>0</v>
      </c>
      <c r="AC664" s="238"/>
      <c r="AI664" s="367">
        <f t="shared" ca="1" si="236"/>
        <v>46092</v>
      </c>
      <c r="AJ664" s="367" t="b">
        <f t="shared" si="230"/>
        <v>1</v>
      </c>
      <c r="AK664" s="370" t="str">
        <f t="shared" si="231"/>
        <v/>
      </c>
      <c r="AN664">
        <f t="shared" si="232"/>
        <v>0</v>
      </c>
      <c r="AO664">
        <f t="shared" si="233"/>
        <v>1900</v>
      </c>
      <c r="AV664">
        <f t="shared" si="234"/>
        <v>0</v>
      </c>
      <c r="AW664">
        <f t="shared" si="235"/>
        <v>0</v>
      </c>
    </row>
    <row r="665" spans="4:49" ht="15.75" x14ac:dyDescent="0.25">
      <c r="D665" s="199"/>
      <c r="E665" s="200"/>
      <c r="F665" s="287"/>
      <c r="G665" s="201"/>
      <c r="H665" s="219"/>
      <c r="I665" s="202"/>
      <c r="J665" s="200"/>
      <c r="K665" s="200"/>
      <c r="L665" s="203"/>
      <c r="M665" s="204">
        <f ca="1">IF(ISERROR(OFFSET(Tabella!$A$1,MATCH(J665,Tabella!$A:$A,0)-1,MATCH(L665,Tabella!$A$1:$AC$1,0)-1)=TRUE),0,+OFFSET(Tabella!$A$1,MATCH(J665,Tabella!$A:$A,0)-1,MATCH(L665,Tabella!$A$1:$AC$1,0)-1))</f>
        <v>0</v>
      </c>
      <c r="N665" s="205">
        <f ca="1">IF(ISERROR(OFFSET(Ottone!$A$1,MATCH(J665,Ottone!$A:$A,0)-1,MATCH(L665,Ottone!$A$1:$Z$1,0)-1)=TRUE),0,OFFSET(Ottone!$A$1,MATCH(J665,Ottone!$A:$A,0)-1,MATCH(L665,Ottone!$A$1:$Z$1,0)-1))*IF(G665="Ottone",1,0)</f>
        <v>0</v>
      </c>
      <c r="O665" s="205">
        <f ca="1">IF(ISERROR(OFFSET(Rame!$A$1,MATCH(J665,Rame!$A:$A,0)-1,MATCH(L665,Rame!$A$1:$AA$1,0)-1)=TRUE),0,OFFSET(Rame!$A$1,MATCH(J665,Rame!$A:$A,0)-1,MATCH(L665,Rame!$A$1:$AA$1,0)-1))*IF(G665="Rame",1,0)</f>
        <v>0</v>
      </c>
      <c r="P665" s="205">
        <v>0</v>
      </c>
      <c r="Q665" s="205">
        <f t="shared" ca="1" si="237"/>
        <v>0</v>
      </c>
      <c r="R665" s="205">
        <f ca="1">+IF(ISERROR(OFFSET(Tabella!$G$1,MATCH(J665,Tabella!$G:$G,0)-1,MATCH(K665,Tabella!$G$1:$FG$1,0)-1)=TRUE),0,OFFSET(Tabella!$G$1,MATCH(J665,Tabella!$G:$G,0)-1,MATCH(K665,Tabella!$G$1:$AB$1,0)-1))</f>
        <v>0</v>
      </c>
      <c r="S665" s="205">
        <f ca="1">IF(ISERROR(OFFSET(Ottone!$F$1,MATCH(J665,Ottone!$A:$A,0)-1,MATCH(K665,Ottone!$F$1:$FF$1,0)-1)=TRUE),0,OFFSET(Ottone!$F$1,MATCH(J665,Ottone!$A:$A,0)-1,MATCH(K665,Ottone!$F$1:$FF$1,0)-1))*IF(G665="Ottone",1,0)</f>
        <v>0</v>
      </c>
      <c r="T665" s="205">
        <f ca="1">IF(ISERROR(OFFSET(Rame!$F$1,MATCH(J665,Rame!$F:$F,0)-1,MATCH(K665,Rame!$F$1:$FF$1,0)-1)=TRUE),0,OFFSET(Rame!$F$1,MATCH(J665,Rame!$F:$F,0)-1,MATCH(K665,Rame!$F$1:$FF$1,0)-1))*IF(G665="Rame",1,0)</f>
        <v>0</v>
      </c>
      <c r="U665" s="205">
        <f ca="1">IF(ISERROR(OFFSET(Bronzo!$A$1,MATCH(J665,Bronzo!$A:$A,0)-1,MATCH(K665,Bronzo!$A$1:$AA$1,0)-1)=TRUE),0,OFFSET(Bronzo!$A$1,MATCH(J665,Bronzo!$A:$A,0)-1,MATCH(K665,Bronzo!$A$1:$AA$1,0)-1))</f>
        <v>0</v>
      </c>
      <c r="V665" s="205">
        <f t="shared" ca="1" si="238"/>
        <v>0</v>
      </c>
      <c r="W665" s="204"/>
      <c r="X665" s="205">
        <v>0</v>
      </c>
      <c r="Y665" s="206">
        <f t="shared" ca="1" si="239"/>
        <v>0</v>
      </c>
      <c r="Z665" s="277">
        <f t="shared" si="240"/>
        <v>0</v>
      </c>
      <c r="AA665" s="203"/>
      <c r="AB665" s="203">
        <f t="shared" ca="1" si="241"/>
        <v>0</v>
      </c>
      <c r="AC665" s="238"/>
      <c r="AI665" s="367">
        <f t="shared" ca="1" si="236"/>
        <v>46092</v>
      </c>
      <c r="AJ665" s="367" t="b">
        <f t="shared" si="230"/>
        <v>1</v>
      </c>
      <c r="AK665" s="370" t="str">
        <f t="shared" si="231"/>
        <v/>
      </c>
      <c r="AN665">
        <f t="shared" si="232"/>
        <v>0</v>
      </c>
      <c r="AO665">
        <f t="shared" si="233"/>
        <v>1900</v>
      </c>
      <c r="AV665">
        <f t="shared" si="234"/>
        <v>0</v>
      </c>
      <c r="AW665">
        <f t="shared" si="235"/>
        <v>0</v>
      </c>
    </row>
    <row r="666" spans="4:49" ht="15.75" x14ac:dyDescent="0.25">
      <c r="D666" s="199"/>
      <c r="E666" s="200"/>
      <c r="F666" s="287"/>
      <c r="G666" s="201"/>
      <c r="H666" s="219"/>
      <c r="I666" s="202"/>
      <c r="J666" s="200"/>
      <c r="K666" s="200"/>
      <c r="L666" s="203"/>
      <c r="M666" s="204">
        <f ca="1">IF(ISERROR(OFFSET(Tabella!$A$1,MATCH(J666,Tabella!$A:$A,0)-1,MATCH(L666,Tabella!$A$1:$AC$1,0)-1)=TRUE),0,+OFFSET(Tabella!$A$1,MATCH(J666,Tabella!$A:$A,0)-1,MATCH(L666,Tabella!$A$1:$AC$1,0)-1))</f>
        <v>0</v>
      </c>
      <c r="N666" s="205">
        <f ca="1">IF(ISERROR(OFFSET(Ottone!$A$1,MATCH(J666,Ottone!$A:$A,0)-1,MATCH(L666,Ottone!$A$1:$Z$1,0)-1)=TRUE),0,OFFSET(Ottone!$A$1,MATCH(J666,Ottone!$A:$A,0)-1,MATCH(L666,Ottone!$A$1:$Z$1,0)-1))*IF(G666="Ottone",1,0)</f>
        <v>0</v>
      </c>
      <c r="O666" s="205">
        <f ca="1">IF(ISERROR(OFFSET(Rame!$A$1,MATCH(J666,Rame!$A:$A,0)-1,MATCH(L666,Rame!$A$1:$AA$1,0)-1)=TRUE),0,OFFSET(Rame!$A$1,MATCH(J666,Rame!$A:$A,0)-1,MATCH(L666,Rame!$A$1:$AA$1,0)-1))*IF(G666="Rame",1,0)</f>
        <v>0</v>
      </c>
      <c r="P666" s="205">
        <v>0</v>
      </c>
      <c r="Q666" s="205">
        <f t="shared" ca="1" si="237"/>
        <v>0</v>
      </c>
      <c r="R666" s="205">
        <f ca="1">+IF(ISERROR(OFFSET(Tabella!$G$1,MATCH(J666,Tabella!$G:$G,0)-1,MATCH(K666,Tabella!$G$1:$FG$1,0)-1)=TRUE),0,OFFSET(Tabella!$G$1,MATCH(J666,Tabella!$G:$G,0)-1,MATCH(K666,Tabella!$G$1:$AB$1,0)-1))</f>
        <v>0</v>
      </c>
      <c r="S666" s="205">
        <f ca="1">IF(ISERROR(OFFSET(Ottone!$F$1,MATCH(J666,Ottone!$A:$A,0)-1,MATCH(K666,Ottone!$F$1:$FF$1,0)-1)=TRUE),0,OFFSET(Ottone!$F$1,MATCH(J666,Ottone!$A:$A,0)-1,MATCH(K666,Ottone!$F$1:$FF$1,0)-1))*IF(G666="Ottone",1,0)</f>
        <v>0</v>
      </c>
      <c r="T666" s="205">
        <f ca="1">IF(ISERROR(OFFSET(Rame!$F$1,MATCH(J666,Rame!$F:$F,0)-1,MATCH(K666,Rame!$F$1:$FF$1,0)-1)=TRUE),0,OFFSET(Rame!$F$1,MATCH(J666,Rame!$F:$F,0)-1,MATCH(K666,Rame!$F$1:$FF$1,0)-1))*IF(G666="Rame",1,0)</f>
        <v>0</v>
      </c>
      <c r="U666" s="205">
        <f ca="1">IF(ISERROR(OFFSET(Bronzo!$A$1,MATCH(J666,Bronzo!$A:$A,0)-1,MATCH(K666,Bronzo!$A$1:$AA$1,0)-1)=TRUE),0,OFFSET(Bronzo!$A$1,MATCH(J666,Bronzo!$A:$A,0)-1,MATCH(K666,Bronzo!$A$1:$AA$1,0)-1))</f>
        <v>0</v>
      </c>
      <c r="V666" s="205">
        <f t="shared" ca="1" si="238"/>
        <v>0</v>
      </c>
      <c r="W666" s="204"/>
      <c r="X666" s="205">
        <v>0</v>
      </c>
      <c r="Y666" s="206">
        <f t="shared" ca="1" si="239"/>
        <v>0</v>
      </c>
      <c r="Z666" s="277">
        <f t="shared" si="240"/>
        <v>0</v>
      </c>
      <c r="AA666" s="203"/>
      <c r="AB666" s="203">
        <f t="shared" ca="1" si="241"/>
        <v>0</v>
      </c>
      <c r="AC666" s="238"/>
      <c r="AI666" s="367">
        <f t="shared" ca="1" si="236"/>
        <v>46092</v>
      </c>
      <c r="AJ666" s="367" t="b">
        <f t="shared" si="230"/>
        <v>1</v>
      </c>
      <c r="AK666" s="370" t="str">
        <f t="shared" si="231"/>
        <v/>
      </c>
      <c r="AN666">
        <f t="shared" si="232"/>
        <v>0</v>
      </c>
      <c r="AO666">
        <f t="shared" si="233"/>
        <v>1900</v>
      </c>
      <c r="AV666">
        <f t="shared" si="234"/>
        <v>0</v>
      </c>
      <c r="AW666">
        <f t="shared" si="235"/>
        <v>0</v>
      </c>
    </row>
    <row r="667" spans="4:49" ht="15.75" x14ac:dyDescent="0.25">
      <c r="D667" s="199"/>
      <c r="E667" s="200"/>
      <c r="F667" s="287"/>
      <c r="G667" s="201"/>
      <c r="H667" s="219"/>
      <c r="I667" s="202"/>
      <c r="J667" s="200"/>
      <c r="K667" s="200"/>
      <c r="L667" s="203"/>
      <c r="M667" s="204">
        <f ca="1">IF(ISERROR(OFFSET(Tabella!$A$1,MATCH(J667,Tabella!$A:$A,0)-1,MATCH(L667,Tabella!$A$1:$AC$1,0)-1)=TRUE),0,+OFFSET(Tabella!$A$1,MATCH(J667,Tabella!$A:$A,0)-1,MATCH(L667,Tabella!$A$1:$AC$1,0)-1))</f>
        <v>0</v>
      </c>
      <c r="N667" s="205">
        <f ca="1">IF(ISERROR(OFFSET(Ottone!$A$1,MATCH(J667,Ottone!$A:$A,0)-1,MATCH(L667,Ottone!$A$1:$Z$1,0)-1)=TRUE),0,OFFSET(Ottone!$A$1,MATCH(J667,Ottone!$A:$A,0)-1,MATCH(L667,Ottone!$A$1:$Z$1,0)-1))*IF(G667="Ottone",1,0)</f>
        <v>0</v>
      </c>
      <c r="O667" s="205">
        <f ca="1">IF(ISERROR(OFFSET(Rame!$A$1,MATCH(J667,Rame!$A:$A,0)-1,MATCH(L667,Rame!$A$1:$AA$1,0)-1)=TRUE),0,OFFSET(Rame!$A$1,MATCH(J667,Rame!$A:$A,0)-1,MATCH(L667,Rame!$A$1:$AA$1,0)-1))*IF(G667="Rame",1,0)</f>
        <v>0</v>
      </c>
      <c r="P667" s="205">
        <v>0</v>
      </c>
      <c r="Q667" s="205">
        <f t="shared" ca="1" si="237"/>
        <v>0</v>
      </c>
      <c r="R667" s="205">
        <f ca="1">+IF(ISERROR(OFFSET(Tabella!$G$1,MATCH(J667,Tabella!$G:$G,0)-1,MATCH(K667,Tabella!$G$1:$FG$1,0)-1)=TRUE),0,OFFSET(Tabella!$G$1,MATCH(J667,Tabella!$G:$G,0)-1,MATCH(K667,Tabella!$G$1:$AB$1,0)-1))</f>
        <v>0</v>
      </c>
      <c r="S667" s="205">
        <f ca="1">IF(ISERROR(OFFSET(Ottone!$F$1,MATCH(J667,Ottone!$A:$A,0)-1,MATCH(K667,Ottone!$F$1:$FF$1,0)-1)=TRUE),0,OFFSET(Ottone!$F$1,MATCH(J667,Ottone!$A:$A,0)-1,MATCH(K667,Ottone!$F$1:$FF$1,0)-1))*IF(G667="Ottone",1,0)</f>
        <v>0</v>
      </c>
      <c r="T667" s="205">
        <f ca="1">IF(ISERROR(OFFSET(Rame!$F$1,MATCH(J667,Rame!$F:$F,0)-1,MATCH(K667,Rame!$F$1:$FF$1,0)-1)=TRUE),0,OFFSET(Rame!$F$1,MATCH(J667,Rame!$F:$F,0)-1,MATCH(K667,Rame!$F$1:$FF$1,0)-1))*IF(G667="Rame",1,0)</f>
        <v>0</v>
      </c>
      <c r="U667" s="205">
        <f ca="1">IF(ISERROR(OFFSET(Bronzo!$A$1,MATCH(J667,Bronzo!$A:$A,0)-1,MATCH(K667,Bronzo!$A$1:$AA$1,0)-1)=TRUE),0,OFFSET(Bronzo!$A$1,MATCH(J667,Bronzo!$A:$A,0)-1,MATCH(K667,Bronzo!$A$1:$AA$1,0)-1))</f>
        <v>0</v>
      </c>
      <c r="V667" s="205">
        <f t="shared" ca="1" si="238"/>
        <v>0</v>
      </c>
      <c r="W667" s="204"/>
      <c r="X667" s="205">
        <v>0</v>
      </c>
      <c r="Y667" s="206">
        <f t="shared" ca="1" si="239"/>
        <v>0</v>
      </c>
      <c r="Z667" s="277">
        <f t="shared" si="240"/>
        <v>0</v>
      </c>
      <c r="AA667" s="203"/>
      <c r="AB667" s="203">
        <f t="shared" ca="1" si="241"/>
        <v>0</v>
      </c>
      <c r="AC667" s="238"/>
      <c r="AI667" s="367">
        <f t="shared" ca="1" si="236"/>
        <v>46092</v>
      </c>
      <c r="AJ667" s="367" t="b">
        <f t="shared" si="230"/>
        <v>1</v>
      </c>
      <c r="AK667" s="370" t="str">
        <f t="shared" si="231"/>
        <v/>
      </c>
      <c r="AN667">
        <f t="shared" si="232"/>
        <v>0</v>
      </c>
      <c r="AO667">
        <f t="shared" si="233"/>
        <v>1900</v>
      </c>
      <c r="AV667">
        <f t="shared" si="234"/>
        <v>0</v>
      </c>
      <c r="AW667">
        <f t="shared" si="235"/>
        <v>0</v>
      </c>
    </row>
    <row r="668" spans="4:49" ht="15.75" x14ac:dyDescent="0.25">
      <c r="D668" s="199"/>
      <c r="E668" s="200"/>
      <c r="F668" s="287"/>
      <c r="G668" s="201"/>
      <c r="H668" s="219"/>
      <c r="I668" s="202"/>
      <c r="J668" s="200"/>
      <c r="K668" s="200"/>
      <c r="L668" s="203"/>
      <c r="M668" s="204">
        <f ca="1">IF(ISERROR(OFFSET(Tabella!$A$1,MATCH(J668,Tabella!$A:$A,0)-1,MATCH(L668,Tabella!$A$1:$AC$1,0)-1)=TRUE),0,+OFFSET(Tabella!$A$1,MATCH(J668,Tabella!$A:$A,0)-1,MATCH(L668,Tabella!$A$1:$AC$1,0)-1))</f>
        <v>0</v>
      </c>
      <c r="N668" s="205">
        <f ca="1">IF(ISERROR(OFFSET(Ottone!$A$1,MATCH(J668,Ottone!$A:$A,0)-1,MATCH(L668,Ottone!$A$1:$Z$1,0)-1)=TRUE),0,OFFSET(Ottone!$A$1,MATCH(J668,Ottone!$A:$A,0)-1,MATCH(L668,Ottone!$A$1:$Z$1,0)-1))*IF(G668="Ottone",1,0)</f>
        <v>0</v>
      </c>
      <c r="O668" s="205">
        <f ca="1">IF(ISERROR(OFFSET(Rame!$A$1,MATCH(J668,Rame!$A:$A,0)-1,MATCH(L668,Rame!$A$1:$AA$1,0)-1)=TRUE),0,OFFSET(Rame!$A$1,MATCH(J668,Rame!$A:$A,0)-1,MATCH(L668,Rame!$A$1:$AA$1,0)-1))*IF(G668="Rame",1,0)</f>
        <v>0</v>
      </c>
      <c r="P668" s="205">
        <v>0</v>
      </c>
      <c r="Q668" s="205">
        <f t="shared" ca="1" si="237"/>
        <v>0</v>
      </c>
      <c r="R668" s="205">
        <f ca="1">+IF(ISERROR(OFFSET(Tabella!$G$1,MATCH(J668,Tabella!$G:$G,0)-1,MATCH(K668,Tabella!$G$1:$FG$1,0)-1)=TRUE),0,OFFSET(Tabella!$G$1,MATCH(J668,Tabella!$G:$G,0)-1,MATCH(K668,Tabella!$G$1:$AB$1,0)-1))</f>
        <v>0</v>
      </c>
      <c r="S668" s="205">
        <f ca="1">IF(ISERROR(OFFSET(Ottone!$F$1,MATCH(J668,Ottone!$A:$A,0)-1,MATCH(K668,Ottone!$F$1:$FF$1,0)-1)=TRUE),0,OFFSET(Ottone!$F$1,MATCH(J668,Ottone!$A:$A,0)-1,MATCH(K668,Ottone!$F$1:$FF$1,0)-1))*IF(G668="Ottone",1,0)</f>
        <v>0</v>
      </c>
      <c r="T668" s="205">
        <f ca="1">IF(ISERROR(OFFSET(Rame!$F$1,MATCH(J668,Rame!$F:$F,0)-1,MATCH(K668,Rame!$F$1:$FF$1,0)-1)=TRUE),0,OFFSET(Rame!$F$1,MATCH(J668,Rame!$F:$F,0)-1,MATCH(K668,Rame!$F$1:$FF$1,0)-1))*IF(G668="Rame",1,0)</f>
        <v>0</v>
      </c>
      <c r="U668" s="205">
        <f ca="1">IF(ISERROR(OFFSET(Bronzo!$A$1,MATCH(J668,Bronzo!$A:$A,0)-1,MATCH(K668,Bronzo!$A$1:$AA$1,0)-1)=TRUE),0,OFFSET(Bronzo!$A$1,MATCH(J668,Bronzo!$A:$A,0)-1,MATCH(K668,Bronzo!$A$1:$AA$1,0)-1))</f>
        <v>0</v>
      </c>
      <c r="V668" s="205">
        <f t="shared" ca="1" si="238"/>
        <v>0</v>
      </c>
      <c r="W668" s="204"/>
      <c r="X668" s="205">
        <v>0</v>
      </c>
      <c r="Y668" s="206">
        <f t="shared" ca="1" si="239"/>
        <v>0</v>
      </c>
      <c r="Z668" s="277">
        <f t="shared" si="240"/>
        <v>0</v>
      </c>
      <c r="AA668" s="203"/>
      <c r="AB668" s="203">
        <f t="shared" ca="1" si="241"/>
        <v>0</v>
      </c>
      <c r="AC668" s="238"/>
      <c r="AI668" s="367">
        <f t="shared" ca="1" si="236"/>
        <v>46092</v>
      </c>
      <c r="AJ668" s="367" t="b">
        <f t="shared" si="230"/>
        <v>1</v>
      </c>
      <c r="AK668" s="370" t="str">
        <f t="shared" si="231"/>
        <v/>
      </c>
      <c r="AN668">
        <f t="shared" si="232"/>
        <v>0</v>
      </c>
      <c r="AO668">
        <f t="shared" si="233"/>
        <v>1900</v>
      </c>
      <c r="AV668">
        <f t="shared" si="234"/>
        <v>0</v>
      </c>
      <c r="AW668">
        <f t="shared" si="235"/>
        <v>0</v>
      </c>
    </row>
    <row r="669" spans="4:49" ht="15.75" x14ac:dyDescent="0.25">
      <c r="D669" s="199"/>
      <c r="E669" s="200"/>
      <c r="F669" s="287"/>
      <c r="G669" s="201"/>
      <c r="H669" s="219"/>
      <c r="I669" s="202"/>
      <c r="J669" s="200"/>
      <c r="K669" s="200"/>
      <c r="L669" s="203"/>
      <c r="M669" s="204">
        <f ca="1">IF(ISERROR(OFFSET(Tabella!$A$1,MATCH(J669,Tabella!$A:$A,0)-1,MATCH(L669,Tabella!$A$1:$AC$1,0)-1)=TRUE),0,+OFFSET(Tabella!$A$1,MATCH(J669,Tabella!$A:$A,0)-1,MATCH(L669,Tabella!$A$1:$AC$1,0)-1))</f>
        <v>0</v>
      </c>
      <c r="N669" s="205">
        <f ca="1">IF(ISERROR(OFFSET(Ottone!$A$1,MATCH(J669,Ottone!$A:$A,0)-1,MATCH(L669,Ottone!$A$1:$Z$1,0)-1)=TRUE),0,OFFSET(Ottone!$A$1,MATCH(J669,Ottone!$A:$A,0)-1,MATCH(L669,Ottone!$A$1:$Z$1,0)-1))*IF(G669="Ottone",1,0)</f>
        <v>0</v>
      </c>
      <c r="O669" s="205">
        <f ca="1">IF(ISERROR(OFFSET(Rame!$A$1,MATCH(J669,Rame!$A:$A,0)-1,MATCH(L669,Rame!$A$1:$AA$1,0)-1)=TRUE),0,OFFSET(Rame!$A$1,MATCH(J669,Rame!$A:$A,0)-1,MATCH(L669,Rame!$A$1:$AA$1,0)-1))*IF(G669="Rame",1,0)</f>
        <v>0</v>
      </c>
      <c r="P669" s="205">
        <v>0</v>
      </c>
      <c r="Q669" s="205">
        <f t="shared" ca="1" si="237"/>
        <v>0</v>
      </c>
      <c r="R669" s="205">
        <f ca="1">+IF(ISERROR(OFFSET(Tabella!$G$1,MATCH(J669,Tabella!$G:$G,0)-1,MATCH(K669,Tabella!$G$1:$FG$1,0)-1)=TRUE),0,OFFSET(Tabella!$G$1,MATCH(J669,Tabella!$G:$G,0)-1,MATCH(K669,Tabella!$G$1:$AB$1,0)-1))</f>
        <v>0</v>
      </c>
      <c r="S669" s="205">
        <f ca="1">IF(ISERROR(OFFSET(Ottone!$F$1,MATCH(J669,Ottone!$A:$A,0)-1,MATCH(K669,Ottone!$F$1:$FF$1,0)-1)=TRUE),0,OFFSET(Ottone!$F$1,MATCH(J669,Ottone!$A:$A,0)-1,MATCH(K669,Ottone!$F$1:$FF$1,0)-1))*IF(G669="Ottone",1,0)</f>
        <v>0</v>
      </c>
      <c r="T669" s="205">
        <f ca="1">IF(ISERROR(OFFSET(Rame!$F$1,MATCH(J669,Rame!$F:$F,0)-1,MATCH(K669,Rame!$F$1:$FF$1,0)-1)=TRUE),0,OFFSET(Rame!$F$1,MATCH(J669,Rame!$F:$F,0)-1,MATCH(K669,Rame!$F$1:$FF$1,0)-1))*IF(G669="Rame",1,0)</f>
        <v>0</v>
      </c>
      <c r="U669" s="205">
        <f ca="1">IF(ISERROR(OFFSET(Bronzo!$A$1,MATCH(J669,Bronzo!$A:$A,0)-1,MATCH(K669,Bronzo!$A$1:$AA$1,0)-1)=TRUE),0,OFFSET(Bronzo!$A$1,MATCH(J669,Bronzo!$A:$A,0)-1,MATCH(K669,Bronzo!$A$1:$AA$1,0)-1))</f>
        <v>0</v>
      </c>
      <c r="V669" s="205">
        <f t="shared" ca="1" si="238"/>
        <v>0</v>
      </c>
      <c r="W669" s="204"/>
      <c r="X669" s="205">
        <v>0</v>
      </c>
      <c r="Y669" s="206">
        <f t="shared" ca="1" si="239"/>
        <v>0</v>
      </c>
      <c r="Z669" s="277">
        <f t="shared" si="240"/>
        <v>0</v>
      </c>
      <c r="AA669" s="203"/>
      <c r="AB669" s="203">
        <f t="shared" ca="1" si="241"/>
        <v>0</v>
      </c>
      <c r="AC669" s="238"/>
      <c r="AI669" s="367">
        <f t="shared" ca="1" si="236"/>
        <v>46092</v>
      </c>
      <c r="AJ669" s="367" t="b">
        <f t="shared" si="230"/>
        <v>1</v>
      </c>
      <c r="AK669" s="370" t="str">
        <f t="shared" si="231"/>
        <v/>
      </c>
      <c r="AN669">
        <f t="shared" si="232"/>
        <v>0</v>
      </c>
      <c r="AO669">
        <f t="shared" si="233"/>
        <v>1900</v>
      </c>
      <c r="AV669">
        <f t="shared" si="234"/>
        <v>0</v>
      </c>
      <c r="AW669">
        <f t="shared" si="235"/>
        <v>0</v>
      </c>
    </row>
    <row r="670" spans="4:49" ht="15.75" x14ac:dyDescent="0.25">
      <c r="D670" s="199"/>
      <c r="E670" s="200"/>
      <c r="F670" s="287"/>
      <c r="G670" s="201"/>
      <c r="H670" s="219"/>
      <c r="I670" s="202"/>
      <c r="J670" s="200"/>
      <c r="K670" s="200"/>
      <c r="L670" s="203"/>
      <c r="M670" s="204">
        <f ca="1">IF(ISERROR(OFFSET(Tabella!$A$1,MATCH(J670,Tabella!$A:$A,0)-1,MATCH(L670,Tabella!$A$1:$AC$1,0)-1)=TRUE),0,+OFFSET(Tabella!$A$1,MATCH(J670,Tabella!$A:$A,0)-1,MATCH(L670,Tabella!$A$1:$AC$1,0)-1))</f>
        <v>0</v>
      </c>
      <c r="N670" s="205">
        <f ca="1">IF(ISERROR(OFFSET(Ottone!$A$1,MATCH(J670,Ottone!$A:$A,0)-1,MATCH(L670,Ottone!$A$1:$Z$1,0)-1)=TRUE),0,OFFSET(Ottone!$A$1,MATCH(J670,Ottone!$A:$A,0)-1,MATCH(L670,Ottone!$A$1:$Z$1,0)-1))*IF(G670="Ottone",1,0)</f>
        <v>0</v>
      </c>
      <c r="O670" s="205">
        <f ca="1">IF(ISERROR(OFFSET(Rame!$A$1,MATCH(J670,Rame!$A:$A,0)-1,MATCH(L670,Rame!$A$1:$AA$1,0)-1)=TRUE),0,OFFSET(Rame!$A$1,MATCH(J670,Rame!$A:$A,0)-1,MATCH(L670,Rame!$A$1:$AA$1,0)-1))*IF(G670="Rame",1,0)</f>
        <v>0</v>
      </c>
      <c r="P670" s="205">
        <v>0</v>
      </c>
      <c r="Q670" s="205">
        <f t="shared" ca="1" si="237"/>
        <v>0</v>
      </c>
      <c r="R670" s="205">
        <f ca="1">+IF(ISERROR(OFFSET(Tabella!$G$1,MATCH(J670,Tabella!$G:$G,0)-1,MATCH(K670,Tabella!$G$1:$FG$1,0)-1)=TRUE),0,OFFSET(Tabella!$G$1,MATCH(J670,Tabella!$G:$G,0)-1,MATCH(K670,Tabella!$G$1:$AB$1,0)-1))</f>
        <v>0</v>
      </c>
      <c r="S670" s="205">
        <f ca="1">IF(ISERROR(OFFSET(Ottone!$F$1,MATCH(J670,Ottone!$A:$A,0)-1,MATCH(K670,Ottone!$F$1:$FF$1,0)-1)=TRUE),0,OFFSET(Ottone!$F$1,MATCH(J670,Ottone!$A:$A,0)-1,MATCH(K670,Ottone!$F$1:$FF$1,0)-1))*IF(G670="Ottone",1,0)</f>
        <v>0</v>
      </c>
      <c r="T670" s="205">
        <f ca="1">IF(ISERROR(OFFSET(Rame!$F$1,MATCH(J670,Rame!$F:$F,0)-1,MATCH(K670,Rame!$F$1:$FF$1,0)-1)=TRUE),0,OFFSET(Rame!$F$1,MATCH(J670,Rame!$F:$F,0)-1,MATCH(K670,Rame!$F$1:$FF$1,0)-1))*IF(G670="Rame",1,0)</f>
        <v>0</v>
      </c>
      <c r="U670" s="205">
        <f ca="1">IF(ISERROR(OFFSET(Bronzo!$A$1,MATCH(J670,Bronzo!$A:$A,0)-1,MATCH(K670,Bronzo!$A$1:$AA$1,0)-1)=TRUE),0,OFFSET(Bronzo!$A$1,MATCH(J670,Bronzo!$A:$A,0)-1,MATCH(K670,Bronzo!$A$1:$AA$1,0)-1))</f>
        <v>0</v>
      </c>
      <c r="V670" s="205">
        <f t="shared" ca="1" si="238"/>
        <v>0</v>
      </c>
      <c r="W670" s="204"/>
      <c r="X670" s="205">
        <v>0</v>
      </c>
      <c r="Y670" s="206">
        <f t="shared" ca="1" si="239"/>
        <v>0</v>
      </c>
      <c r="Z670" s="277">
        <f t="shared" si="240"/>
        <v>0</v>
      </c>
      <c r="AA670" s="203"/>
      <c r="AB670" s="203">
        <f t="shared" ca="1" si="241"/>
        <v>0</v>
      </c>
      <c r="AC670" s="238"/>
      <c r="AI670" s="367">
        <f t="shared" ca="1" si="236"/>
        <v>46092</v>
      </c>
      <c r="AJ670" s="367" t="b">
        <f t="shared" si="230"/>
        <v>1</v>
      </c>
      <c r="AK670" s="370" t="str">
        <f t="shared" si="231"/>
        <v/>
      </c>
      <c r="AN670">
        <f t="shared" si="232"/>
        <v>0</v>
      </c>
      <c r="AO670">
        <f t="shared" si="233"/>
        <v>1900</v>
      </c>
      <c r="AV670">
        <f t="shared" si="234"/>
        <v>0</v>
      </c>
      <c r="AW670">
        <f t="shared" si="235"/>
        <v>0</v>
      </c>
    </row>
    <row r="671" spans="4:49" ht="15.75" x14ac:dyDescent="0.25">
      <c r="D671" s="199"/>
      <c r="E671" s="200"/>
      <c r="F671" s="287"/>
      <c r="G671" s="201"/>
      <c r="H671" s="219"/>
      <c r="I671" s="202"/>
      <c r="J671" s="200"/>
      <c r="K671" s="200"/>
      <c r="L671" s="203"/>
      <c r="M671" s="204">
        <f ca="1">IF(ISERROR(OFFSET(Tabella!$A$1,MATCH(J671,Tabella!$A:$A,0)-1,MATCH(L671,Tabella!$A$1:$AC$1,0)-1)=TRUE),0,+OFFSET(Tabella!$A$1,MATCH(J671,Tabella!$A:$A,0)-1,MATCH(L671,Tabella!$A$1:$AC$1,0)-1))</f>
        <v>0</v>
      </c>
      <c r="N671" s="205">
        <f ca="1">IF(ISERROR(OFFSET(Ottone!$A$1,MATCH(J671,Ottone!$A:$A,0)-1,MATCH(L671,Ottone!$A$1:$Z$1,0)-1)=TRUE),0,OFFSET(Ottone!$A$1,MATCH(J671,Ottone!$A:$A,0)-1,MATCH(L671,Ottone!$A$1:$Z$1,0)-1))*IF(G671="Ottone",1,0)</f>
        <v>0</v>
      </c>
      <c r="O671" s="205">
        <f ca="1">IF(ISERROR(OFFSET(Rame!$A$1,MATCH(J671,Rame!$A:$A,0)-1,MATCH(L671,Rame!$A$1:$AA$1,0)-1)=TRUE),0,OFFSET(Rame!$A$1,MATCH(J671,Rame!$A:$A,0)-1,MATCH(L671,Rame!$A$1:$AA$1,0)-1))*IF(G671="Rame",1,0)</f>
        <v>0</v>
      </c>
      <c r="P671" s="205">
        <v>0</v>
      </c>
      <c r="Q671" s="205">
        <f t="shared" ca="1" si="237"/>
        <v>0</v>
      </c>
      <c r="R671" s="205">
        <f ca="1">+IF(ISERROR(OFFSET(Tabella!$G$1,MATCH(J671,Tabella!$G:$G,0)-1,MATCH(K671,Tabella!$G$1:$FG$1,0)-1)=TRUE),0,OFFSET(Tabella!$G$1,MATCH(J671,Tabella!$G:$G,0)-1,MATCH(K671,Tabella!$G$1:$AB$1,0)-1))</f>
        <v>0</v>
      </c>
      <c r="S671" s="205">
        <f ca="1">IF(ISERROR(OFFSET(Ottone!$F$1,MATCH(J671,Ottone!$A:$A,0)-1,MATCH(K671,Ottone!$F$1:$FF$1,0)-1)=TRUE),0,OFFSET(Ottone!$F$1,MATCH(J671,Ottone!$A:$A,0)-1,MATCH(K671,Ottone!$F$1:$FF$1,0)-1))*IF(G671="Ottone",1,0)</f>
        <v>0</v>
      </c>
      <c r="T671" s="205">
        <f ca="1">IF(ISERROR(OFFSET(Rame!$F$1,MATCH(J671,Rame!$F:$F,0)-1,MATCH(K671,Rame!$F$1:$FF$1,0)-1)=TRUE),0,OFFSET(Rame!$F$1,MATCH(J671,Rame!$F:$F,0)-1,MATCH(K671,Rame!$F$1:$FF$1,0)-1))*IF(G671="Rame",1,0)</f>
        <v>0</v>
      </c>
      <c r="U671" s="205">
        <f ca="1">IF(ISERROR(OFFSET(Bronzo!$A$1,MATCH(J671,Bronzo!$A:$A,0)-1,MATCH(K671,Bronzo!$A$1:$AA$1,0)-1)=TRUE),0,OFFSET(Bronzo!$A$1,MATCH(J671,Bronzo!$A:$A,0)-1,MATCH(K671,Bronzo!$A$1:$AA$1,0)-1))</f>
        <v>0</v>
      </c>
      <c r="V671" s="205">
        <f t="shared" ca="1" si="238"/>
        <v>0</v>
      </c>
      <c r="W671" s="204"/>
      <c r="X671" s="205">
        <v>0</v>
      </c>
      <c r="Y671" s="206">
        <f t="shared" ca="1" si="239"/>
        <v>0</v>
      </c>
      <c r="Z671" s="277">
        <f t="shared" si="240"/>
        <v>0</v>
      </c>
      <c r="AA671" s="203"/>
      <c r="AB671" s="203">
        <f t="shared" ca="1" si="241"/>
        <v>0</v>
      </c>
      <c r="AC671" s="238"/>
      <c r="AI671" s="367">
        <f t="shared" ca="1" si="236"/>
        <v>46092</v>
      </c>
      <c r="AJ671" s="367" t="b">
        <f t="shared" si="230"/>
        <v>1</v>
      </c>
      <c r="AK671" s="370" t="str">
        <f t="shared" si="231"/>
        <v/>
      </c>
      <c r="AN671">
        <f t="shared" si="232"/>
        <v>0</v>
      </c>
      <c r="AO671">
        <f t="shared" si="233"/>
        <v>1900</v>
      </c>
      <c r="AV671">
        <f t="shared" si="234"/>
        <v>0</v>
      </c>
      <c r="AW671">
        <f t="shared" si="235"/>
        <v>0</v>
      </c>
    </row>
    <row r="672" spans="4:49" ht="15.75" x14ac:dyDescent="0.25">
      <c r="D672" s="199"/>
      <c r="E672" s="200"/>
      <c r="F672" s="287"/>
      <c r="G672" s="201"/>
      <c r="H672" s="219"/>
      <c r="I672" s="202"/>
      <c r="J672" s="200"/>
      <c r="K672" s="200"/>
      <c r="L672" s="203"/>
      <c r="M672" s="204">
        <f ca="1">IF(ISERROR(OFFSET(Tabella!$A$1,MATCH(J672,Tabella!$A:$A,0)-1,MATCH(L672,Tabella!$A$1:$AC$1,0)-1)=TRUE),0,+OFFSET(Tabella!$A$1,MATCH(J672,Tabella!$A:$A,0)-1,MATCH(L672,Tabella!$A$1:$AC$1,0)-1))</f>
        <v>0</v>
      </c>
      <c r="N672" s="205">
        <f ca="1">IF(ISERROR(OFFSET(Ottone!$A$1,MATCH(J672,Ottone!$A:$A,0)-1,MATCH(L672,Ottone!$A$1:$Z$1,0)-1)=TRUE),0,OFFSET(Ottone!$A$1,MATCH(J672,Ottone!$A:$A,0)-1,MATCH(L672,Ottone!$A$1:$Z$1,0)-1))*IF(G672="Ottone",1,0)</f>
        <v>0</v>
      </c>
      <c r="O672" s="205">
        <f ca="1">IF(ISERROR(OFFSET(Rame!$A$1,MATCH(J672,Rame!$A:$A,0)-1,MATCH(L672,Rame!$A$1:$AA$1,0)-1)=TRUE),0,OFFSET(Rame!$A$1,MATCH(J672,Rame!$A:$A,0)-1,MATCH(L672,Rame!$A$1:$AA$1,0)-1))*IF(G672="Rame",1,0)</f>
        <v>0</v>
      </c>
      <c r="P672" s="205">
        <v>0</v>
      </c>
      <c r="Q672" s="205">
        <f t="shared" ca="1" si="237"/>
        <v>0</v>
      </c>
      <c r="R672" s="205">
        <f ca="1">+IF(ISERROR(OFFSET(Tabella!$G$1,MATCH(J672,Tabella!$G:$G,0)-1,MATCH(K672,Tabella!$G$1:$FG$1,0)-1)=TRUE),0,OFFSET(Tabella!$G$1,MATCH(J672,Tabella!$G:$G,0)-1,MATCH(K672,Tabella!$G$1:$AB$1,0)-1))</f>
        <v>0</v>
      </c>
      <c r="S672" s="205">
        <f ca="1">IF(ISERROR(OFFSET(Ottone!$F$1,MATCH(J672,Ottone!$A:$A,0)-1,MATCH(K672,Ottone!$F$1:$FF$1,0)-1)=TRUE),0,OFFSET(Ottone!$F$1,MATCH(J672,Ottone!$A:$A,0)-1,MATCH(K672,Ottone!$F$1:$FF$1,0)-1))*IF(G672="Ottone",1,0)</f>
        <v>0</v>
      </c>
      <c r="T672" s="205">
        <f ca="1">IF(ISERROR(OFFSET(Rame!$F$1,MATCH(J672,Rame!$F:$F,0)-1,MATCH(K672,Rame!$F$1:$FF$1,0)-1)=TRUE),0,OFFSET(Rame!$F$1,MATCH(J672,Rame!$F:$F,0)-1,MATCH(K672,Rame!$F$1:$FF$1,0)-1))*IF(G672="Rame",1,0)</f>
        <v>0</v>
      </c>
      <c r="U672" s="205">
        <f ca="1">IF(ISERROR(OFFSET(Bronzo!$A$1,MATCH(J672,Bronzo!$A:$A,0)-1,MATCH(K672,Bronzo!$A$1:$AA$1,0)-1)=TRUE),0,OFFSET(Bronzo!$A$1,MATCH(J672,Bronzo!$A:$A,0)-1,MATCH(K672,Bronzo!$A$1:$AA$1,0)-1))</f>
        <v>0</v>
      </c>
      <c r="V672" s="205">
        <f t="shared" ca="1" si="238"/>
        <v>0</v>
      </c>
      <c r="W672" s="204"/>
      <c r="X672" s="205">
        <v>0</v>
      </c>
      <c r="Y672" s="206">
        <f t="shared" ca="1" si="239"/>
        <v>0</v>
      </c>
      <c r="Z672" s="277">
        <f t="shared" si="240"/>
        <v>0</v>
      </c>
      <c r="AA672" s="203"/>
      <c r="AB672" s="203">
        <f t="shared" ca="1" si="241"/>
        <v>0</v>
      </c>
      <c r="AC672" s="238"/>
      <c r="AI672" s="367">
        <f t="shared" ca="1" si="236"/>
        <v>46092</v>
      </c>
      <c r="AJ672" s="367" t="b">
        <f t="shared" ref="AJ672:AJ735" si="242">ISBLANK(AC672)</f>
        <v>1</v>
      </c>
      <c r="AK672" s="370" t="str">
        <f t="shared" ref="AK672:AK735" si="243">IF(AJ672=FALSE,_xlfn.DAYS(AC672,AI672),"")</f>
        <v/>
      </c>
      <c r="AN672">
        <f t="shared" ref="AN672:AN735" si="244">WEEKNUM(AC672)</f>
        <v>0</v>
      </c>
      <c r="AO672">
        <f t="shared" ref="AO672:AO735" si="245">YEAR(AC672)</f>
        <v>1900</v>
      </c>
      <c r="AV672">
        <f t="shared" ref="AV672:AV676" si="246">IF(AC672="",0,MONTH(AC672))</f>
        <v>0</v>
      </c>
      <c r="AW672">
        <f t="shared" ref="AW672:AW676" si="247">IF(AC672="",0,YEAR(AC672))</f>
        <v>0</v>
      </c>
    </row>
    <row r="673" spans="4:49" ht="15.75" x14ac:dyDescent="0.25">
      <c r="D673" s="199"/>
      <c r="E673" s="200"/>
      <c r="F673" s="287"/>
      <c r="G673" s="201"/>
      <c r="H673" s="219"/>
      <c r="I673" s="202"/>
      <c r="J673" s="200"/>
      <c r="K673" s="200"/>
      <c r="L673" s="203"/>
      <c r="M673" s="204">
        <f ca="1">IF(ISERROR(OFFSET(Tabella!$A$1,MATCH(J673,Tabella!$A:$A,0)-1,MATCH(L673,Tabella!$A$1:$AC$1,0)-1)=TRUE),0,+OFFSET(Tabella!$A$1,MATCH(J673,Tabella!$A:$A,0)-1,MATCH(L673,Tabella!$A$1:$AC$1,0)-1))</f>
        <v>0</v>
      </c>
      <c r="N673" s="205">
        <f ca="1">IF(ISERROR(OFFSET(Ottone!$A$1,MATCH(J673,Ottone!$A:$A,0)-1,MATCH(L673,Ottone!$A$1:$Z$1,0)-1)=TRUE),0,OFFSET(Ottone!$A$1,MATCH(J673,Ottone!$A:$A,0)-1,MATCH(L673,Ottone!$A$1:$Z$1,0)-1))*IF(G673="Ottone",1,0)</f>
        <v>0</v>
      </c>
      <c r="O673" s="205">
        <f ca="1">IF(ISERROR(OFFSET(Rame!$A$1,MATCH(J673,Rame!$A:$A,0)-1,MATCH(L673,Rame!$A$1:$AA$1,0)-1)=TRUE),0,OFFSET(Rame!$A$1,MATCH(J673,Rame!$A:$A,0)-1,MATCH(L673,Rame!$A$1:$AA$1,0)-1))*IF(G673="Rame",1,0)</f>
        <v>0</v>
      </c>
      <c r="P673" s="205">
        <v>0</v>
      </c>
      <c r="Q673" s="205">
        <f t="shared" ca="1" si="237"/>
        <v>0</v>
      </c>
      <c r="R673" s="205">
        <f ca="1">+IF(ISERROR(OFFSET(Tabella!$G$1,MATCH(J673,Tabella!$G:$G,0)-1,MATCH(K673,Tabella!$G$1:$FG$1,0)-1)=TRUE),0,OFFSET(Tabella!$G$1,MATCH(J673,Tabella!$G:$G,0)-1,MATCH(K673,Tabella!$G$1:$AB$1,0)-1))</f>
        <v>0</v>
      </c>
      <c r="S673" s="205">
        <f ca="1">IF(ISERROR(OFFSET(Ottone!$F$1,MATCH(J673,Ottone!$A:$A,0)-1,MATCH(K673,Ottone!$F$1:$FF$1,0)-1)=TRUE),0,OFFSET(Ottone!$F$1,MATCH(J673,Ottone!$A:$A,0)-1,MATCH(K673,Ottone!$F$1:$FF$1,0)-1))*IF(G673="Ottone",1,0)</f>
        <v>0</v>
      </c>
      <c r="T673" s="205">
        <f ca="1">IF(ISERROR(OFFSET(Rame!$F$1,MATCH(J673,Rame!$F:$F,0)-1,MATCH(K673,Rame!$F$1:$FF$1,0)-1)=TRUE),0,OFFSET(Rame!$F$1,MATCH(J673,Rame!$F:$F,0)-1,MATCH(K673,Rame!$F$1:$FF$1,0)-1))*IF(G673="Rame",1,0)</f>
        <v>0</v>
      </c>
      <c r="U673" s="205">
        <f ca="1">IF(ISERROR(OFFSET(Bronzo!$A$1,MATCH(J673,Bronzo!$A:$A,0)-1,MATCH(K673,Bronzo!$A$1:$AA$1,0)-1)=TRUE),0,OFFSET(Bronzo!$A$1,MATCH(J673,Bronzo!$A:$A,0)-1,MATCH(K673,Bronzo!$A$1:$AA$1,0)-1))</f>
        <v>0</v>
      </c>
      <c r="V673" s="205">
        <f t="shared" ca="1" si="238"/>
        <v>0</v>
      </c>
      <c r="W673" s="204"/>
      <c r="X673" s="205">
        <v>0</v>
      </c>
      <c r="Y673" s="206">
        <f t="shared" ca="1" si="239"/>
        <v>0</v>
      </c>
      <c r="Z673" s="277">
        <f t="shared" si="240"/>
        <v>0</v>
      </c>
      <c r="AA673" s="203"/>
      <c r="AB673" s="203">
        <f t="shared" ca="1" si="241"/>
        <v>0</v>
      </c>
      <c r="AC673" s="238"/>
      <c r="AI673" s="367">
        <f t="shared" ca="1" si="236"/>
        <v>46092</v>
      </c>
      <c r="AJ673" s="367" t="b">
        <f t="shared" si="242"/>
        <v>1</v>
      </c>
      <c r="AK673" s="370" t="str">
        <f t="shared" si="243"/>
        <v/>
      </c>
      <c r="AN673">
        <f t="shared" si="244"/>
        <v>0</v>
      </c>
      <c r="AO673">
        <f t="shared" si="245"/>
        <v>1900</v>
      </c>
      <c r="AV673">
        <f t="shared" si="246"/>
        <v>0</v>
      </c>
      <c r="AW673">
        <f t="shared" si="247"/>
        <v>0</v>
      </c>
    </row>
    <row r="674" spans="4:49" ht="15.75" x14ac:dyDescent="0.25">
      <c r="D674" s="199"/>
      <c r="E674" s="200"/>
      <c r="F674" s="287"/>
      <c r="G674" s="201"/>
      <c r="H674" s="219"/>
      <c r="I674" s="202"/>
      <c r="J674" s="200"/>
      <c r="K674" s="200"/>
      <c r="L674" s="203"/>
      <c r="M674" s="204">
        <f ca="1">IF(ISERROR(OFFSET(Tabella!$A$1,MATCH(J674,Tabella!$A:$A,0)-1,MATCH(L674,Tabella!$A$1:$AC$1,0)-1)=TRUE),0,+OFFSET(Tabella!$A$1,MATCH(J674,Tabella!$A:$A,0)-1,MATCH(L674,Tabella!$A$1:$AC$1,0)-1))</f>
        <v>0</v>
      </c>
      <c r="N674" s="205">
        <f ca="1">IF(ISERROR(OFFSET(Ottone!$A$1,MATCH(J674,Ottone!$A:$A,0)-1,MATCH(L674,Ottone!$A$1:$Z$1,0)-1)=TRUE),0,OFFSET(Ottone!$A$1,MATCH(J674,Ottone!$A:$A,0)-1,MATCH(L674,Ottone!$A$1:$Z$1,0)-1))*IF(G674="Ottone",1,0)</f>
        <v>0</v>
      </c>
      <c r="O674" s="205">
        <f ca="1">IF(ISERROR(OFFSET(Rame!$A$1,MATCH(J674,Rame!$A:$A,0)-1,MATCH(L674,Rame!$A$1:$AA$1,0)-1)=TRUE),0,OFFSET(Rame!$A$1,MATCH(J674,Rame!$A:$A,0)-1,MATCH(L674,Rame!$A$1:$AA$1,0)-1))*IF(G674="Rame",1,0)</f>
        <v>0</v>
      </c>
      <c r="P674" s="205">
        <v>0</v>
      </c>
      <c r="Q674" s="205">
        <f t="shared" ca="1" si="237"/>
        <v>0</v>
      </c>
      <c r="R674" s="205">
        <f ca="1">+IF(ISERROR(OFFSET(Tabella!$G$1,MATCH(J674,Tabella!$G:$G,0)-1,MATCH(K674,Tabella!$G$1:$FG$1,0)-1)=TRUE),0,OFFSET(Tabella!$G$1,MATCH(J674,Tabella!$G:$G,0)-1,MATCH(K674,Tabella!$G$1:$AB$1,0)-1))</f>
        <v>0</v>
      </c>
      <c r="S674" s="205">
        <f ca="1">IF(ISERROR(OFFSET(Ottone!$F$1,MATCH(J674,Ottone!$A:$A,0)-1,MATCH(K674,Ottone!$F$1:$FF$1,0)-1)=TRUE),0,OFFSET(Ottone!$F$1,MATCH(J674,Ottone!$A:$A,0)-1,MATCH(K674,Ottone!$F$1:$FF$1,0)-1))*IF(G674="Ottone",1,0)</f>
        <v>0</v>
      </c>
      <c r="T674" s="205">
        <f ca="1">IF(ISERROR(OFFSET(Rame!$F$1,MATCH(J674,Rame!$F:$F,0)-1,MATCH(K674,Rame!$F$1:$FF$1,0)-1)=TRUE),0,OFFSET(Rame!$F$1,MATCH(J674,Rame!$F:$F,0)-1,MATCH(K674,Rame!$F$1:$FF$1,0)-1))*IF(G674="Rame",1,0)</f>
        <v>0</v>
      </c>
      <c r="U674" s="205">
        <f ca="1">IF(ISERROR(OFFSET(Bronzo!$A$1,MATCH(J674,Bronzo!$A:$A,0)-1,MATCH(K674,Bronzo!$A$1:$AA$1,0)-1)=TRUE),0,OFFSET(Bronzo!$A$1,MATCH(J674,Bronzo!$A:$A,0)-1,MATCH(K674,Bronzo!$A$1:$AA$1,0)-1))</f>
        <v>0</v>
      </c>
      <c r="V674" s="205">
        <f t="shared" ca="1" si="238"/>
        <v>0</v>
      </c>
      <c r="W674" s="204"/>
      <c r="X674" s="205">
        <v>0</v>
      </c>
      <c r="Y674" s="206">
        <f t="shared" ca="1" si="239"/>
        <v>0</v>
      </c>
      <c r="Z674" s="277">
        <f t="shared" si="240"/>
        <v>0</v>
      </c>
      <c r="AA674" s="203"/>
      <c r="AB674" s="203">
        <f t="shared" ca="1" si="241"/>
        <v>0</v>
      </c>
      <c r="AC674" s="238"/>
      <c r="AI674" s="367">
        <f t="shared" ca="1" si="236"/>
        <v>46092</v>
      </c>
      <c r="AJ674" s="367" t="b">
        <f t="shared" si="242"/>
        <v>1</v>
      </c>
      <c r="AK674" s="370" t="str">
        <f t="shared" si="243"/>
        <v/>
      </c>
      <c r="AN674">
        <f t="shared" si="244"/>
        <v>0</v>
      </c>
      <c r="AO674">
        <f t="shared" si="245"/>
        <v>1900</v>
      </c>
      <c r="AV674">
        <f t="shared" si="246"/>
        <v>0</v>
      </c>
      <c r="AW674">
        <f t="shared" si="247"/>
        <v>0</v>
      </c>
    </row>
    <row r="675" spans="4:49" ht="15.75" x14ac:dyDescent="0.25">
      <c r="D675" s="199"/>
      <c r="E675" s="200"/>
      <c r="F675" s="287"/>
      <c r="G675" s="201"/>
      <c r="H675" s="219"/>
      <c r="I675" s="202"/>
      <c r="J675" s="200"/>
      <c r="K675" s="200"/>
      <c r="L675" s="203"/>
      <c r="M675" s="204">
        <f ca="1">IF(ISERROR(OFFSET(Tabella!$A$1,MATCH(J675,Tabella!$A:$A,0)-1,MATCH(L675,Tabella!$A$1:$AC$1,0)-1)=TRUE),0,+OFFSET(Tabella!$A$1,MATCH(J675,Tabella!$A:$A,0)-1,MATCH(L675,Tabella!$A$1:$AC$1,0)-1))</f>
        <v>0</v>
      </c>
      <c r="N675" s="205">
        <f ca="1">IF(ISERROR(OFFSET(Ottone!$A$1,MATCH(J675,Ottone!$A:$A,0)-1,MATCH(L675,Ottone!$A$1:$Z$1,0)-1)=TRUE),0,OFFSET(Ottone!$A$1,MATCH(J675,Ottone!$A:$A,0)-1,MATCH(L675,Ottone!$A$1:$Z$1,0)-1))*IF(G675="Ottone",1,0)</f>
        <v>0</v>
      </c>
      <c r="O675" s="205">
        <f ca="1">IF(ISERROR(OFFSET(Rame!$A$1,MATCH(J675,Rame!$A:$A,0)-1,MATCH(L675,Rame!$A$1:$AA$1,0)-1)=TRUE),0,OFFSET(Rame!$A$1,MATCH(J675,Rame!$A:$A,0)-1,MATCH(L675,Rame!$A$1:$AA$1,0)-1))*IF(G675="Rame",1,0)</f>
        <v>0</v>
      </c>
      <c r="P675" s="205">
        <v>0</v>
      </c>
      <c r="Q675" s="205">
        <f t="shared" ca="1" si="237"/>
        <v>0</v>
      </c>
      <c r="R675" s="205">
        <f ca="1">+IF(ISERROR(OFFSET(Tabella!$G$1,MATCH(J675,Tabella!$G:$G,0)-1,MATCH(K675,Tabella!$G$1:$FG$1,0)-1)=TRUE),0,OFFSET(Tabella!$G$1,MATCH(J675,Tabella!$G:$G,0)-1,MATCH(K675,Tabella!$G$1:$AB$1,0)-1))</f>
        <v>0</v>
      </c>
      <c r="S675" s="205">
        <f ca="1">IF(ISERROR(OFFSET(Ottone!$F$1,MATCH(J675,Ottone!$A:$A,0)-1,MATCH(K675,Ottone!$F$1:$FF$1,0)-1)=TRUE),0,OFFSET(Ottone!$F$1,MATCH(J675,Ottone!$A:$A,0)-1,MATCH(K675,Ottone!$F$1:$FF$1,0)-1))*IF(G675="Ottone",1,0)</f>
        <v>0</v>
      </c>
      <c r="T675" s="205">
        <f ca="1">IF(ISERROR(OFFSET(Rame!$F$1,MATCH(J675,Rame!$F:$F,0)-1,MATCH(K675,Rame!$F$1:$FF$1,0)-1)=TRUE),0,OFFSET(Rame!$F$1,MATCH(J675,Rame!$F:$F,0)-1,MATCH(K675,Rame!$F$1:$FF$1,0)-1))*IF(G675="Rame",1,0)</f>
        <v>0</v>
      </c>
      <c r="U675" s="205">
        <f ca="1">IF(ISERROR(OFFSET(Bronzo!$A$1,MATCH(J675,Bronzo!$A:$A,0)-1,MATCH(K675,Bronzo!$A$1:$AA$1,0)-1)=TRUE),0,OFFSET(Bronzo!$A$1,MATCH(J675,Bronzo!$A:$A,0)-1,MATCH(K675,Bronzo!$A$1:$AA$1,0)-1))</f>
        <v>0</v>
      </c>
      <c r="V675" s="205">
        <f t="shared" ca="1" si="238"/>
        <v>0</v>
      </c>
      <c r="W675" s="204"/>
      <c r="X675" s="205">
        <v>0</v>
      </c>
      <c r="Y675" s="206">
        <f t="shared" ca="1" si="239"/>
        <v>0</v>
      </c>
      <c r="Z675" s="277">
        <f t="shared" si="240"/>
        <v>0</v>
      </c>
      <c r="AA675" s="203"/>
      <c r="AB675" s="203">
        <f t="shared" ca="1" si="241"/>
        <v>0</v>
      </c>
      <c r="AC675" s="238"/>
      <c r="AI675" s="367">
        <f t="shared" ca="1" si="236"/>
        <v>46092</v>
      </c>
      <c r="AJ675" s="367" t="b">
        <f t="shared" si="242"/>
        <v>1</v>
      </c>
      <c r="AK675" s="370" t="str">
        <f t="shared" si="243"/>
        <v/>
      </c>
      <c r="AN675">
        <f t="shared" si="244"/>
        <v>0</v>
      </c>
      <c r="AO675">
        <f t="shared" si="245"/>
        <v>1900</v>
      </c>
      <c r="AV675">
        <f t="shared" si="246"/>
        <v>0</v>
      </c>
      <c r="AW675">
        <f t="shared" si="247"/>
        <v>0</v>
      </c>
    </row>
    <row r="676" spans="4:49" ht="15.75" x14ac:dyDescent="0.25">
      <c r="D676" s="199"/>
      <c r="E676" s="200"/>
      <c r="F676" s="287"/>
      <c r="G676" s="201"/>
      <c r="H676" s="219"/>
      <c r="I676" s="202"/>
      <c r="J676" s="200"/>
      <c r="K676" s="200"/>
      <c r="L676" s="203"/>
      <c r="M676" s="204">
        <f ca="1">IF(ISERROR(OFFSET(Tabella!$A$1,MATCH(J676,Tabella!$A:$A,0)-1,MATCH(L676,Tabella!$A$1:$AC$1,0)-1)=TRUE),0,+OFFSET(Tabella!$A$1,MATCH(J676,Tabella!$A:$A,0)-1,MATCH(L676,Tabella!$A$1:$AC$1,0)-1))</f>
        <v>0</v>
      </c>
      <c r="N676" s="205">
        <f ca="1">IF(ISERROR(OFFSET(Ottone!$A$1,MATCH(J676,Ottone!$A:$A,0)-1,MATCH(L676,Ottone!$A$1:$Z$1,0)-1)=TRUE),0,OFFSET(Ottone!$A$1,MATCH(J676,Ottone!$A:$A,0)-1,MATCH(L676,Ottone!$A$1:$Z$1,0)-1))*IF(G676="Ottone",1,0)</f>
        <v>0</v>
      </c>
      <c r="O676" s="205">
        <f ca="1">IF(ISERROR(OFFSET(Rame!$A$1,MATCH(J676,Rame!$A:$A,0)-1,MATCH(L676,Rame!$A$1:$AA$1,0)-1)=TRUE),0,OFFSET(Rame!$A$1,MATCH(J676,Rame!$A:$A,0)-1,MATCH(L676,Rame!$A$1:$AA$1,0)-1))*IF(G676="Rame",1,0)</f>
        <v>0</v>
      </c>
      <c r="P676" s="205">
        <v>0</v>
      </c>
      <c r="Q676" s="205">
        <f t="shared" ca="1" si="237"/>
        <v>0</v>
      </c>
      <c r="R676" s="205">
        <f ca="1">+IF(ISERROR(OFFSET(Tabella!$G$1,MATCH(J676,Tabella!$G:$G,0)-1,MATCH(K676,Tabella!$G$1:$FG$1,0)-1)=TRUE),0,OFFSET(Tabella!$G$1,MATCH(J676,Tabella!$G:$G,0)-1,MATCH(K676,Tabella!$G$1:$AB$1,0)-1))</f>
        <v>0</v>
      </c>
      <c r="S676" s="205">
        <f ca="1">IF(ISERROR(OFFSET(Ottone!$F$1,MATCH(J676,Ottone!$A:$A,0)-1,MATCH(K676,Ottone!$F$1:$FF$1,0)-1)=TRUE),0,OFFSET(Ottone!$F$1,MATCH(J676,Ottone!$A:$A,0)-1,MATCH(K676,Ottone!$F$1:$FF$1,0)-1))*IF(G676="Ottone",1,0)</f>
        <v>0</v>
      </c>
      <c r="T676" s="205">
        <f ca="1">IF(ISERROR(OFFSET(Rame!$F$1,MATCH(J676,Rame!$F:$F,0)-1,MATCH(K676,Rame!$F$1:$FF$1,0)-1)=TRUE),0,OFFSET(Rame!$F$1,MATCH(J676,Rame!$F:$F,0)-1,MATCH(K676,Rame!$F$1:$FF$1,0)-1))*IF(G676="Rame",1,0)</f>
        <v>0</v>
      </c>
      <c r="U676" s="205">
        <f ca="1">IF(ISERROR(OFFSET(Bronzo!$A$1,MATCH(J676,Bronzo!$A:$A,0)-1,MATCH(K676,Bronzo!$A$1:$AA$1,0)-1)=TRUE),0,OFFSET(Bronzo!$A$1,MATCH(J676,Bronzo!$A:$A,0)-1,MATCH(K676,Bronzo!$A$1:$AA$1,0)-1))</f>
        <v>0</v>
      </c>
      <c r="V676" s="205">
        <f t="shared" ca="1" si="238"/>
        <v>0</v>
      </c>
      <c r="W676" s="204"/>
      <c r="X676" s="205">
        <v>0</v>
      </c>
      <c r="Y676" s="206">
        <f t="shared" ca="1" si="239"/>
        <v>0</v>
      </c>
      <c r="Z676" s="277">
        <f t="shared" si="240"/>
        <v>0</v>
      </c>
      <c r="AA676" s="203"/>
      <c r="AB676" s="203">
        <f t="shared" ca="1" si="241"/>
        <v>0</v>
      </c>
      <c r="AC676" s="238"/>
      <c r="AI676" s="367">
        <f t="shared" ca="1" si="236"/>
        <v>46092</v>
      </c>
      <c r="AJ676" s="367" t="b">
        <f t="shared" si="242"/>
        <v>1</v>
      </c>
      <c r="AK676" s="370" t="str">
        <f t="shared" si="243"/>
        <v/>
      </c>
      <c r="AN676">
        <f t="shared" si="244"/>
        <v>0</v>
      </c>
      <c r="AO676">
        <f t="shared" si="245"/>
        <v>1900</v>
      </c>
      <c r="AV676">
        <f t="shared" si="246"/>
        <v>0</v>
      </c>
      <c r="AW676">
        <f t="shared" si="247"/>
        <v>0</v>
      </c>
    </row>
    <row r="677" spans="4:49" ht="15.75" x14ac:dyDescent="0.25">
      <c r="D677" s="199"/>
      <c r="E677" s="200"/>
      <c r="F677" s="287"/>
      <c r="G677" s="201"/>
      <c r="H677" s="219"/>
      <c r="I677" s="202"/>
      <c r="J677" s="200"/>
      <c r="K677" s="200"/>
      <c r="L677" s="203"/>
      <c r="M677" s="204">
        <f ca="1">IF(ISERROR(OFFSET(Tabella!$A$1,MATCH(J677,Tabella!$A:$A,0)-1,MATCH(L677,Tabella!$A$1:$AC$1,0)-1)=TRUE),0,+OFFSET(Tabella!$A$1,MATCH(J677,Tabella!$A:$A,0)-1,MATCH(L677,Tabella!$A$1:$AC$1,0)-1))</f>
        <v>0</v>
      </c>
      <c r="N677" s="205">
        <f ca="1">IF(ISERROR(OFFSET(Ottone!$A$1,MATCH(J677,Ottone!$A:$A,0)-1,MATCH(L677,Ottone!$A$1:$Z$1,0)-1)=TRUE),0,OFFSET(Ottone!$A$1,MATCH(J677,Ottone!$A:$A,0)-1,MATCH(L677,Ottone!$A$1:$Z$1,0)-1))*IF(G677="Ottone",1,0)</f>
        <v>0</v>
      </c>
      <c r="O677" s="205">
        <f ca="1">IF(ISERROR(OFFSET(Rame!$A$1,MATCH(J677,Rame!$A:$A,0)-1,MATCH(L677,Rame!$A$1:$AA$1,0)-1)=TRUE),0,OFFSET(Rame!$A$1,MATCH(J677,Rame!$A:$A,0)-1,MATCH(L677,Rame!$A$1:$AA$1,0)-1))*IF(G677="Rame",1,0)</f>
        <v>0</v>
      </c>
      <c r="P677" s="205">
        <v>0</v>
      </c>
      <c r="Q677" s="205">
        <f t="shared" ca="1" si="237"/>
        <v>0</v>
      </c>
      <c r="R677" s="205">
        <f ca="1">+IF(ISERROR(OFFSET(Tabella!$G$1,MATCH(J677,Tabella!$G:$G,0)-1,MATCH(K677,Tabella!$G$1:$FG$1,0)-1)=TRUE),0,OFFSET(Tabella!$G$1,MATCH(J677,Tabella!$G:$G,0)-1,MATCH(K677,Tabella!$G$1:$AB$1,0)-1))</f>
        <v>0</v>
      </c>
      <c r="S677" s="205">
        <f ca="1">IF(ISERROR(OFFSET(Ottone!$F$1,MATCH(J677,Ottone!$A:$A,0)-1,MATCH(K677,Ottone!$F$1:$FF$1,0)-1)=TRUE),0,OFFSET(Ottone!$F$1,MATCH(J677,Ottone!$A:$A,0)-1,MATCH(K677,Ottone!$F$1:$FF$1,0)-1))*IF(G677="Ottone",1,0)</f>
        <v>0</v>
      </c>
      <c r="T677" s="205">
        <f ca="1">IF(ISERROR(OFFSET(Rame!$F$1,MATCH(J677,Rame!$F:$F,0)-1,MATCH(K677,Rame!$F$1:$FF$1,0)-1)=TRUE),0,OFFSET(Rame!$F$1,MATCH(J677,Rame!$F:$F,0)-1,MATCH(K677,Rame!$F$1:$FF$1,0)-1))*IF(G677="Rame",1,0)</f>
        <v>0</v>
      </c>
      <c r="U677" s="205">
        <f ca="1">IF(ISERROR(OFFSET(Bronzo!$A$1,MATCH(J677,Bronzo!$A:$A,0)-1,MATCH(K677,Bronzo!$A$1:$AA$1,0)-1)=TRUE),0,OFFSET(Bronzo!$A$1,MATCH(J677,Bronzo!$A:$A,0)-1,MATCH(K677,Bronzo!$A$1:$AA$1,0)-1))</f>
        <v>0</v>
      </c>
      <c r="V677" s="205">
        <f t="shared" ca="1" si="238"/>
        <v>0</v>
      </c>
      <c r="W677" s="204"/>
      <c r="X677" s="205">
        <v>0</v>
      </c>
      <c r="Y677" s="206">
        <f t="shared" ca="1" si="239"/>
        <v>0</v>
      </c>
      <c r="Z677" s="277">
        <f t="shared" si="240"/>
        <v>0</v>
      </c>
      <c r="AA677" s="203"/>
      <c r="AB677" s="203">
        <f t="shared" ca="1" si="241"/>
        <v>0</v>
      </c>
      <c r="AC677" s="238"/>
      <c r="AI677" s="367">
        <f t="shared" ca="1" si="236"/>
        <v>46092</v>
      </c>
      <c r="AJ677" s="367" t="b">
        <f t="shared" si="242"/>
        <v>1</v>
      </c>
      <c r="AK677" s="370" t="str">
        <f t="shared" si="243"/>
        <v/>
      </c>
      <c r="AN677">
        <f t="shared" si="244"/>
        <v>0</v>
      </c>
      <c r="AO677">
        <f t="shared" si="245"/>
        <v>1900</v>
      </c>
      <c r="AV677">
        <f t="shared" ref="AV677:AV740" si="248">IF(AC677="",0,MONTH(AC677))</f>
        <v>0</v>
      </c>
      <c r="AW677">
        <f t="shared" ref="AW677:AW740" si="249">IF(AC677="",0,YEAR(AC677))</f>
        <v>0</v>
      </c>
    </row>
    <row r="678" spans="4:49" ht="15.75" x14ac:dyDescent="0.25">
      <c r="D678" s="199"/>
      <c r="E678" s="200"/>
      <c r="F678" s="287"/>
      <c r="G678" s="201"/>
      <c r="H678" s="219"/>
      <c r="I678" s="202"/>
      <c r="J678" s="200"/>
      <c r="K678" s="200"/>
      <c r="L678" s="203"/>
      <c r="M678" s="204">
        <f ca="1">IF(ISERROR(OFFSET(Tabella!$A$1,MATCH(J678,Tabella!$A:$A,0)-1,MATCH(L678,Tabella!$A$1:$AC$1,0)-1)=TRUE),0,+OFFSET(Tabella!$A$1,MATCH(J678,Tabella!$A:$A,0)-1,MATCH(L678,Tabella!$A$1:$AC$1,0)-1))</f>
        <v>0</v>
      </c>
      <c r="N678" s="205">
        <f ca="1">IF(ISERROR(OFFSET(Ottone!$A$1,MATCH(J678,Ottone!$A:$A,0)-1,MATCH(L678,Ottone!$A$1:$Z$1,0)-1)=TRUE),0,OFFSET(Ottone!$A$1,MATCH(J678,Ottone!$A:$A,0)-1,MATCH(L678,Ottone!$A$1:$Z$1,0)-1))*IF(G678="Ottone",1,0)</f>
        <v>0</v>
      </c>
      <c r="O678" s="205">
        <f ca="1">IF(ISERROR(OFFSET(Rame!$A$1,MATCH(J678,Rame!$A:$A,0)-1,MATCH(L678,Rame!$A$1:$AA$1,0)-1)=TRUE),0,OFFSET(Rame!$A$1,MATCH(J678,Rame!$A:$A,0)-1,MATCH(L678,Rame!$A$1:$AA$1,0)-1))*IF(G678="Rame",1,0)</f>
        <v>0</v>
      </c>
      <c r="P678" s="205">
        <v>0</v>
      </c>
      <c r="Q678" s="205">
        <f t="shared" ca="1" si="237"/>
        <v>0</v>
      </c>
      <c r="R678" s="205">
        <f ca="1">+IF(ISERROR(OFFSET(Tabella!$G$1,MATCH(J678,Tabella!$G:$G,0)-1,MATCH(K678,Tabella!$G$1:$FG$1,0)-1)=TRUE),0,OFFSET(Tabella!$G$1,MATCH(J678,Tabella!$G:$G,0)-1,MATCH(K678,Tabella!$G$1:$AB$1,0)-1))</f>
        <v>0</v>
      </c>
      <c r="S678" s="205">
        <f ca="1">IF(ISERROR(OFFSET(Ottone!$F$1,MATCH(J678,Ottone!$A:$A,0)-1,MATCH(K678,Ottone!$F$1:$FF$1,0)-1)=TRUE),0,OFFSET(Ottone!$F$1,MATCH(J678,Ottone!$A:$A,0)-1,MATCH(K678,Ottone!$F$1:$FF$1,0)-1))*IF(G678="Ottone",1,0)</f>
        <v>0</v>
      </c>
      <c r="T678" s="205">
        <f ca="1">IF(ISERROR(OFFSET(Rame!$F$1,MATCH(J678,Rame!$F:$F,0)-1,MATCH(K678,Rame!$F$1:$FF$1,0)-1)=TRUE),0,OFFSET(Rame!$F$1,MATCH(J678,Rame!$F:$F,0)-1,MATCH(K678,Rame!$F$1:$FF$1,0)-1))*IF(G678="Rame",1,0)</f>
        <v>0</v>
      </c>
      <c r="U678" s="205">
        <f ca="1">IF(ISERROR(OFFSET(Bronzo!$A$1,MATCH(J678,Bronzo!$A:$A,0)-1,MATCH(K678,Bronzo!$A$1:$AA$1,0)-1)=TRUE),0,OFFSET(Bronzo!$A$1,MATCH(J678,Bronzo!$A:$A,0)-1,MATCH(K678,Bronzo!$A$1:$AA$1,0)-1))</f>
        <v>0</v>
      </c>
      <c r="V678" s="205">
        <f t="shared" ca="1" si="238"/>
        <v>0</v>
      </c>
      <c r="W678" s="204"/>
      <c r="X678" s="205">
        <v>0</v>
      </c>
      <c r="Y678" s="206">
        <f t="shared" ca="1" si="239"/>
        <v>0</v>
      </c>
      <c r="Z678" s="277">
        <f t="shared" si="240"/>
        <v>0</v>
      </c>
      <c r="AA678" s="203"/>
      <c r="AB678" s="203">
        <f t="shared" ca="1" si="241"/>
        <v>0</v>
      </c>
      <c r="AC678" s="238"/>
      <c r="AI678" s="367">
        <f t="shared" ca="1" si="236"/>
        <v>46092</v>
      </c>
      <c r="AJ678" s="367" t="b">
        <f t="shared" si="242"/>
        <v>1</v>
      </c>
      <c r="AK678" s="370" t="str">
        <f t="shared" si="243"/>
        <v/>
      </c>
      <c r="AN678">
        <f t="shared" si="244"/>
        <v>0</v>
      </c>
      <c r="AO678">
        <f t="shared" si="245"/>
        <v>1900</v>
      </c>
      <c r="AV678">
        <f t="shared" si="248"/>
        <v>0</v>
      </c>
      <c r="AW678">
        <f t="shared" si="249"/>
        <v>0</v>
      </c>
    </row>
    <row r="679" spans="4:49" ht="15.75" x14ac:dyDescent="0.25">
      <c r="D679" s="199"/>
      <c r="E679" s="200"/>
      <c r="F679" s="287"/>
      <c r="G679" s="201"/>
      <c r="H679" s="219"/>
      <c r="I679" s="202"/>
      <c r="J679" s="200"/>
      <c r="K679" s="200"/>
      <c r="L679" s="203"/>
      <c r="M679" s="204">
        <f ca="1">IF(ISERROR(OFFSET(Tabella!$A$1,MATCH(J679,Tabella!$A:$A,0)-1,MATCH(L679,Tabella!$A$1:$AC$1,0)-1)=TRUE),0,+OFFSET(Tabella!$A$1,MATCH(J679,Tabella!$A:$A,0)-1,MATCH(L679,Tabella!$A$1:$AC$1,0)-1))</f>
        <v>0</v>
      </c>
      <c r="N679" s="205">
        <f ca="1">IF(ISERROR(OFFSET(Ottone!$A$1,MATCH(J679,Ottone!$A:$A,0)-1,MATCH(L679,Ottone!$A$1:$Z$1,0)-1)=TRUE),0,OFFSET(Ottone!$A$1,MATCH(J679,Ottone!$A:$A,0)-1,MATCH(L679,Ottone!$A$1:$Z$1,0)-1))*IF(G679="Ottone",1,0)</f>
        <v>0</v>
      </c>
      <c r="O679" s="205">
        <f ca="1">IF(ISERROR(OFFSET(Rame!$A$1,MATCH(J679,Rame!$A:$A,0)-1,MATCH(L679,Rame!$A$1:$AA$1,0)-1)=TRUE),0,OFFSET(Rame!$A$1,MATCH(J679,Rame!$A:$A,0)-1,MATCH(L679,Rame!$A$1:$AA$1,0)-1))*IF(G679="Rame",1,0)</f>
        <v>0</v>
      </c>
      <c r="P679" s="205">
        <v>0</v>
      </c>
      <c r="Q679" s="205">
        <f t="shared" ca="1" si="237"/>
        <v>0</v>
      </c>
      <c r="R679" s="205">
        <f ca="1">+IF(ISERROR(OFFSET(Tabella!$G$1,MATCH(J679,Tabella!$G:$G,0)-1,MATCH(K679,Tabella!$G$1:$FG$1,0)-1)=TRUE),0,OFFSET(Tabella!$G$1,MATCH(J679,Tabella!$G:$G,0)-1,MATCH(K679,Tabella!$G$1:$AB$1,0)-1))</f>
        <v>0</v>
      </c>
      <c r="S679" s="205">
        <f ca="1">IF(ISERROR(OFFSET(Ottone!$F$1,MATCH(J679,Ottone!$A:$A,0)-1,MATCH(K679,Ottone!$F$1:$FF$1,0)-1)=TRUE),0,OFFSET(Ottone!$F$1,MATCH(J679,Ottone!$A:$A,0)-1,MATCH(K679,Ottone!$F$1:$FF$1,0)-1))*IF(G679="Ottone",1,0)</f>
        <v>0</v>
      </c>
      <c r="T679" s="205">
        <f ca="1">IF(ISERROR(OFFSET(Rame!$F$1,MATCH(J679,Rame!$F:$F,0)-1,MATCH(K679,Rame!$F$1:$FF$1,0)-1)=TRUE),0,OFFSET(Rame!$F$1,MATCH(J679,Rame!$F:$F,0)-1,MATCH(K679,Rame!$F$1:$FF$1,0)-1))*IF(G679="Rame",1,0)</f>
        <v>0</v>
      </c>
      <c r="U679" s="205">
        <f ca="1">IF(ISERROR(OFFSET(Bronzo!$A$1,MATCH(J679,Bronzo!$A:$A,0)-1,MATCH(K679,Bronzo!$A$1:$AA$1,0)-1)=TRUE),0,OFFSET(Bronzo!$A$1,MATCH(J679,Bronzo!$A:$A,0)-1,MATCH(K679,Bronzo!$A$1:$AA$1,0)-1))</f>
        <v>0</v>
      </c>
      <c r="V679" s="205">
        <f t="shared" ca="1" si="238"/>
        <v>0</v>
      </c>
      <c r="W679" s="204"/>
      <c r="X679" s="205">
        <v>0</v>
      </c>
      <c r="Y679" s="206">
        <f t="shared" ca="1" si="239"/>
        <v>0</v>
      </c>
      <c r="Z679" s="277">
        <f t="shared" si="240"/>
        <v>0</v>
      </c>
      <c r="AA679" s="203"/>
      <c r="AB679" s="203">
        <f t="shared" ca="1" si="241"/>
        <v>0</v>
      </c>
      <c r="AC679" s="238"/>
      <c r="AI679" s="367">
        <f t="shared" ca="1" si="236"/>
        <v>46092</v>
      </c>
      <c r="AJ679" s="367" t="b">
        <f t="shared" si="242"/>
        <v>1</v>
      </c>
      <c r="AK679" s="370" t="str">
        <f t="shared" si="243"/>
        <v/>
      </c>
      <c r="AN679">
        <f t="shared" si="244"/>
        <v>0</v>
      </c>
      <c r="AO679">
        <f t="shared" si="245"/>
        <v>1900</v>
      </c>
      <c r="AV679">
        <f t="shared" si="248"/>
        <v>0</v>
      </c>
      <c r="AW679">
        <f t="shared" si="249"/>
        <v>0</v>
      </c>
    </row>
    <row r="680" spans="4:49" ht="15.75" x14ac:dyDescent="0.25">
      <c r="D680" s="199"/>
      <c r="E680" s="200"/>
      <c r="F680" s="287"/>
      <c r="G680" s="201"/>
      <c r="H680" s="219"/>
      <c r="I680" s="202"/>
      <c r="J680" s="200"/>
      <c r="K680" s="200"/>
      <c r="L680" s="203"/>
      <c r="M680" s="204">
        <f ca="1">IF(ISERROR(OFFSET(Tabella!$A$1,MATCH(J680,Tabella!$A:$A,0)-1,MATCH(L680,Tabella!$A$1:$AC$1,0)-1)=TRUE),0,+OFFSET(Tabella!$A$1,MATCH(J680,Tabella!$A:$A,0)-1,MATCH(L680,Tabella!$A$1:$AC$1,0)-1))</f>
        <v>0</v>
      </c>
      <c r="N680" s="205">
        <f ca="1">IF(ISERROR(OFFSET(Ottone!$A$1,MATCH(J680,Ottone!$A:$A,0)-1,MATCH(L680,Ottone!$A$1:$Z$1,0)-1)=TRUE),0,OFFSET(Ottone!$A$1,MATCH(J680,Ottone!$A:$A,0)-1,MATCH(L680,Ottone!$A$1:$Z$1,0)-1))*IF(G680="Ottone",1,0)</f>
        <v>0</v>
      </c>
      <c r="O680" s="205">
        <f ca="1">IF(ISERROR(OFFSET(Rame!$A$1,MATCH(J680,Rame!$A:$A,0)-1,MATCH(L680,Rame!$A$1:$AA$1,0)-1)=TRUE),0,OFFSET(Rame!$A$1,MATCH(J680,Rame!$A:$A,0)-1,MATCH(L680,Rame!$A$1:$AA$1,0)-1))*IF(G680="Rame",1,0)</f>
        <v>0</v>
      </c>
      <c r="P680" s="205">
        <v>0</v>
      </c>
      <c r="Q680" s="205">
        <f t="shared" ca="1" si="237"/>
        <v>0</v>
      </c>
      <c r="R680" s="205">
        <f ca="1">+IF(ISERROR(OFFSET(Tabella!$G$1,MATCH(J680,Tabella!$G:$G,0)-1,MATCH(K680,Tabella!$G$1:$FG$1,0)-1)=TRUE),0,OFFSET(Tabella!$G$1,MATCH(J680,Tabella!$G:$G,0)-1,MATCH(K680,Tabella!$G$1:$AB$1,0)-1))</f>
        <v>0</v>
      </c>
      <c r="S680" s="205">
        <f ca="1">IF(ISERROR(OFFSET(Ottone!$F$1,MATCH(J680,Ottone!$A:$A,0)-1,MATCH(K680,Ottone!$F$1:$FF$1,0)-1)=TRUE),0,OFFSET(Ottone!$F$1,MATCH(J680,Ottone!$A:$A,0)-1,MATCH(K680,Ottone!$F$1:$FF$1,0)-1))*IF(G680="Ottone",1,0)</f>
        <v>0</v>
      </c>
      <c r="T680" s="205">
        <f ca="1">IF(ISERROR(OFFSET(Rame!$F$1,MATCH(J680,Rame!$F:$F,0)-1,MATCH(K680,Rame!$F$1:$FF$1,0)-1)=TRUE),0,OFFSET(Rame!$F$1,MATCH(J680,Rame!$F:$F,0)-1,MATCH(K680,Rame!$F$1:$FF$1,0)-1))*IF(G680="Rame",1,0)</f>
        <v>0</v>
      </c>
      <c r="U680" s="205">
        <f ca="1">IF(ISERROR(OFFSET(Bronzo!$A$1,MATCH(J680,Bronzo!$A:$A,0)-1,MATCH(K680,Bronzo!$A$1:$AA$1,0)-1)=TRUE),0,OFFSET(Bronzo!$A$1,MATCH(J680,Bronzo!$A:$A,0)-1,MATCH(K680,Bronzo!$A$1:$AA$1,0)-1))</f>
        <v>0</v>
      </c>
      <c r="V680" s="205">
        <f t="shared" ca="1" si="238"/>
        <v>0</v>
      </c>
      <c r="W680" s="204"/>
      <c r="X680" s="205">
        <v>0</v>
      </c>
      <c r="Y680" s="206">
        <f t="shared" ca="1" si="239"/>
        <v>0</v>
      </c>
      <c r="Z680" s="277">
        <f t="shared" si="240"/>
        <v>0</v>
      </c>
      <c r="AA680" s="203"/>
      <c r="AB680" s="203">
        <f t="shared" ca="1" si="241"/>
        <v>0</v>
      </c>
      <c r="AC680" s="238"/>
      <c r="AI680" s="367">
        <f t="shared" ca="1" si="236"/>
        <v>46092</v>
      </c>
      <c r="AJ680" s="367" t="b">
        <f t="shared" si="242"/>
        <v>1</v>
      </c>
      <c r="AK680" s="370" t="str">
        <f t="shared" si="243"/>
        <v/>
      </c>
      <c r="AN680">
        <f t="shared" si="244"/>
        <v>0</v>
      </c>
      <c r="AO680">
        <f t="shared" si="245"/>
        <v>1900</v>
      </c>
      <c r="AV680">
        <f t="shared" si="248"/>
        <v>0</v>
      </c>
      <c r="AW680">
        <f t="shared" si="249"/>
        <v>0</v>
      </c>
    </row>
    <row r="681" spans="4:49" ht="15.75" x14ac:dyDescent="0.25">
      <c r="D681" s="199"/>
      <c r="E681" s="200"/>
      <c r="F681" s="287"/>
      <c r="G681" s="201"/>
      <c r="H681" s="219"/>
      <c r="I681" s="202"/>
      <c r="J681" s="200"/>
      <c r="K681" s="200"/>
      <c r="L681" s="203"/>
      <c r="M681" s="204">
        <f ca="1">IF(ISERROR(OFFSET(Tabella!$A$1,MATCH(J681,Tabella!$A:$A,0)-1,MATCH(L681,Tabella!$A$1:$AC$1,0)-1)=TRUE),0,+OFFSET(Tabella!$A$1,MATCH(J681,Tabella!$A:$A,0)-1,MATCH(L681,Tabella!$A$1:$AC$1,0)-1))</f>
        <v>0</v>
      </c>
      <c r="N681" s="205">
        <f ca="1">IF(ISERROR(OFFSET(Ottone!$A$1,MATCH(J681,Ottone!$A:$A,0)-1,MATCH(L681,Ottone!$A$1:$Z$1,0)-1)=TRUE),0,OFFSET(Ottone!$A$1,MATCH(J681,Ottone!$A:$A,0)-1,MATCH(L681,Ottone!$A$1:$Z$1,0)-1))*IF(G681="Ottone",1,0)</f>
        <v>0</v>
      </c>
      <c r="O681" s="205">
        <f ca="1">IF(ISERROR(OFFSET(Rame!$A$1,MATCH(J681,Rame!$A:$A,0)-1,MATCH(L681,Rame!$A$1:$AA$1,0)-1)=TRUE),0,OFFSET(Rame!$A$1,MATCH(J681,Rame!$A:$A,0)-1,MATCH(L681,Rame!$A$1:$AA$1,0)-1))*IF(G681="Rame",1,0)</f>
        <v>0</v>
      </c>
      <c r="P681" s="205">
        <v>0</v>
      </c>
      <c r="Q681" s="205">
        <f t="shared" ca="1" si="237"/>
        <v>0</v>
      </c>
      <c r="R681" s="205">
        <f ca="1">+IF(ISERROR(OFFSET(Tabella!$G$1,MATCH(J681,Tabella!$G:$G,0)-1,MATCH(K681,Tabella!$G$1:$FG$1,0)-1)=TRUE),0,OFFSET(Tabella!$G$1,MATCH(J681,Tabella!$G:$G,0)-1,MATCH(K681,Tabella!$G$1:$AB$1,0)-1))</f>
        <v>0</v>
      </c>
      <c r="S681" s="205">
        <f ca="1">IF(ISERROR(OFFSET(Ottone!$F$1,MATCH(J681,Ottone!$A:$A,0)-1,MATCH(K681,Ottone!$F$1:$FF$1,0)-1)=TRUE),0,OFFSET(Ottone!$F$1,MATCH(J681,Ottone!$A:$A,0)-1,MATCH(K681,Ottone!$F$1:$FF$1,0)-1))*IF(G681="Ottone",1,0)</f>
        <v>0</v>
      </c>
      <c r="T681" s="205">
        <f ca="1">IF(ISERROR(OFFSET(Rame!$F$1,MATCH(J681,Rame!$F:$F,0)-1,MATCH(K681,Rame!$F$1:$FF$1,0)-1)=TRUE),0,OFFSET(Rame!$F$1,MATCH(J681,Rame!$F:$F,0)-1,MATCH(K681,Rame!$F$1:$FF$1,0)-1))*IF(G681="Rame",1,0)</f>
        <v>0</v>
      </c>
      <c r="U681" s="205">
        <f ca="1">IF(ISERROR(OFFSET(Bronzo!$A$1,MATCH(J681,Bronzo!$A:$A,0)-1,MATCH(K681,Bronzo!$A$1:$AA$1,0)-1)=TRUE),0,OFFSET(Bronzo!$A$1,MATCH(J681,Bronzo!$A:$A,0)-1,MATCH(K681,Bronzo!$A$1:$AA$1,0)-1))</f>
        <v>0</v>
      </c>
      <c r="V681" s="205">
        <f t="shared" ca="1" si="238"/>
        <v>0</v>
      </c>
      <c r="W681" s="204"/>
      <c r="X681" s="205">
        <v>0</v>
      </c>
      <c r="Y681" s="206">
        <f t="shared" ca="1" si="239"/>
        <v>0</v>
      </c>
      <c r="Z681" s="277">
        <f t="shared" si="240"/>
        <v>0</v>
      </c>
      <c r="AA681" s="203"/>
      <c r="AB681" s="203">
        <f t="shared" ca="1" si="241"/>
        <v>0</v>
      </c>
      <c r="AC681" s="238"/>
      <c r="AI681" s="367">
        <f t="shared" ca="1" si="236"/>
        <v>46092</v>
      </c>
      <c r="AJ681" s="367" t="b">
        <f t="shared" si="242"/>
        <v>1</v>
      </c>
      <c r="AK681" s="370" t="str">
        <f t="shared" si="243"/>
        <v/>
      </c>
      <c r="AN681">
        <f t="shared" si="244"/>
        <v>0</v>
      </c>
      <c r="AO681">
        <f t="shared" si="245"/>
        <v>1900</v>
      </c>
      <c r="AV681">
        <f t="shared" si="248"/>
        <v>0</v>
      </c>
      <c r="AW681">
        <f t="shared" si="249"/>
        <v>0</v>
      </c>
    </row>
    <row r="682" spans="4:49" ht="15.75" x14ac:dyDescent="0.25">
      <c r="D682" s="199"/>
      <c r="E682" s="200"/>
      <c r="F682" s="287"/>
      <c r="G682" s="201"/>
      <c r="H682" s="219"/>
      <c r="I682" s="202"/>
      <c r="J682" s="200"/>
      <c r="K682" s="200"/>
      <c r="L682" s="203"/>
      <c r="M682" s="204">
        <f ca="1">IF(ISERROR(OFFSET(Tabella!$A$1,MATCH(J682,Tabella!$A:$A,0)-1,MATCH(L682,Tabella!$A$1:$AC$1,0)-1)=TRUE),0,+OFFSET(Tabella!$A$1,MATCH(J682,Tabella!$A:$A,0)-1,MATCH(L682,Tabella!$A$1:$AC$1,0)-1))</f>
        <v>0</v>
      </c>
      <c r="N682" s="205">
        <f ca="1">IF(ISERROR(OFFSET(Ottone!$A$1,MATCH(J682,Ottone!$A:$A,0)-1,MATCH(L682,Ottone!$A$1:$Z$1,0)-1)=TRUE),0,OFFSET(Ottone!$A$1,MATCH(J682,Ottone!$A:$A,0)-1,MATCH(L682,Ottone!$A$1:$Z$1,0)-1))*IF(G682="Ottone",1,0)</f>
        <v>0</v>
      </c>
      <c r="O682" s="205">
        <f ca="1">IF(ISERROR(OFFSET(Rame!$A$1,MATCH(J682,Rame!$A:$A,0)-1,MATCH(L682,Rame!$A$1:$AA$1,0)-1)=TRUE),0,OFFSET(Rame!$A$1,MATCH(J682,Rame!$A:$A,0)-1,MATCH(L682,Rame!$A$1:$AA$1,0)-1))*IF(G682="Rame",1,0)</f>
        <v>0</v>
      </c>
      <c r="P682" s="205">
        <v>0</v>
      </c>
      <c r="Q682" s="205">
        <f t="shared" ca="1" si="237"/>
        <v>0</v>
      </c>
      <c r="R682" s="205">
        <f ca="1">+IF(ISERROR(OFFSET(Tabella!$G$1,MATCH(J682,Tabella!$G:$G,0)-1,MATCH(K682,Tabella!$G$1:$FG$1,0)-1)=TRUE),0,OFFSET(Tabella!$G$1,MATCH(J682,Tabella!$G:$G,0)-1,MATCH(K682,Tabella!$G$1:$AB$1,0)-1))</f>
        <v>0</v>
      </c>
      <c r="S682" s="205">
        <f ca="1">IF(ISERROR(OFFSET(Ottone!$F$1,MATCH(J682,Ottone!$A:$A,0)-1,MATCH(K682,Ottone!$F$1:$FF$1,0)-1)=TRUE),0,OFFSET(Ottone!$F$1,MATCH(J682,Ottone!$A:$A,0)-1,MATCH(K682,Ottone!$F$1:$FF$1,0)-1))*IF(G682="Ottone",1,0)</f>
        <v>0</v>
      </c>
      <c r="T682" s="205">
        <f ca="1">IF(ISERROR(OFFSET(Rame!$F$1,MATCH(J682,Rame!$F:$F,0)-1,MATCH(K682,Rame!$F$1:$FF$1,0)-1)=TRUE),0,OFFSET(Rame!$F$1,MATCH(J682,Rame!$F:$F,0)-1,MATCH(K682,Rame!$F$1:$FF$1,0)-1))*IF(G682="Rame",1,0)</f>
        <v>0</v>
      </c>
      <c r="U682" s="205">
        <f ca="1">IF(ISERROR(OFFSET(Bronzo!$A$1,MATCH(J682,Bronzo!$A:$A,0)-1,MATCH(K682,Bronzo!$A$1:$AA$1,0)-1)=TRUE),0,OFFSET(Bronzo!$A$1,MATCH(J682,Bronzo!$A:$A,0)-1,MATCH(K682,Bronzo!$A$1:$AA$1,0)-1))</f>
        <v>0</v>
      </c>
      <c r="V682" s="205">
        <f t="shared" ca="1" si="238"/>
        <v>0</v>
      </c>
      <c r="W682" s="204"/>
      <c r="X682" s="205">
        <v>0</v>
      </c>
      <c r="Y682" s="206">
        <f t="shared" ca="1" si="239"/>
        <v>0</v>
      </c>
      <c r="Z682" s="277">
        <f t="shared" si="240"/>
        <v>0</v>
      </c>
      <c r="AA682" s="203"/>
      <c r="AB682" s="203">
        <f t="shared" ca="1" si="241"/>
        <v>0</v>
      </c>
      <c r="AC682" s="238"/>
      <c r="AI682" s="367">
        <f t="shared" ca="1" si="236"/>
        <v>46092</v>
      </c>
      <c r="AJ682" s="367" t="b">
        <f t="shared" si="242"/>
        <v>1</v>
      </c>
      <c r="AK682" s="370" t="str">
        <f t="shared" si="243"/>
        <v/>
      </c>
      <c r="AN682">
        <f t="shared" si="244"/>
        <v>0</v>
      </c>
      <c r="AO682">
        <f t="shared" si="245"/>
        <v>1900</v>
      </c>
      <c r="AV682">
        <f t="shared" si="248"/>
        <v>0</v>
      </c>
      <c r="AW682">
        <f t="shared" si="249"/>
        <v>0</v>
      </c>
    </row>
    <row r="683" spans="4:49" ht="15.75" x14ac:dyDescent="0.25">
      <c r="D683" s="199"/>
      <c r="E683" s="200"/>
      <c r="F683" s="287"/>
      <c r="G683" s="201"/>
      <c r="H683" s="219"/>
      <c r="I683" s="202"/>
      <c r="J683" s="200"/>
      <c r="K683" s="200"/>
      <c r="L683" s="203"/>
      <c r="M683" s="204">
        <f ca="1">IF(ISERROR(OFFSET(Tabella!$A$1,MATCH(J683,Tabella!$A:$A,0)-1,MATCH(L683,Tabella!$A$1:$AC$1,0)-1)=TRUE),0,+OFFSET(Tabella!$A$1,MATCH(J683,Tabella!$A:$A,0)-1,MATCH(L683,Tabella!$A$1:$AC$1,0)-1))</f>
        <v>0</v>
      </c>
      <c r="N683" s="205">
        <f ca="1">IF(ISERROR(OFFSET(Ottone!$A$1,MATCH(J683,Ottone!$A:$A,0)-1,MATCH(L683,Ottone!$A$1:$Z$1,0)-1)=TRUE),0,OFFSET(Ottone!$A$1,MATCH(J683,Ottone!$A:$A,0)-1,MATCH(L683,Ottone!$A$1:$Z$1,0)-1))*IF(G683="Ottone",1,0)</f>
        <v>0</v>
      </c>
      <c r="O683" s="205">
        <f ca="1">IF(ISERROR(OFFSET(Rame!$A$1,MATCH(J683,Rame!$A:$A,0)-1,MATCH(L683,Rame!$A$1:$AA$1,0)-1)=TRUE),0,OFFSET(Rame!$A$1,MATCH(J683,Rame!$A:$A,0)-1,MATCH(L683,Rame!$A$1:$AA$1,0)-1))*IF(G683="Rame",1,0)</f>
        <v>0</v>
      </c>
      <c r="P683" s="205">
        <v>0</v>
      </c>
      <c r="Q683" s="205">
        <f t="shared" ca="1" si="237"/>
        <v>0</v>
      </c>
      <c r="R683" s="205">
        <f ca="1">+IF(ISERROR(OFFSET(Tabella!$G$1,MATCH(J683,Tabella!$G:$G,0)-1,MATCH(K683,Tabella!$G$1:$FG$1,0)-1)=TRUE),0,OFFSET(Tabella!$G$1,MATCH(J683,Tabella!$G:$G,0)-1,MATCH(K683,Tabella!$G$1:$AB$1,0)-1))</f>
        <v>0</v>
      </c>
      <c r="S683" s="205">
        <f ca="1">IF(ISERROR(OFFSET(Ottone!$F$1,MATCH(J683,Ottone!$A:$A,0)-1,MATCH(K683,Ottone!$F$1:$FF$1,0)-1)=TRUE),0,OFFSET(Ottone!$F$1,MATCH(J683,Ottone!$A:$A,0)-1,MATCH(K683,Ottone!$F$1:$FF$1,0)-1))*IF(G683="Ottone",1,0)</f>
        <v>0</v>
      </c>
      <c r="T683" s="205">
        <f ca="1">IF(ISERROR(OFFSET(Rame!$F$1,MATCH(J683,Rame!$F:$F,0)-1,MATCH(K683,Rame!$F$1:$FF$1,0)-1)=TRUE),0,OFFSET(Rame!$F$1,MATCH(J683,Rame!$F:$F,0)-1,MATCH(K683,Rame!$F$1:$FF$1,0)-1))*IF(G683="Rame",1,0)</f>
        <v>0</v>
      </c>
      <c r="U683" s="205">
        <f ca="1">IF(ISERROR(OFFSET(Bronzo!$A$1,MATCH(J683,Bronzo!$A:$A,0)-1,MATCH(K683,Bronzo!$A$1:$AA$1,0)-1)=TRUE),0,OFFSET(Bronzo!$A$1,MATCH(J683,Bronzo!$A:$A,0)-1,MATCH(K683,Bronzo!$A$1:$AA$1,0)-1))</f>
        <v>0</v>
      </c>
      <c r="V683" s="205">
        <f t="shared" ca="1" si="238"/>
        <v>0</v>
      </c>
      <c r="W683" s="204"/>
      <c r="X683" s="205">
        <v>0</v>
      </c>
      <c r="Y683" s="206">
        <f t="shared" ca="1" si="239"/>
        <v>0</v>
      </c>
      <c r="Z683" s="277">
        <f t="shared" si="240"/>
        <v>0</v>
      </c>
      <c r="AA683" s="203"/>
      <c r="AB683" s="203">
        <f t="shared" ca="1" si="241"/>
        <v>0</v>
      </c>
      <c r="AC683" s="238"/>
      <c r="AI683" s="367">
        <f t="shared" ca="1" si="236"/>
        <v>46092</v>
      </c>
      <c r="AJ683" s="367" t="b">
        <f t="shared" si="242"/>
        <v>1</v>
      </c>
      <c r="AK683" s="370" t="str">
        <f t="shared" si="243"/>
        <v/>
      </c>
      <c r="AN683">
        <f t="shared" si="244"/>
        <v>0</v>
      </c>
      <c r="AO683">
        <f t="shared" si="245"/>
        <v>1900</v>
      </c>
      <c r="AV683">
        <f t="shared" si="248"/>
        <v>0</v>
      </c>
      <c r="AW683">
        <f t="shared" si="249"/>
        <v>0</v>
      </c>
    </row>
    <row r="684" spans="4:49" ht="15.75" x14ac:dyDescent="0.25">
      <c r="D684" s="199"/>
      <c r="E684" s="200"/>
      <c r="F684" s="287"/>
      <c r="G684" s="201"/>
      <c r="H684" s="219"/>
      <c r="I684" s="202"/>
      <c r="J684" s="200"/>
      <c r="K684" s="200"/>
      <c r="L684" s="203"/>
      <c r="M684" s="204">
        <f ca="1">IF(ISERROR(OFFSET(Tabella!$A$1,MATCH(J684,Tabella!$A:$A,0)-1,MATCH(L684,Tabella!$A$1:$AC$1,0)-1)=TRUE),0,+OFFSET(Tabella!$A$1,MATCH(J684,Tabella!$A:$A,0)-1,MATCH(L684,Tabella!$A$1:$AC$1,0)-1))</f>
        <v>0</v>
      </c>
      <c r="N684" s="205">
        <f ca="1">IF(ISERROR(OFFSET(Ottone!$A$1,MATCH(J684,Ottone!$A:$A,0)-1,MATCH(L684,Ottone!$A$1:$Z$1,0)-1)=TRUE),0,OFFSET(Ottone!$A$1,MATCH(J684,Ottone!$A:$A,0)-1,MATCH(L684,Ottone!$A$1:$Z$1,0)-1))*IF(G684="Ottone",1,0)</f>
        <v>0</v>
      </c>
      <c r="O684" s="205">
        <f ca="1">IF(ISERROR(OFFSET(Rame!$A$1,MATCH(J684,Rame!$A:$A,0)-1,MATCH(L684,Rame!$A$1:$AA$1,0)-1)=TRUE),0,OFFSET(Rame!$A$1,MATCH(J684,Rame!$A:$A,0)-1,MATCH(L684,Rame!$A$1:$AA$1,0)-1))*IF(G684="Rame",1,0)</f>
        <v>0</v>
      </c>
      <c r="P684" s="205">
        <v>0</v>
      </c>
      <c r="Q684" s="205">
        <f t="shared" ca="1" si="237"/>
        <v>0</v>
      </c>
      <c r="R684" s="205">
        <f ca="1">+IF(ISERROR(OFFSET(Tabella!$G$1,MATCH(J684,Tabella!$G:$G,0)-1,MATCH(K684,Tabella!$G$1:$FG$1,0)-1)=TRUE),0,OFFSET(Tabella!$G$1,MATCH(J684,Tabella!$G:$G,0)-1,MATCH(K684,Tabella!$G$1:$AB$1,0)-1))</f>
        <v>0</v>
      </c>
      <c r="S684" s="205">
        <f ca="1">IF(ISERROR(OFFSET(Ottone!$F$1,MATCH(J684,Ottone!$A:$A,0)-1,MATCH(K684,Ottone!$F$1:$FF$1,0)-1)=TRUE),0,OFFSET(Ottone!$F$1,MATCH(J684,Ottone!$A:$A,0)-1,MATCH(K684,Ottone!$F$1:$FF$1,0)-1))*IF(G684="Ottone",1,0)</f>
        <v>0</v>
      </c>
      <c r="T684" s="205">
        <f ca="1">IF(ISERROR(OFFSET(Rame!$F$1,MATCH(J684,Rame!$F:$F,0)-1,MATCH(K684,Rame!$F$1:$FF$1,0)-1)=TRUE),0,OFFSET(Rame!$F$1,MATCH(J684,Rame!$F:$F,0)-1,MATCH(K684,Rame!$F$1:$FF$1,0)-1))*IF(G684="Rame",1,0)</f>
        <v>0</v>
      </c>
      <c r="U684" s="205">
        <f ca="1">IF(ISERROR(OFFSET(Bronzo!$A$1,MATCH(J684,Bronzo!$A:$A,0)-1,MATCH(K684,Bronzo!$A$1:$AA$1,0)-1)=TRUE),0,OFFSET(Bronzo!$A$1,MATCH(J684,Bronzo!$A:$A,0)-1,MATCH(K684,Bronzo!$A$1:$AA$1,0)-1))</f>
        <v>0</v>
      </c>
      <c r="V684" s="205">
        <f t="shared" ca="1" si="238"/>
        <v>0</v>
      </c>
      <c r="W684" s="204"/>
      <c r="X684" s="205">
        <v>0</v>
      </c>
      <c r="Y684" s="206">
        <f t="shared" ca="1" si="239"/>
        <v>0</v>
      </c>
      <c r="Z684" s="277">
        <f t="shared" si="240"/>
        <v>0</v>
      </c>
      <c r="AA684" s="203"/>
      <c r="AB684" s="203">
        <f t="shared" ca="1" si="241"/>
        <v>0</v>
      </c>
      <c r="AC684" s="238"/>
      <c r="AI684" s="367">
        <f t="shared" ca="1" si="236"/>
        <v>46092</v>
      </c>
      <c r="AJ684" s="367" t="b">
        <f t="shared" si="242"/>
        <v>1</v>
      </c>
      <c r="AK684" s="370" t="str">
        <f t="shared" si="243"/>
        <v/>
      </c>
      <c r="AN684">
        <f t="shared" si="244"/>
        <v>0</v>
      </c>
      <c r="AO684">
        <f t="shared" si="245"/>
        <v>1900</v>
      </c>
      <c r="AV684">
        <f t="shared" si="248"/>
        <v>0</v>
      </c>
      <c r="AW684">
        <f t="shared" si="249"/>
        <v>0</v>
      </c>
    </row>
    <row r="685" spans="4:49" ht="15.75" x14ac:dyDescent="0.25">
      <c r="D685" s="199"/>
      <c r="E685" s="200"/>
      <c r="F685" s="287"/>
      <c r="G685" s="201"/>
      <c r="H685" s="219"/>
      <c r="I685" s="202"/>
      <c r="J685" s="200"/>
      <c r="K685" s="200"/>
      <c r="L685" s="203"/>
      <c r="M685" s="204">
        <f ca="1">IF(ISERROR(OFFSET(Tabella!$A$1,MATCH(J685,Tabella!$A:$A,0)-1,MATCH(L685,Tabella!$A$1:$AC$1,0)-1)=TRUE),0,+OFFSET(Tabella!$A$1,MATCH(J685,Tabella!$A:$A,0)-1,MATCH(L685,Tabella!$A$1:$AC$1,0)-1))</f>
        <v>0</v>
      </c>
      <c r="N685" s="205">
        <f ca="1">IF(ISERROR(OFFSET(Ottone!$A$1,MATCH(J685,Ottone!$A:$A,0)-1,MATCH(L685,Ottone!$A$1:$Z$1,0)-1)=TRUE),0,OFFSET(Ottone!$A$1,MATCH(J685,Ottone!$A:$A,0)-1,MATCH(L685,Ottone!$A$1:$Z$1,0)-1))*IF(G685="Ottone",1,0)</f>
        <v>0</v>
      </c>
      <c r="O685" s="205">
        <f ca="1">IF(ISERROR(OFFSET(Rame!$A$1,MATCH(J685,Rame!$A:$A,0)-1,MATCH(L685,Rame!$A$1:$AA$1,0)-1)=TRUE),0,OFFSET(Rame!$A$1,MATCH(J685,Rame!$A:$A,0)-1,MATCH(L685,Rame!$A$1:$AA$1,0)-1))*IF(G685="Rame",1,0)</f>
        <v>0</v>
      </c>
      <c r="P685" s="205">
        <v>0</v>
      </c>
      <c r="Q685" s="205">
        <f t="shared" ca="1" si="237"/>
        <v>0</v>
      </c>
      <c r="R685" s="205">
        <f ca="1">+IF(ISERROR(OFFSET(Tabella!$G$1,MATCH(J685,Tabella!$G:$G,0)-1,MATCH(K685,Tabella!$G$1:$FG$1,0)-1)=TRUE),0,OFFSET(Tabella!$G$1,MATCH(J685,Tabella!$G:$G,0)-1,MATCH(K685,Tabella!$G$1:$AB$1,0)-1))</f>
        <v>0</v>
      </c>
      <c r="S685" s="205">
        <f ca="1">IF(ISERROR(OFFSET(Ottone!$F$1,MATCH(J685,Ottone!$A:$A,0)-1,MATCH(K685,Ottone!$F$1:$FF$1,0)-1)=TRUE),0,OFFSET(Ottone!$F$1,MATCH(J685,Ottone!$A:$A,0)-1,MATCH(K685,Ottone!$F$1:$FF$1,0)-1))*IF(G685="Ottone",1,0)</f>
        <v>0</v>
      </c>
      <c r="T685" s="205">
        <f ca="1">IF(ISERROR(OFFSET(Rame!$F$1,MATCH(J685,Rame!$F:$F,0)-1,MATCH(K685,Rame!$F$1:$FF$1,0)-1)=TRUE),0,OFFSET(Rame!$F$1,MATCH(J685,Rame!$F:$F,0)-1,MATCH(K685,Rame!$F$1:$FF$1,0)-1))*IF(G685="Rame",1,0)</f>
        <v>0</v>
      </c>
      <c r="U685" s="205">
        <f ca="1">IF(ISERROR(OFFSET(Bronzo!$A$1,MATCH(J685,Bronzo!$A:$A,0)-1,MATCH(K685,Bronzo!$A$1:$AA$1,0)-1)=TRUE),0,OFFSET(Bronzo!$A$1,MATCH(J685,Bronzo!$A:$A,0)-1,MATCH(K685,Bronzo!$A$1:$AA$1,0)-1))</f>
        <v>0</v>
      </c>
      <c r="V685" s="205">
        <f t="shared" ca="1" si="238"/>
        <v>0</v>
      </c>
      <c r="W685" s="204"/>
      <c r="X685" s="205">
        <v>0</v>
      </c>
      <c r="Y685" s="206">
        <f t="shared" ca="1" si="239"/>
        <v>0</v>
      </c>
      <c r="Z685" s="277">
        <f t="shared" si="240"/>
        <v>0</v>
      </c>
      <c r="AA685" s="203"/>
      <c r="AB685" s="203">
        <f t="shared" ca="1" si="241"/>
        <v>0</v>
      </c>
      <c r="AC685" s="238"/>
      <c r="AI685" s="367">
        <f t="shared" ca="1" si="236"/>
        <v>46092</v>
      </c>
      <c r="AJ685" s="367" t="b">
        <f t="shared" si="242"/>
        <v>1</v>
      </c>
      <c r="AK685" s="370" t="str">
        <f t="shared" si="243"/>
        <v/>
      </c>
      <c r="AN685">
        <f t="shared" si="244"/>
        <v>0</v>
      </c>
      <c r="AO685">
        <f t="shared" si="245"/>
        <v>1900</v>
      </c>
      <c r="AV685">
        <f t="shared" si="248"/>
        <v>0</v>
      </c>
      <c r="AW685">
        <f t="shared" si="249"/>
        <v>0</v>
      </c>
    </row>
    <row r="686" spans="4:49" ht="15.75" x14ac:dyDescent="0.25">
      <c r="D686" s="199"/>
      <c r="E686" s="200"/>
      <c r="F686" s="287"/>
      <c r="G686" s="201"/>
      <c r="H686" s="219"/>
      <c r="I686" s="202"/>
      <c r="J686" s="200"/>
      <c r="K686" s="200"/>
      <c r="L686" s="203"/>
      <c r="M686" s="204">
        <f ca="1">IF(ISERROR(OFFSET(Tabella!$A$1,MATCH(J686,Tabella!$A:$A,0)-1,MATCH(L686,Tabella!$A$1:$AC$1,0)-1)=TRUE),0,+OFFSET(Tabella!$A$1,MATCH(J686,Tabella!$A:$A,0)-1,MATCH(L686,Tabella!$A$1:$AC$1,0)-1))</f>
        <v>0</v>
      </c>
      <c r="N686" s="205">
        <f ca="1">IF(ISERROR(OFFSET(Ottone!$A$1,MATCH(J686,Ottone!$A:$A,0)-1,MATCH(L686,Ottone!$A$1:$Z$1,0)-1)=TRUE),0,OFFSET(Ottone!$A$1,MATCH(J686,Ottone!$A:$A,0)-1,MATCH(L686,Ottone!$A$1:$Z$1,0)-1))*IF(G686="Ottone",1,0)</f>
        <v>0</v>
      </c>
      <c r="O686" s="205">
        <f ca="1">IF(ISERROR(OFFSET(Rame!$A$1,MATCH(J686,Rame!$A:$A,0)-1,MATCH(L686,Rame!$A$1:$AA$1,0)-1)=TRUE),0,OFFSET(Rame!$A$1,MATCH(J686,Rame!$A:$A,0)-1,MATCH(L686,Rame!$A$1:$AA$1,0)-1))*IF(G686="Rame",1,0)</f>
        <v>0</v>
      </c>
      <c r="P686" s="205">
        <v>0</v>
      </c>
      <c r="Q686" s="205">
        <f t="shared" ca="1" si="237"/>
        <v>0</v>
      </c>
      <c r="R686" s="205">
        <f ca="1">+IF(ISERROR(OFFSET(Tabella!$G$1,MATCH(J686,Tabella!$G:$G,0)-1,MATCH(K686,Tabella!$G$1:$FG$1,0)-1)=TRUE),0,OFFSET(Tabella!$G$1,MATCH(J686,Tabella!$G:$G,0)-1,MATCH(K686,Tabella!$G$1:$AB$1,0)-1))</f>
        <v>0</v>
      </c>
      <c r="S686" s="205">
        <f ca="1">IF(ISERROR(OFFSET(Ottone!$F$1,MATCH(J686,Ottone!$A:$A,0)-1,MATCH(K686,Ottone!$F$1:$FF$1,0)-1)=TRUE),0,OFFSET(Ottone!$F$1,MATCH(J686,Ottone!$A:$A,0)-1,MATCH(K686,Ottone!$F$1:$FF$1,0)-1))*IF(G686="Ottone",1,0)</f>
        <v>0</v>
      </c>
      <c r="T686" s="205">
        <f ca="1">IF(ISERROR(OFFSET(Rame!$F$1,MATCH(J686,Rame!$F:$F,0)-1,MATCH(K686,Rame!$F$1:$FF$1,0)-1)=TRUE),0,OFFSET(Rame!$F$1,MATCH(J686,Rame!$F:$F,0)-1,MATCH(K686,Rame!$F$1:$FF$1,0)-1))*IF(G686="Rame",1,0)</f>
        <v>0</v>
      </c>
      <c r="U686" s="205">
        <f ca="1">IF(ISERROR(OFFSET(Bronzo!$A$1,MATCH(J686,Bronzo!$A:$A,0)-1,MATCH(K686,Bronzo!$A$1:$AA$1,0)-1)=TRUE),0,OFFSET(Bronzo!$A$1,MATCH(J686,Bronzo!$A:$A,0)-1,MATCH(K686,Bronzo!$A$1:$AA$1,0)-1))</f>
        <v>0</v>
      </c>
      <c r="V686" s="205">
        <f t="shared" ca="1" si="238"/>
        <v>0</v>
      </c>
      <c r="W686" s="204"/>
      <c r="X686" s="205">
        <v>0</v>
      </c>
      <c r="Y686" s="206">
        <f t="shared" ca="1" si="239"/>
        <v>0</v>
      </c>
      <c r="Z686" s="277">
        <f t="shared" si="240"/>
        <v>0</v>
      </c>
      <c r="AA686" s="203"/>
      <c r="AB686" s="203">
        <f t="shared" ca="1" si="241"/>
        <v>0</v>
      </c>
      <c r="AC686" s="238"/>
      <c r="AI686" s="367">
        <f t="shared" ca="1" si="236"/>
        <v>46092</v>
      </c>
      <c r="AJ686" s="367" t="b">
        <f t="shared" si="242"/>
        <v>1</v>
      </c>
      <c r="AK686" s="370" t="str">
        <f t="shared" si="243"/>
        <v/>
      </c>
      <c r="AN686">
        <f t="shared" si="244"/>
        <v>0</v>
      </c>
      <c r="AO686">
        <f t="shared" si="245"/>
        <v>1900</v>
      </c>
      <c r="AV686">
        <f t="shared" si="248"/>
        <v>0</v>
      </c>
      <c r="AW686">
        <f t="shared" si="249"/>
        <v>0</v>
      </c>
    </row>
    <row r="687" spans="4:49" ht="15.75" x14ac:dyDescent="0.25">
      <c r="D687" s="199"/>
      <c r="E687" s="200"/>
      <c r="F687" s="287"/>
      <c r="G687" s="201"/>
      <c r="H687" s="219"/>
      <c r="I687" s="202"/>
      <c r="J687" s="200"/>
      <c r="K687" s="200"/>
      <c r="L687" s="203"/>
      <c r="M687" s="204">
        <f ca="1">IF(ISERROR(OFFSET(Tabella!$A$1,MATCH(J687,Tabella!$A:$A,0)-1,MATCH(L687,Tabella!$A$1:$AC$1,0)-1)=TRUE),0,+OFFSET(Tabella!$A$1,MATCH(J687,Tabella!$A:$A,0)-1,MATCH(L687,Tabella!$A$1:$AC$1,0)-1))</f>
        <v>0</v>
      </c>
      <c r="N687" s="205">
        <f ca="1">IF(ISERROR(OFFSET(Ottone!$A$1,MATCH(J687,Ottone!$A:$A,0)-1,MATCH(L687,Ottone!$A$1:$Z$1,0)-1)=TRUE),0,OFFSET(Ottone!$A$1,MATCH(J687,Ottone!$A:$A,0)-1,MATCH(L687,Ottone!$A$1:$Z$1,0)-1))*IF(G687="Ottone",1,0)</f>
        <v>0</v>
      </c>
      <c r="O687" s="205">
        <f ca="1">IF(ISERROR(OFFSET(Rame!$A$1,MATCH(J687,Rame!$A:$A,0)-1,MATCH(L687,Rame!$A$1:$AA$1,0)-1)=TRUE),0,OFFSET(Rame!$A$1,MATCH(J687,Rame!$A:$A,0)-1,MATCH(L687,Rame!$A$1:$AA$1,0)-1))*IF(G687="Rame",1,0)</f>
        <v>0</v>
      </c>
      <c r="P687" s="205">
        <v>0</v>
      </c>
      <c r="Q687" s="205">
        <f t="shared" ca="1" si="237"/>
        <v>0</v>
      </c>
      <c r="R687" s="205">
        <f ca="1">+IF(ISERROR(OFFSET(Tabella!$G$1,MATCH(J687,Tabella!$G:$G,0)-1,MATCH(K687,Tabella!$G$1:$FG$1,0)-1)=TRUE),0,OFFSET(Tabella!$G$1,MATCH(J687,Tabella!$G:$G,0)-1,MATCH(K687,Tabella!$G$1:$AB$1,0)-1))</f>
        <v>0</v>
      </c>
      <c r="S687" s="205">
        <f ca="1">IF(ISERROR(OFFSET(Ottone!$F$1,MATCH(J687,Ottone!$A:$A,0)-1,MATCH(K687,Ottone!$F$1:$FF$1,0)-1)=TRUE),0,OFFSET(Ottone!$F$1,MATCH(J687,Ottone!$A:$A,0)-1,MATCH(K687,Ottone!$F$1:$FF$1,0)-1))*IF(G687="Ottone",1,0)</f>
        <v>0</v>
      </c>
      <c r="T687" s="205">
        <f ca="1">IF(ISERROR(OFFSET(Rame!$F$1,MATCH(J687,Rame!$F:$F,0)-1,MATCH(K687,Rame!$F$1:$FF$1,0)-1)=TRUE),0,OFFSET(Rame!$F$1,MATCH(J687,Rame!$F:$F,0)-1,MATCH(K687,Rame!$F$1:$FF$1,0)-1))*IF(G687="Rame",1,0)</f>
        <v>0</v>
      </c>
      <c r="U687" s="205">
        <f ca="1">IF(ISERROR(OFFSET(Bronzo!$A$1,MATCH(J687,Bronzo!$A:$A,0)-1,MATCH(K687,Bronzo!$A$1:$AA$1,0)-1)=TRUE),0,OFFSET(Bronzo!$A$1,MATCH(J687,Bronzo!$A:$A,0)-1,MATCH(K687,Bronzo!$A$1:$AA$1,0)-1))</f>
        <v>0</v>
      </c>
      <c r="V687" s="205">
        <f t="shared" ca="1" si="238"/>
        <v>0</v>
      </c>
      <c r="W687" s="204"/>
      <c r="X687" s="205">
        <v>0</v>
      </c>
      <c r="Y687" s="206">
        <f t="shared" ca="1" si="239"/>
        <v>0</v>
      </c>
      <c r="Z687" s="277">
        <f t="shared" si="240"/>
        <v>0</v>
      </c>
      <c r="AA687" s="203"/>
      <c r="AB687" s="203">
        <f t="shared" ca="1" si="241"/>
        <v>0</v>
      </c>
      <c r="AC687" s="238"/>
      <c r="AI687" s="367">
        <f t="shared" ca="1" si="236"/>
        <v>46092</v>
      </c>
      <c r="AJ687" s="367" t="b">
        <f t="shared" si="242"/>
        <v>1</v>
      </c>
      <c r="AK687" s="370" t="str">
        <f t="shared" si="243"/>
        <v/>
      </c>
      <c r="AN687">
        <f t="shared" si="244"/>
        <v>0</v>
      </c>
      <c r="AO687">
        <f t="shared" si="245"/>
        <v>1900</v>
      </c>
      <c r="AV687">
        <f t="shared" si="248"/>
        <v>0</v>
      </c>
      <c r="AW687">
        <f t="shared" si="249"/>
        <v>0</v>
      </c>
    </row>
    <row r="688" spans="4:49" ht="15.75" x14ac:dyDescent="0.25">
      <c r="D688" s="199"/>
      <c r="E688" s="200"/>
      <c r="F688" s="287"/>
      <c r="G688" s="201"/>
      <c r="H688" s="219"/>
      <c r="I688" s="202"/>
      <c r="J688" s="200"/>
      <c r="K688" s="200"/>
      <c r="L688" s="203"/>
      <c r="M688" s="204">
        <f ca="1">IF(ISERROR(OFFSET(Tabella!$A$1,MATCH(J688,Tabella!$A:$A,0)-1,MATCH(L688,Tabella!$A$1:$AC$1,0)-1)=TRUE),0,+OFFSET(Tabella!$A$1,MATCH(J688,Tabella!$A:$A,0)-1,MATCH(L688,Tabella!$A$1:$AC$1,0)-1))</f>
        <v>0</v>
      </c>
      <c r="N688" s="205">
        <f ca="1">IF(ISERROR(OFFSET(Ottone!$A$1,MATCH(J688,Ottone!$A:$A,0)-1,MATCH(L688,Ottone!$A$1:$Z$1,0)-1)=TRUE),0,OFFSET(Ottone!$A$1,MATCH(J688,Ottone!$A:$A,0)-1,MATCH(L688,Ottone!$A$1:$Z$1,0)-1))*IF(G688="Ottone",1,0)</f>
        <v>0</v>
      </c>
      <c r="O688" s="205">
        <f ca="1">IF(ISERROR(OFFSET(Rame!$A$1,MATCH(J688,Rame!$A:$A,0)-1,MATCH(L688,Rame!$A$1:$AA$1,0)-1)=TRUE),0,OFFSET(Rame!$A$1,MATCH(J688,Rame!$A:$A,0)-1,MATCH(L688,Rame!$A$1:$AA$1,0)-1))*IF(G688="Rame",1,0)</f>
        <v>0</v>
      </c>
      <c r="P688" s="205">
        <v>0</v>
      </c>
      <c r="Q688" s="205">
        <f t="shared" ca="1" si="237"/>
        <v>0</v>
      </c>
      <c r="R688" s="205">
        <f ca="1">+IF(ISERROR(OFFSET(Tabella!$G$1,MATCH(J688,Tabella!$G:$G,0)-1,MATCH(K688,Tabella!$G$1:$FG$1,0)-1)=TRUE),0,OFFSET(Tabella!$G$1,MATCH(J688,Tabella!$G:$G,0)-1,MATCH(K688,Tabella!$G$1:$AB$1,0)-1))</f>
        <v>0</v>
      </c>
      <c r="S688" s="205">
        <f ca="1">IF(ISERROR(OFFSET(Ottone!$F$1,MATCH(J688,Ottone!$A:$A,0)-1,MATCH(K688,Ottone!$F$1:$FF$1,0)-1)=TRUE),0,OFFSET(Ottone!$F$1,MATCH(J688,Ottone!$A:$A,0)-1,MATCH(K688,Ottone!$F$1:$FF$1,0)-1))*IF(G688="Ottone",1,0)</f>
        <v>0</v>
      </c>
      <c r="T688" s="205">
        <f ca="1">IF(ISERROR(OFFSET(Rame!$F$1,MATCH(J688,Rame!$F:$F,0)-1,MATCH(K688,Rame!$F$1:$FF$1,0)-1)=TRUE),0,OFFSET(Rame!$F$1,MATCH(J688,Rame!$F:$F,0)-1,MATCH(K688,Rame!$F$1:$FF$1,0)-1))*IF(G688="Rame",1,0)</f>
        <v>0</v>
      </c>
      <c r="U688" s="205">
        <f ca="1">IF(ISERROR(OFFSET(Bronzo!$A$1,MATCH(J688,Bronzo!$A:$A,0)-1,MATCH(K688,Bronzo!$A$1:$AA$1,0)-1)=TRUE),0,OFFSET(Bronzo!$A$1,MATCH(J688,Bronzo!$A:$A,0)-1,MATCH(K688,Bronzo!$A$1:$AA$1,0)-1))</f>
        <v>0</v>
      </c>
      <c r="V688" s="205">
        <f t="shared" ca="1" si="238"/>
        <v>0</v>
      </c>
      <c r="W688" s="204"/>
      <c r="X688" s="205">
        <v>0</v>
      </c>
      <c r="Y688" s="206">
        <f t="shared" ca="1" si="239"/>
        <v>0</v>
      </c>
      <c r="Z688" s="277">
        <f t="shared" si="240"/>
        <v>0</v>
      </c>
      <c r="AA688" s="203"/>
      <c r="AB688" s="203">
        <f t="shared" ca="1" si="241"/>
        <v>0</v>
      </c>
      <c r="AC688" s="238"/>
      <c r="AI688" s="367">
        <f t="shared" ca="1" si="236"/>
        <v>46092</v>
      </c>
      <c r="AJ688" s="367" t="b">
        <f t="shared" si="242"/>
        <v>1</v>
      </c>
      <c r="AK688" s="370" t="str">
        <f t="shared" si="243"/>
        <v/>
      </c>
      <c r="AN688">
        <f t="shared" si="244"/>
        <v>0</v>
      </c>
      <c r="AO688">
        <f t="shared" si="245"/>
        <v>1900</v>
      </c>
      <c r="AV688">
        <f t="shared" si="248"/>
        <v>0</v>
      </c>
      <c r="AW688">
        <f t="shared" si="249"/>
        <v>0</v>
      </c>
    </row>
    <row r="689" spans="4:49" ht="15.75" x14ac:dyDescent="0.25">
      <c r="D689" s="199"/>
      <c r="E689" s="200"/>
      <c r="F689" s="287"/>
      <c r="G689" s="201"/>
      <c r="H689" s="219"/>
      <c r="I689" s="202"/>
      <c r="J689" s="200"/>
      <c r="K689" s="200"/>
      <c r="L689" s="203"/>
      <c r="M689" s="204">
        <f ca="1">IF(ISERROR(OFFSET(Tabella!$A$1,MATCH(J689,Tabella!$A:$A,0)-1,MATCH(L689,Tabella!$A$1:$AC$1,0)-1)=TRUE),0,+OFFSET(Tabella!$A$1,MATCH(J689,Tabella!$A:$A,0)-1,MATCH(L689,Tabella!$A$1:$AC$1,0)-1))</f>
        <v>0</v>
      </c>
      <c r="N689" s="205">
        <f ca="1">IF(ISERROR(OFFSET(Ottone!$A$1,MATCH(J689,Ottone!$A:$A,0)-1,MATCH(L689,Ottone!$A$1:$Z$1,0)-1)=TRUE),0,OFFSET(Ottone!$A$1,MATCH(J689,Ottone!$A:$A,0)-1,MATCH(L689,Ottone!$A$1:$Z$1,0)-1))*IF(G689="Ottone",1,0)</f>
        <v>0</v>
      </c>
      <c r="O689" s="205">
        <f ca="1">IF(ISERROR(OFFSET(Rame!$A$1,MATCH(J689,Rame!$A:$A,0)-1,MATCH(L689,Rame!$A$1:$AA$1,0)-1)=TRUE),0,OFFSET(Rame!$A$1,MATCH(J689,Rame!$A:$A,0)-1,MATCH(L689,Rame!$A$1:$AA$1,0)-1))*IF(G689="Rame",1,0)</f>
        <v>0</v>
      </c>
      <c r="P689" s="205">
        <v>0</v>
      </c>
      <c r="Q689" s="205">
        <f t="shared" ca="1" si="237"/>
        <v>0</v>
      </c>
      <c r="R689" s="205">
        <f ca="1">+IF(ISERROR(OFFSET(Tabella!$G$1,MATCH(J689,Tabella!$G:$G,0)-1,MATCH(K689,Tabella!$G$1:$FG$1,0)-1)=TRUE),0,OFFSET(Tabella!$G$1,MATCH(J689,Tabella!$G:$G,0)-1,MATCH(K689,Tabella!$G$1:$AB$1,0)-1))</f>
        <v>0</v>
      </c>
      <c r="S689" s="205">
        <f ca="1">IF(ISERROR(OFFSET(Ottone!$F$1,MATCH(J689,Ottone!$A:$A,0)-1,MATCH(K689,Ottone!$F$1:$FF$1,0)-1)=TRUE),0,OFFSET(Ottone!$F$1,MATCH(J689,Ottone!$A:$A,0)-1,MATCH(K689,Ottone!$F$1:$FF$1,0)-1))*IF(G689="Ottone",1,0)</f>
        <v>0</v>
      </c>
      <c r="T689" s="205">
        <f ca="1">IF(ISERROR(OFFSET(Rame!$F$1,MATCH(J689,Rame!$F:$F,0)-1,MATCH(K689,Rame!$F$1:$FF$1,0)-1)=TRUE),0,OFFSET(Rame!$F$1,MATCH(J689,Rame!$F:$F,0)-1,MATCH(K689,Rame!$F$1:$FF$1,0)-1))*IF(G689="Rame",1,0)</f>
        <v>0</v>
      </c>
      <c r="U689" s="205">
        <f ca="1">IF(ISERROR(OFFSET(Bronzo!$A$1,MATCH(J689,Bronzo!$A:$A,0)-1,MATCH(K689,Bronzo!$A$1:$AA$1,0)-1)=TRUE),0,OFFSET(Bronzo!$A$1,MATCH(J689,Bronzo!$A:$A,0)-1,MATCH(K689,Bronzo!$A$1:$AA$1,0)-1))</f>
        <v>0</v>
      </c>
      <c r="V689" s="205">
        <f t="shared" ca="1" si="238"/>
        <v>0</v>
      </c>
      <c r="W689" s="204"/>
      <c r="X689" s="205">
        <v>0</v>
      </c>
      <c r="Y689" s="206">
        <f t="shared" ca="1" si="239"/>
        <v>0</v>
      </c>
      <c r="Z689" s="277">
        <f t="shared" si="240"/>
        <v>0</v>
      </c>
      <c r="AA689" s="203"/>
      <c r="AB689" s="203">
        <f t="shared" ca="1" si="241"/>
        <v>0</v>
      </c>
      <c r="AC689" s="238"/>
      <c r="AI689" s="367">
        <f t="shared" ca="1" si="236"/>
        <v>46092</v>
      </c>
      <c r="AJ689" s="367" t="b">
        <f t="shared" si="242"/>
        <v>1</v>
      </c>
      <c r="AK689" s="370" t="str">
        <f t="shared" si="243"/>
        <v/>
      </c>
      <c r="AN689">
        <f t="shared" si="244"/>
        <v>0</v>
      </c>
      <c r="AO689">
        <f t="shared" si="245"/>
        <v>1900</v>
      </c>
      <c r="AV689">
        <f t="shared" si="248"/>
        <v>0</v>
      </c>
      <c r="AW689">
        <f t="shared" si="249"/>
        <v>0</v>
      </c>
    </row>
    <row r="690" spans="4:49" ht="15.75" x14ac:dyDescent="0.25">
      <c r="D690" s="199"/>
      <c r="E690" s="200"/>
      <c r="F690" s="287"/>
      <c r="G690" s="201"/>
      <c r="H690" s="219"/>
      <c r="I690" s="202"/>
      <c r="J690" s="200"/>
      <c r="K690" s="200"/>
      <c r="L690" s="203"/>
      <c r="M690" s="204">
        <f ca="1">IF(ISERROR(OFFSET(Tabella!$A$1,MATCH(J690,Tabella!$A:$A,0)-1,MATCH(L690,Tabella!$A$1:$AC$1,0)-1)=TRUE),0,+OFFSET(Tabella!$A$1,MATCH(J690,Tabella!$A:$A,0)-1,MATCH(L690,Tabella!$A$1:$AC$1,0)-1))</f>
        <v>0</v>
      </c>
      <c r="N690" s="205">
        <f ca="1">IF(ISERROR(OFFSET(Ottone!$A$1,MATCH(J690,Ottone!$A:$A,0)-1,MATCH(L690,Ottone!$A$1:$Z$1,0)-1)=TRUE),0,OFFSET(Ottone!$A$1,MATCH(J690,Ottone!$A:$A,0)-1,MATCH(L690,Ottone!$A$1:$Z$1,0)-1))*IF(G690="Ottone",1,0)</f>
        <v>0</v>
      </c>
      <c r="O690" s="205">
        <f ca="1">IF(ISERROR(OFFSET(Rame!$A$1,MATCH(J690,Rame!$A:$A,0)-1,MATCH(L690,Rame!$A$1:$AA$1,0)-1)=TRUE),0,OFFSET(Rame!$A$1,MATCH(J690,Rame!$A:$A,0)-1,MATCH(L690,Rame!$A$1:$AA$1,0)-1))*IF(G690="Rame",1,0)</f>
        <v>0</v>
      </c>
      <c r="P690" s="205">
        <v>0</v>
      </c>
      <c r="Q690" s="205">
        <f t="shared" ca="1" si="237"/>
        <v>0</v>
      </c>
      <c r="R690" s="205">
        <f ca="1">+IF(ISERROR(OFFSET(Tabella!$G$1,MATCH(J690,Tabella!$G:$G,0)-1,MATCH(K690,Tabella!$G$1:$FG$1,0)-1)=TRUE),0,OFFSET(Tabella!$G$1,MATCH(J690,Tabella!$G:$G,0)-1,MATCH(K690,Tabella!$G$1:$AB$1,0)-1))</f>
        <v>0</v>
      </c>
      <c r="S690" s="205">
        <f ca="1">IF(ISERROR(OFFSET(Ottone!$F$1,MATCH(J690,Ottone!$A:$A,0)-1,MATCH(K690,Ottone!$F$1:$FF$1,0)-1)=TRUE),0,OFFSET(Ottone!$F$1,MATCH(J690,Ottone!$A:$A,0)-1,MATCH(K690,Ottone!$F$1:$FF$1,0)-1))*IF(G690="Ottone",1,0)</f>
        <v>0</v>
      </c>
      <c r="T690" s="205">
        <f ca="1">IF(ISERROR(OFFSET(Rame!$F$1,MATCH(J690,Rame!$F:$F,0)-1,MATCH(K690,Rame!$F$1:$FF$1,0)-1)=TRUE),0,OFFSET(Rame!$F$1,MATCH(J690,Rame!$F:$F,0)-1,MATCH(K690,Rame!$F$1:$FF$1,0)-1))*IF(G690="Rame",1,0)</f>
        <v>0</v>
      </c>
      <c r="U690" s="205">
        <f ca="1">IF(ISERROR(OFFSET(Bronzo!$A$1,MATCH(J690,Bronzo!$A:$A,0)-1,MATCH(K690,Bronzo!$A$1:$AA$1,0)-1)=TRUE),0,OFFSET(Bronzo!$A$1,MATCH(J690,Bronzo!$A:$A,0)-1,MATCH(K690,Bronzo!$A$1:$AA$1,0)-1))</f>
        <v>0</v>
      </c>
      <c r="V690" s="205">
        <f t="shared" ca="1" si="238"/>
        <v>0</v>
      </c>
      <c r="W690" s="204"/>
      <c r="X690" s="205">
        <v>0</v>
      </c>
      <c r="Y690" s="206">
        <f t="shared" ca="1" si="239"/>
        <v>0</v>
      </c>
      <c r="Z690" s="277">
        <f t="shared" si="240"/>
        <v>0</v>
      </c>
      <c r="AA690" s="203"/>
      <c r="AB690" s="203">
        <f t="shared" ca="1" si="241"/>
        <v>0</v>
      </c>
      <c r="AC690" s="238"/>
      <c r="AI690" s="367">
        <f t="shared" ca="1" si="236"/>
        <v>46092</v>
      </c>
      <c r="AJ690" s="367" t="b">
        <f t="shared" si="242"/>
        <v>1</v>
      </c>
      <c r="AK690" s="370" t="str">
        <f t="shared" si="243"/>
        <v/>
      </c>
      <c r="AN690">
        <f t="shared" si="244"/>
        <v>0</v>
      </c>
      <c r="AO690">
        <f t="shared" si="245"/>
        <v>1900</v>
      </c>
      <c r="AV690">
        <f t="shared" si="248"/>
        <v>0</v>
      </c>
      <c r="AW690">
        <f t="shared" si="249"/>
        <v>0</v>
      </c>
    </row>
    <row r="691" spans="4:49" ht="15.75" x14ac:dyDescent="0.25">
      <c r="D691" s="199"/>
      <c r="E691" s="200"/>
      <c r="F691" s="287"/>
      <c r="G691" s="201"/>
      <c r="H691" s="219"/>
      <c r="I691" s="202"/>
      <c r="J691" s="200"/>
      <c r="K691" s="200"/>
      <c r="L691" s="203"/>
      <c r="M691" s="204">
        <f ca="1">IF(ISERROR(OFFSET(Tabella!$A$1,MATCH(J691,Tabella!$A:$A,0)-1,MATCH(L691,Tabella!$A$1:$AC$1,0)-1)=TRUE),0,+OFFSET(Tabella!$A$1,MATCH(J691,Tabella!$A:$A,0)-1,MATCH(L691,Tabella!$A$1:$AC$1,0)-1))</f>
        <v>0</v>
      </c>
      <c r="N691" s="205">
        <f ca="1">IF(ISERROR(OFFSET(Ottone!$A$1,MATCH(J691,Ottone!$A:$A,0)-1,MATCH(L691,Ottone!$A$1:$Z$1,0)-1)=TRUE),0,OFFSET(Ottone!$A$1,MATCH(J691,Ottone!$A:$A,0)-1,MATCH(L691,Ottone!$A$1:$Z$1,0)-1))*IF(G691="Ottone",1,0)</f>
        <v>0</v>
      </c>
      <c r="O691" s="205">
        <f ca="1">IF(ISERROR(OFFSET(Rame!$A$1,MATCH(J691,Rame!$A:$A,0)-1,MATCH(L691,Rame!$A$1:$AA$1,0)-1)=TRUE),0,OFFSET(Rame!$A$1,MATCH(J691,Rame!$A:$A,0)-1,MATCH(L691,Rame!$A$1:$AA$1,0)-1))*IF(G691="Rame",1,0)</f>
        <v>0</v>
      </c>
      <c r="P691" s="205">
        <v>0</v>
      </c>
      <c r="Q691" s="205">
        <f t="shared" ca="1" si="237"/>
        <v>0</v>
      </c>
      <c r="R691" s="205">
        <f ca="1">+IF(ISERROR(OFFSET(Tabella!$G$1,MATCH(J691,Tabella!$G:$G,0)-1,MATCH(K691,Tabella!$G$1:$FG$1,0)-1)=TRUE),0,OFFSET(Tabella!$G$1,MATCH(J691,Tabella!$G:$G,0)-1,MATCH(K691,Tabella!$G$1:$AB$1,0)-1))</f>
        <v>0</v>
      </c>
      <c r="S691" s="205">
        <f ca="1">IF(ISERROR(OFFSET(Ottone!$F$1,MATCH(J691,Ottone!$A:$A,0)-1,MATCH(K691,Ottone!$F$1:$FF$1,0)-1)=TRUE),0,OFFSET(Ottone!$F$1,MATCH(J691,Ottone!$A:$A,0)-1,MATCH(K691,Ottone!$F$1:$FF$1,0)-1))*IF(G691="Ottone",1,0)</f>
        <v>0</v>
      </c>
      <c r="T691" s="205">
        <f ca="1">IF(ISERROR(OFFSET(Rame!$F$1,MATCH(J691,Rame!$F:$F,0)-1,MATCH(K691,Rame!$F$1:$FF$1,0)-1)=TRUE),0,OFFSET(Rame!$F$1,MATCH(J691,Rame!$F:$F,0)-1,MATCH(K691,Rame!$F$1:$FF$1,0)-1))*IF(G691="Rame",1,0)</f>
        <v>0</v>
      </c>
      <c r="U691" s="205">
        <f ca="1">IF(ISERROR(OFFSET(Bronzo!$A$1,MATCH(J691,Bronzo!$A:$A,0)-1,MATCH(K691,Bronzo!$A$1:$AA$1,0)-1)=TRUE),0,OFFSET(Bronzo!$A$1,MATCH(J691,Bronzo!$A:$A,0)-1,MATCH(K691,Bronzo!$A$1:$AA$1,0)-1))</f>
        <v>0</v>
      </c>
      <c r="V691" s="205">
        <f t="shared" ca="1" si="238"/>
        <v>0</v>
      </c>
      <c r="W691" s="204"/>
      <c r="X691" s="205">
        <v>0</v>
      </c>
      <c r="Y691" s="206">
        <f t="shared" ca="1" si="239"/>
        <v>0</v>
      </c>
      <c r="Z691" s="277">
        <f t="shared" si="240"/>
        <v>0</v>
      </c>
      <c r="AA691" s="203"/>
      <c r="AB691" s="203">
        <f t="shared" ca="1" si="241"/>
        <v>0</v>
      </c>
      <c r="AC691" s="238"/>
      <c r="AI691" s="367">
        <f t="shared" ca="1" si="236"/>
        <v>46092</v>
      </c>
      <c r="AJ691" s="367" t="b">
        <f t="shared" si="242"/>
        <v>1</v>
      </c>
      <c r="AK691" s="370" t="str">
        <f t="shared" si="243"/>
        <v/>
      </c>
      <c r="AN691">
        <f t="shared" si="244"/>
        <v>0</v>
      </c>
      <c r="AO691">
        <f t="shared" si="245"/>
        <v>1900</v>
      </c>
      <c r="AV691">
        <f t="shared" si="248"/>
        <v>0</v>
      </c>
      <c r="AW691">
        <f t="shared" si="249"/>
        <v>0</v>
      </c>
    </row>
    <row r="692" spans="4:49" ht="15.75" x14ac:dyDescent="0.25">
      <c r="D692" s="199"/>
      <c r="E692" s="200"/>
      <c r="F692" s="287"/>
      <c r="G692" s="201"/>
      <c r="H692" s="219"/>
      <c r="I692" s="202"/>
      <c r="J692" s="200"/>
      <c r="K692" s="200"/>
      <c r="L692" s="203"/>
      <c r="M692" s="204">
        <f ca="1">IF(ISERROR(OFFSET(Tabella!$A$1,MATCH(J692,Tabella!$A:$A,0)-1,MATCH(L692,Tabella!$A$1:$AC$1,0)-1)=TRUE),0,+OFFSET(Tabella!$A$1,MATCH(J692,Tabella!$A:$A,0)-1,MATCH(L692,Tabella!$A$1:$AC$1,0)-1))</f>
        <v>0</v>
      </c>
      <c r="N692" s="205">
        <f ca="1">IF(ISERROR(OFFSET(Ottone!$A$1,MATCH(J692,Ottone!$A:$A,0)-1,MATCH(L692,Ottone!$A$1:$Z$1,0)-1)=TRUE),0,OFFSET(Ottone!$A$1,MATCH(J692,Ottone!$A:$A,0)-1,MATCH(L692,Ottone!$A$1:$Z$1,0)-1))*IF(G692="Ottone",1,0)</f>
        <v>0</v>
      </c>
      <c r="O692" s="205">
        <f ca="1">IF(ISERROR(OFFSET(Rame!$A$1,MATCH(J692,Rame!$A:$A,0)-1,MATCH(L692,Rame!$A$1:$AA$1,0)-1)=TRUE),0,OFFSET(Rame!$A$1,MATCH(J692,Rame!$A:$A,0)-1,MATCH(L692,Rame!$A$1:$AA$1,0)-1))*IF(G692="Rame",1,0)</f>
        <v>0</v>
      </c>
      <c r="P692" s="205">
        <v>0</v>
      </c>
      <c r="Q692" s="205">
        <f t="shared" ca="1" si="237"/>
        <v>0</v>
      </c>
      <c r="R692" s="205">
        <f ca="1">+IF(ISERROR(OFFSET(Tabella!$G$1,MATCH(J692,Tabella!$G:$G,0)-1,MATCH(K692,Tabella!$G$1:$FG$1,0)-1)=TRUE),0,OFFSET(Tabella!$G$1,MATCH(J692,Tabella!$G:$G,0)-1,MATCH(K692,Tabella!$G$1:$AB$1,0)-1))</f>
        <v>0</v>
      </c>
      <c r="S692" s="205">
        <f ca="1">IF(ISERROR(OFFSET(Ottone!$F$1,MATCH(J692,Ottone!$A:$A,0)-1,MATCH(K692,Ottone!$F$1:$FF$1,0)-1)=TRUE),0,OFFSET(Ottone!$F$1,MATCH(J692,Ottone!$A:$A,0)-1,MATCH(K692,Ottone!$F$1:$FF$1,0)-1))*IF(G692="Ottone",1,0)</f>
        <v>0</v>
      </c>
      <c r="T692" s="205">
        <f ca="1">IF(ISERROR(OFFSET(Rame!$F$1,MATCH(J692,Rame!$F:$F,0)-1,MATCH(K692,Rame!$F$1:$FF$1,0)-1)=TRUE),0,OFFSET(Rame!$F$1,MATCH(J692,Rame!$F:$F,0)-1,MATCH(K692,Rame!$F$1:$FF$1,0)-1))*IF(G692="Rame",1,0)</f>
        <v>0</v>
      </c>
      <c r="U692" s="205">
        <f ca="1">IF(ISERROR(OFFSET(Bronzo!$A$1,MATCH(J692,Bronzo!$A:$A,0)-1,MATCH(K692,Bronzo!$A$1:$AA$1,0)-1)=TRUE),0,OFFSET(Bronzo!$A$1,MATCH(J692,Bronzo!$A:$A,0)-1,MATCH(K692,Bronzo!$A$1:$AA$1,0)-1))</f>
        <v>0</v>
      </c>
      <c r="V692" s="205">
        <f t="shared" ca="1" si="238"/>
        <v>0</v>
      </c>
      <c r="W692" s="204"/>
      <c r="X692" s="205">
        <v>0</v>
      </c>
      <c r="Y692" s="206">
        <f t="shared" ca="1" si="239"/>
        <v>0</v>
      </c>
      <c r="Z692" s="277">
        <f t="shared" si="240"/>
        <v>0</v>
      </c>
      <c r="AA692" s="203"/>
      <c r="AB692" s="203">
        <f t="shared" ca="1" si="241"/>
        <v>0</v>
      </c>
      <c r="AC692" s="238"/>
      <c r="AI692" s="367">
        <f t="shared" ca="1" si="236"/>
        <v>46092</v>
      </c>
      <c r="AJ692" s="367" t="b">
        <f t="shared" si="242"/>
        <v>1</v>
      </c>
      <c r="AK692" s="370" t="str">
        <f t="shared" si="243"/>
        <v/>
      </c>
      <c r="AN692">
        <f t="shared" si="244"/>
        <v>0</v>
      </c>
      <c r="AO692">
        <f t="shared" si="245"/>
        <v>1900</v>
      </c>
      <c r="AV692">
        <f t="shared" si="248"/>
        <v>0</v>
      </c>
      <c r="AW692">
        <f t="shared" si="249"/>
        <v>0</v>
      </c>
    </row>
    <row r="693" spans="4:49" ht="15.75" x14ac:dyDescent="0.25">
      <c r="D693" s="199"/>
      <c r="E693" s="200"/>
      <c r="F693" s="287"/>
      <c r="G693" s="201"/>
      <c r="H693" s="219"/>
      <c r="I693" s="202"/>
      <c r="J693" s="200"/>
      <c r="K693" s="200"/>
      <c r="L693" s="203"/>
      <c r="M693" s="204">
        <f ca="1">IF(ISERROR(OFFSET(Tabella!$A$1,MATCH(J693,Tabella!$A:$A,0)-1,MATCH(L693,Tabella!$A$1:$AC$1,0)-1)=TRUE),0,+OFFSET(Tabella!$A$1,MATCH(J693,Tabella!$A:$A,0)-1,MATCH(L693,Tabella!$A$1:$AC$1,0)-1))</f>
        <v>0</v>
      </c>
      <c r="N693" s="205">
        <f ca="1">IF(ISERROR(OFFSET(Ottone!$A$1,MATCH(J693,Ottone!$A:$A,0)-1,MATCH(L693,Ottone!$A$1:$Z$1,0)-1)=TRUE),0,OFFSET(Ottone!$A$1,MATCH(J693,Ottone!$A:$A,0)-1,MATCH(L693,Ottone!$A$1:$Z$1,0)-1))*IF(G693="Ottone",1,0)</f>
        <v>0</v>
      </c>
      <c r="O693" s="205">
        <f ca="1">IF(ISERROR(OFFSET(Rame!$A$1,MATCH(J693,Rame!$A:$A,0)-1,MATCH(L693,Rame!$A$1:$AA$1,0)-1)=TRUE),0,OFFSET(Rame!$A$1,MATCH(J693,Rame!$A:$A,0)-1,MATCH(L693,Rame!$A$1:$AA$1,0)-1))*IF(G693="Rame",1,0)</f>
        <v>0</v>
      </c>
      <c r="P693" s="205">
        <v>0</v>
      </c>
      <c r="Q693" s="205">
        <f t="shared" ca="1" si="237"/>
        <v>0</v>
      </c>
      <c r="R693" s="205">
        <f ca="1">+IF(ISERROR(OFFSET(Tabella!$G$1,MATCH(J693,Tabella!$G:$G,0)-1,MATCH(K693,Tabella!$G$1:$FG$1,0)-1)=TRUE),0,OFFSET(Tabella!$G$1,MATCH(J693,Tabella!$G:$G,0)-1,MATCH(K693,Tabella!$G$1:$AB$1,0)-1))</f>
        <v>0</v>
      </c>
      <c r="S693" s="205">
        <f ca="1">IF(ISERROR(OFFSET(Ottone!$F$1,MATCH(J693,Ottone!$A:$A,0)-1,MATCH(K693,Ottone!$F$1:$FF$1,0)-1)=TRUE),0,OFFSET(Ottone!$F$1,MATCH(J693,Ottone!$A:$A,0)-1,MATCH(K693,Ottone!$F$1:$FF$1,0)-1))*IF(G693="Ottone",1,0)</f>
        <v>0</v>
      </c>
      <c r="T693" s="205">
        <f ca="1">IF(ISERROR(OFFSET(Rame!$F$1,MATCH(J693,Rame!$F:$F,0)-1,MATCH(K693,Rame!$F$1:$FF$1,0)-1)=TRUE),0,OFFSET(Rame!$F$1,MATCH(J693,Rame!$F:$F,0)-1,MATCH(K693,Rame!$F$1:$FF$1,0)-1))*IF(G693="Rame",1,0)</f>
        <v>0</v>
      </c>
      <c r="U693" s="205">
        <f ca="1">IF(ISERROR(OFFSET(Bronzo!$A$1,MATCH(J693,Bronzo!$A:$A,0)-1,MATCH(K693,Bronzo!$A$1:$AA$1,0)-1)=TRUE),0,OFFSET(Bronzo!$A$1,MATCH(J693,Bronzo!$A:$A,0)-1,MATCH(K693,Bronzo!$A$1:$AA$1,0)-1))</f>
        <v>0</v>
      </c>
      <c r="V693" s="205">
        <f t="shared" ca="1" si="238"/>
        <v>0</v>
      </c>
      <c r="W693" s="204"/>
      <c r="X693" s="205">
        <v>0</v>
      </c>
      <c r="Y693" s="206">
        <f t="shared" ca="1" si="239"/>
        <v>0</v>
      </c>
      <c r="Z693" s="277">
        <f t="shared" si="240"/>
        <v>0</v>
      </c>
      <c r="AA693" s="203"/>
      <c r="AB693" s="203">
        <f t="shared" ca="1" si="241"/>
        <v>0</v>
      </c>
      <c r="AC693" s="238"/>
      <c r="AI693" s="367">
        <f t="shared" ca="1" si="236"/>
        <v>46092</v>
      </c>
      <c r="AJ693" s="367" t="b">
        <f t="shared" si="242"/>
        <v>1</v>
      </c>
      <c r="AK693" s="370" t="str">
        <f t="shared" si="243"/>
        <v/>
      </c>
      <c r="AN693">
        <f t="shared" si="244"/>
        <v>0</v>
      </c>
      <c r="AO693">
        <f t="shared" si="245"/>
        <v>1900</v>
      </c>
      <c r="AV693">
        <f t="shared" si="248"/>
        <v>0</v>
      </c>
      <c r="AW693">
        <f t="shared" si="249"/>
        <v>0</v>
      </c>
    </row>
    <row r="694" spans="4:49" ht="15.75" x14ac:dyDescent="0.25">
      <c r="D694" s="199"/>
      <c r="E694" s="200"/>
      <c r="F694" s="287"/>
      <c r="G694" s="201"/>
      <c r="H694" s="219"/>
      <c r="I694" s="202"/>
      <c r="J694" s="200"/>
      <c r="K694" s="200"/>
      <c r="L694" s="203"/>
      <c r="M694" s="204">
        <f ca="1">IF(ISERROR(OFFSET(Tabella!$A$1,MATCH(J694,Tabella!$A:$A,0)-1,MATCH(L694,Tabella!$A$1:$AC$1,0)-1)=TRUE),0,+OFFSET(Tabella!$A$1,MATCH(J694,Tabella!$A:$A,0)-1,MATCH(L694,Tabella!$A$1:$AC$1,0)-1))</f>
        <v>0</v>
      </c>
      <c r="N694" s="205">
        <f ca="1">IF(ISERROR(OFFSET(Ottone!$A$1,MATCH(J694,Ottone!$A:$A,0)-1,MATCH(L694,Ottone!$A$1:$Z$1,0)-1)=TRUE),0,OFFSET(Ottone!$A$1,MATCH(J694,Ottone!$A:$A,0)-1,MATCH(L694,Ottone!$A$1:$Z$1,0)-1))*IF(G694="Ottone",1,0)</f>
        <v>0</v>
      </c>
      <c r="O694" s="205">
        <f ca="1">IF(ISERROR(OFFSET(Rame!$A$1,MATCH(J694,Rame!$A:$A,0)-1,MATCH(L694,Rame!$A$1:$AA$1,0)-1)=TRUE),0,OFFSET(Rame!$A$1,MATCH(J694,Rame!$A:$A,0)-1,MATCH(L694,Rame!$A$1:$AA$1,0)-1))*IF(G694="Rame",1,0)</f>
        <v>0</v>
      </c>
      <c r="P694" s="205">
        <v>0</v>
      </c>
      <c r="Q694" s="205">
        <f t="shared" ca="1" si="237"/>
        <v>0</v>
      </c>
      <c r="R694" s="205">
        <f ca="1">+IF(ISERROR(OFFSET(Tabella!$G$1,MATCH(J694,Tabella!$G:$G,0)-1,MATCH(K694,Tabella!$G$1:$FG$1,0)-1)=TRUE),0,OFFSET(Tabella!$G$1,MATCH(J694,Tabella!$G:$G,0)-1,MATCH(K694,Tabella!$G$1:$AB$1,0)-1))</f>
        <v>0</v>
      </c>
      <c r="S694" s="205">
        <f ca="1">IF(ISERROR(OFFSET(Ottone!$F$1,MATCH(J694,Ottone!$A:$A,0)-1,MATCH(K694,Ottone!$F$1:$FF$1,0)-1)=TRUE),0,OFFSET(Ottone!$F$1,MATCH(J694,Ottone!$A:$A,0)-1,MATCH(K694,Ottone!$F$1:$FF$1,0)-1))*IF(G694="Ottone",1,0)</f>
        <v>0</v>
      </c>
      <c r="T694" s="205">
        <f ca="1">IF(ISERROR(OFFSET(Rame!$F$1,MATCH(J694,Rame!$F:$F,0)-1,MATCH(K694,Rame!$F$1:$FF$1,0)-1)=TRUE),0,OFFSET(Rame!$F$1,MATCH(J694,Rame!$F:$F,0)-1,MATCH(K694,Rame!$F$1:$FF$1,0)-1))*IF(G694="Rame",1,0)</f>
        <v>0</v>
      </c>
      <c r="U694" s="205">
        <f ca="1">IF(ISERROR(OFFSET(Bronzo!$A$1,MATCH(J694,Bronzo!$A:$A,0)-1,MATCH(K694,Bronzo!$A$1:$AA$1,0)-1)=TRUE),0,OFFSET(Bronzo!$A$1,MATCH(J694,Bronzo!$A:$A,0)-1,MATCH(K694,Bronzo!$A$1:$AA$1,0)-1))</f>
        <v>0</v>
      </c>
      <c r="V694" s="205">
        <f t="shared" ca="1" si="238"/>
        <v>0</v>
      </c>
      <c r="W694" s="204"/>
      <c r="X694" s="205">
        <v>0</v>
      </c>
      <c r="Y694" s="206">
        <f t="shared" ca="1" si="239"/>
        <v>0</v>
      </c>
      <c r="Z694" s="277">
        <f t="shared" si="240"/>
        <v>0</v>
      </c>
      <c r="AA694" s="203"/>
      <c r="AB694" s="203">
        <f t="shared" ca="1" si="241"/>
        <v>0</v>
      </c>
      <c r="AC694" s="238"/>
      <c r="AI694" s="367">
        <f t="shared" ca="1" si="236"/>
        <v>46092</v>
      </c>
      <c r="AJ694" s="367" t="b">
        <f t="shared" si="242"/>
        <v>1</v>
      </c>
      <c r="AK694" s="370" t="str">
        <f t="shared" si="243"/>
        <v/>
      </c>
      <c r="AN694">
        <f t="shared" si="244"/>
        <v>0</v>
      </c>
      <c r="AO694">
        <f t="shared" si="245"/>
        <v>1900</v>
      </c>
      <c r="AV694">
        <f t="shared" si="248"/>
        <v>0</v>
      </c>
      <c r="AW694">
        <f t="shared" si="249"/>
        <v>0</v>
      </c>
    </row>
    <row r="695" spans="4:49" ht="15.75" x14ac:dyDescent="0.25">
      <c r="D695" s="199"/>
      <c r="E695" s="200"/>
      <c r="F695" s="287"/>
      <c r="G695" s="201"/>
      <c r="H695" s="219"/>
      <c r="I695" s="202"/>
      <c r="J695" s="200"/>
      <c r="K695" s="200"/>
      <c r="L695" s="203"/>
      <c r="M695" s="204">
        <f ca="1">IF(ISERROR(OFFSET(Tabella!$A$1,MATCH(J695,Tabella!$A:$A,0)-1,MATCH(L695,Tabella!$A$1:$AC$1,0)-1)=TRUE),0,+OFFSET(Tabella!$A$1,MATCH(J695,Tabella!$A:$A,0)-1,MATCH(L695,Tabella!$A$1:$AC$1,0)-1))</f>
        <v>0</v>
      </c>
      <c r="N695" s="205">
        <f ca="1">IF(ISERROR(OFFSET(Ottone!$A$1,MATCH(J695,Ottone!$A:$A,0)-1,MATCH(L695,Ottone!$A$1:$Z$1,0)-1)=TRUE),0,OFFSET(Ottone!$A$1,MATCH(J695,Ottone!$A:$A,0)-1,MATCH(L695,Ottone!$A$1:$Z$1,0)-1))*IF(G695="Ottone",1,0)</f>
        <v>0</v>
      </c>
      <c r="O695" s="205">
        <f ca="1">IF(ISERROR(OFFSET(Rame!$A$1,MATCH(J695,Rame!$A:$A,0)-1,MATCH(L695,Rame!$A$1:$AA$1,0)-1)=TRUE),0,OFFSET(Rame!$A$1,MATCH(J695,Rame!$A:$A,0)-1,MATCH(L695,Rame!$A$1:$AA$1,0)-1))*IF(G695="Rame",1,0)</f>
        <v>0</v>
      </c>
      <c r="P695" s="205">
        <v>0</v>
      </c>
      <c r="Q695" s="205">
        <f t="shared" ca="1" si="237"/>
        <v>0</v>
      </c>
      <c r="R695" s="205">
        <f ca="1">+IF(ISERROR(OFFSET(Tabella!$G$1,MATCH(J695,Tabella!$G:$G,0)-1,MATCH(K695,Tabella!$G$1:$FG$1,0)-1)=TRUE),0,OFFSET(Tabella!$G$1,MATCH(J695,Tabella!$G:$G,0)-1,MATCH(K695,Tabella!$G$1:$AB$1,0)-1))</f>
        <v>0</v>
      </c>
      <c r="S695" s="205">
        <f ca="1">IF(ISERROR(OFFSET(Ottone!$F$1,MATCH(J695,Ottone!$A:$A,0)-1,MATCH(K695,Ottone!$F$1:$FF$1,0)-1)=TRUE),0,OFFSET(Ottone!$F$1,MATCH(J695,Ottone!$A:$A,0)-1,MATCH(K695,Ottone!$F$1:$FF$1,0)-1))*IF(G695="Ottone",1,0)</f>
        <v>0</v>
      </c>
      <c r="T695" s="205">
        <f ca="1">IF(ISERROR(OFFSET(Rame!$F$1,MATCH(J695,Rame!$F:$F,0)-1,MATCH(K695,Rame!$F$1:$FF$1,0)-1)=TRUE),0,OFFSET(Rame!$F$1,MATCH(J695,Rame!$F:$F,0)-1,MATCH(K695,Rame!$F$1:$FF$1,0)-1))*IF(G695="Rame",1,0)</f>
        <v>0</v>
      </c>
      <c r="U695" s="205">
        <f ca="1">IF(ISERROR(OFFSET(Bronzo!$A$1,MATCH(J695,Bronzo!$A:$A,0)-1,MATCH(K695,Bronzo!$A$1:$AA$1,0)-1)=TRUE),0,OFFSET(Bronzo!$A$1,MATCH(J695,Bronzo!$A:$A,0)-1,MATCH(K695,Bronzo!$A$1:$AA$1,0)-1))</f>
        <v>0</v>
      </c>
      <c r="V695" s="205">
        <f t="shared" ca="1" si="238"/>
        <v>0</v>
      </c>
      <c r="W695" s="204"/>
      <c r="X695" s="205">
        <v>0</v>
      </c>
      <c r="Y695" s="206">
        <f t="shared" ca="1" si="239"/>
        <v>0</v>
      </c>
      <c r="Z695" s="277">
        <f t="shared" si="240"/>
        <v>0</v>
      </c>
      <c r="AA695" s="203"/>
      <c r="AB695" s="203">
        <f t="shared" ca="1" si="241"/>
        <v>0</v>
      </c>
      <c r="AC695" s="238"/>
      <c r="AI695" s="367">
        <f t="shared" ca="1" si="236"/>
        <v>46092</v>
      </c>
      <c r="AJ695" s="367" t="b">
        <f t="shared" si="242"/>
        <v>1</v>
      </c>
      <c r="AK695" s="370" t="str">
        <f t="shared" si="243"/>
        <v/>
      </c>
      <c r="AN695">
        <f t="shared" si="244"/>
        <v>0</v>
      </c>
      <c r="AO695">
        <f t="shared" si="245"/>
        <v>1900</v>
      </c>
      <c r="AV695">
        <f t="shared" si="248"/>
        <v>0</v>
      </c>
      <c r="AW695">
        <f t="shared" si="249"/>
        <v>0</v>
      </c>
    </row>
    <row r="696" spans="4:49" ht="15.75" x14ac:dyDescent="0.25">
      <c r="D696" s="199"/>
      <c r="E696" s="200"/>
      <c r="F696" s="287"/>
      <c r="G696" s="201"/>
      <c r="H696" s="219"/>
      <c r="I696" s="202"/>
      <c r="J696" s="200"/>
      <c r="K696" s="200"/>
      <c r="L696" s="203"/>
      <c r="M696" s="204">
        <f ca="1">IF(ISERROR(OFFSET(Tabella!$A$1,MATCH(J696,Tabella!$A:$A,0)-1,MATCH(L696,Tabella!$A$1:$AC$1,0)-1)=TRUE),0,+OFFSET(Tabella!$A$1,MATCH(J696,Tabella!$A:$A,0)-1,MATCH(L696,Tabella!$A$1:$AC$1,0)-1))</f>
        <v>0</v>
      </c>
      <c r="N696" s="205">
        <f ca="1">IF(ISERROR(OFFSET(Ottone!$A$1,MATCH(J696,Ottone!$A:$A,0)-1,MATCH(L696,Ottone!$A$1:$Z$1,0)-1)=TRUE),0,OFFSET(Ottone!$A$1,MATCH(J696,Ottone!$A:$A,0)-1,MATCH(L696,Ottone!$A$1:$Z$1,0)-1))*IF(G696="Ottone",1,0)</f>
        <v>0</v>
      </c>
      <c r="O696" s="205">
        <f ca="1">IF(ISERROR(OFFSET(Rame!$A$1,MATCH(J696,Rame!$A:$A,0)-1,MATCH(L696,Rame!$A$1:$AA$1,0)-1)=TRUE),0,OFFSET(Rame!$A$1,MATCH(J696,Rame!$A:$A,0)-1,MATCH(L696,Rame!$A$1:$AA$1,0)-1))*IF(G696="Rame",1,0)</f>
        <v>0</v>
      </c>
      <c r="P696" s="205">
        <v>0</v>
      </c>
      <c r="Q696" s="205">
        <f t="shared" ca="1" si="237"/>
        <v>0</v>
      </c>
      <c r="R696" s="205">
        <f ca="1">+IF(ISERROR(OFFSET(Tabella!$G$1,MATCH(J696,Tabella!$G:$G,0)-1,MATCH(K696,Tabella!$G$1:$FG$1,0)-1)=TRUE),0,OFFSET(Tabella!$G$1,MATCH(J696,Tabella!$G:$G,0)-1,MATCH(K696,Tabella!$G$1:$AB$1,0)-1))</f>
        <v>0</v>
      </c>
      <c r="S696" s="205">
        <f ca="1">IF(ISERROR(OFFSET(Ottone!$F$1,MATCH(J696,Ottone!$A:$A,0)-1,MATCH(K696,Ottone!$F$1:$FF$1,0)-1)=TRUE),0,OFFSET(Ottone!$F$1,MATCH(J696,Ottone!$A:$A,0)-1,MATCH(K696,Ottone!$F$1:$FF$1,0)-1))*IF(G696="Ottone",1,0)</f>
        <v>0</v>
      </c>
      <c r="T696" s="205">
        <f ca="1">IF(ISERROR(OFFSET(Rame!$F$1,MATCH(J696,Rame!$F:$F,0)-1,MATCH(K696,Rame!$F$1:$FF$1,0)-1)=TRUE),0,OFFSET(Rame!$F$1,MATCH(J696,Rame!$F:$F,0)-1,MATCH(K696,Rame!$F$1:$FF$1,0)-1))*IF(G696="Rame",1,0)</f>
        <v>0</v>
      </c>
      <c r="U696" s="205">
        <f ca="1">IF(ISERROR(OFFSET(Bronzo!$A$1,MATCH(J696,Bronzo!$A:$A,0)-1,MATCH(K696,Bronzo!$A$1:$AA$1,0)-1)=TRUE),0,OFFSET(Bronzo!$A$1,MATCH(J696,Bronzo!$A:$A,0)-1,MATCH(K696,Bronzo!$A$1:$AA$1,0)-1))</f>
        <v>0</v>
      </c>
      <c r="V696" s="205">
        <f t="shared" ca="1" si="238"/>
        <v>0</v>
      </c>
      <c r="W696" s="204"/>
      <c r="X696" s="205">
        <v>0</v>
      </c>
      <c r="Y696" s="206">
        <f t="shared" ca="1" si="239"/>
        <v>0</v>
      </c>
      <c r="Z696" s="277">
        <f t="shared" si="240"/>
        <v>0</v>
      </c>
      <c r="AA696" s="203"/>
      <c r="AB696" s="203">
        <f t="shared" ca="1" si="241"/>
        <v>0</v>
      </c>
      <c r="AC696" s="238"/>
      <c r="AI696" s="367">
        <f t="shared" ca="1" si="236"/>
        <v>46092</v>
      </c>
      <c r="AJ696" s="367" t="b">
        <f t="shared" si="242"/>
        <v>1</v>
      </c>
      <c r="AK696" s="370" t="str">
        <f t="shared" si="243"/>
        <v/>
      </c>
      <c r="AN696">
        <f t="shared" si="244"/>
        <v>0</v>
      </c>
      <c r="AO696">
        <f t="shared" si="245"/>
        <v>1900</v>
      </c>
      <c r="AV696">
        <f t="shared" si="248"/>
        <v>0</v>
      </c>
      <c r="AW696">
        <f t="shared" si="249"/>
        <v>0</v>
      </c>
    </row>
    <row r="697" spans="4:49" ht="15.75" x14ac:dyDescent="0.25">
      <c r="D697" s="199"/>
      <c r="E697" s="200"/>
      <c r="F697" s="287"/>
      <c r="G697" s="201"/>
      <c r="H697" s="219"/>
      <c r="I697" s="202"/>
      <c r="J697" s="200"/>
      <c r="K697" s="200"/>
      <c r="L697" s="203"/>
      <c r="M697" s="204">
        <f ca="1">IF(ISERROR(OFFSET(Tabella!$A$1,MATCH(J697,Tabella!$A:$A,0)-1,MATCH(L697,Tabella!$A$1:$AC$1,0)-1)=TRUE),0,+OFFSET(Tabella!$A$1,MATCH(J697,Tabella!$A:$A,0)-1,MATCH(L697,Tabella!$A$1:$AC$1,0)-1))</f>
        <v>0</v>
      </c>
      <c r="N697" s="205">
        <f ca="1">IF(ISERROR(OFFSET(Ottone!$A$1,MATCH(J697,Ottone!$A:$A,0)-1,MATCH(L697,Ottone!$A$1:$Z$1,0)-1)=TRUE),0,OFFSET(Ottone!$A$1,MATCH(J697,Ottone!$A:$A,0)-1,MATCH(L697,Ottone!$A$1:$Z$1,0)-1))*IF(G697="Ottone",1,0)</f>
        <v>0</v>
      </c>
      <c r="O697" s="205">
        <f ca="1">IF(ISERROR(OFFSET(Rame!$A$1,MATCH(J697,Rame!$A:$A,0)-1,MATCH(L697,Rame!$A$1:$AA$1,0)-1)=TRUE),0,OFFSET(Rame!$A$1,MATCH(J697,Rame!$A:$A,0)-1,MATCH(L697,Rame!$A$1:$AA$1,0)-1))*IF(G697="Rame",1,0)</f>
        <v>0</v>
      </c>
      <c r="P697" s="205">
        <v>0</v>
      </c>
      <c r="Q697" s="205">
        <f t="shared" ca="1" si="237"/>
        <v>0</v>
      </c>
      <c r="R697" s="205">
        <f ca="1">+IF(ISERROR(OFFSET(Tabella!$G$1,MATCH(J697,Tabella!$G:$G,0)-1,MATCH(K697,Tabella!$G$1:$FG$1,0)-1)=TRUE),0,OFFSET(Tabella!$G$1,MATCH(J697,Tabella!$G:$G,0)-1,MATCH(K697,Tabella!$G$1:$AB$1,0)-1))</f>
        <v>0</v>
      </c>
      <c r="S697" s="205">
        <f ca="1">IF(ISERROR(OFFSET(Ottone!$F$1,MATCH(J697,Ottone!$A:$A,0)-1,MATCH(K697,Ottone!$F$1:$FF$1,0)-1)=TRUE),0,OFFSET(Ottone!$F$1,MATCH(J697,Ottone!$A:$A,0)-1,MATCH(K697,Ottone!$F$1:$FF$1,0)-1))*IF(G697="Ottone",1,0)</f>
        <v>0</v>
      </c>
      <c r="T697" s="205">
        <f ca="1">IF(ISERROR(OFFSET(Rame!$F$1,MATCH(J697,Rame!$F:$F,0)-1,MATCH(K697,Rame!$F$1:$FF$1,0)-1)=TRUE),0,OFFSET(Rame!$F$1,MATCH(J697,Rame!$F:$F,0)-1,MATCH(K697,Rame!$F$1:$FF$1,0)-1))*IF(G697="Rame",1,0)</f>
        <v>0</v>
      </c>
      <c r="U697" s="205">
        <f ca="1">IF(ISERROR(OFFSET(Bronzo!$A$1,MATCH(J697,Bronzo!$A:$A,0)-1,MATCH(K697,Bronzo!$A$1:$AA$1,0)-1)=TRUE),0,OFFSET(Bronzo!$A$1,MATCH(J697,Bronzo!$A:$A,0)-1,MATCH(K697,Bronzo!$A$1:$AA$1,0)-1))</f>
        <v>0</v>
      </c>
      <c r="V697" s="205">
        <f t="shared" ca="1" si="238"/>
        <v>0</v>
      </c>
      <c r="W697" s="204"/>
      <c r="X697" s="205">
        <v>0</v>
      </c>
      <c r="Y697" s="206">
        <f t="shared" ca="1" si="239"/>
        <v>0</v>
      </c>
      <c r="Z697" s="277">
        <f t="shared" si="240"/>
        <v>0</v>
      </c>
      <c r="AA697" s="203"/>
      <c r="AB697" s="203">
        <f t="shared" ca="1" si="241"/>
        <v>0</v>
      </c>
      <c r="AC697" s="238"/>
      <c r="AI697" s="367">
        <f t="shared" ca="1" si="236"/>
        <v>46092</v>
      </c>
      <c r="AJ697" s="367" t="b">
        <f t="shared" si="242"/>
        <v>1</v>
      </c>
      <c r="AK697" s="370" t="str">
        <f t="shared" si="243"/>
        <v/>
      </c>
      <c r="AN697">
        <f t="shared" si="244"/>
        <v>0</v>
      </c>
      <c r="AO697">
        <f t="shared" si="245"/>
        <v>1900</v>
      </c>
      <c r="AV697">
        <f t="shared" si="248"/>
        <v>0</v>
      </c>
      <c r="AW697">
        <f t="shared" si="249"/>
        <v>0</v>
      </c>
    </row>
    <row r="698" spans="4:49" ht="15.75" x14ac:dyDescent="0.25">
      <c r="D698" s="199"/>
      <c r="E698" s="200"/>
      <c r="F698" s="287"/>
      <c r="G698" s="201"/>
      <c r="H698" s="219"/>
      <c r="I698" s="202"/>
      <c r="J698" s="200"/>
      <c r="K698" s="200"/>
      <c r="L698" s="203"/>
      <c r="M698" s="204">
        <f ca="1">IF(ISERROR(OFFSET(Tabella!$A$1,MATCH(J698,Tabella!$A:$A,0)-1,MATCH(L698,Tabella!$A$1:$AC$1,0)-1)=TRUE),0,+OFFSET(Tabella!$A$1,MATCH(J698,Tabella!$A:$A,0)-1,MATCH(L698,Tabella!$A$1:$AC$1,0)-1))</f>
        <v>0</v>
      </c>
      <c r="N698" s="205">
        <f ca="1">IF(ISERROR(OFFSET(Ottone!$A$1,MATCH(J698,Ottone!$A:$A,0)-1,MATCH(L698,Ottone!$A$1:$Z$1,0)-1)=TRUE),0,OFFSET(Ottone!$A$1,MATCH(J698,Ottone!$A:$A,0)-1,MATCH(L698,Ottone!$A$1:$Z$1,0)-1))*IF(G698="Ottone",1,0)</f>
        <v>0</v>
      </c>
      <c r="O698" s="205">
        <f ca="1">IF(ISERROR(OFFSET(Rame!$A$1,MATCH(J698,Rame!$A:$A,0)-1,MATCH(L698,Rame!$A$1:$AA$1,0)-1)=TRUE),0,OFFSET(Rame!$A$1,MATCH(J698,Rame!$A:$A,0)-1,MATCH(L698,Rame!$A$1:$AA$1,0)-1))*IF(G698="Rame",1,0)</f>
        <v>0</v>
      </c>
      <c r="P698" s="205">
        <v>0</v>
      </c>
      <c r="Q698" s="205">
        <f t="shared" ca="1" si="237"/>
        <v>0</v>
      </c>
      <c r="R698" s="205">
        <f ca="1">+IF(ISERROR(OFFSET(Tabella!$G$1,MATCH(J698,Tabella!$G:$G,0)-1,MATCH(K698,Tabella!$G$1:$FG$1,0)-1)=TRUE),0,OFFSET(Tabella!$G$1,MATCH(J698,Tabella!$G:$G,0)-1,MATCH(K698,Tabella!$G$1:$AB$1,0)-1))</f>
        <v>0</v>
      </c>
      <c r="S698" s="205">
        <f ca="1">IF(ISERROR(OFFSET(Ottone!$F$1,MATCH(J698,Ottone!$A:$A,0)-1,MATCH(K698,Ottone!$F$1:$FF$1,0)-1)=TRUE),0,OFFSET(Ottone!$F$1,MATCH(J698,Ottone!$A:$A,0)-1,MATCH(K698,Ottone!$F$1:$FF$1,0)-1))*IF(G698="Ottone",1,0)</f>
        <v>0</v>
      </c>
      <c r="T698" s="205">
        <f ca="1">IF(ISERROR(OFFSET(Rame!$F$1,MATCH(J698,Rame!$F:$F,0)-1,MATCH(K698,Rame!$F$1:$FF$1,0)-1)=TRUE),0,OFFSET(Rame!$F$1,MATCH(J698,Rame!$F:$F,0)-1,MATCH(K698,Rame!$F$1:$FF$1,0)-1))*IF(G698="Rame",1,0)</f>
        <v>0</v>
      </c>
      <c r="U698" s="205">
        <f ca="1">IF(ISERROR(OFFSET(Bronzo!$A$1,MATCH(J698,Bronzo!$A:$A,0)-1,MATCH(K698,Bronzo!$A$1:$AA$1,0)-1)=TRUE),0,OFFSET(Bronzo!$A$1,MATCH(J698,Bronzo!$A:$A,0)-1,MATCH(K698,Bronzo!$A$1:$AA$1,0)-1))</f>
        <v>0</v>
      </c>
      <c r="V698" s="205">
        <f t="shared" ca="1" si="238"/>
        <v>0</v>
      </c>
      <c r="W698" s="204"/>
      <c r="X698" s="205">
        <v>0</v>
      </c>
      <c r="Y698" s="206">
        <f t="shared" ca="1" si="239"/>
        <v>0</v>
      </c>
      <c r="Z698" s="277">
        <f t="shared" si="240"/>
        <v>0</v>
      </c>
      <c r="AA698" s="203"/>
      <c r="AB698" s="203">
        <f t="shared" ca="1" si="241"/>
        <v>0</v>
      </c>
      <c r="AC698" s="238"/>
      <c r="AI698" s="367">
        <f t="shared" ca="1" si="236"/>
        <v>46092</v>
      </c>
      <c r="AJ698" s="367" t="b">
        <f t="shared" si="242"/>
        <v>1</v>
      </c>
      <c r="AK698" s="370" t="str">
        <f t="shared" si="243"/>
        <v/>
      </c>
      <c r="AN698">
        <f t="shared" si="244"/>
        <v>0</v>
      </c>
      <c r="AO698">
        <f t="shared" si="245"/>
        <v>1900</v>
      </c>
      <c r="AV698">
        <f t="shared" si="248"/>
        <v>0</v>
      </c>
      <c r="AW698">
        <f t="shared" si="249"/>
        <v>0</v>
      </c>
    </row>
    <row r="699" spans="4:49" ht="15.75" x14ac:dyDescent="0.25">
      <c r="D699" s="199"/>
      <c r="E699" s="200"/>
      <c r="F699" s="287"/>
      <c r="G699" s="201"/>
      <c r="H699" s="219"/>
      <c r="I699" s="202"/>
      <c r="J699" s="200"/>
      <c r="K699" s="200"/>
      <c r="L699" s="203"/>
      <c r="M699" s="204">
        <f ca="1">IF(ISERROR(OFFSET(Tabella!$A$1,MATCH(J699,Tabella!$A:$A,0)-1,MATCH(L699,Tabella!$A$1:$AC$1,0)-1)=TRUE),0,+OFFSET(Tabella!$A$1,MATCH(J699,Tabella!$A:$A,0)-1,MATCH(L699,Tabella!$A$1:$AC$1,0)-1))</f>
        <v>0</v>
      </c>
      <c r="N699" s="205">
        <f ca="1">IF(ISERROR(OFFSET(Ottone!$A$1,MATCH(J699,Ottone!$A:$A,0)-1,MATCH(L699,Ottone!$A$1:$Z$1,0)-1)=TRUE),0,OFFSET(Ottone!$A$1,MATCH(J699,Ottone!$A:$A,0)-1,MATCH(L699,Ottone!$A$1:$Z$1,0)-1))*IF(G699="Ottone",1,0)</f>
        <v>0</v>
      </c>
      <c r="O699" s="205">
        <f ca="1">IF(ISERROR(OFFSET(Rame!$A$1,MATCH(J699,Rame!$A:$A,0)-1,MATCH(L699,Rame!$A$1:$AA$1,0)-1)=TRUE),0,OFFSET(Rame!$A$1,MATCH(J699,Rame!$A:$A,0)-1,MATCH(L699,Rame!$A$1:$AA$1,0)-1))*IF(G699="Rame",1,0)</f>
        <v>0</v>
      </c>
      <c r="P699" s="205">
        <v>0</v>
      </c>
      <c r="Q699" s="205">
        <f t="shared" ca="1" si="237"/>
        <v>0</v>
      </c>
      <c r="R699" s="205">
        <f ca="1">+IF(ISERROR(OFFSET(Tabella!$G$1,MATCH(J699,Tabella!$G:$G,0)-1,MATCH(K699,Tabella!$G$1:$FG$1,0)-1)=TRUE),0,OFFSET(Tabella!$G$1,MATCH(J699,Tabella!$G:$G,0)-1,MATCH(K699,Tabella!$G$1:$AB$1,0)-1))</f>
        <v>0</v>
      </c>
      <c r="S699" s="205">
        <f ca="1">IF(ISERROR(OFFSET(Ottone!$F$1,MATCH(J699,Ottone!$A:$A,0)-1,MATCH(K699,Ottone!$F$1:$FF$1,0)-1)=TRUE),0,OFFSET(Ottone!$F$1,MATCH(J699,Ottone!$A:$A,0)-1,MATCH(K699,Ottone!$F$1:$FF$1,0)-1))*IF(G699="Ottone",1,0)</f>
        <v>0</v>
      </c>
      <c r="T699" s="205">
        <f ca="1">IF(ISERROR(OFFSET(Rame!$F$1,MATCH(J699,Rame!$F:$F,0)-1,MATCH(K699,Rame!$F$1:$FF$1,0)-1)=TRUE),0,OFFSET(Rame!$F$1,MATCH(J699,Rame!$F:$F,0)-1,MATCH(K699,Rame!$F$1:$FF$1,0)-1))*IF(G699="Rame",1,0)</f>
        <v>0</v>
      </c>
      <c r="U699" s="205">
        <f ca="1">IF(ISERROR(OFFSET(Bronzo!$A$1,MATCH(J699,Bronzo!$A:$A,0)-1,MATCH(K699,Bronzo!$A$1:$AA$1,0)-1)=TRUE),0,OFFSET(Bronzo!$A$1,MATCH(J699,Bronzo!$A:$A,0)-1,MATCH(K699,Bronzo!$A$1:$AA$1,0)-1))</f>
        <v>0</v>
      </c>
      <c r="V699" s="205">
        <f t="shared" ca="1" si="238"/>
        <v>0</v>
      </c>
      <c r="W699" s="204"/>
      <c r="X699" s="205">
        <v>0</v>
      </c>
      <c r="Y699" s="206">
        <f t="shared" ca="1" si="239"/>
        <v>0</v>
      </c>
      <c r="Z699" s="277">
        <f t="shared" si="240"/>
        <v>0</v>
      </c>
      <c r="AA699" s="203"/>
      <c r="AB699" s="203">
        <f t="shared" ca="1" si="241"/>
        <v>0</v>
      </c>
      <c r="AC699" s="238"/>
      <c r="AI699" s="367">
        <f t="shared" ca="1" si="236"/>
        <v>46092</v>
      </c>
      <c r="AJ699" s="367" t="b">
        <f t="shared" si="242"/>
        <v>1</v>
      </c>
      <c r="AK699" s="370" t="str">
        <f t="shared" si="243"/>
        <v/>
      </c>
      <c r="AN699">
        <f t="shared" si="244"/>
        <v>0</v>
      </c>
      <c r="AO699">
        <f t="shared" si="245"/>
        <v>1900</v>
      </c>
      <c r="AV699">
        <f t="shared" si="248"/>
        <v>0</v>
      </c>
      <c r="AW699">
        <f t="shared" si="249"/>
        <v>0</v>
      </c>
    </row>
    <row r="700" spans="4:49" ht="15.75" x14ac:dyDescent="0.25">
      <c r="D700" s="199"/>
      <c r="E700" s="200"/>
      <c r="F700" s="287"/>
      <c r="G700" s="201"/>
      <c r="H700" s="219"/>
      <c r="I700" s="202"/>
      <c r="J700" s="200"/>
      <c r="K700" s="200"/>
      <c r="L700" s="203"/>
      <c r="M700" s="204">
        <f ca="1">IF(ISERROR(OFFSET(Tabella!$A$1,MATCH(J700,Tabella!$A:$A,0)-1,MATCH(L700,Tabella!$A$1:$AC$1,0)-1)=TRUE),0,+OFFSET(Tabella!$A$1,MATCH(J700,Tabella!$A:$A,0)-1,MATCH(L700,Tabella!$A$1:$AC$1,0)-1))</f>
        <v>0</v>
      </c>
      <c r="N700" s="205">
        <f ca="1">IF(ISERROR(OFFSET(Ottone!$A$1,MATCH(J700,Ottone!$A:$A,0)-1,MATCH(L700,Ottone!$A$1:$Z$1,0)-1)=TRUE),0,OFFSET(Ottone!$A$1,MATCH(J700,Ottone!$A:$A,0)-1,MATCH(L700,Ottone!$A$1:$Z$1,0)-1))*IF(G700="Ottone",1,0)</f>
        <v>0</v>
      </c>
      <c r="O700" s="205">
        <f ca="1">IF(ISERROR(OFFSET(Rame!$A$1,MATCH(J700,Rame!$A:$A,0)-1,MATCH(L700,Rame!$A$1:$AA$1,0)-1)=TRUE),0,OFFSET(Rame!$A$1,MATCH(J700,Rame!$A:$A,0)-1,MATCH(L700,Rame!$A$1:$AA$1,0)-1))*IF(G700="Rame",1,0)</f>
        <v>0</v>
      </c>
      <c r="P700" s="205">
        <v>0</v>
      </c>
      <c r="Q700" s="205">
        <f t="shared" ca="1" si="237"/>
        <v>0</v>
      </c>
      <c r="R700" s="205">
        <f ca="1">+IF(ISERROR(OFFSET(Tabella!$G$1,MATCH(J700,Tabella!$G:$G,0)-1,MATCH(K700,Tabella!$G$1:$FG$1,0)-1)=TRUE),0,OFFSET(Tabella!$G$1,MATCH(J700,Tabella!$G:$G,0)-1,MATCH(K700,Tabella!$G$1:$AB$1,0)-1))</f>
        <v>0</v>
      </c>
      <c r="S700" s="205">
        <f ca="1">IF(ISERROR(OFFSET(Ottone!$F$1,MATCH(J700,Ottone!$A:$A,0)-1,MATCH(K700,Ottone!$F$1:$FF$1,0)-1)=TRUE),0,OFFSET(Ottone!$F$1,MATCH(J700,Ottone!$A:$A,0)-1,MATCH(K700,Ottone!$F$1:$FF$1,0)-1))*IF(G700="Ottone",1,0)</f>
        <v>0</v>
      </c>
      <c r="T700" s="205">
        <f ca="1">IF(ISERROR(OFFSET(Rame!$F$1,MATCH(J700,Rame!$F:$F,0)-1,MATCH(K700,Rame!$F$1:$FF$1,0)-1)=TRUE),0,OFFSET(Rame!$F$1,MATCH(J700,Rame!$F:$F,0)-1,MATCH(K700,Rame!$F$1:$FF$1,0)-1))*IF(G700="Rame",1,0)</f>
        <v>0</v>
      </c>
      <c r="U700" s="205">
        <f ca="1">IF(ISERROR(OFFSET(Bronzo!$A$1,MATCH(J700,Bronzo!$A:$A,0)-1,MATCH(K700,Bronzo!$A$1:$AA$1,0)-1)=TRUE),0,OFFSET(Bronzo!$A$1,MATCH(J700,Bronzo!$A:$A,0)-1,MATCH(K700,Bronzo!$A$1:$AA$1,0)-1))</f>
        <v>0</v>
      </c>
      <c r="V700" s="205">
        <f t="shared" ca="1" si="238"/>
        <v>0</v>
      </c>
      <c r="W700" s="204"/>
      <c r="X700" s="205">
        <v>0</v>
      </c>
      <c r="Y700" s="206">
        <f t="shared" ca="1" si="239"/>
        <v>0</v>
      </c>
      <c r="Z700" s="277">
        <f t="shared" si="240"/>
        <v>0</v>
      </c>
      <c r="AA700" s="203"/>
      <c r="AB700" s="203">
        <f t="shared" ca="1" si="241"/>
        <v>0</v>
      </c>
      <c r="AC700" s="238"/>
      <c r="AI700" s="367">
        <f t="shared" ca="1" si="236"/>
        <v>46092</v>
      </c>
      <c r="AJ700" s="367" t="b">
        <f t="shared" si="242"/>
        <v>1</v>
      </c>
      <c r="AK700" s="370" t="str">
        <f t="shared" si="243"/>
        <v/>
      </c>
      <c r="AN700">
        <f t="shared" si="244"/>
        <v>0</v>
      </c>
      <c r="AO700">
        <f t="shared" si="245"/>
        <v>1900</v>
      </c>
      <c r="AV700">
        <f t="shared" si="248"/>
        <v>0</v>
      </c>
      <c r="AW700">
        <f t="shared" si="249"/>
        <v>0</v>
      </c>
    </row>
    <row r="701" spans="4:49" ht="15.75" x14ac:dyDescent="0.25">
      <c r="D701" s="199"/>
      <c r="E701" s="200"/>
      <c r="F701" s="287"/>
      <c r="G701" s="201"/>
      <c r="H701" s="219"/>
      <c r="I701" s="202"/>
      <c r="J701" s="200"/>
      <c r="K701" s="200"/>
      <c r="L701" s="203"/>
      <c r="M701" s="204">
        <f ca="1">IF(ISERROR(OFFSET(Tabella!$A$1,MATCH(J701,Tabella!$A:$A,0)-1,MATCH(L701,Tabella!$A$1:$AC$1,0)-1)=TRUE),0,+OFFSET(Tabella!$A$1,MATCH(J701,Tabella!$A:$A,0)-1,MATCH(L701,Tabella!$A$1:$AC$1,0)-1))</f>
        <v>0</v>
      </c>
      <c r="N701" s="205">
        <f ca="1">IF(ISERROR(OFFSET(Ottone!$A$1,MATCH(J701,Ottone!$A:$A,0)-1,MATCH(L701,Ottone!$A$1:$Z$1,0)-1)=TRUE),0,OFFSET(Ottone!$A$1,MATCH(J701,Ottone!$A:$A,0)-1,MATCH(L701,Ottone!$A$1:$Z$1,0)-1))*IF(G701="Ottone",1,0)</f>
        <v>0</v>
      </c>
      <c r="O701" s="205">
        <f ca="1">IF(ISERROR(OFFSET(Rame!$A$1,MATCH(J701,Rame!$A:$A,0)-1,MATCH(L701,Rame!$A$1:$AA$1,0)-1)=TRUE),0,OFFSET(Rame!$A$1,MATCH(J701,Rame!$A:$A,0)-1,MATCH(L701,Rame!$A$1:$AA$1,0)-1))*IF(G701="Rame",1,0)</f>
        <v>0</v>
      </c>
      <c r="P701" s="205">
        <v>0</v>
      </c>
      <c r="Q701" s="205">
        <f t="shared" ca="1" si="237"/>
        <v>0</v>
      </c>
      <c r="R701" s="205">
        <f ca="1">+IF(ISERROR(OFFSET(Tabella!$G$1,MATCH(J701,Tabella!$G:$G,0)-1,MATCH(K701,Tabella!$G$1:$FG$1,0)-1)=TRUE),0,OFFSET(Tabella!$G$1,MATCH(J701,Tabella!$G:$G,0)-1,MATCH(K701,Tabella!$G$1:$AB$1,0)-1))</f>
        <v>0</v>
      </c>
      <c r="S701" s="205">
        <f ca="1">IF(ISERROR(OFFSET(Ottone!$F$1,MATCH(J701,Ottone!$A:$A,0)-1,MATCH(K701,Ottone!$F$1:$FF$1,0)-1)=TRUE),0,OFFSET(Ottone!$F$1,MATCH(J701,Ottone!$A:$A,0)-1,MATCH(K701,Ottone!$F$1:$FF$1,0)-1))*IF(G701="Ottone",1,0)</f>
        <v>0</v>
      </c>
      <c r="T701" s="205">
        <f ca="1">IF(ISERROR(OFFSET(Rame!$F$1,MATCH(J701,Rame!$F:$F,0)-1,MATCH(K701,Rame!$F$1:$FF$1,0)-1)=TRUE),0,OFFSET(Rame!$F$1,MATCH(J701,Rame!$F:$F,0)-1,MATCH(K701,Rame!$F$1:$FF$1,0)-1))*IF(G701="Rame",1,0)</f>
        <v>0</v>
      </c>
      <c r="U701" s="205">
        <f ca="1">IF(ISERROR(OFFSET(Bronzo!$A$1,MATCH(J701,Bronzo!$A:$A,0)-1,MATCH(K701,Bronzo!$A$1:$AA$1,0)-1)=TRUE),0,OFFSET(Bronzo!$A$1,MATCH(J701,Bronzo!$A:$A,0)-1,MATCH(K701,Bronzo!$A$1:$AA$1,0)-1))</f>
        <v>0</v>
      </c>
      <c r="V701" s="205">
        <f t="shared" ca="1" si="238"/>
        <v>0</v>
      </c>
      <c r="W701" s="204"/>
      <c r="X701" s="205">
        <v>0</v>
      </c>
      <c r="Y701" s="206">
        <f t="shared" ca="1" si="239"/>
        <v>0</v>
      </c>
      <c r="Z701" s="277">
        <f t="shared" si="240"/>
        <v>0</v>
      </c>
      <c r="AA701" s="203"/>
      <c r="AB701" s="203">
        <f t="shared" ca="1" si="241"/>
        <v>0</v>
      </c>
      <c r="AC701" s="238"/>
      <c r="AI701" s="367">
        <f t="shared" ca="1" si="236"/>
        <v>46092</v>
      </c>
      <c r="AJ701" s="367" t="b">
        <f t="shared" si="242"/>
        <v>1</v>
      </c>
      <c r="AK701" s="370" t="str">
        <f t="shared" si="243"/>
        <v/>
      </c>
      <c r="AN701">
        <f t="shared" si="244"/>
        <v>0</v>
      </c>
      <c r="AO701">
        <f t="shared" si="245"/>
        <v>1900</v>
      </c>
      <c r="AV701">
        <f t="shared" si="248"/>
        <v>0</v>
      </c>
      <c r="AW701">
        <f t="shared" si="249"/>
        <v>0</v>
      </c>
    </row>
    <row r="702" spans="4:49" ht="15.75" x14ac:dyDescent="0.25">
      <c r="D702" s="199"/>
      <c r="E702" s="200"/>
      <c r="F702" s="287"/>
      <c r="G702" s="201"/>
      <c r="H702" s="219"/>
      <c r="I702" s="202"/>
      <c r="J702" s="200"/>
      <c r="K702" s="200"/>
      <c r="L702" s="203"/>
      <c r="M702" s="204">
        <f ca="1">IF(ISERROR(OFFSET(Tabella!$A$1,MATCH(J702,Tabella!$A:$A,0)-1,MATCH(L702,Tabella!$A$1:$AC$1,0)-1)=TRUE),0,+OFFSET(Tabella!$A$1,MATCH(J702,Tabella!$A:$A,0)-1,MATCH(L702,Tabella!$A$1:$AC$1,0)-1))</f>
        <v>0</v>
      </c>
      <c r="N702" s="205">
        <f ca="1">IF(ISERROR(OFFSET(Ottone!$A$1,MATCH(J702,Ottone!$A:$A,0)-1,MATCH(L702,Ottone!$A$1:$Z$1,0)-1)=TRUE),0,OFFSET(Ottone!$A$1,MATCH(J702,Ottone!$A:$A,0)-1,MATCH(L702,Ottone!$A$1:$Z$1,0)-1))*IF(G702="Ottone",1,0)</f>
        <v>0</v>
      </c>
      <c r="O702" s="205">
        <f ca="1">IF(ISERROR(OFFSET(Rame!$A$1,MATCH(J702,Rame!$A:$A,0)-1,MATCH(L702,Rame!$A$1:$AA$1,0)-1)=TRUE),0,OFFSET(Rame!$A$1,MATCH(J702,Rame!$A:$A,0)-1,MATCH(L702,Rame!$A$1:$AA$1,0)-1))*IF(G702="Rame",1,0)</f>
        <v>0</v>
      </c>
      <c r="P702" s="205">
        <v>0</v>
      </c>
      <c r="Q702" s="205">
        <f t="shared" ca="1" si="237"/>
        <v>0</v>
      </c>
      <c r="R702" s="205">
        <f ca="1">+IF(ISERROR(OFFSET(Tabella!$G$1,MATCH(J702,Tabella!$G:$G,0)-1,MATCH(K702,Tabella!$G$1:$FG$1,0)-1)=TRUE),0,OFFSET(Tabella!$G$1,MATCH(J702,Tabella!$G:$G,0)-1,MATCH(K702,Tabella!$G$1:$AB$1,0)-1))</f>
        <v>0</v>
      </c>
      <c r="S702" s="205">
        <f ca="1">IF(ISERROR(OFFSET(Ottone!$F$1,MATCH(J702,Ottone!$A:$A,0)-1,MATCH(K702,Ottone!$F$1:$FF$1,0)-1)=TRUE),0,OFFSET(Ottone!$F$1,MATCH(J702,Ottone!$A:$A,0)-1,MATCH(K702,Ottone!$F$1:$FF$1,0)-1))*IF(G702="Ottone",1,0)</f>
        <v>0</v>
      </c>
      <c r="T702" s="205">
        <f ca="1">IF(ISERROR(OFFSET(Rame!$F$1,MATCH(J702,Rame!$F:$F,0)-1,MATCH(K702,Rame!$F$1:$FF$1,0)-1)=TRUE),0,OFFSET(Rame!$F$1,MATCH(J702,Rame!$F:$F,0)-1,MATCH(K702,Rame!$F$1:$FF$1,0)-1))*IF(G702="Rame",1,0)</f>
        <v>0</v>
      </c>
      <c r="U702" s="205">
        <f ca="1">IF(ISERROR(OFFSET(Bronzo!$A$1,MATCH(J702,Bronzo!$A:$A,0)-1,MATCH(K702,Bronzo!$A$1:$AA$1,0)-1)=TRUE),0,OFFSET(Bronzo!$A$1,MATCH(J702,Bronzo!$A:$A,0)-1,MATCH(K702,Bronzo!$A$1:$AA$1,0)-1))</f>
        <v>0</v>
      </c>
      <c r="V702" s="205">
        <f t="shared" ca="1" si="238"/>
        <v>0</v>
      </c>
      <c r="W702" s="204"/>
      <c r="X702" s="205">
        <v>0</v>
      </c>
      <c r="Y702" s="206">
        <f t="shared" ca="1" si="239"/>
        <v>0</v>
      </c>
      <c r="Z702" s="277">
        <f t="shared" si="240"/>
        <v>0</v>
      </c>
      <c r="AA702" s="203"/>
      <c r="AB702" s="203">
        <f t="shared" ca="1" si="241"/>
        <v>0</v>
      </c>
      <c r="AC702" s="238"/>
      <c r="AI702" s="367">
        <f t="shared" ca="1" si="236"/>
        <v>46092</v>
      </c>
      <c r="AJ702" s="367" t="b">
        <f t="shared" si="242"/>
        <v>1</v>
      </c>
      <c r="AK702" s="370" t="str">
        <f t="shared" si="243"/>
        <v/>
      </c>
      <c r="AN702">
        <f t="shared" si="244"/>
        <v>0</v>
      </c>
      <c r="AO702">
        <f t="shared" si="245"/>
        <v>1900</v>
      </c>
      <c r="AV702">
        <f t="shared" si="248"/>
        <v>0</v>
      </c>
      <c r="AW702">
        <f t="shared" si="249"/>
        <v>0</v>
      </c>
    </row>
    <row r="703" spans="4:49" ht="15.75" x14ac:dyDescent="0.25">
      <c r="D703" s="199"/>
      <c r="E703" s="200"/>
      <c r="F703" s="287"/>
      <c r="G703" s="201"/>
      <c r="H703" s="219"/>
      <c r="I703" s="202"/>
      <c r="J703" s="200"/>
      <c r="K703" s="200"/>
      <c r="L703" s="203"/>
      <c r="M703" s="204">
        <f ca="1">IF(ISERROR(OFFSET(Tabella!$A$1,MATCH(J703,Tabella!$A:$A,0)-1,MATCH(L703,Tabella!$A$1:$AC$1,0)-1)=TRUE),0,+OFFSET(Tabella!$A$1,MATCH(J703,Tabella!$A:$A,0)-1,MATCH(L703,Tabella!$A$1:$AC$1,0)-1))</f>
        <v>0</v>
      </c>
      <c r="N703" s="205">
        <f ca="1">IF(ISERROR(OFFSET(Ottone!$A$1,MATCH(J703,Ottone!$A:$A,0)-1,MATCH(L703,Ottone!$A$1:$Z$1,0)-1)=TRUE),0,OFFSET(Ottone!$A$1,MATCH(J703,Ottone!$A:$A,0)-1,MATCH(L703,Ottone!$A$1:$Z$1,0)-1))*IF(G703="Ottone",1,0)</f>
        <v>0</v>
      </c>
      <c r="O703" s="205">
        <f ca="1">IF(ISERROR(OFFSET(Rame!$A$1,MATCH(J703,Rame!$A:$A,0)-1,MATCH(L703,Rame!$A$1:$AA$1,0)-1)=TRUE),0,OFFSET(Rame!$A$1,MATCH(J703,Rame!$A:$A,0)-1,MATCH(L703,Rame!$A$1:$AA$1,0)-1))*IF(G703="Rame",1,0)</f>
        <v>0</v>
      </c>
      <c r="P703" s="205">
        <v>0</v>
      </c>
      <c r="Q703" s="205">
        <f t="shared" ca="1" si="237"/>
        <v>0</v>
      </c>
      <c r="R703" s="205">
        <f ca="1">+IF(ISERROR(OFFSET(Tabella!$G$1,MATCH(J703,Tabella!$G:$G,0)-1,MATCH(K703,Tabella!$G$1:$FG$1,0)-1)=TRUE),0,OFFSET(Tabella!$G$1,MATCH(J703,Tabella!$G:$G,0)-1,MATCH(K703,Tabella!$G$1:$AB$1,0)-1))</f>
        <v>0</v>
      </c>
      <c r="S703" s="205">
        <f ca="1">IF(ISERROR(OFFSET(Ottone!$F$1,MATCH(J703,Ottone!$A:$A,0)-1,MATCH(K703,Ottone!$F$1:$FF$1,0)-1)=TRUE),0,OFFSET(Ottone!$F$1,MATCH(J703,Ottone!$A:$A,0)-1,MATCH(K703,Ottone!$F$1:$FF$1,0)-1))*IF(G703="Ottone",1,0)</f>
        <v>0</v>
      </c>
      <c r="T703" s="205">
        <f ca="1">IF(ISERROR(OFFSET(Rame!$F$1,MATCH(J703,Rame!$F:$F,0)-1,MATCH(K703,Rame!$F$1:$FF$1,0)-1)=TRUE),0,OFFSET(Rame!$F$1,MATCH(J703,Rame!$F:$F,0)-1,MATCH(K703,Rame!$F$1:$FF$1,0)-1))*IF(G703="Rame",1,0)</f>
        <v>0</v>
      </c>
      <c r="U703" s="205">
        <f ca="1">IF(ISERROR(OFFSET(Bronzo!$A$1,MATCH(J703,Bronzo!$A:$A,0)-1,MATCH(K703,Bronzo!$A$1:$AA$1,0)-1)=TRUE),0,OFFSET(Bronzo!$A$1,MATCH(J703,Bronzo!$A:$A,0)-1,MATCH(K703,Bronzo!$A$1:$AA$1,0)-1))</f>
        <v>0</v>
      </c>
      <c r="V703" s="205">
        <f t="shared" ca="1" si="238"/>
        <v>0</v>
      </c>
      <c r="W703" s="204"/>
      <c r="X703" s="205">
        <v>0</v>
      </c>
      <c r="Y703" s="206">
        <f t="shared" ca="1" si="239"/>
        <v>0</v>
      </c>
      <c r="Z703" s="277">
        <f t="shared" si="240"/>
        <v>0</v>
      </c>
      <c r="AA703" s="203"/>
      <c r="AB703" s="203">
        <f t="shared" ca="1" si="241"/>
        <v>0</v>
      </c>
      <c r="AC703" s="238"/>
      <c r="AI703" s="367">
        <f t="shared" ca="1" si="236"/>
        <v>46092</v>
      </c>
      <c r="AJ703" s="367" t="b">
        <f t="shared" si="242"/>
        <v>1</v>
      </c>
      <c r="AK703" s="370" t="str">
        <f t="shared" si="243"/>
        <v/>
      </c>
      <c r="AN703">
        <f t="shared" si="244"/>
        <v>0</v>
      </c>
      <c r="AO703">
        <f t="shared" si="245"/>
        <v>1900</v>
      </c>
      <c r="AV703">
        <f t="shared" si="248"/>
        <v>0</v>
      </c>
      <c r="AW703">
        <f t="shared" si="249"/>
        <v>0</v>
      </c>
    </row>
    <row r="704" spans="4:49" ht="15.75" x14ac:dyDescent="0.25">
      <c r="D704" s="199"/>
      <c r="E704" s="200"/>
      <c r="F704" s="287"/>
      <c r="G704" s="201"/>
      <c r="H704" s="219"/>
      <c r="I704" s="202"/>
      <c r="J704" s="200"/>
      <c r="K704" s="200"/>
      <c r="L704" s="203"/>
      <c r="M704" s="204">
        <f ca="1">IF(ISERROR(OFFSET(Tabella!$A$1,MATCH(J704,Tabella!$A:$A,0)-1,MATCH(L704,Tabella!$A$1:$AC$1,0)-1)=TRUE),0,+OFFSET(Tabella!$A$1,MATCH(J704,Tabella!$A:$A,0)-1,MATCH(L704,Tabella!$A$1:$AC$1,0)-1))</f>
        <v>0</v>
      </c>
      <c r="N704" s="205">
        <f ca="1">IF(ISERROR(OFFSET(Ottone!$A$1,MATCH(J704,Ottone!$A:$A,0)-1,MATCH(L704,Ottone!$A$1:$Z$1,0)-1)=TRUE),0,OFFSET(Ottone!$A$1,MATCH(J704,Ottone!$A:$A,0)-1,MATCH(L704,Ottone!$A$1:$Z$1,0)-1))*IF(G704="Ottone",1,0)</f>
        <v>0</v>
      </c>
      <c r="O704" s="205">
        <f ca="1">IF(ISERROR(OFFSET(Rame!$A$1,MATCH(J704,Rame!$A:$A,0)-1,MATCH(L704,Rame!$A$1:$AA$1,0)-1)=TRUE),0,OFFSET(Rame!$A$1,MATCH(J704,Rame!$A:$A,0)-1,MATCH(L704,Rame!$A$1:$AA$1,0)-1))*IF(G704="Rame",1,0)</f>
        <v>0</v>
      </c>
      <c r="P704" s="205">
        <v>0</v>
      </c>
      <c r="Q704" s="205">
        <f t="shared" ca="1" si="237"/>
        <v>0</v>
      </c>
      <c r="R704" s="205">
        <f ca="1">+IF(ISERROR(OFFSET(Tabella!$G$1,MATCH(J704,Tabella!$G:$G,0)-1,MATCH(K704,Tabella!$G$1:$FG$1,0)-1)=TRUE),0,OFFSET(Tabella!$G$1,MATCH(J704,Tabella!$G:$G,0)-1,MATCH(K704,Tabella!$G$1:$AB$1,0)-1))</f>
        <v>0</v>
      </c>
      <c r="S704" s="205">
        <f ca="1">IF(ISERROR(OFFSET(Ottone!$F$1,MATCH(J704,Ottone!$A:$A,0)-1,MATCH(K704,Ottone!$F$1:$FF$1,0)-1)=TRUE),0,OFFSET(Ottone!$F$1,MATCH(J704,Ottone!$A:$A,0)-1,MATCH(K704,Ottone!$F$1:$FF$1,0)-1))*IF(G704="Ottone",1,0)</f>
        <v>0</v>
      </c>
      <c r="T704" s="205">
        <f ca="1">IF(ISERROR(OFFSET(Rame!$F$1,MATCH(J704,Rame!$F:$F,0)-1,MATCH(K704,Rame!$F$1:$FF$1,0)-1)=TRUE),0,OFFSET(Rame!$F$1,MATCH(J704,Rame!$F:$F,0)-1,MATCH(K704,Rame!$F$1:$FF$1,0)-1))*IF(G704="Rame",1,0)</f>
        <v>0</v>
      </c>
      <c r="U704" s="205">
        <f ca="1">IF(ISERROR(OFFSET(Bronzo!$A$1,MATCH(J704,Bronzo!$A:$A,0)-1,MATCH(K704,Bronzo!$A$1:$AA$1,0)-1)=TRUE),0,OFFSET(Bronzo!$A$1,MATCH(J704,Bronzo!$A:$A,0)-1,MATCH(K704,Bronzo!$A$1:$AA$1,0)-1))</f>
        <v>0</v>
      </c>
      <c r="V704" s="205">
        <f t="shared" ca="1" si="238"/>
        <v>0</v>
      </c>
      <c r="W704" s="204"/>
      <c r="X704" s="205">
        <v>0</v>
      </c>
      <c r="Y704" s="206">
        <f t="shared" ca="1" si="239"/>
        <v>0</v>
      </c>
      <c r="Z704" s="277">
        <f t="shared" si="240"/>
        <v>0</v>
      </c>
      <c r="AA704" s="203"/>
      <c r="AB704" s="203">
        <f t="shared" ca="1" si="241"/>
        <v>0</v>
      </c>
      <c r="AC704" s="238"/>
      <c r="AI704" s="367">
        <f t="shared" ref="AI704:AI767" ca="1" si="250">TODAY()</f>
        <v>46092</v>
      </c>
      <c r="AJ704" s="367" t="b">
        <f t="shared" si="242"/>
        <v>1</v>
      </c>
      <c r="AK704" s="370" t="str">
        <f t="shared" si="243"/>
        <v/>
      </c>
      <c r="AN704">
        <f t="shared" si="244"/>
        <v>0</v>
      </c>
      <c r="AO704">
        <f t="shared" si="245"/>
        <v>1900</v>
      </c>
      <c r="AV704">
        <f t="shared" si="248"/>
        <v>0</v>
      </c>
      <c r="AW704">
        <f t="shared" si="249"/>
        <v>0</v>
      </c>
    </row>
    <row r="705" spans="4:49" ht="15.75" x14ac:dyDescent="0.25">
      <c r="D705" s="199"/>
      <c r="E705" s="200"/>
      <c r="F705" s="287"/>
      <c r="G705" s="201"/>
      <c r="H705" s="219"/>
      <c r="I705" s="202"/>
      <c r="J705" s="200"/>
      <c r="K705" s="200"/>
      <c r="L705" s="203"/>
      <c r="M705" s="204">
        <f ca="1">IF(ISERROR(OFFSET(Tabella!$A$1,MATCH(J705,Tabella!$A:$A,0)-1,MATCH(L705,Tabella!$A$1:$AC$1,0)-1)=TRUE),0,+OFFSET(Tabella!$A$1,MATCH(J705,Tabella!$A:$A,0)-1,MATCH(L705,Tabella!$A$1:$AC$1,0)-1))</f>
        <v>0</v>
      </c>
      <c r="N705" s="205">
        <f ca="1">IF(ISERROR(OFFSET(Ottone!$A$1,MATCH(J705,Ottone!$A:$A,0)-1,MATCH(L705,Ottone!$A$1:$Z$1,0)-1)=TRUE),0,OFFSET(Ottone!$A$1,MATCH(J705,Ottone!$A:$A,0)-1,MATCH(L705,Ottone!$A$1:$Z$1,0)-1))*IF(G705="Ottone",1,0)</f>
        <v>0</v>
      </c>
      <c r="O705" s="205">
        <f ca="1">IF(ISERROR(OFFSET(Rame!$A$1,MATCH(J705,Rame!$A:$A,0)-1,MATCH(L705,Rame!$A$1:$AA$1,0)-1)=TRUE),0,OFFSET(Rame!$A$1,MATCH(J705,Rame!$A:$A,0)-1,MATCH(L705,Rame!$A$1:$AA$1,0)-1))*IF(G705="Rame",1,0)</f>
        <v>0</v>
      </c>
      <c r="P705" s="205">
        <v>0</v>
      </c>
      <c r="Q705" s="205">
        <f t="shared" ca="1" si="237"/>
        <v>0</v>
      </c>
      <c r="R705" s="205">
        <f ca="1">+IF(ISERROR(OFFSET(Tabella!$G$1,MATCH(J705,Tabella!$G:$G,0)-1,MATCH(K705,Tabella!$G$1:$FG$1,0)-1)=TRUE),0,OFFSET(Tabella!$G$1,MATCH(J705,Tabella!$G:$G,0)-1,MATCH(K705,Tabella!$G$1:$AB$1,0)-1))</f>
        <v>0</v>
      </c>
      <c r="S705" s="205">
        <f ca="1">IF(ISERROR(OFFSET(Ottone!$F$1,MATCH(J705,Ottone!$A:$A,0)-1,MATCH(K705,Ottone!$F$1:$FF$1,0)-1)=TRUE),0,OFFSET(Ottone!$F$1,MATCH(J705,Ottone!$A:$A,0)-1,MATCH(K705,Ottone!$F$1:$FF$1,0)-1))*IF(G705="Ottone",1,0)</f>
        <v>0</v>
      </c>
      <c r="T705" s="205">
        <f ca="1">IF(ISERROR(OFFSET(Rame!$F$1,MATCH(J705,Rame!$F:$F,0)-1,MATCH(K705,Rame!$F$1:$FF$1,0)-1)=TRUE),0,OFFSET(Rame!$F$1,MATCH(J705,Rame!$F:$F,0)-1,MATCH(K705,Rame!$F$1:$FF$1,0)-1))*IF(G705="Rame",1,0)</f>
        <v>0</v>
      </c>
      <c r="U705" s="205">
        <f ca="1">IF(ISERROR(OFFSET(Bronzo!$A$1,MATCH(J705,Bronzo!$A:$A,0)-1,MATCH(K705,Bronzo!$A$1:$AA$1,0)-1)=TRUE),0,OFFSET(Bronzo!$A$1,MATCH(J705,Bronzo!$A:$A,0)-1,MATCH(K705,Bronzo!$A$1:$AA$1,0)-1))</f>
        <v>0</v>
      </c>
      <c r="V705" s="205">
        <f t="shared" ca="1" si="238"/>
        <v>0</v>
      </c>
      <c r="W705" s="204"/>
      <c r="X705" s="205">
        <v>0</v>
      </c>
      <c r="Y705" s="206">
        <f t="shared" ca="1" si="239"/>
        <v>0</v>
      </c>
      <c r="Z705" s="277">
        <f t="shared" si="240"/>
        <v>0</v>
      </c>
      <c r="AA705" s="203"/>
      <c r="AB705" s="203">
        <f t="shared" ca="1" si="241"/>
        <v>0</v>
      </c>
      <c r="AC705" s="238"/>
      <c r="AI705" s="367">
        <f t="shared" ca="1" si="250"/>
        <v>46092</v>
      </c>
      <c r="AJ705" s="367" t="b">
        <f t="shared" si="242"/>
        <v>1</v>
      </c>
      <c r="AK705" s="370" t="str">
        <f t="shared" si="243"/>
        <v/>
      </c>
      <c r="AN705">
        <f t="shared" si="244"/>
        <v>0</v>
      </c>
      <c r="AO705">
        <f t="shared" si="245"/>
        <v>1900</v>
      </c>
      <c r="AV705">
        <f t="shared" si="248"/>
        <v>0</v>
      </c>
      <c r="AW705">
        <f t="shared" si="249"/>
        <v>0</v>
      </c>
    </row>
    <row r="706" spans="4:49" ht="15.75" x14ac:dyDescent="0.25">
      <c r="D706" s="199"/>
      <c r="E706" s="200"/>
      <c r="F706" s="287"/>
      <c r="G706" s="201"/>
      <c r="H706" s="219"/>
      <c r="I706" s="202"/>
      <c r="J706" s="200"/>
      <c r="K706" s="200"/>
      <c r="L706" s="203"/>
      <c r="M706" s="204">
        <f ca="1">IF(ISERROR(OFFSET(Tabella!$A$1,MATCH(J706,Tabella!$A:$A,0)-1,MATCH(L706,Tabella!$A$1:$AC$1,0)-1)=TRUE),0,+OFFSET(Tabella!$A$1,MATCH(J706,Tabella!$A:$A,0)-1,MATCH(L706,Tabella!$A$1:$AC$1,0)-1))</f>
        <v>0</v>
      </c>
      <c r="N706" s="205">
        <f ca="1">IF(ISERROR(OFFSET(Ottone!$A$1,MATCH(J706,Ottone!$A:$A,0)-1,MATCH(L706,Ottone!$A$1:$Z$1,0)-1)=TRUE),0,OFFSET(Ottone!$A$1,MATCH(J706,Ottone!$A:$A,0)-1,MATCH(L706,Ottone!$A$1:$Z$1,0)-1))*IF(G706="Ottone",1,0)</f>
        <v>0</v>
      </c>
      <c r="O706" s="205">
        <f ca="1">IF(ISERROR(OFFSET(Rame!$A$1,MATCH(J706,Rame!$A:$A,0)-1,MATCH(L706,Rame!$A$1:$AA$1,0)-1)=TRUE),0,OFFSET(Rame!$A$1,MATCH(J706,Rame!$A:$A,0)-1,MATCH(L706,Rame!$A$1:$AA$1,0)-1))*IF(G706="Rame",1,0)</f>
        <v>0</v>
      </c>
      <c r="P706" s="205">
        <v>0</v>
      </c>
      <c r="Q706" s="205">
        <f t="shared" ca="1" si="237"/>
        <v>0</v>
      </c>
      <c r="R706" s="205">
        <f ca="1">+IF(ISERROR(OFFSET(Tabella!$G$1,MATCH(J706,Tabella!$G:$G,0)-1,MATCH(K706,Tabella!$G$1:$FG$1,0)-1)=TRUE),0,OFFSET(Tabella!$G$1,MATCH(J706,Tabella!$G:$G,0)-1,MATCH(K706,Tabella!$G$1:$AB$1,0)-1))</f>
        <v>0</v>
      </c>
      <c r="S706" s="205">
        <f ca="1">IF(ISERROR(OFFSET(Ottone!$F$1,MATCH(J706,Ottone!$A:$A,0)-1,MATCH(K706,Ottone!$F$1:$FF$1,0)-1)=TRUE),0,OFFSET(Ottone!$F$1,MATCH(J706,Ottone!$A:$A,0)-1,MATCH(K706,Ottone!$F$1:$FF$1,0)-1))*IF(G706="Ottone",1,0)</f>
        <v>0</v>
      </c>
      <c r="T706" s="205">
        <f ca="1">IF(ISERROR(OFFSET(Rame!$F$1,MATCH(J706,Rame!$F:$F,0)-1,MATCH(K706,Rame!$F$1:$FF$1,0)-1)=TRUE),0,OFFSET(Rame!$F$1,MATCH(J706,Rame!$F:$F,0)-1,MATCH(K706,Rame!$F$1:$FF$1,0)-1))*IF(G706="Rame",1,0)</f>
        <v>0</v>
      </c>
      <c r="U706" s="205">
        <f ca="1">IF(ISERROR(OFFSET(Bronzo!$A$1,MATCH(J706,Bronzo!$A:$A,0)-1,MATCH(K706,Bronzo!$A$1:$AA$1,0)-1)=TRUE),0,OFFSET(Bronzo!$A$1,MATCH(J706,Bronzo!$A:$A,0)-1,MATCH(K706,Bronzo!$A$1:$AA$1,0)-1))</f>
        <v>0</v>
      </c>
      <c r="V706" s="205">
        <f t="shared" ca="1" si="238"/>
        <v>0</v>
      </c>
      <c r="W706" s="204"/>
      <c r="X706" s="205">
        <v>0</v>
      </c>
      <c r="Y706" s="206">
        <f t="shared" ca="1" si="239"/>
        <v>0</v>
      </c>
      <c r="Z706" s="277">
        <f t="shared" si="240"/>
        <v>0</v>
      </c>
      <c r="AA706" s="203"/>
      <c r="AB706" s="203">
        <f t="shared" ca="1" si="241"/>
        <v>0</v>
      </c>
      <c r="AC706" s="238"/>
      <c r="AI706" s="367">
        <f t="shared" ca="1" si="250"/>
        <v>46092</v>
      </c>
      <c r="AJ706" s="367" t="b">
        <f t="shared" si="242"/>
        <v>1</v>
      </c>
      <c r="AK706" s="370" t="str">
        <f t="shared" si="243"/>
        <v/>
      </c>
      <c r="AN706">
        <f t="shared" si="244"/>
        <v>0</v>
      </c>
      <c r="AO706">
        <f t="shared" si="245"/>
        <v>1900</v>
      </c>
      <c r="AV706">
        <f t="shared" si="248"/>
        <v>0</v>
      </c>
      <c r="AW706">
        <f t="shared" si="249"/>
        <v>0</v>
      </c>
    </row>
    <row r="707" spans="4:49" ht="15.75" x14ac:dyDescent="0.25">
      <c r="D707" s="199"/>
      <c r="E707" s="200"/>
      <c r="F707" s="287"/>
      <c r="G707" s="201"/>
      <c r="H707" s="219"/>
      <c r="I707" s="202"/>
      <c r="J707" s="200"/>
      <c r="K707" s="200"/>
      <c r="L707" s="203"/>
      <c r="M707" s="204">
        <f ca="1">IF(ISERROR(OFFSET(Tabella!$A$1,MATCH(J707,Tabella!$A:$A,0)-1,MATCH(L707,Tabella!$A$1:$AC$1,0)-1)=TRUE),0,+OFFSET(Tabella!$A$1,MATCH(J707,Tabella!$A:$A,0)-1,MATCH(L707,Tabella!$A$1:$AC$1,0)-1))</f>
        <v>0</v>
      </c>
      <c r="N707" s="205">
        <f ca="1">IF(ISERROR(OFFSET(Ottone!$A$1,MATCH(J707,Ottone!$A:$A,0)-1,MATCH(L707,Ottone!$A$1:$Z$1,0)-1)=TRUE),0,OFFSET(Ottone!$A$1,MATCH(J707,Ottone!$A:$A,0)-1,MATCH(L707,Ottone!$A$1:$Z$1,0)-1))*IF(G707="Ottone",1,0)</f>
        <v>0</v>
      </c>
      <c r="O707" s="205">
        <f ca="1">IF(ISERROR(OFFSET(Rame!$A$1,MATCH(J707,Rame!$A:$A,0)-1,MATCH(L707,Rame!$A$1:$AA$1,0)-1)=TRUE),0,OFFSET(Rame!$A$1,MATCH(J707,Rame!$A:$A,0)-1,MATCH(L707,Rame!$A$1:$AA$1,0)-1))*IF(G707="Rame",1,0)</f>
        <v>0</v>
      </c>
      <c r="P707" s="205">
        <v>0</v>
      </c>
      <c r="Q707" s="205">
        <f t="shared" ca="1" si="237"/>
        <v>0</v>
      </c>
      <c r="R707" s="205">
        <f ca="1">+IF(ISERROR(OFFSET(Tabella!$G$1,MATCH(J707,Tabella!$G:$G,0)-1,MATCH(K707,Tabella!$G$1:$FG$1,0)-1)=TRUE),0,OFFSET(Tabella!$G$1,MATCH(J707,Tabella!$G:$G,0)-1,MATCH(K707,Tabella!$G$1:$AB$1,0)-1))</f>
        <v>0</v>
      </c>
      <c r="S707" s="205">
        <f ca="1">IF(ISERROR(OFFSET(Ottone!$F$1,MATCH(J707,Ottone!$A:$A,0)-1,MATCH(K707,Ottone!$F$1:$FF$1,0)-1)=TRUE),0,OFFSET(Ottone!$F$1,MATCH(J707,Ottone!$A:$A,0)-1,MATCH(K707,Ottone!$F$1:$FF$1,0)-1))*IF(G707="Ottone",1,0)</f>
        <v>0</v>
      </c>
      <c r="T707" s="205">
        <f ca="1">IF(ISERROR(OFFSET(Rame!$F$1,MATCH(J707,Rame!$F:$F,0)-1,MATCH(K707,Rame!$F$1:$FF$1,0)-1)=TRUE),0,OFFSET(Rame!$F$1,MATCH(J707,Rame!$F:$F,0)-1,MATCH(K707,Rame!$F$1:$FF$1,0)-1))*IF(G707="Rame",1,0)</f>
        <v>0</v>
      </c>
      <c r="U707" s="205">
        <f ca="1">IF(ISERROR(OFFSET(Bronzo!$A$1,MATCH(J707,Bronzo!$A:$A,0)-1,MATCH(K707,Bronzo!$A$1:$AA$1,0)-1)=TRUE),0,OFFSET(Bronzo!$A$1,MATCH(J707,Bronzo!$A:$A,0)-1,MATCH(K707,Bronzo!$A$1:$AA$1,0)-1))</f>
        <v>0</v>
      </c>
      <c r="V707" s="205">
        <f t="shared" ca="1" si="238"/>
        <v>0</v>
      </c>
      <c r="W707" s="204"/>
      <c r="X707" s="205">
        <v>0</v>
      </c>
      <c r="Y707" s="206">
        <f t="shared" ca="1" si="239"/>
        <v>0</v>
      </c>
      <c r="Z707" s="277">
        <f t="shared" si="240"/>
        <v>0</v>
      </c>
      <c r="AA707" s="203"/>
      <c r="AB707" s="203">
        <f t="shared" ca="1" si="241"/>
        <v>0</v>
      </c>
      <c r="AC707" s="238"/>
      <c r="AI707" s="367">
        <f t="shared" ca="1" si="250"/>
        <v>46092</v>
      </c>
      <c r="AJ707" s="367" t="b">
        <f t="shared" si="242"/>
        <v>1</v>
      </c>
      <c r="AK707" s="370" t="str">
        <f t="shared" si="243"/>
        <v/>
      </c>
      <c r="AN707">
        <f t="shared" si="244"/>
        <v>0</v>
      </c>
      <c r="AO707">
        <f t="shared" si="245"/>
        <v>1900</v>
      </c>
      <c r="AV707">
        <f t="shared" si="248"/>
        <v>0</v>
      </c>
      <c r="AW707">
        <f t="shared" si="249"/>
        <v>0</v>
      </c>
    </row>
    <row r="708" spans="4:49" ht="15.75" x14ac:dyDescent="0.25">
      <c r="D708" s="199"/>
      <c r="E708" s="200"/>
      <c r="F708" s="287"/>
      <c r="G708" s="201"/>
      <c r="H708" s="219"/>
      <c r="I708" s="202"/>
      <c r="J708" s="200"/>
      <c r="K708" s="200"/>
      <c r="L708" s="203"/>
      <c r="M708" s="204">
        <f ca="1">IF(ISERROR(OFFSET(Tabella!$A$1,MATCH(J708,Tabella!$A:$A,0)-1,MATCH(L708,Tabella!$A$1:$AC$1,0)-1)=TRUE),0,+OFFSET(Tabella!$A$1,MATCH(J708,Tabella!$A:$A,0)-1,MATCH(L708,Tabella!$A$1:$AC$1,0)-1))</f>
        <v>0</v>
      </c>
      <c r="N708" s="205">
        <f ca="1">IF(ISERROR(OFFSET(Ottone!$A$1,MATCH(J708,Ottone!$A:$A,0)-1,MATCH(L708,Ottone!$A$1:$Z$1,0)-1)=TRUE),0,OFFSET(Ottone!$A$1,MATCH(J708,Ottone!$A:$A,0)-1,MATCH(L708,Ottone!$A$1:$Z$1,0)-1))*IF(G708="Ottone",1,0)</f>
        <v>0</v>
      </c>
      <c r="O708" s="205">
        <f ca="1">IF(ISERROR(OFFSET(Rame!$A$1,MATCH(J708,Rame!$A:$A,0)-1,MATCH(L708,Rame!$A$1:$AA$1,0)-1)=TRUE),0,OFFSET(Rame!$A$1,MATCH(J708,Rame!$A:$A,0)-1,MATCH(L708,Rame!$A$1:$AA$1,0)-1))*IF(G708="Rame",1,0)</f>
        <v>0</v>
      </c>
      <c r="P708" s="205">
        <v>0</v>
      </c>
      <c r="Q708" s="205">
        <f t="shared" ca="1" si="237"/>
        <v>0</v>
      </c>
      <c r="R708" s="205">
        <f ca="1">+IF(ISERROR(OFFSET(Tabella!$G$1,MATCH(J708,Tabella!$G:$G,0)-1,MATCH(K708,Tabella!$G$1:$FG$1,0)-1)=TRUE),0,OFFSET(Tabella!$G$1,MATCH(J708,Tabella!$G:$G,0)-1,MATCH(K708,Tabella!$G$1:$AB$1,0)-1))</f>
        <v>0</v>
      </c>
      <c r="S708" s="205">
        <f ca="1">IF(ISERROR(OFFSET(Ottone!$F$1,MATCH(J708,Ottone!$A:$A,0)-1,MATCH(K708,Ottone!$F$1:$FF$1,0)-1)=TRUE),0,OFFSET(Ottone!$F$1,MATCH(J708,Ottone!$A:$A,0)-1,MATCH(K708,Ottone!$F$1:$FF$1,0)-1))*IF(G708="Ottone",1,0)</f>
        <v>0</v>
      </c>
      <c r="T708" s="205">
        <f ca="1">IF(ISERROR(OFFSET(Rame!$F$1,MATCH(J708,Rame!$F:$F,0)-1,MATCH(K708,Rame!$F$1:$FF$1,0)-1)=TRUE),0,OFFSET(Rame!$F$1,MATCH(J708,Rame!$F:$F,0)-1,MATCH(K708,Rame!$F$1:$FF$1,0)-1))*IF(G708="Rame",1,0)</f>
        <v>0</v>
      </c>
      <c r="U708" s="205">
        <f ca="1">IF(ISERROR(OFFSET(Bronzo!$A$1,MATCH(J708,Bronzo!$A:$A,0)-1,MATCH(K708,Bronzo!$A$1:$AA$1,0)-1)=TRUE),0,OFFSET(Bronzo!$A$1,MATCH(J708,Bronzo!$A:$A,0)-1,MATCH(K708,Bronzo!$A$1:$AA$1,0)-1))</f>
        <v>0</v>
      </c>
      <c r="V708" s="205">
        <f t="shared" ca="1" si="238"/>
        <v>0</v>
      </c>
      <c r="W708" s="204"/>
      <c r="X708" s="205">
        <v>0</v>
      </c>
      <c r="Y708" s="206">
        <f t="shared" ca="1" si="239"/>
        <v>0</v>
      </c>
      <c r="Z708" s="277">
        <f t="shared" si="240"/>
        <v>0</v>
      </c>
      <c r="AA708" s="203"/>
      <c r="AB708" s="203">
        <f t="shared" ca="1" si="241"/>
        <v>0</v>
      </c>
      <c r="AC708" s="238"/>
      <c r="AI708" s="367">
        <f t="shared" ca="1" si="250"/>
        <v>46092</v>
      </c>
      <c r="AJ708" s="367" t="b">
        <f t="shared" si="242"/>
        <v>1</v>
      </c>
      <c r="AK708" s="370" t="str">
        <f t="shared" si="243"/>
        <v/>
      </c>
      <c r="AN708">
        <f t="shared" si="244"/>
        <v>0</v>
      </c>
      <c r="AO708">
        <f t="shared" si="245"/>
        <v>1900</v>
      </c>
      <c r="AV708">
        <f t="shared" si="248"/>
        <v>0</v>
      </c>
      <c r="AW708">
        <f t="shared" si="249"/>
        <v>0</v>
      </c>
    </row>
    <row r="709" spans="4:49" ht="15.75" x14ac:dyDescent="0.25">
      <c r="D709" s="199"/>
      <c r="E709" s="200"/>
      <c r="F709" s="287"/>
      <c r="G709" s="201"/>
      <c r="H709" s="219"/>
      <c r="I709" s="202"/>
      <c r="J709" s="200"/>
      <c r="K709" s="200"/>
      <c r="L709" s="203"/>
      <c r="M709" s="204">
        <f ca="1">IF(ISERROR(OFFSET(Tabella!$A$1,MATCH(J709,Tabella!$A:$A,0)-1,MATCH(L709,Tabella!$A$1:$AC$1,0)-1)=TRUE),0,+OFFSET(Tabella!$A$1,MATCH(J709,Tabella!$A:$A,0)-1,MATCH(L709,Tabella!$A$1:$AC$1,0)-1))</f>
        <v>0</v>
      </c>
      <c r="N709" s="205">
        <f ca="1">IF(ISERROR(OFFSET(Ottone!$A$1,MATCH(J709,Ottone!$A:$A,0)-1,MATCH(L709,Ottone!$A$1:$Z$1,0)-1)=TRUE),0,OFFSET(Ottone!$A$1,MATCH(J709,Ottone!$A:$A,0)-1,MATCH(L709,Ottone!$A$1:$Z$1,0)-1))*IF(G709="Ottone",1,0)</f>
        <v>0</v>
      </c>
      <c r="O709" s="205">
        <f ca="1">IF(ISERROR(OFFSET(Rame!$A$1,MATCH(J709,Rame!$A:$A,0)-1,MATCH(L709,Rame!$A$1:$AA$1,0)-1)=TRUE),0,OFFSET(Rame!$A$1,MATCH(J709,Rame!$A:$A,0)-1,MATCH(L709,Rame!$A$1:$AA$1,0)-1))*IF(G709="Rame",1,0)</f>
        <v>0</v>
      </c>
      <c r="P709" s="205">
        <v>0</v>
      </c>
      <c r="Q709" s="205">
        <f t="shared" ca="1" si="237"/>
        <v>0</v>
      </c>
      <c r="R709" s="205">
        <f ca="1">+IF(ISERROR(OFFSET(Tabella!$G$1,MATCH(J709,Tabella!$G:$G,0)-1,MATCH(K709,Tabella!$G$1:$FG$1,0)-1)=TRUE),0,OFFSET(Tabella!$G$1,MATCH(J709,Tabella!$G:$G,0)-1,MATCH(K709,Tabella!$G$1:$AB$1,0)-1))</f>
        <v>0</v>
      </c>
      <c r="S709" s="205">
        <f ca="1">IF(ISERROR(OFFSET(Ottone!$F$1,MATCH(J709,Ottone!$A:$A,0)-1,MATCH(K709,Ottone!$F$1:$FF$1,0)-1)=TRUE),0,OFFSET(Ottone!$F$1,MATCH(J709,Ottone!$A:$A,0)-1,MATCH(K709,Ottone!$F$1:$FF$1,0)-1))*IF(G709="Ottone",1,0)</f>
        <v>0</v>
      </c>
      <c r="T709" s="205">
        <f ca="1">IF(ISERROR(OFFSET(Rame!$F$1,MATCH(J709,Rame!$F:$F,0)-1,MATCH(K709,Rame!$F$1:$FF$1,0)-1)=TRUE),0,OFFSET(Rame!$F$1,MATCH(J709,Rame!$F:$F,0)-1,MATCH(K709,Rame!$F$1:$FF$1,0)-1))*IF(G709="Rame",1,0)</f>
        <v>0</v>
      </c>
      <c r="U709" s="205">
        <f ca="1">IF(ISERROR(OFFSET(Bronzo!$A$1,MATCH(J709,Bronzo!$A:$A,0)-1,MATCH(K709,Bronzo!$A$1:$AA$1,0)-1)=TRUE),0,OFFSET(Bronzo!$A$1,MATCH(J709,Bronzo!$A:$A,0)-1,MATCH(K709,Bronzo!$A$1:$AA$1,0)-1))</f>
        <v>0</v>
      </c>
      <c r="V709" s="205">
        <f t="shared" ca="1" si="238"/>
        <v>0</v>
      </c>
      <c r="W709" s="204"/>
      <c r="X709" s="205">
        <v>0</v>
      </c>
      <c r="Y709" s="206">
        <f t="shared" ca="1" si="239"/>
        <v>0</v>
      </c>
      <c r="Z709" s="277">
        <f t="shared" si="240"/>
        <v>0</v>
      </c>
      <c r="AA709" s="203"/>
      <c r="AB709" s="203">
        <f t="shared" ca="1" si="241"/>
        <v>0</v>
      </c>
      <c r="AC709" s="238"/>
      <c r="AI709" s="367">
        <f t="shared" ca="1" si="250"/>
        <v>46092</v>
      </c>
      <c r="AJ709" s="367" t="b">
        <f t="shared" si="242"/>
        <v>1</v>
      </c>
      <c r="AK709" s="370" t="str">
        <f t="shared" si="243"/>
        <v/>
      </c>
      <c r="AN709">
        <f t="shared" si="244"/>
        <v>0</v>
      </c>
      <c r="AO709">
        <f t="shared" si="245"/>
        <v>1900</v>
      </c>
      <c r="AV709">
        <f t="shared" si="248"/>
        <v>0</v>
      </c>
      <c r="AW709">
        <f t="shared" si="249"/>
        <v>0</v>
      </c>
    </row>
    <row r="710" spans="4:49" ht="15.75" x14ac:dyDescent="0.25">
      <c r="D710" s="199"/>
      <c r="E710" s="200"/>
      <c r="F710" s="287"/>
      <c r="G710" s="201"/>
      <c r="H710" s="219"/>
      <c r="I710" s="202"/>
      <c r="J710" s="200"/>
      <c r="K710" s="200"/>
      <c r="L710" s="203"/>
      <c r="M710" s="204">
        <f ca="1">IF(ISERROR(OFFSET(Tabella!$A$1,MATCH(J710,Tabella!$A:$A,0)-1,MATCH(L710,Tabella!$A$1:$AC$1,0)-1)=TRUE),0,+OFFSET(Tabella!$A$1,MATCH(J710,Tabella!$A:$A,0)-1,MATCH(L710,Tabella!$A$1:$AC$1,0)-1))</f>
        <v>0</v>
      </c>
      <c r="N710" s="205">
        <f ca="1">IF(ISERROR(OFFSET(Ottone!$A$1,MATCH(J710,Ottone!$A:$A,0)-1,MATCH(L710,Ottone!$A$1:$Z$1,0)-1)=TRUE),0,OFFSET(Ottone!$A$1,MATCH(J710,Ottone!$A:$A,0)-1,MATCH(L710,Ottone!$A$1:$Z$1,0)-1))*IF(G710="Ottone",1,0)</f>
        <v>0</v>
      </c>
      <c r="O710" s="205">
        <f ca="1">IF(ISERROR(OFFSET(Rame!$A$1,MATCH(J710,Rame!$A:$A,0)-1,MATCH(L710,Rame!$A$1:$AA$1,0)-1)=TRUE),0,OFFSET(Rame!$A$1,MATCH(J710,Rame!$A:$A,0)-1,MATCH(L710,Rame!$A$1:$AA$1,0)-1))*IF(G710="Rame",1,0)</f>
        <v>0</v>
      </c>
      <c r="P710" s="205">
        <v>0</v>
      </c>
      <c r="Q710" s="205">
        <f t="shared" ca="1" si="237"/>
        <v>0</v>
      </c>
      <c r="R710" s="205">
        <f ca="1">+IF(ISERROR(OFFSET(Tabella!$G$1,MATCH(J710,Tabella!$G:$G,0)-1,MATCH(K710,Tabella!$G$1:$FG$1,0)-1)=TRUE),0,OFFSET(Tabella!$G$1,MATCH(J710,Tabella!$G:$G,0)-1,MATCH(K710,Tabella!$G$1:$AB$1,0)-1))</f>
        <v>0</v>
      </c>
      <c r="S710" s="205">
        <f ca="1">IF(ISERROR(OFFSET(Ottone!$F$1,MATCH(J710,Ottone!$A:$A,0)-1,MATCH(K710,Ottone!$F$1:$FF$1,0)-1)=TRUE),0,OFFSET(Ottone!$F$1,MATCH(J710,Ottone!$A:$A,0)-1,MATCH(K710,Ottone!$F$1:$FF$1,0)-1))*IF(G710="Ottone",1,0)</f>
        <v>0</v>
      </c>
      <c r="T710" s="205">
        <f ca="1">IF(ISERROR(OFFSET(Rame!$F$1,MATCH(J710,Rame!$F:$F,0)-1,MATCH(K710,Rame!$F$1:$FF$1,0)-1)=TRUE),0,OFFSET(Rame!$F$1,MATCH(J710,Rame!$F:$F,0)-1,MATCH(K710,Rame!$F$1:$FF$1,0)-1))*IF(G710="Rame",1,0)</f>
        <v>0</v>
      </c>
      <c r="U710" s="205">
        <f ca="1">IF(ISERROR(OFFSET(Bronzo!$A$1,MATCH(J710,Bronzo!$A:$A,0)-1,MATCH(K710,Bronzo!$A$1:$AA$1,0)-1)=TRUE),0,OFFSET(Bronzo!$A$1,MATCH(J710,Bronzo!$A:$A,0)-1,MATCH(K710,Bronzo!$A$1:$AA$1,0)-1))</f>
        <v>0</v>
      </c>
      <c r="V710" s="205">
        <f t="shared" ca="1" si="238"/>
        <v>0</v>
      </c>
      <c r="W710" s="204"/>
      <c r="X710" s="205">
        <v>0</v>
      </c>
      <c r="Y710" s="206">
        <f t="shared" ca="1" si="239"/>
        <v>0</v>
      </c>
      <c r="Z710" s="277">
        <f t="shared" si="240"/>
        <v>0</v>
      </c>
      <c r="AA710" s="203"/>
      <c r="AB710" s="203">
        <f t="shared" ca="1" si="241"/>
        <v>0</v>
      </c>
      <c r="AC710" s="238"/>
      <c r="AI710" s="367">
        <f t="shared" ca="1" si="250"/>
        <v>46092</v>
      </c>
      <c r="AJ710" s="367" t="b">
        <f t="shared" si="242"/>
        <v>1</v>
      </c>
      <c r="AK710" s="370" t="str">
        <f t="shared" si="243"/>
        <v/>
      </c>
      <c r="AN710">
        <f t="shared" si="244"/>
        <v>0</v>
      </c>
      <c r="AO710">
        <f t="shared" si="245"/>
        <v>1900</v>
      </c>
      <c r="AV710">
        <f t="shared" si="248"/>
        <v>0</v>
      </c>
      <c r="AW710">
        <f t="shared" si="249"/>
        <v>0</v>
      </c>
    </row>
    <row r="711" spans="4:49" ht="15.75" x14ac:dyDescent="0.25">
      <c r="D711" s="199"/>
      <c r="E711" s="200"/>
      <c r="F711" s="287"/>
      <c r="G711" s="201"/>
      <c r="H711" s="219"/>
      <c r="I711" s="202"/>
      <c r="J711" s="200"/>
      <c r="K711" s="200"/>
      <c r="L711" s="203"/>
      <c r="M711" s="204">
        <f ca="1">IF(ISERROR(OFFSET(Tabella!$A$1,MATCH(J711,Tabella!$A:$A,0)-1,MATCH(L711,Tabella!$A$1:$AC$1,0)-1)=TRUE),0,+OFFSET(Tabella!$A$1,MATCH(J711,Tabella!$A:$A,0)-1,MATCH(L711,Tabella!$A$1:$AC$1,0)-1))</f>
        <v>0</v>
      </c>
      <c r="N711" s="205">
        <f ca="1">IF(ISERROR(OFFSET(Ottone!$A$1,MATCH(J711,Ottone!$A:$A,0)-1,MATCH(L711,Ottone!$A$1:$Z$1,0)-1)=TRUE),0,OFFSET(Ottone!$A$1,MATCH(J711,Ottone!$A:$A,0)-1,MATCH(L711,Ottone!$A$1:$Z$1,0)-1))*IF(G711="Ottone",1,0)</f>
        <v>0</v>
      </c>
      <c r="O711" s="205">
        <f ca="1">IF(ISERROR(OFFSET(Rame!$A$1,MATCH(J711,Rame!$A:$A,0)-1,MATCH(L711,Rame!$A$1:$AA$1,0)-1)=TRUE),0,OFFSET(Rame!$A$1,MATCH(J711,Rame!$A:$A,0)-1,MATCH(L711,Rame!$A$1:$AA$1,0)-1))*IF(G711="Rame",1,0)</f>
        <v>0</v>
      </c>
      <c r="P711" s="205">
        <v>0</v>
      </c>
      <c r="Q711" s="205">
        <f t="shared" ca="1" si="237"/>
        <v>0</v>
      </c>
      <c r="R711" s="205">
        <f ca="1">+IF(ISERROR(OFFSET(Tabella!$G$1,MATCH(J711,Tabella!$G:$G,0)-1,MATCH(K711,Tabella!$G$1:$FG$1,0)-1)=TRUE),0,OFFSET(Tabella!$G$1,MATCH(J711,Tabella!$G:$G,0)-1,MATCH(K711,Tabella!$G$1:$AB$1,0)-1))</f>
        <v>0</v>
      </c>
      <c r="S711" s="205">
        <f ca="1">IF(ISERROR(OFFSET(Ottone!$F$1,MATCH(J711,Ottone!$A:$A,0)-1,MATCH(K711,Ottone!$F$1:$FF$1,0)-1)=TRUE),0,OFFSET(Ottone!$F$1,MATCH(J711,Ottone!$A:$A,0)-1,MATCH(K711,Ottone!$F$1:$FF$1,0)-1))*IF(G711="Ottone",1,0)</f>
        <v>0</v>
      </c>
      <c r="T711" s="205">
        <f ca="1">IF(ISERROR(OFFSET(Rame!$F$1,MATCH(J711,Rame!$F:$F,0)-1,MATCH(K711,Rame!$F$1:$FF$1,0)-1)=TRUE),0,OFFSET(Rame!$F$1,MATCH(J711,Rame!$F:$F,0)-1,MATCH(K711,Rame!$F$1:$FF$1,0)-1))*IF(G711="Rame",1,0)</f>
        <v>0</v>
      </c>
      <c r="U711" s="205">
        <f ca="1">IF(ISERROR(OFFSET(Bronzo!$A$1,MATCH(J711,Bronzo!$A:$A,0)-1,MATCH(K711,Bronzo!$A$1:$AA$1,0)-1)=TRUE),0,OFFSET(Bronzo!$A$1,MATCH(J711,Bronzo!$A:$A,0)-1,MATCH(K711,Bronzo!$A$1:$AA$1,0)-1))</f>
        <v>0</v>
      </c>
      <c r="V711" s="205">
        <f t="shared" ca="1" si="238"/>
        <v>0</v>
      </c>
      <c r="W711" s="204"/>
      <c r="X711" s="205">
        <v>0</v>
      </c>
      <c r="Y711" s="206">
        <f t="shared" ca="1" si="239"/>
        <v>0</v>
      </c>
      <c r="Z711" s="277">
        <f t="shared" si="240"/>
        <v>0</v>
      </c>
      <c r="AA711" s="203"/>
      <c r="AB711" s="203">
        <f t="shared" ca="1" si="241"/>
        <v>0</v>
      </c>
      <c r="AC711" s="238"/>
      <c r="AI711" s="367">
        <f t="shared" ca="1" si="250"/>
        <v>46092</v>
      </c>
      <c r="AJ711" s="367" t="b">
        <f t="shared" si="242"/>
        <v>1</v>
      </c>
      <c r="AK711" s="370" t="str">
        <f t="shared" si="243"/>
        <v/>
      </c>
      <c r="AN711">
        <f t="shared" si="244"/>
        <v>0</v>
      </c>
      <c r="AO711">
        <f t="shared" si="245"/>
        <v>1900</v>
      </c>
      <c r="AV711">
        <f t="shared" si="248"/>
        <v>0</v>
      </c>
      <c r="AW711">
        <f t="shared" si="249"/>
        <v>0</v>
      </c>
    </row>
    <row r="712" spans="4:49" ht="15.75" x14ac:dyDescent="0.25">
      <c r="D712" s="199"/>
      <c r="E712" s="200"/>
      <c r="F712" s="287"/>
      <c r="G712" s="201"/>
      <c r="H712" s="219"/>
      <c r="I712" s="202"/>
      <c r="J712" s="200"/>
      <c r="K712" s="200"/>
      <c r="L712" s="203"/>
      <c r="M712" s="204">
        <f ca="1">IF(ISERROR(OFFSET(Tabella!$A$1,MATCH(J712,Tabella!$A:$A,0)-1,MATCH(L712,Tabella!$A$1:$AC$1,0)-1)=TRUE),0,+OFFSET(Tabella!$A$1,MATCH(J712,Tabella!$A:$A,0)-1,MATCH(L712,Tabella!$A$1:$AC$1,0)-1))</f>
        <v>0</v>
      </c>
      <c r="N712" s="205">
        <f ca="1">IF(ISERROR(OFFSET(Ottone!$A$1,MATCH(J712,Ottone!$A:$A,0)-1,MATCH(L712,Ottone!$A$1:$Z$1,0)-1)=TRUE),0,OFFSET(Ottone!$A$1,MATCH(J712,Ottone!$A:$A,0)-1,MATCH(L712,Ottone!$A$1:$Z$1,0)-1))*IF(G712="Ottone",1,0)</f>
        <v>0</v>
      </c>
      <c r="O712" s="205">
        <f ca="1">IF(ISERROR(OFFSET(Rame!$A$1,MATCH(J712,Rame!$A:$A,0)-1,MATCH(L712,Rame!$A$1:$AA$1,0)-1)=TRUE),0,OFFSET(Rame!$A$1,MATCH(J712,Rame!$A:$A,0)-1,MATCH(L712,Rame!$A$1:$AA$1,0)-1))*IF(G712="Rame",1,0)</f>
        <v>0</v>
      </c>
      <c r="P712" s="205">
        <v>0</v>
      </c>
      <c r="Q712" s="205">
        <f t="shared" ca="1" si="237"/>
        <v>0</v>
      </c>
      <c r="R712" s="205">
        <f ca="1">+IF(ISERROR(OFFSET(Tabella!$G$1,MATCH(J712,Tabella!$G:$G,0)-1,MATCH(K712,Tabella!$G$1:$FG$1,0)-1)=TRUE),0,OFFSET(Tabella!$G$1,MATCH(J712,Tabella!$G:$G,0)-1,MATCH(K712,Tabella!$G$1:$AB$1,0)-1))</f>
        <v>0</v>
      </c>
      <c r="S712" s="205">
        <f ca="1">IF(ISERROR(OFFSET(Ottone!$F$1,MATCH(J712,Ottone!$A:$A,0)-1,MATCH(K712,Ottone!$F$1:$FF$1,0)-1)=TRUE),0,OFFSET(Ottone!$F$1,MATCH(J712,Ottone!$A:$A,0)-1,MATCH(K712,Ottone!$F$1:$FF$1,0)-1))*IF(G712="Ottone",1,0)</f>
        <v>0</v>
      </c>
      <c r="T712" s="205">
        <f ca="1">IF(ISERROR(OFFSET(Rame!$F$1,MATCH(J712,Rame!$F:$F,0)-1,MATCH(K712,Rame!$F$1:$FF$1,0)-1)=TRUE),0,OFFSET(Rame!$F$1,MATCH(J712,Rame!$F:$F,0)-1,MATCH(K712,Rame!$F$1:$FF$1,0)-1))*IF(G712="Rame",1,0)</f>
        <v>0</v>
      </c>
      <c r="U712" s="205">
        <f ca="1">IF(ISERROR(OFFSET(Bronzo!$A$1,MATCH(J712,Bronzo!$A:$A,0)-1,MATCH(K712,Bronzo!$A$1:$AA$1,0)-1)=TRUE),0,OFFSET(Bronzo!$A$1,MATCH(J712,Bronzo!$A:$A,0)-1,MATCH(K712,Bronzo!$A$1:$AA$1,0)-1))</f>
        <v>0</v>
      </c>
      <c r="V712" s="205">
        <f t="shared" ca="1" si="238"/>
        <v>0</v>
      </c>
      <c r="W712" s="204"/>
      <c r="X712" s="205">
        <v>0</v>
      </c>
      <c r="Y712" s="206">
        <f t="shared" ca="1" si="239"/>
        <v>0</v>
      </c>
      <c r="Z712" s="277">
        <f t="shared" si="240"/>
        <v>0</v>
      </c>
      <c r="AA712" s="203"/>
      <c r="AB712" s="203">
        <f t="shared" ca="1" si="241"/>
        <v>0</v>
      </c>
      <c r="AC712" s="238"/>
      <c r="AI712" s="367">
        <f t="shared" ca="1" si="250"/>
        <v>46092</v>
      </c>
      <c r="AJ712" s="367" t="b">
        <f t="shared" si="242"/>
        <v>1</v>
      </c>
      <c r="AK712" s="370" t="str">
        <f t="shared" si="243"/>
        <v/>
      </c>
      <c r="AN712">
        <f t="shared" si="244"/>
        <v>0</v>
      </c>
      <c r="AO712">
        <f t="shared" si="245"/>
        <v>1900</v>
      </c>
      <c r="AV712">
        <f t="shared" si="248"/>
        <v>0</v>
      </c>
      <c r="AW712">
        <f t="shared" si="249"/>
        <v>0</v>
      </c>
    </row>
    <row r="713" spans="4:49" ht="15.75" x14ac:dyDescent="0.25">
      <c r="D713" s="199"/>
      <c r="E713" s="200"/>
      <c r="F713" s="287"/>
      <c r="G713" s="201"/>
      <c r="H713" s="219"/>
      <c r="I713" s="202"/>
      <c r="J713" s="200"/>
      <c r="K713" s="200"/>
      <c r="L713" s="203"/>
      <c r="M713" s="204">
        <f ca="1">IF(ISERROR(OFFSET(Tabella!$A$1,MATCH(J713,Tabella!$A:$A,0)-1,MATCH(L713,Tabella!$A$1:$AC$1,0)-1)=TRUE),0,+OFFSET(Tabella!$A$1,MATCH(J713,Tabella!$A:$A,0)-1,MATCH(L713,Tabella!$A$1:$AC$1,0)-1))</f>
        <v>0</v>
      </c>
      <c r="N713" s="205">
        <f ca="1">IF(ISERROR(OFFSET(Ottone!$A$1,MATCH(J713,Ottone!$A:$A,0)-1,MATCH(L713,Ottone!$A$1:$Z$1,0)-1)=TRUE),0,OFFSET(Ottone!$A$1,MATCH(J713,Ottone!$A:$A,0)-1,MATCH(L713,Ottone!$A$1:$Z$1,0)-1))*IF(G713="Ottone",1,0)</f>
        <v>0</v>
      </c>
      <c r="O713" s="205">
        <f ca="1">IF(ISERROR(OFFSET(Rame!$A$1,MATCH(J713,Rame!$A:$A,0)-1,MATCH(L713,Rame!$A$1:$AA$1,0)-1)=TRUE),0,OFFSET(Rame!$A$1,MATCH(J713,Rame!$A:$A,0)-1,MATCH(L713,Rame!$A$1:$AA$1,0)-1))*IF(G713="Rame",1,0)</f>
        <v>0</v>
      </c>
      <c r="P713" s="205">
        <v>0</v>
      </c>
      <c r="Q713" s="205">
        <f t="shared" ca="1" si="237"/>
        <v>0</v>
      </c>
      <c r="R713" s="205">
        <f ca="1">+IF(ISERROR(OFFSET(Tabella!$G$1,MATCH(J713,Tabella!$G:$G,0)-1,MATCH(K713,Tabella!$G$1:$FG$1,0)-1)=TRUE),0,OFFSET(Tabella!$G$1,MATCH(J713,Tabella!$G:$G,0)-1,MATCH(K713,Tabella!$G$1:$AB$1,0)-1))</f>
        <v>0</v>
      </c>
      <c r="S713" s="205">
        <f ca="1">IF(ISERROR(OFFSET(Ottone!$F$1,MATCH(J713,Ottone!$A:$A,0)-1,MATCH(K713,Ottone!$F$1:$FF$1,0)-1)=TRUE),0,OFFSET(Ottone!$F$1,MATCH(J713,Ottone!$A:$A,0)-1,MATCH(K713,Ottone!$F$1:$FF$1,0)-1))*IF(G713="Ottone",1,0)</f>
        <v>0</v>
      </c>
      <c r="T713" s="205">
        <f ca="1">IF(ISERROR(OFFSET(Rame!$F$1,MATCH(J713,Rame!$F:$F,0)-1,MATCH(K713,Rame!$F$1:$FF$1,0)-1)=TRUE),0,OFFSET(Rame!$F$1,MATCH(J713,Rame!$F:$F,0)-1,MATCH(K713,Rame!$F$1:$FF$1,0)-1))*IF(G713="Rame",1,0)</f>
        <v>0</v>
      </c>
      <c r="U713" s="205">
        <f ca="1">IF(ISERROR(OFFSET(Bronzo!$A$1,MATCH(J713,Bronzo!$A:$A,0)-1,MATCH(K713,Bronzo!$A$1:$AA$1,0)-1)=TRUE),0,OFFSET(Bronzo!$A$1,MATCH(J713,Bronzo!$A:$A,0)-1,MATCH(K713,Bronzo!$A$1:$AA$1,0)-1))</f>
        <v>0</v>
      </c>
      <c r="V713" s="205">
        <f t="shared" ca="1" si="238"/>
        <v>0</v>
      </c>
      <c r="W713" s="204"/>
      <c r="X713" s="205">
        <v>0</v>
      </c>
      <c r="Y713" s="206">
        <f t="shared" ca="1" si="239"/>
        <v>0</v>
      </c>
      <c r="Z713" s="277">
        <f t="shared" si="240"/>
        <v>0</v>
      </c>
      <c r="AA713" s="203"/>
      <c r="AB713" s="203">
        <f t="shared" ca="1" si="241"/>
        <v>0</v>
      </c>
      <c r="AC713" s="238"/>
      <c r="AI713" s="367">
        <f t="shared" ca="1" si="250"/>
        <v>46092</v>
      </c>
      <c r="AJ713" s="367" t="b">
        <f t="shared" si="242"/>
        <v>1</v>
      </c>
      <c r="AK713" s="370" t="str">
        <f t="shared" si="243"/>
        <v/>
      </c>
      <c r="AN713">
        <f t="shared" si="244"/>
        <v>0</v>
      </c>
      <c r="AO713">
        <f t="shared" si="245"/>
        <v>1900</v>
      </c>
      <c r="AV713">
        <f t="shared" si="248"/>
        <v>0</v>
      </c>
      <c r="AW713">
        <f t="shared" si="249"/>
        <v>0</v>
      </c>
    </row>
    <row r="714" spans="4:49" ht="15.75" x14ac:dyDescent="0.25">
      <c r="D714" s="199"/>
      <c r="E714" s="200"/>
      <c r="F714" s="287"/>
      <c r="G714" s="201"/>
      <c r="H714" s="219"/>
      <c r="I714" s="202"/>
      <c r="J714" s="200"/>
      <c r="K714" s="200"/>
      <c r="L714" s="203"/>
      <c r="M714" s="204">
        <f ca="1">IF(ISERROR(OFFSET(Tabella!$A$1,MATCH(J714,Tabella!$A:$A,0)-1,MATCH(L714,Tabella!$A$1:$AC$1,0)-1)=TRUE),0,+OFFSET(Tabella!$A$1,MATCH(J714,Tabella!$A:$A,0)-1,MATCH(L714,Tabella!$A$1:$AC$1,0)-1))</f>
        <v>0</v>
      </c>
      <c r="N714" s="205">
        <f ca="1">IF(ISERROR(OFFSET(Ottone!$A$1,MATCH(J714,Ottone!$A:$A,0)-1,MATCH(L714,Ottone!$A$1:$Z$1,0)-1)=TRUE),0,OFFSET(Ottone!$A$1,MATCH(J714,Ottone!$A:$A,0)-1,MATCH(L714,Ottone!$A$1:$Z$1,0)-1))*IF(G714="Ottone",1,0)</f>
        <v>0</v>
      </c>
      <c r="O714" s="205">
        <f ca="1">IF(ISERROR(OFFSET(Rame!$A$1,MATCH(J714,Rame!$A:$A,0)-1,MATCH(L714,Rame!$A$1:$AA$1,0)-1)=TRUE),0,OFFSET(Rame!$A$1,MATCH(J714,Rame!$A:$A,0)-1,MATCH(L714,Rame!$A$1:$AA$1,0)-1))*IF(G714="Rame",1,0)</f>
        <v>0</v>
      </c>
      <c r="P714" s="205">
        <v>0</v>
      </c>
      <c r="Q714" s="205">
        <f t="shared" ca="1" si="237"/>
        <v>0</v>
      </c>
      <c r="R714" s="205">
        <f ca="1">+IF(ISERROR(OFFSET(Tabella!$G$1,MATCH(J714,Tabella!$G:$G,0)-1,MATCH(K714,Tabella!$G$1:$FG$1,0)-1)=TRUE),0,OFFSET(Tabella!$G$1,MATCH(J714,Tabella!$G:$G,0)-1,MATCH(K714,Tabella!$G$1:$AB$1,0)-1))</f>
        <v>0</v>
      </c>
      <c r="S714" s="205">
        <f ca="1">IF(ISERROR(OFFSET(Ottone!$F$1,MATCH(J714,Ottone!$A:$A,0)-1,MATCH(K714,Ottone!$F$1:$FF$1,0)-1)=TRUE),0,OFFSET(Ottone!$F$1,MATCH(J714,Ottone!$A:$A,0)-1,MATCH(K714,Ottone!$F$1:$FF$1,0)-1))*IF(G714="Ottone",1,0)</f>
        <v>0</v>
      </c>
      <c r="T714" s="205">
        <f ca="1">IF(ISERROR(OFFSET(Rame!$F$1,MATCH(J714,Rame!$F:$F,0)-1,MATCH(K714,Rame!$F$1:$FF$1,0)-1)=TRUE),0,OFFSET(Rame!$F$1,MATCH(J714,Rame!$F:$F,0)-1,MATCH(K714,Rame!$F$1:$FF$1,0)-1))*IF(G714="Rame",1,0)</f>
        <v>0</v>
      </c>
      <c r="U714" s="205">
        <f ca="1">IF(ISERROR(OFFSET(Bronzo!$A$1,MATCH(J714,Bronzo!$A:$A,0)-1,MATCH(K714,Bronzo!$A$1:$AA$1,0)-1)=TRUE),0,OFFSET(Bronzo!$A$1,MATCH(J714,Bronzo!$A:$A,0)-1,MATCH(K714,Bronzo!$A$1:$AA$1,0)-1))</f>
        <v>0</v>
      </c>
      <c r="V714" s="205">
        <f t="shared" ca="1" si="238"/>
        <v>0</v>
      </c>
      <c r="W714" s="204"/>
      <c r="X714" s="205">
        <v>0</v>
      </c>
      <c r="Y714" s="206">
        <f t="shared" ca="1" si="239"/>
        <v>0</v>
      </c>
      <c r="Z714" s="277">
        <f t="shared" si="240"/>
        <v>0</v>
      </c>
      <c r="AA714" s="203"/>
      <c r="AB714" s="203">
        <f t="shared" ca="1" si="241"/>
        <v>0</v>
      </c>
      <c r="AC714" s="238"/>
      <c r="AI714" s="367">
        <f t="shared" ca="1" si="250"/>
        <v>46092</v>
      </c>
      <c r="AJ714" s="367" t="b">
        <f t="shared" si="242"/>
        <v>1</v>
      </c>
      <c r="AK714" s="370" t="str">
        <f t="shared" si="243"/>
        <v/>
      </c>
      <c r="AN714">
        <f t="shared" si="244"/>
        <v>0</v>
      </c>
      <c r="AO714">
        <f t="shared" si="245"/>
        <v>1900</v>
      </c>
      <c r="AV714">
        <f t="shared" si="248"/>
        <v>0</v>
      </c>
      <c r="AW714">
        <f t="shared" si="249"/>
        <v>0</v>
      </c>
    </row>
    <row r="715" spans="4:49" ht="15.75" x14ac:dyDescent="0.25">
      <c r="D715" s="199"/>
      <c r="E715" s="200"/>
      <c r="F715" s="287"/>
      <c r="G715" s="201"/>
      <c r="H715" s="219"/>
      <c r="I715" s="202"/>
      <c r="J715" s="200"/>
      <c r="K715" s="200"/>
      <c r="L715" s="203"/>
      <c r="M715" s="204">
        <f ca="1">IF(ISERROR(OFFSET(Tabella!$A$1,MATCH(J715,Tabella!$A:$A,0)-1,MATCH(L715,Tabella!$A$1:$AC$1,0)-1)=TRUE),0,+OFFSET(Tabella!$A$1,MATCH(J715,Tabella!$A:$A,0)-1,MATCH(L715,Tabella!$A$1:$AC$1,0)-1))</f>
        <v>0</v>
      </c>
      <c r="N715" s="205">
        <f ca="1">IF(ISERROR(OFFSET(Ottone!$A$1,MATCH(J715,Ottone!$A:$A,0)-1,MATCH(L715,Ottone!$A$1:$Z$1,0)-1)=TRUE),0,OFFSET(Ottone!$A$1,MATCH(J715,Ottone!$A:$A,0)-1,MATCH(L715,Ottone!$A$1:$Z$1,0)-1))*IF(G715="Ottone",1,0)</f>
        <v>0</v>
      </c>
      <c r="O715" s="205">
        <f ca="1">IF(ISERROR(OFFSET(Rame!$A$1,MATCH(J715,Rame!$A:$A,0)-1,MATCH(L715,Rame!$A$1:$AA$1,0)-1)=TRUE),0,OFFSET(Rame!$A$1,MATCH(J715,Rame!$A:$A,0)-1,MATCH(L715,Rame!$A$1:$AA$1,0)-1))*IF(G715="Rame",1,0)</f>
        <v>0</v>
      </c>
      <c r="P715" s="205">
        <v>0</v>
      </c>
      <c r="Q715" s="205">
        <f t="shared" ca="1" si="237"/>
        <v>0</v>
      </c>
      <c r="R715" s="205">
        <f ca="1">+IF(ISERROR(OFFSET(Tabella!$G$1,MATCH(J715,Tabella!$G:$G,0)-1,MATCH(K715,Tabella!$G$1:$FG$1,0)-1)=TRUE),0,OFFSET(Tabella!$G$1,MATCH(J715,Tabella!$G:$G,0)-1,MATCH(K715,Tabella!$G$1:$AB$1,0)-1))</f>
        <v>0</v>
      </c>
      <c r="S715" s="205">
        <f ca="1">IF(ISERROR(OFFSET(Ottone!$F$1,MATCH(J715,Ottone!$A:$A,0)-1,MATCH(K715,Ottone!$F$1:$FF$1,0)-1)=TRUE),0,OFFSET(Ottone!$F$1,MATCH(J715,Ottone!$A:$A,0)-1,MATCH(K715,Ottone!$F$1:$FF$1,0)-1))*IF(G715="Ottone",1,0)</f>
        <v>0</v>
      </c>
      <c r="T715" s="205">
        <f ca="1">IF(ISERROR(OFFSET(Rame!$F$1,MATCH(J715,Rame!$F:$F,0)-1,MATCH(K715,Rame!$F$1:$FF$1,0)-1)=TRUE),0,OFFSET(Rame!$F$1,MATCH(J715,Rame!$F:$F,0)-1,MATCH(K715,Rame!$F$1:$FF$1,0)-1))*IF(G715="Rame",1,0)</f>
        <v>0</v>
      </c>
      <c r="U715" s="205">
        <f ca="1">IF(ISERROR(OFFSET(Bronzo!$A$1,MATCH(J715,Bronzo!$A:$A,0)-1,MATCH(K715,Bronzo!$A$1:$AA$1,0)-1)=TRUE),0,OFFSET(Bronzo!$A$1,MATCH(J715,Bronzo!$A:$A,0)-1,MATCH(K715,Bronzo!$A$1:$AA$1,0)-1))</f>
        <v>0</v>
      </c>
      <c r="V715" s="205">
        <f t="shared" ca="1" si="238"/>
        <v>0</v>
      </c>
      <c r="W715" s="204"/>
      <c r="X715" s="205">
        <v>0</v>
      </c>
      <c r="Y715" s="206">
        <f t="shared" ca="1" si="239"/>
        <v>0</v>
      </c>
      <c r="Z715" s="277">
        <f t="shared" si="240"/>
        <v>0</v>
      </c>
      <c r="AA715" s="203"/>
      <c r="AB715" s="203">
        <f t="shared" ca="1" si="241"/>
        <v>0</v>
      </c>
      <c r="AC715" s="238"/>
      <c r="AI715" s="367">
        <f t="shared" ca="1" si="250"/>
        <v>46092</v>
      </c>
      <c r="AJ715" s="367" t="b">
        <f t="shared" si="242"/>
        <v>1</v>
      </c>
      <c r="AK715" s="370" t="str">
        <f t="shared" si="243"/>
        <v/>
      </c>
      <c r="AN715">
        <f t="shared" si="244"/>
        <v>0</v>
      </c>
      <c r="AO715">
        <f t="shared" si="245"/>
        <v>1900</v>
      </c>
      <c r="AV715">
        <f t="shared" si="248"/>
        <v>0</v>
      </c>
      <c r="AW715">
        <f t="shared" si="249"/>
        <v>0</v>
      </c>
    </row>
    <row r="716" spans="4:49" ht="15.75" x14ac:dyDescent="0.25">
      <c r="D716" s="199"/>
      <c r="E716" s="200"/>
      <c r="F716" s="287"/>
      <c r="G716" s="201"/>
      <c r="H716" s="219"/>
      <c r="I716" s="202"/>
      <c r="J716" s="200"/>
      <c r="K716" s="200"/>
      <c r="L716" s="203"/>
      <c r="M716" s="204">
        <f ca="1">IF(ISERROR(OFFSET(Tabella!$A$1,MATCH(J716,Tabella!$A:$A,0)-1,MATCH(L716,Tabella!$A$1:$AC$1,0)-1)=TRUE),0,+OFFSET(Tabella!$A$1,MATCH(J716,Tabella!$A:$A,0)-1,MATCH(L716,Tabella!$A$1:$AC$1,0)-1))</f>
        <v>0</v>
      </c>
      <c r="N716" s="205">
        <f ca="1">IF(ISERROR(OFFSET(Ottone!$A$1,MATCH(J716,Ottone!$A:$A,0)-1,MATCH(L716,Ottone!$A$1:$Z$1,0)-1)=TRUE),0,OFFSET(Ottone!$A$1,MATCH(J716,Ottone!$A:$A,0)-1,MATCH(L716,Ottone!$A$1:$Z$1,0)-1))*IF(G716="Ottone",1,0)</f>
        <v>0</v>
      </c>
      <c r="O716" s="205">
        <f ca="1">IF(ISERROR(OFFSET(Rame!$A$1,MATCH(J716,Rame!$A:$A,0)-1,MATCH(L716,Rame!$A$1:$AA$1,0)-1)=TRUE),0,OFFSET(Rame!$A$1,MATCH(J716,Rame!$A:$A,0)-1,MATCH(L716,Rame!$A$1:$AA$1,0)-1))*IF(G716="Rame",1,0)</f>
        <v>0</v>
      </c>
      <c r="P716" s="205">
        <v>0</v>
      </c>
      <c r="Q716" s="205">
        <f t="shared" ca="1" si="237"/>
        <v>0</v>
      </c>
      <c r="R716" s="205">
        <f ca="1">+IF(ISERROR(OFFSET(Tabella!$G$1,MATCH(J716,Tabella!$G:$G,0)-1,MATCH(K716,Tabella!$G$1:$FG$1,0)-1)=TRUE),0,OFFSET(Tabella!$G$1,MATCH(J716,Tabella!$G:$G,0)-1,MATCH(K716,Tabella!$G$1:$AB$1,0)-1))</f>
        <v>0</v>
      </c>
      <c r="S716" s="205">
        <f ca="1">IF(ISERROR(OFFSET(Ottone!$F$1,MATCH(J716,Ottone!$A:$A,0)-1,MATCH(K716,Ottone!$F$1:$FF$1,0)-1)=TRUE),0,OFFSET(Ottone!$F$1,MATCH(J716,Ottone!$A:$A,0)-1,MATCH(K716,Ottone!$F$1:$FF$1,0)-1))*IF(G716="Ottone",1,0)</f>
        <v>0</v>
      </c>
      <c r="T716" s="205">
        <f ca="1">IF(ISERROR(OFFSET(Rame!$F$1,MATCH(J716,Rame!$F:$F,0)-1,MATCH(K716,Rame!$F$1:$FF$1,0)-1)=TRUE),0,OFFSET(Rame!$F$1,MATCH(J716,Rame!$F:$F,0)-1,MATCH(K716,Rame!$F$1:$FF$1,0)-1))*IF(G716="Rame",1,0)</f>
        <v>0</v>
      </c>
      <c r="U716" s="205">
        <f ca="1">IF(ISERROR(OFFSET(Bronzo!$A$1,MATCH(J716,Bronzo!$A:$A,0)-1,MATCH(K716,Bronzo!$A$1:$AA$1,0)-1)=TRUE),0,OFFSET(Bronzo!$A$1,MATCH(J716,Bronzo!$A:$A,0)-1,MATCH(K716,Bronzo!$A$1:$AA$1,0)-1))</f>
        <v>0</v>
      </c>
      <c r="V716" s="205">
        <f t="shared" ca="1" si="238"/>
        <v>0</v>
      </c>
      <c r="W716" s="204"/>
      <c r="X716" s="205">
        <v>0</v>
      </c>
      <c r="Y716" s="206">
        <f t="shared" ca="1" si="239"/>
        <v>0</v>
      </c>
      <c r="Z716" s="277">
        <f t="shared" si="240"/>
        <v>0</v>
      </c>
      <c r="AA716" s="203"/>
      <c r="AB716" s="203">
        <f t="shared" ca="1" si="241"/>
        <v>0</v>
      </c>
      <c r="AC716" s="238"/>
      <c r="AI716" s="367">
        <f t="shared" ca="1" si="250"/>
        <v>46092</v>
      </c>
      <c r="AJ716" s="367" t="b">
        <f t="shared" si="242"/>
        <v>1</v>
      </c>
      <c r="AK716" s="370" t="str">
        <f t="shared" si="243"/>
        <v/>
      </c>
      <c r="AN716">
        <f t="shared" si="244"/>
        <v>0</v>
      </c>
      <c r="AO716">
        <f t="shared" si="245"/>
        <v>1900</v>
      </c>
      <c r="AV716">
        <f t="shared" si="248"/>
        <v>0</v>
      </c>
      <c r="AW716">
        <f t="shared" si="249"/>
        <v>0</v>
      </c>
    </row>
    <row r="717" spans="4:49" ht="15.75" x14ac:dyDescent="0.25">
      <c r="D717" s="199"/>
      <c r="E717" s="200"/>
      <c r="F717" s="287"/>
      <c r="G717" s="201"/>
      <c r="H717" s="219"/>
      <c r="I717" s="202"/>
      <c r="J717" s="200"/>
      <c r="K717" s="200"/>
      <c r="L717" s="203"/>
      <c r="M717" s="204">
        <f ca="1">IF(ISERROR(OFFSET(Tabella!$A$1,MATCH(J717,Tabella!$A:$A,0)-1,MATCH(L717,Tabella!$A$1:$AC$1,0)-1)=TRUE),0,+OFFSET(Tabella!$A$1,MATCH(J717,Tabella!$A:$A,0)-1,MATCH(L717,Tabella!$A$1:$AC$1,0)-1))</f>
        <v>0</v>
      </c>
      <c r="N717" s="205">
        <f ca="1">IF(ISERROR(OFFSET(Ottone!$A$1,MATCH(J717,Ottone!$A:$A,0)-1,MATCH(L717,Ottone!$A$1:$Z$1,0)-1)=TRUE),0,OFFSET(Ottone!$A$1,MATCH(J717,Ottone!$A:$A,0)-1,MATCH(L717,Ottone!$A$1:$Z$1,0)-1))*IF(G717="Ottone",1,0)</f>
        <v>0</v>
      </c>
      <c r="O717" s="205">
        <f ca="1">IF(ISERROR(OFFSET(Rame!$A$1,MATCH(J717,Rame!$A:$A,0)-1,MATCH(L717,Rame!$A$1:$AA$1,0)-1)=TRUE),0,OFFSET(Rame!$A$1,MATCH(J717,Rame!$A:$A,0)-1,MATCH(L717,Rame!$A$1:$AA$1,0)-1))*IF(G717="Rame",1,0)</f>
        <v>0</v>
      </c>
      <c r="P717" s="205">
        <v>0</v>
      </c>
      <c r="Q717" s="205">
        <f t="shared" ca="1" si="237"/>
        <v>0</v>
      </c>
      <c r="R717" s="205">
        <f ca="1">+IF(ISERROR(OFFSET(Tabella!$G$1,MATCH(J717,Tabella!$G:$G,0)-1,MATCH(K717,Tabella!$G$1:$FG$1,0)-1)=TRUE),0,OFFSET(Tabella!$G$1,MATCH(J717,Tabella!$G:$G,0)-1,MATCH(K717,Tabella!$G$1:$AB$1,0)-1))</f>
        <v>0</v>
      </c>
      <c r="S717" s="205">
        <f ca="1">IF(ISERROR(OFFSET(Ottone!$F$1,MATCH(J717,Ottone!$A:$A,0)-1,MATCH(K717,Ottone!$F$1:$FF$1,0)-1)=TRUE),0,OFFSET(Ottone!$F$1,MATCH(J717,Ottone!$A:$A,0)-1,MATCH(K717,Ottone!$F$1:$FF$1,0)-1))*IF(G717="Ottone",1,0)</f>
        <v>0</v>
      </c>
      <c r="T717" s="205">
        <f ca="1">IF(ISERROR(OFFSET(Rame!$F$1,MATCH(J717,Rame!$F:$F,0)-1,MATCH(K717,Rame!$F$1:$FF$1,0)-1)=TRUE),0,OFFSET(Rame!$F$1,MATCH(J717,Rame!$F:$F,0)-1,MATCH(K717,Rame!$F$1:$FF$1,0)-1))*IF(G717="Rame",1,0)</f>
        <v>0</v>
      </c>
      <c r="U717" s="205">
        <f ca="1">IF(ISERROR(OFFSET(Bronzo!$A$1,MATCH(J717,Bronzo!$A:$A,0)-1,MATCH(K717,Bronzo!$A$1:$AA$1,0)-1)=TRUE),0,OFFSET(Bronzo!$A$1,MATCH(J717,Bronzo!$A:$A,0)-1,MATCH(K717,Bronzo!$A$1:$AA$1,0)-1))</f>
        <v>0</v>
      </c>
      <c r="V717" s="205">
        <f t="shared" ca="1" si="238"/>
        <v>0</v>
      </c>
      <c r="W717" s="204"/>
      <c r="X717" s="205">
        <v>0</v>
      </c>
      <c r="Y717" s="206">
        <f t="shared" ca="1" si="239"/>
        <v>0</v>
      </c>
      <c r="Z717" s="277">
        <f t="shared" si="240"/>
        <v>0</v>
      </c>
      <c r="AA717" s="203"/>
      <c r="AB717" s="203">
        <f t="shared" ca="1" si="241"/>
        <v>0</v>
      </c>
      <c r="AC717" s="238"/>
      <c r="AI717" s="367">
        <f t="shared" ca="1" si="250"/>
        <v>46092</v>
      </c>
      <c r="AJ717" s="367" t="b">
        <f t="shared" si="242"/>
        <v>1</v>
      </c>
      <c r="AK717" s="370" t="str">
        <f t="shared" si="243"/>
        <v/>
      </c>
      <c r="AN717">
        <f t="shared" si="244"/>
        <v>0</v>
      </c>
      <c r="AO717">
        <f t="shared" si="245"/>
        <v>1900</v>
      </c>
      <c r="AV717">
        <f t="shared" si="248"/>
        <v>0</v>
      </c>
      <c r="AW717">
        <f t="shared" si="249"/>
        <v>0</v>
      </c>
    </row>
    <row r="718" spans="4:49" ht="15.75" x14ac:dyDescent="0.25">
      <c r="D718" s="199"/>
      <c r="E718" s="200"/>
      <c r="F718" s="287"/>
      <c r="G718" s="201"/>
      <c r="H718" s="219"/>
      <c r="I718" s="202"/>
      <c r="J718" s="200"/>
      <c r="K718" s="200"/>
      <c r="L718" s="203"/>
      <c r="M718" s="204">
        <f ca="1">IF(ISERROR(OFFSET(Tabella!$A$1,MATCH(J718,Tabella!$A:$A,0)-1,MATCH(L718,Tabella!$A$1:$AC$1,0)-1)=TRUE),0,+OFFSET(Tabella!$A$1,MATCH(J718,Tabella!$A:$A,0)-1,MATCH(L718,Tabella!$A$1:$AC$1,0)-1))</f>
        <v>0</v>
      </c>
      <c r="N718" s="205">
        <f ca="1">IF(ISERROR(OFFSET(Ottone!$A$1,MATCH(J718,Ottone!$A:$A,0)-1,MATCH(L718,Ottone!$A$1:$Z$1,0)-1)=TRUE),0,OFFSET(Ottone!$A$1,MATCH(J718,Ottone!$A:$A,0)-1,MATCH(L718,Ottone!$A$1:$Z$1,0)-1))*IF(G718="Ottone",1,0)</f>
        <v>0</v>
      </c>
      <c r="O718" s="205">
        <f ca="1">IF(ISERROR(OFFSET(Rame!$A$1,MATCH(J718,Rame!$A:$A,0)-1,MATCH(L718,Rame!$A$1:$AA$1,0)-1)=TRUE),0,OFFSET(Rame!$A$1,MATCH(J718,Rame!$A:$A,0)-1,MATCH(L718,Rame!$A$1:$AA$1,0)-1))*IF(G718="Rame",1,0)</f>
        <v>0</v>
      </c>
      <c r="P718" s="205">
        <v>0</v>
      </c>
      <c r="Q718" s="205">
        <f t="shared" ca="1" si="237"/>
        <v>0</v>
      </c>
      <c r="R718" s="205">
        <f ca="1">+IF(ISERROR(OFFSET(Tabella!$G$1,MATCH(J718,Tabella!$G:$G,0)-1,MATCH(K718,Tabella!$G$1:$FG$1,0)-1)=TRUE),0,OFFSET(Tabella!$G$1,MATCH(J718,Tabella!$G:$G,0)-1,MATCH(K718,Tabella!$G$1:$AB$1,0)-1))</f>
        <v>0</v>
      </c>
      <c r="S718" s="205">
        <f ca="1">IF(ISERROR(OFFSET(Ottone!$F$1,MATCH(J718,Ottone!$A:$A,0)-1,MATCH(K718,Ottone!$F$1:$FF$1,0)-1)=TRUE),0,OFFSET(Ottone!$F$1,MATCH(J718,Ottone!$A:$A,0)-1,MATCH(K718,Ottone!$F$1:$FF$1,0)-1))*IF(G718="Ottone",1,0)</f>
        <v>0</v>
      </c>
      <c r="T718" s="205">
        <f ca="1">IF(ISERROR(OFFSET(Rame!$F$1,MATCH(J718,Rame!$F:$F,0)-1,MATCH(K718,Rame!$F$1:$FF$1,0)-1)=TRUE),0,OFFSET(Rame!$F$1,MATCH(J718,Rame!$F:$F,0)-1,MATCH(K718,Rame!$F$1:$FF$1,0)-1))*IF(G718="Rame",1,0)</f>
        <v>0</v>
      </c>
      <c r="U718" s="205">
        <f ca="1">IF(ISERROR(OFFSET(Bronzo!$A$1,MATCH(J718,Bronzo!$A:$A,0)-1,MATCH(K718,Bronzo!$A$1:$AA$1,0)-1)=TRUE),0,OFFSET(Bronzo!$A$1,MATCH(J718,Bronzo!$A:$A,0)-1,MATCH(K718,Bronzo!$A$1:$AA$1,0)-1))</f>
        <v>0</v>
      </c>
      <c r="V718" s="205">
        <f t="shared" ca="1" si="238"/>
        <v>0</v>
      </c>
      <c r="W718" s="204"/>
      <c r="X718" s="205">
        <v>0</v>
      </c>
      <c r="Y718" s="206">
        <f t="shared" ca="1" si="239"/>
        <v>0</v>
      </c>
      <c r="Z718" s="277">
        <f t="shared" si="240"/>
        <v>0</v>
      </c>
      <c r="AA718" s="203"/>
      <c r="AB718" s="203">
        <f t="shared" ca="1" si="241"/>
        <v>0</v>
      </c>
      <c r="AC718" s="238"/>
      <c r="AI718" s="367">
        <f t="shared" ca="1" si="250"/>
        <v>46092</v>
      </c>
      <c r="AJ718" s="367" t="b">
        <f t="shared" si="242"/>
        <v>1</v>
      </c>
      <c r="AK718" s="370" t="str">
        <f t="shared" si="243"/>
        <v/>
      </c>
      <c r="AN718">
        <f t="shared" si="244"/>
        <v>0</v>
      </c>
      <c r="AO718">
        <f t="shared" si="245"/>
        <v>1900</v>
      </c>
      <c r="AV718">
        <f t="shared" si="248"/>
        <v>0</v>
      </c>
      <c r="AW718">
        <f t="shared" si="249"/>
        <v>0</v>
      </c>
    </row>
    <row r="719" spans="4:49" ht="15.75" x14ac:dyDescent="0.25">
      <c r="D719" s="199"/>
      <c r="E719" s="200"/>
      <c r="F719" s="287"/>
      <c r="G719" s="201"/>
      <c r="H719" s="219"/>
      <c r="I719" s="202"/>
      <c r="J719" s="200"/>
      <c r="K719" s="200"/>
      <c r="L719" s="203"/>
      <c r="M719" s="204">
        <f ca="1">IF(ISERROR(OFFSET(Tabella!$A$1,MATCH(J719,Tabella!$A:$A,0)-1,MATCH(L719,Tabella!$A$1:$AC$1,0)-1)=TRUE),0,+OFFSET(Tabella!$A$1,MATCH(J719,Tabella!$A:$A,0)-1,MATCH(L719,Tabella!$A$1:$AC$1,0)-1))</f>
        <v>0</v>
      </c>
      <c r="N719" s="205">
        <f ca="1">IF(ISERROR(OFFSET(Ottone!$A$1,MATCH(J719,Ottone!$A:$A,0)-1,MATCH(L719,Ottone!$A$1:$Z$1,0)-1)=TRUE),0,OFFSET(Ottone!$A$1,MATCH(J719,Ottone!$A:$A,0)-1,MATCH(L719,Ottone!$A$1:$Z$1,0)-1))*IF(G719="Ottone",1,0)</f>
        <v>0</v>
      </c>
      <c r="O719" s="205">
        <f ca="1">IF(ISERROR(OFFSET(Rame!$A$1,MATCH(J719,Rame!$A:$A,0)-1,MATCH(L719,Rame!$A$1:$AA$1,0)-1)=TRUE),0,OFFSET(Rame!$A$1,MATCH(J719,Rame!$A:$A,0)-1,MATCH(L719,Rame!$A$1:$AA$1,0)-1))*IF(G719="Rame",1,0)</f>
        <v>0</v>
      </c>
      <c r="P719" s="205">
        <v>0</v>
      </c>
      <c r="Q719" s="205">
        <f t="shared" ref="Q719:Q782" ca="1" si="251">SUM(M719:P719)</f>
        <v>0</v>
      </c>
      <c r="R719" s="205">
        <f ca="1">+IF(ISERROR(OFFSET(Tabella!$G$1,MATCH(J719,Tabella!$G:$G,0)-1,MATCH(K719,Tabella!$G$1:$FG$1,0)-1)=TRUE),0,OFFSET(Tabella!$G$1,MATCH(J719,Tabella!$G:$G,0)-1,MATCH(K719,Tabella!$G$1:$AB$1,0)-1))</f>
        <v>0</v>
      </c>
      <c r="S719" s="205">
        <f ca="1">IF(ISERROR(OFFSET(Ottone!$F$1,MATCH(J719,Ottone!$A:$A,0)-1,MATCH(K719,Ottone!$F$1:$FF$1,0)-1)=TRUE),0,OFFSET(Ottone!$F$1,MATCH(J719,Ottone!$A:$A,0)-1,MATCH(K719,Ottone!$F$1:$FF$1,0)-1))*IF(G719="Ottone",1,0)</f>
        <v>0</v>
      </c>
      <c r="T719" s="205">
        <f ca="1">IF(ISERROR(OFFSET(Rame!$F$1,MATCH(J719,Rame!$F:$F,0)-1,MATCH(K719,Rame!$F$1:$FF$1,0)-1)=TRUE),0,OFFSET(Rame!$F$1,MATCH(J719,Rame!$F:$F,0)-1,MATCH(K719,Rame!$F$1:$FF$1,0)-1))*IF(G719="Rame",1,0)</f>
        <v>0</v>
      </c>
      <c r="U719" s="205">
        <f ca="1">IF(ISERROR(OFFSET(Bronzo!$A$1,MATCH(J719,Bronzo!$A:$A,0)-1,MATCH(K719,Bronzo!$A$1:$AA$1,0)-1)=TRUE),0,OFFSET(Bronzo!$A$1,MATCH(J719,Bronzo!$A:$A,0)-1,MATCH(K719,Bronzo!$A$1:$AA$1,0)-1))</f>
        <v>0</v>
      </c>
      <c r="V719" s="205">
        <f t="shared" ref="V719:V782" ca="1" si="252">SUM(R719:U719)</f>
        <v>0</v>
      </c>
      <c r="W719" s="204"/>
      <c r="X719" s="205">
        <v>0</v>
      </c>
      <c r="Y719" s="206">
        <f t="shared" ref="Y719:Y782" ca="1" si="253">+Q719+V719+W719+X719</f>
        <v>0</v>
      </c>
      <c r="Z719" s="277">
        <f t="shared" ref="Z719:Z782" si="254">+L719*F719</f>
        <v>0</v>
      </c>
      <c r="AA719" s="203"/>
      <c r="AB719" s="203">
        <f t="shared" ref="AB719:AB782" ca="1" si="255">+AA719-Y719-H719</f>
        <v>0</v>
      </c>
      <c r="AC719" s="238"/>
      <c r="AI719" s="367">
        <f t="shared" ca="1" si="250"/>
        <v>46092</v>
      </c>
      <c r="AJ719" s="367" t="b">
        <f t="shared" si="242"/>
        <v>1</v>
      </c>
      <c r="AK719" s="370" t="str">
        <f t="shared" si="243"/>
        <v/>
      </c>
      <c r="AN719">
        <f t="shared" si="244"/>
        <v>0</v>
      </c>
      <c r="AO719">
        <f t="shared" si="245"/>
        <v>1900</v>
      </c>
      <c r="AV719">
        <f t="shared" si="248"/>
        <v>0</v>
      </c>
      <c r="AW719">
        <f t="shared" si="249"/>
        <v>0</v>
      </c>
    </row>
    <row r="720" spans="4:49" ht="15.75" x14ac:dyDescent="0.25">
      <c r="D720" s="199"/>
      <c r="E720" s="200"/>
      <c r="F720" s="287"/>
      <c r="G720" s="201"/>
      <c r="H720" s="219"/>
      <c r="I720" s="202"/>
      <c r="J720" s="200"/>
      <c r="K720" s="200"/>
      <c r="L720" s="203"/>
      <c r="M720" s="204">
        <f ca="1">IF(ISERROR(OFFSET(Tabella!$A$1,MATCH(J720,Tabella!$A:$A,0)-1,MATCH(L720,Tabella!$A$1:$AC$1,0)-1)=TRUE),0,+OFFSET(Tabella!$A$1,MATCH(J720,Tabella!$A:$A,0)-1,MATCH(L720,Tabella!$A$1:$AC$1,0)-1))</f>
        <v>0</v>
      </c>
      <c r="N720" s="205">
        <f ca="1">IF(ISERROR(OFFSET(Ottone!$A$1,MATCH(J720,Ottone!$A:$A,0)-1,MATCH(L720,Ottone!$A$1:$Z$1,0)-1)=TRUE),0,OFFSET(Ottone!$A$1,MATCH(J720,Ottone!$A:$A,0)-1,MATCH(L720,Ottone!$A$1:$Z$1,0)-1))*IF(G720="Ottone",1,0)</f>
        <v>0</v>
      </c>
      <c r="O720" s="205">
        <f ca="1">IF(ISERROR(OFFSET(Rame!$A$1,MATCH(J720,Rame!$A:$A,0)-1,MATCH(L720,Rame!$A$1:$AA$1,0)-1)=TRUE),0,OFFSET(Rame!$A$1,MATCH(J720,Rame!$A:$A,0)-1,MATCH(L720,Rame!$A$1:$AA$1,0)-1))*IF(G720="Rame",1,0)</f>
        <v>0</v>
      </c>
      <c r="P720" s="205">
        <v>0</v>
      </c>
      <c r="Q720" s="205">
        <f t="shared" ca="1" si="251"/>
        <v>0</v>
      </c>
      <c r="R720" s="205">
        <f ca="1">+IF(ISERROR(OFFSET(Tabella!$G$1,MATCH(J720,Tabella!$G:$G,0)-1,MATCH(K720,Tabella!$G$1:$FG$1,0)-1)=TRUE),0,OFFSET(Tabella!$G$1,MATCH(J720,Tabella!$G:$G,0)-1,MATCH(K720,Tabella!$G$1:$AB$1,0)-1))</f>
        <v>0</v>
      </c>
      <c r="S720" s="205">
        <f ca="1">IF(ISERROR(OFFSET(Ottone!$F$1,MATCH(J720,Ottone!$A:$A,0)-1,MATCH(K720,Ottone!$F$1:$FF$1,0)-1)=TRUE),0,OFFSET(Ottone!$F$1,MATCH(J720,Ottone!$A:$A,0)-1,MATCH(K720,Ottone!$F$1:$FF$1,0)-1))*IF(G720="Ottone",1,0)</f>
        <v>0</v>
      </c>
      <c r="T720" s="205">
        <f ca="1">IF(ISERROR(OFFSET(Rame!$F$1,MATCH(J720,Rame!$F:$F,0)-1,MATCH(K720,Rame!$F$1:$FF$1,0)-1)=TRUE),0,OFFSET(Rame!$F$1,MATCH(J720,Rame!$F:$F,0)-1,MATCH(K720,Rame!$F$1:$FF$1,0)-1))*IF(G720="Rame",1,0)</f>
        <v>0</v>
      </c>
      <c r="U720" s="205">
        <f ca="1">IF(ISERROR(OFFSET(Bronzo!$A$1,MATCH(J720,Bronzo!$A:$A,0)-1,MATCH(K720,Bronzo!$A$1:$AA$1,0)-1)=TRUE),0,OFFSET(Bronzo!$A$1,MATCH(J720,Bronzo!$A:$A,0)-1,MATCH(K720,Bronzo!$A$1:$AA$1,0)-1))</f>
        <v>0</v>
      </c>
      <c r="V720" s="205">
        <f t="shared" ca="1" si="252"/>
        <v>0</v>
      </c>
      <c r="W720" s="204"/>
      <c r="X720" s="205">
        <v>0</v>
      </c>
      <c r="Y720" s="206">
        <f t="shared" ca="1" si="253"/>
        <v>0</v>
      </c>
      <c r="Z720" s="277">
        <f t="shared" si="254"/>
        <v>0</v>
      </c>
      <c r="AA720" s="203"/>
      <c r="AB720" s="203">
        <f t="shared" ca="1" si="255"/>
        <v>0</v>
      </c>
      <c r="AC720" s="238"/>
      <c r="AI720" s="367">
        <f t="shared" ca="1" si="250"/>
        <v>46092</v>
      </c>
      <c r="AJ720" s="367" t="b">
        <f t="shared" si="242"/>
        <v>1</v>
      </c>
      <c r="AK720" s="370" t="str">
        <f t="shared" si="243"/>
        <v/>
      </c>
      <c r="AN720">
        <f t="shared" si="244"/>
        <v>0</v>
      </c>
      <c r="AO720">
        <f t="shared" si="245"/>
        <v>1900</v>
      </c>
      <c r="AV720">
        <f t="shared" si="248"/>
        <v>0</v>
      </c>
      <c r="AW720">
        <f t="shared" si="249"/>
        <v>0</v>
      </c>
    </row>
    <row r="721" spans="4:49" ht="15.75" x14ac:dyDescent="0.25">
      <c r="D721" s="199"/>
      <c r="E721" s="200"/>
      <c r="F721" s="287"/>
      <c r="G721" s="201"/>
      <c r="H721" s="219"/>
      <c r="I721" s="202"/>
      <c r="J721" s="200"/>
      <c r="K721" s="200"/>
      <c r="L721" s="203"/>
      <c r="M721" s="204">
        <f ca="1">IF(ISERROR(OFFSET(Tabella!$A$1,MATCH(J721,Tabella!$A:$A,0)-1,MATCH(L721,Tabella!$A$1:$AC$1,0)-1)=TRUE),0,+OFFSET(Tabella!$A$1,MATCH(J721,Tabella!$A:$A,0)-1,MATCH(L721,Tabella!$A$1:$AC$1,0)-1))</f>
        <v>0</v>
      </c>
      <c r="N721" s="205">
        <f ca="1">IF(ISERROR(OFFSET(Ottone!$A$1,MATCH(J721,Ottone!$A:$A,0)-1,MATCH(L721,Ottone!$A$1:$Z$1,0)-1)=TRUE),0,OFFSET(Ottone!$A$1,MATCH(J721,Ottone!$A:$A,0)-1,MATCH(L721,Ottone!$A$1:$Z$1,0)-1))*IF(G721="Ottone",1,0)</f>
        <v>0</v>
      </c>
      <c r="O721" s="205">
        <f ca="1">IF(ISERROR(OFFSET(Rame!$A$1,MATCH(J721,Rame!$A:$A,0)-1,MATCH(L721,Rame!$A$1:$AA$1,0)-1)=TRUE),0,OFFSET(Rame!$A$1,MATCH(J721,Rame!$A:$A,0)-1,MATCH(L721,Rame!$A$1:$AA$1,0)-1))*IF(G721="Rame",1,0)</f>
        <v>0</v>
      </c>
      <c r="P721" s="205">
        <v>0</v>
      </c>
      <c r="Q721" s="205">
        <f t="shared" ca="1" si="251"/>
        <v>0</v>
      </c>
      <c r="R721" s="205">
        <f ca="1">+IF(ISERROR(OFFSET(Tabella!$G$1,MATCH(J721,Tabella!$G:$G,0)-1,MATCH(K721,Tabella!$G$1:$FG$1,0)-1)=TRUE),0,OFFSET(Tabella!$G$1,MATCH(J721,Tabella!$G:$G,0)-1,MATCH(K721,Tabella!$G$1:$AB$1,0)-1))</f>
        <v>0</v>
      </c>
      <c r="S721" s="205">
        <f ca="1">IF(ISERROR(OFFSET(Ottone!$F$1,MATCH(J721,Ottone!$A:$A,0)-1,MATCH(K721,Ottone!$F$1:$FF$1,0)-1)=TRUE),0,OFFSET(Ottone!$F$1,MATCH(J721,Ottone!$A:$A,0)-1,MATCH(K721,Ottone!$F$1:$FF$1,0)-1))*IF(G721="Ottone",1,0)</f>
        <v>0</v>
      </c>
      <c r="T721" s="205">
        <f ca="1">IF(ISERROR(OFFSET(Rame!$F$1,MATCH(J721,Rame!$F:$F,0)-1,MATCH(K721,Rame!$F$1:$FF$1,0)-1)=TRUE),0,OFFSET(Rame!$F$1,MATCH(J721,Rame!$F:$F,0)-1,MATCH(K721,Rame!$F$1:$FF$1,0)-1))*IF(G721="Rame",1,0)</f>
        <v>0</v>
      </c>
      <c r="U721" s="205">
        <f ca="1">IF(ISERROR(OFFSET(Bronzo!$A$1,MATCH(J721,Bronzo!$A:$A,0)-1,MATCH(K721,Bronzo!$A$1:$AA$1,0)-1)=TRUE),0,OFFSET(Bronzo!$A$1,MATCH(J721,Bronzo!$A:$A,0)-1,MATCH(K721,Bronzo!$A$1:$AA$1,0)-1))</f>
        <v>0</v>
      </c>
      <c r="V721" s="205">
        <f t="shared" ca="1" si="252"/>
        <v>0</v>
      </c>
      <c r="W721" s="204"/>
      <c r="X721" s="205">
        <v>0</v>
      </c>
      <c r="Y721" s="206">
        <f t="shared" ca="1" si="253"/>
        <v>0</v>
      </c>
      <c r="Z721" s="277">
        <f t="shared" si="254"/>
        <v>0</v>
      </c>
      <c r="AA721" s="203"/>
      <c r="AB721" s="203">
        <f t="shared" ca="1" si="255"/>
        <v>0</v>
      </c>
      <c r="AC721" s="238"/>
      <c r="AI721" s="367">
        <f t="shared" ca="1" si="250"/>
        <v>46092</v>
      </c>
      <c r="AJ721" s="367" t="b">
        <f t="shared" si="242"/>
        <v>1</v>
      </c>
      <c r="AK721" s="370" t="str">
        <f t="shared" si="243"/>
        <v/>
      </c>
      <c r="AN721">
        <f t="shared" si="244"/>
        <v>0</v>
      </c>
      <c r="AO721">
        <f t="shared" si="245"/>
        <v>1900</v>
      </c>
      <c r="AV721">
        <f t="shared" si="248"/>
        <v>0</v>
      </c>
      <c r="AW721">
        <f t="shared" si="249"/>
        <v>0</v>
      </c>
    </row>
    <row r="722" spans="4:49" ht="15.75" x14ac:dyDescent="0.25">
      <c r="D722" s="199"/>
      <c r="E722" s="200"/>
      <c r="F722" s="287"/>
      <c r="G722" s="201"/>
      <c r="H722" s="219"/>
      <c r="I722" s="202"/>
      <c r="J722" s="200"/>
      <c r="K722" s="200"/>
      <c r="L722" s="203"/>
      <c r="M722" s="204">
        <f ca="1">IF(ISERROR(OFFSET(Tabella!$A$1,MATCH(J722,Tabella!$A:$A,0)-1,MATCH(L722,Tabella!$A$1:$AC$1,0)-1)=TRUE),0,+OFFSET(Tabella!$A$1,MATCH(J722,Tabella!$A:$A,0)-1,MATCH(L722,Tabella!$A$1:$AC$1,0)-1))</f>
        <v>0</v>
      </c>
      <c r="N722" s="205">
        <f ca="1">IF(ISERROR(OFFSET(Ottone!$A$1,MATCH(J722,Ottone!$A:$A,0)-1,MATCH(L722,Ottone!$A$1:$Z$1,0)-1)=TRUE),0,OFFSET(Ottone!$A$1,MATCH(J722,Ottone!$A:$A,0)-1,MATCH(L722,Ottone!$A$1:$Z$1,0)-1))*IF(G722="Ottone",1,0)</f>
        <v>0</v>
      </c>
      <c r="O722" s="205">
        <f ca="1">IF(ISERROR(OFFSET(Rame!$A$1,MATCH(J722,Rame!$A:$A,0)-1,MATCH(L722,Rame!$A$1:$AA$1,0)-1)=TRUE),0,OFFSET(Rame!$A$1,MATCH(J722,Rame!$A:$A,0)-1,MATCH(L722,Rame!$A$1:$AA$1,0)-1))*IF(G722="Rame",1,0)</f>
        <v>0</v>
      </c>
      <c r="P722" s="205">
        <v>0</v>
      </c>
      <c r="Q722" s="205">
        <f t="shared" ca="1" si="251"/>
        <v>0</v>
      </c>
      <c r="R722" s="205">
        <f ca="1">+IF(ISERROR(OFFSET(Tabella!$G$1,MATCH(J722,Tabella!$G:$G,0)-1,MATCH(K722,Tabella!$G$1:$FG$1,0)-1)=TRUE),0,OFFSET(Tabella!$G$1,MATCH(J722,Tabella!$G:$G,0)-1,MATCH(K722,Tabella!$G$1:$AB$1,0)-1))</f>
        <v>0</v>
      </c>
      <c r="S722" s="205">
        <f ca="1">IF(ISERROR(OFFSET(Ottone!$F$1,MATCH(J722,Ottone!$A:$A,0)-1,MATCH(K722,Ottone!$F$1:$FF$1,0)-1)=TRUE),0,OFFSET(Ottone!$F$1,MATCH(J722,Ottone!$A:$A,0)-1,MATCH(K722,Ottone!$F$1:$FF$1,0)-1))*IF(G722="Ottone",1,0)</f>
        <v>0</v>
      </c>
      <c r="T722" s="205">
        <f ca="1">IF(ISERROR(OFFSET(Rame!$F$1,MATCH(J722,Rame!$F:$F,0)-1,MATCH(K722,Rame!$F$1:$FF$1,0)-1)=TRUE),0,OFFSET(Rame!$F$1,MATCH(J722,Rame!$F:$F,0)-1,MATCH(K722,Rame!$F$1:$FF$1,0)-1))*IF(G722="Rame",1,0)</f>
        <v>0</v>
      </c>
      <c r="U722" s="205">
        <f ca="1">IF(ISERROR(OFFSET(Bronzo!$A$1,MATCH(J722,Bronzo!$A:$A,0)-1,MATCH(K722,Bronzo!$A$1:$AA$1,0)-1)=TRUE),0,OFFSET(Bronzo!$A$1,MATCH(J722,Bronzo!$A:$A,0)-1,MATCH(K722,Bronzo!$A$1:$AA$1,0)-1))</f>
        <v>0</v>
      </c>
      <c r="V722" s="205">
        <f t="shared" ca="1" si="252"/>
        <v>0</v>
      </c>
      <c r="W722" s="204"/>
      <c r="X722" s="205">
        <v>0</v>
      </c>
      <c r="Y722" s="206">
        <f t="shared" ca="1" si="253"/>
        <v>0</v>
      </c>
      <c r="Z722" s="277">
        <f t="shared" si="254"/>
        <v>0</v>
      </c>
      <c r="AA722" s="203"/>
      <c r="AB722" s="203">
        <f t="shared" ca="1" si="255"/>
        <v>0</v>
      </c>
      <c r="AC722" s="238"/>
      <c r="AI722" s="367">
        <f t="shared" ca="1" si="250"/>
        <v>46092</v>
      </c>
      <c r="AJ722" s="367" t="b">
        <f t="shared" si="242"/>
        <v>1</v>
      </c>
      <c r="AK722" s="370" t="str">
        <f t="shared" si="243"/>
        <v/>
      </c>
      <c r="AN722">
        <f t="shared" si="244"/>
        <v>0</v>
      </c>
      <c r="AO722">
        <f t="shared" si="245"/>
        <v>1900</v>
      </c>
      <c r="AV722">
        <f t="shared" si="248"/>
        <v>0</v>
      </c>
      <c r="AW722">
        <f t="shared" si="249"/>
        <v>0</v>
      </c>
    </row>
    <row r="723" spans="4:49" ht="15.75" x14ac:dyDescent="0.25">
      <c r="D723" s="199"/>
      <c r="E723" s="200"/>
      <c r="F723" s="287"/>
      <c r="G723" s="201"/>
      <c r="H723" s="219"/>
      <c r="I723" s="202"/>
      <c r="J723" s="200"/>
      <c r="K723" s="200"/>
      <c r="L723" s="203"/>
      <c r="M723" s="204">
        <f ca="1">IF(ISERROR(OFFSET(Tabella!$A$1,MATCH(J723,Tabella!$A:$A,0)-1,MATCH(L723,Tabella!$A$1:$AC$1,0)-1)=TRUE),0,+OFFSET(Tabella!$A$1,MATCH(J723,Tabella!$A:$A,0)-1,MATCH(L723,Tabella!$A$1:$AC$1,0)-1))</f>
        <v>0</v>
      </c>
      <c r="N723" s="205">
        <f ca="1">IF(ISERROR(OFFSET(Ottone!$A$1,MATCH(J723,Ottone!$A:$A,0)-1,MATCH(L723,Ottone!$A$1:$Z$1,0)-1)=TRUE),0,OFFSET(Ottone!$A$1,MATCH(J723,Ottone!$A:$A,0)-1,MATCH(L723,Ottone!$A$1:$Z$1,0)-1))*IF(G723="Ottone",1,0)</f>
        <v>0</v>
      </c>
      <c r="O723" s="205">
        <f ca="1">IF(ISERROR(OFFSET(Rame!$A$1,MATCH(J723,Rame!$A:$A,0)-1,MATCH(L723,Rame!$A$1:$AA$1,0)-1)=TRUE),0,OFFSET(Rame!$A$1,MATCH(J723,Rame!$A:$A,0)-1,MATCH(L723,Rame!$A$1:$AA$1,0)-1))*IF(G723="Rame",1,0)</f>
        <v>0</v>
      </c>
      <c r="P723" s="205">
        <v>0</v>
      </c>
      <c r="Q723" s="205">
        <f t="shared" ca="1" si="251"/>
        <v>0</v>
      </c>
      <c r="R723" s="205">
        <f ca="1">+IF(ISERROR(OFFSET(Tabella!$G$1,MATCH(J723,Tabella!$G:$G,0)-1,MATCH(K723,Tabella!$G$1:$FG$1,0)-1)=TRUE),0,OFFSET(Tabella!$G$1,MATCH(J723,Tabella!$G:$G,0)-1,MATCH(K723,Tabella!$G$1:$AB$1,0)-1))</f>
        <v>0</v>
      </c>
      <c r="S723" s="205">
        <f ca="1">IF(ISERROR(OFFSET(Ottone!$F$1,MATCH(J723,Ottone!$A:$A,0)-1,MATCH(K723,Ottone!$F$1:$FF$1,0)-1)=TRUE),0,OFFSET(Ottone!$F$1,MATCH(J723,Ottone!$A:$A,0)-1,MATCH(K723,Ottone!$F$1:$FF$1,0)-1))*IF(G723="Ottone",1,0)</f>
        <v>0</v>
      </c>
      <c r="T723" s="205">
        <f ca="1">IF(ISERROR(OFFSET(Rame!$F$1,MATCH(J723,Rame!$F:$F,0)-1,MATCH(K723,Rame!$F$1:$FF$1,0)-1)=TRUE),0,OFFSET(Rame!$F$1,MATCH(J723,Rame!$F:$F,0)-1,MATCH(K723,Rame!$F$1:$FF$1,0)-1))*IF(G723="Rame",1,0)</f>
        <v>0</v>
      </c>
      <c r="U723" s="205">
        <f ca="1">IF(ISERROR(OFFSET(Bronzo!$A$1,MATCH(J723,Bronzo!$A:$A,0)-1,MATCH(K723,Bronzo!$A$1:$AA$1,0)-1)=TRUE),0,OFFSET(Bronzo!$A$1,MATCH(J723,Bronzo!$A:$A,0)-1,MATCH(K723,Bronzo!$A$1:$AA$1,0)-1))</f>
        <v>0</v>
      </c>
      <c r="V723" s="205">
        <f t="shared" ca="1" si="252"/>
        <v>0</v>
      </c>
      <c r="W723" s="204"/>
      <c r="X723" s="205">
        <v>0</v>
      </c>
      <c r="Y723" s="206">
        <f t="shared" ca="1" si="253"/>
        <v>0</v>
      </c>
      <c r="Z723" s="277">
        <f t="shared" si="254"/>
        <v>0</v>
      </c>
      <c r="AA723" s="203"/>
      <c r="AB723" s="203">
        <f t="shared" ca="1" si="255"/>
        <v>0</v>
      </c>
      <c r="AC723" s="238"/>
      <c r="AI723" s="367">
        <f t="shared" ca="1" si="250"/>
        <v>46092</v>
      </c>
      <c r="AJ723" s="367" t="b">
        <f t="shared" si="242"/>
        <v>1</v>
      </c>
      <c r="AK723" s="370" t="str">
        <f t="shared" si="243"/>
        <v/>
      </c>
      <c r="AN723">
        <f t="shared" si="244"/>
        <v>0</v>
      </c>
      <c r="AO723">
        <f t="shared" si="245"/>
        <v>1900</v>
      </c>
      <c r="AV723">
        <f t="shared" si="248"/>
        <v>0</v>
      </c>
      <c r="AW723">
        <f t="shared" si="249"/>
        <v>0</v>
      </c>
    </row>
    <row r="724" spans="4:49" ht="15.75" x14ac:dyDescent="0.25">
      <c r="D724" s="199"/>
      <c r="E724" s="200"/>
      <c r="F724" s="287"/>
      <c r="G724" s="201"/>
      <c r="H724" s="219"/>
      <c r="I724" s="202"/>
      <c r="J724" s="200"/>
      <c r="K724" s="200"/>
      <c r="L724" s="203"/>
      <c r="M724" s="204">
        <f ca="1">IF(ISERROR(OFFSET(Tabella!$A$1,MATCH(J724,Tabella!$A:$A,0)-1,MATCH(L724,Tabella!$A$1:$AC$1,0)-1)=TRUE),0,+OFFSET(Tabella!$A$1,MATCH(J724,Tabella!$A:$A,0)-1,MATCH(L724,Tabella!$A$1:$AC$1,0)-1))</f>
        <v>0</v>
      </c>
      <c r="N724" s="205">
        <f ca="1">IF(ISERROR(OFFSET(Ottone!$A$1,MATCH(J724,Ottone!$A:$A,0)-1,MATCH(L724,Ottone!$A$1:$Z$1,0)-1)=TRUE),0,OFFSET(Ottone!$A$1,MATCH(J724,Ottone!$A:$A,0)-1,MATCH(L724,Ottone!$A$1:$Z$1,0)-1))*IF(G724="Ottone",1,0)</f>
        <v>0</v>
      </c>
      <c r="O724" s="205">
        <f ca="1">IF(ISERROR(OFFSET(Rame!$A$1,MATCH(J724,Rame!$A:$A,0)-1,MATCH(L724,Rame!$A$1:$AA$1,0)-1)=TRUE),0,OFFSET(Rame!$A$1,MATCH(J724,Rame!$A:$A,0)-1,MATCH(L724,Rame!$A$1:$AA$1,0)-1))*IF(G724="Rame",1,0)</f>
        <v>0</v>
      </c>
      <c r="P724" s="205">
        <v>0</v>
      </c>
      <c r="Q724" s="205">
        <f t="shared" ca="1" si="251"/>
        <v>0</v>
      </c>
      <c r="R724" s="205">
        <f ca="1">+IF(ISERROR(OFFSET(Tabella!$G$1,MATCH(J724,Tabella!$G:$G,0)-1,MATCH(K724,Tabella!$G$1:$FG$1,0)-1)=TRUE),0,OFFSET(Tabella!$G$1,MATCH(J724,Tabella!$G:$G,0)-1,MATCH(K724,Tabella!$G$1:$AB$1,0)-1))</f>
        <v>0</v>
      </c>
      <c r="S724" s="205">
        <f ca="1">IF(ISERROR(OFFSET(Ottone!$F$1,MATCH(J724,Ottone!$A:$A,0)-1,MATCH(K724,Ottone!$F$1:$FF$1,0)-1)=TRUE),0,OFFSET(Ottone!$F$1,MATCH(J724,Ottone!$A:$A,0)-1,MATCH(K724,Ottone!$F$1:$FF$1,0)-1))*IF(G724="Ottone",1,0)</f>
        <v>0</v>
      </c>
      <c r="T724" s="205">
        <f ca="1">IF(ISERROR(OFFSET(Rame!$F$1,MATCH(J724,Rame!$F:$F,0)-1,MATCH(K724,Rame!$F$1:$FF$1,0)-1)=TRUE),0,OFFSET(Rame!$F$1,MATCH(J724,Rame!$F:$F,0)-1,MATCH(K724,Rame!$F$1:$FF$1,0)-1))*IF(G724="Rame",1,0)</f>
        <v>0</v>
      </c>
      <c r="U724" s="205">
        <f ca="1">IF(ISERROR(OFFSET(Bronzo!$A$1,MATCH(J724,Bronzo!$A:$A,0)-1,MATCH(K724,Bronzo!$A$1:$AA$1,0)-1)=TRUE),0,OFFSET(Bronzo!$A$1,MATCH(J724,Bronzo!$A:$A,0)-1,MATCH(K724,Bronzo!$A$1:$AA$1,0)-1))</f>
        <v>0</v>
      </c>
      <c r="V724" s="205">
        <f t="shared" ca="1" si="252"/>
        <v>0</v>
      </c>
      <c r="W724" s="204"/>
      <c r="X724" s="205">
        <v>0</v>
      </c>
      <c r="Y724" s="206">
        <f t="shared" ca="1" si="253"/>
        <v>0</v>
      </c>
      <c r="Z724" s="277">
        <f t="shared" si="254"/>
        <v>0</v>
      </c>
      <c r="AA724" s="203"/>
      <c r="AB724" s="203">
        <f t="shared" ca="1" si="255"/>
        <v>0</v>
      </c>
      <c r="AC724" s="238"/>
      <c r="AI724" s="367">
        <f t="shared" ca="1" si="250"/>
        <v>46092</v>
      </c>
      <c r="AJ724" s="367" t="b">
        <f t="shared" si="242"/>
        <v>1</v>
      </c>
      <c r="AK724" s="370" t="str">
        <f t="shared" si="243"/>
        <v/>
      </c>
      <c r="AN724">
        <f t="shared" si="244"/>
        <v>0</v>
      </c>
      <c r="AO724">
        <f t="shared" si="245"/>
        <v>1900</v>
      </c>
      <c r="AV724">
        <f t="shared" si="248"/>
        <v>0</v>
      </c>
      <c r="AW724">
        <f t="shared" si="249"/>
        <v>0</v>
      </c>
    </row>
    <row r="725" spans="4:49" ht="15.75" x14ac:dyDescent="0.25">
      <c r="D725" s="199"/>
      <c r="E725" s="200"/>
      <c r="F725" s="287"/>
      <c r="G725" s="201"/>
      <c r="H725" s="219"/>
      <c r="I725" s="202"/>
      <c r="J725" s="200"/>
      <c r="K725" s="200"/>
      <c r="L725" s="203"/>
      <c r="M725" s="204">
        <f ca="1">IF(ISERROR(OFFSET(Tabella!$A$1,MATCH(J725,Tabella!$A:$A,0)-1,MATCH(L725,Tabella!$A$1:$AC$1,0)-1)=TRUE),0,+OFFSET(Tabella!$A$1,MATCH(J725,Tabella!$A:$A,0)-1,MATCH(L725,Tabella!$A$1:$AC$1,0)-1))</f>
        <v>0</v>
      </c>
      <c r="N725" s="205">
        <f ca="1">IF(ISERROR(OFFSET(Ottone!$A$1,MATCH(J725,Ottone!$A:$A,0)-1,MATCH(L725,Ottone!$A$1:$Z$1,0)-1)=TRUE),0,OFFSET(Ottone!$A$1,MATCH(J725,Ottone!$A:$A,0)-1,MATCH(L725,Ottone!$A$1:$Z$1,0)-1))*IF(G725="Ottone",1,0)</f>
        <v>0</v>
      </c>
      <c r="O725" s="205">
        <f ca="1">IF(ISERROR(OFFSET(Rame!$A$1,MATCH(J725,Rame!$A:$A,0)-1,MATCH(L725,Rame!$A$1:$AA$1,0)-1)=TRUE),0,OFFSET(Rame!$A$1,MATCH(J725,Rame!$A:$A,0)-1,MATCH(L725,Rame!$A$1:$AA$1,0)-1))*IF(G725="Rame",1,0)</f>
        <v>0</v>
      </c>
      <c r="P725" s="205">
        <v>0</v>
      </c>
      <c r="Q725" s="205">
        <f t="shared" ca="1" si="251"/>
        <v>0</v>
      </c>
      <c r="R725" s="205">
        <f ca="1">+IF(ISERROR(OFFSET(Tabella!$G$1,MATCH(J725,Tabella!$G:$G,0)-1,MATCH(K725,Tabella!$G$1:$FG$1,0)-1)=TRUE),0,OFFSET(Tabella!$G$1,MATCH(J725,Tabella!$G:$G,0)-1,MATCH(K725,Tabella!$G$1:$AB$1,0)-1))</f>
        <v>0</v>
      </c>
      <c r="S725" s="205">
        <f ca="1">IF(ISERROR(OFFSET(Ottone!$F$1,MATCH(J725,Ottone!$A:$A,0)-1,MATCH(K725,Ottone!$F$1:$FF$1,0)-1)=TRUE),0,OFFSET(Ottone!$F$1,MATCH(J725,Ottone!$A:$A,0)-1,MATCH(K725,Ottone!$F$1:$FF$1,0)-1))*IF(G725="Ottone",1,0)</f>
        <v>0</v>
      </c>
      <c r="T725" s="205">
        <f ca="1">IF(ISERROR(OFFSET(Rame!$F$1,MATCH(J725,Rame!$F:$F,0)-1,MATCH(K725,Rame!$F$1:$FF$1,0)-1)=TRUE),0,OFFSET(Rame!$F$1,MATCH(J725,Rame!$F:$F,0)-1,MATCH(K725,Rame!$F$1:$FF$1,0)-1))*IF(G725="Rame",1,0)</f>
        <v>0</v>
      </c>
      <c r="U725" s="205">
        <f ca="1">IF(ISERROR(OFFSET(Bronzo!$A$1,MATCH(J725,Bronzo!$A:$A,0)-1,MATCH(K725,Bronzo!$A$1:$AA$1,0)-1)=TRUE),0,OFFSET(Bronzo!$A$1,MATCH(J725,Bronzo!$A:$A,0)-1,MATCH(K725,Bronzo!$A$1:$AA$1,0)-1))</f>
        <v>0</v>
      </c>
      <c r="V725" s="205">
        <f t="shared" ca="1" si="252"/>
        <v>0</v>
      </c>
      <c r="W725" s="204"/>
      <c r="X725" s="205">
        <v>0</v>
      </c>
      <c r="Y725" s="206">
        <f t="shared" ca="1" si="253"/>
        <v>0</v>
      </c>
      <c r="Z725" s="277">
        <f t="shared" si="254"/>
        <v>0</v>
      </c>
      <c r="AA725" s="203"/>
      <c r="AB725" s="203">
        <f t="shared" ca="1" si="255"/>
        <v>0</v>
      </c>
      <c r="AC725" s="238"/>
      <c r="AI725" s="367">
        <f t="shared" ca="1" si="250"/>
        <v>46092</v>
      </c>
      <c r="AJ725" s="367" t="b">
        <f t="shared" si="242"/>
        <v>1</v>
      </c>
      <c r="AK725" s="370" t="str">
        <f t="shared" si="243"/>
        <v/>
      </c>
      <c r="AN725">
        <f t="shared" si="244"/>
        <v>0</v>
      </c>
      <c r="AO725">
        <f t="shared" si="245"/>
        <v>1900</v>
      </c>
      <c r="AV725">
        <f t="shared" si="248"/>
        <v>0</v>
      </c>
      <c r="AW725">
        <f t="shared" si="249"/>
        <v>0</v>
      </c>
    </row>
    <row r="726" spans="4:49" ht="15.75" x14ac:dyDescent="0.25">
      <c r="D726" s="199"/>
      <c r="E726" s="200"/>
      <c r="F726" s="287"/>
      <c r="G726" s="201"/>
      <c r="H726" s="219"/>
      <c r="I726" s="202"/>
      <c r="J726" s="200"/>
      <c r="K726" s="200"/>
      <c r="L726" s="203"/>
      <c r="M726" s="204">
        <f ca="1">IF(ISERROR(OFFSET(Tabella!$A$1,MATCH(J726,Tabella!$A:$A,0)-1,MATCH(L726,Tabella!$A$1:$AC$1,0)-1)=TRUE),0,+OFFSET(Tabella!$A$1,MATCH(J726,Tabella!$A:$A,0)-1,MATCH(L726,Tabella!$A$1:$AC$1,0)-1))</f>
        <v>0</v>
      </c>
      <c r="N726" s="205">
        <f ca="1">IF(ISERROR(OFFSET(Ottone!$A$1,MATCH(J726,Ottone!$A:$A,0)-1,MATCH(L726,Ottone!$A$1:$Z$1,0)-1)=TRUE),0,OFFSET(Ottone!$A$1,MATCH(J726,Ottone!$A:$A,0)-1,MATCH(L726,Ottone!$A$1:$Z$1,0)-1))*IF(G726="Ottone",1,0)</f>
        <v>0</v>
      </c>
      <c r="O726" s="205">
        <f ca="1">IF(ISERROR(OFFSET(Rame!$A$1,MATCH(J726,Rame!$A:$A,0)-1,MATCH(L726,Rame!$A$1:$AA$1,0)-1)=TRUE),0,OFFSET(Rame!$A$1,MATCH(J726,Rame!$A:$A,0)-1,MATCH(L726,Rame!$A$1:$AA$1,0)-1))*IF(G726="Rame",1,0)</f>
        <v>0</v>
      </c>
      <c r="P726" s="205">
        <v>0</v>
      </c>
      <c r="Q726" s="205">
        <f t="shared" ca="1" si="251"/>
        <v>0</v>
      </c>
      <c r="R726" s="205">
        <f ca="1">+IF(ISERROR(OFFSET(Tabella!$G$1,MATCH(J726,Tabella!$G:$G,0)-1,MATCH(K726,Tabella!$G$1:$FG$1,0)-1)=TRUE),0,OFFSET(Tabella!$G$1,MATCH(J726,Tabella!$G:$G,0)-1,MATCH(K726,Tabella!$G$1:$AB$1,0)-1))</f>
        <v>0</v>
      </c>
      <c r="S726" s="205">
        <f ca="1">IF(ISERROR(OFFSET(Ottone!$F$1,MATCH(J726,Ottone!$A:$A,0)-1,MATCH(K726,Ottone!$F$1:$FF$1,0)-1)=TRUE),0,OFFSET(Ottone!$F$1,MATCH(J726,Ottone!$A:$A,0)-1,MATCH(K726,Ottone!$F$1:$FF$1,0)-1))*IF(G726="Ottone",1,0)</f>
        <v>0</v>
      </c>
      <c r="T726" s="205">
        <f ca="1">IF(ISERROR(OFFSET(Rame!$F$1,MATCH(J726,Rame!$F:$F,0)-1,MATCH(K726,Rame!$F$1:$FF$1,0)-1)=TRUE),0,OFFSET(Rame!$F$1,MATCH(J726,Rame!$F:$F,0)-1,MATCH(K726,Rame!$F$1:$FF$1,0)-1))*IF(G726="Rame",1,0)</f>
        <v>0</v>
      </c>
      <c r="U726" s="205">
        <f ca="1">IF(ISERROR(OFFSET(Bronzo!$A$1,MATCH(J726,Bronzo!$A:$A,0)-1,MATCH(K726,Bronzo!$A$1:$AA$1,0)-1)=TRUE),0,OFFSET(Bronzo!$A$1,MATCH(J726,Bronzo!$A:$A,0)-1,MATCH(K726,Bronzo!$A$1:$AA$1,0)-1))</f>
        <v>0</v>
      </c>
      <c r="V726" s="205">
        <f t="shared" ca="1" si="252"/>
        <v>0</v>
      </c>
      <c r="W726" s="204"/>
      <c r="X726" s="205">
        <v>0</v>
      </c>
      <c r="Y726" s="206">
        <f t="shared" ca="1" si="253"/>
        <v>0</v>
      </c>
      <c r="Z726" s="277">
        <f t="shared" si="254"/>
        <v>0</v>
      </c>
      <c r="AA726" s="203"/>
      <c r="AB726" s="203">
        <f t="shared" ca="1" si="255"/>
        <v>0</v>
      </c>
      <c r="AC726" s="238"/>
      <c r="AI726" s="367">
        <f t="shared" ca="1" si="250"/>
        <v>46092</v>
      </c>
      <c r="AJ726" s="367" t="b">
        <f t="shared" si="242"/>
        <v>1</v>
      </c>
      <c r="AK726" s="370" t="str">
        <f t="shared" si="243"/>
        <v/>
      </c>
      <c r="AN726">
        <f t="shared" si="244"/>
        <v>0</v>
      </c>
      <c r="AO726">
        <f t="shared" si="245"/>
        <v>1900</v>
      </c>
      <c r="AV726">
        <f t="shared" si="248"/>
        <v>0</v>
      </c>
      <c r="AW726">
        <f t="shared" si="249"/>
        <v>0</v>
      </c>
    </row>
    <row r="727" spans="4:49" ht="15.75" x14ac:dyDescent="0.25">
      <c r="D727" s="199"/>
      <c r="E727" s="200"/>
      <c r="F727" s="287"/>
      <c r="G727" s="201"/>
      <c r="H727" s="219"/>
      <c r="I727" s="202"/>
      <c r="J727" s="200"/>
      <c r="K727" s="200"/>
      <c r="L727" s="203"/>
      <c r="M727" s="204">
        <f ca="1">IF(ISERROR(OFFSET(Tabella!$A$1,MATCH(J727,Tabella!$A:$A,0)-1,MATCH(L727,Tabella!$A$1:$AC$1,0)-1)=TRUE),0,+OFFSET(Tabella!$A$1,MATCH(J727,Tabella!$A:$A,0)-1,MATCH(L727,Tabella!$A$1:$AC$1,0)-1))</f>
        <v>0</v>
      </c>
      <c r="N727" s="205">
        <f ca="1">IF(ISERROR(OFFSET(Ottone!$A$1,MATCH(J727,Ottone!$A:$A,0)-1,MATCH(L727,Ottone!$A$1:$Z$1,0)-1)=TRUE),0,OFFSET(Ottone!$A$1,MATCH(J727,Ottone!$A:$A,0)-1,MATCH(L727,Ottone!$A$1:$Z$1,0)-1))*IF(G727="Ottone",1,0)</f>
        <v>0</v>
      </c>
      <c r="O727" s="205">
        <f ca="1">IF(ISERROR(OFFSET(Rame!$A$1,MATCH(J727,Rame!$A:$A,0)-1,MATCH(L727,Rame!$A$1:$AA$1,0)-1)=TRUE),0,OFFSET(Rame!$A$1,MATCH(J727,Rame!$A:$A,0)-1,MATCH(L727,Rame!$A$1:$AA$1,0)-1))*IF(G727="Rame",1,0)</f>
        <v>0</v>
      </c>
      <c r="P727" s="205">
        <v>0</v>
      </c>
      <c r="Q727" s="205">
        <f t="shared" ca="1" si="251"/>
        <v>0</v>
      </c>
      <c r="R727" s="205">
        <f ca="1">+IF(ISERROR(OFFSET(Tabella!$G$1,MATCH(J727,Tabella!$G:$G,0)-1,MATCH(K727,Tabella!$G$1:$FG$1,0)-1)=TRUE),0,OFFSET(Tabella!$G$1,MATCH(J727,Tabella!$G:$G,0)-1,MATCH(K727,Tabella!$G$1:$AB$1,0)-1))</f>
        <v>0</v>
      </c>
      <c r="S727" s="205">
        <f ca="1">IF(ISERROR(OFFSET(Ottone!$F$1,MATCH(J727,Ottone!$A:$A,0)-1,MATCH(K727,Ottone!$F$1:$FF$1,0)-1)=TRUE),0,OFFSET(Ottone!$F$1,MATCH(J727,Ottone!$A:$A,0)-1,MATCH(K727,Ottone!$F$1:$FF$1,0)-1))*IF(G727="Ottone",1,0)</f>
        <v>0</v>
      </c>
      <c r="T727" s="205">
        <f ca="1">IF(ISERROR(OFFSET(Rame!$F$1,MATCH(J727,Rame!$F:$F,0)-1,MATCH(K727,Rame!$F$1:$FF$1,0)-1)=TRUE),0,OFFSET(Rame!$F$1,MATCH(J727,Rame!$F:$F,0)-1,MATCH(K727,Rame!$F$1:$FF$1,0)-1))*IF(G727="Rame",1,0)</f>
        <v>0</v>
      </c>
      <c r="U727" s="205">
        <f ca="1">IF(ISERROR(OFFSET(Bronzo!$A$1,MATCH(J727,Bronzo!$A:$A,0)-1,MATCH(K727,Bronzo!$A$1:$AA$1,0)-1)=TRUE),0,OFFSET(Bronzo!$A$1,MATCH(J727,Bronzo!$A:$A,0)-1,MATCH(K727,Bronzo!$A$1:$AA$1,0)-1))</f>
        <v>0</v>
      </c>
      <c r="V727" s="205">
        <f t="shared" ca="1" si="252"/>
        <v>0</v>
      </c>
      <c r="W727" s="204"/>
      <c r="X727" s="205">
        <v>0</v>
      </c>
      <c r="Y727" s="206">
        <f t="shared" ca="1" si="253"/>
        <v>0</v>
      </c>
      <c r="Z727" s="277">
        <f t="shared" si="254"/>
        <v>0</v>
      </c>
      <c r="AA727" s="203"/>
      <c r="AB727" s="203">
        <f t="shared" ca="1" si="255"/>
        <v>0</v>
      </c>
      <c r="AC727" s="238"/>
      <c r="AI727" s="367">
        <f t="shared" ca="1" si="250"/>
        <v>46092</v>
      </c>
      <c r="AJ727" s="367" t="b">
        <f t="shared" si="242"/>
        <v>1</v>
      </c>
      <c r="AK727" s="370" t="str">
        <f t="shared" si="243"/>
        <v/>
      </c>
      <c r="AN727">
        <f t="shared" si="244"/>
        <v>0</v>
      </c>
      <c r="AO727">
        <f t="shared" si="245"/>
        <v>1900</v>
      </c>
      <c r="AV727">
        <f t="shared" si="248"/>
        <v>0</v>
      </c>
      <c r="AW727">
        <f t="shared" si="249"/>
        <v>0</v>
      </c>
    </row>
    <row r="728" spans="4:49" ht="15.75" x14ac:dyDescent="0.25">
      <c r="D728" s="199"/>
      <c r="E728" s="200"/>
      <c r="F728" s="287"/>
      <c r="G728" s="201"/>
      <c r="H728" s="219"/>
      <c r="I728" s="202"/>
      <c r="J728" s="200"/>
      <c r="K728" s="200"/>
      <c r="L728" s="203"/>
      <c r="M728" s="204">
        <f ca="1">IF(ISERROR(OFFSET(Tabella!$A$1,MATCH(J728,Tabella!$A:$A,0)-1,MATCH(L728,Tabella!$A$1:$AC$1,0)-1)=TRUE),0,+OFFSET(Tabella!$A$1,MATCH(J728,Tabella!$A:$A,0)-1,MATCH(L728,Tabella!$A$1:$AC$1,0)-1))</f>
        <v>0</v>
      </c>
      <c r="N728" s="205">
        <f ca="1">IF(ISERROR(OFFSET(Ottone!$A$1,MATCH(J728,Ottone!$A:$A,0)-1,MATCH(L728,Ottone!$A$1:$Z$1,0)-1)=TRUE),0,OFFSET(Ottone!$A$1,MATCH(J728,Ottone!$A:$A,0)-1,MATCH(L728,Ottone!$A$1:$Z$1,0)-1))*IF(G728="Ottone",1,0)</f>
        <v>0</v>
      </c>
      <c r="O728" s="205">
        <f ca="1">IF(ISERROR(OFFSET(Rame!$A$1,MATCH(J728,Rame!$A:$A,0)-1,MATCH(L728,Rame!$A$1:$AA$1,0)-1)=TRUE),0,OFFSET(Rame!$A$1,MATCH(J728,Rame!$A:$A,0)-1,MATCH(L728,Rame!$A$1:$AA$1,0)-1))*IF(G728="Rame",1,0)</f>
        <v>0</v>
      </c>
      <c r="P728" s="205">
        <v>0</v>
      </c>
      <c r="Q728" s="205">
        <f t="shared" ca="1" si="251"/>
        <v>0</v>
      </c>
      <c r="R728" s="205">
        <f ca="1">+IF(ISERROR(OFFSET(Tabella!$G$1,MATCH(J728,Tabella!$G:$G,0)-1,MATCH(K728,Tabella!$G$1:$FG$1,0)-1)=TRUE),0,OFFSET(Tabella!$G$1,MATCH(J728,Tabella!$G:$G,0)-1,MATCH(K728,Tabella!$G$1:$AB$1,0)-1))</f>
        <v>0</v>
      </c>
      <c r="S728" s="205">
        <f ca="1">IF(ISERROR(OFFSET(Ottone!$F$1,MATCH(J728,Ottone!$A:$A,0)-1,MATCH(K728,Ottone!$F$1:$FF$1,0)-1)=TRUE),0,OFFSET(Ottone!$F$1,MATCH(J728,Ottone!$A:$A,0)-1,MATCH(K728,Ottone!$F$1:$FF$1,0)-1))*IF(G728="Ottone",1,0)</f>
        <v>0</v>
      </c>
      <c r="T728" s="205">
        <f ca="1">IF(ISERROR(OFFSET(Rame!$F$1,MATCH(J728,Rame!$F:$F,0)-1,MATCH(K728,Rame!$F$1:$FF$1,0)-1)=TRUE),0,OFFSET(Rame!$F$1,MATCH(J728,Rame!$F:$F,0)-1,MATCH(K728,Rame!$F$1:$FF$1,0)-1))*IF(G728="Rame",1,0)</f>
        <v>0</v>
      </c>
      <c r="U728" s="205">
        <f ca="1">IF(ISERROR(OFFSET(Bronzo!$A$1,MATCH(J728,Bronzo!$A:$A,0)-1,MATCH(K728,Bronzo!$A$1:$AA$1,0)-1)=TRUE),0,OFFSET(Bronzo!$A$1,MATCH(J728,Bronzo!$A:$A,0)-1,MATCH(K728,Bronzo!$A$1:$AA$1,0)-1))</f>
        <v>0</v>
      </c>
      <c r="V728" s="205">
        <f t="shared" ca="1" si="252"/>
        <v>0</v>
      </c>
      <c r="W728" s="204"/>
      <c r="X728" s="205">
        <v>0</v>
      </c>
      <c r="Y728" s="206">
        <f t="shared" ca="1" si="253"/>
        <v>0</v>
      </c>
      <c r="Z728" s="277">
        <f t="shared" si="254"/>
        <v>0</v>
      </c>
      <c r="AA728" s="203"/>
      <c r="AB728" s="203">
        <f t="shared" ca="1" si="255"/>
        <v>0</v>
      </c>
      <c r="AC728" s="238"/>
      <c r="AI728" s="367">
        <f t="shared" ca="1" si="250"/>
        <v>46092</v>
      </c>
      <c r="AJ728" s="367" t="b">
        <f t="shared" si="242"/>
        <v>1</v>
      </c>
      <c r="AK728" s="370" t="str">
        <f t="shared" si="243"/>
        <v/>
      </c>
      <c r="AN728">
        <f t="shared" si="244"/>
        <v>0</v>
      </c>
      <c r="AO728">
        <f t="shared" si="245"/>
        <v>1900</v>
      </c>
      <c r="AV728">
        <f t="shared" si="248"/>
        <v>0</v>
      </c>
      <c r="AW728">
        <f t="shared" si="249"/>
        <v>0</v>
      </c>
    </row>
    <row r="729" spans="4:49" ht="15.75" x14ac:dyDescent="0.25">
      <c r="D729" s="199"/>
      <c r="E729" s="200"/>
      <c r="F729" s="287"/>
      <c r="G729" s="201"/>
      <c r="H729" s="219"/>
      <c r="I729" s="202"/>
      <c r="J729" s="200"/>
      <c r="K729" s="200"/>
      <c r="L729" s="203"/>
      <c r="M729" s="204">
        <f ca="1">IF(ISERROR(OFFSET(Tabella!$A$1,MATCH(J729,Tabella!$A:$A,0)-1,MATCH(L729,Tabella!$A$1:$AC$1,0)-1)=TRUE),0,+OFFSET(Tabella!$A$1,MATCH(J729,Tabella!$A:$A,0)-1,MATCH(L729,Tabella!$A$1:$AC$1,0)-1))</f>
        <v>0</v>
      </c>
      <c r="N729" s="205">
        <f ca="1">IF(ISERROR(OFFSET(Ottone!$A$1,MATCH(J729,Ottone!$A:$A,0)-1,MATCH(L729,Ottone!$A$1:$Z$1,0)-1)=TRUE),0,OFFSET(Ottone!$A$1,MATCH(J729,Ottone!$A:$A,0)-1,MATCH(L729,Ottone!$A$1:$Z$1,0)-1))*IF(G729="Ottone",1,0)</f>
        <v>0</v>
      </c>
      <c r="O729" s="205">
        <f ca="1">IF(ISERROR(OFFSET(Rame!$A$1,MATCH(J729,Rame!$A:$A,0)-1,MATCH(L729,Rame!$A$1:$AA$1,0)-1)=TRUE),0,OFFSET(Rame!$A$1,MATCH(J729,Rame!$A:$A,0)-1,MATCH(L729,Rame!$A$1:$AA$1,0)-1))*IF(G729="Rame",1,0)</f>
        <v>0</v>
      </c>
      <c r="P729" s="205">
        <v>0</v>
      </c>
      <c r="Q729" s="205">
        <f t="shared" ca="1" si="251"/>
        <v>0</v>
      </c>
      <c r="R729" s="205">
        <f ca="1">+IF(ISERROR(OFFSET(Tabella!$G$1,MATCH(J729,Tabella!$G:$G,0)-1,MATCH(K729,Tabella!$G$1:$FG$1,0)-1)=TRUE),0,OFFSET(Tabella!$G$1,MATCH(J729,Tabella!$G:$G,0)-1,MATCH(K729,Tabella!$G$1:$AB$1,0)-1))</f>
        <v>0</v>
      </c>
      <c r="S729" s="205">
        <f ca="1">IF(ISERROR(OFFSET(Ottone!$F$1,MATCH(J729,Ottone!$A:$A,0)-1,MATCH(K729,Ottone!$F$1:$FF$1,0)-1)=TRUE),0,OFFSET(Ottone!$F$1,MATCH(J729,Ottone!$A:$A,0)-1,MATCH(K729,Ottone!$F$1:$FF$1,0)-1))*IF(G729="Ottone",1,0)</f>
        <v>0</v>
      </c>
      <c r="T729" s="205">
        <f ca="1">IF(ISERROR(OFFSET(Rame!$F$1,MATCH(J729,Rame!$F:$F,0)-1,MATCH(K729,Rame!$F$1:$FF$1,0)-1)=TRUE),0,OFFSET(Rame!$F$1,MATCH(J729,Rame!$F:$F,0)-1,MATCH(K729,Rame!$F$1:$FF$1,0)-1))*IF(G729="Rame",1,0)</f>
        <v>0</v>
      </c>
      <c r="U729" s="205">
        <f ca="1">IF(ISERROR(OFFSET(Bronzo!$A$1,MATCH(J729,Bronzo!$A:$A,0)-1,MATCH(K729,Bronzo!$A$1:$AA$1,0)-1)=TRUE),0,OFFSET(Bronzo!$A$1,MATCH(J729,Bronzo!$A:$A,0)-1,MATCH(K729,Bronzo!$A$1:$AA$1,0)-1))</f>
        <v>0</v>
      </c>
      <c r="V729" s="205">
        <f t="shared" ca="1" si="252"/>
        <v>0</v>
      </c>
      <c r="W729" s="204"/>
      <c r="X729" s="205">
        <v>0</v>
      </c>
      <c r="Y729" s="206">
        <f t="shared" ca="1" si="253"/>
        <v>0</v>
      </c>
      <c r="Z729" s="277">
        <f t="shared" si="254"/>
        <v>0</v>
      </c>
      <c r="AA729" s="203"/>
      <c r="AB729" s="203">
        <f t="shared" ca="1" si="255"/>
        <v>0</v>
      </c>
      <c r="AC729" s="238"/>
      <c r="AI729" s="367">
        <f t="shared" ca="1" si="250"/>
        <v>46092</v>
      </c>
      <c r="AJ729" s="367" t="b">
        <f t="shared" si="242"/>
        <v>1</v>
      </c>
      <c r="AK729" s="370" t="str">
        <f t="shared" si="243"/>
        <v/>
      </c>
      <c r="AN729">
        <f t="shared" si="244"/>
        <v>0</v>
      </c>
      <c r="AO729">
        <f t="shared" si="245"/>
        <v>1900</v>
      </c>
      <c r="AV729">
        <f t="shared" si="248"/>
        <v>0</v>
      </c>
      <c r="AW729">
        <f t="shared" si="249"/>
        <v>0</v>
      </c>
    </row>
    <row r="730" spans="4:49" ht="15.75" x14ac:dyDescent="0.25">
      <c r="D730" s="199"/>
      <c r="E730" s="200"/>
      <c r="F730" s="287"/>
      <c r="G730" s="201"/>
      <c r="H730" s="219"/>
      <c r="I730" s="202"/>
      <c r="J730" s="200"/>
      <c r="K730" s="200"/>
      <c r="L730" s="203"/>
      <c r="M730" s="204">
        <f ca="1">IF(ISERROR(OFFSET(Tabella!$A$1,MATCH(J730,Tabella!$A:$A,0)-1,MATCH(L730,Tabella!$A$1:$AC$1,0)-1)=TRUE),0,+OFFSET(Tabella!$A$1,MATCH(J730,Tabella!$A:$A,0)-1,MATCH(L730,Tabella!$A$1:$AC$1,0)-1))</f>
        <v>0</v>
      </c>
      <c r="N730" s="205">
        <f ca="1">IF(ISERROR(OFFSET(Ottone!$A$1,MATCH(J730,Ottone!$A:$A,0)-1,MATCH(L730,Ottone!$A$1:$Z$1,0)-1)=TRUE),0,OFFSET(Ottone!$A$1,MATCH(J730,Ottone!$A:$A,0)-1,MATCH(L730,Ottone!$A$1:$Z$1,0)-1))*IF(G730="Ottone",1,0)</f>
        <v>0</v>
      </c>
      <c r="O730" s="205">
        <f ca="1">IF(ISERROR(OFFSET(Rame!$A$1,MATCH(J730,Rame!$A:$A,0)-1,MATCH(L730,Rame!$A$1:$AA$1,0)-1)=TRUE),0,OFFSET(Rame!$A$1,MATCH(J730,Rame!$A:$A,0)-1,MATCH(L730,Rame!$A$1:$AA$1,0)-1))*IF(G730="Rame",1,0)</f>
        <v>0</v>
      </c>
      <c r="P730" s="205">
        <v>0</v>
      </c>
      <c r="Q730" s="205">
        <f t="shared" ca="1" si="251"/>
        <v>0</v>
      </c>
      <c r="R730" s="205">
        <f ca="1">+IF(ISERROR(OFFSET(Tabella!$G$1,MATCH(J730,Tabella!$G:$G,0)-1,MATCH(K730,Tabella!$G$1:$FG$1,0)-1)=TRUE),0,OFFSET(Tabella!$G$1,MATCH(J730,Tabella!$G:$G,0)-1,MATCH(K730,Tabella!$G$1:$AB$1,0)-1))</f>
        <v>0</v>
      </c>
      <c r="S730" s="205">
        <f ca="1">IF(ISERROR(OFFSET(Ottone!$F$1,MATCH(J730,Ottone!$A:$A,0)-1,MATCH(K730,Ottone!$F$1:$FF$1,0)-1)=TRUE),0,OFFSET(Ottone!$F$1,MATCH(J730,Ottone!$A:$A,0)-1,MATCH(K730,Ottone!$F$1:$FF$1,0)-1))*IF(G730="Ottone",1,0)</f>
        <v>0</v>
      </c>
      <c r="T730" s="205">
        <f ca="1">IF(ISERROR(OFFSET(Rame!$F$1,MATCH(J730,Rame!$F:$F,0)-1,MATCH(K730,Rame!$F$1:$FF$1,0)-1)=TRUE),0,OFFSET(Rame!$F$1,MATCH(J730,Rame!$F:$F,0)-1,MATCH(K730,Rame!$F$1:$FF$1,0)-1))*IF(G730="Rame",1,0)</f>
        <v>0</v>
      </c>
      <c r="U730" s="205">
        <f ca="1">IF(ISERROR(OFFSET(Bronzo!$A$1,MATCH(J730,Bronzo!$A:$A,0)-1,MATCH(K730,Bronzo!$A$1:$AA$1,0)-1)=TRUE),0,OFFSET(Bronzo!$A$1,MATCH(J730,Bronzo!$A:$A,0)-1,MATCH(K730,Bronzo!$A$1:$AA$1,0)-1))</f>
        <v>0</v>
      </c>
      <c r="V730" s="205">
        <f t="shared" ca="1" si="252"/>
        <v>0</v>
      </c>
      <c r="W730" s="204"/>
      <c r="X730" s="205">
        <v>0</v>
      </c>
      <c r="Y730" s="206">
        <f t="shared" ca="1" si="253"/>
        <v>0</v>
      </c>
      <c r="Z730" s="277">
        <f t="shared" si="254"/>
        <v>0</v>
      </c>
      <c r="AA730" s="203"/>
      <c r="AB730" s="203">
        <f t="shared" ca="1" si="255"/>
        <v>0</v>
      </c>
      <c r="AC730" s="238"/>
      <c r="AI730" s="367">
        <f t="shared" ca="1" si="250"/>
        <v>46092</v>
      </c>
      <c r="AJ730" s="367" t="b">
        <f t="shared" si="242"/>
        <v>1</v>
      </c>
      <c r="AK730" s="370" t="str">
        <f t="shared" si="243"/>
        <v/>
      </c>
      <c r="AN730">
        <f t="shared" si="244"/>
        <v>0</v>
      </c>
      <c r="AO730">
        <f t="shared" si="245"/>
        <v>1900</v>
      </c>
      <c r="AV730">
        <f t="shared" si="248"/>
        <v>0</v>
      </c>
      <c r="AW730">
        <f t="shared" si="249"/>
        <v>0</v>
      </c>
    </row>
    <row r="731" spans="4:49" ht="15.75" x14ac:dyDescent="0.25">
      <c r="D731" s="199"/>
      <c r="E731" s="200"/>
      <c r="F731" s="287"/>
      <c r="G731" s="201"/>
      <c r="H731" s="219"/>
      <c r="I731" s="202"/>
      <c r="J731" s="200"/>
      <c r="K731" s="200"/>
      <c r="L731" s="203"/>
      <c r="M731" s="204">
        <f ca="1">IF(ISERROR(OFFSET(Tabella!$A$1,MATCH(J731,Tabella!$A:$A,0)-1,MATCH(L731,Tabella!$A$1:$AC$1,0)-1)=TRUE),0,+OFFSET(Tabella!$A$1,MATCH(J731,Tabella!$A:$A,0)-1,MATCH(L731,Tabella!$A$1:$AC$1,0)-1))</f>
        <v>0</v>
      </c>
      <c r="N731" s="205">
        <f ca="1">IF(ISERROR(OFFSET(Ottone!$A$1,MATCH(J731,Ottone!$A:$A,0)-1,MATCH(L731,Ottone!$A$1:$Z$1,0)-1)=TRUE),0,OFFSET(Ottone!$A$1,MATCH(J731,Ottone!$A:$A,0)-1,MATCH(L731,Ottone!$A$1:$Z$1,0)-1))*IF(G731="Ottone",1,0)</f>
        <v>0</v>
      </c>
      <c r="O731" s="205">
        <f ca="1">IF(ISERROR(OFFSET(Rame!$A$1,MATCH(J731,Rame!$A:$A,0)-1,MATCH(L731,Rame!$A$1:$AA$1,0)-1)=TRUE),0,OFFSET(Rame!$A$1,MATCH(J731,Rame!$A:$A,0)-1,MATCH(L731,Rame!$A$1:$AA$1,0)-1))*IF(G731="Rame",1,0)</f>
        <v>0</v>
      </c>
      <c r="P731" s="205">
        <v>0</v>
      </c>
      <c r="Q731" s="205">
        <f t="shared" ca="1" si="251"/>
        <v>0</v>
      </c>
      <c r="R731" s="205">
        <f ca="1">+IF(ISERROR(OFFSET(Tabella!$G$1,MATCH(J731,Tabella!$G:$G,0)-1,MATCH(K731,Tabella!$G$1:$FG$1,0)-1)=TRUE),0,OFFSET(Tabella!$G$1,MATCH(J731,Tabella!$G:$G,0)-1,MATCH(K731,Tabella!$G$1:$AB$1,0)-1))</f>
        <v>0</v>
      </c>
      <c r="S731" s="205">
        <f ca="1">IF(ISERROR(OFFSET(Ottone!$F$1,MATCH(J731,Ottone!$A:$A,0)-1,MATCH(K731,Ottone!$F$1:$FF$1,0)-1)=TRUE),0,OFFSET(Ottone!$F$1,MATCH(J731,Ottone!$A:$A,0)-1,MATCH(K731,Ottone!$F$1:$FF$1,0)-1))*IF(G731="Ottone",1,0)</f>
        <v>0</v>
      </c>
      <c r="T731" s="205">
        <f ca="1">IF(ISERROR(OFFSET(Rame!$F$1,MATCH(J731,Rame!$F:$F,0)-1,MATCH(K731,Rame!$F$1:$FF$1,0)-1)=TRUE),0,OFFSET(Rame!$F$1,MATCH(J731,Rame!$F:$F,0)-1,MATCH(K731,Rame!$F$1:$FF$1,0)-1))*IF(G731="Rame",1,0)</f>
        <v>0</v>
      </c>
      <c r="U731" s="205">
        <f ca="1">IF(ISERROR(OFFSET(Bronzo!$A$1,MATCH(J731,Bronzo!$A:$A,0)-1,MATCH(K731,Bronzo!$A$1:$AA$1,0)-1)=TRUE),0,OFFSET(Bronzo!$A$1,MATCH(J731,Bronzo!$A:$A,0)-1,MATCH(K731,Bronzo!$A$1:$AA$1,0)-1))</f>
        <v>0</v>
      </c>
      <c r="V731" s="205">
        <f t="shared" ca="1" si="252"/>
        <v>0</v>
      </c>
      <c r="W731" s="204"/>
      <c r="X731" s="205">
        <v>0</v>
      </c>
      <c r="Y731" s="206">
        <f t="shared" ca="1" si="253"/>
        <v>0</v>
      </c>
      <c r="Z731" s="277">
        <f t="shared" si="254"/>
        <v>0</v>
      </c>
      <c r="AA731" s="203"/>
      <c r="AB731" s="203">
        <f t="shared" ca="1" si="255"/>
        <v>0</v>
      </c>
      <c r="AC731" s="238"/>
      <c r="AI731" s="367">
        <f t="shared" ca="1" si="250"/>
        <v>46092</v>
      </c>
      <c r="AJ731" s="367" t="b">
        <f t="shared" si="242"/>
        <v>1</v>
      </c>
      <c r="AK731" s="370" t="str">
        <f t="shared" si="243"/>
        <v/>
      </c>
      <c r="AN731">
        <f t="shared" si="244"/>
        <v>0</v>
      </c>
      <c r="AO731">
        <f t="shared" si="245"/>
        <v>1900</v>
      </c>
      <c r="AV731">
        <f t="shared" si="248"/>
        <v>0</v>
      </c>
      <c r="AW731">
        <f t="shared" si="249"/>
        <v>0</v>
      </c>
    </row>
    <row r="732" spans="4:49" ht="15.75" x14ac:dyDescent="0.25">
      <c r="D732" s="199"/>
      <c r="E732" s="200"/>
      <c r="F732" s="287"/>
      <c r="G732" s="201"/>
      <c r="H732" s="219"/>
      <c r="I732" s="202"/>
      <c r="J732" s="200"/>
      <c r="K732" s="200"/>
      <c r="L732" s="203"/>
      <c r="M732" s="204">
        <f ca="1">IF(ISERROR(OFFSET(Tabella!$A$1,MATCH(J732,Tabella!$A:$A,0)-1,MATCH(L732,Tabella!$A$1:$AC$1,0)-1)=TRUE),0,+OFFSET(Tabella!$A$1,MATCH(J732,Tabella!$A:$A,0)-1,MATCH(L732,Tabella!$A$1:$AC$1,0)-1))</f>
        <v>0</v>
      </c>
      <c r="N732" s="205">
        <f ca="1">IF(ISERROR(OFFSET(Ottone!$A$1,MATCH(J732,Ottone!$A:$A,0)-1,MATCH(L732,Ottone!$A$1:$Z$1,0)-1)=TRUE),0,OFFSET(Ottone!$A$1,MATCH(J732,Ottone!$A:$A,0)-1,MATCH(L732,Ottone!$A$1:$Z$1,0)-1))*IF(G732="Ottone",1,0)</f>
        <v>0</v>
      </c>
      <c r="O732" s="205">
        <f ca="1">IF(ISERROR(OFFSET(Rame!$A$1,MATCH(J732,Rame!$A:$A,0)-1,MATCH(L732,Rame!$A$1:$AA$1,0)-1)=TRUE),0,OFFSET(Rame!$A$1,MATCH(J732,Rame!$A:$A,0)-1,MATCH(L732,Rame!$A$1:$AA$1,0)-1))*IF(G732="Rame",1,0)</f>
        <v>0</v>
      </c>
      <c r="P732" s="205">
        <v>0</v>
      </c>
      <c r="Q732" s="205">
        <f t="shared" ca="1" si="251"/>
        <v>0</v>
      </c>
      <c r="R732" s="205">
        <f ca="1">+IF(ISERROR(OFFSET(Tabella!$G$1,MATCH(J732,Tabella!$G:$G,0)-1,MATCH(K732,Tabella!$G$1:$FG$1,0)-1)=TRUE),0,OFFSET(Tabella!$G$1,MATCH(J732,Tabella!$G:$G,0)-1,MATCH(K732,Tabella!$G$1:$AB$1,0)-1))</f>
        <v>0</v>
      </c>
      <c r="S732" s="205">
        <f ca="1">IF(ISERROR(OFFSET(Ottone!$F$1,MATCH(J732,Ottone!$A:$A,0)-1,MATCH(K732,Ottone!$F$1:$FF$1,0)-1)=TRUE),0,OFFSET(Ottone!$F$1,MATCH(J732,Ottone!$A:$A,0)-1,MATCH(K732,Ottone!$F$1:$FF$1,0)-1))*IF(G732="Ottone",1,0)</f>
        <v>0</v>
      </c>
      <c r="T732" s="205">
        <f ca="1">IF(ISERROR(OFFSET(Rame!$F$1,MATCH(J732,Rame!$F:$F,0)-1,MATCH(K732,Rame!$F$1:$FF$1,0)-1)=TRUE),0,OFFSET(Rame!$F$1,MATCH(J732,Rame!$F:$F,0)-1,MATCH(K732,Rame!$F$1:$FF$1,0)-1))*IF(G732="Rame",1,0)</f>
        <v>0</v>
      </c>
      <c r="U732" s="205">
        <f ca="1">IF(ISERROR(OFFSET(Bronzo!$A$1,MATCH(J732,Bronzo!$A:$A,0)-1,MATCH(K732,Bronzo!$A$1:$AA$1,0)-1)=TRUE),0,OFFSET(Bronzo!$A$1,MATCH(J732,Bronzo!$A:$A,0)-1,MATCH(K732,Bronzo!$A$1:$AA$1,0)-1))</f>
        <v>0</v>
      </c>
      <c r="V732" s="205">
        <f t="shared" ca="1" si="252"/>
        <v>0</v>
      </c>
      <c r="W732" s="204"/>
      <c r="X732" s="205">
        <v>0</v>
      </c>
      <c r="Y732" s="206">
        <f t="shared" ca="1" si="253"/>
        <v>0</v>
      </c>
      <c r="Z732" s="277">
        <f t="shared" si="254"/>
        <v>0</v>
      </c>
      <c r="AA732" s="203"/>
      <c r="AB732" s="203">
        <f t="shared" ca="1" si="255"/>
        <v>0</v>
      </c>
      <c r="AC732" s="238"/>
      <c r="AI732" s="367">
        <f t="shared" ca="1" si="250"/>
        <v>46092</v>
      </c>
      <c r="AJ732" s="367" t="b">
        <f t="shared" si="242"/>
        <v>1</v>
      </c>
      <c r="AK732" s="370" t="str">
        <f t="shared" si="243"/>
        <v/>
      </c>
      <c r="AN732">
        <f t="shared" si="244"/>
        <v>0</v>
      </c>
      <c r="AO732">
        <f t="shared" si="245"/>
        <v>1900</v>
      </c>
      <c r="AV732">
        <f t="shared" si="248"/>
        <v>0</v>
      </c>
      <c r="AW732">
        <f t="shared" si="249"/>
        <v>0</v>
      </c>
    </row>
    <row r="733" spans="4:49" ht="15.75" x14ac:dyDescent="0.25">
      <c r="D733" s="199"/>
      <c r="E733" s="200"/>
      <c r="F733" s="287"/>
      <c r="G733" s="201"/>
      <c r="H733" s="219"/>
      <c r="I733" s="202"/>
      <c r="J733" s="200"/>
      <c r="K733" s="200"/>
      <c r="L733" s="203"/>
      <c r="M733" s="204">
        <f ca="1">IF(ISERROR(OFFSET(Tabella!$A$1,MATCH(J733,Tabella!$A:$A,0)-1,MATCH(L733,Tabella!$A$1:$AC$1,0)-1)=TRUE),0,+OFFSET(Tabella!$A$1,MATCH(J733,Tabella!$A:$A,0)-1,MATCH(L733,Tabella!$A$1:$AC$1,0)-1))</f>
        <v>0</v>
      </c>
      <c r="N733" s="205">
        <f ca="1">IF(ISERROR(OFFSET(Ottone!$A$1,MATCH(J733,Ottone!$A:$A,0)-1,MATCH(L733,Ottone!$A$1:$Z$1,0)-1)=TRUE),0,OFFSET(Ottone!$A$1,MATCH(J733,Ottone!$A:$A,0)-1,MATCH(L733,Ottone!$A$1:$Z$1,0)-1))*IF(G733="Ottone",1,0)</f>
        <v>0</v>
      </c>
      <c r="O733" s="205">
        <f ca="1">IF(ISERROR(OFFSET(Rame!$A$1,MATCH(J733,Rame!$A:$A,0)-1,MATCH(L733,Rame!$A$1:$AA$1,0)-1)=TRUE),0,OFFSET(Rame!$A$1,MATCH(J733,Rame!$A:$A,0)-1,MATCH(L733,Rame!$A$1:$AA$1,0)-1))*IF(G733="Rame",1,0)</f>
        <v>0</v>
      </c>
      <c r="P733" s="205">
        <v>0</v>
      </c>
      <c r="Q733" s="205">
        <f t="shared" ca="1" si="251"/>
        <v>0</v>
      </c>
      <c r="R733" s="205">
        <f ca="1">+IF(ISERROR(OFFSET(Tabella!$G$1,MATCH(J733,Tabella!$G:$G,0)-1,MATCH(K733,Tabella!$G$1:$FG$1,0)-1)=TRUE),0,OFFSET(Tabella!$G$1,MATCH(J733,Tabella!$G:$G,0)-1,MATCH(K733,Tabella!$G$1:$AB$1,0)-1))</f>
        <v>0</v>
      </c>
      <c r="S733" s="205">
        <f ca="1">IF(ISERROR(OFFSET(Ottone!$F$1,MATCH(J733,Ottone!$A:$A,0)-1,MATCH(K733,Ottone!$F$1:$FF$1,0)-1)=TRUE),0,OFFSET(Ottone!$F$1,MATCH(J733,Ottone!$A:$A,0)-1,MATCH(K733,Ottone!$F$1:$FF$1,0)-1))*IF(G733="Ottone",1,0)</f>
        <v>0</v>
      </c>
      <c r="T733" s="205">
        <f ca="1">IF(ISERROR(OFFSET(Rame!$F$1,MATCH(J733,Rame!$F:$F,0)-1,MATCH(K733,Rame!$F$1:$FF$1,0)-1)=TRUE),0,OFFSET(Rame!$F$1,MATCH(J733,Rame!$F:$F,0)-1,MATCH(K733,Rame!$F$1:$FF$1,0)-1))*IF(G733="Rame",1,0)</f>
        <v>0</v>
      </c>
      <c r="U733" s="205">
        <f ca="1">IF(ISERROR(OFFSET(Bronzo!$A$1,MATCH(J733,Bronzo!$A:$A,0)-1,MATCH(K733,Bronzo!$A$1:$AA$1,0)-1)=TRUE),0,OFFSET(Bronzo!$A$1,MATCH(J733,Bronzo!$A:$A,0)-1,MATCH(K733,Bronzo!$A$1:$AA$1,0)-1))</f>
        <v>0</v>
      </c>
      <c r="V733" s="205">
        <f t="shared" ca="1" si="252"/>
        <v>0</v>
      </c>
      <c r="W733" s="204"/>
      <c r="X733" s="205">
        <v>0</v>
      </c>
      <c r="Y733" s="206">
        <f t="shared" ca="1" si="253"/>
        <v>0</v>
      </c>
      <c r="Z733" s="277">
        <f t="shared" si="254"/>
        <v>0</v>
      </c>
      <c r="AA733" s="203"/>
      <c r="AB733" s="203">
        <f t="shared" ca="1" si="255"/>
        <v>0</v>
      </c>
      <c r="AC733" s="238"/>
      <c r="AI733" s="367">
        <f t="shared" ca="1" si="250"/>
        <v>46092</v>
      </c>
      <c r="AJ733" s="367" t="b">
        <f t="shared" si="242"/>
        <v>1</v>
      </c>
      <c r="AK733" s="370" t="str">
        <f t="shared" si="243"/>
        <v/>
      </c>
      <c r="AN733">
        <f t="shared" si="244"/>
        <v>0</v>
      </c>
      <c r="AO733">
        <f t="shared" si="245"/>
        <v>1900</v>
      </c>
      <c r="AV733">
        <f t="shared" si="248"/>
        <v>0</v>
      </c>
      <c r="AW733">
        <f t="shared" si="249"/>
        <v>0</v>
      </c>
    </row>
    <row r="734" spans="4:49" ht="15.75" x14ac:dyDescent="0.25">
      <c r="D734" s="199"/>
      <c r="E734" s="200"/>
      <c r="F734" s="287"/>
      <c r="G734" s="201"/>
      <c r="H734" s="219"/>
      <c r="I734" s="202"/>
      <c r="J734" s="200"/>
      <c r="K734" s="200"/>
      <c r="L734" s="203"/>
      <c r="M734" s="204">
        <f ca="1">IF(ISERROR(OFFSET(Tabella!$A$1,MATCH(J734,Tabella!$A:$A,0)-1,MATCH(L734,Tabella!$A$1:$AC$1,0)-1)=TRUE),0,+OFFSET(Tabella!$A$1,MATCH(J734,Tabella!$A:$A,0)-1,MATCH(L734,Tabella!$A$1:$AC$1,0)-1))</f>
        <v>0</v>
      </c>
      <c r="N734" s="205">
        <f ca="1">IF(ISERROR(OFFSET(Ottone!$A$1,MATCH(J734,Ottone!$A:$A,0)-1,MATCH(L734,Ottone!$A$1:$Z$1,0)-1)=TRUE),0,OFFSET(Ottone!$A$1,MATCH(J734,Ottone!$A:$A,0)-1,MATCH(L734,Ottone!$A$1:$Z$1,0)-1))*IF(G734="Ottone",1,0)</f>
        <v>0</v>
      </c>
      <c r="O734" s="205">
        <f ca="1">IF(ISERROR(OFFSET(Rame!$A$1,MATCH(J734,Rame!$A:$A,0)-1,MATCH(L734,Rame!$A$1:$AA$1,0)-1)=TRUE),0,OFFSET(Rame!$A$1,MATCH(J734,Rame!$A:$A,0)-1,MATCH(L734,Rame!$A$1:$AA$1,0)-1))*IF(G734="Rame",1,0)</f>
        <v>0</v>
      </c>
      <c r="P734" s="205">
        <v>0</v>
      </c>
      <c r="Q734" s="205">
        <f t="shared" ca="1" si="251"/>
        <v>0</v>
      </c>
      <c r="R734" s="205">
        <f ca="1">+IF(ISERROR(OFFSET(Tabella!$G$1,MATCH(J734,Tabella!$G:$G,0)-1,MATCH(K734,Tabella!$G$1:$FG$1,0)-1)=TRUE),0,OFFSET(Tabella!$G$1,MATCH(J734,Tabella!$G:$G,0)-1,MATCH(K734,Tabella!$G$1:$AB$1,0)-1))</f>
        <v>0</v>
      </c>
      <c r="S734" s="205">
        <f ca="1">IF(ISERROR(OFFSET(Ottone!$F$1,MATCH(J734,Ottone!$A:$A,0)-1,MATCH(K734,Ottone!$F$1:$FF$1,0)-1)=TRUE),0,OFFSET(Ottone!$F$1,MATCH(J734,Ottone!$A:$A,0)-1,MATCH(K734,Ottone!$F$1:$FF$1,0)-1))*IF(G734="Ottone",1,0)</f>
        <v>0</v>
      </c>
      <c r="T734" s="205">
        <f ca="1">IF(ISERROR(OFFSET(Rame!$F$1,MATCH(J734,Rame!$F:$F,0)-1,MATCH(K734,Rame!$F$1:$FF$1,0)-1)=TRUE),0,OFFSET(Rame!$F$1,MATCH(J734,Rame!$F:$F,0)-1,MATCH(K734,Rame!$F$1:$FF$1,0)-1))*IF(G734="Rame",1,0)</f>
        <v>0</v>
      </c>
      <c r="U734" s="205">
        <f ca="1">IF(ISERROR(OFFSET(Bronzo!$A$1,MATCH(J734,Bronzo!$A:$A,0)-1,MATCH(K734,Bronzo!$A$1:$AA$1,0)-1)=TRUE),0,OFFSET(Bronzo!$A$1,MATCH(J734,Bronzo!$A:$A,0)-1,MATCH(K734,Bronzo!$A$1:$AA$1,0)-1))</f>
        <v>0</v>
      </c>
      <c r="V734" s="205">
        <f t="shared" ca="1" si="252"/>
        <v>0</v>
      </c>
      <c r="W734" s="204"/>
      <c r="X734" s="205">
        <v>0</v>
      </c>
      <c r="Y734" s="206">
        <f t="shared" ca="1" si="253"/>
        <v>0</v>
      </c>
      <c r="Z734" s="277">
        <f t="shared" si="254"/>
        <v>0</v>
      </c>
      <c r="AA734" s="203"/>
      <c r="AB734" s="203">
        <f t="shared" ca="1" si="255"/>
        <v>0</v>
      </c>
      <c r="AC734" s="238"/>
      <c r="AI734" s="367">
        <f t="shared" ca="1" si="250"/>
        <v>46092</v>
      </c>
      <c r="AJ734" s="367" t="b">
        <f t="shared" si="242"/>
        <v>1</v>
      </c>
      <c r="AK734" s="370" t="str">
        <f t="shared" si="243"/>
        <v/>
      </c>
      <c r="AN734">
        <f t="shared" si="244"/>
        <v>0</v>
      </c>
      <c r="AO734">
        <f t="shared" si="245"/>
        <v>1900</v>
      </c>
      <c r="AV734">
        <f t="shared" si="248"/>
        <v>0</v>
      </c>
      <c r="AW734">
        <f t="shared" si="249"/>
        <v>0</v>
      </c>
    </row>
    <row r="735" spans="4:49" ht="15.75" x14ac:dyDescent="0.25">
      <c r="D735" s="199"/>
      <c r="E735" s="200"/>
      <c r="F735" s="287"/>
      <c r="G735" s="201"/>
      <c r="H735" s="219"/>
      <c r="I735" s="202"/>
      <c r="J735" s="200"/>
      <c r="K735" s="200"/>
      <c r="L735" s="203"/>
      <c r="M735" s="204">
        <f ca="1">IF(ISERROR(OFFSET(Tabella!$A$1,MATCH(J735,Tabella!$A:$A,0)-1,MATCH(L735,Tabella!$A$1:$AC$1,0)-1)=TRUE),0,+OFFSET(Tabella!$A$1,MATCH(J735,Tabella!$A:$A,0)-1,MATCH(L735,Tabella!$A$1:$AC$1,0)-1))</f>
        <v>0</v>
      </c>
      <c r="N735" s="205">
        <f ca="1">IF(ISERROR(OFFSET(Ottone!$A$1,MATCH(J735,Ottone!$A:$A,0)-1,MATCH(L735,Ottone!$A$1:$Z$1,0)-1)=TRUE),0,OFFSET(Ottone!$A$1,MATCH(J735,Ottone!$A:$A,0)-1,MATCH(L735,Ottone!$A$1:$Z$1,0)-1))*IF(G735="Ottone",1,0)</f>
        <v>0</v>
      </c>
      <c r="O735" s="205">
        <f ca="1">IF(ISERROR(OFFSET(Rame!$A$1,MATCH(J735,Rame!$A:$A,0)-1,MATCH(L735,Rame!$A$1:$AA$1,0)-1)=TRUE),0,OFFSET(Rame!$A$1,MATCH(J735,Rame!$A:$A,0)-1,MATCH(L735,Rame!$A$1:$AA$1,0)-1))*IF(G735="Rame",1,0)</f>
        <v>0</v>
      </c>
      <c r="P735" s="205">
        <v>0</v>
      </c>
      <c r="Q735" s="205">
        <f t="shared" ca="1" si="251"/>
        <v>0</v>
      </c>
      <c r="R735" s="205">
        <f ca="1">+IF(ISERROR(OFFSET(Tabella!$G$1,MATCH(J735,Tabella!$G:$G,0)-1,MATCH(K735,Tabella!$G$1:$FG$1,0)-1)=TRUE),0,OFFSET(Tabella!$G$1,MATCH(J735,Tabella!$G:$G,0)-1,MATCH(K735,Tabella!$G$1:$AB$1,0)-1))</f>
        <v>0</v>
      </c>
      <c r="S735" s="205">
        <f ca="1">IF(ISERROR(OFFSET(Ottone!$F$1,MATCH(J735,Ottone!$A:$A,0)-1,MATCH(K735,Ottone!$F$1:$FF$1,0)-1)=TRUE),0,OFFSET(Ottone!$F$1,MATCH(J735,Ottone!$A:$A,0)-1,MATCH(K735,Ottone!$F$1:$FF$1,0)-1))*IF(G735="Ottone",1,0)</f>
        <v>0</v>
      </c>
      <c r="T735" s="205">
        <f ca="1">IF(ISERROR(OFFSET(Rame!$F$1,MATCH(J735,Rame!$F:$F,0)-1,MATCH(K735,Rame!$F$1:$FF$1,0)-1)=TRUE),0,OFFSET(Rame!$F$1,MATCH(J735,Rame!$F:$F,0)-1,MATCH(K735,Rame!$F$1:$FF$1,0)-1))*IF(G735="Rame",1,0)</f>
        <v>0</v>
      </c>
      <c r="U735" s="205">
        <f ca="1">IF(ISERROR(OFFSET(Bronzo!$A$1,MATCH(J735,Bronzo!$A:$A,0)-1,MATCH(K735,Bronzo!$A$1:$AA$1,0)-1)=TRUE),0,OFFSET(Bronzo!$A$1,MATCH(J735,Bronzo!$A:$A,0)-1,MATCH(K735,Bronzo!$A$1:$AA$1,0)-1))</f>
        <v>0</v>
      </c>
      <c r="V735" s="205">
        <f t="shared" ca="1" si="252"/>
        <v>0</v>
      </c>
      <c r="W735" s="204"/>
      <c r="X735" s="205">
        <v>0</v>
      </c>
      <c r="Y735" s="206">
        <f t="shared" ca="1" si="253"/>
        <v>0</v>
      </c>
      <c r="Z735" s="277">
        <f t="shared" si="254"/>
        <v>0</v>
      </c>
      <c r="AA735" s="203"/>
      <c r="AB735" s="203">
        <f t="shared" ca="1" si="255"/>
        <v>0</v>
      </c>
      <c r="AC735" s="238"/>
      <c r="AI735" s="367">
        <f t="shared" ca="1" si="250"/>
        <v>46092</v>
      </c>
      <c r="AJ735" s="367" t="b">
        <f t="shared" si="242"/>
        <v>1</v>
      </c>
      <c r="AK735" s="370" t="str">
        <f t="shared" si="243"/>
        <v/>
      </c>
      <c r="AN735">
        <f t="shared" si="244"/>
        <v>0</v>
      </c>
      <c r="AO735">
        <f t="shared" si="245"/>
        <v>1900</v>
      </c>
      <c r="AV735">
        <f t="shared" si="248"/>
        <v>0</v>
      </c>
      <c r="AW735">
        <f t="shared" si="249"/>
        <v>0</v>
      </c>
    </row>
    <row r="736" spans="4:49" ht="15.75" x14ac:dyDescent="0.25">
      <c r="D736" s="199"/>
      <c r="E736" s="200"/>
      <c r="F736" s="287"/>
      <c r="G736" s="201"/>
      <c r="H736" s="219"/>
      <c r="I736" s="202"/>
      <c r="J736" s="200"/>
      <c r="K736" s="200"/>
      <c r="L736" s="203"/>
      <c r="M736" s="204">
        <f ca="1">IF(ISERROR(OFFSET(Tabella!$A$1,MATCH(J736,Tabella!$A:$A,0)-1,MATCH(L736,Tabella!$A$1:$AC$1,0)-1)=TRUE),0,+OFFSET(Tabella!$A$1,MATCH(J736,Tabella!$A:$A,0)-1,MATCH(L736,Tabella!$A$1:$AC$1,0)-1))</f>
        <v>0</v>
      </c>
      <c r="N736" s="205">
        <f ca="1">IF(ISERROR(OFFSET(Ottone!$A$1,MATCH(J736,Ottone!$A:$A,0)-1,MATCH(L736,Ottone!$A$1:$Z$1,0)-1)=TRUE),0,OFFSET(Ottone!$A$1,MATCH(J736,Ottone!$A:$A,0)-1,MATCH(L736,Ottone!$A$1:$Z$1,0)-1))*IF(G736="Ottone",1,0)</f>
        <v>0</v>
      </c>
      <c r="O736" s="205">
        <f ca="1">IF(ISERROR(OFFSET(Rame!$A$1,MATCH(J736,Rame!$A:$A,0)-1,MATCH(L736,Rame!$A$1:$AA$1,0)-1)=TRUE),0,OFFSET(Rame!$A$1,MATCH(J736,Rame!$A:$A,0)-1,MATCH(L736,Rame!$A$1:$AA$1,0)-1))*IF(G736="Rame",1,0)</f>
        <v>0</v>
      </c>
      <c r="P736" s="205">
        <v>0</v>
      </c>
      <c r="Q736" s="205">
        <f t="shared" ca="1" si="251"/>
        <v>0</v>
      </c>
      <c r="R736" s="205">
        <f ca="1">+IF(ISERROR(OFFSET(Tabella!$G$1,MATCH(J736,Tabella!$G:$G,0)-1,MATCH(K736,Tabella!$G$1:$FG$1,0)-1)=TRUE),0,OFFSET(Tabella!$G$1,MATCH(J736,Tabella!$G:$G,0)-1,MATCH(K736,Tabella!$G$1:$AB$1,0)-1))</f>
        <v>0</v>
      </c>
      <c r="S736" s="205">
        <f ca="1">IF(ISERROR(OFFSET(Ottone!$F$1,MATCH(J736,Ottone!$A:$A,0)-1,MATCH(K736,Ottone!$F$1:$FF$1,0)-1)=TRUE),0,OFFSET(Ottone!$F$1,MATCH(J736,Ottone!$A:$A,0)-1,MATCH(K736,Ottone!$F$1:$FF$1,0)-1))*IF(G736="Ottone",1,0)</f>
        <v>0</v>
      </c>
      <c r="T736" s="205">
        <f ca="1">IF(ISERROR(OFFSET(Rame!$F$1,MATCH(J736,Rame!$F:$F,0)-1,MATCH(K736,Rame!$F$1:$FF$1,0)-1)=TRUE),0,OFFSET(Rame!$F$1,MATCH(J736,Rame!$F:$F,0)-1,MATCH(K736,Rame!$F$1:$FF$1,0)-1))*IF(G736="Rame",1,0)</f>
        <v>0</v>
      </c>
      <c r="U736" s="205">
        <f ca="1">IF(ISERROR(OFFSET(Bronzo!$A$1,MATCH(J736,Bronzo!$A:$A,0)-1,MATCH(K736,Bronzo!$A$1:$AA$1,0)-1)=TRUE),0,OFFSET(Bronzo!$A$1,MATCH(J736,Bronzo!$A:$A,0)-1,MATCH(K736,Bronzo!$A$1:$AA$1,0)-1))</f>
        <v>0</v>
      </c>
      <c r="V736" s="205">
        <f t="shared" ca="1" si="252"/>
        <v>0</v>
      </c>
      <c r="W736" s="204"/>
      <c r="X736" s="205">
        <v>0</v>
      </c>
      <c r="Y736" s="206">
        <f t="shared" ca="1" si="253"/>
        <v>0</v>
      </c>
      <c r="Z736" s="277">
        <f t="shared" si="254"/>
        <v>0</v>
      </c>
      <c r="AA736" s="203"/>
      <c r="AB736" s="203">
        <f t="shared" ca="1" si="255"/>
        <v>0</v>
      </c>
      <c r="AC736" s="238"/>
      <c r="AI736" s="367">
        <f t="shared" ca="1" si="250"/>
        <v>46092</v>
      </c>
      <c r="AJ736" s="367" t="b">
        <f t="shared" ref="AJ736:AJ799" si="256">ISBLANK(AC736)</f>
        <v>1</v>
      </c>
      <c r="AK736" s="370" t="str">
        <f t="shared" ref="AK736:AK799" si="257">IF(AJ736=FALSE,_xlfn.DAYS(AC736,AI736),"")</f>
        <v/>
      </c>
      <c r="AN736">
        <f t="shared" ref="AN736:AN799" si="258">WEEKNUM(AC736)</f>
        <v>0</v>
      </c>
      <c r="AO736">
        <f t="shared" ref="AO736:AO799" si="259">YEAR(AC736)</f>
        <v>1900</v>
      </c>
      <c r="AV736">
        <f t="shared" si="248"/>
        <v>0</v>
      </c>
      <c r="AW736">
        <f t="shared" si="249"/>
        <v>0</v>
      </c>
    </row>
    <row r="737" spans="4:49" ht="15.75" x14ac:dyDescent="0.25">
      <c r="D737" s="199"/>
      <c r="E737" s="200"/>
      <c r="F737" s="287"/>
      <c r="G737" s="201"/>
      <c r="H737" s="219"/>
      <c r="I737" s="202"/>
      <c r="J737" s="200"/>
      <c r="K737" s="200"/>
      <c r="L737" s="203"/>
      <c r="M737" s="204">
        <f ca="1">IF(ISERROR(OFFSET(Tabella!$A$1,MATCH(J737,Tabella!$A:$A,0)-1,MATCH(L737,Tabella!$A$1:$AC$1,0)-1)=TRUE),0,+OFFSET(Tabella!$A$1,MATCH(J737,Tabella!$A:$A,0)-1,MATCH(L737,Tabella!$A$1:$AC$1,0)-1))</f>
        <v>0</v>
      </c>
      <c r="N737" s="205">
        <f ca="1">IF(ISERROR(OFFSET(Ottone!$A$1,MATCH(J737,Ottone!$A:$A,0)-1,MATCH(L737,Ottone!$A$1:$Z$1,0)-1)=TRUE),0,OFFSET(Ottone!$A$1,MATCH(J737,Ottone!$A:$A,0)-1,MATCH(L737,Ottone!$A$1:$Z$1,0)-1))*IF(G737="Ottone",1,0)</f>
        <v>0</v>
      </c>
      <c r="O737" s="205">
        <f ca="1">IF(ISERROR(OFFSET(Rame!$A$1,MATCH(J737,Rame!$A:$A,0)-1,MATCH(L737,Rame!$A$1:$AA$1,0)-1)=TRUE),0,OFFSET(Rame!$A$1,MATCH(J737,Rame!$A:$A,0)-1,MATCH(L737,Rame!$A$1:$AA$1,0)-1))*IF(G737="Rame",1,0)</f>
        <v>0</v>
      </c>
      <c r="P737" s="205">
        <v>0</v>
      </c>
      <c r="Q737" s="205">
        <f t="shared" ca="1" si="251"/>
        <v>0</v>
      </c>
      <c r="R737" s="205">
        <f ca="1">+IF(ISERROR(OFFSET(Tabella!$G$1,MATCH(J737,Tabella!$G:$G,0)-1,MATCH(K737,Tabella!$G$1:$FG$1,0)-1)=TRUE),0,OFFSET(Tabella!$G$1,MATCH(J737,Tabella!$G:$G,0)-1,MATCH(K737,Tabella!$G$1:$AB$1,0)-1))</f>
        <v>0</v>
      </c>
      <c r="S737" s="205">
        <f ca="1">IF(ISERROR(OFFSET(Ottone!$F$1,MATCH(J737,Ottone!$A:$A,0)-1,MATCH(K737,Ottone!$F$1:$FF$1,0)-1)=TRUE),0,OFFSET(Ottone!$F$1,MATCH(J737,Ottone!$A:$A,0)-1,MATCH(K737,Ottone!$F$1:$FF$1,0)-1))*IF(G737="Ottone",1,0)</f>
        <v>0</v>
      </c>
      <c r="T737" s="205">
        <f ca="1">IF(ISERROR(OFFSET(Rame!$F$1,MATCH(J737,Rame!$F:$F,0)-1,MATCH(K737,Rame!$F$1:$FF$1,0)-1)=TRUE),0,OFFSET(Rame!$F$1,MATCH(J737,Rame!$F:$F,0)-1,MATCH(K737,Rame!$F$1:$FF$1,0)-1))*IF(G737="Rame",1,0)</f>
        <v>0</v>
      </c>
      <c r="U737" s="205">
        <f ca="1">IF(ISERROR(OFFSET(Bronzo!$A$1,MATCH(J737,Bronzo!$A:$A,0)-1,MATCH(K737,Bronzo!$A$1:$AA$1,0)-1)=TRUE),0,OFFSET(Bronzo!$A$1,MATCH(J737,Bronzo!$A:$A,0)-1,MATCH(K737,Bronzo!$A$1:$AA$1,0)-1))</f>
        <v>0</v>
      </c>
      <c r="V737" s="205">
        <f t="shared" ca="1" si="252"/>
        <v>0</v>
      </c>
      <c r="W737" s="204"/>
      <c r="X737" s="205">
        <v>0</v>
      </c>
      <c r="Y737" s="206">
        <f t="shared" ca="1" si="253"/>
        <v>0</v>
      </c>
      <c r="Z737" s="277">
        <f t="shared" si="254"/>
        <v>0</v>
      </c>
      <c r="AA737" s="203"/>
      <c r="AB737" s="203">
        <f t="shared" ca="1" si="255"/>
        <v>0</v>
      </c>
      <c r="AC737" s="238"/>
      <c r="AI737" s="367">
        <f t="shared" ca="1" si="250"/>
        <v>46092</v>
      </c>
      <c r="AJ737" s="367" t="b">
        <f t="shared" si="256"/>
        <v>1</v>
      </c>
      <c r="AK737" s="370" t="str">
        <f t="shared" si="257"/>
        <v/>
      </c>
      <c r="AN737">
        <f t="shared" si="258"/>
        <v>0</v>
      </c>
      <c r="AO737">
        <f t="shared" si="259"/>
        <v>1900</v>
      </c>
      <c r="AV737">
        <f t="shared" si="248"/>
        <v>0</v>
      </c>
      <c r="AW737">
        <f t="shared" si="249"/>
        <v>0</v>
      </c>
    </row>
    <row r="738" spans="4:49" ht="15.75" x14ac:dyDescent="0.25">
      <c r="D738" s="199"/>
      <c r="E738" s="200"/>
      <c r="F738" s="287"/>
      <c r="G738" s="201"/>
      <c r="H738" s="219"/>
      <c r="I738" s="202"/>
      <c r="J738" s="200"/>
      <c r="K738" s="200"/>
      <c r="L738" s="203"/>
      <c r="M738" s="204">
        <f ca="1">IF(ISERROR(OFFSET(Tabella!$A$1,MATCH(J738,Tabella!$A:$A,0)-1,MATCH(L738,Tabella!$A$1:$AC$1,0)-1)=TRUE),0,+OFFSET(Tabella!$A$1,MATCH(J738,Tabella!$A:$A,0)-1,MATCH(L738,Tabella!$A$1:$AC$1,0)-1))</f>
        <v>0</v>
      </c>
      <c r="N738" s="205">
        <f ca="1">IF(ISERROR(OFFSET(Ottone!$A$1,MATCH(J738,Ottone!$A:$A,0)-1,MATCH(L738,Ottone!$A$1:$Z$1,0)-1)=TRUE),0,OFFSET(Ottone!$A$1,MATCH(J738,Ottone!$A:$A,0)-1,MATCH(L738,Ottone!$A$1:$Z$1,0)-1))*IF(G738="Ottone",1,0)</f>
        <v>0</v>
      </c>
      <c r="O738" s="205">
        <f ca="1">IF(ISERROR(OFFSET(Rame!$A$1,MATCH(J738,Rame!$A:$A,0)-1,MATCH(L738,Rame!$A$1:$AA$1,0)-1)=TRUE),0,OFFSET(Rame!$A$1,MATCH(J738,Rame!$A:$A,0)-1,MATCH(L738,Rame!$A$1:$AA$1,0)-1))*IF(G738="Rame",1,0)</f>
        <v>0</v>
      </c>
      <c r="P738" s="205">
        <v>0</v>
      </c>
      <c r="Q738" s="205">
        <f t="shared" ca="1" si="251"/>
        <v>0</v>
      </c>
      <c r="R738" s="205">
        <f ca="1">+IF(ISERROR(OFFSET(Tabella!$G$1,MATCH(J738,Tabella!$G:$G,0)-1,MATCH(K738,Tabella!$G$1:$FG$1,0)-1)=TRUE),0,OFFSET(Tabella!$G$1,MATCH(J738,Tabella!$G:$G,0)-1,MATCH(K738,Tabella!$G$1:$AB$1,0)-1))</f>
        <v>0</v>
      </c>
      <c r="S738" s="205">
        <f ca="1">IF(ISERROR(OFFSET(Ottone!$F$1,MATCH(J738,Ottone!$A:$A,0)-1,MATCH(K738,Ottone!$F$1:$FF$1,0)-1)=TRUE),0,OFFSET(Ottone!$F$1,MATCH(J738,Ottone!$A:$A,0)-1,MATCH(K738,Ottone!$F$1:$FF$1,0)-1))*IF(G738="Ottone",1,0)</f>
        <v>0</v>
      </c>
      <c r="T738" s="205">
        <f ca="1">IF(ISERROR(OFFSET(Rame!$F$1,MATCH(J738,Rame!$F:$F,0)-1,MATCH(K738,Rame!$F$1:$FF$1,0)-1)=TRUE),0,OFFSET(Rame!$F$1,MATCH(J738,Rame!$F:$F,0)-1,MATCH(K738,Rame!$F$1:$FF$1,0)-1))*IF(G738="Rame",1,0)</f>
        <v>0</v>
      </c>
      <c r="U738" s="205">
        <f ca="1">IF(ISERROR(OFFSET(Bronzo!$A$1,MATCH(J738,Bronzo!$A:$A,0)-1,MATCH(K738,Bronzo!$A$1:$AA$1,0)-1)=TRUE),0,OFFSET(Bronzo!$A$1,MATCH(J738,Bronzo!$A:$A,0)-1,MATCH(K738,Bronzo!$A$1:$AA$1,0)-1))</f>
        <v>0</v>
      </c>
      <c r="V738" s="205">
        <f t="shared" ca="1" si="252"/>
        <v>0</v>
      </c>
      <c r="W738" s="204"/>
      <c r="X738" s="205">
        <v>0</v>
      </c>
      <c r="Y738" s="206">
        <f t="shared" ca="1" si="253"/>
        <v>0</v>
      </c>
      <c r="Z738" s="277">
        <f t="shared" si="254"/>
        <v>0</v>
      </c>
      <c r="AA738" s="203"/>
      <c r="AB738" s="203">
        <f t="shared" ca="1" si="255"/>
        <v>0</v>
      </c>
      <c r="AC738" s="238"/>
      <c r="AI738" s="367">
        <f t="shared" ca="1" si="250"/>
        <v>46092</v>
      </c>
      <c r="AJ738" s="367" t="b">
        <f t="shared" si="256"/>
        <v>1</v>
      </c>
      <c r="AK738" s="370" t="str">
        <f t="shared" si="257"/>
        <v/>
      </c>
      <c r="AN738">
        <f t="shared" si="258"/>
        <v>0</v>
      </c>
      <c r="AO738">
        <f t="shared" si="259"/>
        <v>1900</v>
      </c>
      <c r="AV738">
        <f t="shared" si="248"/>
        <v>0</v>
      </c>
      <c r="AW738">
        <f t="shared" si="249"/>
        <v>0</v>
      </c>
    </row>
    <row r="739" spans="4:49" ht="15.75" x14ac:dyDescent="0.25">
      <c r="D739" s="199"/>
      <c r="E739" s="200"/>
      <c r="F739" s="287"/>
      <c r="G739" s="201"/>
      <c r="H739" s="219"/>
      <c r="I739" s="202"/>
      <c r="J739" s="200"/>
      <c r="K739" s="200"/>
      <c r="L739" s="203"/>
      <c r="M739" s="204">
        <f ca="1">IF(ISERROR(OFFSET(Tabella!$A$1,MATCH(J739,Tabella!$A:$A,0)-1,MATCH(L739,Tabella!$A$1:$AC$1,0)-1)=TRUE),0,+OFFSET(Tabella!$A$1,MATCH(J739,Tabella!$A:$A,0)-1,MATCH(L739,Tabella!$A$1:$AC$1,0)-1))</f>
        <v>0</v>
      </c>
      <c r="N739" s="205">
        <f ca="1">IF(ISERROR(OFFSET(Ottone!$A$1,MATCH(J739,Ottone!$A:$A,0)-1,MATCH(L739,Ottone!$A$1:$Z$1,0)-1)=TRUE),0,OFFSET(Ottone!$A$1,MATCH(J739,Ottone!$A:$A,0)-1,MATCH(L739,Ottone!$A$1:$Z$1,0)-1))*IF(G739="Ottone",1,0)</f>
        <v>0</v>
      </c>
      <c r="O739" s="205">
        <f ca="1">IF(ISERROR(OFFSET(Rame!$A$1,MATCH(J739,Rame!$A:$A,0)-1,MATCH(L739,Rame!$A$1:$AA$1,0)-1)=TRUE),0,OFFSET(Rame!$A$1,MATCH(J739,Rame!$A:$A,0)-1,MATCH(L739,Rame!$A$1:$AA$1,0)-1))*IF(G739="Rame",1,0)</f>
        <v>0</v>
      </c>
      <c r="P739" s="205">
        <v>0</v>
      </c>
      <c r="Q739" s="205">
        <f t="shared" ca="1" si="251"/>
        <v>0</v>
      </c>
      <c r="R739" s="205">
        <f ca="1">+IF(ISERROR(OFFSET(Tabella!$G$1,MATCH(J739,Tabella!$G:$G,0)-1,MATCH(K739,Tabella!$G$1:$FG$1,0)-1)=TRUE),0,OFFSET(Tabella!$G$1,MATCH(J739,Tabella!$G:$G,0)-1,MATCH(K739,Tabella!$G$1:$AB$1,0)-1))</f>
        <v>0</v>
      </c>
      <c r="S739" s="205">
        <f ca="1">IF(ISERROR(OFFSET(Ottone!$F$1,MATCH(J739,Ottone!$A:$A,0)-1,MATCH(K739,Ottone!$F$1:$FF$1,0)-1)=TRUE),0,OFFSET(Ottone!$F$1,MATCH(J739,Ottone!$A:$A,0)-1,MATCH(K739,Ottone!$F$1:$FF$1,0)-1))*IF(G739="Ottone",1,0)</f>
        <v>0</v>
      </c>
      <c r="T739" s="205">
        <f ca="1">IF(ISERROR(OFFSET(Rame!$F$1,MATCH(J739,Rame!$F:$F,0)-1,MATCH(K739,Rame!$F$1:$FF$1,0)-1)=TRUE),0,OFFSET(Rame!$F$1,MATCH(J739,Rame!$F:$F,0)-1,MATCH(K739,Rame!$F$1:$FF$1,0)-1))*IF(G739="Rame",1,0)</f>
        <v>0</v>
      </c>
      <c r="U739" s="205">
        <f ca="1">IF(ISERROR(OFFSET(Bronzo!$A$1,MATCH(J739,Bronzo!$A:$A,0)-1,MATCH(K739,Bronzo!$A$1:$AA$1,0)-1)=TRUE),0,OFFSET(Bronzo!$A$1,MATCH(J739,Bronzo!$A:$A,0)-1,MATCH(K739,Bronzo!$A$1:$AA$1,0)-1))</f>
        <v>0</v>
      </c>
      <c r="V739" s="205">
        <f t="shared" ca="1" si="252"/>
        <v>0</v>
      </c>
      <c r="W739" s="204"/>
      <c r="X739" s="205">
        <v>0</v>
      </c>
      <c r="Y739" s="206">
        <f t="shared" ca="1" si="253"/>
        <v>0</v>
      </c>
      <c r="Z739" s="277">
        <f t="shared" si="254"/>
        <v>0</v>
      </c>
      <c r="AA739" s="203"/>
      <c r="AB739" s="203">
        <f t="shared" ca="1" si="255"/>
        <v>0</v>
      </c>
      <c r="AC739" s="238"/>
      <c r="AI739" s="367">
        <f t="shared" ca="1" si="250"/>
        <v>46092</v>
      </c>
      <c r="AJ739" s="367" t="b">
        <f t="shared" si="256"/>
        <v>1</v>
      </c>
      <c r="AK739" s="370" t="str">
        <f t="shared" si="257"/>
        <v/>
      </c>
      <c r="AN739">
        <f t="shared" si="258"/>
        <v>0</v>
      </c>
      <c r="AO739">
        <f t="shared" si="259"/>
        <v>1900</v>
      </c>
      <c r="AV739">
        <f t="shared" si="248"/>
        <v>0</v>
      </c>
      <c r="AW739">
        <f t="shared" si="249"/>
        <v>0</v>
      </c>
    </row>
    <row r="740" spans="4:49" ht="15.75" x14ac:dyDescent="0.25">
      <c r="D740" s="199"/>
      <c r="E740" s="200"/>
      <c r="F740" s="287"/>
      <c r="G740" s="201"/>
      <c r="H740" s="219"/>
      <c r="I740" s="202"/>
      <c r="J740" s="200"/>
      <c r="K740" s="200"/>
      <c r="L740" s="203"/>
      <c r="M740" s="204">
        <f ca="1">IF(ISERROR(OFFSET(Tabella!$A$1,MATCH(J740,Tabella!$A:$A,0)-1,MATCH(L740,Tabella!$A$1:$AC$1,0)-1)=TRUE),0,+OFFSET(Tabella!$A$1,MATCH(J740,Tabella!$A:$A,0)-1,MATCH(L740,Tabella!$A$1:$AC$1,0)-1))</f>
        <v>0</v>
      </c>
      <c r="N740" s="205">
        <f ca="1">IF(ISERROR(OFFSET(Ottone!$A$1,MATCH(J740,Ottone!$A:$A,0)-1,MATCH(L740,Ottone!$A$1:$Z$1,0)-1)=TRUE),0,OFFSET(Ottone!$A$1,MATCH(J740,Ottone!$A:$A,0)-1,MATCH(L740,Ottone!$A$1:$Z$1,0)-1))*IF(G740="Ottone",1,0)</f>
        <v>0</v>
      </c>
      <c r="O740" s="205">
        <f ca="1">IF(ISERROR(OFFSET(Rame!$A$1,MATCH(J740,Rame!$A:$A,0)-1,MATCH(L740,Rame!$A$1:$AA$1,0)-1)=TRUE),0,OFFSET(Rame!$A$1,MATCH(J740,Rame!$A:$A,0)-1,MATCH(L740,Rame!$A$1:$AA$1,0)-1))*IF(G740="Rame",1,0)</f>
        <v>0</v>
      </c>
      <c r="P740" s="205">
        <v>0</v>
      </c>
      <c r="Q740" s="205">
        <f t="shared" ca="1" si="251"/>
        <v>0</v>
      </c>
      <c r="R740" s="205">
        <f ca="1">+IF(ISERROR(OFFSET(Tabella!$G$1,MATCH(J740,Tabella!$G:$G,0)-1,MATCH(K740,Tabella!$G$1:$FG$1,0)-1)=TRUE),0,OFFSET(Tabella!$G$1,MATCH(J740,Tabella!$G:$G,0)-1,MATCH(K740,Tabella!$G$1:$AB$1,0)-1))</f>
        <v>0</v>
      </c>
      <c r="S740" s="205">
        <f ca="1">IF(ISERROR(OFFSET(Ottone!$F$1,MATCH(J740,Ottone!$A:$A,0)-1,MATCH(K740,Ottone!$F$1:$FF$1,0)-1)=TRUE),0,OFFSET(Ottone!$F$1,MATCH(J740,Ottone!$A:$A,0)-1,MATCH(K740,Ottone!$F$1:$FF$1,0)-1))*IF(G740="Ottone",1,0)</f>
        <v>0</v>
      </c>
      <c r="T740" s="205">
        <f ca="1">IF(ISERROR(OFFSET(Rame!$F$1,MATCH(J740,Rame!$F:$F,0)-1,MATCH(K740,Rame!$F$1:$FF$1,0)-1)=TRUE),0,OFFSET(Rame!$F$1,MATCH(J740,Rame!$F:$F,0)-1,MATCH(K740,Rame!$F$1:$FF$1,0)-1))*IF(G740="Rame",1,0)</f>
        <v>0</v>
      </c>
      <c r="U740" s="205">
        <f ca="1">IF(ISERROR(OFFSET(Bronzo!$A$1,MATCH(J740,Bronzo!$A:$A,0)-1,MATCH(K740,Bronzo!$A$1:$AA$1,0)-1)=TRUE),0,OFFSET(Bronzo!$A$1,MATCH(J740,Bronzo!$A:$A,0)-1,MATCH(K740,Bronzo!$A$1:$AA$1,0)-1))</f>
        <v>0</v>
      </c>
      <c r="V740" s="205">
        <f t="shared" ca="1" si="252"/>
        <v>0</v>
      </c>
      <c r="W740" s="204"/>
      <c r="X740" s="205">
        <v>0</v>
      </c>
      <c r="Y740" s="206">
        <f t="shared" ca="1" si="253"/>
        <v>0</v>
      </c>
      <c r="Z740" s="277">
        <f t="shared" si="254"/>
        <v>0</v>
      </c>
      <c r="AA740" s="203"/>
      <c r="AB740" s="203">
        <f t="shared" ca="1" si="255"/>
        <v>0</v>
      </c>
      <c r="AC740" s="238"/>
      <c r="AI740" s="367">
        <f t="shared" ca="1" si="250"/>
        <v>46092</v>
      </c>
      <c r="AJ740" s="367" t="b">
        <f t="shared" si="256"/>
        <v>1</v>
      </c>
      <c r="AK740" s="370" t="str">
        <f t="shared" si="257"/>
        <v/>
      </c>
      <c r="AN740">
        <f t="shared" si="258"/>
        <v>0</v>
      </c>
      <c r="AO740">
        <f t="shared" si="259"/>
        <v>1900</v>
      </c>
      <c r="AV740">
        <f t="shared" si="248"/>
        <v>0</v>
      </c>
      <c r="AW740">
        <f t="shared" si="249"/>
        <v>0</v>
      </c>
    </row>
    <row r="741" spans="4:49" ht="15.75" x14ac:dyDescent="0.25">
      <c r="D741" s="199"/>
      <c r="E741" s="200"/>
      <c r="F741" s="287"/>
      <c r="G741" s="201"/>
      <c r="H741" s="219"/>
      <c r="I741" s="202"/>
      <c r="J741" s="200"/>
      <c r="K741" s="200"/>
      <c r="L741" s="203"/>
      <c r="M741" s="204">
        <f ca="1">IF(ISERROR(OFFSET(Tabella!$A$1,MATCH(J741,Tabella!$A:$A,0)-1,MATCH(L741,Tabella!$A$1:$AC$1,0)-1)=TRUE),0,+OFFSET(Tabella!$A$1,MATCH(J741,Tabella!$A:$A,0)-1,MATCH(L741,Tabella!$A$1:$AC$1,0)-1))</f>
        <v>0</v>
      </c>
      <c r="N741" s="205">
        <f ca="1">IF(ISERROR(OFFSET(Ottone!$A$1,MATCH(J741,Ottone!$A:$A,0)-1,MATCH(L741,Ottone!$A$1:$Z$1,0)-1)=TRUE),0,OFFSET(Ottone!$A$1,MATCH(J741,Ottone!$A:$A,0)-1,MATCH(L741,Ottone!$A$1:$Z$1,0)-1))*IF(G741="Ottone",1,0)</f>
        <v>0</v>
      </c>
      <c r="O741" s="205">
        <f ca="1">IF(ISERROR(OFFSET(Rame!$A$1,MATCH(J741,Rame!$A:$A,0)-1,MATCH(L741,Rame!$A$1:$AA$1,0)-1)=TRUE),0,OFFSET(Rame!$A$1,MATCH(J741,Rame!$A:$A,0)-1,MATCH(L741,Rame!$A$1:$AA$1,0)-1))*IF(G741="Rame",1,0)</f>
        <v>0</v>
      </c>
      <c r="P741" s="205">
        <v>0</v>
      </c>
      <c r="Q741" s="205">
        <f t="shared" ca="1" si="251"/>
        <v>0</v>
      </c>
      <c r="R741" s="205">
        <f ca="1">+IF(ISERROR(OFFSET(Tabella!$G$1,MATCH(J741,Tabella!$G:$G,0)-1,MATCH(K741,Tabella!$G$1:$FG$1,0)-1)=TRUE),0,OFFSET(Tabella!$G$1,MATCH(J741,Tabella!$G:$G,0)-1,MATCH(K741,Tabella!$G$1:$AB$1,0)-1))</f>
        <v>0</v>
      </c>
      <c r="S741" s="205">
        <f ca="1">IF(ISERROR(OFFSET(Ottone!$F$1,MATCH(J741,Ottone!$A:$A,0)-1,MATCH(K741,Ottone!$F$1:$FF$1,0)-1)=TRUE),0,OFFSET(Ottone!$F$1,MATCH(J741,Ottone!$A:$A,0)-1,MATCH(K741,Ottone!$F$1:$FF$1,0)-1))*IF(G741="Ottone",1,0)</f>
        <v>0</v>
      </c>
      <c r="T741" s="205">
        <f ca="1">IF(ISERROR(OFFSET(Rame!$F$1,MATCH(J741,Rame!$F:$F,0)-1,MATCH(K741,Rame!$F$1:$FF$1,0)-1)=TRUE),0,OFFSET(Rame!$F$1,MATCH(J741,Rame!$F:$F,0)-1,MATCH(K741,Rame!$F$1:$FF$1,0)-1))*IF(G741="Rame",1,0)</f>
        <v>0</v>
      </c>
      <c r="U741" s="205">
        <f ca="1">IF(ISERROR(OFFSET(Bronzo!$A$1,MATCH(J741,Bronzo!$A:$A,0)-1,MATCH(K741,Bronzo!$A$1:$AA$1,0)-1)=TRUE),0,OFFSET(Bronzo!$A$1,MATCH(J741,Bronzo!$A:$A,0)-1,MATCH(K741,Bronzo!$A$1:$AA$1,0)-1))</f>
        <v>0</v>
      </c>
      <c r="V741" s="205">
        <f t="shared" ca="1" si="252"/>
        <v>0</v>
      </c>
      <c r="W741" s="204"/>
      <c r="X741" s="205">
        <v>0</v>
      </c>
      <c r="Y741" s="206">
        <f t="shared" ca="1" si="253"/>
        <v>0</v>
      </c>
      <c r="Z741" s="277">
        <f t="shared" si="254"/>
        <v>0</v>
      </c>
      <c r="AA741" s="203"/>
      <c r="AB741" s="203">
        <f t="shared" ca="1" si="255"/>
        <v>0</v>
      </c>
      <c r="AC741" s="238"/>
      <c r="AI741" s="367">
        <f t="shared" ca="1" si="250"/>
        <v>46092</v>
      </c>
      <c r="AJ741" s="367" t="b">
        <f t="shared" si="256"/>
        <v>1</v>
      </c>
      <c r="AK741" s="370" t="str">
        <f t="shared" si="257"/>
        <v/>
      </c>
      <c r="AN741">
        <f t="shared" si="258"/>
        <v>0</v>
      </c>
      <c r="AO741">
        <f t="shared" si="259"/>
        <v>1900</v>
      </c>
      <c r="AV741">
        <f t="shared" ref="AV741:AV804" si="260">IF(AC741="",0,MONTH(AC741))</f>
        <v>0</v>
      </c>
      <c r="AW741">
        <f t="shared" ref="AW741:AW804" si="261">IF(AC741="",0,YEAR(AC741))</f>
        <v>0</v>
      </c>
    </row>
    <row r="742" spans="4:49" ht="15.75" x14ac:dyDescent="0.25">
      <c r="D742" s="199"/>
      <c r="E742" s="200"/>
      <c r="F742" s="287"/>
      <c r="G742" s="201"/>
      <c r="H742" s="219"/>
      <c r="I742" s="202"/>
      <c r="J742" s="200"/>
      <c r="K742" s="200"/>
      <c r="L742" s="203"/>
      <c r="M742" s="204">
        <f ca="1">IF(ISERROR(OFFSET(Tabella!$A$1,MATCH(J742,Tabella!$A:$A,0)-1,MATCH(L742,Tabella!$A$1:$AC$1,0)-1)=TRUE),0,+OFFSET(Tabella!$A$1,MATCH(J742,Tabella!$A:$A,0)-1,MATCH(L742,Tabella!$A$1:$AC$1,0)-1))</f>
        <v>0</v>
      </c>
      <c r="N742" s="205">
        <f ca="1">IF(ISERROR(OFFSET(Ottone!$A$1,MATCH(J742,Ottone!$A:$A,0)-1,MATCH(L742,Ottone!$A$1:$Z$1,0)-1)=TRUE),0,OFFSET(Ottone!$A$1,MATCH(J742,Ottone!$A:$A,0)-1,MATCH(L742,Ottone!$A$1:$Z$1,0)-1))*IF(G742="Ottone",1,0)</f>
        <v>0</v>
      </c>
      <c r="O742" s="205">
        <f ca="1">IF(ISERROR(OFFSET(Rame!$A$1,MATCH(J742,Rame!$A:$A,0)-1,MATCH(L742,Rame!$A$1:$AA$1,0)-1)=TRUE),0,OFFSET(Rame!$A$1,MATCH(J742,Rame!$A:$A,0)-1,MATCH(L742,Rame!$A$1:$AA$1,0)-1))*IF(G742="Rame",1,0)</f>
        <v>0</v>
      </c>
      <c r="P742" s="205">
        <v>0</v>
      </c>
      <c r="Q742" s="205">
        <f t="shared" ca="1" si="251"/>
        <v>0</v>
      </c>
      <c r="R742" s="205">
        <f ca="1">+IF(ISERROR(OFFSET(Tabella!$G$1,MATCH(J742,Tabella!$G:$G,0)-1,MATCH(K742,Tabella!$G$1:$FG$1,0)-1)=TRUE),0,OFFSET(Tabella!$G$1,MATCH(J742,Tabella!$G:$G,0)-1,MATCH(K742,Tabella!$G$1:$AB$1,0)-1))</f>
        <v>0</v>
      </c>
      <c r="S742" s="205">
        <f ca="1">IF(ISERROR(OFFSET(Ottone!$F$1,MATCH(J742,Ottone!$A:$A,0)-1,MATCH(K742,Ottone!$F$1:$FF$1,0)-1)=TRUE),0,OFFSET(Ottone!$F$1,MATCH(J742,Ottone!$A:$A,0)-1,MATCH(K742,Ottone!$F$1:$FF$1,0)-1))*IF(G742="Ottone",1,0)</f>
        <v>0</v>
      </c>
      <c r="T742" s="205">
        <f ca="1">IF(ISERROR(OFFSET(Rame!$F$1,MATCH(J742,Rame!$F:$F,0)-1,MATCH(K742,Rame!$F$1:$FF$1,0)-1)=TRUE),0,OFFSET(Rame!$F$1,MATCH(J742,Rame!$F:$F,0)-1,MATCH(K742,Rame!$F$1:$FF$1,0)-1))*IF(G742="Rame",1,0)</f>
        <v>0</v>
      </c>
      <c r="U742" s="205">
        <f ca="1">IF(ISERROR(OFFSET(Bronzo!$A$1,MATCH(J742,Bronzo!$A:$A,0)-1,MATCH(K742,Bronzo!$A$1:$AA$1,0)-1)=TRUE),0,OFFSET(Bronzo!$A$1,MATCH(J742,Bronzo!$A:$A,0)-1,MATCH(K742,Bronzo!$A$1:$AA$1,0)-1))</f>
        <v>0</v>
      </c>
      <c r="V742" s="205">
        <f t="shared" ca="1" si="252"/>
        <v>0</v>
      </c>
      <c r="W742" s="204"/>
      <c r="X742" s="205">
        <v>0</v>
      </c>
      <c r="Y742" s="206">
        <f t="shared" ca="1" si="253"/>
        <v>0</v>
      </c>
      <c r="Z742" s="277">
        <f t="shared" si="254"/>
        <v>0</v>
      </c>
      <c r="AA742" s="203"/>
      <c r="AB742" s="203">
        <f t="shared" ca="1" si="255"/>
        <v>0</v>
      </c>
      <c r="AC742" s="238"/>
      <c r="AI742" s="367">
        <f t="shared" ca="1" si="250"/>
        <v>46092</v>
      </c>
      <c r="AJ742" s="367" t="b">
        <f t="shared" si="256"/>
        <v>1</v>
      </c>
      <c r="AK742" s="370" t="str">
        <f t="shared" si="257"/>
        <v/>
      </c>
      <c r="AN742">
        <f t="shared" si="258"/>
        <v>0</v>
      </c>
      <c r="AO742">
        <f t="shared" si="259"/>
        <v>1900</v>
      </c>
      <c r="AV742">
        <f t="shared" si="260"/>
        <v>0</v>
      </c>
      <c r="AW742">
        <f t="shared" si="261"/>
        <v>0</v>
      </c>
    </row>
    <row r="743" spans="4:49" ht="15.75" x14ac:dyDescent="0.25">
      <c r="D743" s="199"/>
      <c r="E743" s="200"/>
      <c r="F743" s="287"/>
      <c r="G743" s="201"/>
      <c r="H743" s="219"/>
      <c r="I743" s="202"/>
      <c r="J743" s="200"/>
      <c r="K743" s="200"/>
      <c r="L743" s="203"/>
      <c r="M743" s="204">
        <f ca="1">IF(ISERROR(OFFSET(Tabella!$A$1,MATCH(J743,Tabella!$A:$A,0)-1,MATCH(L743,Tabella!$A$1:$AC$1,0)-1)=TRUE),0,+OFFSET(Tabella!$A$1,MATCH(J743,Tabella!$A:$A,0)-1,MATCH(L743,Tabella!$A$1:$AC$1,0)-1))</f>
        <v>0</v>
      </c>
      <c r="N743" s="205">
        <f ca="1">IF(ISERROR(OFFSET(Ottone!$A$1,MATCH(J743,Ottone!$A:$A,0)-1,MATCH(L743,Ottone!$A$1:$Z$1,0)-1)=TRUE),0,OFFSET(Ottone!$A$1,MATCH(J743,Ottone!$A:$A,0)-1,MATCH(L743,Ottone!$A$1:$Z$1,0)-1))*IF(G743="Ottone",1,0)</f>
        <v>0</v>
      </c>
      <c r="O743" s="205">
        <f ca="1">IF(ISERROR(OFFSET(Rame!$A$1,MATCH(J743,Rame!$A:$A,0)-1,MATCH(L743,Rame!$A$1:$AA$1,0)-1)=TRUE),0,OFFSET(Rame!$A$1,MATCH(J743,Rame!$A:$A,0)-1,MATCH(L743,Rame!$A$1:$AA$1,0)-1))*IF(G743="Rame",1,0)</f>
        <v>0</v>
      </c>
      <c r="P743" s="205">
        <v>0</v>
      </c>
      <c r="Q743" s="205">
        <f t="shared" ca="1" si="251"/>
        <v>0</v>
      </c>
      <c r="R743" s="205">
        <f ca="1">+IF(ISERROR(OFFSET(Tabella!$G$1,MATCH(J743,Tabella!$G:$G,0)-1,MATCH(K743,Tabella!$G$1:$FG$1,0)-1)=TRUE),0,OFFSET(Tabella!$G$1,MATCH(J743,Tabella!$G:$G,0)-1,MATCH(K743,Tabella!$G$1:$AB$1,0)-1))</f>
        <v>0</v>
      </c>
      <c r="S743" s="205">
        <f ca="1">IF(ISERROR(OFFSET(Ottone!$F$1,MATCH(J743,Ottone!$A:$A,0)-1,MATCH(K743,Ottone!$F$1:$FF$1,0)-1)=TRUE),0,OFFSET(Ottone!$F$1,MATCH(J743,Ottone!$A:$A,0)-1,MATCH(K743,Ottone!$F$1:$FF$1,0)-1))*IF(G743="Ottone",1,0)</f>
        <v>0</v>
      </c>
      <c r="T743" s="205">
        <f ca="1">IF(ISERROR(OFFSET(Rame!$F$1,MATCH(J743,Rame!$F:$F,0)-1,MATCH(K743,Rame!$F$1:$FF$1,0)-1)=TRUE),0,OFFSET(Rame!$F$1,MATCH(J743,Rame!$F:$F,0)-1,MATCH(K743,Rame!$F$1:$FF$1,0)-1))*IF(G743="Rame",1,0)</f>
        <v>0</v>
      </c>
      <c r="U743" s="205">
        <f ca="1">IF(ISERROR(OFFSET(Bronzo!$A$1,MATCH(J743,Bronzo!$A:$A,0)-1,MATCH(K743,Bronzo!$A$1:$AA$1,0)-1)=TRUE),0,OFFSET(Bronzo!$A$1,MATCH(J743,Bronzo!$A:$A,0)-1,MATCH(K743,Bronzo!$A$1:$AA$1,0)-1))</f>
        <v>0</v>
      </c>
      <c r="V743" s="205">
        <f t="shared" ca="1" si="252"/>
        <v>0</v>
      </c>
      <c r="W743" s="204"/>
      <c r="X743" s="205">
        <v>0</v>
      </c>
      <c r="Y743" s="206">
        <f t="shared" ca="1" si="253"/>
        <v>0</v>
      </c>
      <c r="Z743" s="277">
        <f t="shared" si="254"/>
        <v>0</v>
      </c>
      <c r="AA743" s="203"/>
      <c r="AB743" s="203">
        <f t="shared" ca="1" si="255"/>
        <v>0</v>
      </c>
      <c r="AC743" s="238"/>
      <c r="AI743" s="367">
        <f t="shared" ca="1" si="250"/>
        <v>46092</v>
      </c>
      <c r="AJ743" s="367" t="b">
        <f t="shared" si="256"/>
        <v>1</v>
      </c>
      <c r="AK743" s="370" t="str">
        <f t="shared" si="257"/>
        <v/>
      </c>
      <c r="AN743">
        <f t="shared" si="258"/>
        <v>0</v>
      </c>
      <c r="AO743">
        <f t="shared" si="259"/>
        <v>1900</v>
      </c>
      <c r="AV743">
        <f t="shared" si="260"/>
        <v>0</v>
      </c>
      <c r="AW743">
        <f t="shared" si="261"/>
        <v>0</v>
      </c>
    </row>
    <row r="744" spans="4:49" ht="15.75" x14ac:dyDescent="0.25">
      <c r="D744" s="199"/>
      <c r="E744" s="200"/>
      <c r="F744" s="287"/>
      <c r="G744" s="201"/>
      <c r="H744" s="219"/>
      <c r="I744" s="202"/>
      <c r="J744" s="200"/>
      <c r="K744" s="200"/>
      <c r="L744" s="203"/>
      <c r="M744" s="204">
        <f ca="1">IF(ISERROR(OFFSET(Tabella!$A$1,MATCH(J744,Tabella!$A:$A,0)-1,MATCH(L744,Tabella!$A$1:$AC$1,0)-1)=TRUE),0,+OFFSET(Tabella!$A$1,MATCH(J744,Tabella!$A:$A,0)-1,MATCH(L744,Tabella!$A$1:$AC$1,0)-1))</f>
        <v>0</v>
      </c>
      <c r="N744" s="205">
        <f ca="1">IF(ISERROR(OFFSET(Ottone!$A$1,MATCH(J744,Ottone!$A:$A,0)-1,MATCH(L744,Ottone!$A$1:$Z$1,0)-1)=TRUE),0,OFFSET(Ottone!$A$1,MATCH(J744,Ottone!$A:$A,0)-1,MATCH(L744,Ottone!$A$1:$Z$1,0)-1))*IF(G744="Ottone",1,0)</f>
        <v>0</v>
      </c>
      <c r="O744" s="205">
        <f ca="1">IF(ISERROR(OFFSET(Rame!$A$1,MATCH(J744,Rame!$A:$A,0)-1,MATCH(L744,Rame!$A$1:$AA$1,0)-1)=TRUE),0,OFFSET(Rame!$A$1,MATCH(J744,Rame!$A:$A,0)-1,MATCH(L744,Rame!$A$1:$AA$1,0)-1))*IF(G744="Rame",1,0)</f>
        <v>0</v>
      </c>
      <c r="P744" s="205">
        <v>0</v>
      </c>
      <c r="Q744" s="205">
        <f t="shared" ca="1" si="251"/>
        <v>0</v>
      </c>
      <c r="R744" s="205">
        <f ca="1">+IF(ISERROR(OFFSET(Tabella!$G$1,MATCH(J744,Tabella!$G:$G,0)-1,MATCH(K744,Tabella!$G$1:$FG$1,0)-1)=TRUE),0,OFFSET(Tabella!$G$1,MATCH(J744,Tabella!$G:$G,0)-1,MATCH(K744,Tabella!$G$1:$AB$1,0)-1))</f>
        <v>0</v>
      </c>
      <c r="S744" s="205">
        <f ca="1">IF(ISERROR(OFFSET(Ottone!$F$1,MATCH(J744,Ottone!$A:$A,0)-1,MATCH(K744,Ottone!$F$1:$FF$1,0)-1)=TRUE),0,OFFSET(Ottone!$F$1,MATCH(J744,Ottone!$A:$A,0)-1,MATCH(K744,Ottone!$F$1:$FF$1,0)-1))*IF(G744="Ottone",1,0)</f>
        <v>0</v>
      </c>
      <c r="T744" s="205">
        <f ca="1">IF(ISERROR(OFFSET(Rame!$F$1,MATCH(J744,Rame!$F:$F,0)-1,MATCH(K744,Rame!$F$1:$FF$1,0)-1)=TRUE),0,OFFSET(Rame!$F$1,MATCH(J744,Rame!$F:$F,0)-1,MATCH(K744,Rame!$F$1:$FF$1,0)-1))*IF(G744="Rame",1,0)</f>
        <v>0</v>
      </c>
      <c r="U744" s="205">
        <f ca="1">IF(ISERROR(OFFSET(Bronzo!$A$1,MATCH(J744,Bronzo!$A:$A,0)-1,MATCH(K744,Bronzo!$A$1:$AA$1,0)-1)=TRUE),0,OFFSET(Bronzo!$A$1,MATCH(J744,Bronzo!$A:$A,0)-1,MATCH(K744,Bronzo!$A$1:$AA$1,0)-1))</f>
        <v>0</v>
      </c>
      <c r="V744" s="205">
        <f t="shared" ca="1" si="252"/>
        <v>0</v>
      </c>
      <c r="W744" s="204"/>
      <c r="X744" s="205">
        <v>0</v>
      </c>
      <c r="Y744" s="206">
        <f t="shared" ca="1" si="253"/>
        <v>0</v>
      </c>
      <c r="Z744" s="277">
        <f t="shared" si="254"/>
        <v>0</v>
      </c>
      <c r="AA744" s="203"/>
      <c r="AB744" s="203">
        <f t="shared" ca="1" si="255"/>
        <v>0</v>
      </c>
      <c r="AC744" s="238"/>
      <c r="AI744" s="367">
        <f t="shared" ca="1" si="250"/>
        <v>46092</v>
      </c>
      <c r="AJ744" s="367" t="b">
        <f t="shared" si="256"/>
        <v>1</v>
      </c>
      <c r="AK744" s="370" t="str">
        <f t="shared" si="257"/>
        <v/>
      </c>
      <c r="AN744">
        <f t="shared" si="258"/>
        <v>0</v>
      </c>
      <c r="AO744">
        <f t="shared" si="259"/>
        <v>1900</v>
      </c>
      <c r="AV744">
        <f t="shared" si="260"/>
        <v>0</v>
      </c>
      <c r="AW744">
        <f t="shared" si="261"/>
        <v>0</v>
      </c>
    </row>
    <row r="745" spans="4:49" ht="15.75" x14ac:dyDescent="0.25">
      <c r="D745" s="199"/>
      <c r="E745" s="200"/>
      <c r="F745" s="287"/>
      <c r="G745" s="201"/>
      <c r="H745" s="219"/>
      <c r="I745" s="202"/>
      <c r="J745" s="200"/>
      <c r="K745" s="200"/>
      <c r="L745" s="203"/>
      <c r="M745" s="204">
        <f ca="1">IF(ISERROR(OFFSET(Tabella!$A$1,MATCH(J745,Tabella!$A:$A,0)-1,MATCH(L745,Tabella!$A$1:$AC$1,0)-1)=TRUE),0,+OFFSET(Tabella!$A$1,MATCH(J745,Tabella!$A:$A,0)-1,MATCH(L745,Tabella!$A$1:$AC$1,0)-1))</f>
        <v>0</v>
      </c>
      <c r="N745" s="205">
        <f ca="1">IF(ISERROR(OFFSET(Ottone!$A$1,MATCH(J745,Ottone!$A:$A,0)-1,MATCH(L745,Ottone!$A$1:$Z$1,0)-1)=TRUE),0,OFFSET(Ottone!$A$1,MATCH(J745,Ottone!$A:$A,0)-1,MATCH(L745,Ottone!$A$1:$Z$1,0)-1))*IF(G745="Ottone",1,0)</f>
        <v>0</v>
      </c>
      <c r="O745" s="205">
        <f ca="1">IF(ISERROR(OFFSET(Rame!$A$1,MATCH(J745,Rame!$A:$A,0)-1,MATCH(L745,Rame!$A$1:$AA$1,0)-1)=TRUE),0,OFFSET(Rame!$A$1,MATCH(J745,Rame!$A:$A,0)-1,MATCH(L745,Rame!$A$1:$AA$1,0)-1))*IF(G745="Rame",1,0)</f>
        <v>0</v>
      </c>
      <c r="P745" s="205">
        <v>0</v>
      </c>
      <c r="Q745" s="205">
        <f t="shared" ca="1" si="251"/>
        <v>0</v>
      </c>
      <c r="R745" s="205">
        <f ca="1">+IF(ISERROR(OFFSET(Tabella!$G$1,MATCH(J745,Tabella!$G:$G,0)-1,MATCH(K745,Tabella!$G$1:$FG$1,0)-1)=TRUE),0,OFFSET(Tabella!$G$1,MATCH(J745,Tabella!$G:$G,0)-1,MATCH(K745,Tabella!$G$1:$AB$1,0)-1))</f>
        <v>0</v>
      </c>
      <c r="S745" s="205">
        <f ca="1">IF(ISERROR(OFFSET(Ottone!$F$1,MATCH(J745,Ottone!$A:$A,0)-1,MATCH(K745,Ottone!$F$1:$FF$1,0)-1)=TRUE),0,OFFSET(Ottone!$F$1,MATCH(J745,Ottone!$A:$A,0)-1,MATCH(K745,Ottone!$F$1:$FF$1,0)-1))*IF(G745="Ottone",1,0)</f>
        <v>0</v>
      </c>
      <c r="T745" s="205">
        <f ca="1">IF(ISERROR(OFFSET(Rame!$F$1,MATCH(J745,Rame!$F:$F,0)-1,MATCH(K745,Rame!$F$1:$FF$1,0)-1)=TRUE),0,OFFSET(Rame!$F$1,MATCH(J745,Rame!$F:$F,0)-1,MATCH(K745,Rame!$F$1:$FF$1,0)-1))*IF(G745="Rame",1,0)</f>
        <v>0</v>
      </c>
      <c r="U745" s="205">
        <f ca="1">IF(ISERROR(OFFSET(Bronzo!$A$1,MATCH(J745,Bronzo!$A:$A,0)-1,MATCH(K745,Bronzo!$A$1:$AA$1,0)-1)=TRUE),0,OFFSET(Bronzo!$A$1,MATCH(J745,Bronzo!$A:$A,0)-1,MATCH(K745,Bronzo!$A$1:$AA$1,0)-1))</f>
        <v>0</v>
      </c>
      <c r="V745" s="205">
        <f t="shared" ca="1" si="252"/>
        <v>0</v>
      </c>
      <c r="W745" s="204"/>
      <c r="X745" s="205">
        <v>0</v>
      </c>
      <c r="Y745" s="206">
        <f t="shared" ca="1" si="253"/>
        <v>0</v>
      </c>
      <c r="Z745" s="277">
        <f t="shared" si="254"/>
        <v>0</v>
      </c>
      <c r="AA745" s="203"/>
      <c r="AB745" s="203">
        <f t="shared" ca="1" si="255"/>
        <v>0</v>
      </c>
      <c r="AC745" s="238"/>
      <c r="AI745" s="367">
        <f t="shared" ca="1" si="250"/>
        <v>46092</v>
      </c>
      <c r="AJ745" s="367" t="b">
        <f t="shared" si="256"/>
        <v>1</v>
      </c>
      <c r="AK745" s="370" t="str">
        <f t="shared" si="257"/>
        <v/>
      </c>
      <c r="AN745">
        <f t="shared" si="258"/>
        <v>0</v>
      </c>
      <c r="AO745">
        <f t="shared" si="259"/>
        <v>1900</v>
      </c>
      <c r="AV745">
        <f t="shared" si="260"/>
        <v>0</v>
      </c>
      <c r="AW745">
        <f t="shared" si="261"/>
        <v>0</v>
      </c>
    </row>
    <row r="746" spans="4:49" ht="15.75" x14ac:dyDescent="0.25">
      <c r="D746" s="199"/>
      <c r="E746" s="200"/>
      <c r="F746" s="287"/>
      <c r="G746" s="201"/>
      <c r="H746" s="219"/>
      <c r="I746" s="202"/>
      <c r="J746" s="200"/>
      <c r="K746" s="200"/>
      <c r="L746" s="203"/>
      <c r="M746" s="204">
        <f ca="1">IF(ISERROR(OFFSET(Tabella!$A$1,MATCH(J746,Tabella!$A:$A,0)-1,MATCH(L746,Tabella!$A$1:$AC$1,0)-1)=TRUE),0,+OFFSET(Tabella!$A$1,MATCH(J746,Tabella!$A:$A,0)-1,MATCH(L746,Tabella!$A$1:$AC$1,0)-1))</f>
        <v>0</v>
      </c>
      <c r="N746" s="205">
        <f ca="1">IF(ISERROR(OFFSET(Ottone!$A$1,MATCH(J746,Ottone!$A:$A,0)-1,MATCH(L746,Ottone!$A$1:$Z$1,0)-1)=TRUE),0,OFFSET(Ottone!$A$1,MATCH(J746,Ottone!$A:$A,0)-1,MATCH(L746,Ottone!$A$1:$Z$1,0)-1))*IF(G746="Ottone",1,0)</f>
        <v>0</v>
      </c>
      <c r="O746" s="205">
        <f ca="1">IF(ISERROR(OFFSET(Rame!$A$1,MATCH(J746,Rame!$A:$A,0)-1,MATCH(L746,Rame!$A$1:$AA$1,0)-1)=TRUE),0,OFFSET(Rame!$A$1,MATCH(J746,Rame!$A:$A,0)-1,MATCH(L746,Rame!$A$1:$AA$1,0)-1))*IF(G746="Rame",1,0)</f>
        <v>0</v>
      </c>
      <c r="P746" s="205">
        <v>0</v>
      </c>
      <c r="Q746" s="205">
        <f t="shared" ca="1" si="251"/>
        <v>0</v>
      </c>
      <c r="R746" s="205">
        <f ca="1">+IF(ISERROR(OFFSET(Tabella!$G$1,MATCH(J746,Tabella!$G:$G,0)-1,MATCH(K746,Tabella!$G$1:$FG$1,0)-1)=TRUE),0,OFFSET(Tabella!$G$1,MATCH(J746,Tabella!$G:$G,0)-1,MATCH(K746,Tabella!$G$1:$AB$1,0)-1))</f>
        <v>0</v>
      </c>
      <c r="S746" s="205">
        <f ca="1">IF(ISERROR(OFFSET(Ottone!$F$1,MATCH(J746,Ottone!$A:$A,0)-1,MATCH(K746,Ottone!$F$1:$FF$1,0)-1)=TRUE),0,OFFSET(Ottone!$F$1,MATCH(J746,Ottone!$A:$A,0)-1,MATCH(K746,Ottone!$F$1:$FF$1,0)-1))*IF(G746="Ottone",1,0)</f>
        <v>0</v>
      </c>
      <c r="T746" s="205">
        <f ca="1">IF(ISERROR(OFFSET(Rame!$F$1,MATCH(J746,Rame!$F:$F,0)-1,MATCH(K746,Rame!$F$1:$FF$1,0)-1)=TRUE),0,OFFSET(Rame!$F$1,MATCH(J746,Rame!$F:$F,0)-1,MATCH(K746,Rame!$F$1:$FF$1,0)-1))*IF(G746="Rame",1,0)</f>
        <v>0</v>
      </c>
      <c r="U746" s="205">
        <f ca="1">IF(ISERROR(OFFSET(Bronzo!$A$1,MATCH(J746,Bronzo!$A:$A,0)-1,MATCH(K746,Bronzo!$A$1:$AA$1,0)-1)=TRUE),0,OFFSET(Bronzo!$A$1,MATCH(J746,Bronzo!$A:$A,0)-1,MATCH(K746,Bronzo!$A$1:$AA$1,0)-1))</f>
        <v>0</v>
      </c>
      <c r="V746" s="205">
        <f t="shared" ca="1" si="252"/>
        <v>0</v>
      </c>
      <c r="W746" s="204"/>
      <c r="X746" s="205">
        <v>0</v>
      </c>
      <c r="Y746" s="206">
        <f t="shared" ca="1" si="253"/>
        <v>0</v>
      </c>
      <c r="Z746" s="277">
        <f t="shared" si="254"/>
        <v>0</v>
      </c>
      <c r="AA746" s="203"/>
      <c r="AB746" s="203">
        <f t="shared" ca="1" si="255"/>
        <v>0</v>
      </c>
      <c r="AC746" s="238"/>
      <c r="AI746" s="367">
        <f t="shared" ca="1" si="250"/>
        <v>46092</v>
      </c>
      <c r="AJ746" s="367" t="b">
        <f t="shared" si="256"/>
        <v>1</v>
      </c>
      <c r="AK746" s="370" t="str">
        <f t="shared" si="257"/>
        <v/>
      </c>
      <c r="AN746">
        <f t="shared" si="258"/>
        <v>0</v>
      </c>
      <c r="AO746">
        <f t="shared" si="259"/>
        <v>1900</v>
      </c>
      <c r="AV746">
        <f t="shared" si="260"/>
        <v>0</v>
      </c>
      <c r="AW746">
        <f t="shared" si="261"/>
        <v>0</v>
      </c>
    </row>
    <row r="747" spans="4:49" ht="15.75" x14ac:dyDescent="0.25">
      <c r="D747" s="199"/>
      <c r="E747" s="200"/>
      <c r="F747" s="287"/>
      <c r="G747" s="201"/>
      <c r="H747" s="219"/>
      <c r="I747" s="202"/>
      <c r="J747" s="200"/>
      <c r="K747" s="200"/>
      <c r="L747" s="203"/>
      <c r="M747" s="204">
        <f ca="1">IF(ISERROR(OFFSET(Tabella!$A$1,MATCH(J747,Tabella!$A:$A,0)-1,MATCH(L747,Tabella!$A$1:$AC$1,0)-1)=TRUE),0,+OFFSET(Tabella!$A$1,MATCH(J747,Tabella!$A:$A,0)-1,MATCH(L747,Tabella!$A$1:$AC$1,0)-1))</f>
        <v>0</v>
      </c>
      <c r="N747" s="205">
        <f ca="1">IF(ISERROR(OFFSET(Ottone!$A$1,MATCH(J747,Ottone!$A:$A,0)-1,MATCH(L747,Ottone!$A$1:$Z$1,0)-1)=TRUE),0,OFFSET(Ottone!$A$1,MATCH(J747,Ottone!$A:$A,0)-1,MATCH(L747,Ottone!$A$1:$Z$1,0)-1))*IF(G747="Ottone",1,0)</f>
        <v>0</v>
      </c>
      <c r="O747" s="205">
        <f ca="1">IF(ISERROR(OFFSET(Rame!$A$1,MATCH(J747,Rame!$A:$A,0)-1,MATCH(L747,Rame!$A$1:$AA$1,0)-1)=TRUE),0,OFFSET(Rame!$A$1,MATCH(J747,Rame!$A:$A,0)-1,MATCH(L747,Rame!$A$1:$AA$1,0)-1))*IF(G747="Rame",1,0)</f>
        <v>0</v>
      </c>
      <c r="P747" s="205">
        <v>0</v>
      </c>
      <c r="Q747" s="205">
        <f t="shared" ca="1" si="251"/>
        <v>0</v>
      </c>
      <c r="R747" s="205">
        <f ca="1">+IF(ISERROR(OFFSET(Tabella!$G$1,MATCH(J747,Tabella!$G:$G,0)-1,MATCH(K747,Tabella!$G$1:$FG$1,0)-1)=TRUE),0,OFFSET(Tabella!$G$1,MATCH(J747,Tabella!$G:$G,0)-1,MATCH(K747,Tabella!$G$1:$AB$1,0)-1))</f>
        <v>0</v>
      </c>
      <c r="S747" s="205">
        <f ca="1">IF(ISERROR(OFFSET(Ottone!$F$1,MATCH(J747,Ottone!$A:$A,0)-1,MATCH(K747,Ottone!$F$1:$FF$1,0)-1)=TRUE),0,OFFSET(Ottone!$F$1,MATCH(J747,Ottone!$A:$A,0)-1,MATCH(K747,Ottone!$F$1:$FF$1,0)-1))*IF(G747="Ottone",1,0)</f>
        <v>0</v>
      </c>
      <c r="T747" s="205">
        <f ca="1">IF(ISERROR(OFFSET(Rame!$F$1,MATCH(J747,Rame!$F:$F,0)-1,MATCH(K747,Rame!$F$1:$FF$1,0)-1)=TRUE),0,OFFSET(Rame!$F$1,MATCH(J747,Rame!$F:$F,0)-1,MATCH(K747,Rame!$F$1:$FF$1,0)-1))*IF(G747="Rame",1,0)</f>
        <v>0</v>
      </c>
      <c r="U747" s="205">
        <f ca="1">IF(ISERROR(OFFSET(Bronzo!$A$1,MATCH(J747,Bronzo!$A:$A,0)-1,MATCH(K747,Bronzo!$A$1:$AA$1,0)-1)=TRUE),0,OFFSET(Bronzo!$A$1,MATCH(J747,Bronzo!$A:$A,0)-1,MATCH(K747,Bronzo!$A$1:$AA$1,0)-1))</f>
        <v>0</v>
      </c>
      <c r="V747" s="205">
        <f t="shared" ca="1" si="252"/>
        <v>0</v>
      </c>
      <c r="W747" s="204"/>
      <c r="X747" s="205">
        <v>0</v>
      </c>
      <c r="Y747" s="206">
        <f t="shared" ca="1" si="253"/>
        <v>0</v>
      </c>
      <c r="Z747" s="277">
        <f t="shared" si="254"/>
        <v>0</v>
      </c>
      <c r="AA747" s="203"/>
      <c r="AB747" s="203">
        <f t="shared" ca="1" si="255"/>
        <v>0</v>
      </c>
      <c r="AC747" s="238"/>
      <c r="AI747" s="367">
        <f t="shared" ca="1" si="250"/>
        <v>46092</v>
      </c>
      <c r="AJ747" s="367" t="b">
        <f t="shared" si="256"/>
        <v>1</v>
      </c>
      <c r="AK747" s="370" t="str">
        <f t="shared" si="257"/>
        <v/>
      </c>
      <c r="AN747">
        <f t="shared" si="258"/>
        <v>0</v>
      </c>
      <c r="AO747">
        <f t="shared" si="259"/>
        <v>1900</v>
      </c>
      <c r="AV747">
        <f t="shared" si="260"/>
        <v>0</v>
      </c>
      <c r="AW747">
        <f t="shared" si="261"/>
        <v>0</v>
      </c>
    </row>
    <row r="748" spans="4:49" ht="15.75" x14ac:dyDescent="0.25">
      <c r="D748" s="199"/>
      <c r="E748" s="200"/>
      <c r="F748" s="287"/>
      <c r="G748" s="201"/>
      <c r="H748" s="219"/>
      <c r="I748" s="202"/>
      <c r="J748" s="200"/>
      <c r="K748" s="200"/>
      <c r="L748" s="203"/>
      <c r="M748" s="204">
        <f ca="1">IF(ISERROR(OFFSET(Tabella!$A$1,MATCH(J748,Tabella!$A:$A,0)-1,MATCH(L748,Tabella!$A$1:$AC$1,0)-1)=TRUE),0,+OFFSET(Tabella!$A$1,MATCH(J748,Tabella!$A:$A,0)-1,MATCH(L748,Tabella!$A$1:$AC$1,0)-1))</f>
        <v>0</v>
      </c>
      <c r="N748" s="205">
        <f ca="1">IF(ISERROR(OFFSET(Ottone!$A$1,MATCH(J748,Ottone!$A:$A,0)-1,MATCH(L748,Ottone!$A$1:$Z$1,0)-1)=TRUE),0,OFFSET(Ottone!$A$1,MATCH(J748,Ottone!$A:$A,0)-1,MATCH(L748,Ottone!$A$1:$Z$1,0)-1))*IF(G748="Ottone",1,0)</f>
        <v>0</v>
      </c>
      <c r="O748" s="205">
        <f ca="1">IF(ISERROR(OFFSET(Rame!$A$1,MATCH(J748,Rame!$A:$A,0)-1,MATCH(L748,Rame!$A$1:$AA$1,0)-1)=TRUE),0,OFFSET(Rame!$A$1,MATCH(J748,Rame!$A:$A,0)-1,MATCH(L748,Rame!$A$1:$AA$1,0)-1))*IF(G748="Rame",1,0)</f>
        <v>0</v>
      </c>
      <c r="P748" s="205">
        <v>0</v>
      </c>
      <c r="Q748" s="205">
        <f t="shared" ca="1" si="251"/>
        <v>0</v>
      </c>
      <c r="R748" s="205">
        <f ca="1">+IF(ISERROR(OFFSET(Tabella!$G$1,MATCH(J748,Tabella!$G:$G,0)-1,MATCH(K748,Tabella!$G$1:$FG$1,0)-1)=TRUE),0,OFFSET(Tabella!$G$1,MATCH(J748,Tabella!$G:$G,0)-1,MATCH(K748,Tabella!$G$1:$AB$1,0)-1))</f>
        <v>0</v>
      </c>
      <c r="S748" s="205">
        <f ca="1">IF(ISERROR(OFFSET(Ottone!$F$1,MATCH(J748,Ottone!$A:$A,0)-1,MATCH(K748,Ottone!$F$1:$FF$1,0)-1)=TRUE),0,OFFSET(Ottone!$F$1,MATCH(J748,Ottone!$A:$A,0)-1,MATCH(K748,Ottone!$F$1:$FF$1,0)-1))*IF(G748="Ottone",1,0)</f>
        <v>0</v>
      </c>
      <c r="T748" s="205">
        <f ca="1">IF(ISERROR(OFFSET(Rame!$F$1,MATCH(J748,Rame!$F:$F,0)-1,MATCH(K748,Rame!$F$1:$FF$1,0)-1)=TRUE),0,OFFSET(Rame!$F$1,MATCH(J748,Rame!$F:$F,0)-1,MATCH(K748,Rame!$F$1:$FF$1,0)-1))*IF(G748="Rame",1,0)</f>
        <v>0</v>
      </c>
      <c r="U748" s="205">
        <f ca="1">IF(ISERROR(OFFSET(Bronzo!$A$1,MATCH(J748,Bronzo!$A:$A,0)-1,MATCH(K748,Bronzo!$A$1:$AA$1,0)-1)=TRUE),0,OFFSET(Bronzo!$A$1,MATCH(J748,Bronzo!$A:$A,0)-1,MATCH(K748,Bronzo!$A$1:$AA$1,0)-1))</f>
        <v>0</v>
      </c>
      <c r="V748" s="205">
        <f t="shared" ca="1" si="252"/>
        <v>0</v>
      </c>
      <c r="W748" s="204"/>
      <c r="X748" s="205">
        <v>0</v>
      </c>
      <c r="Y748" s="206">
        <f t="shared" ca="1" si="253"/>
        <v>0</v>
      </c>
      <c r="Z748" s="277">
        <f t="shared" si="254"/>
        <v>0</v>
      </c>
      <c r="AA748" s="203"/>
      <c r="AB748" s="203">
        <f t="shared" ca="1" si="255"/>
        <v>0</v>
      </c>
      <c r="AC748" s="238"/>
      <c r="AI748" s="367">
        <f t="shared" ca="1" si="250"/>
        <v>46092</v>
      </c>
      <c r="AJ748" s="367" t="b">
        <f t="shared" si="256"/>
        <v>1</v>
      </c>
      <c r="AK748" s="370" t="str">
        <f t="shared" si="257"/>
        <v/>
      </c>
      <c r="AN748">
        <f t="shared" si="258"/>
        <v>0</v>
      </c>
      <c r="AO748">
        <f t="shared" si="259"/>
        <v>1900</v>
      </c>
      <c r="AV748">
        <f t="shared" si="260"/>
        <v>0</v>
      </c>
      <c r="AW748">
        <f t="shared" si="261"/>
        <v>0</v>
      </c>
    </row>
    <row r="749" spans="4:49" ht="15.75" x14ac:dyDescent="0.25">
      <c r="D749" s="199"/>
      <c r="E749" s="200"/>
      <c r="F749" s="287"/>
      <c r="G749" s="201"/>
      <c r="H749" s="219"/>
      <c r="I749" s="202"/>
      <c r="J749" s="200"/>
      <c r="K749" s="200"/>
      <c r="L749" s="203"/>
      <c r="M749" s="204">
        <f ca="1">IF(ISERROR(OFFSET(Tabella!$A$1,MATCH(J749,Tabella!$A:$A,0)-1,MATCH(L749,Tabella!$A$1:$AC$1,0)-1)=TRUE),0,+OFFSET(Tabella!$A$1,MATCH(J749,Tabella!$A:$A,0)-1,MATCH(L749,Tabella!$A$1:$AC$1,0)-1))</f>
        <v>0</v>
      </c>
      <c r="N749" s="205">
        <f ca="1">IF(ISERROR(OFFSET(Ottone!$A$1,MATCH(J749,Ottone!$A:$A,0)-1,MATCH(L749,Ottone!$A$1:$Z$1,0)-1)=TRUE),0,OFFSET(Ottone!$A$1,MATCH(J749,Ottone!$A:$A,0)-1,MATCH(L749,Ottone!$A$1:$Z$1,0)-1))*IF(G749="Ottone",1,0)</f>
        <v>0</v>
      </c>
      <c r="O749" s="205">
        <f ca="1">IF(ISERROR(OFFSET(Rame!$A$1,MATCH(J749,Rame!$A:$A,0)-1,MATCH(L749,Rame!$A$1:$AA$1,0)-1)=TRUE),0,OFFSET(Rame!$A$1,MATCH(J749,Rame!$A:$A,0)-1,MATCH(L749,Rame!$A$1:$AA$1,0)-1))*IF(G749="Rame",1,0)</f>
        <v>0</v>
      </c>
      <c r="P749" s="205">
        <v>0</v>
      </c>
      <c r="Q749" s="205">
        <f t="shared" ca="1" si="251"/>
        <v>0</v>
      </c>
      <c r="R749" s="205">
        <f ca="1">+IF(ISERROR(OFFSET(Tabella!$G$1,MATCH(J749,Tabella!$G:$G,0)-1,MATCH(K749,Tabella!$G$1:$FG$1,0)-1)=TRUE),0,OFFSET(Tabella!$G$1,MATCH(J749,Tabella!$G:$G,0)-1,MATCH(K749,Tabella!$G$1:$AB$1,0)-1))</f>
        <v>0</v>
      </c>
      <c r="S749" s="205">
        <f ca="1">IF(ISERROR(OFFSET(Ottone!$F$1,MATCH(J749,Ottone!$A:$A,0)-1,MATCH(K749,Ottone!$F$1:$FF$1,0)-1)=TRUE),0,OFFSET(Ottone!$F$1,MATCH(J749,Ottone!$A:$A,0)-1,MATCH(K749,Ottone!$F$1:$FF$1,0)-1))*IF(G749="Ottone",1,0)</f>
        <v>0</v>
      </c>
      <c r="T749" s="205">
        <f ca="1">IF(ISERROR(OFFSET(Rame!$F$1,MATCH(J749,Rame!$F:$F,0)-1,MATCH(K749,Rame!$F$1:$FF$1,0)-1)=TRUE),0,OFFSET(Rame!$F$1,MATCH(J749,Rame!$F:$F,0)-1,MATCH(K749,Rame!$F$1:$FF$1,0)-1))*IF(G749="Rame",1,0)</f>
        <v>0</v>
      </c>
      <c r="U749" s="205">
        <f ca="1">IF(ISERROR(OFFSET(Bronzo!$A$1,MATCH(J749,Bronzo!$A:$A,0)-1,MATCH(K749,Bronzo!$A$1:$AA$1,0)-1)=TRUE),0,OFFSET(Bronzo!$A$1,MATCH(J749,Bronzo!$A:$A,0)-1,MATCH(K749,Bronzo!$A$1:$AA$1,0)-1))</f>
        <v>0</v>
      </c>
      <c r="V749" s="205">
        <f t="shared" ca="1" si="252"/>
        <v>0</v>
      </c>
      <c r="W749" s="204"/>
      <c r="X749" s="205">
        <v>0</v>
      </c>
      <c r="Y749" s="206">
        <f t="shared" ca="1" si="253"/>
        <v>0</v>
      </c>
      <c r="Z749" s="277">
        <f t="shared" si="254"/>
        <v>0</v>
      </c>
      <c r="AA749" s="203"/>
      <c r="AB749" s="203">
        <f t="shared" ca="1" si="255"/>
        <v>0</v>
      </c>
      <c r="AC749" s="238"/>
      <c r="AI749" s="367">
        <f t="shared" ca="1" si="250"/>
        <v>46092</v>
      </c>
      <c r="AJ749" s="367" t="b">
        <f t="shared" si="256"/>
        <v>1</v>
      </c>
      <c r="AK749" s="370" t="str">
        <f t="shared" si="257"/>
        <v/>
      </c>
      <c r="AN749">
        <f t="shared" si="258"/>
        <v>0</v>
      </c>
      <c r="AO749">
        <f t="shared" si="259"/>
        <v>1900</v>
      </c>
      <c r="AV749">
        <f t="shared" si="260"/>
        <v>0</v>
      </c>
      <c r="AW749">
        <f t="shared" si="261"/>
        <v>0</v>
      </c>
    </row>
    <row r="750" spans="4:49" ht="15.75" x14ac:dyDescent="0.25">
      <c r="D750" s="199"/>
      <c r="E750" s="200"/>
      <c r="F750" s="287"/>
      <c r="G750" s="201"/>
      <c r="H750" s="219"/>
      <c r="I750" s="202"/>
      <c r="J750" s="200"/>
      <c r="K750" s="200"/>
      <c r="L750" s="203"/>
      <c r="M750" s="204">
        <f ca="1">IF(ISERROR(OFFSET(Tabella!$A$1,MATCH(J750,Tabella!$A:$A,0)-1,MATCH(L750,Tabella!$A$1:$AC$1,0)-1)=TRUE),0,+OFFSET(Tabella!$A$1,MATCH(J750,Tabella!$A:$A,0)-1,MATCH(L750,Tabella!$A$1:$AC$1,0)-1))</f>
        <v>0</v>
      </c>
      <c r="N750" s="205">
        <f ca="1">IF(ISERROR(OFFSET(Ottone!$A$1,MATCH(J750,Ottone!$A:$A,0)-1,MATCH(L750,Ottone!$A$1:$Z$1,0)-1)=TRUE),0,OFFSET(Ottone!$A$1,MATCH(J750,Ottone!$A:$A,0)-1,MATCH(L750,Ottone!$A$1:$Z$1,0)-1))*IF(G750="Ottone",1,0)</f>
        <v>0</v>
      </c>
      <c r="O750" s="205">
        <f ca="1">IF(ISERROR(OFFSET(Rame!$A$1,MATCH(J750,Rame!$A:$A,0)-1,MATCH(L750,Rame!$A$1:$AA$1,0)-1)=TRUE),0,OFFSET(Rame!$A$1,MATCH(J750,Rame!$A:$A,0)-1,MATCH(L750,Rame!$A$1:$AA$1,0)-1))*IF(G750="Rame",1,0)</f>
        <v>0</v>
      </c>
      <c r="P750" s="205">
        <v>0</v>
      </c>
      <c r="Q750" s="205">
        <f t="shared" ca="1" si="251"/>
        <v>0</v>
      </c>
      <c r="R750" s="205">
        <f ca="1">+IF(ISERROR(OFFSET(Tabella!$G$1,MATCH(J750,Tabella!$G:$G,0)-1,MATCH(K750,Tabella!$G$1:$FG$1,0)-1)=TRUE),0,OFFSET(Tabella!$G$1,MATCH(J750,Tabella!$G:$G,0)-1,MATCH(K750,Tabella!$G$1:$AB$1,0)-1))</f>
        <v>0</v>
      </c>
      <c r="S750" s="205">
        <f ca="1">IF(ISERROR(OFFSET(Ottone!$F$1,MATCH(J750,Ottone!$A:$A,0)-1,MATCH(K750,Ottone!$F$1:$FF$1,0)-1)=TRUE),0,OFFSET(Ottone!$F$1,MATCH(J750,Ottone!$A:$A,0)-1,MATCH(K750,Ottone!$F$1:$FF$1,0)-1))*IF(G750="Ottone",1,0)</f>
        <v>0</v>
      </c>
      <c r="T750" s="205">
        <f ca="1">IF(ISERROR(OFFSET(Rame!$F$1,MATCH(J750,Rame!$F:$F,0)-1,MATCH(K750,Rame!$F$1:$FF$1,0)-1)=TRUE),0,OFFSET(Rame!$F$1,MATCH(J750,Rame!$F:$F,0)-1,MATCH(K750,Rame!$F$1:$FF$1,0)-1))*IF(G750="Rame",1,0)</f>
        <v>0</v>
      </c>
      <c r="U750" s="205">
        <f ca="1">IF(ISERROR(OFFSET(Bronzo!$A$1,MATCH(J750,Bronzo!$A:$A,0)-1,MATCH(K750,Bronzo!$A$1:$AA$1,0)-1)=TRUE),0,OFFSET(Bronzo!$A$1,MATCH(J750,Bronzo!$A:$A,0)-1,MATCH(K750,Bronzo!$A$1:$AA$1,0)-1))</f>
        <v>0</v>
      </c>
      <c r="V750" s="205">
        <f t="shared" ca="1" si="252"/>
        <v>0</v>
      </c>
      <c r="W750" s="204"/>
      <c r="X750" s="205">
        <v>0</v>
      </c>
      <c r="Y750" s="206">
        <f t="shared" ca="1" si="253"/>
        <v>0</v>
      </c>
      <c r="Z750" s="277">
        <f t="shared" si="254"/>
        <v>0</v>
      </c>
      <c r="AA750" s="203"/>
      <c r="AB750" s="203">
        <f t="shared" ca="1" si="255"/>
        <v>0</v>
      </c>
      <c r="AC750" s="238"/>
      <c r="AI750" s="367">
        <f t="shared" ca="1" si="250"/>
        <v>46092</v>
      </c>
      <c r="AJ750" s="367" t="b">
        <f t="shared" si="256"/>
        <v>1</v>
      </c>
      <c r="AK750" s="370" t="str">
        <f t="shared" si="257"/>
        <v/>
      </c>
      <c r="AN750">
        <f t="shared" si="258"/>
        <v>0</v>
      </c>
      <c r="AO750">
        <f t="shared" si="259"/>
        <v>1900</v>
      </c>
      <c r="AV750">
        <f t="shared" si="260"/>
        <v>0</v>
      </c>
      <c r="AW750">
        <f t="shared" si="261"/>
        <v>0</v>
      </c>
    </row>
    <row r="751" spans="4:49" ht="15.75" x14ac:dyDescent="0.25">
      <c r="D751" s="199"/>
      <c r="E751" s="200"/>
      <c r="F751" s="287"/>
      <c r="G751" s="201"/>
      <c r="H751" s="219"/>
      <c r="I751" s="202"/>
      <c r="J751" s="200"/>
      <c r="K751" s="200"/>
      <c r="L751" s="203"/>
      <c r="M751" s="204">
        <f ca="1">IF(ISERROR(OFFSET(Tabella!$A$1,MATCH(J751,Tabella!$A:$A,0)-1,MATCH(L751,Tabella!$A$1:$AC$1,0)-1)=TRUE),0,+OFFSET(Tabella!$A$1,MATCH(J751,Tabella!$A:$A,0)-1,MATCH(L751,Tabella!$A$1:$AC$1,0)-1))</f>
        <v>0</v>
      </c>
      <c r="N751" s="205">
        <f ca="1">IF(ISERROR(OFFSET(Ottone!$A$1,MATCH(J751,Ottone!$A:$A,0)-1,MATCH(L751,Ottone!$A$1:$Z$1,0)-1)=TRUE),0,OFFSET(Ottone!$A$1,MATCH(J751,Ottone!$A:$A,0)-1,MATCH(L751,Ottone!$A$1:$Z$1,0)-1))*IF(G751="Ottone",1,0)</f>
        <v>0</v>
      </c>
      <c r="O751" s="205">
        <f ca="1">IF(ISERROR(OFFSET(Rame!$A$1,MATCH(J751,Rame!$A:$A,0)-1,MATCH(L751,Rame!$A$1:$AA$1,0)-1)=TRUE),0,OFFSET(Rame!$A$1,MATCH(J751,Rame!$A:$A,0)-1,MATCH(L751,Rame!$A$1:$AA$1,0)-1))*IF(G751="Rame",1,0)</f>
        <v>0</v>
      </c>
      <c r="P751" s="205">
        <v>0</v>
      </c>
      <c r="Q751" s="205">
        <f t="shared" ca="1" si="251"/>
        <v>0</v>
      </c>
      <c r="R751" s="205">
        <f ca="1">+IF(ISERROR(OFFSET(Tabella!$G$1,MATCH(J751,Tabella!$G:$G,0)-1,MATCH(K751,Tabella!$G$1:$FG$1,0)-1)=TRUE),0,OFFSET(Tabella!$G$1,MATCH(J751,Tabella!$G:$G,0)-1,MATCH(K751,Tabella!$G$1:$AB$1,0)-1))</f>
        <v>0</v>
      </c>
      <c r="S751" s="205">
        <f ca="1">IF(ISERROR(OFFSET(Ottone!$F$1,MATCH(J751,Ottone!$A:$A,0)-1,MATCH(K751,Ottone!$F$1:$FF$1,0)-1)=TRUE),0,OFFSET(Ottone!$F$1,MATCH(J751,Ottone!$A:$A,0)-1,MATCH(K751,Ottone!$F$1:$FF$1,0)-1))*IF(G751="Ottone",1,0)</f>
        <v>0</v>
      </c>
      <c r="T751" s="205">
        <f ca="1">IF(ISERROR(OFFSET(Rame!$F$1,MATCH(J751,Rame!$F:$F,0)-1,MATCH(K751,Rame!$F$1:$FF$1,0)-1)=TRUE),0,OFFSET(Rame!$F$1,MATCH(J751,Rame!$F:$F,0)-1,MATCH(K751,Rame!$F$1:$FF$1,0)-1))*IF(G751="Rame",1,0)</f>
        <v>0</v>
      </c>
      <c r="U751" s="205">
        <f ca="1">IF(ISERROR(OFFSET(Bronzo!$A$1,MATCH(J751,Bronzo!$A:$A,0)-1,MATCH(K751,Bronzo!$A$1:$AA$1,0)-1)=TRUE),0,OFFSET(Bronzo!$A$1,MATCH(J751,Bronzo!$A:$A,0)-1,MATCH(K751,Bronzo!$A$1:$AA$1,0)-1))</f>
        <v>0</v>
      </c>
      <c r="V751" s="205">
        <f t="shared" ca="1" si="252"/>
        <v>0</v>
      </c>
      <c r="W751" s="204"/>
      <c r="X751" s="205">
        <v>0</v>
      </c>
      <c r="Y751" s="206">
        <f t="shared" ca="1" si="253"/>
        <v>0</v>
      </c>
      <c r="Z751" s="277">
        <f t="shared" si="254"/>
        <v>0</v>
      </c>
      <c r="AA751" s="203"/>
      <c r="AB751" s="203">
        <f t="shared" ca="1" si="255"/>
        <v>0</v>
      </c>
      <c r="AC751" s="238"/>
      <c r="AI751" s="367">
        <f t="shared" ca="1" si="250"/>
        <v>46092</v>
      </c>
      <c r="AJ751" s="367" t="b">
        <f t="shared" si="256"/>
        <v>1</v>
      </c>
      <c r="AK751" s="370" t="str">
        <f t="shared" si="257"/>
        <v/>
      </c>
      <c r="AN751">
        <f t="shared" si="258"/>
        <v>0</v>
      </c>
      <c r="AO751">
        <f t="shared" si="259"/>
        <v>1900</v>
      </c>
      <c r="AV751">
        <f t="shared" si="260"/>
        <v>0</v>
      </c>
      <c r="AW751">
        <f t="shared" si="261"/>
        <v>0</v>
      </c>
    </row>
    <row r="752" spans="4:49" ht="15.75" x14ac:dyDescent="0.25">
      <c r="D752" s="199"/>
      <c r="E752" s="200"/>
      <c r="F752" s="287"/>
      <c r="G752" s="201"/>
      <c r="H752" s="219"/>
      <c r="I752" s="202"/>
      <c r="J752" s="200"/>
      <c r="K752" s="200"/>
      <c r="L752" s="203"/>
      <c r="M752" s="204">
        <f ca="1">IF(ISERROR(OFFSET(Tabella!$A$1,MATCH(J752,Tabella!$A:$A,0)-1,MATCH(L752,Tabella!$A$1:$AC$1,0)-1)=TRUE),0,+OFFSET(Tabella!$A$1,MATCH(J752,Tabella!$A:$A,0)-1,MATCH(L752,Tabella!$A$1:$AC$1,0)-1))</f>
        <v>0</v>
      </c>
      <c r="N752" s="205">
        <f ca="1">IF(ISERROR(OFFSET(Ottone!$A$1,MATCH(J752,Ottone!$A:$A,0)-1,MATCH(L752,Ottone!$A$1:$Z$1,0)-1)=TRUE),0,OFFSET(Ottone!$A$1,MATCH(J752,Ottone!$A:$A,0)-1,MATCH(L752,Ottone!$A$1:$Z$1,0)-1))*IF(G752="Ottone",1,0)</f>
        <v>0</v>
      </c>
      <c r="O752" s="205">
        <f ca="1">IF(ISERROR(OFFSET(Rame!$A$1,MATCH(J752,Rame!$A:$A,0)-1,MATCH(L752,Rame!$A$1:$AA$1,0)-1)=TRUE),0,OFFSET(Rame!$A$1,MATCH(J752,Rame!$A:$A,0)-1,MATCH(L752,Rame!$A$1:$AA$1,0)-1))*IF(G752="Rame",1,0)</f>
        <v>0</v>
      </c>
      <c r="P752" s="205">
        <v>0</v>
      </c>
      <c r="Q752" s="205">
        <f t="shared" ca="1" si="251"/>
        <v>0</v>
      </c>
      <c r="R752" s="205">
        <f ca="1">+IF(ISERROR(OFFSET(Tabella!$G$1,MATCH(J752,Tabella!$G:$G,0)-1,MATCH(K752,Tabella!$G$1:$FG$1,0)-1)=TRUE),0,OFFSET(Tabella!$G$1,MATCH(J752,Tabella!$G:$G,0)-1,MATCH(K752,Tabella!$G$1:$AB$1,0)-1))</f>
        <v>0</v>
      </c>
      <c r="S752" s="205">
        <f ca="1">IF(ISERROR(OFFSET(Ottone!$F$1,MATCH(J752,Ottone!$A:$A,0)-1,MATCH(K752,Ottone!$F$1:$FF$1,0)-1)=TRUE),0,OFFSET(Ottone!$F$1,MATCH(J752,Ottone!$A:$A,0)-1,MATCH(K752,Ottone!$F$1:$FF$1,0)-1))*IF(G752="Ottone",1,0)</f>
        <v>0</v>
      </c>
      <c r="T752" s="205">
        <f ca="1">IF(ISERROR(OFFSET(Rame!$F$1,MATCH(J752,Rame!$F:$F,0)-1,MATCH(K752,Rame!$F$1:$FF$1,0)-1)=TRUE),0,OFFSET(Rame!$F$1,MATCH(J752,Rame!$F:$F,0)-1,MATCH(K752,Rame!$F$1:$FF$1,0)-1))*IF(G752="Rame",1,0)</f>
        <v>0</v>
      </c>
      <c r="U752" s="205">
        <f ca="1">IF(ISERROR(OFFSET(Bronzo!$A$1,MATCH(J752,Bronzo!$A:$A,0)-1,MATCH(K752,Bronzo!$A$1:$AA$1,0)-1)=TRUE),0,OFFSET(Bronzo!$A$1,MATCH(J752,Bronzo!$A:$A,0)-1,MATCH(K752,Bronzo!$A$1:$AA$1,0)-1))</f>
        <v>0</v>
      </c>
      <c r="V752" s="205">
        <f t="shared" ca="1" si="252"/>
        <v>0</v>
      </c>
      <c r="W752" s="204"/>
      <c r="X752" s="205">
        <v>0</v>
      </c>
      <c r="Y752" s="206">
        <f t="shared" ca="1" si="253"/>
        <v>0</v>
      </c>
      <c r="Z752" s="277">
        <f t="shared" si="254"/>
        <v>0</v>
      </c>
      <c r="AA752" s="203"/>
      <c r="AB752" s="203">
        <f t="shared" ca="1" si="255"/>
        <v>0</v>
      </c>
      <c r="AC752" s="238"/>
      <c r="AI752" s="367">
        <f t="shared" ca="1" si="250"/>
        <v>46092</v>
      </c>
      <c r="AJ752" s="367" t="b">
        <f t="shared" si="256"/>
        <v>1</v>
      </c>
      <c r="AK752" s="370" t="str">
        <f t="shared" si="257"/>
        <v/>
      </c>
      <c r="AN752">
        <f t="shared" si="258"/>
        <v>0</v>
      </c>
      <c r="AO752">
        <f t="shared" si="259"/>
        <v>1900</v>
      </c>
      <c r="AV752">
        <f t="shared" si="260"/>
        <v>0</v>
      </c>
      <c r="AW752">
        <f t="shared" si="261"/>
        <v>0</v>
      </c>
    </row>
    <row r="753" spans="4:49" ht="15.75" x14ac:dyDescent="0.25">
      <c r="D753" s="199"/>
      <c r="E753" s="200"/>
      <c r="F753" s="287"/>
      <c r="G753" s="201"/>
      <c r="H753" s="219"/>
      <c r="I753" s="202"/>
      <c r="J753" s="200"/>
      <c r="K753" s="200"/>
      <c r="L753" s="203"/>
      <c r="M753" s="204">
        <f ca="1">IF(ISERROR(OFFSET(Tabella!$A$1,MATCH(J753,Tabella!$A:$A,0)-1,MATCH(L753,Tabella!$A$1:$AC$1,0)-1)=TRUE),0,+OFFSET(Tabella!$A$1,MATCH(J753,Tabella!$A:$A,0)-1,MATCH(L753,Tabella!$A$1:$AC$1,0)-1))</f>
        <v>0</v>
      </c>
      <c r="N753" s="205">
        <f ca="1">IF(ISERROR(OFFSET(Ottone!$A$1,MATCH(J753,Ottone!$A:$A,0)-1,MATCH(L753,Ottone!$A$1:$Z$1,0)-1)=TRUE),0,OFFSET(Ottone!$A$1,MATCH(J753,Ottone!$A:$A,0)-1,MATCH(L753,Ottone!$A$1:$Z$1,0)-1))*IF(G753="Ottone",1,0)</f>
        <v>0</v>
      </c>
      <c r="O753" s="205">
        <f ca="1">IF(ISERROR(OFFSET(Rame!$A$1,MATCH(J753,Rame!$A:$A,0)-1,MATCH(L753,Rame!$A$1:$AA$1,0)-1)=TRUE),0,OFFSET(Rame!$A$1,MATCH(J753,Rame!$A:$A,0)-1,MATCH(L753,Rame!$A$1:$AA$1,0)-1))*IF(G753="Rame",1,0)</f>
        <v>0</v>
      </c>
      <c r="P753" s="205">
        <v>0</v>
      </c>
      <c r="Q753" s="205">
        <f t="shared" ca="1" si="251"/>
        <v>0</v>
      </c>
      <c r="R753" s="205">
        <f ca="1">+IF(ISERROR(OFFSET(Tabella!$G$1,MATCH(J753,Tabella!$G:$G,0)-1,MATCH(K753,Tabella!$G$1:$FG$1,0)-1)=TRUE),0,OFFSET(Tabella!$G$1,MATCH(J753,Tabella!$G:$G,0)-1,MATCH(K753,Tabella!$G$1:$AB$1,0)-1))</f>
        <v>0</v>
      </c>
      <c r="S753" s="205">
        <f ca="1">IF(ISERROR(OFFSET(Ottone!$F$1,MATCH(J753,Ottone!$A:$A,0)-1,MATCH(K753,Ottone!$F$1:$FF$1,0)-1)=TRUE),0,OFFSET(Ottone!$F$1,MATCH(J753,Ottone!$A:$A,0)-1,MATCH(K753,Ottone!$F$1:$FF$1,0)-1))*IF(G753="Ottone",1,0)</f>
        <v>0</v>
      </c>
      <c r="T753" s="205">
        <f ca="1">IF(ISERROR(OFFSET(Rame!$F$1,MATCH(J753,Rame!$F:$F,0)-1,MATCH(K753,Rame!$F$1:$FF$1,0)-1)=TRUE),0,OFFSET(Rame!$F$1,MATCH(J753,Rame!$F:$F,0)-1,MATCH(K753,Rame!$F$1:$FF$1,0)-1))*IF(G753="Rame",1,0)</f>
        <v>0</v>
      </c>
      <c r="U753" s="205">
        <f ca="1">IF(ISERROR(OFFSET(Bronzo!$A$1,MATCH(J753,Bronzo!$A:$A,0)-1,MATCH(K753,Bronzo!$A$1:$AA$1,0)-1)=TRUE),0,OFFSET(Bronzo!$A$1,MATCH(J753,Bronzo!$A:$A,0)-1,MATCH(K753,Bronzo!$A$1:$AA$1,0)-1))</f>
        <v>0</v>
      </c>
      <c r="V753" s="205">
        <f t="shared" ca="1" si="252"/>
        <v>0</v>
      </c>
      <c r="W753" s="204"/>
      <c r="X753" s="205">
        <v>0</v>
      </c>
      <c r="Y753" s="206">
        <f t="shared" ca="1" si="253"/>
        <v>0</v>
      </c>
      <c r="Z753" s="277">
        <f t="shared" si="254"/>
        <v>0</v>
      </c>
      <c r="AA753" s="203"/>
      <c r="AB753" s="203">
        <f t="shared" ca="1" si="255"/>
        <v>0</v>
      </c>
      <c r="AC753" s="238"/>
      <c r="AI753" s="367">
        <f t="shared" ca="1" si="250"/>
        <v>46092</v>
      </c>
      <c r="AJ753" s="367" t="b">
        <f t="shared" si="256"/>
        <v>1</v>
      </c>
      <c r="AK753" s="370" t="str">
        <f t="shared" si="257"/>
        <v/>
      </c>
      <c r="AN753">
        <f t="shared" si="258"/>
        <v>0</v>
      </c>
      <c r="AO753">
        <f t="shared" si="259"/>
        <v>1900</v>
      </c>
      <c r="AV753">
        <f t="shared" si="260"/>
        <v>0</v>
      </c>
      <c r="AW753">
        <f t="shared" si="261"/>
        <v>0</v>
      </c>
    </row>
    <row r="754" spans="4:49" ht="15.75" x14ac:dyDescent="0.25">
      <c r="D754" s="199"/>
      <c r="E754" s="200"/>
      <c r="F754" s="287"/>
      <c r="G754" s="201"/>
      <c r="H754" s="219"/>
      <c r="I754" s="202"/>
      <c r="J754" s="200"/>
      <c r="K754" s="200"/>
      <c r="L754" s="203"/>
      <c r="M754" s="204">
        <f ca="1">IF(ISERROR(OFFSET(Tabella!$A$1,MATCH(J754,Tabella!$A:$A,0)-1,MATCH(L754,Tabella!$A$1:$AC$1,0)-1)=TRUE),0,+OFFSET(Tabella!$A$1,MATCH(J754,Tabella!$A:$A,0)-1,MATCH(L754,Tabella!$A$1:$AC$1,0)-1))</f>
        <v>0</v>
      </c>
      <c r="N754" s="205">
        <f ca="1">IF(ISERROR(OFFSET(Ottone!$A$1,MATCH(J754,Ottone!$A:$A,0)-1,MATCH(L754,Ottone!$A$1:$Z$1,0)-1)=TRUE),0,OFFSET(Ottone!$A$1,MATCH(J754,Ottone!$A:$A,0)-1,MATCH(L754,Ottone!$A$1:$Z$1,0)-1))*IF(G754="Ottone",1,0)</f>
        <v>0</v>
      </c>
      <c r="O754" s="205">
        <f ca="1">IF(ISERROR(OFFSET(Rame!$A$1,MATCH(J754,Rame!$A:$A,0)-1,MATCH(L754,Rame!$A$1:$AA$1,0)-1)=TRUE),0,OFFSET(Rame!$A$1,MATCH(J754,Rame!$A:$A,0)-1,MATCH(L754,Rame!$A$1:$AA$1,0)-1))*IF(G754="Rame",1,0)</f>
        <v>0</v>
      </c>
      <c r="P754" s="205">
        <v>0</v>
      </c>
      <c r="Q754" s="205">
        <f t="shared" ca="1" si="251"/>
        <v>0</v>
      </c>
      <c r="R754" s="205">
        <f ca="1">+IF(ISERROR(OFFSET(Tabella!$G$1,MATCH(J754,Tabella!$G:$G,0)-1,MATCH(K754,Tabella!$G$1:$FG$1,0)-1)=TRUE),0,OFFSET(Tabella!$G$1,MATCH(J754,Tabella!$G:$G,0)-1,MATCH(K754,Tabella!$G$1:$AB$1,0)-1))</f>
        <v>0</v>
      </c>
      <c r="S754" s="205">
        <f ca="1">IF(ISERROR(OFFSET(Ottone!$F$1,MATCH(J754,Ottone!$A:$A,0)-1,MATCH(K754,Ottone!$F$1:$FF$1,0)-1)=TRUE),0,OFFSET(Ottone!$F$1,MATCH(J754,Ottone!$A:$A,0)-1,MATCH(K754,Ottone!$F$1:$FF$1,0)-1))*IF(G754="Ottone",1,0)</f>
        <v>0</v>
      </c>
      <c r="T754" s="205">
        <f ca="1">IF(ISERROR(OFFSET(Rame!$F$1,MATCH(J754,Rame!$F:$F,0)-1,MATCH(K754,Rame!$F$1:$FF$1,0)-1)=TRUE),0,OFFSET(Rame!$F$1,MATCH(J754,Rame!$F:$F,0)-1,MATCH(K754,Rame!$F$1:$FF$1,0)-1))*IF(G754="Rame",1,0)</f>
        <v>0</v>
      </c>
      <c r="U754" s="205">
        <f ca="1">IF(ISERROR(OFFSET(Bronzo!$A$1,MATCH(J754,Bronzo!$A:$A,0)-1,MATCH(K754,Bronzo!$A$1:$AA$1,0)-1)=TRUE),0,OFFSET(Bronzo!$A$1,MATCH(J754,Bronzo!$A:$A,0)-1,MATCH(K754,Bronzo!$A$1:$AA$1,0)-1))</f>
        <v>0</v>
      </c>
      <c r="V754" s="205">
        <f t="shared" ca="1" si="252"/>
        <v>0</v>
      </c>
      <c r="W754" s="204"/>
      <c r="X754" s="205">
        <v>0</v>
      </c>
      <c r="Y754" s="206">
        <f t="shared" ca="1" si="253"/>
        <v>0</v>
      </c>
      <c r="Z754" s="277">
        <f t="shared" si="254"/>
        <v>0</v>
      </c>
      <c r="AA754" s="203"/>
      <c r="AB754" s="203">
        <f t="shared" ca="1" si="255"/>
        <v>0</v>
      </c>
      <c r="AC754" s="238"/>
      <c r="AI754" s="367">
        <f t="shared" ca="1" si="250"/>
        <v>46092</v>
      </c>
      <c r="AJ754" s="367" t="b">
        <f t="shared" si="256"/>
        <v>1</v>
      </c>
      <c r="AK754" s="370" t="str">
        <f t="shared" si="257"/>
        <v/>
      </c>
      <c r="AN754">
        <f t="shared" si="258"/>
        <v>0</v>
      </c>
      <c r="AO754">
        <f t="shared" si="259"/>
        <v>1900</v>
      </c>
      <c r="AV754">
        <f t="shared" si="260"/>
        <v>0</v>
      </c>
      <c r="AW754">
        <f t="shared" si="261"/>
        <v>0</v>
      </c>
    </row>
    <row r="755" spans="4:49" ht="15.75" x14ac:dyDescent="0.25">
      <c r="D755" s="199"/>
      <c r="E755" s="200"/>
      <c r="F755" s="287"/>
      <c r="G755" s="201"/>
      <c r="H755" s="219"/>
      <c r="I755" s="202"/>
      <c r="J755" s="200"/>
      <c r="K755" s="200"/>
      <c r="L755" s="203"/>
      <c r="M755" s="204">
        <f ca="1">IF(ISERROR(OFFSET(Tabella!$A$1,MATCH(J755,Tabella!$A:$A,0)-1,MATCH(L755,Tabella!$A$1:$AC$1,0)-1)=TRUE),0,+OFFSET(Tabella!$A$1,MATCH(J755,Tabella!$A:$A,0)-1,MATCH(L755,Tabella!$A$1:$AC$1,0)-1))</f>
        <v>0</v>
      </c>
      <c r="N755" s="205">
        <f ca="1">IF(ISERROR(OFFSET(Ottone!$A$1,MATCH(J755,Ottone!$A:$A,0)-1,MATCH(L755,Ottone!$A$1:$Z$1,0)-1)=TRUE),0,OFFSET(Ottone!$A$1,MATCH(J755,Ottone!$A:$A,0)-1,MATCH(L755,Ottone!$A$1:$Z$1,0)-1))*IF(G755="Ottone",1,0)</f>
        <v>0</v>
      </c>
      <c r="O755" s="205">
        <f ca="1">IF(ISERROR(OFFSET(Rame!$A$1,MATCH(J755,Rame!$A:$A,0)-1,MATCH(L755,Rame!$A$1:$AA$1,0)-1)=TRUE),0,OFFSET(Rame!$A$1,MATCH(J755,Rame!$A:$A,0)-1,MATCH(L755,Rame!$A$1:$AA$1,0)-1))*IF(G755="Rame",1,0)</f>
        <v>0</v>
      </c>
      <c r="P755" s="205">
        <v>0</v>
      </c>
      <c r="Q755" s="205">
        <f t="shared" ca="1" si="251"/>
        <v>0</v>
      </c>
      <c r="R755" s="205">
        <f ca="1">+IF(ISERROR(OFFSET(Tabella!$G$1,MATCH(J755,Tabella!$G:$G,0)-1,MATCH(K755,Tabella!$G$1:$FG$1,0)-1)=TRUE),0,OFFSET(Tabella!$G$1,MATCH(J755,Tabella!$G:$G,0)-1,MATCH(K755,Tabella!$G$1:$AB$1,0)-1))</f>
        <v>0</v>
      </c>
      <c r="S755" s="205">
        <f ca="1">IF(ISERROR(OFFSET(Ottone!$F$1,MATCH(J755,Ottone!$A:$A,0)-1,MATCH(K755,Ottone!$F$1:$FF$1,0)-1)=TRUE),0,OFFSET(Ottone!$F$1,MATCH(J755,Ottone!$A:$A,0)-1,MATCH(K755,Ottone!$F$1:$FF$1,0)-1))*IF(G755="Ottone",1,0)</f>
        <v>0</v>
      </c>
      <c r="T755" s="205">
        <f ca="1">IF(ISERROR(OFFSET(Rame!$F$1,MATCH(J755,Rame!$F:$F,0)-1,MATCH(K755,Rame!$F$1:$FF$1,0)-1)=TRUE),0,OFFSET(Rame!$F$1,MATCH(J755,Rame!$F:$F,0)-1,MATCH(K755,Rame!$F$1:$FF$1,0)-1))*IF(G755="Rame",1,0)</f>
        <v>0</v>
      </c>
      <c r="U755" s="205">
        <f ca="1">IF(ISERROR(OFFSET(Bronzo!$A$1,MATCH(J755,Bronzo!$A:$A,0)-1,MATCH(K755,Bronzo!$A$1:$AA$1,0)-1)=TRUE),0,OFFSET(Bronzo!$A$1,MATCH(J755,Bronzo!$A:$A,0)-1,MATCH(K755,Bronzo!$A$1:$AA$1,0)-1))</f>
        <v>0</v>
      </c>
      <c r="V755" s="205">
        <f t="shared" ca="1" si="252"/>
        <v>0</v>
      </c>
      <c r="W755" s="204"/>
      <c r="X755" s="205">
        <v>0</v>
      </c>
      <c r="Y755" s="206">
        <f t="shared" ca="1" si="253"/>
        <v>0</v>
      </c>
      <c r="Z755" s="277">
        <f t="shared" si="254"/>
        <v>0</v>
      </c>
      <c r="AA755" s="203"/>
      <c r="AB755" s="203">
        <f t="shared" ca="1" si="255"/>
        <v>0</v>
      </c>
      <c r="AC755" s="238"/>
      <c r="AI755" s="367">
        <f t="shared" ca="1" si="250"/>
        <v>46092</v>
      </c>
      <c r="AJ755" s="367" t="b">
        <f t="shared" si="256"/>
        <v>1</v>
      </c>
      <c r="AK755" s="370" t="str">
        <f t="shared" si="257"/>
        <v/>
      </c>
      <c r="AN755">
        <f t="shared" si="258"/>
        <v>0</v>
      </c>
      <c r="AO755">
        <f t="shared" si="259"/>
        <v>1900</v>
      </c>
      <c r="AV755">
        <f t="shared" si="260"/>
        <v>0</v>
      </c>
      <c r="AW755">
        <f t="shared" si="261"/>
        <v>0</v>
      </c>
    </row>
    <row r="756" spans="4:49" ht="15.75" x14ac:dyDescent="0.25">
      <c r="D756" s="199"/>
      <c r="E756" s="200"/>
      <c r="F756" s="287"/>
      <c r="G756" s="201"/>
      <c r="H756" s="219"/>
      <c r="I756" s="202"/>
      <c r="J756" s="200"/>
      <c r="K756" s="200"/>
      <c r="L756" s="203"/>
      <c r="M756" s="204">
        <f ca="1">IF(ISERROR(OFFSET(Tabella!$A$1,MATCH(J756,Tabella!$A:$A,0)-1,MATCH(L756,Tabella!$A$1:$AC$1,0)-1)=TRUE),0,+OFFSET(Tabella!$A$1,MATCH(J756,Tabella!$A:$A,0)-1,MATCH(L756,Tabella!$A$1:$AC$1,0)-1))</f>
        <v>0</v>
      </c>
      <c r="N756" s="205">
        <f ca="1">IF(ISERROR(OFFSET(Ottone!$A$1,MATCH(J756,Ottone!$A:$A,0)-1,MATCH(L756,Ottone!$A$1:$Z$1,0)-1)=TRUE),0,OFFSET(Ottone!$A$1,MATCH(J756,Ottone!$A:$A,0)-1,MATCH(L756,Ottone!$A$1:$Z$1,0)-1))*IF(G756="Ottone",1,0)</f>
        <v>0</v>
      </c>
      <c r="O756" s="205">
        <f ca="1">IF(ISERROR(OFFSET(Rame!$A$1,MATCH(J756,Rame!$A:$A,0)-1,MATCH(L756,Rame!$A$1:$AA$1,0)-1)=TRUE),0,OFFSET(Rame!$A$1,MATCH(J756,Rame!$A:$A,0)-1,MATCH(L756,Rame!$A$1:$AA$1,0)-1))*IF(G756="Rame",1,0)</f>
        <v>0</v>
      </c>
      <c r="P756" s="205">
        <v>0</v>
      </c>
      <c r="Q756" s="205">
        <f t="shared" ca="1" si="251"/>
        <v>0</v>
      </c>
      <c r="R756" s="205">
        <f ca="1">+IF(ISERROR(OFFSET(Tabella!$G$1,MATCH(J756,Tabella!$G:$G,0)-1,MATCH(K756,Tabella!$G$1:$FG$1,0)-1)=TRUE),0,OFFSET(Tabella!$G$1,MATCH(J756,Tabella!$G:$G,0)-1,MATCH(K756,Tabella!$G$1:$AB$1,0)-1))</f>
        <v>0</v>
      </c>
      <c r="S756" s="205">
        <f ca="1">IF(ISERROR(OFFSET(Ottone!$F$1,MATCH(J756,Ottone!$A:$A,0)-1,MATCH(K756,Ottone!$F$1:$FF$1,0)-1)=TRUE),0,OFFSET(Ottone!$F$1,MATCH(J756,Ottone!$A:$A,0)-1,MATCH(K756,Ottone!$F$1:$FF$1,0)-1))*IF(G756="Ottone",1,0)</f>
        <v>0</v>
      </c>
      <c r="T756" s="205">
        <f ca="1">IF(ISERROR(OFFSET(Rame!$F$1,MATCH(J756,Rame!$F:$F,0)-1,MATCH(K756,Rame!$F$1:$FF$1,0)-1)=TRUE),0,OFFSET(Rame!$F$1,MATCH(J756,Rame!$F:$F,0)-1,MATCH(K756,Rame!$F$1:$FF$1,0)-1))*IF(G756="Rame",1,0)</f>
        <v>0</v>
      </c>
      <c r="U756" s="205">
        <f ca="1">IF(ISERROR(OFFSET(Bronzo!$A$1,MATCH(J756,Bronzo!$A:$A,0)-1,MATCH(K756,Bronzo!$A$1:$AA$1,0)-1)=TRUE),0,OFFSET(Bronzo!$A$1,MATCH(J756,Bronzo!$A:$A,0)-1,MATCH(K756,Bronzo!$A$1:$AA$1,0)-1))</f>
        <v>0</v>
      </c>
      <c r="V756" s="205">
        <f t="shared" ca="1" si="252"/>
        <v>0</v>
      </c>
      <c r="W756" s="204"/>
      <c r="X756" s="205">
        <v>0</v>
      </c>
      <c r="Y756" s="206">
        <f t="shared" ca="1" si="253"/>
        <v>0</v>
      </c>
      <c r="Z756" s="277">
        <f t="shared" si="254"/>
        <v>0</v>
      </c>
      <c r="AA756" s="203"/>
      <c r="AB756" s="203">
        <f t="shared" ca="1" si="255"/>
        <v>0</v>
      </c>
      <c r="AC756" s="238"/>
      <c r="AI756" s="367">
        <f t="shared" ca="1" si="250"/>
        <v>46092</v>
      </c>
      <c r="AJ756" s="367" t="b">
        <f t="shared" si="256"/>
        <v>1</v>
      </c>
      <c r="AK756" s="370" t="str">
        <f t="shared" si="257"/>
        <v/>
      </c>
      <c r="AN756">
        <f t="shared" si="258"/>
        <v>0</v>
      </c>
      <c r="AO756">
        <f t="shared" si="259"/>
        <v>1900</v>
      </c>
      <c r="AV756">
        <f t="shared" si="260"/>
        <v>0</v>
      </c>
      <c r="AW756">
        <f t="shared" si="261"/>
        <v>0</v>
      </c>
    </row>
    <row r="757" spans="4:49" ht="15.75" x14ac:dyDescent="0.25">
      <c r="D757" s="199"/>
      <c r="E757" s="200"/>
      <c r="F757" s="287"/>
      <c r="G757" s="201"/>
      <c r="H757" s="219"/>
      <c r="I757" s="202"/>
      <c r="J757" s="200"/>
      <c r="K757" s="200"/>
      <c r="L757" s="203"/>
      <c r="M757" s="204">
        <f ca="1">IF(ISERROR(OFFSET(Tabella!$A$1,MATCH(J757,Tabella!$A:$A,0)-1,MATCH(L757,Tabella!$A$1:$AC$1,0)-1)=TRUE),0,+OFFSET(Tabella!$A$1,MATCH(J757,Tabella!$A:$A,0)-1,MATCH(L757,Tabella!$A$1:$AC$1,0)-1))</f>
        <v>0</v>
      </c>
      <c r="N757" s="205">
        <f ca="1">IF(ISERROR(OFFSET(Ottone!$A$1,MATCH(J757,Ottone!$A:$A,0)-1,MATCH(L757,Ottone!$A$1:$Z$1,0)-1)=TRUE),0,OFFSET(Ottone!$A$1,MATCH(J757,Ottone!$A:$A,0)-1,MATCH(L757,Ottone!$A$1:$Z$1,0)-1))*IF(G757="Ottone",1,0)</f>
        <v>0</v>
      </c>
      <c r="O757" s="205">
        <f ca="1">IF(ISERROR(OFFSET(Rame!$A$1,MATCH(J757,Rame!$A:$A,0)-1,MATCH(L757,Rame!$A$1:$AA$1,0)-1)=TRUE),0,OFFSET(Rame!$A$1,MATCH(J757,Rame!$A:$A,0)-1,MATCH(L757,Rame!$A$1:$AA$1,0)-1))*IF(G757="Rame",1,0)</f>
        <v>0</v>
      </c>
      <c r="P757" s="205">
        <v>0</v>
      </c>
      <c r="Q757" s="205">
        <f t="shared" ca="1" si="251"/>
        <v>0</v>
      </c>
      <c r="R757" s="205">
        <f ca="1">+IF(ISERROR(OFFSET(Tabella!$G$1,MATCH(J757,Tabella!$G:$G,0)-1,MATCH(K757,Tabella!$G$1:$FG$1,0)-1)=TRUE),0,OFFSET(Tabella!$G$1,MATCH(J757,Tabella!$G:$G,0)-1,MATCH(K757,Tabella!$G$1:$AB$1,0)-1))</f>
        <v>0</v>
      </c>
      <c r="S757" s="205">
        <f ca="1">IF(ISERROR(OFFSET(Ottone!$F$1,MATCH(J757,Ottone!$A:$A,0)-1,MATCH(K757,Ottone!$F$1:$FF$1,0)-1)=TRUE),0,OFFSET(Ottone!$F$1,MATCH(J757,Ottone!$A:$A,0)-1,MATCH(K757,Ottone!$F$1:$FF$1,0)-1))*IF(G757="Ottone",1,0)</f>
        <v>0</v>
      </c>
      <c r="T757" s="205">
        <f ca="1">IF(ISERROR(OFFSET(Rame!$F$1,MATCH(J757,Rame!$F:$F,0)-1,MATCH(K757,Rame!$F$1:$FF$1,0)-1)=TRUE),0,OFFSET(Rame!$F$1,MATCH(J757,Rame!$F:$F,0)-1,MATCH(K757,Rame!$F$1:$FF$1,0)-1))*IF(G757="Rame",1,0)</f>
        <v>0</v>
      </c>
      <c r="U757" s="205">
        <f ca="1">IF(ISERROR(OFFSET(Bronzo!$A$1,MATCH(J757,Bronzo!$A:$A,0)-1,MATCH(K757,Bronzo!$A$1:$AA$1,0)-1)=TRUE),0,OFFSET(Bronzo!$A$1,MATCH(J757,Bronzo!$A:$A,0)-1,MATCH(K757,Bronzo!$A$1:$AA$1,0)-1))</f>
        <v>0</v>
      </c>
      <c r="V757" s="205">
        <f t="shared" ca="1" si="252"/>
        <v>0</v>
      </c>
      <c r="W757" s="204"/>
      <c r="X757" s="205">
        <v>0</v>
      </c>
      <c r="Y757" s="206">
        <f t="shared" ca="1" si="253"/>
        <v>0</v>
      </c>
      <c r="Z757" s="277">
        <f t="shared" si="254"/>
        <v>0</v>
      </c>
      <c r="AA757" s="203"/>
      <c r="AB757" s="203">
        <f t="shared" ca="1" si="255"/>
        <v>0</v>
      </c>
      <c r="AC757" s="238"/>
      <c r="AI757" s="367">
        <f t="shared" ca="1" si="250"/>
        <v>46092</v>
      </c>
      <c r="AJ757" s="367" t="b">
        <f t="shared" si="256"/>
        <v>1</v>
      </c>
      <c r="AK757" s="370" t="str">
        <f t="shared" si="257"/>
        <v/>
      </c>
      <c r="AN757">
        <f t="shared" si="258"/>
        <v>0</v>
      </c>
      <c r="AO757">
        <f t="shared" si="259"/>
        <v>1900</v>
      </c>
      <c r="AV757">
        <f t="shared" si="260"/>
        <v>0</v>
      </c>
      <c r="AW757">
        <f t="shared" si="261"/>
        <v>0</v>
      </c>
    </row>
    <row r="758" spans="4:49" ht="15.75" x14ac:dyDescent="0.25">
      <c r="D758" s="199"/>
      <c r="E758" s="200"/>
      <c r="F758" s="287"/>
      <c r="G758" s="201"/>
      <c r="H758" s="219"/>
      <c r="I758" s="202"/>
      <c r="J758" s="200"/>
      <c r="K758" s="200"/>
      <c r="L758" s="203"/>
      <c r="M758" s="204">
        <f ca="1">IF(ISERROR(OFFSET(Tabella!$A$1,MATCH(J758,Tabella!$A:$A,0)-1,MATCH(L758,Tabella!$A$1:$AC$1,0)-1)=TRUE),0,+OFFSET(Tabella!$A$1,MATCH(J758,Tabella!$A:$A,0)-1,MATCH(L758,Tabella!$A$1:$AC$1,0)-1))</f>
        <v>0</v>
      </c>
      <c r="N758" s="205">
        <f ca="1">IF(ISERROR(OFFSET(Ottone!$A$1,MATCH(J758,Ottone!$A:$A,0)-1,MATCH(L758,Ottone!$A$1:$Z$1,0)-1)=TRUE),0,OFFSET(Ottone!$A$1,MATCH(J758,Ottone!$A:$A,0)-1,MATCH(L758,Ottone!$A$1:$Z$1,0)-1))*IF(G758="Ottone",1,0)</f>
        <v>0</v>
      </c>
      <c r="O758" s="205">
        <f ca="1">IF(ISERROR(OFFSET(Rame!$A$1,MATCH(J758,Rame!$A:$A,0)-1,MATCH(L758,Rame!$A$1:$AA$1,0)-1)=TRUE),0,OFFSET(Rame!$A$1,MATCH(J758,Rame!$A:$A,0)-1,MATCH(L758,Rame!$A$1:$AA$1,0)-1))*IF(G758="Rame",1,0)</f>
        <v>0</v>
      </c>
      <c r="P758" s="205">
        <v>0</v>
      </c>
      <c r="Q758" s="205">
        <f t="shared" ca="1" si="251"/>
        <v>0</v>
      </c>
      <c r="R758" s="205">
        <f ca="1">+IF(ISERROR(OFFSET(Tabella!$G$1,MATCH(J758,Tabella!$G:$G,0)-1,MATCH(K758,Tabella!$G$1:$FG$1,0)-1)=TRUE),0,OFFSET(Tabella!$G$1,MATCH(J758,Tabella!$G:$G,0)-1,MATCH(K758,Tabella!$G$1:$AB$1,0)-1))</f>
        <v>0</v>
      </c>
      <c r="S758" s="205">
        <f ca="1">IF(ISERROR(OFFSET(Ottone!$F$1,MATCH(J758,Ottone!$A:$A,0)-1,MATCH(K758,Ottone!$F$1:$FF$1,0)-1)=TRUE),0,OFFSET(Ottone!$F$1,MATCH(J758,Ottone!$A:$A,0)-1,MATCH(K758,Ottone!$F$1:$FF$1,0)-1))*IF(G758="Ottone",1,0)</f>
        <v>0</v>
      </c>
      <c r="T758" s="205">
        <f ca="1">IF(ISERROR(OFFSET(Rame!$F$1,MATCH(J758,Rame!$F:$F,0)-1,MATCH(K758,Rame!$F$1:$FF$1,0)-1)=TRUE),0,OFFSET(Rame!$F$1,MATCH(J758,Rame!$F:$F,0)-1,MATCH(K758,Rame!$F$1:$FF$1,0)-1))*IF(G758="Rame",1,0)</f>
        <v>0</v>
      </c>
      <c r="U758" s="205">
        <f ca="1">IF(ISERROR(OFFSET(Bronzo!$A$1,MATCH(J758,Bronzo!$A:$A,0)-1,MATCH(K758,Bronzo!$A$1:$AA$1,0)-1)=TRUE),0,OFFSET(Bronzo!$A$1,MATCH(J758,Bronzo!$A:$A,0)-1,MATCH(K758,Bronzo!$A$1:$AA$1,0)-1))</f>
        <v>0</v>
      </c>
      <c r="V758" s="205">
        <f t="shared" ca="1" si="252"/>
        <v>0</v>
      </c>
      <c r="W758" s="204"/>
      <c r="X758" s="205">
        <v>0</v>
      </c>
      <c r="Y758" s="206">
        <f t="shared" ca="1" si="253"/>
        <v>0</v>
      </c>
      <c r="Z758" s="277">
        <f t="shared" si="254"/>
        <v>0</v>
      </c>
      <c r="AA758" s="203"/>
      <c r="AB758" s="203">
        <f t="shared" ca="1" si="255"/>
        <v>0</v>
      </c>
      <c r="AC758" s="238"/>
      <c r="AI758" s="367">
        <f t="shared" ca="1" si="250"/>
        <v>46092</v>
      </c>
      <c r="AJ758" s="367" t="b">
        <f t="shared" si="256"/>
        <v>1</v>
      </c>
      <c r="AK758" s="370" t="str">
        <f t="shared" si="257"/>
        <v/>
      </c>
      <c r="AN758">
        <f t="shared" si="258"/>
        <v>0</v>
      </c>
      <c r="AO758">
        <f t="shared" si="259"/>
        <v>1900</v>
      </c>
      <c r="AV758">
        <f t="shared" si="260"/>
        <v>0</v>
      </c>
      <c r="AW758">
        <f t="shared" si="261"/>
        <v>0</v>
      </c>
    </row>
    <row r="759" spans="4:49" ht="15.75" x14ac:dyDescent="0.25">
      <c r="D759" s="199"/>
      <c r="E759" s="200"/>
      <c r="F759" s="287"/>
      <c r="G759" s="201"/>
      <c r="H759" s="219"/>
      <c r="I759" s="202"/>
      <c r="J759" s="200"/>
      <c r="K759" s="200"/>
      <c r="L759" s="203"/>
      <c r="M759" s="204">
        <f ca="1">IF(ISERROR(OFFSET(Tabella!$A$1,MATCH(J759,Tabella!$A:$A,0)-1,MATCH(L759,Tabella!$A$1:$AC$1,0)-1)=TRUE),0,+OFFSET(Tabella!$A$1,MATCH(J759,Tabella!$A:$A,0)-1,MATCH(L759,Tabella!$A$1:$AC$1,0)-1))</f>
        <v>0</v>
      </c>
      <c r="N759" s="205">
        <f ca="1">IF(ISERROR(OFFSET(Ottone!$A$1,MATCH(J759,Ottone!$A:$A,0)-1,MATCH(L759,Ottone!$A$1:$Z$1,0)-1)=TRUE),0,OFFSET(Ottone!$A$1,MATCH(J759,Ottone!$A:$A,0)-1,MATCH(L759,Ottone!$A$1:$Z$1,0)-1))*IF(G759="Ottone",1,0)</f>
        <v>0</v>
      </c>
      <c r="O759" s="205">
        <f ca="1">IF(ISERROR(OFFSET(Rame!$A$1,MATCH(J759,Rame!$A:$A,0)-1,MATCH(L759,Rame!$A$1:$AA$1,0)-1)=TRUE),0,OFFSET(Rame!$A$1,MATCH(J759,Rame!$A:$A,0)-1,MATCH(L759,Rame!$A$1:$AA$1,0)-1))*IF(G759="Rame",1,0)</f>
        <v>0</v>
      </c>
      <c r="P759" s="205">
        <v>0</v>
      </c>
      <c r="Q759" s="205">
        <f t="shared" ca="1" si="251"/>
        <v>0</v>
      </c>
      <c r="R759" s="205">
        <f ca="1">+IF(ISERROR(OFFSET(Tabella!$G$1,MATCH(J759,Tabella!$G:$G,0)-1,MATCH(K759,Tabella!$G$1:$FG$1,0)-1)=TRUE),0,OFFSET(Tabella!$G$1,MATCH(J759,Tabella!$G:$G,0)-1,MATCH(K759,Tabella!$G$1:$AB$1,0)-1))</f>
        <v>0</v>
      </c>
      <c r="S759" s="205">
        <f ca="1">IF(ISERROR(OFFSET(Ottone!$F$1,MATCH(J759,Ottone!$A:$A,0)-1,MATCH(K759,Ottone!$F$1:$FF$1,0)-1)=TRUE),0,OFFSET(Ottone!$F$1,MATCH(J759,Ottone!$A:$A,0)-1,MATCH(K759,Ottone!$F$1:$FF$1,0)-1))*IF(G759="Ottone",1,0)</f>
        <v>0</v>
      </c>
      <c r="T759" s="205">
        <f ca="1">IF(ISERROR(OFFSET(Rame!$F$1,MATCH(J759,Rame!$F:$F,0)-1,MATCH(K759,Rame!$F$1:$FF$1,0)-1)=TRUE),0,OFFSET(Rame!$F$1,MATCH(J759,Rame!$F:$F,0)-1,MATCH(K759,Rame!$F$1:$FF$1,0)-1))*IF(G759="Rame",1,0)</f>
        <v>0</v>
      </c>
      <c r="U759" s="205">
        <f ca="1">IF(ISERROR(OFFSET(Bronzo!$A$1,MATCH(J759,Bronzo!$A:$A,0)-1,MATCH(K759,Bronzo!$A$1:$AA$1,0)-1)=TRUE),0,OFFSET(Bronzo!$A$1,MATCH(J759,Bronzo!$A:$A,0)-1,MATCH(K759,Bronzo!$A$1:$AA$1,0)-1))</f>
        <v>0</v>
      </c>
      <c r="V759" s="205">
        <f t="shared" ca="1" si="252"/>
        <v>0</v>
      </c>
      <c r="W759" s="204"/>
      <c r="X759" s="205">
        <v>0</v>
      </c>
      <c r="Y759" s="206">
        <f t="shared" ca="1" si="253"/>
        <v>0</v>
      </c>
      <c r="Z759" s="277">
        <f t="shared" si="254"/>
        <v>0</v>
      </c>
      <c r="AA759" s="203"/>
      <c r="AB759" s="203">
        <f t="shared" ca="1" si="255"/>
        <v>0</v>
      </c>
      <c r="AC759" s="238"/>
      <c r="AI759" s="367">
        <f t="shared" ca="1" si="250"/>
        <v>46092</v>
      </c>
      <c r="AJ759" s="367" t="b">
        <f t="shared" si="256"/>
        <v>1</v>
      </c>
      <c r="AK759" s="370" t="str">
        <f t="shared" si="257"/>
        <v/>
      </c>
      <c r="AN759">
        <f t="shared" si="258"/>
        <v>0</v>
      </c>
      <c r="AO759">
        <f t="shared" si="259"/>
        <v>1900</v>
      </c>
      <c r="AV759">
        <f t="shared" si="260"/>
        <v>0</v>
      </c>
      <c r="AW759">
        <f t="shared" si="261"/>
        <v>0</v>
      </c>
    </row>
    <row r="760" spans="4:49" ht="15.75" x14ac:dyDescent="0.25">
      <c r="D760" s="199"/>
      <c r="E760" s="200"/>
      <c r="F760" s="287"/>
      <c r="G760" s="201"/>
      <c r="H760" s="219"/>
      <c r="I760" s="202"/>
      <c r="J760" s="200"/>
      <c r="K760" s="200"/>
      <c r="L760" s="203"/>
      <c r="M760" s="204">
        <f ca="1">IF(ISERROR(OFFSET(Tabella!$A$1,MATCH(J760,Tabella!$A:$A,0)-1,MATCH(L760,Tabella!$A$1:$AC$1,0)-1)=TRUE),0,+OFFSET(Tabella!$A$1,MATCH(J760,Tabella!$A:$A,0)-1,MATCH(L760,Tabella!$A$1:$AC$1,0)-1))</f>
        <v>0</v>
      </c>
      <c r="N760" s="205">
        <f ca="1">IF(ISERROR(OFFSET(Ottone!$A$1,MATCH(J760,Ottone!$A:$A,0)-1,MATCH(L760,Ottone!$A$1:$Z$1,0)-1)=TRUE),0,OFFSET(Ottone!$A$1,MATCH(J760,Ottone!$A:$A,0)-1,MATCH(L760,Ottone!$A$1:$Z$1,0)-1))*IF(G760="Ottone",1,0)</f>
        <v>0</v>
      </c>
      <c r="O760" s="205">
        <f ca="1">IF(ISERROR(OFFSET(Rame!$A$1,MATCH(J760,Rame!$A:$A,0)-1,MATCH(L760,Rame!$A$1:$AA$1,0)-1)=TRUE),0,OFFSET(Rame!$A$1,MATCH(J760,Rame!$A:$A,0)-1,MATCH(L760,Rame!$A$1:$AA$1,0)-1))*IF(G760="Rame",1,0)</f>
        <v>0</v>
      </c>
      <c r="P760" s="205">
        <v>0</v>
      </c>
      <c r="Q760" s="205">
        <f t="shared" ca="1" si="251"/>
        <v>0</v>
      </c>
      <c r="R760" s="205">
        <f ca="1">+IF(ISERROR(OFFSET(Tabella!$G$1,MATCH(J760,Tabella!$G:$G,0)-1,MATCH(K760,Tabella!$G$1:$FG$1,0)-1)=TRUE),0,OFFSET(Tabella!$G$1,MATCH(J760,Tabella!$G:$G,0)-1,MATCH(K760,Tabella!$G$1:$AB$1,0)-1))</f>
        <v>0</v>
      </c>
      <c r="S760" s="205">
        <f ca="1">IF(ISERROR(OFFSET(Ottone!$F$1,MATCH(J760,Ottone!$A:$A,0)-1,MATCH(K760,Ottone!$F$1:$FF$1,0)-1)=TRUE),0,OFFSET(Ottone!$F$1,MATCH(J760,Ottone!$A:$A,0)-1,MATCH(K760,Ottone!$F$1:$FF$1,0)-1))*IF(G760="Ottone",1,0)</f>
        <v>0</v>
      </c>
      <c r="T760" s="205">
        <f ca="1">IF(ISERROR(OFFSET(Rame!$F$1,MATCH(J760,Rame!$F:$F,0)-1,MATCH(K760,Rame!$F$1:$FF$1,0)-1)=TRUE),0,OFFSET(Rame!$F$1,MATCH(J760,Rame!$F:$F,0)-1,MATCH(K760,Rame!$F$1:$FF$1,0)-1))*IF(G760="Rame",1,0)</f>
        <v>0</v>
      </c>
      <c r="U760" s="205">
        <f ca="1">IF(ISERROR(OFFSET(Bronzo!$A$1,MATCH(J760,Bronzo!$A:$A,0)-1,MATCH(K760,Bronzo!$A$1:$AA$1,0)-1)=TRUE),0,OFFSET(Bronzo!$A$1,MATCH(J760,Bronzo!$A:$A,0)-1,MATCH(K760,Bronzo!$A$1:$AA$1,0)-1))</f>
        <v>0</v>
      </c>
      <c r="V760" s="205">
        <f t="shared" ca="1" si="252"/>
        <v>0</v>
      </c>
      <c r="W760" s="204"/>
      <c r="X760" s="205">
        <v>0</v>
      </c>
      <c r="Y760" s="206">
        <f t="shared" ca="1" si="253"/>
        <v>0</v>
      </c>
      <c r="Z760" s="277">
        <f t="shared" si="254"/>
        <v>0</v>
      </c>
      <c r="AA760" s="203"/>
      <c r="AB760" s="203">
        <f t="shared" ca="1" si="255"/>
        <v>0</v>
      </c>
      <c r="AC760" s="238"/>
      <c r="AI760" s="367">
        <f t="shared" ca="1" si="250"/>
        <v>46092</v>
      </c>
      <c r="AJ760" s="367" t="b">
        <f t="shared" si="256"/>
        <v>1</v>
      </c>
      <c r="AK760" s="370" t="str">
        <f t="shared" si="257"/>
        <v/>
      </c>
      <c r="AN760">
        <f t="shared" si="258"/>
        <v>0</v>
      </c>
      <c r="AO760">
        <f t="shared" si="259"/>
        <v>1900</v>
      </c>
      <c r="AV760">
        <f t="shared" si="260"/>
        <v>0</v>
      </c>
      <c r="AW760">
        <f t="shared" si="261"/>
        <v>0</v>
      </c>
    </row>
    <row r="761" spans="4:49" ht="15.75" x14ac:dyDescent="0.25">
      <c r="D761" s="199"/>
      <c r="E761" s="200"/>
      <c r="F761" s="287"/>
      <c r="G761" s="201"/>
      <c r="H761" s="219"/>
      <c r="I761" s="202"/>
      <c r="J761" s="200"/>
      <c r="K761" s="200"/>
      <c r="L761" s="203"/>
      <c r="M761" s="204">
        <f ca="1">IF(ISERROR(OFFSET(Tabella!$A$1,MATCH(J761,Tabella!$A:$A,0)-1,MATCH(L761,Tabella!$A$1:$AC$1,0)-1)=TRUE),0,+OFFSET(Tabella!$A$1,MATCH(J761,Tabella!$A:$A,0)-1,MATCH(L761,Tabella!$A$1:$AC$1,0)-1))</f>
        <v>0</v>
      </c>
      <c r="N761" s="205">
        <f ca="1">IF(ISERROR(OFFSET(Ottone!$A$1,MATCH(J761,Ottone!$A:$A,0)-1,MATCH(L761,Ottone!$A$1:$Z$1,0)-1)=TRUE),0,OFFSET(Ottone!$A$1,MATCH(J761,Ottone!$A:$A,0)-1,MATCH(L761,Ottone!$A$1:$Z$1,0)-1))*IF(G761="Ottone",1,0)</f>
        <v>0</v>
      </c>
      <c r="O761" s="205">
        <f ca="1">IF(ISERROR(OFFSET(Rame!$A$1,MATCH(J761,Rame!$A:$A,0)-1,MATCH(L761,Rame!$A$1:$AA$1,0)-1)=TRUE),0,OFFSET(Rame!$A$1,MATCH(J761,Rame!$A:$A,0)-1,MATCH(L761,Rame!$A$1:$AA$1,0)-1))*IF(G761="Rame",1,0)</f>
        <v>0</v>
      </c>
      <c r="P761" s="205">
        <v>0</v>
      </c>
      <c r="Q761" s="205">
        <f t="shared" ca="1" si="251"/>
        <v>0</v>
      </c>
      <c r="R761" s="205">
        <f ca="1">+IF(ISERROR(OFFSET(Tabella!$G$1,MATCH(J761,Tabella!$G:$G,0)-1,MATCH(K761,Tabella!$G$1:$FG$1,0)-1)=TRUE),0,OFFSET(Tabella!$G$1,MATCH(J761,Tabella!$G:$G,0)-1,MATCH(K761,Tabella!$G$1:$AB$1,0)-1))</f>
        <v>0</v>
      </c>
      <c r="S761" s="205">
        <f ca="1">IF(ISERROR(OFFSET(Ottone!$F$1,MATCH(J761,Ottone!$A:$A,0)-1,MATCH(K761,Ottone!$F$1:$FF$1,0)-1)=TRUE),0,OFFSET(Ottone!$F$1,MATCH(J761,Ottone!$A:$A,0)-1,MATCH(K761,Ottone!$F$1:$FF$1,0)-1))*IF(G761="Ottone",1,0)</f>
        <v>0</v>
      </c>
      <c r="T761" s="205">
        <f ca="1">IF(ISERROR(OFFSET(Rame!$F$1,MATCH(J761,Rame!$F:$F,0)-1,MATCH(K761,Rame!$F$1:$FF$1,0)-1)=TRUE),0,OFFSET(Rame!$F$1,MATCH(J761,Rame!$F:$F,0)-1,MATCH(K761,Rame!$F$1:$FF$1,0)-1))*IF(G761="Rame",1,0)</f>
        <v>0</v>
      </c>
      <c r="U761" s="205">
        <f ca="1">IF(ISERROR(OFFSET(Bronzo!$A$1,MATCH(J761,Bronzo!$A:$A,0)-1,MATCH(K761,Bronzo!$A$1:$AA$1,0)-1)=TRUE),0,OFFSET(Bronzo!$A$1,MATCH(J761,Bronzo!$A:$A,0)-1,MATCH(K761,Bronzo!$A$1:$AA$1,0)-1))</f>
        <v>0</v>
      </c>
      <c r="V761" s="205">
        <f t="shared" ca="1" si="252"/>
        <v>0</v>
      </c>
      <c r="W761" s="204"/>
      <c r="X761" s="205">
        <v>0</v>
      </c>
      <c r="Y761" s="206">
        <f t="shared" ca="1" si="253"/>
        <v>0</v>
      </c>
      <c r="Z761" s="277">
        <f t="shared" si="254"/>
        <v>0</v>
      </c>
      <c r="AA761" s="203"/>
      <c r="AB761" s="203">
        <f t="shared" ca="1" si="255"/>
        <v>0</v>
      </c>
      <c r="AC761" s="238"/>
      <c r="AI761" s="367">
        <f t="shared" ca="1" si="250"/>
        <v>46092</v>
      </c>
      <c r="AJ761" s="367" t="b">
        <f t="shared" si="256"/>
        <v>1</v>
      </c>
      <c r="AK761" s="370" t="str">
        <f t="shared" si="257"/>
        <v/>
      </c>
      <c r="AN761">
        <f t="shared" si="258"/>
        <v>0</v>
      </c>
      <c r="AO761">
        <f t="shared" si="259"/>
        <v>1900</v>
      </c>
      <c r="AV761">
        <f t="shared" si="260"/>
        <v>0</v>
      </c>
      <c r="AW761">
        <f t="shared" si="261"/>
        <v>0</v>
      </c>
    </row>
    <row r="762" spans="4:49" ht="15.75" x14ac:dyDescent="0.25">
      <c r="D762" s="199"/>
      <c r="E762" s="200"/>
      <c r="F762" s="287"/>
      <c r="G762" s="201"/>
      <c r="H762" s="219"/>
      <c r="I762" s="202"/>
      <c r="J762" s="200"/>
      <c r="K762" s="200"/>
      <c r="L762" s="203"/>
      <c r="M762" s="204">
        <f ca="1">IF(ISERROR(OFFSET(Tabella!$A$1,MATCH(J762,Tabella!$A:$A,0)-1,MATCH(L762,Tabella!$A$1:$AC$1,0)-1)=TRUE),0,+OFFSET(Tabella!$A$1,MATCH(J762,Tabella!$A:$A,0)-1,MATCH(L762,Tabella!$A$1:$AC$1,0)-1))</f>
        <v>0</v>
      </c>
      <c r="N762" s="205">
        <f ca="1">IF(ISERROR(OFFSET(Ottone!$A$1,MATCH(J762,Ottone!$A:$A,0)-1,MATCH(L762,Ottone!$A$1:$Z$1,0)-1)=TRUE),0,OFFSET(Ottone!$A$1,MATCH(J762,Ottone!$A:$A,0)-1,MATCH(L762,Ottone!$A$1:$Z$1,0)-1))*IF(G762="Ottone",1,0)</f>
        <v>0</v>
      </c>
      <c r="O762" s="205">
        <f ca="1">IF(ISERROR(OFFSET(Rame!$A$1,MATCH(J762,Rame!$A:$A,0)-1,MATCH(L762,Rame!$A$1:$AA$1,0)-1)=TRUE),0,OFFSET(Rame!$A$1,MATCH(J762,Rame!$A:$A,0)-1,MATCH(L762,Rame!$A$1:$AA$1,0)-1))*IF(G762="Rame",1,0)</f>
        <v>0</v>
      </c>
      <c r="P762" s="205">
        <v>0</v>
      </c>
      <c r="Q762" s="205">
        <f t="shared" ca="1" si="251"/>
        <v>0</v>
      </c>
      <c r="R762" s="205">
        <f ca="1">+IF(ISERROR(OFFSET(Tabella!$G$1,MATCH(J762,Tabella!$G:$G,0)-1,MATCH(K762,Tabella!$G$1:$FG$1,0)-1)=TRUE),0,OFFSET(Tabella!$G$1,MATCH(J762,Tabella!$G:$G,0)-1,MATCH(K762,Tabella!$G$1:$AB$1,0)-1))</f>
        <v>0</v>
      </c>
      <c r="S762" s="205">
        <f ca="1">IF(ISERROR(OFFSET(Ottone!$F$1,MATCH(J762,Ottone!$A:$A,0)-1,MATCH(K762,Ottone!$F$1:$FF$1,0)-1)=TRUE),0,OFFSET(Ottone!$F$1,MATCH(J762,Ottone!$A:$A,0)-1,MATCH(K762,Ottone!$F$1:$FF$1,0)-1))*IF(G762="Ottone",1,0)</f>
        <v>0</v>
      </c>
      <c r="T762" s="205">
        <f ca="1">IF(ISERROR(OFFSET(Rame!$F$1,MATCH(J762,Rame!$F:$F,0)-1,MATCH(K762,Rame!$F$1:$FF$1,0)-1)=TRUE),0,OFFSET(Rame!$F$1,MATCH(J762,Rame!$F:$F,0)-1,MATCH(K762,Rame!$F$1:$FF$1,0)-1))*IF(G762="Rame",1,0)</f>
        <v>0</v>
      </c>
      <c r="U762" s="205">
        <f ca="1">IF(ISERROR(OFFSET(Bronzo!$A$1,MATCH(J762,Bronzo!$A:$A,0)-1,MATCH(K762,Bronzo!$A$1:$AA$1,0)-1)=TRUE),0,OFFSET(Bronzo!$A$1,MATCH(J762,Bronzo!$A:$A,0)-1,MATCH(K762,Bronzo!$A$1:$AA$1,0)-1))</f>
        <v>0</v>
      </c>
      <c r="V762" s="205">
        <f t="shared" ca="1" si="252"/>
        <v>0</v>
      </c>
      <c r="W762" s="204"/>
      <c r="X762" s="205">
        <v>0</v>
      </c>
      <c r="Y762" s="206">
        <f t="shared" ca="1" si="253"/>
        <v>0</v>
      </c>
      <c r="Z762" s="277">
        <f t="shared" si="254"/>
        <v>0</v>
      </c>
      <c r="AA762" s="203"/>
      <c r="AB762" s="203">
        <f t="shared" ca="1" si="255"/>
        <v>0</v>
      </c>
      <c r="AC762" s="238"/>
      <c r="AI762" s="367">
        <f t="shared" ca="1" si="250"/>
        <v>46092</v>
      </c>
      <c r="AJ762" s="367" t="b">
        <f t="shared" si="256"/>
        <v>1</v>
      </c>
      <c r="AK762" s="370" t="str">
        <f t="shared" si="257"/>
        <v/>
      </c>
      <c r="AN762">
        <f t="shared" si="258"/>
        <v>0</v>
      </c>
      <c r="AO762">
        <f t="shared" si="259"/>
        <v>1900</v>
      </c>
      <c r="AV762">
        <f t="shared" si="260"/>
        <v>0</v>
      </c>
      <c r="AW762">
        <f t="shared" si="261"/>
        <v>0</v>
      </c>
    </row>
    <row r="763" spans="4:49" ht="15.75" x14ac:dyDescent="0.25">
      <c r="D763" s="199"/>
      <c r="E763" s="200"/>
      <c r="F763" s="287"/>
      <c r="G763" s="201"/>
      <c r="H763" s="219"/>
      <c r="I763" s="202"/>
      <c r="J763" s="200"/>
      <c r="K763" s="200"/>
      <c r="L763" s="203"/>
      <c r="M763" s="204">
        <f ca="1">IF(ISERROR(OFFSET(Tabella!$A$1,MATCH(J763,Tabella!$A:$A,0)-1,MATCH(L763,Tabella!$A$1:$AC$1,0)-1)=TRUE),0,+OFFSET(Tabella!$A$1,MATCH(J763,Tabella!$A:$A,0)-1,MATCH(L763,Tabella!$A$1:$AC$1,0)-1))</f>
        <v>0</v>
      </c>
      <c r="N763" s="205">
        <f ca="1">IF(ISERROR(OFFSET(Ottone!$A$1,MATCH(J763,Ottone!$A:$A,0)-1,MATCH(L763,Ottone!$A$1:$Z$1,0)-1)=TRUE),0,OFFSET(Ottone!$A$1,MATCH(J763,Ottone!$A:$A,0)-1,MATCH(L763,Ottone!$A$1:$Z$1,0)-1))*IF(G763="Ottone",1,0)</f>
        <v>0</v>
      </c>
      <c r="O763" s="205">
        <f ca="1">IF(ISERROR(OFFSET(Rame!$A$1,MATCH(J763,Rame!$A:$A,0)-1,MATCH(L763,Rame!$A$1:$AA$1,0)-1)=TRUE),0,OFFSET(Rame!$A$1,MATCH(J763,Rame!$A:$A,0)-1,MATCH(L763,Rame!$A$1:$AA$1,0)-1))*IF(G763="Rame",1,0)</f>
        <v>0</v>
      </c>
      <c r="P763" s="205">
        <v>0</v>
      </c>
      <c r="Q763" s="205">
        <f t="shared" ca="1" si="251"/>
        <v>0</v>
      </c>
      <c r="R763" s="205">
        <f ca="1">+IF(ISERROR(OFFSET(Tabella!$G$1,MATCH(J763,Tabella!$G:$G,0)-1,MATCH(K763,Tabella!$G$1:$FG$1,0)-1)=TRUE),0,OFFSET(Tabella!$G$1,MATCH(J763,Tabella!$G:$G,0)-1,MATCH(K763,Tabella!$G$1:$AB$1,0)-1))</f>
        <v>0</v>
      </c>
      <c r="S763" s="205">
        <f ca="1">IF(ISERROR(OFFSET(Ottone!$F$1,MATCH(J763,Ottone!$A:$A,0)-1,MATCH(K763,Ottone!$F$1:$FF$1,0)-1)=TRUE),0,OFFSET(Ottone!$F$1,MATCH(J763,Ottone!$A:$A,0)-1,MATCH(K763,Ottone!$F$1:$FF$1,0)-1))*IF(G763="Ottone",1,0)</f>
        <v>0</v>
      </c>
      <c r="T763" s="205">
        <f ca="1">IF(ISERROR(OFFSET(Rame!$F$1,MATCH(J763,Rame!$F:$F,0)-1,MATCH(K763,Rame!$F$1:$FF$1,0)-1)=TRUE),0,OFFSET(Rame!$F$1,MATCH(J763,Rame!$F:$F,0)-1,MATCH(K763,Rame!$F$1:$FF$1,0)-1))*IF(G763="Rame",1,0)</f>
        <v>0</v>
      </c>
      <c r="U763" s="205">
        <f ca="1">IF(ISERROR(OFFSET(Bronzo!$A$1,MATCH(J763,Bronzo!$A:$A,0)-1,MATCH(K763,Bronzo!$A$1:$AA$1,0)-1)=TRUE),0,OFFSET(Bronzo!$A$1,MATCH(J763,Bronzo!$A:$A,0)-1,MATCH(K763,Bronzo!$A$1:$AA$1,0)-1))</f>
        <v>0</v>
      </c>
      <c r="V763" s="205">
        <f t="shared" ca="1" si="252"/>
        <v>0</v>
      </c>
      <c r="W763" s="204"/>
      <c r="X763" s="205">
        <v>0</v>
      </c>
      <c r="Y763" s="206">
        <f t="shared" ca="1" si="253"/>
        <v>0</v>
      </c>
      <c r="Z763" s="277">
        <f t="shared" si="254"/>
        <v>0</v>
      </c>
      <c r="AA763" s="203"/>
      <c r="AB763" s="203">
        <f t="shared" ca="1" si="255"/>
        <v>0</v>
      </c>
      <c r="AC763" s="238"/>
      <c r="AI763" s="367">
        <f t="shared" ca="1" si="250"/>
        <v>46092</v>
      </c>
      <c r="AJ763" s="367" t="b">
        <f t="shared" si="256"/>
        <v>1</v>
      </c>
      <c r="AK763" s="370" t="str">
        <f t="shared" si="257"/>
        <v/>
      </c>
      <c r="AN763">
        <f t="shared" si="258"/>
        <v>0</v>
      </c>
      <c r="AO763">
        <f t="shared" si="259"/>
        <v>1900</v>
      </c>
      <c r="AV763">
        <f t="shared" si="260"/>
        <v>0</v>
      </c>
      <c r="AW763">
        <f t="shared" si="261"/>
        <v>0</v>
      </c>
    </row>
    <row r="764" spans="4:49" ht="15.75" x14ac:dyDescent="0.25">
      <c r="D764" s="199"/>
      <c r="E764" s="200"/>
      <c r="F764" s="287"/>
      <c r="G764" s="201"/>
      <c r="H764" s="219"/>
      <c r="I764" s="202"/>
      <c r="J764" s="200"/>
      <c r="K764" s="200"/>
      <c r="L764" s="203"/>
      <c r="M764" s="204">
        <f ca="1">IF(ISERROR(OFFSET(Tabella!$A$1,MATCH(J764,Tabella!$A:$A,0)-1,MATCH(L764,Tabella!$A$1:$AC$1,0)-1)=TRUE),0,+OFFSET(Tabella!$A$1,MATCH(J764,Tabella!$A:$A,0)-1,MATCH(L764,Tabella!$A$1:$AC$1,0)-1))</f>
        <v>0</v>
      </c>
      <c r="N764" s="205">
        <f ca="1">IF(ISERROR(OFFSET(Ottone!$A$1,MATCH(J764,Ottone!$A:$A,0)-1,MATCH(L764,Ottone!$A$1:$Z$1,0)-1)=TRUE),0,OFFSET(Ottone!$A$1,MATCH(J764,Ottone!$A:$A,0)-1,MATCH(L764,Ottone!$A$1:$Z$1,0)-1))*IF(G764="Ottone",1,0)</f>
        <v>0</v>
      </c>
      <c r="O764" s="205">
        <f ca="1">IF(ISERROR(OFFSET(Rame!$A$1,MATCH(J764,Rame!$A:$A,0)-1,MATCH(L764,Rame!$A$1:$AA$1,0)-1)=TRUE),0,OFFSET(Rame!$A$1,MATCH(J764,Rame!$A:$A,0)-1,MATCH(L764,Rame!$A$1:$AA$1,0)-1))*IF(G764="Rame",1,0)</f>
        <v>0</v>
      </c>
      <c r="P764" s="205">
        <v>0</v>
      </c>
      <c r="Q764" s="205">
        <f t="shared" ca="1" si="251"/>
        <v>0</v>
      </c>
      <c r="R764" s="205">
        <f ca="1">+IF(ISERROR(OFFSET(Tabella!$G$1,MATCH(J764,Tabella!$G:$G,0)-1,MATCH(K764,Tabella!$G$1:$FG$1,0)-1)=TRUE),0,OFFSET(Tabella!$G$1,MATCH(J764,Tabella!$G:$G,0)-1,MATCH(K764,Tabella!$G$1:$AB$1,0)-1))</f>
        <v>0</v>
      </c>
      <c r="S764" s="205">
        <f ca="1">IF(ISERROR(OFFSET(Ottone!$F$1,MATCH(J764,Ottone!$A:$A,0)-1,MATCH(K764,Ottone!$F$1:$FF$1,0)-1)=TRUE),0,OFFSET(Ottone!$F$1,MATCH(J764,Ottone!$A:$A,0)-1,MATCH(K764,Ottone!$F$1:$FF$1,0)-1))*IF(G764="Ottone",1,0)</f>
        <v>0</v>
      </c>
      <c r="T764" s="205">
        <f ca="1">IF(ISERROR(OFFSET(Rame!$F$1,MATCH(J764,Rame!$F:$F,0)-1,MATCH(K764,Rame!$F$1:$FF$1,0)-1)=TRUE),0,OFFSET(Rame!$F$1,MATCH(J764,Rame!$F:$F,0)-1,MATCH(K764,Rame!$F$1:$FF$1,0)-1))*IF(G764="Rame",1,0)</f>
        <v>0</v>
      </c>
      <c r="U764" s="205">
        <f ca="1">IF(ISERROR(OFFSET(Bronzo!$A$1,MATCH(J764,Bronzo!$A:$A,0)-1,MATCH(K764,Bronzo!$A$1:$AA$1,0)-1)=TRUE),0,OFFSET(Bronzo!$A$1,MATCH(J764,Bronzo!$A:$A,0)-1,MATCH(K764,Bronzo!$A$1:$AA$1,0)-1))</f>
        <v>0</v>
      </c>
      <c r="V764" s="205">
        <f t="shared" ca="1" si="252"/>
        <v>0</v>
      </c>
      <c r="W764" s="204"/>
      <c r="X764" s="205">
        <v>0</v>
      </c>
      <c r="Y764" s="206">
        <f t="shared" ca="1" si="253"/>
        <v>0</v>
      </c>
      <c r="Z764" s="277">
        <f t="shared" si="254"/>
        <v>0</v>
      </c>
      <c r="AA764" s="203"/>
      <c r="AB764" s="203">
        <f t="shared" ca="1" si="255"/>
        <v>0</v>
      </c>
      <c r="AC764" s="238"/>
      <c r="AI764" s="367">
        <f t="shared" ca="1" si="250"/>
        <v>46092</v>
      </c>
      <c r="AJ764" s="367" t="b">
        <f t="shared" si="256"/>
        <v>1</v>
      </c>
      <c r="AK764" s="370" t="str">
        <f t="shared" si="257"/>
        <v/>
      </c>
      <c r="AN764">
        <f t="shared" si="258"/>
        <v>0</v>
      </c>
      <c r="AO764">
        <f t="shared" si="259"/>
        <v>1900</v>
      </c>
      <c r="AV764">
        <f t="shared" si="260"/>
        <v>0</v>
      </c>
      <c r="AW764">
        <f t="shared" si="261"/>
        <v>0</v>
      </c>
    </row>
    <row r="765" spans="4:49" ht="15.75" x14ac:dyDescent="0.25">
      <c r="D765" s="199"/>
      <c r="E765" s="200"/>
      <c r="F765" s="287"/>
      <c r="G765" s="201"/>
      <c r="H765" s="219"/>
      <c r="I765" s="202"/>
      <c r="J765" s="200"/>
      <c r="K765" s="200"/>
      <c r="L765" s="203"/>
      <c r="M765" s="204">
        <f ca="1">IF(ISERROR(OFFSET(Tabella!$A$1,MATCH(J765,Tabella!$A:$A,0)-1,MATCH(L765,Tabella!$A$1:$AC$1,0)-1)=TRUE),0,+OFFSET(Tabella!$A$1,MATCH(J765,Tabella!$A:$A,0)-1,MATCH(L765,Tabella!$A$1:$AC$1,0)-1))</f>
        <v>0</v>
      </c>
      <c r="N765" s="205">
        <f ca="1">IF(ISERROR(OFFSET(Ottone!$A$1,MATCH(J765,Ottone!$A:$A,0)-1,MATCH(L765,Ottone!$A$1:$Z$1,0)-1)=TRUE),0,OFFSET(Ottone!$A$1,MATCH(J765,Ottone!$A:$A,0)-1,MATCH(L765,Ottone!$A$1:$Z$1,0)-1))*IF(G765="Ottone",1,0)</f>
        <v>0</v>
      </c>
      <c r="O765" s="205">
        <f ca="1">IF(ISERROR(OFFSET(Rame!$A$1,MATCH(J765,Rame!$A:$A,0)-1,MATCH(L765,Rame!$A$1:$AA$1,0)-1)=TRUE),0,OFFSET(Rame!$A$1,MATCH(J765,Rame!$A:$A,0)-1,MATCH(L765,Rame!$A$1:$AA$1,0)-1))*IF(G765="Rame",1,0)</f>
        <v>0</v>
      </c>
      <c r="P765" s="205">
        <v>0</v>
      </c>
      <c r="Q765" s="205">
        <f t="shared" ca="1" si="251"/>
        <v>0</v>
      </c>
      <c r="R765" s="205">
        <f ca="1">+IF(ISERROR(OFFSET(Tabella!$G$1,MATCH(J765,Tabella!$G:$G,0)-1,MATCH(K765,Tabella!$G$1:$FG$1,0)-1)=TRUE),0,OFFSET(Tabella!$G$1,MATCH(J765,Tabella!$G:$G,0)-1,MATCH(K765,Tabella!$G$1:$AB$1,0)-1))</f>
        <v>0</v>
      </c>
      <c r="S765" s="205">
        <f ca="1">IF(ISERROR(OFFSET(Ottone!$F$1,MATCH(J765,Ottone!$A:$A,0)-1,MATCH(K765,Ottone!$F$1:$FF$1,0)-1)=TRUE),0,OFFSET(Ottone!$F$1,MATCH(J765,Ottone!$A:$A,0)-1,MATCH(K765,Ottone!$F$1:$FF$1,0)-1))*IF(G765="Ottone",1,0)</f>
        <v>0</v>
      </c>
      <c r="T765" s="205">
        <f ca="1">IF(ISERROR(OFFSET(Rame!$F$1,MATCH(J765,Rame!$F:$F,0)-1,MATCH(K765,Rame!$F$1:$FF$1,0)-1)=TRUE),0,OFFSET(Rame!$F$1,MATCH(J765,Rame!$F:$F,0)-1,MATCH(K765,Rame!$F$1:$FF$1,0)-1))*IF(G765="Rame",1,0)</f>
        <v>0</v>
      </c>
      <c r="U765" s="205">
        <f ca="1">IF(ISERROR(OFFSET(Bronzo!$A$1,MATCH(J765,Bronzo!$A:$A,0)-1,MATCH(K765,Bronzo!$A$1:$AA$1,0)-1)=TRUE),0,OFFSET(Bronzo!$A$1,MATCH(J765,Bronzo!$A:$A,0)-1,MATCH(K765,Bronzo!$A$1:$AA$1,0)-1))</f>
        <v>0</v>
      </c>
      <c r="V765" s="205">
        <f t="shared" ca="1" si="252"/>
        <v>0</v>
      </c>
      <c r="W765" s="204"/>
      <c r="X765" s="205">
        <v>0</v>
      </c>
      <c r="Y765" s="206">
        <f t="shared" ca="1" si="253"/>
        <v>0</v>
      </c>
      <c r="Z765" s="277">
        <f t="shared" si="254"/>
        <v>0</v>
      </c>
      <c r="AA765" s="203"/>
      <c r="AB765" s="203">
        <f t="shared" ca="1" si="255"/>
        <v>0</v>
      </c>
      <c r="AC765" s="238"/>
      <c r="AI765" s="367">
        <f t="shared" ca="1" si="250"/>
        <v>46092</v>
      </c>
      <c r="AJ765" s="367" t="b">
        <f t="shared" si="256"/>
        <v>1</v>
      </c>
      <c r="AK765" s="370" t="str">
        <f t="shared" si="257"/>
        <v/>
      </c>
      <c r="AN765">
        <f t="shared" si="258"/>
        <v>0</v>
      </c>
      <c r="AO765">
        <f t="shared" si="259"/>
        <v>1900</v>
      </c>
      <c r="AV765">
        <f t="shared" si="260"/>
        <v>0</v>
      </c>
      <c r="AW765">
        <f t="shared" si="261"/>
        <v>0</v>
      </c>
    </row>
    <row r="766" spans="4:49" ht="15.75" x14ac:dyDescent="0.25">
      <c r="D766" s="199"/>
      <c r="E766" s="200"/>
      <c r="F766" s="287"/>
      <c r="G766" s="201"/>
      <c r="H766" s="219"/>
      <c r="I766" s="202"/>
      <c r="J766" s="200"/>
      <c r="K766" s="200"/>
      <c r="L766" s="203"/>
      <c r="M766" s="204">
        <f ca="1">IF(ISERROR(OFFSET(Tabella!$A$1,MATCH(J766,Tabella!$A:$A,0)-1,MATCH(L766,Tabella!$A$1:$AC$1,0)-1)=TRUE),0,+OFFSET(Tabella!$A$1,MATCH(J766,Tabella!$A:$A,0)-1,MATCH(L766,Tabella!$A$1:$AC$1,0)-1))</f>
        <v>0</v>
      </c>
      <c r="N766" s="205">
        <f ca="1">IF(ISERROR(OFFSET(Ottone!$A$1,MATCH(J766,Ottone!$A:$A,0)-1,MATCH(L766,Ottone!$A$1:$Z$1,0)-1)=TRUE),0,OFFSET(Ottone!$A$1,MATCH(J766,Ottone!$A:$A,0)-1,MATCH(L766,Ottone!$A$1:$Z$1,0)-1))*IF(G766="Ottone",1,0)</f>
        <v>0</v>
      </c>
      <c r="O766" s="205">
        <f ca="1">IF(ISERROR(OFFSET(Rame!$A$1,MATCH(J766,Rame!$A:$A,0)-1,MATCH(L766,Rame!$A$1:$AA$1,0)-1)=TRUE),0,OFFSET(Rame!$A$1,MATCH(J766,Rame!$A:$A,0)-1,MATCH(L766,Rame!$A$1:$AA$1,0)-1))*IF(G766="Rame",1,0)</f>
        <v>0</v>
      </c>
      <c r="P766" s="205">
        <v>0</v>
      </c>
      <c r="Q766" s="205">
        <f t="shared" ca="1" si="251"/>
        <v>0</v>
      </c>
      <c r="R766" s="205">
        <f ca="1">+IF(ISERROR(OFFSET(Tabella!$G$1,MATCH(J766,Tabella!$G:$G,0)-1,MATCH(K766,Tabella!$G$1:$FG$1,0)-1)=TRUE),0,OFFSET(Tabella!$G$1,MATCH(J766,Tabella!$G:$G,0)-1,MATCH(K766,Tabella!$G$1:$AB$1,0)-1))</f>
        <v>0</v>
      </c>
      <c r="S766" s="205">
        <f ca="1">IF(ISERROR(OFFSET(Ottone!$F$1,MATCH(J766,Ottone!$A:$A,0)-1,MATCH(K766,Ottone!$F$1:$FF$1,0)-1)=TRUE),0,OFFSET(Ottone!$F$1,MATCH(J766,Ottone!$A:$A,0)-1,MATCH(K766,Ottone!$F$1:$FF$1,0)-1))*IF(G766="Ottone",1,0)</f>
        <v>0</v>
      </c>
      <c r="T766" s="205">
        <f ca="1">IF(ISERROR(OFFSET(Rame!$F$1,MATCH(J766,Rame!$F:$F,0)-1,MATCH(K766,Rame!$F$1:$FF$1,0)-1)=TRUE),0,OFFSET(Rame!$F$1,MATCH(J766,Rame!$F:$F,0)-1,MATCH(K766,Rame!$F$1:$FF$1,0)-1))*IF(G766="Rame",1,0)</f>
        <v>0</v>
      </c>
      <c r="U766" s="205">
        <f ca="1">IF(ISERROR(OFFSET(Bronzo!$A$1,MATCH(J766,Bronzo!$A:$A,0)-1,MATCH(K766,Bronzo!$A$1:$AA$1,0)-1)=TRUE),0,OFFSET(Bronzo!$A$1,MATCH(J766,Bronzo!$A:$A,0)-1,MATCH(K766,Bronzo!$A$1:$AA$1,0)-1))</f>
        <v>0</v>
      </c>
      <c r="V766" s="205">
        <f t="shared" ca="1" si="252"/>
        <v>0</v>
      </c>
      <c r="W766" s="204"/>
      <c r="X766" s="205">
        <v>0</v>
      </c>
      <c r="Y766" s="206">
        <f t="shared" ca="1" si="253"/>
        <v>0</v>
      </c>
      <c r="Z766" s="277">
        <f t="shared" si="254"/>
        <v>0</v>
      </c>
      <c r="AA766" s="203"/>
      <c r="AB766" s="203">
        <f t="shared" ca="1" si="255"/>
        <v>0</v>
      </c>
      <c r="AC766" s="238"/>
      <c r="AI766" s="367">
        <f t="shared" ca="1" si="250"/>
        <v>46092</v>
      </c>
      <c r="AJ766" s="367" t="b">
        <f t="shared" si="256"/>
        <v>1</v>
      </c>
      <c r="AK766" s="370" t="str">
        <f t="shared" si="257"/>
        <v/>
      </c>
      <c r="AN766">
        <f t="shared" si="258"/>
        <v>0</v>
      </c>
      <c r="AO766">
        <f t="shared" si="259"/>
        <v>1900</v>
      </c>
      <c r="AV766">
        <f t="shared" si="260"/>
        <v>0</v>
      </c>
      <c r="AW766">
        <f t="shared" si="261"/>
        <v>0</v>
      </c>
    </row>
    <row r="767" spans="4:49" ht="15.75" x14ac:dyDescent="0.25">
      <c r="D767" s="199"/>
      <c r="E767" s="200"/>
      <c r="F767" s="287"/>
      <c r="G767" s="201"/>
      <c r="H767" s="219"/>
      <c r="I767" s="202"/>
      <c r="J767" s="200"/>
      <c r="K767" s="200"/>
      <c r="L767" s="203"/>
      <c r="M767" s="204">
        <f ca="1">IF(ISERROR(OFFSET(Tabella!$A$1,MATCH(J767,Tabella!$A:$A,0)-1,MATCH(L767,Tabella!$A$1:$AC$1,0)-1)=TRUE),0,+OFFSET(Tabella!$A$1,MATCH(J767,Tabella!$A:$A,0)-1,MATCH(L767,Tabella!$A$1:$AC$1,0)-1))</f>
        <v>0</v>
      </c>
      <c r="N767" s="205">
        <f ca="1">IF(ISERROR(OFFSET(Ottone!$A$1,MATCH(J767,Ottone!$A:$A,0)-1,MATCH(L767,Ottone!$A$1:$Z$1,0)-1)=TRUE),0,OFFSET(Ottone!$A$1,MATCH(J767,Ottone!$A:$A,0)-1,MATCH(L767,Ottone!$A$1:$Z$1,0)-1))*IF(G767="Ottone",1,0)</f>
        <v>0</v>
      </c>
      <c r="O767" s="205">
        <f ca="1">IF(ISERROR(OFFSET(Rame!$A$1,MATCH(J767,Rame!$A:$A,0)-1,MATCH(L767,Rame!$A$1:$AA$1,0)-1)=TRUE),0,OFFSET(Rame!$A$1,MATCH(J767,Rame!$A:$A,0)-1,MATCH(L767,Rame!$A$1:$AA$1,0)-1))*IF(G767="Rame",1,0)</f>
        <v>0</v>
      </c>
      <c r="P767" s="205">
        <v>0</v>
      </c>
      <c r="Q767" s="205">
        <f t="shared" ca="1" si="251"/>
        <v>0</v>
      </c>
      <c r="R767" s="205">
        <f ca="1">+IF(ISERROR(OFFSET(Tabella!$G$1,MATCH(J767,Tabella!$G:$G,0)-1,MATCH(K767,Tabella!$G$1:$FG$1,0)-1)=TRUE),0,OFFSET(Tabella!$G$1,MATCH(J767,Tabella!$G:$G,0)-1,MATCH(K767,Tabella!$G$1:$AB$1,0)-1))</f>
        <v>0</v>
      </c>
      <c r="S767" s="205">
        <f ca="1">IF(ISERROR(OFFSET(Ottone!$F$1,MATCH(J767,Ottone!$A:$A,0)-1,MATCH(K767,Ottone!$F$1:$FF$1,0)-1)=TRUE),0,OFFSET(Ottone!$F$1,MATCH(J767,Ottone!$A:$A,0)-1,MATCH(K767,Ottone!$F$1:$FF$1,0)-1))*IF(G767="Ottone",1,0)</f>
        <v>0</v>
      </c>
      <c r="T767" s="205">
        <f ca="1">IF(ISERROR(OFFSET(Rame!$F$1,MATCH(J767,Rame!$F:$F,0)-1,MATCH(K767,Rame!$F$1:$FF$1,0)-1)=TRUE),0,OFFSET(Rame!$F$1,MATCH(J767,Rame!$F:$F,0)-1,MATCH(K767,Rame!$F$1:$FF$1,0)-1))*IF(G767="Rame",1,0)</f>
        <v>0</v>
      </c>
      <c r="U767" s="205">
        <f ca="1">IF(ISERROR(OFFSET(Bronzo!$A$1,MATCH(J767,Bronzo!$A:$A,0)-1,MATCH(K767,Bronzo!$A$1:$AA$1,0)-1)=TRUE),0,OFFSET(Bronzo!$A$1,MATCH(J767,Bronzo!$A:$A,0)-1,MATCH(K767,Bronzo!$A$1:$AA$1,0)-1))</f>
        <v>0</v>
      </c>
      <c r="V767" s="205">
        <f t="shared" ca="1" si="252"/>
        <v>0</v>
      </c>
      <c r="W767" s="204"/>
      <c r="X767" s="205">
        <v>0</v>
      </c>
      <c r="Y767" s="206">
        <f t="shared" ca="1" si="253"/>
        <v>0</v>
      </c>
      <c r="Z767" s="277">
        <f t="shared" si="254"/>
        <v>0</v>
      </c>
      <c r="AA767" s="203"/>
      <c r="AB767" s="203">
        <f t="shared" ca="1" si="255"/>
        <v>0</v>
      </c>
      <c r="AC767" s="238"/>
      <c r="AI767" s="367">
        <f t="shared" ca="1" si="250"/>
        <v>46092</v>
      </c>
      <c r="AJ767" s="367" t="b">
        <f t="shared" si="256"/>
        <v>1</v>
      </c>
      <c r="AK767" s="370" t="str">
        <f t="shared" si="257"/>
        <v/>
      </c>
      <c r="AN767">
        <f t="shared" si="258"/>
        <v>0</v>
      </c>
      <c r="AO767">
        <f t="shared" si="259"/>
        <v>1900</v>
      </c>
      <c r="AV767">
        <f t="shared" si="260"/>
        <v>0</v>
      </c>
      <c r="AW767">
        <f t="shared" si="261"/>
        <v>0</v>
      </c>
    </row>
    <row r="768" spans="4:49" ht="15.75" x14ac:dyDescent="0.25">
      <c r="D768" s="199"/>
      <c r="E768" s="200"/>
      <c r="F768" s="287"/>
      <c r="G768" s="201"/>
      <c r="H768" s="219"/>
      <c r="I768" s="202"/>
      <c r="J768" s="200"/>
      <c r="K768" s="200"/>
      <c r="L768" s="203"/>
      <c r="M768" s="204">
        <f ca="1">IF(ISERROR(OFFSET(Tabella!$A$1,MATCH(J768,Tabella!$A:$A,0)-1,MATCH(L768,Tabella!$A$1:$AC$1,0)-1)=TRUE),0,+OFFSET(Tabella!$A$1,MATCH(J768,Tabella!$A:$A,0)-1,MATCH(L768,Tabella!$A$1:$AC$1,0)-1))</f>
        <v>0</v>
      </c>
      <c r="N768" s="205">
        <f ca="1">IF(ISERROR(OFFSET(Ottone!$A$1,MATCH(J768,Ottone!$A:$A,0)-1,MATCH(L768,Ottone!$A$1:$Z$1,0)-1)=TRUE),0,OFFSET(Ottone!$A$1,MATCH(J768,Ottone!$A:$A,0)-1,MATCH(L768,Ottone!$A$1:$Z$1,0)-1))*IF(G768="Ottone",1,0)</f>
        <v>0</v>
      </c>
      <c r="O768" s="205">
        <f ca="1">IF(ISERROR(OFFSET(Rame!$A$1,MATCH(J768,Rame!$A:$A,0)-1,MATCH(L768,Rame!$A$1:$AA$1,0)-1)=TRUE),0,OFFSET(Rame!$A$1,MATCH(J768,Rame!$A:$A,0)-1,MATCH(L768,Rame!$A$1:$AA$1,0)-1))*IF(G768="Rame",1,0)</f>
        <v>0</v>
      </c>
      <c r="P768" s="205">
        <v>0</v>
      </c>
      <c r="Q768" s="205">
        <f t="shared" ca="1" si="251"/>
        <v>0</v>
      </c>
      <c r="R768" s="205">
        <f ca="1">+IF(ISERROR(OFFSET(Tabella!$G$1,MATCH(J768,Tabella!$G:$G,0)-1,MATCH(K768,Tabella!$G$1:$FG$1,0)-1)=TRUE),0,OFFSET(Tabella!$G$1,MATCH(J768,Tabella!$G:$G,0)-1,MATCH(K768,Tabella!$G$1:$AB$1,0)-1))</f>
        <v>0</v>
      </c>
      <c r="S768" s="205">
        <f ca="1">IF(ISERROR(OFFSET(Ottone!$F$1,MATCH(J768,Ottone!$A:$A,0)-1,MATCH(K768,Ottone!$F$1:$FF$1,0)-1)=TRUE),0,OFFSET(Ottone!$F$1,MATCH(J768,Ottone!$A:$A,0)-1,MATCH(K768,Ottone!$F$1:$FF$1,0)-1))*IF(G768="Ottone",1,0)</f>
        <v>0</v>
      </c>
      <c r="T768" s="205">
        <f ca="1">IF(ISERROR(OFFSET(Rame!$F$1,MATCH(J768,Rame!$F:$F,0)-1,MATCH(K768,Rame!$F$1:$FF$1,0)-1)=TRUE),0,OFFSET(Rame!$F$1,MATCH(J768,Rame!$F:$F,0)-1,MATCH(K768,Rame!$F$1:$FF$1,0)-1))*IF(G768="Rame",1,0)</f>
        <v>0</v>
      </c>
      <c r="U768" s="205">
        <f ca="1">IF(ISERROR(OFFSET(Bronzo!$A$1,MATCH(J768,Bronzo!$A:$A,0)-1,MATCH(K768,Bronzo!$A$1:$AA$1,0)-1)=TRUE),0,OFFSET(Bronzo!$A$1,MATCH(J768,Bronzo!$A:$A,0)-1,MATCH(K768,Bronzo!$A$1:$AA$1,0)-1))</f>
        <v>0</v>
      </c>
      <c r="V768" s="205">
        <f t="shared" ca="1" si="252"/>
        <v>0</v>
      </c>
      <c r="W768" s="204"/>
      <c r="X768" s="205">
        <v>0</v>
      </c>
      <c r="Y768" s="206">
        <f t="shared" ca="1" si="253"/>
        <v>0</v>
      </c>
      <c r="Z768" s="277">
        <f t="shared" si="254"/>
        <v>0</v>
      </c>
      <c r="AA768" s="203"/>
      <c r="AB768" s="203">
        <f t="shared" ca="1" si="255"/>
        <v>0</v>
      </c>
      <c r="AC768" s="238"/>
      <c r="AI768" s="367">
        <f t="shared" ref="AI768:AI831" ca="1" si="262">TODAY()</f>
        <v>46092</v>
      </c>
      <c r="AJ768" s="367" t="b">
        <f t="shared" si="256"/>
        <v>1</v>
      </c>
      <c r="AK768" s="370" t="str">
        <f t="shared" si="257"/>
        <v/>
      </c>
      <c r="AN768">
        <f t="shared" si="258"/>
        <v>0</v>
      </c>
      <c r="AO768">
        <f t="shared" si="259"/>
        <v>1900</v>
      </c>
      <c r="AV768">
        <f t="shared" si="260"/>
        <v>0</v>
      </c>
      <c r="AW768">
        <f t="shared" si="261"/>
        <v>0</v>
      </c>
    </row>
    <row r="769" spans="4:49" ht="15.75" x14ac:dyDescent="0.25">
      <c r="D769" s="199"/>
      <c r="E769" s="200"/>
      <c r="F769" s="287"/>
      <c r="G769" s="201"/>
      <c r="H769" s="219"/>
      <c r="I769" s="202"/>
      <c r="J769" s="200"/>
      <c r="K769" s="200"/>
      <c r="L769" s="203"/>
      <c r="M769" s="204">
        <f ca="1">IF(ISERROR(OFFSET(Tabella!$A$1,MATCH(J769,Tabella!$A:$A,0)-1,MATCH(L769,Tabella!$A$1:$AC$1,0)-1)=TRUE),0,+OFFSET(Tabella!$A$1,MATCH(J769,Tabella!$A:$A,0)-1,MATCH(L769,Tabella!$A$1:$AC$1,0)-1))</f>
        <v>0</v>
      </c>
      <c r="N769" s="205">
        <f ca="1">IF(ISERROR(OFFSET(Ottone!$A$1,MATCH(J769,Ottone!$A:$A,0)-1,MATCH(L769,Ottone!$A$1:$Z$1,0)-1)=TRUE),0,OFFSET(Ottone!$A$1,MATCH(J769,Ottone!$A:$A,0)-1,MATCH(L769,Ottone!$A$1:$Z$1,0)-1))*IF(G769="Ottone",1,0)</f>
        <v>0</v>
      </c>
      <c r="O769" s="205">
        <f ca="1">IF(ISERROR(OFFSET(Rame!$A$1,MATCH(J769,Rame!$A:$A,0)-1,MATCH(L769,Rame!$A$1:$AA$1,0)-1)=TRUE),0,OFFSET(Rame!$A$1,MATCH(J769,Rame!$A:$A,0)-1,MATCH(L769,Rame!$A$1:$AA$1,0)-1))*IF(G769="Rame",1,0)</f>
        <v>0</v>
      </c>
      <c r="P769" s="205">
        <v>0</v>
      </c>
      <c r="Q769" s="205">
        <f t="shared" ca="1" si="251"/>
        <v>0</v>
      </c>
      <c r="R769" s="205">
        <f ca="1">+IF(ISERROR(OFFSET(Tabella!$G$1,MATCH(J769,Tabella!$G:$G,0)-1,MATCH(K769,Tabella!$G$1:$FG$1,0)-1)=TRUE),0,OFFSET(Tabella!$G$1,MATCH(J769,Tabella!$G:$G,0)-1,MATCH(K769,Tabella!$G$1:$AB$1,0)-1))</f>
        <v>0</v>
      </c>
      <c r="S769" s="205">
        <f ca="1">IF(ISERROR(OFFSET(Ottone!$F$1,MATCH(J769,Ottone!$A:$A,0)-1,MATCH(K769,Ottone!$F$1:$FF$1,0)-1)=TRUE),0,OFFSET(Ottone!$F$1,MATCH(J769,Ottone!$A:$A,0)-1,MATCH(K769,Ottone!$F$1:$FF$1,0)-1))*IF(G769="Ottone",1,0)</f>
        <v>0</v>
      </c>
      <c r="T769" s="205">
        <f ca="1">IF(ISERROR(OFFSET(Rame!$F$1,MATCH(J769,Rame!$F:$F,0)-1,MATCH(K769,Rame!$F$1:$FF$1,0)-1)=TRUE),0,OFFSET(Rame!$F$1,MATCH(J769,Rame!$F:$F,0)-1,MATCH(K769,Rame!$F$1:$FF$1,0)-1))*IF(G769="Rame",1,0)</f>
        <v>0</v>
      </c>
      <c r="U769" s="205">
        <f ca="1">IF(ISERROR(OFFSET(Bronzo!$A$1,MATCH(J769,Bronzo!$A:$A,0)-1,MATCH(K769,Bronzo!$A$1:$AA$1,0)-1)=TRUE),0,OFFSET(Bronzo!$A$1,MATCH(J769,Bronzo!$A:$A,0)-1,MATCH(K769,Bronzo!$A$1:$AA$1,0)-1))</f>
        <v>0</v>
      </c>
      <c r="V769" s="205">
        <f t="shared" ca="1" si="252"/>
        <v>0</v>
      </c>
      <c r="W769" s="204"/>
      <c r="X769" s="205">
        <v>0</v>
      </c>
      <c r="Y769" s="206">
        <f t="shared" ca="1" si="253"/>
        <v>0</v>
      </c>
      <c r="Z769" s="277">
        <f t="shared" si="254"/>
        <v>0</v>
      </c>
      <c r="AA769" s="203"/>
      <c r="AB769" s="203">
        <f t="shared" ca="1" si="255"/>
        <v>0</v>
      </c>
      <c r="AC769" s="238"/>
      <c r="AI769" s="367">
        <f t="shared" ca="1" si="262"/>
        <v>46092</v>
      </c>
      <c r="AJ769" s="367" t="b">
        <f t="shared" si="256"/>
        <v>1</v>
      </c>
      <c r="AK769" s="370" t="str">
        <f t="shared" si="257"/>
        <v/>
      </c>
      <c r="AN769">
        <f t="shared" si="258"/>
        <v>0</v>
      </c>
      <c r="AO769">
        <f t="shared" si="259"/>
        <v>1900</v>
      </c>
      <c r="AV769">
        <f t="shared" si="260"/>
        <v>0</v>
      </c>
      <c r="AW769">
        <f t="shared" si="261"/>
        <v>0</v>
      </c>
    </row>
    <row r="770" spans="4:49" ht="15.75" x14ac:dyDescent="0.25">
      <c r="D770" s="199"/>
      <c r="E770" s="200"/>
      <c r="F770" s="287"/>
      <c r="G770" s="201"/>
      <c r="H770" s="219"/>
      <c r="I770" s="202"/>
      <c r="J770" s="200"/>
      <c r="K770" s="200"/>
      <c r="L770" s="203"/>
      <c r="M770" s="204">
        <f ca="1">IF(ISERROR(OFFSET(Tabella!$A$1,MATCH(J770,Tabella!$A:$A,0)-1,MATCH(L770,Tabella!$A$1:$AC$1,0)-1)=TRUE),0,+OFFSET(Tabella!$A$1,MATCH(J770,Tabella!$A:$A,0)-1,MATCH(L770,Tabella!$A$1:$AC$1,0)-1))</f>
        <v>0</v>
      </c>
      <c r="N770" s="205">
        <f ca="1">IF(ISERROR(OFFSET(Ottone!$A$1,MATCH(J770,Ottone!$A:$A,0)-1,MATCH(L770,Ottone!$A$1:$Z$1,0)-1)=TRUE),0,OFFSET(Ottone!$A$1,MATCH(J770,Ottone!$A:$A,0)-1,MATCH(L770,Ottone!$A$1:$Z$1,0)-1))*IF(G770="Ottone",1,0)</f>
        <v>0</v>
      </c>
      <c r="O770" s="205">
        <f ca="1">IF(ISERROR(OFFSET(Rame!$A$1,MATCH(J770,Rame!$A:$A,0)-1,MATCH(L770,Rame!$A$1:$AA$1,0)-1)=TRUE),0,OFFSET(Rame!$A$1,MATCH(J770,Rame!$A:$A,0)-1,MATCH(L770,Rame!$A$1:$AA$1,0)-1))*IF(G770="Rame",1,0)</f>
        <v>0</v>
      </c>
      <c r="P770" s="205">
        <v>0</v>
      </c>
      <c r="Q770" s="205">
        <f t="shared" ca="1" si="251"/>
        <v>0</v>
      </c>
      <c r="R770" s="205">
        <f ca="1">+IF(ISERROR(OFFSET(Tabella!$G$1,MATCH(J770,Tabella!$G:$G,0)-1,MATCH(K770,Tabella!$G$1:$FG$1,0)-1)=TRUE),0,OFFSET(Tabella!$G$1,MATCH(J770,Tabella!$G:$G,0)-1,MATCH(K770,Tabella!$G$1:$AB$1,0)-1))</f>
        <v>0</v>
      </c>
      <c r="S770" s="205">
        <f ca="1">IF(ISERROR(OFFSET(Ottone!$F$1,MATCH(J770,Ottone!$A:$A,0)-1,MATCH(K770,Ottone!$F$1:$FF$1,0)-1)=TRUE),0,OFFSET(Ottone!$F$1,MATCH(J770,Ottone!$A:$A,0)-1,MATCH(K770,Ottone!$F$1:$FF$1,0)-1))*IF(G770="Ottone",1,0)</f>
        <v>0</v>
      </c>
      <c r="T770" s="205">
        <f ca="1">IF(ISERROR(OFFSET(Rame!$F$1,MATCH(J770,Rame!$F:$F,0)-1,MATCH(K770,Rame!$F$1:$FF$1,0)-1)=TRUE),0,OFFSET(Rame!$F$1,MATCH(J770,Rame!$F:$F,0)-1,MATCH(K770,Rame!$F$1:$FF$1,0)-1))*IF(G770="Rame",1,0)</f>
        <v>0</v>
      </c>
      <c r="U770" s="205">
        <f ca="1">IF(ISERROR(OFFSET(Bronzo!$A$1,MATCH(J770,Bronzo!$A:$A,0)-1,MATCH(K770,Bronzo!$A$1:$AA$1,0)-1)=TRUE),0,OFFSET(Bronzo!$A$1,MATCH(J770,Bronzo!$A:$A,0)-1,MATCH(K770,Bronzo!$A$1:$AA$1,0)-1))</f>
        <v>0</v>
      </c>
      <c r="V770" s="205">
        <f t="shared" ca="1" si="252"/>
        <v>0</v>
      </c>
      <c r="W770" s="204"/>
      <c r="X770" s="205">
        <v>0</v>
      </c>
      <c r="Y770" s="206">
        <f t="shared" ca="1" si="253"/>
        <v>0</v>
      </c>
      <c r="Z770" s="277">
        <f t="shared" si="254"/>
        <v>0</v>
      </c>
      <c r="AA770" s="203"/>
      <c r="AB770" s="203">
        <f t="shared" ca="1" si="255"/>
        <v>0</v>
      </c>
      <c r="AC770" s="238"/>
      <c r="AI770" s="367">
        <f t="shared" ca="1" si="262"/>
        <v>46092</v>
      </c>
      <c r="AJ770" s="367" t="b">
        <f t="shared" si="256"/>
        <v>1</v>
      </c>
      <c r="AK770" s="370" t="str">
        <f t="shared" si="257"/>
        <v/>
      </c>
      <c r="AN770">
        <f t="shared" si="258"/>
        <v>0</v>
      </c>
      <c r="AO770">
        <f t="shared" si="259"/>
        <v>1900</v>
      </c>
      <c r="AV770">
        <f t="shared" si="260"/>
        <v>0</v>
      </c>
      <c r="AW770">
        <f t="shared" si="261"/>
        <v>0</v>
      </c>
    </row>
    <row r="771" spans="4:49" ht="15.75" x14ac:dyDescent="0.25">
      <c r="D771" s="199"/>
      <c r="E771" s="200"/>
      <c r="F771" s="287"/>
      <c r="G771" s="201"/>
      <c r="H771" s="219"/>
      <c r="I771" s="202"/>
      <c r="J771" s="200"/>
      <c r="K771" s="200"/>
      <c r="L771" s="203"/>
      <c r="M771" s="204">
        <f ca="1">IF(ISERROR(OFFSET(Tabella!$A$1,MATCH(J771,Tabella!$A:$A,0)-1,MATCH(L771,Tabella!$A$1:$AC$1,0)-1)=TRUE),0,+OFFSET(Tabella!$A$1,MATCH(J771,Tabella!$A:$A,0)-1,MATCH(L771,Tabella!$A$1:$AC$1,0)-1))</f>
        <v>0</v>
      </c>
      <c r="N771" s="205">
        <f ca="1">IF(ISERROR(OFFSET(Ottone!$A$1,MATCH(J771,Ottone!$A:$A,0)-1,MATCH(L771,Ottone!$A$1:$Z$1,0)-1)=TRUE),0,OFFSET(Ottone!$A$1,MATCH(J771,Ottone!$A:$A,0)-1,MATCH(L771,Ottone!$A$1:$Z$1,0)-1))*IF(G771="Ottone",1,0)</f>
        <v>0</v>
      </c>
      <c r="O771" s="205">
        <f ca="1">IF(ISERROR(OFFSET(Rame!$A$1,MATCH(J771,Rame!$A:$A,0)-1,MATCH(L771,Rame!$A$1:$AA$1,0)-1)=TRUE),0,OFFSET(Rame!$A$1,MATCH(J771,Rame!$A:$A,0)-1,MATCH(L771,Rame!$A$1:$AA$1,0)-1))*IF(G771="Rame",1,0)</f>
        <v>0</v>
      </c>
      <c r="P771" s="205">
        <v>0</v>
      </c>
      <c r="Q771" s="205">
        <f t="shared" ca="1" si="251"/>
        <v>0</v>
      </c>
      <c r="R771" s="205">
        <f ca="1">+IF(ISERROR(OFFSET(Tabella!$G$1,MATCH(J771,Tabella!$G:$G,0)-1,MATCH(K771,Tabella!$G$1:$FG$1,0)-1)=TRUE),0,OFFSET(Tabella!$G$1,MATCH(J771,Tabella!$G:$G,0)-1,MATCH(K771,Tabella!$G$1:$AB$1,0)-1))</f>
        <v>0</v>
      </c>
      <c r="S771" s="205">
        <f ca="1">IF(ISERROR(OFFSET(Ottone!$F$1,MATCH(J771,Ottone!$A:$A,0)-1,MATCH(K771,Ottone!$F$1:$FF$1,0)-1)=TRUE),0,OFFSET(Ottone!$F$1,MATCH(J771,Ottone!$A:$A,0)-1,MATCH(K771,Ottone!$F$1:$FF$1,0)-1))*IF(G771="Ottone",1,0)</f>
        <v>0</v>
      </c>
      <c r="T771" s="205">
        <f ca="1">IF(ISERROR(OFFSET(Rame!$F$1,MATCH(J771,Rame!$F:$F,0)-1,MATCH(K771,Rame!$F$1:$FF$1,0)-1)=TRUE),0,OFFSET(Rame!$F$1,MATCH(J771,Rame!$F:$F,0)-1,MATCH(K771,Rame!$F$1:$FF$1,0)-1))*IF(G771="Rame",1,0)</f>
        <v>0</v>
      </c>
      <c r="U771" s="205">
        <f ca="1">IF(ISERROR(OFFSET(Bronzo!$A$1,MATCH(J771,Bronzo!$A:$A,0)-1,MATCH(K771,Bronzo!$A$1:$AA$1,0)-1)=TRUE),0,OFFSET(Bronzo!$A$1,MATCH(J771,Bronzo!$A:$A,0)-1,MATCH(K771,Bronzo!$A$1:$AA$1,0)-1))</f>
        <v>0</v>
      </c>
      <c r="V771" s="205">
        <f t="shared" ca="1" si="252"/>
        <v>0</v>
      </c>
      <c r="W771" s="204"/>
      <c r="X771" s="205">
        <v>0</v>
      </c>
      <c r="Y771" s="206">
        <f t="shared" ca="1" si="253"/>
        <v>0</v>
      </c>
      <c r="Z771" s="277">
        <f t="shared" si="254"/>
        <v>0</v>
      </c>
      <c r="AA771" s="203"/>
      <c r="AB771" s="203">
        <f t="shared" ca="1" si="255"/>
        <v>0</v>
      </c>
      <c r="AC771" s="238"/>
      <c r="AI771" s="367">
        <f t="shared" ca="1" si="262"/>
        <v>46092</v>
      </c>
      <c r="AJ771" s="367" t="b">
        <f t="shared" si="256"/>
        <v>1</v>
      </c>
      <c r="AK771" s="370" t="str">
        <f t="shared" si="257"/>
        <v/>
      </c>
      <c r="AN771">
        <f t="shared" si="258"/>
        <v>0</v>
      </c>
      <c r="AO771">
        <f t="shared" si="259"/>
        <v>1900</v>
      </c>
      <c r="AV771">
        <f t="shared" si="260"/>
        <v>0</v>
      </c>
      <c r="AW771">
        <f t="shared" si="261"/>
        <v>0</v>
      </c>
    </row>
    <row r="772" spans="4:49" ht="15.75" x14ac:dyDescent="0.25">
      <c r="D772" s="199"/>
      <c r="E772" s="200"/>
      <c r="F772" s="287"/>
      <c r="G772" s="201"/>
      <c r="H772" s="219"/>
      <c r="I772" s="202"/>
      <c r="J772" s="200"/>
      <c r="K772" s="200"/>
      <c r="L772" s="203"/>
      <c r="M772" s="204">
        <f ca="1">IF(ISERROR(OFFSET(Tabella!$A$1,MATCH(J772,Tabella!$A:$A,0)-1,MATCH(L772,Tabella!$A$1:$AC$1,0)-1)=TRUE),0,+OFFSET(Tabella!$A$1,MATCH(J772,Tabella!$A:$A,0)-1,MATCH(L772,Tabella!$A$1:$AC$1,0)-1))</f>
        <v>0</v>
      </c>
      <c r="N772" s="205">
        <f ca="1">IF(ISERROR(OFFSET(Ottone!$A$1,MATCH(J772,Ottone!$A:$A,0)-1,MATCH(L772,Ottone!$A$1:$Z$1,0)-1)=TRUE),0,OFFSET(Ottone!$A$1,MATCH(J772,Ottone!$A:$A,0)-1,MATCH(L772,Ottone!$A$1:$Z$1,0)-1))*IF(G772="Ottone",1,0)</f>
        <v>0</v>
      </c>
      <c r="O772" s="205">
        <f ca="1">IF(ISERROR(OFFSET(Rame!$A$1,MATCH(J772,Rame!$A:$A,0)-1,MATCH(L772,Rame!$A$1:$AA$1,0)-1)=TRUE),0,OFFSET(Rame!$A$1,MATCH(J772,Rame!$A:$A,0)-1,MATCH(L772,Rame!$A$1:$AA$1,0)-1))*IF(G772="Rame",1,0)</f>
        <v>0</v>
      </c>
      <c r="P772" s="205">
        <v>0</v>
      </c>
      <c r="Q772" s="205">
        <f t="shared" ca="1" si="251"/>
        <v>0</v>
      </c>
      <c r="R772" s="205">
        <f ca="1">+IF(ISERROR(OFFSET(Tabella!$G$1,MATCH(J772,Tabella!$G:$G,0)-1,MATCH(K772,Tabella!$G$1:$FG$1,0)-1)=TRUE),0,OFFSET(Tabella!$G$1,MATCH(J772,Tabella!$G:$G,0)-1,MATCH(K772,Tabella!$G$1:$AB$1,0)-1))</f>
        <v>0</v>
      </c>
      <c r="S772" s="205">
        <f ca="1">IF(ISERROR(OFFSET(Ottone!$F$1,MATCH(J772,Ottone!$A:$A,0)-1,MATCH(K772,Ottone!$F$1:$FF$1,0)-1)=TRUE),0,OFFSET(Ottone!$F$1,MATCH(J772,Ottone!$A:$A,0)-1,MATCH(K772,Ottone!$F$1:$FF$1,0)-1))*IF(G772="Ottone",1,0)</f>
        <v>0</v>
      </c>
      <c r="T772" s="205">
        <f ca="1">IF(ISERROR(OFFSET(Rame!$F$1,MATCH(J772,Rame!$F:$F,0)-1,MATCH(K772,Rame!$F$1:$FF$1,0)-1)=TRUE),0,OFFSET(Rame!$F$1,MATCH(J772,Rame!$F:$F,0)-1,MATCH(K772,Rame!$F$1:$FF$1,0)-1))*IF(G772="Rame",1,0)</f>
        <v>0</v>
      </c>
      <c r="U772" s="205">
        <f ca="1">IF(ISERROR(OFFSET(Bronzo!$A$1,MATCH(J772,Bronzo!$A:$A,0)-1,MATCH(K772,Bronzo!$A$1:$AA$1,0)-1)=TRUE),0,OFFSET(Bronzo!$A$1,MATCH(J772,Bronzo!$A:$A,0)-1,MATCH(K772,Bronzo!$A$1:$AA$1,0)-1))</f>
        <v>0</v>
      </c>
      <c r="V772" s="205">
        <f t="shared" ca="1" si="252"/>
        <v>0</v>
      </c>
      <c r="W772" s="204"/>
      <c r="X772" s="205">
        <v>0</v>
      </c>
      <c r="Y772" s="206">
        <f t="shared" ca="1" si="253"/>
        <v>0</v>
      </c>
      <c r="Z772" s="277">
        <f t="shared" si="254"/>
        <v>0</v>
      </c>
      <c r="AA772" s="203"/>
      <c r="AB772" s="203">
        <f t="shared" ca="1" si="255"/>
        <v>0</v>
      </c>
      <c r="AC772" s="238"/>
      <c r="AI772" s="367">
        <f t="shared" ca="1" si="262"/>
        <v>46092</v>
      </c>
      <c r="AJ772" s="367" t="b">
        <f t="shared" si="256"/>
        <v>1</v>
      </c>
      <c r="AK772" s="370" t="str">
        <f t="shared" si="257"/>
        <v/>
      </c>
      <c r="AN772">
        <f t="shared" si="258"/>
        <v>0</v>
      </c>
      <c r="AO772">
        <f t="shared" si="259"/>
        <v>1900</v>
      </c>
      <c r="AV772">
        <f t="shared" si="260"/>
        <v>0</v>
      </c>
      <c r="AW772">
        <f t="shared" si="261"/>
        <v>0</v>
      </c>
    </row>
    <row r="773" spans="4:49" ht="15.75" x14ac:dyDescent="0.25">
      <c r="D773" s="199"/>
      <c r="E773" s="200"/>
      <c r="F773" s="287"/>
      <c r="G773" s="201"/>
      <c r="H773" s="219"/>
      <c r="I773" s="202"/>
      <c r="J773" s="200"/>
      <c r="K773" s="200"/>
      <c r="L773" s="203"/>
      <c r="M773" s="204">
        <f ca="1">IF(ISERROR(OFFSET(Tabella!$A$1,MATCH(J773,Tabella!$A:$A,0)-1,MATCH(L773,Tabella!$A$1:$AC$1,0)-1)=TRUE),0,+OFFSET(Tabella!$A$1,MATCH(J773,Tabella!$A:$A,0)-1,MATCH(L773,Tabella!$A$1:$AC$1,0)-1))</f>
        <v>0</v>
      </c>
      <c r="N773" s="205">
        <f ca="1">IF(ISERROR(OFFSET(Ottone!$A$1,MATCH(J773,Ottone!$A:$A,0)-1,MATCH(L773,Ottone!$A$1:$Z$1,0)-1)=TRUE),0,OFFSET(Ottone!$A$1,MATCH(J773,Ottone!$A:$A,0)-1,MATCH(L773,Ottone!$A$1:$Z$1,0)-1))*IF(G773="Ottone",1,0)</f>
        <v>0</v>
      </c>
      <c r="O773" s="205">
        <f ca="1">IF(ISERROR(OFFSET(Rame!$A$1,MATCH(J773,Rame!$A:$A,0)-1,MATCH(L773,Rame!$A$1:$AA$1,0)-1)=TRUE),0,OFFSET(Rame!$A$1,MATCH(J773,Rame!$A:$A,0)-1,MATCH(L773,Rame!$A$1:$AA$1,0)-1))*IF(G773="Rame",1,0)</f>
        <v>0</v>
      </c>
      <c r="P773" s="205">
        <v>0</v>
      </c>
      <c r="Q773" s="205">
        <f t="shared" ca="1" si="251"/>
        <v>0</v>
      </c>
      <c r="R773" s="205">
        <f ca="1">+IF(ISERROR(OFFSET(Tabella!$G$1,MATCH(J773,Tabella!$G:$G,0)-1,MATCH(K773,Tabella!$G$1:$FG$1,0)-1)=TRUE),0,OFFSET(Tabella!$G$1,MATCH(J773,Tabella!$G:$G,0)-1,MATCH(K773,Tabella!$G$1:$AB$1,0)-1))</f>
        <v>0</v>
      </c>
      <c r="S773" s="205">
        <f ca="1">IF(ISERROR(OFFSET(Ottone!$F$1,MATCH(J773,Ottone!$A:$A,0)-1,MATCH(K773,Ottone!$F$1:$FF$1,0)-1)=TRUE),0,OFFSET(Ottone!$F$1,MATCH(J773,Ottone!$A:$A,0)-1,MATCH(K773,Ottone!$F$1:$FF$1,0)-1))*IF(G773="Ottone",1,0)</f>
        <v>0</v>
      </c>
      <c r="T773" s="205">
        <f ca="1">IF(ISERROR(OFFSET(Rame!$F$1,MATCH(J773,Rame!$F:$F,0)-1,MATCH(K773,Rame!$F$1:$FF$1,0)-1)=TRUE),0,OFFSET(Rame!$F$1,MATCH(J773,Rame!$F:$F,0)-1,MATCH(K773,Rame!$F$1:$FF$1,0)-1))*IF(G773="Rame",1,0)</f>
        <v>0</v>
      </c>
      <c r="U773" s="205">
        <f ca="1">IF(ISERROR(OFFSET(Bronzo!$A$1,MATCH(J773,Bronzo!$A:$A,0)-1,MATCH(K773,Bronzo!$A$1:$AA$1,0)-1)=TRUE),0,OFFSET(Bronzo!$A$1,MATCH(J773,Bronzo!$A:$A,0)-1,MATCH(K773,Bronzo!$A$1:$AA$1,0)-1))</f>
        <v>0</v>
      </c>
      <c r="V773" s="205">
        <f t="shared" ca="1" si="252"/>
        <v>0</v>
      </c>
      <c r="W773" s="204"/>
      <c r="X773" s="205">
        <v>0</v>
      </c>
      <c r="Y773" s="206">
        <f t="shared" ca="1" si="253"/>
        <v>0</v>
      </c>
      <c r="Z773" s="277">
        <f t="shared" si="254"/>
        <v>0</v>
      </c>
      <c r="AA773" s="203"/>
      <c r="AB773" s="203">
        <f t="shared" ca="1" si="255"/>
        <v>0</v>
      </c>
      <c r="AC773" s="238"/>
      <c r="AI773" s="367">
        <f t="shared" ca="1" si="262"/>
        <v>46092</v>
      </c>
      <c r="AJ773" s="367" t="b">
        <f t="shared" si="256"/>
        <v>1</v>
      </c>
      <c r="AK773" s="370" t="str">
        <f t="shared" si="257"/>
        <v/>
      </c>
      <c r="AN773">
        <f t="shared" si="258"/>
        <v>0</v>
      </c>
      <c r="AO773">
        <f t="shared" si="259"/>
        <v>1900</v>
      </c>
      <c r="AV773">
        <f t="shared" si="260"/>
        <v>0</v>
      </c>
      <c r="AW773">
        <f t="shared" si="261"/>
        <v>0</v>
      </c>
    </row>
    <row r="774" spans="4:49" ht="15.75" x14ac:dyDescent="0.25">
      <c r="D774" s="199"/>
      <c r="E774" s="200"/>
      <c r="F774" s="287"/>
      <c r="G774" s="201"/>
      <c r="H774" s="219"/>
      <c r="I774" s="202"/>
      <c r="J774" s="200"/>
      <c r="K774" s="200"/>
      <c r="L774" s="203"/>
      <c r="M774" s="204">
        <f ca="1">IF(ISERROR(OFFSET(Tabella!$A$1,MATCH(J774,Tabella!$A:$A,0)-1,MATCH(L774,Tabella!$A$1:$AC$1,0)-1)=TRUE),0,+OFFSET(Tabella!$A$1,MATCH(J774,Tabella!$A:$A,0)-1,MATCH(L774,Tabella!$A$1:$AC$1,0)-1))</f>
        <v>0</v>
      </c>
      <c r="N774" s="205">
        <f ca="1">IF(ISERROR(OFFSET(Ottone!$A$1,MATCH(J774,Ottone!$A:$A,0)-1,MATCH(L774,Ottone!$A$1:$Z$1,0)-1)=TRUE),0,OFFSET(Ottone!$A$1,MATCH(J774,Ottone!$A:$A,0)-1,MATCH(L774,Ottone!$A$1:$Z$1,0)-1))*IF(G774="Ottone",1,0)</f>
        <v>0</v>
      </c>
      <c r="O774" s="205">
        <f ca="1">IF(ISERROR(OFFSET(Rame!$A$1,MATCH(J774,Rame!$A:$A,0)-1,MATCH(L774,Rame!$A$1:$AA$1,0)-1)=TRUE),0,OFFSET(Rame!$A$1,MATCH(J774,Rame!$A:$A,0)-1,MATCH(L774,Rame!$A$1:$AA$1,0)-1))*IF(G774="Rame",1,0)</f>
        <v>0</v>
      </c>
      <c r="P774" s="205">
        <v>0</v>
      </c>
      <c r="Q774" s="205">
        <f t="shared" ca="1" si="251"/>
        <v>0</v>
      </c>
      <c r="R774" s="205">
        <f ca="1">+IF(ISERROR(OFFSET(Tabella!$G$1,MATCH(J774,Tabella!$G:$G,0)-1,MATCH(K774,Tabella!$G$1:$FG$1,0)-1)=TRUE),0,OFFSET(Tabella!$G$1,MATCH(J774,Tabella!$G:$G,0)-1,MATCH(K774,Tabella!$G$1:$AB$1,0)-1))</f>
        <v>0</v>
      </c>
      <c r="S774" s="205">
        <f ca="1">IF(ISERROR(OFFSET(Ottone!$F$1,MATCH(J774,Ottone!$A:$A,0)-1,MATCH(K774,Ottone!$F$1:$FF$1,0)-1)=TRUE),0,OFFSET(Ottone!$F$1,MATCH(J774,Ottone!$A:$A,0)-1,MATCH(K774,Ottone!$F$1:$FF$1,0)-1))*IF(G774="Ottone",1,0)</f>
        <v>0</v>
      </c>
      <c r="T774" s="205">
        <f ca="1">IF(ISERROR(OFFSET(Rame!$F$1,MATCH(J774,Rame!$F:$F,0)-1,MATCH(K774,Rame!$F$1:$FF$1,0)-1)=TRUE),0,OFFSET(Rame!$F$1,MATCH(J774,Rame!$F:$F,0)-1,MATCH(K774,Rame!$F$1:$FF$1,0)-1))*IF(G774="Rame",1,0)</f>
        <v>0</v>
      </c>
      <c r="U774" s="205">
        <f ca="1">IF(ISERROR(OFFSET(Bronzo!$A$1,MATCH(J774,Bronzo!$A:$A,0)-1,MATCH(K774,Bronzo!$A$1:$AA$1,0)-1)=TRUE),0,OFFSET(Bronzo!$A$1,MATCH(J774,Bronzo!$A:$A,0)-1,MATCH(K774,Bronzo!$A$1:$AA$1,0)-1))</f>
        <v>0</v>
      </c>
      <c r="V774" s="205">
        <f t="shared" ca="1" si="252"/>
        <v>0</v>
      </c>
      <c r="W774" s="204"/>
      <c r="X774" s="205">
        <v>0</v>
      </c>
      <c r="Y774" s="206">
        <f t="shared" ca="1" si="253"/>
        <v>0</v>
      </c>
      <c r="Z774" s="277">
        <f t="shared" si="254"/>
        <v>0</v>
      </c>
      <c r="AA774" s="203"/>
      <c r="AB774" s="203">
        <f t="shared" ca="1" si="255"/>
        <v>0</v>
      </c>
      <c r="AC774" s="238"/>
      <c r="AI774" s="367">
        <f t="shared" ca="1" si="262"/>
        <v>46092</v>
      </c>
      <c r="AJ774" s="367" t="b">
        <f t="shared" si="256"/>
        <v>1</v>
      </c>
      <c r="AK774" s="370" t="str">
        <f t="shared" si="257"/>
        <v/>
      </c>
      <c r="AN774">
        <f t="shared" si="258"/>
        <v>0</v>
      </c>
      <c r="AO774">
        <f t="shared" si="259"/>
        <v>1900</v>
      </c>
      <c r="AV774">
        <f t="shared" si="260"/>
        <v>0</v>
      </c>
      <c r="AW774">
        <f t="shared" si="261"/>
        <v>0</v>
      </c>
    </row>
    <row r="775" spans="4:49" ht="15.75" x14ac:dyDescent="0.25">
      <c r="D775" s="199"/>
      <c r="E775" s="200"/>
      <c r="F775" s="287"/>
      <c r="G775" s="201"/>
      <c r="H775" s="219"/>
      <c r="I775" s="202"/>
      <c r="J775" s="200"/>
      <c r="K775" s="200"/>
      <c r="L775" s="203"/>
      <c r="M775" s="204">
        <f ca="1">IF(ISERROR(OFFSET(Tabella!$A$1,MATCH(J775,Tabella!$A:$A,0)-1,MATCH(L775,Tabella!$A$1:$AC$1,0)-1)=TRUE),0,+OFFSET(Tabella!$A$1,MATCH(J775,Tabella!$A:$A,0)-1,MATCH(L775,Tabella!$A$1:$AC$1,0)-1))</f>
        <v>0</v>
      </c>
      <c r="N775" s="205">
        <f ca="1">IF(ISERROR(OFFSET(Ottone!$A$1,MATCH(J775,Ottone!$A:$A,0)-1,MATCH(L775,Ottone!$A$1:$Z$1,0)-1)=TRUE),0,OFFSET(Ottone!$A$1,MATCH(J775,Ottone!$A:$A,0)-1,MATCH(L775,Ottone!$A$1:$Z$1,0)-1))*IF(G775="Ottone",1,0)</f>
        <v>0</v>
      </c>
      <c r="O775" s="205">
        <f ca="1">IF(ISERROR(OFFSET(Rame!$A$1,MATCH(J775,Rame!$A:$A,0)-1,MATCH(L775,Rame!$A$1:$AA$1,0)-1)=TRUE),0,OFFSET(Rame!$A$1,MATCH(J775,Rame!$A:$A,0)-1,MATCH(L775,Rame!$A$1:$AA$1,0)-1))*IF(G775="Rame",1,0)</f>
        <v>0</v>
      </c>
      <c r="P775" s="205">
        <v>0</v>
      </c>
      <c r="Q775" s="205">
        <f t="shared" ca="1" si="251"/>
        <v>0</v>
      </c>
      <c r="R775" s="205">
        <f ca="1">+IF(ISERROR(OFFSET(Tabella!$G$1,MATCH(J775,Tabella!$G:$G,0)-1,MATCH(K775,Tabella!$G$1:$FG$1,0)-1)=TRUE),0,OFFSET(Tabella!$G$1,MATCH(J775,Tabella!$G:$G,0)-1,MATCH(K775,Tabella!$G$1:$AB$1,0)-1))</f>
        <v>0</v>
      </c>
      <c r="S775" s="205">
        <f ca="1">IF(ISERROR(OFFSET(Ottone!$F$1,MATCH(J775,Ottone!$A:$A,0)-1,MATCH(K775,Ottone!$F$1:$FF$1,0)-1)=TRUE),0,OFFSET(Ottone!$F$1,MATCH(J775,Ottone!$A:$A,0)-1,MATCH(K775,Ottone!$F$1:$FF$1,0)-1))*IF(G775="Ottone",1,0)</f>
        <v>0</v>
      </c>
      <c r="T775" s="205">
        <f ca="1">IF(ISERROR(OFFSET(Rame!$F$1,MATCH(J775,Rame!$F:$F,0)-1,MATCH(K775,Rame!$F$1:$FF$1,0)-1)=TRUE),0,OFFSET(Rame!$F$1,MATCH(J775,Rame!$F:$F,0)-1,MATCH(K775,Rame!$F$1:$FF$1,0)-1))*IF(G775="Rame",1,0)</f>
        <v>0</v>
      </c>
      <c r="U775" s="205">
        <f ca="1">IF(ISERROR(OFFSET(Bronzo!$A$1,MATCH(J775,Bronzo!$A:$A,0)-1,MATCH(K775,Bronzo!$A$1:$AA$1,0)-1)=TRUE),0,OFFSET(Bronzo!$A$1,MATCH(J775,Bronzo!$A:$A,0)-1,MATCH(K775,Bronzo!$A$1:$AA$1,0)-1))</f>
        <v>0</v>
      </c>
      <c r="V775" s="205">
        <f t="shared" ca="1" si="252"/>
        <v>0</v>
      </c>
      <c r="W775" s="204"/>
      <c r="X775" s="205">
        <v>0</v>
      </c>
      <c r="Y775" s="206">
        <f t="shared" ca="1" si="253"/>
        <v>0</v>
      </c>
      <c r="Z775" s="277">
        <f t="shared" si="254"/>
        <v>0</v>
      </c>
      <c r="AA775" s="203"/>
      <c r="AB775" s="203">
        <f t="shared" ca="1" si="255"/>
        <v>0</v>
      </c>
      <c r="AC775" s="238"/>
      <c r="AI775" s="367">
        <f t="shared" ca="1" si="262"/>
        <v>46092</v>
      </c>
      <c r="AJ775" s="367" t="b">
        <f t="shared" si="256"/>
        <v>1</v>
      </c>
      <c r="AK775" s="370" t="str">
        <f t="shared" si="257"/>
        <v/>
      </c>
      <c r="AN775">
        <f t="shared" si="258"/>
        <v>0</v>
      </c>
      <c r="AO775">
        <f t="shared" si="259"/>
        <v>1900</v>
      </c>
      <c r="AV775">
        <f t="shared" si="260"/>
        <v>0</v>
      </c>
      <c r="AW775">
        <f t="shared" si="261"/>
        <v>0</v>
      </c>
    </row>
    <row r="776" spans="4:49" ht="15.75" x14ac:dyDescent="0.25">
      <c r="D776" s="199"/>
      <c r="E776" s="200"/>
      <c r="F776" s="287"/>
      <c r="G776" s="201"/>
      <c r="H776" s="219"/>
      <c r="I776" s="202"/>
      <c r="J776" s="200"/>
      <c r="K776" s="200"/>
      <c r="L776" s="203"/>
      <c r="M776" s="204">
        <f ca="1">IF(ISERROR(OFFSET(Tabella!$A$1,MATCH(J776,Tabella!$A:$A,0)-1,MATCH(L776,Tabella!$A$1:$AC$1,0)-1)=TRUE),0,+OFFSET(Tabella!$A$1,MATCH(J776,Tabella!$A:$A,0)-1,MATCH(L776,Tabella!$A$1:$AC$1,0)-1))</f>
        <v>0</v>
      </c>
      <c r="N776" s="205">
        <f ca="1">IF(ISERROR(OFFSET(Ottone!$A$1,MATCH(J776,Ottone!$A:$A,0)-1,MATCH(L776,Ottone!$A$1:$Z$1,0)-1)=TRUE),0,OFFSET(Ottone!$A$1,MATCH(J776,Ottone!$A:$A,0)-1,MATCH(L776,Ottone!$A$1:$Z$1,0)-1))*IF(G776="Ottone",1,0)</f>
        <v>0</v>
      </c>
      <c r="O776" s="205">
        <f ca="1">IF(ISERROR(OFFSET(Rame!$A$1,MATCH(J776,Rame!$A:$A,0)-1,MATCH(L776,Rame!$A$1:$AA$1,0)-1)=TRUE),0,OFFSET(Rame!$A$1,MATCH(J776,Rame!$A:$A,0)-1,MATCH(L776,Rame!$A$1:$AA$1,0)-1))*IF(G776="Rame",1,0)</f>
        <v>0</v>
      </c>
      <c r="P776" s="205">
        <v>0</v>
      </c>
      <c r="Q776" s="205">
        <f t="shared" ca="1" si="251"/>
        <v>0</v>
      </c>
      <c r="R776" s="205">
        <f ca="1">+IF(ISERROR(OFFSET(Tabella!$G$1,MATCH(J776,Tabella!$G:$G,0)-1,MATCH(K776,Tabella!$G$1:$FG$1,0)-1)=TRUE),0,OFFSET(Tabella!$G$1,MATCH(J776,Tabella!$G:$G,0)-1,MATCH(K776,Tabella!$G$1:$AB$1,0)-1))</f>
        <v>0</v>
      </c>
      <c r="S776" s="205">
        <f ca="1">IF(ISERROR(OFFSET(Ottone!$F$1,MATCH(J776,Ottone!$A:$A,0)-1,MATCH(K776,Ottone!$F$1:$FF$1,0)-1)=TRUE),0,OFFSET(Ottone!$F$1,MATCH(J776,Ottone!$A:$A,0)-1,MATCH(K776,Ottone!$F$1:$FF$1,0)-1))*IF(G776="Ottone",1,0)</f>
        <v>0</v>
      </c>
      <c r="T776" s="205">
        <f ca="1">IF(ISERROR(OFFSET(Rame!$F$1,MATCH(J776,Rame!$F:$F,0)-1,MATCH(K776,Rame!$F$1:$FF$1,0)-1)=TRUE),0,OFFSET(Rame!$F$1,MATCH(J776,Rame!$F:$F,0)-1,MATCH(K776,Rame!$F$1:$FF$1,0)-1))*IF(G776="Rame",1,0)</f>
        <v>0</v>
      </c>
      <c r="U776" s="205">
        <f ca="1">IF(ISERROR(OFFSET(Bronzo!$A$1,MATCH(J776,Bronzo!$A:$A,0)-1,MATCH(K776,Bronzo!$A$1:$AA$1,0)-1)=TRUE),0,OFFSET(Bronzo!$A$1,MATCH(J776,Bronzo!$A:$A,0)-1,MATCH(K776,Bronzo!$A$1:$AA$1,0)-1))</f>
        <v>0</v>
      </c>
      <c r="V776" s="205">
        <f t="shared" ca="1" si="252"/>
        <v>0</v>
      </c>
      <c r="W776" s="204"/>
      <c r="X776" s="205">
        <v>0</v>
      </c>
      <c r="Y776" s="206">
        <f t="shared" ca="1" si="253"/>
        <v>0</v>
      </c>
      <c r="Z776" s="277">
        <f t="shared" si="254"/>
        <v>0</v>
      </c>
      <c r="AA776" s="203"/>
      <c r="AB776" s="203">
        <f t="shared" ca="1" si="255"/>
        <v>0</v>
      </c>
      <c r="AC776" s="238"/>
      <c r="AI776" s="367">
        <f t="shared" ca="1" si="262"/>
        <v>46092</v>
      </c>
      <c r="AJ776" s="367" t="b">
        <f t="shared" si="256"/>
        <v>1</v>
      </c>
      <c r="AK776" s="370" t="str">
        <f t="shared" si="257"/>
        <v/>
      </c>
      <c r="AN776">
        <f t="shared" si="258"/>
        <v>0</v>
      </c>
      <c r="AO776">
        <f t="shared" si="259"/>
        <v>1900</v>
      </c>
      <c r="AV776">
        <f t="shared" si="260"/>
        <v>0</v>
      </c>
      <c r="AW776">
        <f t="shared" si="261"/>
        <v>0</v>
      </c>
    </row>
    <row r="777" spans="4:49" ht="15.75" x14ac:dyDescent="0.25">
      <c r="D777" s="199"/>
      <c r="E777" s="200"/>
      <c r="F777" s="287"/>
      <c r="G777" s="201"/>
      <c r="H777" s="219"/>
      <c r="I777" s="202"/>
      <c r="J777" s="200"/>
      <c r="K777" s="200"/>
      <c r="L777" s="203"/>
      <c r="M777" s="204">
        <f ca="1">IF(ISERROR(OFFSET(Tabella!$A$1,MATCH(J777,Tabella!$A:$A,0)-1,MATCH(L777,Tabella!$A$1:$AC$1,0)-1)=TRUE),0,+OFFSET(Tabella!$A$1,MATCH(J777,Tabella!$A:$A,0)-1,MATCH(L777,Tabella!$A$1:$AC$1,0)-1))</f>
        <v>0</v>
      </c>
      <c r="N777" s="205">
        <f ca="1">IF(ISERROR(OFFSET(Ottone!$A$1,MATCH(J777,Ottone!$A:$A,0)-1,MATCH(L777,Ottone!$A$1:$Z$1,0)-1)=TRUE),0,OFFSET(Ottone!$A$1,MATCH(J777,Ottone!$A:$A,0)-1,MATCH(L777,Ottone!$A$1:$Z$1,0)-1))*IF(G777="Ottone",1,0)</f>
        <v>0</v>
      </c>
      <c r="O777" s="205">
        <f ca="1">IF(ISERROR(OFFSET(Rame!$A$1,MATCH(J777,Rame!$A:$A,0)-1,MATCH(L777,Rame!$A$1:$AA$1,0)-1)=TRUE),0,OFFSET(Rame!$A$1,MATCH(J777,Rame!$A:$A,0)-1,MATCH(L777,Rame!$A$1:$AA$1,0)-1))*IF(G777="Rame",1,0)</f>
        <v>0</v>
      </c>
      <c r="P777" s="205">
        <v>0</v>
      </c>
      <c r="Q777" s="205">
        <f t="shared" ca="1" si="251"/>
        <v>0</v>
      </c>
      <c r="R777" s="205">
        <f ca="1">+IF(ISERROR(OFFSET(Tabella!$G$1,MATCH(J777,Tabella!$G:$G,0)-1,MATCH(K777,Tabella!$G$1:$FG$1,0)-1)=TRUE),0,OFFSET(Tabella!$G$1,MATCH(J777,Tabella!$G:$G,0)-1,MATCH(K777,Tabella!$G$1:$AB$1,0)-1))</f>
        <v>0</v>
      </c>
      <c r="S777" s="205">
        <f ca="1">IF(ISERROR(OFFSET(Ottone!$F$1,MATCH(J777,Ottone!$A:$A,0)-1,MATCH(K777,Ottone!$F$1:$FF$1,0)-1)=TRUE),0,OFFSET(Ottone!$F$1,MATCH(J777,Ottone!$A:$A,0)-1,MATCH(K777,Ottone!$F$1:$FF$1,0)-1))*IF(G777="Ottone",1,0)</f>
        <v>0</v>
      </c>
      <c r="T777" s="205">
        <f ca="1">IF(ISERROR(OFFSET(Rame!$F$1,MATCH(J777,Rame!$F:$F,0)-1,MATCH(K777,Rame!$F$1:$FF$1,0)-1)=TRUE),0,OFFSET(Rame!$F$1,MATCH(J777,Rame!$F:$F,0)-1,MATCH(K777,Rame!$F$1:$FF$1,0)-1))*IF(G777="Rame",1,0)</f>
        <v>0</v>
      </c>
      <c r="U777" s="205">
        <f ca="1">IF(ISERROR(OFFSET(Bronzo!$A$1,MATCH(J777,Bronzo!$A:$A,0)-1,MATCH(K777,Bronzo!$A$1:$AA$1,0)-1)=TRUE),0,OFFSET(Bronzo!$A$1,MATCH(J777,Bronzo!$A:$A,0)-1,MATCH(K777,Bronzo!$A$1:$AA$1,0)-1))</f>
        <v>0</v>
      </c>
      <c r="V777" s="205">
        <f t="shared" ca="1" si="252"/>
        <v>0</v>
      </c>
      <c r="W777" s="204"/>
      <c r="X777" s="205">
        <v>0</v>
      </c>
      <c r="Y777" s="206">
        <f t="shared" ca="1" si="253"/>
        <v>0</v>
      </c>
      <c r="Z777" s="277">
        <f t="shared" si="254"/>
        <v>0</v>
      </c>
      <c r="AA777" s="203"/>
      <c r="AB777" s="203">
        <f t="shared" ca="1" si="255"/>
        <v>0</v>
      </c>
      <c r="AC777" s="238"/>
      <c r="AI777" s="367">
        <f t="shared" ca="1" si="262"/>
        <v>46092</v>
      </c>
      <c r="AJ777" s="367" t="b">
        <f t="shared" si="256"/>
        <v>1</v>
      </c>
      <c r="AK777" s="370" t="str">
        <f t="shared" si="257"/>
        <v/>
      </c>
      <c r="AN777">
        <f t="shared" si="258"/>
        <v>0</v>
      </c>
      <c r="AO777">
        <f t="shared" si="259"/>
        <v>1900</v>
      </c>
      <c r="AV777">
        <f t="shared" si="260"/>
        <v>0</v>
      </c>
      <c r="AW777">
        <f t="shared" si="261"/>
        <v>0</v>
      </c>
    </row>
    <row r="778" spans="4:49" ht="15.75" x14ac:dyDescent="0.25">
      <c r="D778" s="199"/>
      <c r="E778" s="200"/>
      <c r="F778" s="287"/>
      <c r="G778" s="201"/>
      <c r="H778" s="219"/>
      <c r="I778" s="202"/>
      <c r="J778" s="200"/>
      <c r="K778" s="200"/>
      <c r="L778" s="203"/>
      <c r="M778" s="204">
        <f ca="1">IF(ISERROR(OFFSET(Tabella!$A$1,MATCH(J778,Tabella!$A:$A,0)-1,MATCH(L778,Tabella!$A$1:$AC$1,0)-1)=TRUE),0,+OFFSET(Tabella!$A$1,MATCH(J778,Tabella!$A:$A,0)-1,MATCH(L778,Tabella!$A$1:$AC$1,0)-1))</f>
        <v>0</v>
      </c>
      <c r="N778" s="205">
        <f ca="1">IF(ISERROR(OFFSET(Ottone!$A$1,MATCH(J778,Ottone!$A:$A,0)-1,MATCH(L778,Ottone!$A$1:$Z$1,0)-1)=TRUE),0,OFFSET(Ottone!$A$1,MATCH(J778,Ottone!$A:$A,0)-1,MATCH(L778,Ottone!$A$1:$Z$1,0)-1))*IF(G778="Ottone",1,0)</f>
        <v>0</v>
      </c>
      <c r="O778" s="205">
        <f ca="1">IF(ISERROR(OFFSET(Rame!$A$1,MATCH(J778,Rame!$A:$A,0)-1,MATCH(L778,Rame!$A$1:$AA$1,0)-1)=TRUE),0,OFFSET(Rame!$A$1,MATCH(J778,Rame!$A:$A,0)-1,MATCH(L778,Rame!$A$1:$AA$1,0)-1))*IF(G778="Rame",1,0)</f>
        <v>0</v>
      </c>
      <c r="P778" s="205">
        <v>0</v>
      </c>
      <c r="Q778" s="205">
        <f t="shared" ca="1" si="251"/>
        <v>0</v>
      </c>
      <c r="R778" s="205">
        <f ca="1">+IF(ISERROR(OFFSET(Tabella!$G$1,MATCH(J778,Tabella!$G:$G,0)-1,MATCH(K778,Tabella!$G$1:$FG$1,0)-1)=TRUE),0,OFFSET(Tabella!$G$1,MATCH(J778,Tabella!$G:$G,0)-1,MATCH(K778,Tabella!$G$1:$AB$1,0)-1))</f>
        <v>0</v>
      </c>
      <c r="S778" s="205">
        <f ca="1">IF(ISERROR(OFFSET(Ottone!$F$1,MATCH(J778,Ottone!$A:$A,0)-1,MATCH(K778,Ottone!$F$1:$FF$1,0)-1)=TRUE),0,OFFSET(Ottone!$F$1,MATCH(J778,Ottone!$A:$A,0)-1,MATCH(K778,Ottone!$F$1:$FF$1,0)-1))*IF(G778="Ottone",1,0)</f>
        <v>0</v>
      </c>
      <c r="T778" s="205">
        <f ca="1">IF(ISERROR(OFFSET(Rame!$F$1,MATCH(J778,Rame!$F:$F,0)-1,MATCH(K778,Rame!$F$1:$FF$1,0)-1)=TRUE),0,OFFSET(Rame!$F$1,MATCH(J778,Rame!$F:$F,0)-1,MATCH(K778,Rame!$F$1:$FF$1,0)-1))*IF(G778="Rame",1,0)</f>
        <v>0</v>
      </c>
      <c r="U778" s="205">
        <f ca="1">IF(ISERROR(OFFSET(Bronzo!$A$1,MATCH(J778,Bronzo!$A:$A,0)-1,MATCH(K778,Bronzo!$A$1:$AA$1,0)-1)=TRUE),0,OFFSET(Bronzo!$A$1,MATCH(J778,Bronzo!$A:$A,0)-1,MATCH(K778,Bronzo!$A$1:$AA$1,0)-1))</f>
        <v>0</v>
      </c>
      <c r="V778" s="205">
        <f t="shared" ca="1" si="252"/>
        <v>0</v>
      </c>
      <c r="W778" s="204"/>
      <c r="X778" s="205">
        <v>0</v>
      </c>
      <c r="Y778" s="206">
        <f t="shared" ca="1" si="253"/>
        <v>0</v>
      </c>
      <c r="Z778" s="277">
        <f t="shared" si="254"/>
        <v>0</v>
      </c>
      <c r="AA778" s="203"/>
      <c r="AB778" s="203">
        <f t="shared" ca="1" si="255"/>
        <v>0</v>
      </c>
      <c r="AC778" s="238"/>
      <c r="AI778" s="367">
        <f t="shared" ca="1" si="262"/>
        <v>46092</v>
      </c>
      <c r="AJ778" s="367" t="b">
        <f t="shared" si="256"/>
        <v>1</v>
      </c>
      <c r="AK778" s="370" t="str">
        <f t="shared" si="257"/>
        <v/>
      </c>
      <c r="AN778">
        <f t="shared" si="258"/>
        <v>0</v>
      </c>
      <c r="AO778">
        <f t="shared" si="259"/>
        <v>1900</v>
      </c>
      <c r="AV778">
        <f t="shared" si="260"/>
        <v>0</v>
      </c>
      <c r="AW778">
        <f t="shared" si="261"/>
        <v>0</v>
      </c>
    </row>
    <row r="779" spans="4:49" ht="15.75" x14ac:dyDescent="0.25">
      <c r="D779" s="199"/>
      <c r="E779" s="200"/>
      <c r="F779" s="287"/>
      <c r="G779" s="201"/>
      <c r="H779" s="219"/>
      <c r="I779" s="202"/>
      <c r="J779" s="200"/>
      <c r="K779" s="200"/>
      <c r="L779" s="203"/>
      <c r="M779" s="204">
        <f ca="1">IF(ISERROR(OFFSET(Tabella!$A$1,MATCH(J779,Tabella!$A:$A,0)-1,MATCH(L779,Tabella!$A$1:$AC$1,0)-1)=TRUE),0,+OFFSET(Tabella!$A$1,MATCH(J779,Tabella!$A:$A,0)-1,MATCH(L779,Tabella!$A$1:$AC$1,0)-1))</f>
        <v>0</v>
      </c>
      <c r="N779" s="205">
        <f ca="1">IF(ISERROR(OFFSET(Ottone!$A$1,MATCH(J779,Ottone!$A:$A,0)-1,MATCH(L779,Ottone!$A$1:$Z$1,0)-1)=TRUE),0,OFFSET(Ottone!$A$1,MATCH(J779,Ottone!$A:$A,0)-1,MATCH(L779,Ottone!$A$1:$Z$1,0)-1))*IF(G779="Ottone",1,0)</f>
        <v>0</v>
      </c>
      <c r="O779" s="205">
        <f ca="1">IF(ISERROR(OFFSET(Rame!$A$1,MATCH(J779,Rame!$A:$A,0)-1,MATCH(L779,Rame!$A$1:$AA$1,0)-1)=TRUE),0,OFFSET(Rame!$A$1,MATCH(J779,Rame!$A:$A,0)-1,MATCH(L779,Rame!$A$1:$AA$1,0)-1))*IF(G779="Rame",1,0)</f>
        <v>0</v>
      </c>
      <c r="P779" s="205">
        <v>0</v>
      </c>
      <c r="Q779" s="205">
        <f t="shared" ca="1" si="251"/>
        <v>0</v>
      </c>
      <c r="R779" s="205">
        <f ca="1">+IF(ISERROR(OFFSET(Tabella!$G$1,MATCH(J779,Tabella!$G:$G,0)-1,MATCH(K779,Tabella!$G$1:$FG$1,0)-1)=TRUE),0,OFFSET(Tabella!$G$1,MATCH(J779,Tabella!$G:$G,0)-1,MATCH(K779,Tabella!$G$1:$AB$1,0)-1))</f>
        <v>0</v>
      </c>
      <c r="S779" s="205">
        <f ca="1">IF(ISERROR(OFFSET(Ottone!$F$1,MATCH(J779,Ottone!$A:$A,0)-1,MATCH(K779,Ottone!$F$1:$FF$1,0)-1)=TRUE),0,OFFSET(Ottone!$F$1,MATCH(J779,Ottone!$A:$A,0)-1,MATCH(K779,Ottone!$F$1:$FF$1,0)-1))*IF(G779="Ottone",1,0)</f>
        <v>0</v>
      </c>
      <c r="T779" s="205">
        <f ca="1">IF(ISERROR(OFFSET(Rame!$F$1,MATCH(J779,Rame!$F:$F,0)-1,MATCH(K779,Rame!$F$1:$FF$1,0)-1)=TRUE),0,OFFSET(Rame!$F$1,MATCH(J779,Rame!$F:$F,0)-1,MATCH(K779,Rame!$F$1:$FF$1,0)-1))*IF(G779="Rame",1,0)</f>
        <v>0</v>
      </c>
      <c r="U779" s="205">
        <f ca="1">IF(ISERROR(OFFSET(Bronzo!$A$1,MATCH(J779,Bronzo!$A:$A,0)-1,MATCH(K779,Bronzo!$A$1:$AA$1,0)-1)=TRUE),0,OFFSET(Bronzo!$A$1,MATCH(J779,Bronzo!$A:$A,0)-1,MATCH(K779,Bronzo!$A$1:$AA$1,0)-1))</f>
        <v>0</v>
      </c>
      <c r="V779" s="205">
        <f t="shared" ca="1" si="252"/>
        <v>0</v>
      </c>
      <c r="W779" s="204"/>
      <c r="X779" s="205">
        <v>0</v>
      </c>
      <c r="Y779" s="206">
        <f t="shared" ca="1" si="253"/>
        <v>0</v>
      </c>
      <c r="Z779" s="277">
        <f t="shared" si="254"/>
        <v>0</v>
      </c>
      <c r="AA779" s="203"/>
      <c r="AB779" s="203">
        <f t="shared" ca="1" si="255"/>
        <v>0</v>
      </c>
      <c r="AC779" s="238"/>
      <c r="AI779" s="367">
        <f t="shared" ca="1" si="262"/>
        <v>46092</v>
      </c>
      <c r="AJ779" s="367" t="b">
        <f t="shared" si="256"/>
        <v>1</v>
      </c>
      <c r="AK779" s="370" t="str">
        <f t="shared" si="257"/>
        <v/>
      </c>
      <c r="AN779">
        <f t="shared" si="258"/>
        <v>0</v>
      </c>
      <c r="AO779">
        <f t="shared" si="259"/>
        <v>1900</v>
      </c>
      <c r="AV779">
        <f t="shared" si="260"/>
        <v>0</v>
      </c>
      <c r="AW779">
        <f t="shared" si="261"/>
        <v>0</v>
      </c>
    </row>
    <row r="780" spans="4:49" ht="15.75" x14ac:dyDescent="0.25">
      <c r="D780" s="199"/>
      <c r="E780" s="200"/>
      <c r="F780" s="287"/>
      <c r="G780" s="201"/>
      <c r="H780" s="219"/>
      <c r="I780" s="202"/>
      <c r="J780" s="200"/>
      <c r="K780" s="200"/>
      <c r="L780" s="203"/>
      <c r="M780" s="204">
        <f ca="1">IF(ISERROR(OFFSET(Tabella!$A$1,MATCH(J780,Tabella!$A:$A,0)-1,MATCH(L780,Tabella!$A$1:$AC$1,0)-1)=TRUE),0,+OFFSET(Tabella!$A$1,MATCH(J780,Tabella!$A:$A,0)-1,MATCH(L780,Tabella!$A$1:$AC$1,0)-1))</f>
        <v>0</v>
      </c>
      <c r="N780" s="205">
        <f ca="1">IF(ISERROR(OFFSET(Ottone!$A$1,MATCH(J780,Ottone!$A:$A,0)-1,MATCH(L780,Ottone!$A$1:$Z$1,0)-1)=TRUE),0,OFFSET(Ottone!$A$1,MATCH(J780,Ottone!$A:$A,0)-1,MATCH(L780,Ottone!$A$1:$Z$1,0)-1))*IF(G780="Ottone",1,0)</f>
        <v>0</v>
      </c>
      <c r="O780" s="205">
        <f ca="1">IF(ISERROR(OFFSET(Rame!$A$1,MATCH(J780,Rame!$A:$A,0)-1,MATCH(L780,Rame!$A$1:$AA$1,0)-1)=TRUE),0,OFFSET(Rame!$A$1,MATCH(J780,Rame!$A:$A,0)-1,MATCH(L780,Rame!$A$1:$AA$1,0)-1))*IF(G780="Rame",1,0)</f>
        <v>0</v>
      </c>
      <c r="P780" s="205">
        <v>0</v>
      </c>
      <c r="Q780" s="205">
        <f t="shared" ca="1" si="251"/>
        <v>0</v>
      </c>
      <c r="R780" s="205">
        <f ca="1">+IF(ISERROR(OFFSET(Tabella!$G$1,MATCH(J780,Tabella!$G:$G,0)-1,MATCH(K780,Tabella!$G$1:$FG$1,0)-1)=TRUE),0,OFFSET(Tabella!$G$1,MATCH(J780,Tabella!$G:$G,0)-1,MATCH(K780,Tabella!$G$1:$AB$1,0)-1))</f>
        <v>0</v>
      </c>
      <c r="S780" s="205">
        <f ca="1">IF(ISERROR(OFFSET(Ottone!$F$1,MATCH(J780,Ottone!$A:$A,0)-1,MATCH(K780,Ottone!$F$1:$FF$1,0)-1)=TRUE),0,OFFSET(Ottone!$F$1,MATCH(J780,Ottone!$A:$A,0)-1,MATCH(K780,Ottone!$F$1:$FF$1,0)-1))*IF(G780="Ottone",1,0)</f>
        <v>0</v>
      </c>
      <c r="T780" s="205">
        <f ca="1">IF(ISERROR(OFFSET(Rame!$F$1,MATCH(J780,Rame!$F:$F,0)-1,MATCH(K780,Rame!$F$1:$FF$1,0)-1)=TRUE),0,OFFSET(Rame!$F$1,MATCH(J780,Rame!$F:$F,0)-1,MATCH(K780,Rame!$F$1:$FF$1,0)-1))*IF(G780="Rame",1,0)</f>
        <v>0</v>
      </c>
      <c r="U780" s="205">
        <f ca="1">IF(ISERROR(OFFSET(Bronzo!$A$1,MATCH(J780,Bronzo!$A:$A,0)-1,MATCH(K780,Bronzo!$A$1:$AA$1,0)-1)=TRUE),0,OFFSET(Bronzo!$A$1,MATCH(J780,Bronzo!$A:$A,0)-1,MATCH(K780,Bronzo!$A$1:$AA$1,0)-1))</f>
        <v>0</v>
      </c>
      <c r="V780" s="205">
        <f t="shared" ca="1" si="252"/>
        <v>0</v>
      </c>
      <c r="W780" s="204"/>
      <c r="X780" s="205">
        <v>0</v>
      </c>
      <c r="Y780" s="206">
        <f t="shared" ca="1" si="253"/>
        <v>0</v>
      </c>
      <c r="Z780" s="277">
        <f t="shared" si="254"/>
        <v>0</v>
      </c>
      <c r="AA780" s="203"/>
      <c r="AB780" s="203">
        <f t="shared" ca="1" si="255"/>
        <v>0</v>
      </c>
      <c r="AC780" s="238"/>
      <c r="AI780" s="367">
        <f t="shared" ca="1" si="262"/>
        <v>46092</v>
      </c>
      <c r="AJ780" s="367" t="b">
        <f t="shared" si="256"/>
        <v>1</v>
      </c>
      <c r="AK780" s="370" t="str">
        <f t="shared" si="257"/>
        <v/>
      </c>
      <c r="AN780">
        <f t="shared" si="258"/>
        <v>0</v>
      </c>
      <c r="AO780">
        <f t="shared" si="259"/>
        <v>1900</v>
      </c>
      <c r="AV780">
        <f t="shared" si="260"/>
        <v>0</v>
      </c>
      <c r="AW780">
        <f t="shared" si="261"/>
        <v>0</v>
      </c>
    </row>
    <row r="781" spans="4:49" ht="15.75" x14ac:dyDescent="0.25">
      <c r="D781" s="199"/>
      <c r="E781" s="200"/>
      <c r="F781" s="287"/>
      <c r="G781" s="201"/>
      <c r="H781" s="219"/>
      <c r="I781" s="202"/>
      <c r="J781" s="200"/>
      <c r="K781" s="200"/>
      <c r="L781" s="203"/>
      <c r="M781" s="204">
        <f ca="1">IF(ISERROR(OFFSET(Tabella!$A$1,MATCH(J781,Tabella!$A:$A,0)-1,MATCH(L781,Tabella!$A$1:$AC$1,0)-1)=TRUE),0,+OFFSET(Tabella!$A$1,MATCH(J781,Tabella!$A:$A,0)-1,MATCH(L781,Tabella!$A$1:$AC$1,0)-1))</f>
        <v>0</v>
      </c>
      <c r="N781" s="205">
        <f ca="1">IF(ISERROR(OFFSET(Ottone!$A$1,MATCH(J781,Ottone!$A:$A,0)-1,MATCH(L781,Ottone!$A$1:$Z$1,0)-1)=TRUE),0,OFFSET(Ottone!$A$1,MATCH(J781,Ottone!$A:$A,0)-1,MATCH(L781,Ottone!$A$1:$Z$1,0)-1))*IF(G781="Ottone",1,0)</f>
        <v>0</v>
      </c>
      <c r="O781" s="205">
        <f ca="1">IF(ISERROR(OFFSET(Rame!$A$1,MATCH(J781,Rame!$A:$A,0)-1,MATCH(L781,Rame!$A$1:$AA$1,0)-1)=TRUE),0,OFFSET(Rame!$A$1,MATCH(J781,Rame!$A:$A,0)-1,MATCH(L781,Rame!$A$1:$AA$1,0)-1))*IF(G781="Rame",1,0)</f>
        <v>0</v>
      </c>
      <c r="P781" s="205">
        <v>0</v>
      </c>
      <c r="Q781" s="205">
        <f t="shared" ca="1" si="251"/>
        <v>0</v>
      </c>
      <c r="R781" s="205">
        <f ca="1">+IF(ISERROR(OFFSET(Tabella!$G$1,MATCH(J781,Tabella!$G:$G,0)-1,MATCH(K781,Tabella!$G$1:$FG$1,0)-1)=TRUE),0,OFFSET(Tabella!$G$1,MATCH(J781,Tabella!$G:$G,0)-1,MATCH(K781,Tabella!$G$1:$AB$1,0)-1))</f>
        <v>0</v>
      </c>
      <c r="S781" s="205">
        <f ca="1">IF(ISERROR(OFFSET(Ottone!$F$1,MATCH(J781,Ottone!$A:$A,0)-1,MATCH(K781,Ottone!$F$1:$FF$1,0)-1)=TRUE),0,OFFSET(Ottone!$F$1,MATCH(J781,Ottone!$A:$A,0)-1,MATCH(K781,Ottone!$F$1:$FF$1,0)-1))*IF(G781="Ottone",1,0)</f>
        <v>0</v>
      </c>
      <c r="T781" s="205">
        <f ca="1">IF(ISERROR(OFFSET(Rame!$F$1,MATCH(J781,Rame!$F:$F,0)-1,MATCH(K781,Rame!$F$1:$FF$1,0)-1)=TRUE),0,OFFSET(Rame!$F$1,MATCH(J781,Rame!$F:$F,0)-1,MATCH(K781,Rame!$F$1:$FF$1,0)-1))*IF(G781="Rame",1,0)</f>
        <v>0</v>
      </c>
      <c r="U781" s="205">
        <f ca="1">IF(ISERROR(OFFSET(Bronzo!$A$1,MATCH(J781,Bronzo!$A:$A,0)-1,MATCH(K781,Bronzo!$A$1:$AA$1,0)-1)=TRUE),0,OFFSET(Bronzo!$A$1,MATCH(J781,Bronzo!$A:$A,0)-1,MATCH(K781,Bronzo!$A$1:$AA$1,0)-1))</f>
        <v>0</v>
      </c>
      <c r="V781" s="205">
        <f t="shared" ca="1" si="252"/>
        <v>0</v>
      </c>
      <c r="W781" s="204"/>
      <c r="X781" s="205">
        <v>0</v>
      </c>
      <c r="Y781" s="206">
        <f t="shared" ca="1" si="253"/>
        <v>0</v>
      </c>
      <c r="Z781" s="277">
        <f t="shared" si="254"/>
        <v>0</v>
      </c>
      <c r="AA781" s="203"/>
      <c r="AB781" s="203">
        <f t="shared" ca="1" si="255"/>
        <v>0</v>
      </c>
      <c r="AC781" s="238"/>
      <c r="AI781" s="367">
        <f t="shared" ca="1" si="262"/>
        <v>46092</v>
      </c>
      <c r="AJ781" s="367" t="b">
        <f t="shared" si="256"/>
        <v>1</v>
      </c>
      <c r="AK781" s="370" t="str">
        <f t="shared" si="257"/>
        <v/>
      </c>
      <c r="AN781">
        <f t="shared" si="258"/>
        <v>0</v>
      </c>
      <c r="AO781">
        <f t="shared" si="259"/>
        <v>1900</v>
      </c>
      <c r="AV781">
        <f t="shared" si="260"/>
        <v>0</v>
      </c>
      <c r="AW781">
        <f t="shared" si="261"/>
        <v>0</v>
      </c>
    </row>
    <row r="782" spans="4:49" ht="15.75" x14ac:dyDescent="0.25">
      <c r="D782" s="199"/>
      <c r="E782" s="200"/>
      <c r="F782" s="287"/>
      <c r="G782" s="201"/>
      <c r="H782" s="219"/>
      <c r="I782" s="202"/>
      <c r="J782" s="200"/>
      <c r="K782" s="200"/>
      <c r="L782" s="203"/>
      <c r="M782" s="204">
        <f ca="1">IF(ISERROR(OFFSET(Tabella!$A$1,MATCH(J782,Tabella!$A:$A,0)-1,MATCH(L782,Tabella!$A$1:$AC$1,0)-1)=TRUE),0,+OFFSET(Tabella!$A$1,MATCH(J782,Tabella!$A:$A,0)-1,MATCH(L782,Tabella!$A$1:$AC$1,0)-1))</f>
        <v>0</v>
      </c>
      <c r="N782" s="205">
        <f ca="1">IF(ISERROR(OFFSET(Ottone!$A$1,MATCH(J782,Ottone!$A:$A,0)-1,MATCH(L782,Ottone!$A$1:$Z$1,0)-1)=TRUE),0,OFFSET(Ottone!$A$1,MATCH(J782,Ottone!$A:$A,0)-1,MATCH(L782,Ottone!$A$1:$Z$1,0)-1))*IF(G782="Ottone",1,0)</f>
        <v>0</v>
      </c>
      <c r="O782" s="205">
        <f ca="1">IF(ISERROR(OFFSET(Rame!$A$1,MATCH(J782,Rame!$A:$A,0)-1,MATCH(L782,Rame!$A$1:$AA$1,0)-1)=TRUE),0,OFFSET(Rame!$A$1,MATCH(J782,Rame!$A:$A,0)-1,MATCH(L782,Rame!$A$1:$AA$1,0)-1))*IF(G782="Rame",1,0)</f>
        <v>0</v>
      </c>
      <c r="P782" s="205">
        <v>0</v>
      </c>
      <c r="Q782" s="205">
        <f t="shared" ca="1" si="251"/>
        <v>0</v>
      </c>
      <c r="R782" s="205">
        <f ca="1">+IF(ISERROR(OFFSET(Tabella!$G$1,MATCH(J782,Tabella!$G:$G,0)-1,MATCH(K782,Tabella!$G$1:$FG$1,0)-1)=TRUE),0,OFFSET(Tabella!$G$1,MATCH(J782,Tabella!$G:$G,0)-1,MATCH(K782,Tabella!$G$1:$AB$1,0)-1))</f>
        <v>0</v>
      </c>
      <c r="S782" s="205">
        <f ca="1">IF(ISERROR(OFFSET(Ottone!$F$1,MATCH(J782,Ottone!$A:$A,0)-1,MATCH(K782,Ottone!$F$1:$FF$1,0)-1)=TRUE),0,OFFSET(Ottone!$F$1,MATCH(J782,Ottone!$A:$A,0)-1,MATCH(K782,Ottone!$F$1:$FF$1,0)-1))*IF(G782="Ottone",1,0)</f>
        <v>0</v>
      </c>
      <c r="T782" s="205">
        <f ca="1">IF(ISERROR(OFFSET(Rame!$F$1,MATCH(J782,Rame!$F:$F,0)-1,MATCH(K782,Rame!$F$1:$FF$1,0)-1)=TRUE),0,OFFSET(Rame!$F$1,MATCH(J782,Rame!$F:$F,0)-1,MATCH(K782,Rame!$F$1:$FF$1,0)-1))*IF(G782="Rame",1,0)</f>
        <v>0</v>
      </c>
      <c r="U782" s="205">
        <f ca="1">IF(ISERROR(OFFSET(Bronzo!$A$1,MATCH(J782,Bronzo!$A:$A,0)-1,MATCH(K782,Bronzo!$A$1:$AA$1,0)-1)=TRUE),0,OFFSET(Bronzo!$A$1,MATCH(J782,Bronzo!$A:$A,0)-1,MATCH(K782,Bronzo!$A$1:$AA$1,0)-1))</f>
        <v>0</v>
      </c>
      <c r="V782" s="205">
        <f t="shared" ca="1" si="252"/>
        <v>0</v>
      </c>
      <c r="W782" s="204"/>
      <c r="X782" s="205">
        <v>0</v>
      </c>
      <c r="Y782" s="206">
        <f t="shared" ca="1" si="253"/>
        <v>0</v>
      </c>
      <c r="Z782" s="277">
        <f t="shared" si="254"/>
        <v>0</v>
      </c>
      <c r="AA782" s="203"/>
      <c r="AB782" s="203">
        <f t="shared" ca="1" si="255"/>
        <v>0</v>
      </c>
      <c r="AC782" s="238"/>
      <c r="AI782" s="367">
        <f t="shared" ca="1" si="262"/>
        <v>46092</v>
      </c>
      <c r="AJ782" s="367" t="b">
        <f t="shared" si="256"/>
        <v>1</v>
      </c>
      <c r="AK782" s="370" t="str">
        <f t="shared" si="257"/>
        <v/>
      </c>
      <c r="AN782">
        <f t="shared" si="258"/>
        <v>0</v>
      </c>
      <c r="AO782">
        <f t="shared" si="259"/>
        <v>1900</v>
      </c>
      <c r="AV782">
        <f t="shared" si="260"/>
        <v>0</v>
      </c>
      <c r="AW782">
        <f t="shared" si="261"/>
        <v>0</v>
      </c>
    </row>
    <row r="783" spans="4:49" ht="15.75" x14ac:dyDescent="0.25">
      <c r="D783" s="199"/>
      <c r="E783" s="200"/>
      <c r="F783" s="287"/>
      <c r="G783" s="201"/>
      <c r="H783" s="219"/>
      <c r="I783" s="202"/>
      <c r="J783" s="200"/>
      <c r="K783" s="200"/>
      <c r="L783" s="203"/>
      <c r="M783" s="204">
        <f ca="1">IF(ISERROR(OFFSET(Tabella!$A$1,MATCH(J783,Tabella!$A:$A,0)-1,MATCH(L783,Tabella!$A$1:$AC$1,0)-1)=TRUE),0,+OFFSET(Tabella!$A$1,MATCH(J783,Tabella!$A:$A,0)-1,MATCH(L783,Tabella!$A$1:$AC$1,0)-1))</f>
        <v>0</v>
      </c>
      <c r="N783" s="205">
        <f ca="1">IF(ISERROR(OFFSET(Ottone!$A$1,MATCH(J783,Ottone!$A:$A,0)-1,MATCH(L783,Ottone!$A$1:$Z$1,0)-1)=TRUE),0,OFFSET(Ottone!$A$1,MATCH(J783,Ottone!$A:$A,0)-1,MATCH(L783,Ottone!$A$1:$Z$1,0)-1))*IF(G783="Ottone",1,0)</f>
        <v>0</v>
      </c>
      <c r="O783" s="205">
        <f ca="1">IF(ISERROR(OFFSET(Rame!$A$1,MATCH(J783,Rame!$A:$A,0)-1,MATCH(L783,Rame!$A$1:$AA$1,0)-1)=TRUE),0,OFFSET(Rame!$A$1,MATCH(J783,Rame!$A:$A,0)-1,MATCH(L783,Rame!$A$1:$AA$1,0)-1))*IF(G783="Rame",1,0)</f>
        <v>0</v>
      </c>
      <c r="P783" s="205">
        <v>0</v>
      </c>
      <c r="Q783" s="205">
        <f t="shared" ref="Q783:Q846" ca="1" si="263">SUM(M783:P783)</f>
        <v>0</v>
      </c>
      <c r="R783" s="205">
        <f ca="1">+IF(ISERROR(OFFSET(Tabella!$G$1,MATCH(J783,Tabella!$G:$G,0)-1,MATCH(K783,Tabella!$G$1:$FG$1,0)-1)=TRUE),0,OFFSET(Tabella!$G$1,MATCH(J783,Tabella!$G:$G,0)-1,MATCH(K783,Tabella!$G$1:$AB$1,0)-1))</f>
        <v>0</v>
      </c>
      <c r="S783" s="205">
        <f ca="1">IF(ISERROR(OFFSET(Ottone!$F$1,MATCH(J783,Ottone!$A:$A,0)-1,MATCH(K783,Ottone!$F$1:$FF$1,0)-1)=TRUE),0,OFFSET(Ottone!$F$1,MATCH(J783,Ottone!$A:$A,0)-1,MATCH(K783,Ottone!$F$1:$FF$1,0)-1))*IF(G783="Ottone",1,0)</f>
        <v>0</v>
      </c>
      <c r="T783" s="205">
        <f ca="1">IF(ISERROR(OFFSET(Rame!$F$1,MATCH(J783,Rame!$F:$F,0)-1,MATCH(K783,Rame!$F$1:$FF$1,0)-1)=TRUE),0,OFFSET(Rame!$F$1,MATCH(J783,Rame!$F:$F,0)-1,MATCH(K783,Rame!$F$1:$FF$1,0)-1))*IF(G783="Rame",1,0)</f>
        <v>0</v>
      </c>
      <c r="U783" s="205">
        <f ca="1">IF(ISERROR(OFFSET(Bronzo!$A$1,MATCH(J783,Bronzo!$A:$A,0)-1,MATCH(K783,Bronzo!$A$1:$AA$1,0)-1)=TRUE),0,OFFSET(Bronzo!$A$1,MATCH(J783,Bronzo!$A:$A,0)-1,MATCH(K783,Bronzo!$A$1:$AA$1,0)-1))</f>
        <v>0</v>
      </c>
      <c r="V783" s="205">
        <f t="shared" ref="V783:V846" ca="1" si="264">SUM(R783:U783)</f>
        <v>0</v>
      </c>
      <c r="W783" s="204"/>
      <c r="X783" s="205">
        <v>0</v>
      </c>
      <c r="Y783" s="206">
        <f t="shared" ref="Y783:Y846" ca="1" si="265">+Q783+V783+W783+X783</f>
        <v>0</v>
      </c>
      <c r="Z783" s="277">
        <f t="shared" ref="Z783:Z846" si="266">+L783*F783</f>
        <v>0</v>
      </c>
      <c r="AA783" s="203"/>
      <c r="AB783" s="203">
        <f t="shared" ref="AB783:AB846" ca="1" si="267">+AA783-Y783-H783</f>
        <v>0</v>
      </c>
      <c r="AC783" s="238"/>
      <c r="AI783" s="367">
        <f t="shared" ca="1" si="262"/>
        <v>46092</v>
      </c>
      <c r="AJ783" s="367" t="b">
        <f t="shared" si="256"/>
        <v>1</v>
      </c>
      <c r="AK783" s="370" t="str">
        <f t="shared" si="257"/>
        <v/>
      </c>
      <c r="AN783">
        <f t="shared" si="258"/>
        <v>0</v>
      </c>
      <c r="AO783">
        <f t="shared" si="259"/>
        <v>1900</v>
      </c>
      <c r="AV783">
        <f t="shared" si="260"/>
        <v>0</v>
      </c>
      <c r="AW783">
        <f t="shared" si="261"/>
        <v>0</v>
      </c>
    </row>
    <row r="784" spans="4:49" ht="15.75" x14ac:dyDescent="0.25">
      <c r="D784" s="199"/>
      <c r="E784" s="200"/>
      <c r="F784" s="287"/>
      <c r="G784" s="201"/>
      <c r="H784" s="219"/>
      <c r="I784" s="202"/>
      <c r="J784" s="200"/>
      <c r="K784" s="200"/>
      <c r="L784" s="203"/>
      <c r="M784" s="204">
        <f ca="1">IF(ISERROR(OFFSET(Tabella!$A$1,MATCH(J784,Tabella!$A:$A,0)-1,MATCH(L784,Tabella!$A$1:$AC$1,0)-1)=TRUE),0,+OFFSET(Tabella!$A$1,MATCH(J784,Tabella!$A:$A,0)-1,MATCH(L784,Tabella!$A$1:$AC$1,0)-1))</f>
        <v>0</v>
      </c>
      <c r="N784" s="205">
        <f ca="1">IF(ISERROR(OFFSET(Ottone!$A$1,MATCH(J784,Ottone!$A:$A,0)-1,MATCH(L784,Ottone!$A$1:$Z$1,0)-1)=TRUE),0,OFFSET(Ottone!$A$1,MATCH(J784,Ottone!$A:$A,0)-1,MATCH(L784,Ottone!$A$1:$Z$1,0)-1))*IF(G784="Ottone",1,0)</f>
        <v>0</v>
      </c>
      <c r="O784" s="205">
        <f ca="1">IF(ISERROR(OFFSET(Rame!$A$1,MATCH(J784,Rame!$A:$A,0)-1,MATCH(L784,Rame!$A$1:$AA$1,0)-1)=TRUE),0,OFFSET(Rame!$A$1,MATCH(J784,Rame!$A:$A,0)-1,MATCH(L784,Rame!$A$1:$AA$1,0)-1))*IF(G784="Rame",1,0)</f>
        <v>0</v>
      </c>
      <c r="P784" s="205">
        <v>0</v>
      </c>
      <c r="Q784" s="205">
        <f t="shared" ca="1" si="263"/>
        <v>0</v>
      </c>
      <c r="R784" s="205">
        <f ca="1">+IF(ISERROR(OFFSET(Tabella!$G$1,MATCH(J784,Tabella!$G:$G,0)-1,MATCH(K784,Tabella!$G$1:$FG$1,0)-1)=TRUE),0,OFFSET(Tabella!$G$1,MATCH(J784,Tabella!$G:$G,0)-1,MATCH(K784,Tabella!$G$1:$AB$1,0)-1))</f>
        <v>0</v>
      </c>
      <c r="S784" s="205">
        <f ca="1">IF(ISERROR(OFFSET(Ottone!$F$1,MATCH(J784,Ottone!$A:$A,0)-1,MATCH(K784,Ottone!$F$1:$FF$1,0)-1)=TRUE),0,OFFSET(Ottone!$F$1,MATCH(J784,Ottone!$A:$A,0)-1,MATCH(K784,Ottone!$F$1:$FF$1,0)-1))*IF(G784="Ottone",1,0)</f>
        <v>0</v>
      </c>
      <c r="T784" s="205">
        <f ca="1">IF(ISERROR(OFFSET(Rame!$F$1,MATCH(J784,Rame!$F:$F,0)-1,MATCH(K784,Rame!$F$1:$FF$1,0)-1)=TRUE),0,OFFSET(Rame!$F$1,MATCH(J784,Rame!$F:$F,0)-1,MATCH(K784,Rame!$F$1:$FF$1,0)-1))*IF(G784="Rame",1,0)</f>
        <v>0</v>
      </c>
      <c r="U784" s="205">
        <f ca="1">IF(ISERROR(OFFSET(Bronzo!$A$1,MATCH(J784,Bronzo!$A:$A,0)-1,MATCH(K784,Bronzo!$A$1:$AA$1,0)-1)=TRUE),0,OFFSET(Bronzo!$A$1,MATCH(J784,Bronzo!$A:$A,0)-1,MATCH(K784,Bronzo!$A$1:$AA$1,0)-1))</f>
        <v>0</v>
      </c>
      <c r="V784" s="205">
        <f t="shared" ca="1" si="264"/>
        <v>0</v>
      </c>
      <c r="W784" s="204"/>
      <c r="X784" s="205">
        <v>0</v>
      </c>
      <c r="Y784" s="206">
        <f t="shared" ca="1" si="265"/>
        <v>0</v>
      </c>
      <c r="Z784" s="277">
        <f t="shared" si="266"/>
        <v>0</v>
      </c>
      <c r="AA784" s="203"/>
      <c r="AB784" s="203">
        <f t="shared" ca="1" si="267"/>
        <v>0</v>
      </c>
      <c r="AC784" s="238"/>
      <c r="AI784" s="367">
        <f t="shared" ca="1" si="262"/>
        <v>46092</v>
      </c>
      <c r="AJ784" s="367" t="b">
        <f t="shared" si="256"/>
        <v>1</v>
      </c>
      <c r="AK784" s="370" t="str">
        <f t="shared" si="257"/>
        <v/>
      </c>
      <c r="AN784">
        <f t="shared" si="258"/>
        <v>0</v>
      </c>
      <c r="AO784">
        <f t="shared" si="259"/>
        <v>1900</v>
      </c>
      <c r="AV784">
        <f t="shared" si="260"/>
        <v>0</v>
      </c>
      <c r="AW784">
        <f t="shared" si="261"/>
        <v>0</v>
      </c>
    </row>
    <row r="785" spans="4:49" ht="15.75" x14ac:dyDescent="0.25">
      <c r="D785" s="199"/>
      <c r="E785" s="200"/>
      <c r="F785" s="287"/>
      <c r="G785" s="201"/>
      <c r="H785" s="219"/>
      <c r="I785" s="202"/>
      <c r="J785" s="200"/>
      <c r="K785" s="200"/>
      <c r="L785" s="203"/>
      <c r="M785" s="204">
        <f ca="1">IF(ISERROR(OFFSET(Tabella!$A$1,MATCH(J785,Tabella!$A:$A,0)-1,MATCH(L785,Tabella!$A$1:$AC$1,0)-1)=TRUE),0,+OFFSET(Tabella!$A$1,MATCH(J785,Tabella!$A:$A,0)-1,MATCH(L785,Tabella!$A$1:$AC$1,0)-1))</f>
        <v>0</v>
      </c>
      <c r="N785" s="205">
        <f ca="1">IF(ISERROR(OFFSET(Ottone!$A$1,MATCH(J785,Ottone!$A:$A,0)-1,MATCH(L785,Ottone!$A$1:$Z$1,0)-1)=TRUE),0,OFFSET(Ottone!$A$1,MATCH(J785,Ottone!$A:$A,0)-1,MATCH(L785,Ottone!$A$1:$Z$1,0)-1))*IF(G785="Ottone",1,0)</f>
        <v>0</v>
      </c>
      <c r="O785" s="205">
        <f ca="1">IF(ISERROR(OFFSET(Rame!$A$1,MATCH(J785,Rame!$A:$A,0)-1,MATCH(L785,Rame!$A$1:$AA$1,0)-1)=TRUE),0,OFFSET(Rame!$A$1,MATCH(J785,Rame!$A:$A,0)-1,MATCH(L785,Rame!$A$1:$AA$1,0)-1))*IF(G785="Rame",1,0)</f>
        <v>0</v>
      </c>
      <c r="P785" s="205">
        <v>0</v>
      </c>
      <c r="Q785" s="205">
        <f t="shared" ca="1" si="263"/>
        <v>0</v>
      </c>
      <c r="R785" s="205">
        <f ca="1">+IF(ISERROR(OFFSET(Tabella!$G$1,MATCH(J785,Tabella!$G:$G,0)-1,MATCH(K785,Tabella!$G$1:$FG$1,0)-1)=TRUE),0,OFFSET(Tabella!$G$1,MATCH(J785,Tabella!$G:$G,0)-1,MATCH(K785,Tabella!$G$1:$AB$1,0)-1))</f>
        <v>0</v>
      </c>
      <c r="S785" s="205">
        <f ca="1">IF(ISERROR(OFFSET(Ottone!$F$1,MATCH(J785,Ottone!$A:$A,0)-1,MATCH(K785,Ottone!$F$1:$FF$1,0)-1)=TRUE),0,OFFSET(Ottone!$F$1,MATCH(J785,Ottone!$A:$A,0)-1,MATCH(K785,Ottone!$F$1:$FF$1,0)-1))*IF(G785="Ottone",1,0)</f>
        <v>0</v>
      </c>
      <c r="T785" s="205">
        <f ca="1">IF(ISERROR(OFFSET(Rame!$F$1,MATCH(J785,Rame!$F:$F,0)-1,MATCH(K785,Rame!$F$1:$FF$1,0)-1)=TRUE),0,OFFSET(Rame!$F$1,MATCH(J785,Rame!$F:$F,0)-1,MATCH(K785,Rame!$F$1:$FF$1,0)-1))*IF(G785="Rame",1,0)</f>
        <v>0</v>
      </c>
      <c r="U785" s="205">
        <f ca="1">IF(ISERROR(OFFSET(Bronzo!$A$1,MATCH(J785,Bronzo!$A:$A,0)-1,MATCH(K785,Bronzo!$A$1:$AA$1,0)-1)=TRUE),0,OFFSET(Bronzo!$A$1,MATCH(J785,Bronzo!$A:$A,0)-1,MATCH(K785,Bronzo!$A$1:$AA$1,0)-1))</f>
        <v>0</v>
      </c>
      <c r="V785" s="205">
        <f t="shared" ca="1" si="264"/>
        <v>0</v>
      </c>
      <c r="W785" s="204"/>
      <c r="X785" s="205">
        <v>0</v>
      </c>
      <c r="Y785" s="206">
        <f t="shared" ca="1" si="265"/>
        <v>0</v>
      </c>
      <c r="Z785" s="277">
        <f t="shared" si="266"/>
        <v>0</v>
      </c>
      <c r="AA785" s="203"/>
      <c r="AB785" s="203">
        <f t="shared" ca="1" si="267"/>
        <v>0</v>
      </c>
      <c r="AC785" s="238"/>
      <c r="AI785" s="367">
        <f t="shared" ca="1" si="262"/>
        <v>46092</v>
      </c>
      <c r="AJ785" s="367" t="b">
        <f t="shared" si="256"/>
        <v>1</v>
      </c>
      <c r="AK785" s="370" t="str">
        <f t="shared" si="257"/>
        <v/>
      </c>
      <c r="AN785">
        <f t="shared" si="258"/>
        <v>0</v>
      </c>
      <c r="AO785">
        <f t="shared" si="259"/>
        <v>1900</v>
      </c>
      <c r="AV785">
        <f t="shared" si="260"/>
        <v>0</v>
      </c>
      <c r="AW785">
        <f t="shared" si="261"/>
        <v>0</v>
      </c>
    </row>
    <row r="786" spans="4:49" ht="15.75" x14ac:dyDescent="0.25">
      <c r="D786" s="199"/>
      <c r="E786" s="200"/>
      <c r="F786" s="287"/>
      <c r="G786" s="201"/>
      <c r="H786" s="219"/>
      <c r="I786" s="202"/>
      <c r="J786" s="200"/>
      <c r="K786" s="200"/>
      <c r="L786" s="203"/>
      <c r="M786" s="204">
        <f ca="1">IF(ISERROR(OFFSET(Tabella!$A$1,MATCH(J786,Tabella!$A:$A,0)-1,MATCH(L786,Tabella!$A$1:$AC$1,0)-1)=TRUE),0,+OFFSET(Tabella!$A$1,MATCH(J786,Tabella!$A:$A,0)-1,MATCH(L786,Tabella!$A$1:$AC$1,0)-1))</f>
        <v>0</v>
      </c>
      <c r="N786" s="205">
        <f ca="1">IF(ISERROR(OFFSET(Ottone!$A$1,MATCH(J786,Ottone!$A:$A,0)-1,MATCH(L786,Ottone!$A$1:$Z$1,0)-1)=TRUE),0,OFFSET(Ottone!$A$1,MATCH(J786,Ottone!$A:$A,0)-1,MATCH(L786,Ottone!$A$1:$Z$1,0)-1))*IF(G786="Ottone",1,0)</f>
        <v>0</v>
      </c>
      <c r="O786" s="205">
        <f ca="1">IF(ISERROR(OFFSET(Rame!$A$1,MATCH(J786,Rame!$A:$A,0)-1,MATCH(L786,Rame!$A$1:$AA$1,0)-1)=TRUE),0,OFFSET(Rame!$A$1,MATCH(J786,Rame!$A:$A,0)-1,MATCH(L786,Rame!$A$1:$AA$1,0)-1))*IF(G786="Rame",1,0)</f>
        <v>0</v>
      </c>
      <c r="P786" s="205">
        <v>0</v>
      </c>
      <c r="Q786" s="205">
        <f t="shared" ca="1" si="263"/>
        <v>0</v>
      </c>
      <c r="R786" s="205">
        <f ca="1">+IF(ISERROR(OFFSET(Tabella!$G$1,MATCH(J786,Tabella!$G:$G,0)-1,MATCH(K786,Tabella!$G$1:$FG$1,0)-1)=TRUE),0,OFFSET(Tabella!$G$1,MATCH(J786,Tabella!$G:$G,0)-1,MATCH(K786,Tabella!$G$1:$AB$1,0)-1))</f>
        <v>0</v>
      </c>
      <c r="S786" s="205">
        <f ca="1">IF(ISERROR(OFFSET(Ottone!$F$1,MATCH(J786,Ottone!$A:$A,0)-1,MATCH(K786,Ottone!$F$1:$FF$1,0)-1)=TRUE),0,OFFSET(Ottone!$F$1,MATCH(J786,Ottone!$A:$A,0)-1,MATCH(K786,Ottone!$F$1:$FF$1,0)-1))*IF(G786="Ottone",1,0)</f>
        <v>0</v>
      </c>
      <c r="T786" s="205">
        <f ca="1">IF(ISERROR(OFFSET(Rame!$F$1,MATCH(J786,Rame!$F:$F,0)-1,MATCH(K786,Rame!$F$1:$FF$1,0)-1)=TRUE),0,OFFSET(Rame!$F$1,MATCH(J786,Rame!$F:$F,0)-1,MATCH(K786,Rame!$F$1:$FF$1,0)-1))*IF(G786="Rame",1,0)</f>
        <v>0</v>
      </c>
      <c r="U786" s="205">
        <f ca="1">IF(ISERROR(OFFSET(Bronzo!$A$1,MATCH(J786,Bronzo!$A:$A,0)-1,MATCH(K786,Bronzo!$A$1:$AA$1,0)-1)=TRUE),0,OFFSET(Bronzo!$A$1,MATCH(J786,Bronzo!$A:$A,0)-1,MATCH(K786,Bronzo!$A$1:$AA$1,0)-1))</f>
        <v>0</v>
      </c>
      <c r="V786" s="205">
        <f t="shared" ca="1" si="264"/>
        <v>0</v>
      </c>
      <c r="W786" s="204"/>
      <c r="X786" s="205">
        <v>0</v>
      </c>
      <c r="Y786" s="206">
        <f t="shared" ca="1" si="265"/>
        <v>0</v>
      </c>
      <c r="Z786" s="277">
        <f t="shared" si="266"/>
        <v>0</v>
      </c>
      <c r="AA786" s="203"/>
      <c r="AB786" s="203">
        <f t="shared" ca="1" si="267"/>
        <v>0</v>
      </c>
      <c r="AC786" s="238"/>
      <c r="AI786" s="367">
        <f t="shared" ca="1" si="262"/>
        <v>46092</v>
      </c>
      <c r="AJ786" s="367" t="b">
        <f t="shared" si="256"/>
        <v>1</v>
      </c>
      <c r="AK786" s="370" t="str">
        <f t="shared" si="257"/>
        <v/>
      </c>
      <c r="AN786">
        <f t="shared" si="258"/>
        <v>0</v>
      </c>
      <c r="AO786">
        <f t="shared" si="259"/>
        <v>1900</v>
      </c>
      <c r="AV786">
        <f t="shared" si="260"/>
        <v>0</v>
      </c>
      <c r="AW786">
        <f t="shared" si="261"/>
        <v>0</v>
      </c>
    </row>
    <row r="787" spans="4:49" ht="15.75" x14ac:dyDescent="0.25">
      <c r="D787" s="199"/>
      <c r="E787" s="200"/>
      <c r="F787" s="287"/>
      <c r="G787" s="201"/>
      <c r="H787" s="219"/>
      <c r="I787" s="202"/>
      <c r="J787" s="200"/>
      <c r="K787" s="200"/>
      <c r="L787" s="203"/>
      <c r="M787" s="204">
        <f ca="1">IF(ISERROR(OFFSET(Tabella!$A$1,MATCH(J787,Tabella!$A:$A,0)-1,MATCH(L787,Tabella!$A$1:$AC$1,0)-1)=TRUE),0,+OFFSET(Tabella!$A$1,MATCH(J787,Tabella!$A:$A,0)-1,MATCH(L787,Tabella!$A$1:$AC$1,0)-1))</f>
        <v>0</v>
      </c>
      <c r="N787" s="205">
        <f ca="1">IF(ISERROR(OFFSET(Ottone!$A$1,MATCH(J787,Ottone!$A:$A,0)-1,MATCH(L787,Ottone!$A$1:$Z$1,0)-1)=TRUE),0,OFFSET(Ottone!$A$1,MATCH(J787,Ottone!$A:$A,0)-1,MATCH(L787,Ottone!$A$1:$Z$1,0)-1))*IF(G787="Ottone",1,0)</f>
        <v>0</v>
      </c>
      <c r="O787" s="205">
        <f ca="1">IF(ISERROR(OFFSET(Rame!$A$1,MATCH(J787,Rame!$A:$A,0)-1,MATCH(L787,Rame!$A$1:$AA$1,0)-1)=TRUE),0,OFFSET(Rame!$A$1,MATCH(J787,Rame!$A:$A,0)-1,MATCH(L787,Rame!$A$1:$AA$1,0)-1))*IF(G787="Rame",1,0)</f>
        <v>0</v>
      </c>
      <c r="P787" s="205">
        <v>0</v>
      </c>
      <c r="Q787" s="205">
        <f t="shared" ca="1" si="263"/>
        <v>0</v>
      </c>
      <c r="R787" s="205">
        <f ca="1">+IF(ISERROR(OFFSET(Tabella!$G$1,MATCH(J787,Tabella!$G:$G,0)-1,MATCH(K787,Tabella!$G$1:$FG$1,0)-1)=TRUE),0,OFFSET(Tabella!$G$1,MATCH(J787,Tabella!$G:$G,0)-1,MATCH(K787,Tabella!$G$1:$AB$1,0)-1))</f>
        <v>0</v>
      </c>
      <c r="S787" s="205">
        <f ca="1">IF(ISERROR(OFFSET(Ottone!$F$1,MATCH(J787,Ottone!$A:$A,0)-1,MATCH(K787,Ottone!$F$1:$FF$1,0)-1)=TRUE),0,OFFSET(Ottone!$F$1,MATCH(J787,Ottone!$A:$A,0)-1,MATCH(K787,Ottone!$F$1:$FF$1,0)-1))*IF(G787="Ottone",1,0)</f>
        <v>0</v>
      </c>
      <c r="T787" s="205">
        <f ca="1">IF(ISERROR(OFFSET(Rame!$F$1,MATCH(J787,Rame!$F:$F,0)-1,MATCH(K787,Rame!$F$1:$FF$1,0)-1)=TRUE),0,OFFSET(Rame!$F$1,MATCH(J787,Rame!$F:$F,0)-1,MATCH(K787,Rame!$F$1:$FF$1,0)-1))*IF(G787="Rame",1,0)</f>
        <v>0</v>
      </c>
      <c r="U787" s="205">
        <f ca="1">IF(ISERROR(OFFSET(Bronzo!$A$1,MATCH(J787,Bronzo!$A:$A,0)-1,MATCH(K787,Bronzo!$A$1:$AA$1,0)-1)=TRUE),0,OFFSET(Bronzo!$A$1,MATCH(J787,Bronzo!$A:$A,0)-1,MATCH(K787,Bronzo!$A$1:$AA$1,0)-1))</f>
        <v>0</v>
      </c>
      <c r="V787" s="205">
        <f t="shared" ca="1" si="264"/>
        <v>0</v>
      </c>
      <c r="W787" s="204"/>
      <c r="X787" s="205">
        <v>0</v>
      </c>
      <c r="Y787" s="206">
        <f t="shared" ca="1" si="265"/>
        <v>0</v>
      </c>
      <c r="Z787" s="277">
        <f t="shared" si="266"/>
        <v>0</v>
      </c>
      <c r="AA787" s="203"/>
      <c r="AB787" s="203">
        <f t="shared" ca="1" si="267"/>
        <v>0</v>
      </c>
      <c r="AC787" s="238"/>
      <c r="AI787" s="367">
        <f t="shared" ca="1" si="262"/>
        <v>46092</v>
      </c>
      <c r="AJ787" s="367" t="b">
        <f t="shared" si="256"/>
        <v>1</v>
      </c>
      <c r="AK787" s="370" t="str">
        <f t="shared" si="257"/>
        <v/>
      </c>
      <c r="AN787">
        <f t="shared" si="258"/>
        <v>0</v>
      </c>
      <c r="AO787">
        <f t="shared" si="259"/>
        <v>1900</v>
      </c>
      <c r="AV787">
        <f t="shared" si="260"/>
        <v>0</v>
      </c>
      <c r="AW787">
        <f t="shared" si="261"/>
        <v>0</v>
      </c>
    </row>
    <row r="788" spans="4:49" ht="15.75" x14ac:dyDescent="0.25">
      <c r="D788" s="199"/>
      <c r="E788" s="200"/>
      <c r="F788" s="287"/>
      <c r="G788" s="201"/>
      <c r="H788" s="219"/>
      <c r="I788" s="202"/>
      <c r="J788" s="200"/>
      <c r="K788" s="200"/>
      <c r="L788" s="203"/>
      <c r="M788" s="204">
        <f ca="1">IF(ISERROR(OFFSET(Tabella!$A$1,MATCH(J788,Tabella!$A:$A,0)-1,MATCH(L788,Tabella!$A$1:$AC$1,0)-1)=TRUE),0,+OFFSET(Tabella!$A$1,MATCH(J788,Tabella!$A:$A,0)-1,MATCH(L788,Tabella!$A$1:$AC$1,0)-1))</f>
        <v>0</v>
      </c>
      <c r="N788" s="205">
        <f ca="1">IF(ISERROR(OFFSET(Ottone!$A$1,MATCH(J788,Ottone!$A:$A,0)-1,MATCH(L788,Ottone!$A$1:$Z$1,0)-1)=TRUE),0,OFFSET(Ottone!$A$1,MATCH(J788,Ottone!$A:$A,0)-1,MATCH(L788,Ottone!$A$1:$Z$1,0)-1))*IF(G788="Ottone",1,0)</f>
        <v>0</v>
      </c>
      <c r="O788" s="205">
        <f ca="1">IF(ISERROR(OFFSET(Rame!$A$1,MATCH(J788,Rame!$A:$A,0)-1,MATCH(L788,Rame!$A$1:$AA$1,0)-1)=TRUE),0,OFFSET(Rame!$A$1,MATCH(J788,Rame!$A:$A,0)-1,MATCH(L788,Rame!$A$1:$AA$1,0)-1))*IF(G788="Rame",1,0)</f>
        <v>0</v>
      </c>
      <c r="P788" s="205">
        <v>0</v>
      </c>
      <c r="Q788" s="205">
        <f t="shared" ca="1" si="263"/>
        <v>0</v>
      </c>
      <c r="R788" s="205">
        <f ca="1">+IF(ISERROR(OFFSET(Tabella!$G$1,MATCH(J788,Tabella!$G:$G,0)-1,MATCH(K788,Tabella!$G$1:$FG$1,0)-1)=TRUE),0,OFFSET(Tabella!$G$1,MATCH(J788,Tabella!$G:$G,0)-1,MATCH(K788,Tabella!$G$1:$AB$1,0)-1))</f>
        <v>0</v>
      </c>
      <c r="S788" s="205">
        <f ca="1">IF(ISERROR(OFFSET(Ottone!$F$1,MATCH(J788,Ottone!$A:$A,0)-1,MATCH(K788,Ottone!$F$1:$FF$1,0)-1)=TRUE),0,OFFSET(Ottone!$F$1,MATCH(J788,Ottone!$A:$A,0)-1,MATCH(K788,Ottone!$F$1:$FF$1,0)-1))*IF(G788="Ottone",1,0)</f>
        <v>0</v>
      </c>
      <c r="T788" s="205">
        <f ca="1">IF(ISERROR(OFFSET(Rame!$F$1,MATCH(J788,Rame!$F:$F,0)-1,MATCH(K788,Rame!$F$1:$FF$1,0)-1)=TRUE),0,OFFSET(Rame!$F$1,MATCH(J788,Rame!$F:$F,0)-1,MATCH(K788,Rame!$F$1:$FF$1,0)-1))*IF(G788="Rame",1,0)</f>
        <v>0</v>
      </c>
      <c r="U788" s="205">
        <f ca="1">IF(ISERROR(OFFSET(Bronzo!$A$1,MATCH(J788,Bronzo!$A:$A,0)-1,MATCH(K788,Bronzo!$A$1:$AA$1,0)-1)=TRUE),0,OFFSET(Bronzo!$A$1,MATCH(J788,Bronzo!$A:$A,0)-1,MATCH(K788,Bronzo!$A$1:$AA$1,0)-1))</f>
        <v>0</v>
      </c>
      <c r="V788" s="205">
        <f t="shared" ca="1" si="264"/>
        <v>0</v>
      </c>
      <c r="W788" s="204"/>
      <c r="X788" s="205">
        <v>0</v>
      </c>
      <c r="Y788" s="206">
        <f t="shared" ca="1" si="265"/>
        <v>0</v>
      </c>
      <c r="Z788" s="277">
        <f t="shared" si="266"/>
        <v>0</v>
      </c>
      <c r="AA788" s="203"/>
      <c r="AB788" s="203">
        <f t="shared" ca="1" si="267"/>
        <v>0</v>
      </c>
      <c r="AC788" s="238"/>
      <c r="AI788" s="367">
        <f t="shared" ca="1" si="262"/>
        <v>46092</v>
      </c>
      <c r="AJ788" s="367" t="b">
        <f t="shared" si="256"/>
        <v>1</v>
      </c>
      <c r="AK788" s="370" t="str">
        <f t="shared" si="257"/>
        <v/>
      </c>
      <c r="AN788">
        <f t="shared" si="258"/>
        <v>0</v>
      </c>
      <c r="AO788">
        <f t="shared" si="259"/>
        <v>1900</v>
      </c>
      <c r="AV788">
        <f t="shared" si="260"/>
        <v>0</v>
      </c>
      <c r="AW788">
        <f t="shared" si="261"/>
        <v>0</v>
      </c>
    </row>
    <row r="789" spans="4:49" ht="15.75" x14ac:dyDescent="0.25">
      <c r="D789" s="199"/>
      <c r="E789" s="200"/>
      <c r="F789" s="287"/>
      <c r="G789" s="201"/>
      <c r="H789" s="219"/>
      <c r="I789" s="202"/>
      <c r="J789" s="200"/>
      <c r="K789" s="200"/>
      <c r="L789" s="203"/>
      <c r="M789" s="204">
        <f ca="1">IF(ISERROR(OFFSET(Tabella!$A$1,MATCH(J789,Tabella!$A:$A,0)-1,MATCH(L789,Tabella!$A$1:$AC$1,0)-1)=TRUE),0,+OFFSET(Tabella!$A$1,MATCH(J789,Tabella!$A:$A,0)-1,MATCH(L789,Tabella!$A$1:$AC$1,0)-1))</f>
        <v>0</v>
      </c>
      <c r="N789" s="205">
        <f ca="1">IF(ISERROR(OFFSET(Ottone!$A$1,MATCH(J789,Ottone!$A:$A,0)-1,MATCH(L789,Ottone!$A$1:$Z$1,0)-1)=TRUE),0,OFFSET(Ottone!$A$1,MATCH(J789,Ottone!$A:$A,0)-1,MATCH(L789,Ottone!$A$1:$Z$1,0)-1))*IF(G789="Ottone",1,0)</f>
        <v>0</v>
      </c>
      <c r="O789" s="205">
        <f ca="1">IF(ISERROR(OFFSET(Rame!$A$1,MATCH(J789,Rame!$A:$A,0)-1,MATCH(L789,Rame!$A$1:$AA$1,0)-1)=TRUE),0,OFFSET(Rame!$A$1,MATCH(J789,Rame!$A:$A,0)-1,MATCH(L789,Rame!$A$1:$AA$1,0)-1))*IF(G789="Rame",1,0)</f>
        <v>0</v>
      </c>
      <c r="P789" s="205">
        <v>0</v>
      </c>
      <c r="Q789" s="205">
        <f t="shared" ca="1" si="263"/>
        <v>0</v>
      </c>
      <c r="R789" s="205">
        <f ca="1">+IF(ISERROR(OFFSET(Tabella!$G$1,MATCH(J789,Tabella!$G:$G,0)-1,MATCH(K789,Tabella!$G$1:$FG$1,0)-1)=TRUE),0,OFFSET(Tabella!$G$1,MATCH(J789,Tabella!$G:$G,0)-1,MATCH(K789,Tabella!$G$1:$AB$1,0)-1))</f>
        <v>0</v>
      </c>
      <c r="S789" s="205">
        <f ca="1">IF(ISERROR(OFFSET(Ottone!$F$1,MATCH(J789,Ottone!$A:$A,0)-1,MATCH(K789,Ottone!$F$1:$FF$1,0)-1)=TRUE),0,OFFSET(Ottone!$F$1,MATCH(J789,Ottone!$A:$A,0)-1,MATCH(K789,Ottone!$F$1:$FF$1,0)-1))*IF(G789="Ottone",1,0)</f>
        <v>0</v>
      </c>
      <c r="T789" s="205">
        <f ca="1">IF(ISERROR(OFFSET(Rame!$F$1,MATCH(J789,Rame!$F:$F,0)-1,MATCH(K789,Rame!$F$1:$FF$1,0)-1)=TRUE),0,OFFSET(Rame!$F$1,MATCH(J789,Rame!$F:$F,0)-1,MATCH(K789,Rame!$F$1:$FF$1,0)-1))*IF(G789="Rame",1,0)</f>
        <v>0</v>
      </c>
      <c r="U789" s="205">
        <f ca="1">IF(ISERROR(OFFSET(Bronzo!$A$1,MATCH(J789,Bronzo!$A:$A,0)-1,MATCH(K789,Bronzo!$A$1:$AA$1,0)-1)=TRUE),0,OFFSET(Bronzo!$A$1,MATCH(J789,Bronzo!$A:$A,0)-1,MATCH(K789,Bronzo!$A$1:$AA$1,0)-1))</f>
        <v>0</v>
      </c>
      <c r="V789" s="205">
        <f t="shared" ca="1" si="264"/>
        <v>0</v>
      </c>
      <c r="W789" s="204"/>
      <c r="X789" s="205">
        <v>0</v>
      </c>
      <c r="Y789" s="206">
        <f t="shared" ca="1" si="265"/>
        <v>0</v>
      </c>
      <c r="Z789" s="277">
        <f t="shared" si="266"/>
        <v>0</v>
      </c>
      <c r="AA789" s="203"/>
      <c r="AB789" s="203">
        <f t="shared" ca="1" si="267"/>
        <v>0</v>
      </c>
      <c r="AC789" s="238"/>
      <c r="AI789" s="367">
        <f t="shared" ca="1" si="262"/>
        <v>46092</v>
      </c>
      <c r="AJ789" s="367" t="b">
        <f t="shared" si="256"/>
        <v>1</v>
      </c>
      <c r="AK789" s="370" t="str">
        <f t="shared" si="257"/>
        <v/>
      </c>
      <c r="AN789">
        <f t="shared" si="258"/>
        <v>0</v>
      </c>
      <c r="AO789">
        <f t="shared" si="259"/>
        <v>1900</v>
      </c>
      <c r="AV789">
        <f t="shared" si="260"/>
        <v>0</v>
      </c>
      <c r="AW789">
        <f t="shared" si="261"/>
        <v>0</v>
      </c>
    </row>
    <row r="790" spans="4:49" ht="15.75" x14ac:dyDescent="0.25">
      <c r="D790" s="199"/>
      <c r="E790" s="200"/>
      <c r="F790" s="287"/>
      <c r="G790" s="201"/>
      <c r="H790" s="219"/>
      <c r="I790" s="202"/>
      <c r="J790" s="200"/>
      <c r="K790" s="200"/>
      <c r="L790" s="203"/>
      <c r="M790" s="204">
        <f ca="1">IF(ISERROR(OFFSET(Tabella!$A$1,MATCH(J790,Tabella!$A:$A,0)-1,MATCH(L790,Tabella!$A$1:$AC$1,0)-1)=TRUE),0,+OFFSET(Tabella!$A$1,MATCH(J790,Tabella!$A:$A,0)-1,MATCH(L790,Tabella!$A$1:$AC$1,0)-1))</f>
        <v>0</v>
      </c>
      <c r="N790" s="205">
        <f ca="1">IF(ISERROR(OFFSET(Ottone!$A$1,MATCH(J790,Ottone!$A:$A,0)-1,MATCH(L790,Ottone!$A$1:$Z$1,0)-1)=TRUE),0,OFFSET(Ottone!$A$1,MATCH(J790,Ottone!$A:$A,0)-1,MATCH(L790,Ottone!$A$1:$Z$1,0)-1))*IF(G790="Ottone",1,0)</f>
        <v>0</v>
      </c>
      <c r="O790" s="205">
        <f ca="1">IF(ISERROR(OFFSET(Rame!$A$1,MATCH(J790,Rame!$A:$A,0)-1,MATCH(L790,Rame!$A$1:$AA$1,0)-1)=TRUE),0,OFFSET(Rame!$A$1,MATCH(J790,Rame!$A:$A,0)-1,MATCH(L790,Rame!$A$1:$AA$1,0)-1))*IF(G790="Rame",1,0)</f>
        <v>0</v>
      </c>
      <c r="P790" s="205">
        <v>0</v>
      </c>
      <c r="Q790" s="205">
        <f t="shared" ca="1" si="263"/>
        <v>0</v>
      </c>
      <c r="R790" s="205">
        <f ca="1">+IF(ISERROR(OFFSET(Tabella!$G$1,MATCH(J790,Tabella!$G:$G,0)-1,MATCH(K790,Tabella!$G$1:$FG$1,0)-1)=TRUE),0,OFFSET(Tabella!$G$1,MATCH(J790,Tabella!$G:$G,0)-1,MATCH(K790,Tabella!$G$1:$AB$1,0)-1))</f>
        <v>0</v>
      </c>
      <c r="S790" s="205">
        <f ca="1">IF(ISERROR(OFFSET(Ottone!$F$1,MATCH(J790,Ottone!$A:$A,0)-1,MATCH(K790,Ottone!$F$1:$FF$1,0)-1)=TRUE),0,OFFSET(Ottone!$F$1,MATCH(J790,Ottone!$A:$A,0)-1,MATCH(K790,Ottone!$F$1:$FF$1,0)-1))*IF(G790="Ottone",1,0)</f>
        <v>0</v>
      </c>
      <c r="T790" s="205">
        <f ca="1">IF(ISERROR(OFFSET(Rame!$F$1,MATCH(J790,Rame!$F:$F,0)-1,MATCH(K790,Rame!$F$1:$FF$1,0)-1)=TRUE),0,OFFSET(Rame!$F$1,MATCH(J790,Rame!$F:$F,0)-1,MATCH(K790,Rame!$F$1:$FF$1,0)-1))*IF(G790="Rame",1,0)</f>
        <v>0</v>
      </c>
      <c r="U790" s="205">
        <f ca="1">IF(ISERROR(OFFSET(Bronzo!$A$1,MATCH(J790,Bronzo!$A:$A,0)-1,MATCH(K790,Bronzo!$A$1:$AA$1,0)-1)=TRUE),0,OFFSET(Bronzo!$A$1,MATCH(J790,Bronzo!$A:$A,0)-1,MATCH(K790,Bronzo!$A$1:$AA$1,0)-1))</f>
        <v>0</v>
      </c>
      <c r="V790" s="205">
        <f t="shared" ca="1" si="264"/>
        <v>0</v>
      </c>
      <c r="W790" s="204"/>
      <c r="X790" s="205">
        <v>0</v>
      </c>
      <c r="Y790" s="206">
        <f t="shared" ca="1" si="265"/>
        <v>0</v>
      </c>
      <c r="Z790" s="277">
        <f t="shared" si="266"/>
        <v>0</v>
      </c>
      <c r="AA790" s="203"/>
      <c r="AB790" s="203">
        <f t="shared" ca="1" si="267"/>
        <v>0</v>
      </c>
      <c r="AC790" s="238"/>
      <c r="AI790" s="367">
        <f t="shared" ca="1" si="262"/>
        <v>46092</v>
      </c>
      <c r="AJ790" s="367" t="b">
        <f t="shared" si="256"/>
        <v>1</v>
      </c>
      <c r="AK790" s="370" t="str">
        <f t="shared" si="257"/>
        <v/>
      </c>
      <c r="AN790">
        <f t="shared" si="258"/>
        <v>0</v>
      </c>
      <c r="AO790">
        <f t="shared" si="259"/>
        <v>1900</v>
      </c>
      <c r="AV790">
        <f t="shared" si="260"/>
        <v>0</v>
      </c>
      <c r="AW790">
        <f t="shared" si="261"/>
        <v>0</v>
      </c>
    </row>
    <row r="791" spans="4:49" ht="15.75" x14ac:dyDescent="0.25">
      <c r="D791" s="199"/>
      <c r="E791" s="200"/>
      <c r="F791" s="287"/>
      <c r="G791" s="201"/>
      <c r="H791" s="219"/>
      <c r="I791" s="202"/>
      <c r="J791" s="200"/>
      <c r="K791" s="200"/>
      <c r="L791" s="203"/>
      <c r="M791" s="204">
        <f ca="1">IF(ISERROR(OFFSET(Tabella!$A$1,MATCH(J791,Tabella!$A:$A,0)-1,MATCH(L791,Tabella!$A$1:$AC$1,0)-1)=TRUE),0,+OFFSET(Tabella!$A$1,MATCH(J791,Tabella!$A:$A,0)-1,MATCH(L791,Tabella!$A$1:$AC$1,0)-1))</f>
        <v>0</v>
      </c>
      <c r="N791" s="205">
        <f ca="1">IF(ISERROR(OFFSET(Ottone!$A$1,MATCH(J791,Ottone!$A:$A,0)-1,MATCH(L791,Ottone!$A$1:$Z$1,0)-1)=TRUE),0,OFFSET(Ottone!$A$1,MATCH(J791,Ottone!$A:$A,0)-1,MATCH(L791,Ottone!$A$1:$Z$1,0)-1))*IF(G791="Ottone",1,0)</f>
        <v>0</v>
      </c>
      <c r="O791" s="205">
        <f ca="1">IF(ISERROR(OFFSET(Rame!$A$1,MATCH(J791,Rame!$A:$A,0)-1,MATCH(L791,Rame!$A$1:$AA$1,0)-1)=TRUE),0,OFFSET(Rame!$A$1,MATCH(J791,Rame!$A:$A,0)-1,MATCH(L791,Rame!$A$1:$AA$1,0)-1))*IF(G791="Rame",1,0)</f>
        <v>0</v>
      </c>
      <c r="P791" s="205">
        <v>0</v>
      </c>
      <c r="Q791" s="205">
        <f t="shared" ca="1" si="263"/>
        <v>0</v>
      </c>
      <c r="R791" s="205">
        <f ca="1">+IF(ISERROR(OFFSET(Tabella!$G$1,MATCH(J791,Tabella!$G:$G,0)-1,MATCH(K791,Tabella!$G$1:$FG$1,0)-1)=TRUE),0,OFFSET(Tabella!$G$1,MATCH(J791,Tabella!$G:$G,0)-1,MATCH(K791,Tabella!$G$1:$AB$1,0)-1))</f>
        <v>0</v>
      </c>
      <c r="S791" s="205">
        <f ca="1">IF(ISERROR(OFFSET(Ottone!$F$1,MATCH(J791,Ottone!$A:$A,0)-1,MATCH(K791,Ottone!$F$1:$FF$1,0)-1)=TRUE),0,OFFSET(Ottone!$F$1,MATCH(J791,Ottone!$A:$A,0)-1,MATCH(K791,Ottone!$F$1:$FF$1,0)-1))*IF(G791="Ottone",1,0)</f>
        <v>0</v>
      </c>
      <c r="T791" s="205">
        <f ca="1">IF(ISERROR(OFFSET(Rame!$F$1,MATCH(J791,Rame!$F:$F,0)-1,MATCH(K791,Rame!$F$1:$FF$1,0)-1)=TRUE),0,OFFSET(Rame!$F$1,MATCH(J791,Rame!$F:$F,0)-1,MATCH(K791,Rame!$F$1:$FF$1,0)-1))*IF(G791="Rame",1,0)</f>
        <v>0</v>
      </c>
      <c r="U791" s="205">
        <f ca="1">IF(ISERROR(OFFSET(Bronzo!$A$1,MATCH(J791,Bronzo!$A:$A,0)-1,MATCH(K791,Bronzo!$A$1:$AA$1,0)-1)=TRUE),0,OFFSET(Bronzo!$A$1,MATCH(J791,Bronzo!$A:$A,0)-1,MATCH(K791,Bronzo!$A$1:$AA$1,0)-1))</f>
        <v>0</v>
      </c>
      <c r="V791" s="205">
        <f t="shared" ca="1" si="264"/>
        <v>0</v>
      </c>
      <c r="W791" s="204"/>
      <c r="X791" s="205">
        <v>0</v>
      </c>
      <c r="Y791" s="206">
        <f t="shared" ca="1" si="265"/>
        <v>0</v>
      </c>
      <c r="Z791" s="277">
        <f t="shared" si="266"/>
        <v>0</v>
      </c>
      <c r="AA791" s="203"/>
      <c r="AB791" s="203">
        <f t="shared" ca="1" si="267"/>
        <v>0</v>
      </c>
      <c r="AC791" s="238"/>
      <c r="AI791" s="367">
        <f t="shared" ca="1" si="262"/>
        <v>46092</v>
      </c>
      <c r="AJ791" s="367" t="b">
        <f t="shared" si="256"/>
        <v>1</v>
      </c>
      <c r="AK791" s="370" t="str">
        <f t="shared" si="257"/>
        <v/>
      </c>
      <c r="AN791">
        <f t="shared" si="258"/>
        <v>0</v>
      </c>
      <c r="AO791">
        <f t="shared" si="259"/>
        <v>1900</v>
      </c>
      <c r="AV791">
        <f t="shared" si="260"/>
        <v>0</v>
      </c>
      <c r="AW791">
        <f t="shared" si="261"/>
        <v>0</v>
      </c>
    </row>
    <row r="792" spans="4:49" ht="15.75" x14ac:dyDescent="0.25">
      <c r="D792" s="199"/>
      <c r="E792" s="200"/>
      <c r="F792" s="287"/>
      <c r="G792" s="201"/>
      <c r="H792" s="219"/>
      <c r="I792" s="202"/>
      <c r="J792" s="200"/>
      <c r="K792" s="200"/>
      <c r="L792" s="203"/>
      <c r="M792" s="204">
        <f ca="1">IF(ISERROR(OFFSET(Tabella!$A$1,MATCH(J792,Tabella!$A:$A,0)-1,MATCH(L792,Tabella!$A$1:$AC$1,0)-1)=TRUE),0,+OFFSET(Tabella!$A$1,MATCH(J792,Tabella!$A:$A,0)-1,MATCH(L792,Tabella!$A$1:$AC$1,0)-1))</f>
        <v>0</v>
      </c>
      <c r="N792" s="205">
        <f ca="1">IF(ISERROR(OFFSET(Ottone!$A$1,MATCH(J792,Ottone!$A:$A,0)-1,MATCH(L792,Ottone!$A$1:$Z$1,0)-1)=TRUE),0,OFFSET(Ottone!$A$1,MATCH(J792,Ottone!$A:$A,0)-1,MATCH(L792,Ottone!$A$1:$Z$1,0)-1))*IF(G792="Ottone",1,0)</f>
        <v>0</v>
      </c>
      <c r="O792" s="205">
        <f ca="1">IF(ISERROR(OFFSET(Rame!$A$1,MATCH(J792,Rame!$A:$A,0)-1,MATCH(L792,Rame!$A$1:$AA$1,0)-1)=TRUE),0,OFFSET(Rame!$A$1,MATCH(J792,Rame!$A:$A,0)-1,MATCH(L792,Rame!$A$1:$AA$1,0)-1))*IF(G792="Rame",1,0)</f>
        <v>0</v>
      </c>
      <c r="P792" s="205">
        <v>0</v>
      </c>
      <c r="Q792" s="205">
        <f t="shared" ca="1" si="263"/>
        <v>0</v>
      </c>
      <c r="R792" s="205">
        <f ca="1">+IF(ISERROR(OFFSET(Tabella!$G$1,MATCH(J792,Tabella!$G:$G,0)-1,MATCH(K792,Tabella!$G$1:$FG$1,0)-1)=TRUE),0,OFFSET(Tabella!$G$1,MATCH(J792,Tabella!$G:$G,0)-1,MATCH(K792,Tabella!$G$1:$AB$1,0)-1))</f>
        <v>0</v>
      </c>
      <c r="S792" s="205">
        <f ca="1">IF(ISERROR(OFFSET(Ottone!$F$1,MATCH(J792,Ottone!$A:$A,0)-1,MATCH(K792,Ottone!$F$1:$FF$1,0)-1)=TRUE),0,OFFSET(Ottone!$F$1,MATCH(J792,Ottone!$A:$A,0)-1,MATCH(K792,Ottone!$F$1:$FF$1,0)-1))*IF(G792="Ottone",1,0)</f>
        <v>0</v>
      </c>
      <c r="T792" s="205">
        <f ca="1">IF(ISERROR(OFFSET(Rame!$F$1,MATCH(J792,Rame!$F:$F,0)-1,MATCH(K792,Rame!$F$1:$FF$1,0)-1)=TRUE),0,OFFSET(Rame!$F$1,MATCH(J792,Rame!$F:$F,0)-1,MATCH(K792,Rame!$F$1:$FF$1,0)-1))*IF(G792="Rame",1,0)</f>
        <v>0</v>
      </c>
      <c r="U792" s="205">
        <f ca="1">IF(ISERROR(OFFSET(Bronzo!$A$1,MATCH(J792,Bronzo!$A:$A,0)-1,MATCH(K792,Bronzo!$A$1:$AA$1,0)-1)=TRUE),0,OFFSET(Bronzo!$A$1,MATCH(J792,Bronzo!$A:$A,0)-1,MATCH(K792,Bronzo!$A$1:$AA$1,0)-1))</f>
        <v>0</v>
      </c>
      <c r="V792" s="205">
        <f t="shared" ca="1" si="264"/>
        <v>0</v>
      </c>
      <c r="W792" s="204"/>
      <c r="X792" s="205">
        <v>0</v>
      </c>
      <c r="Y792" s="206">
        <f t="shared" ca="1" si="265"/>
        <v>0</v>
      </c>
      <c r="Z792" s="277">
        <f t="shared" si="266"/>
        <v>0</v>
      </c>
      <c r="AA792" s="203"/>
      <c r="AB792" s="203">
        <f t="shared" ca="1" si="267"/>
        <v>0</v>
      </c>
      <c r="AC792" s="238"/>
      <c r="AI792" s="367">
        <f t="shared" ca="1" si="262"/>
        <v>46092</v>
      </c>
      <c r="AJ792" s="367" t="b">
        <f t="shared" si="256"/>
        <v>1</v>
      </c>
      <c r="AK792" s="370" t="str">
        <f t="shared" si="257"/>
        <v/>
      </c>
      <c r="AN792">
        <f t="shared" si="258"/>
        <v>0</v>
      </c>
      <c r="AO792">
        <f t="shared" si="259"/>
        <v>1900</v>
      </c>
      <c r="AV792">
        <f t="shared" si="260"/>
        <v>0</v>
      </c>
      <c r="AW792">
        <f t="shared" si="261"/>
        <v>0</v>
      </c>
    </row>
    <row r="793" spans="4:49" ht="15.75" x14ac:dyDescent="0.25">
      <c r="D793" s="199"/>
      <c r="E793" s="200"/>
      <c r="F793" s="287"/>
      <c r="G793" s="201"/>
      <c r="H793" s="219"/>
      <c r="I793" s="202"/>
      <c r="J793" s="200"/>
      <c r="K793" s="200"/>
      <c r="L793" s="203"/>
      <c r="M793" s="204">
        <f ca="1">IF(ISERROR(OFFSET(Tabella!$A$1,MATCH(J793,Tabella!$A:$A,0)-1,MATCH(L793,Tabella!$A$1:$AC$1,0)-1)=TRUE),0,+OFFSET(Tabella!$A$1,MATCH(J793,Tabella!$A:$A,0)-1,MATCH(L793,Tabella!$A$1:$AC$1,0)-1))</f>
        <v>0</v>
      </c>
      <c r="N793" s="205">
        <f ca="1">IF(ISERROR(OFFSET(Ottone!$A$1,MATCH(J793,Ottone!$A:$A,0)-1,MATCH(L793,Ottone!$A$1:$Z$1,0)-1)=TRUE),0,OFFSET(Ottone!$A$1,MATCH(J793,Ottone!$A:$A,0)-1,MATCH(L793,Ottone!$A$1:$Z$1,0)-1))*IF(G793="Ottone",1,0)</f>
        <v>0</v>
      </c>
      <c r="O793" s="205">
        <f ca="1">IF(ISERROR(OFFSET(Rame!$A$1,MATCH(J793,Rame!$A:$A,0)-1,MATCH(L793,Rame!$A$1:$AA$1,0)-1)=TRUE),0,OFFSET(Rame!$A$1,MATCH(J793,Rame!$A:$A,0)-1,MATCH(L793,Rame!$A$1:$AA$1,0)-1))*IF(G793="Rame",1,0)</f>
        <v>0</v>
      </c>
      <c r="P793" s="205">
        <v>0</v>
      </c>
      <c r="Q793" s="205">
        <f t="shared" ca="1" si="263"/>
        <v>0</v>
      </c>
      <c r="R793" s="205">
        <f ca="1">+IF(ISERROR(OFFSET(Tabella!$G$1,MATCH(J793,Tabella!$G:$G,0)-1,MATCH(K793,Tabella!$G$1:$FG$1,0)-1)=TRUE),0,OFFSET(Tabella!$G$1,MATCH(J793,Tabella!$G:$G,0)-1,MATCH(K793,Tabella!$G$1:$AB$1,0)-1))</f>
        <v>0</v>
      </c>
      <c r="S793" s="205">
        <f ca="1">IF(ISERROR(OFFSET(Ottone!$F$1,MATCH(J793,Ottone!$A:$A,0)-1,MATCH(K793,Ottone!$F$1:$FF$1,0)-1)=TRUE),0,OFFSET(Ottone!$F$1,MATCH(J793,Ottone!$A:$A,0)-1,MATCH(K793,Ottone!$F$1:$FF$1,0)-1))*IF(G793="Ottone",1,0)</f>
        <v>0</v>
      </c>
      <c r="T793" s="205">
        <f ca="1">IF(ISERROR(OFFSET(Rame!$F$1,MATCH(J793,Rame!$F:$F,0)-1,MATCH(K793,Rame!$F$1:$FF$1,0)-1)=TRUE),0,OFFSET(Rame!$F$1,MATCH(J793,Rame!$F:$F,0)-1,MATCH(K793,Rame!$F$1:$FF$1,0)-1))*IF(G793="Rame",1,0)</f>
        <v>0</v>
      </c>
      <c r="U793" s="205">
        <f ca="1">IF(ISERROR(OFFSET(Bronzo!$A$1,MATCH(J793,Bronzo!$A:$A,0)-1,MATCH(K793,Bronzo!$A$1:$AA$1,0)-1)=TRUE),0,OFFSET(Bronzo!$A$1,MATCH(J793,Bronzo!$A:$A,0)-1,MATCH(K793,Bronzo!$A$1:$AA$1,0)-1))</f>
        <v>0</v>
      </c>
      <c r="V793" s="205">
        <f t="shared" ca="1" si="264"/>
        <v>0</v>
      </c>
      <c r="W793" s="204"/>
      <c r="X793" s="205">
        <v>0</v>
      </c>
      <c r="Y793" s="206">
        <f t="shared" ca="1" si="265"/>
        <v>0</v>
      </c>
      <c r="Z793" s="277">
        <f t="shared" si="266"/>
        <v>0</v>
      </c>
      <c r="AA793" s="203"/>
      <c r="AB793" s="203">
        <f t="shared" ca="1" si="267"/>
        <v>0</v>
      </c>
      <c r="AC793" s="238"/>
      <c r="AI793" s="367">
        <f t="shared" ca="1" si="262"/>
        <v>46092</v>
      </c>
      <c r="AJ793" s="367" t="b">
        <f t="shared" si="256"/>
        <v>1</v>
      </c>
      <c r="AK793" s="370" t="str">
        <f t="shared" si="257"/>
        <v/>
      </c>
      <c r="AN793">
        <f t="shared" si="258"/>
        <v>0</v>
      </c>
      <c r="AO793">
        <f t="shared" si="259"/>
        <v>1900</v>
      </c>
      <c r="AV793">
        <f t="shared" si="260"/>
        <v>0</v>
      </c>
      <c r="AW793">
        <f t="shared" si="261"/>
        <v>0</v>
      </c>
    </row>
    <row r="794" spans="4:49" ht="15.75" x14ac:dyDescent="0.25">
      <c r="D794" s="199"/>
      <c r="E794" s="200"/>
      <c r="F794" s="287"/>
      <c r="G794" s="201"/>
      <c r="H794" s="219"/>
      <c r="I794" s="202"/>
      <c r="J794" s="200"/>
      <c r="K794" s="200"/>
      <c r="L794" s="203"/>
      <c r="M794" s="204">
        <f ca="1">IF(ISERROR(OFFSET(Tabella!$A$1,MATCH(J794,Tabella!$A:$A,0)-1,MATCH(L794,Tabella!$A$1:$AC$1,0)-1)=TRUE),0,+OFFSET(Tabella!$A$1,MATCH(J794,Tabella!$A:$A,0)-1,MATCH(L794,Tabella!$A$1:$AC$1,0)-1))</f>
        <v>0</v>
      </c>
      <c r="N794" s="205">
        <f ca="1">IF(ISERROR(OFFSET(Ottone!$A$1,MATCH(J794,Ottone!$A:$A,0)-1,MATCH(L794,Ottone!$A$1:$Z$1,0)-1)=TRUE),0,OFFSET(Ottone!$A$1,MATCH(J794,Ottone!$A:$A,0)-1,MATCH(L794,Ottone!$A$1:$Z$1,0)-1))*IF(G794="Ottone",1,0)</f>
        <v>0</v>
      </c>
      <c r="O794" s="205">
        <f ca="1">IF(ISERROR(OFFSET(Rame!$A$1,MATCH(J794,Rame!$A:$A,0)-1,MATCH(L794,Rame!$A$1:$AA$1,0)-1)=TRUE),0,OFFSET(Rame!$A$1,MATCH(J794,Rame!$A:$A,0)-1,MATCH(L794,Rame!$A$1:$AA$1,0)-1))*IF(G794="Rame",1,0)</f>
        <v>0</v>
      </c>
      <c r="P794" s="205">
        <v>0</v>
      </c>
      <c r="Q794" s="205">
        <f t="shared" ca="1" si="263"/>
        <v>0</v>
      </c>
      <c r="R794" s="205">
        <f ca="1">+IF(ISERROR(OFFSET(Tabella!$G$1,MATCH(J794,Tabella!$G:$G,0)-1,MATCH(K794,Tabella!$G$1:$FG$1,0)-1)=TRUE),0,OFFSET(Tabella!$G$1,MATCH(J794,Tabella!$G:$G,0)-1,MATCH(K794,Tabella!$G$1:$AB$1,0)-1))</f>
        <v>0</v>
      </c>
      <c r="S794" s="205">
        <f ca="1">IF(ISERROR(OFFSET(Ottone!$F$1,MATCH(J794,Ottone!$A:$A,0)-1,MATCH(K794,Ottone!$F$1:$FF$1,0)-1)=TRUE),0,OFFSET(Ottone!$F$1,MATCH(J794,Ottone!$A:$A,0)-1,MATCH(K794,Ottone!$F$1:$FF$1,0)-1))*IF(G794="Ottone",1,0)</f>
        <v>0</v>
      </c>
      <c r="T794" s="205">
        <f ca="1">IF(ISERROR(OFFSET(Rame!$F$1,MATCH(J794,Rame!$F:$F,0)-1,MATCH(K794,Rame!$F$1:$FF$1,0)-1)=TRUE),0,OFFSET(Rame!$F$1,MATCH(J794,Rame!$F:$F,0)-1,MATCH(K794,Rame!$F$1:$FF$1,0)-1))*IF(G794="Rame",1,0)</f>
        <v>0</v>
      </c>
      <c r="U794" s="205">
        <f ca="1">IF(ISERROR(OFFSET(Bronzo!$A$1,MATCH(J794,Bronzo!$A:$A,0)-1,MATCH(K794,Bronzo!$A$1:$AA$1,0)-1)=TRUE),0,OFFSET(Bronzo!$A$1,MATCH(J794,Bronzo!$A:$A,0)-1,MATCH(K794,Bronzo!$A$1:$AA$1,0)-1))</f>
        <v>0</v>
      </c>
      <c r="V794" s="205">
        <f t="shared" ca="1" si="264"/>
        <v>0</v>
      </c>
      <c r="W794" s="204"/>
      <c r="X794" s="205">
        <v>0</v>
      </c>
      <c r="Y794" s="206">
        <f t="shared" ca="1" si="265"/>
        <v>0</v>
      </c>
      <c r="Z794" s="277">
        <f t="shared" si="266"/>
        <v>0</v>
      </c>
      <c r="AA794" s="203"/>
      <c r="AB794" s="203">
        <f t="shared" ca="1" si="267"/>
        <v>0</v>
      </c>
      <c r="AC794" s="238"/>
      <c r="AI794" s="367">
        <f t="shared" ca="1" si="262"/>
        <v>46092</v>
      </c>
      <c r="AJ794" s="367" t="b">
        <f t="shared" si="256"/>
        <v>1</v>
      </c>
      <c r="AK794" s="370" t="str">
        <f t="shared" si="257"/>
        <v/>
      </c>
      <c r="AN794">
        <f t="shared" si="258"/>
        <v>0</v>
      </c>
      <c r="AO794">
        <f t="shared" si="259"/>
        <v>1900</v>
      </c>
      <c r="AV794">
        <f t="shared" si="260"/>
        <v>0</v>
      </c>
      <c r="AW794">
        <f t="shared" si="261"/>
        <v>0</v>
      </c>
    </row>
    <row r="795" spans="4:49" ht="15.75" x14ac:dyDescent="0.25">
      <c r="D795" s="199"/>
      <c r="E795" s="200"/>
      <c r="F795" s="287"/>
      <c r="G795" s="201"/>
      <c r="H795" s="219"/>
      <c r="I795" s="202"/>
      <c r="J795" s="200"/>
      <c r="K795" s="200"/>
      <c r="L795" s="203"/>
      <c r="M795" s="204">
        <f ca="1">IF(ISERROR(OFFSET(Tabella!$A$1,MATCH(J795,Tabella!$A:$A,0)-1,MATCH(L795,Tabella!$A$1:$AC$1,0)-1)=TRUE),0,+OFFSET(Tabella!$A$1,MATCH(J795,Tabella!$A:$A,0)-1,MATCH(L795,Tabella!$A$1:$AC$1,0)-1))</f>
        <v>0</v>
      </c>
      <c r="N795" s="205">
        <f ca="1">IF(ISERROR(OFFSET(Ottone!$A$1,MATCH(J795,Ottone!$A:$A,0)-1,MATCH(L795,Ottone!$A$1:$Z$1,0)-1)=TRUE),0,OFFSET(Ottone!$A$1,MATCH(J795,Ottone!$A:$A,0)-1,MATCH(L795,Ottone!$A$1:$Z$1,0)-1))*IF(G795="Ottone",1,0)</f>
        <v>0</v>
      </c>
      <c r="O795" s="205">
        <f ca="1">IF(ISERROR(OFFSET(Rame!$A$1,MATCH(J795,Rame!$A:$A,0)-1,MATCH(L795,Rame!$A$1:$AA$1,0)-1)=TRUE),0,OFFSET(Rame!$A$1,MATCH(J795,Rame!$A:$A,0)-1,MATCH(L795,Rame!$A$1:$AA$1,0)-1))*IF(G795="Rame",1,0)</f>
        <v>0</v>
      </c>
      <c r="P795" s="205">
        <v>0</v>
      </c>
      <c r="Q795" s="205">
        <f t="shared" ca="1" si="263"/>
        <v>0</v>
      </c>
      <c r="R795" s="205">
        <f ca="1">+IF(ISERROR(OFFSET(Tabella!$G$1,MATCH(J795,Tabella!$G:$G,0)-1,MATCH(K795,Tabella!$G$1:$FG$1,0)-1)=TRUE),0,OFFSET(Tabella!$G$1,MATCH(J795,Tabella!$G:$G,0)-1,MATCH(K795,Tabella!$G$1:$AB$1,0)-1))</f>
        <v>0</v>
      </c>
      <c r="S795" s="205">
        <f ca="1">IF(ISERROR(OFFSET(Ottone!$F$1,MATCH(J795,Ottone!$A:$A,0)-1,MATCH(K795,Ottone!$F$1:$FF$1,0)-1)=TRUE),0,OFFSET(Ottone!$F$1,MATCH(J795,Ottone!$A:$A,0)-1,MATCH(K795,Ottone!$F$1:$FF$1,0)-1))*IF(G795="Ottone",1,0)</f>
        <v>0</v>
      </c>
      <c r="T795" s="205">
        <f ca="1">IF(ISERROR(OFFSET(Rame!$F$1,MATCH(J795,Rame!$F:$F,0)-1,MATCH(K795,Rame!$F$1:$FF$1,0)-1)=TRUE),0,OFFSET(Rame!$F$1,MATCH(J795,Rame!$F:$F,0)-1,MATCH(K795,Rame!$F$1:$FF$1,0)-1))*IF(G795="Rame",1,0)</f>
        <v>0</v>
      </c>
      <c r="U795" s="205">
        <f ca="1">IF(ISERROR(OFFSET(Bronzo!$A$1,MATCH(J795,Bronzo!$A:$A,0)-1,MATCH(K795,Bronzo!$A$1:$AA$1,0)-1)=TRUE),0,OFFSET(Bronzo!$A$1,MATCH(J795,Bronzo!$A:$A,0)-1,MATCH(K795,Bronzo!$A$1:$AA$1,0)-1))</f>
        <v>0</v>
      </c>
      <c r="V795" s="205">
        <f t="shared" ca="1" si="264"/>
        <v>0</v>
      </c>
      <c r="W795" s="204"/>
      <c r="X795" s="205">
        <v>0</v>
      </c>
      <c r="Y795" s="206">
        <f t="shared" ca="1" si="265"/>
        <v>0</v>
      </c>
      <c r="Z795" s="277">
        <f t="shared" si="266"/>
        <v>0</v>
      </c>
      <c r="AA795" s="203"/>
      <c r="AB795" s="203">
        <f t="shared" ca="1" si="267"/>
        <v>0</v>
      </c>
      <c r="AC795" s="238"/>
      <c r="AI795" s="367">
        <f t="shared" ca="1" si="262"/>
        <v>46092</v>
      </c>
      <c r="AJ795" s="367" t="b">
        <f t="shared" si="256"/>
        <v>1</v>
      </c>
      <c r="AK795" s="370" t="str">
        <f t="shared" si="257"/>
        <v/>
      </c>
      <c r="AN795">
        <f t="shared" si="258"/>
        <v>0</v>
      </c>
      <c r="AO795">
        <f t="shared" si="259"/>
        <v>1900</v>
      </c>
      <c r="AV795">
        <f t="shared" si="260"/>
        <v>0</v>
      </c>
      <c r="AW795">
        <f t="shared" si="261"/>
        <v>0</v>
      </c>
    </row>
    <row r="796" spans="4:49" ht="15.75" x14ac:dyDescent="0.25">
      <c r="D796" s="199"/>
      <c r="E796" s="200"/>
      <c r="F796" s="287"/>
      <c r="G796" s="201"/>
      <c r="H796" s="219"/>
      <c r="I796" s="202"/>
      <c r="J796" s="200"/>
      <c r="K796" s="200"/>
      <c r="L796" s="203"/>
      <c r="M796" s="204">
        <f ca="1">IF(ISERROR(OFFSET(Tabella!$A$1,MATCH(J796,Tabella!$A:$A,0)-1,MATCH(L796,Tabella!$A$1:$AC$1,0)-1)=TRUE),0,+OFFSET(Tabella!$A$1,MATCH(J796,Tabella!$A:$A,0)-1,MATCH(L796,Tabella!$A$1:$AC$1,0)-1))</f>
        <v>0</v>
      </c>
      <c r="N796" s="205">
        <f ca="1">IF(ISERROR(OFFSET(Ottone!$A$1,MATCH(J796,Ottone!$A:$A,0)-1,MATCH(L796,Ottone!$A$1:$Z$1,0)-1)=TRUE),0,OFFSET(Ottone!$A$1,MATCH(J796,Ottone!$A:$A,0)-1,MATCH(L796,Ottone!$A$1:$Z$1,0)-1))*IF(G796="Ottone",1,0)</f>
        <v>0</v>
      </c>
      <c r="O796" s="205">
        <f ca="1">IF(ISERROR(OFFSET(Rame!$A$1,MATCH(J796,Rame!$A:$A,0)-1,MATCH(L796,Rame!$A$1:$AA$1,0)-1)=TRUE),0,OFFSET(Rame!$A$1,MATCH(J796,Rame!$A:$A,0)-1,MATCH(L796,Rame!$A$1:$AA$1,0)-1))*IF(G796="Rame",1,0)</f>
        <v>0</v>
      </c>
      <c r="P796" s="205">
        <v>0</v>
      </c>
      <c r="Q796" s="205">
        <f t="shared" ca="1" si="263"/>
        <v>0</v>
      </c>
      <c r="R796" s="205">
        <f ca="1">+IF(ISERROR(OFFSET(Tabella!$G$1,MATCH(J796,Tabella!$G:$G,0)-1,MATCH(K796,Tabella!$G$1:$FG$1,0)-1)=TRUE),0,OFFSET(Tabella!$G$1,MATCH(J796,Tabella!$G:$G,0)-1,MATCH(K796,Tabella!$G$1:$AB$1,0)-1))</f>
        <v>0</v>
      </c>
      <c r="S796" s="205">
        <f ca="1">IF(ISERROR(OFFSET(Ottone!$F$1,MATCH(J796,Ottone!$A:$A,0)-1,MATCH(K796,Ottone!$F$1:$FF$1,0)-1)=TRUE),0,OFFSET(Ottone!$F$1,MATCH(J796,Ottone!$A:$A,0)-1,MATCH(K796,Ottone!$F$1:$FF$1,0)-1))*IF(G796="Ottone",1,0)</f>
        <v>0</v>
      </c>
      <c r="T796" s="205">
        <f ca="1">IF(ISERROR(OFFSET(Rame!$F$1,MATCH(J796,Rame!$F:$F,0)-1,MATCH(K796,Rame!$F$1:$FF$1,0)-1)=TRUE),0,OFFSET(Rame!$F$1,MATCH(J796,Rame!$F:$F,0)-1,MATCH(K796,Rame!$F$1:$FF$1,0)-1))*IF(G796="Rame",1,0)</f>
        <v>0</v>
      </c>
      <c r="U796" s="205">
        <f ca="1">IF(ISERROR(OFFSET(Bronzo!$A$1,MATCH(J796,Bronzo!$A:$A,0)-1,MATCH(K796,Bronzo!$A$1:$AA$1,0)-1)=TRUE),0,OFFSET(Bronzo!$A$1,MATCH(J796,Bronzo!$A:$A,0)-1,MATCH(K796,Bronzo!$A$1:$AA$1,0)-1))</f>
        <v>0</v>
      </c>
      <c r="V796" s="205">
        <f t="shared" ca="1" si="264"/>
        <v>0</v>
      </c>
      <c r="W796" s="204"/>
      <c r="X796" s="205">
        <v>0</v>
      </c>
      <c r="Y796" s="206">
        <f t="shared" ca="1" si="265"/>
        <v>0</v>
      </c>
      <c r="Z796" s="277">
        <f t="shared" si="266"/>
        <v>0</v>
      </c>
      <c r="AA796" s="203"/>
      <c r="AB796" s="203">
        <f t="shared" ca="1" si="267"/>
        <v>0</v>
      </c>
      <c r="AC796" s="238"/>
      <c r="AI796" s="367">
        <f t="shared" ca="1" si="262"/>
        <v>46092</v>
      </c>
      <c r="AJ796" s="367" t="b">
        <f t="shared" si="256"/>
        <v>1</v>
      </c>
      <c r="AK796" s="370" t="str">
        <f t="shared" si="257"/>
        <v/>
      </c>
      <c r="AN796">
        <f t="shared" si="258"/>
        <v>0</v>
      </c>
      <c r="AO796">
        <f t="shared" si="259"/>
        <v>1900</v>
      </c>
      <c r="AV796">
        <f t="shared" si="260"/>
        <v>0</v>
      </c>
      <c r="AW796">
        <f t="shared" si="261"/>
        <v>0</v>
      </c>
    </row>
    <row r="797" spans="4:49" ht="15.75" x14ac:dyDescent="0.25">
      <c r="D797" s="199"/>
      <c r="E797" s="200"/>
      <c r="F797" s="287"/>
      <c r="G797" s="201"/>
      <c r="H797" s="219"/>
      <c r="I797" s="202"/>
      <c r="J797" s="200"/>
      <c r="K797" s="200"/>
      <c r="L797" s="203"/>
      <c r="M797" s="204">
        <f ca="1">IF(ISERROR(OFFSET(Tabella!$A$1,MATCH(J797,Tabella!$A:$A,0)-1,MATCH(L797,Tabella!$A$1:$AC$1,0)-1)=TRUE),0,+OFFSET(Tabella!$A$1,MATCH(J797,Tabella!$A:$A,0)-1,MATCH(L797,Tabella!$A$1:$AC$1,0)-1))</f>
        <v>0</v>
      </c>
      <c r="N797" s="205">
        <f ca="1">IF(ISERROR(OFFSET(Ottone!$A$1,MATCH(J797,Ottone!$A:$A,0)-1,MATCH(L797,Ottone!$A$1:$Z$1,0)-1)=TRUE),0,OFFSET(Ottone!$A$1,MATCH(J797,Ottone!$A:$A,0)-1,MATCH(L797,Ottone!$A$1:$Z$1,0)-1))*IF(G797="Ottone",1,0)</f>
        <v>0</v>
      </c>
      <c r="O797" s="205">
        <f ca="1">IF(ISERROR(OFFSET(Rame!$A$1,MATCH(J797,Rame!$A:$A,0)-1,MATCH(L797,Rame!$A$1:$AA$1,0)-1)=TRUE),0,OFFSET(Rame!$A$1,MATCH(J797,Rame!$A:$A,0)-1,MATCH(L797,Rame!$A$1:$AA$1,0)-1))*IF(G797="Rame",1,0)</f>
        <v>0</v>
      </c>
      <c r="P797" s="205">
        <v>0</v>
      </c>
      <c r="Q797" s="205">
        <f t="shared" ca="1" si="263"/>
        <v>0</v>
      </c>
      <c r="R797" s="205">
        <f ca="1">+IF(ISERROR(OFFSET(Tabella!$G$1,MATCH(J797,Tabella!$G:$G,0)-1,MATCH(K797,Tabella!$G$1:$FG$1,0)-1)=TRUE),0,OFFSET(Tabella!$G$1,MATCH(J797,Tabella!$G:$G,0)-1,MATCH(K797,Tabella!$G$1:$AB$1,0)-1))</f>
        <v>0</v>
      </c>
      <c r="S797" s="205">
        <f ca="1">IF(ISERROR(OFFSET(Ottone!$F$1,MATCH(J797,Ottone!$A:$A,0)-1,MATCH(K797,Ottone!$F$1:$FF$1,0)-1)=TRUE),0,OFFSET(Ottone!$F$1,MATCH(J797,Ottone!$A:$A,0)-1,MATCH(K797,Ottone!$F$1:$FF$1,0)-1))*IF(G797="Ottone",1,0)</f>
        <v>0</v>
      </c>
      <c r="T797" s="205">
        <f ca="1">IF(ISERROR(OFFSET(Rame!$F$1,MATCH(J797,Rame!$F:$F,0)-1,MATCH(K797,Rame!$F$1:$FF$1,0)-1)=TRUE),0,OFFSET(Rame!$F$1,MATCH(J797,Rame!$F:$F,0)-1,MATCH(K797,Rame!$F$1:$FF$1,0)-1))*IF(G797="Rame",1,0)</f>
        <v>0</v>
      </c>
      <c r="U797" s="205">
        <f ca="1">IF(ISERROR(OFFSET(Bronzo!$A$1,MATCH(J797,Bronzo!$A:$A,0)-1,MATCH(K797,Bronzo!$A$1:$AA$1,0)-1)=TRUE),0,OFFSET(Bronzo!$A$1,MATCH(J797,Bronzo!$A:$A,0)-1,MATCH(K797,Bronzo!$A$1:$AA$1,0)-1))</f>
        <v>0</v>
      </c>
      <c r="V797" s="205">
        <f t="shared" ca="1" si="264"/>
        <v>0</v>
      </c>
      <c r="W797" s="204"/>
      <c r="X797" s="205">
        <v>0</v>
      </c>
      <c r="Y797" s="206">
        <f t="shared" ca="1" si="265"/>
        <v>0</v>
      </c>
      <c r="Z797" s="277">
        <f t="shared" si="266"/>
        <v>0</v>
      </c>
      <c r="AA797" s="203"/>
      <c r="AB797" s="203">
        <f t="shared" ca="1" si="267"/>
        <v>0</v>
      </c>
      <c r="AC797" s="238"/>
      <c r="AI797" s="367">
        <f t="shared" ca="1" si="262"/>
        <v>46092</v>
      </c>
      <c r="AJ797" s="367" t="b">
        <f t="shared" si="256"/>
        <v>1</v>
      </c>
      <c r="AK797" s="370" t="str">
        <f t="shared" si="257"/>
        <v/>
      </c>
      <c r="AN797">
        <f t="shared" si="258"/>
        <v>0</v>
      </c>
      <c r="AO797">
        <f t="shared" si="259"/>
        <v>1900</v>
      </c>
      <c r="AV797">
        <f t="shared" si="260"/>
        <v>0</v>
      </c>
      <c r="AW797">
        <f t="shared" si="261"/>
        <v>0</v>
      </c>
    </row>
    <row r="798" spans="4:49" ht="15.75" x14ac:dyDescent="0.25">
      <c r="D798" s="199"/>
      <c r="E798" s="200"/>
      <c r="F798" s="287"/>
      <c r="G798" s="201"/>
      <c r="H798" s="219"/>
      <c r="I798" s="202"/>
      <c r="J798" s="200"/>
      <c r="K798" s="200"/>
      <c r="L798" s="203"/>
      <c r="M798" s="204">
        <f ca="1">IF(ISERROR(OFFSET(Tabella!$A$1,MATCH(J798,Tabella!$A:$A,0)-1,MATCH(L798,Tabella!$A$1:$AC$1,0)-1)=TRUE),0,+OFFSET(Tabella!$A$1,MATCH(J798,Tabella!$A:$A,0)-1,MATCH(L798,Tabella!$A$1:$AC$1,0)-1))</f>
        <v>0</v>
      </c>
      <c r="N798" s="205">
        <f ca="1">IF(ISERROR(OFFSET(Ottone!$A$1,MATCH(J798,Ottone!$A:$A,0)-1,MATCH(L798,Ottone!$A$1:$Z$1,0)-1)=TRUE),0,OFFSET(Ottone!$A$1,MATCH(J798,Ottone!$A:$A,0)-1,MATCH(L798,Ottone!$A$1:$Z$1,0)-1))*IF(G798="Ottone",1,0)</f>
        <v>0</v>
      </c>
      <c r="O798" s="205">
        <f ca="1">IF(ISERROR(OFFSET(Rame!$A$1,MATCH(J798,Rame!$A:$A,0)-1,MATCH(L798,Rame!$A$1:$AA$1,0)-1)=TRUE),0,OFFSET(Rame!$A$1,MATCH(J798,Rame!$A:$A,0)-1,MATCH(L798,Rame!$A$1:$AA$1,0)-1))*IF(G798="Rame",1,0)</f>
        <v>0</v>
      </c>
      <c r="P798" s="205">
        <v>0</v>
      </c>
      <c r="Q798" s="205">
        <f t="shared" ca="1" si="263"/>
        <v>0</v>
      </c>
      <c r="R798" s="205">
        <f ca="1">+IF(ISERROR(OFFSET(Tabella!$G$1,MATCH(J798,Tabella!$G:$G,0)-1,MATCH(K798,Tabella!$G$1:$FG$1,0)-1)=TRUE),0,OFFSET(Tabella!$G$1,MATCH(J798,Tabella!$G:$G,0)-1,MATCH(K798,Tabella!$G$1:$AB$1,0)-1))</f>
        <v>0</v>
      </c>
      <c r="S798" s="205">
        <f ca="1">IF(ISERROR(OFFSET(Ottone!$F$1,MATCH(J798,Ottone!$A:$A,0)-1,MATCH(K798,Ottone!$F$1:$FF$1,0)-1)=TRUE),0,OFFSET(Ottone!$F$1,MATCH(J798,Ottone!$A:$A,0)-1,MATCH(K798,Ottone!$F$1:$FF$1,0)-1))*IF(G798="Ottone",1,0)</f>
        <v>0</v>
      </c>
      <c r="T798" s="205">
        <f ca="1">IF(ISERROR(OFFSET(Rame!$F$1,MATCH(J798,Rame!$F:$F,0)-1,MATCH(K798,Rame!$F$1:$FF$1,0)-1)=TRUE),0,OFFSET(Rame!$F$1,MATCH(J798,Rame!$F:$F,0)-1,MATCH(K798,Rame!$F$1:$FF$1,0)-1))*IF(G798="Rame",1,0)</f>
        <v>0</v>
      </c>
      <c r="U798" s="205">
        <f ca="1">IF(ISERROR(OFFSET(Bronzo!$A$1,MATCH(J798,Bronzo!$A:$A,0)-1,MATCH(K798,Bronzo!$A$1:$AA$1,0)-1)=TRUE),0,OFFSET(Bronzo!$A$1,MATCH(J798,Bronzo!$A:$A,0)-1,MATCH(K798,Bronzo!$A$1:$AA$1,0)-1))</f>
        <v>0</v>
      </c>
      <c r="V798" s="205">
        <f t="shared" ca="1" si="264"/>
        <v>0</v>
      </c>
      <c r="W798" s="204"/>
      <c r="X798" s="205">
        <v>0</v>
      </c>
      <c r="Y798" s="206">
        <f t="shared" ca="1" si="265"/>
        <v>0</v>
      </c>
      <c r="Z798" s="277">
        <f t="shared" si="266"/>
        <v>0</v>
      </c>
      <c r="AA798" s="203"/>
      <c r="AB798" s="203">
        <f t="shared" ca="1" si="267"/>
        <v>0</v>
      </c>
      <c r="AC798" s="238"/>
      <c r="AI798" s="367">
        <f t="shared" ca="1" si="262"/>
        <v>46092</v>
      </c>
      <c r="AJ798" s="367" t="b">
        <f t="shared" si="256"/>
        <v>1</v>
      </c>
      <c r="AK798" s="370" t="str">
        <f t="shared" si="257"/>
        <v/>
      </c>
      <c r="AN798">
        <f t="shared" si="258"/>
        <v>0</v>
      </c>
      <c r="AO798">
        <f t="shared" si="259"/>
        <v>1900</v>
      </c>
      <c r="AV798">
        <f t="shared" si="260"/>
        <v>0</v>
      </c>
      <c r="AW798">
        <f t="shared" si="261"/>
        <v>0</v>
      </c>
    </row>
    <row r="799" spans="4:49" ht="15.75" x14ac:dyDescent="0.25">
      <c r="D799" s="199"/>
      <c r="E799" s="200"/>
      <c r="F799" s="287"/>
      <c r="G799" s="201"/>
      <c r="H799" s="219"/>
      <c r="I799" s="202"/>
      <c r="J799" s="200"/>
      <c r="K799" s="200"/>
      <c r="L799" s="203"/>
      <c r="M799" s="204">
        <f ca="1">IF(ISERROR(OFFSET(Tabella!$A$1,MATCH(J799,Tabella!$A:$A,0)-1,MATCH(L799,Tabella!$A$1:$AC$1,0)-1)=TRUE),0,+OFFSET(Tabella!$A$1,MATCH(J799,Tabella!$A:$A,0)-1,MATCH(L799,Tabella!$A$1:$AC$1,0)-1))</f>
        <v>0</v>
      </c>
      <c r="N799" s="205">
        <f ca="1">IF(ISERROR(OFFSET(Ottone!$A$1,MATCH(J799,Ottone!$A:$A,0)-1,MATCH(L799,Ottone!$A$1:$Z$1,0)-1)=TRUE),0,OFFSET(Ottone!$A$1,MATCH(J799,Ottone!$A:$A,0)-1,MATCH(L799,Ottone!$A$1:$Z$1,0)-1))*IF(G799="Ottone",1,0)</f>
        <v>0</v>
      </c>
      <c r="O799" s="205">
        <f ca="1">IF(ISERROR(OFFSET(Rame!$A$1,MATCH(J799,Rame!$A:$A,0)-1,MATCH(L799,Rame!$A$1:$AA$1,0)-1)=TRUE),0,OFFSET(Rame!$A$1,MATCH(J799,Rame!$A:$A,0)-1,MATCH(L799,Rame!$A$1:$AA$1,0)-1))*IF(G799="Rame",1,0)</f>
        <v>0</v>
      </c>
      <c r="P799" s="205">
        <v>0</v>
      </c>
      <c r="Q799" s="205">
        <f t="shared" ca="1" si="263"/>
        <v>0</v>
      </c>
      <c r="R799" s="205">
        <f ca="1">+IF(ISERROR(OFFSET(Tabella!$G$1,MATCH(J799,Tabella!$G:$G,0)-1,MATCH(K799,Tabella!$G$1:$FG$1,0)-1)=TRUE),0,OFFSET(Tabella!$G$1,MATCH(J799,Tabella!$G:$G,0)-1,MATCH(K799,Tabella!$G$1:$AB$1,0)-1))</f>
        <v>0</v>
      </c>
      <c r="S799" s="205">
        <f ca="1">IF(ISERROR(OFFSET(Ottone!$F$1,MATCH(J799,Ottone!$A:$A,0)-1,MATCH(K799,Ottone!$F$1:$FF$1,0)-1)=TRUE),0,OFFSET(Ottone!$F$1,MATCH(J799,Ottone!$A:$A,0)-1,MATCH(K799,Ottone!$F$1:$FF$1,0)-1))*IF(G799="Ottone",1,0)</f>
        <v>0</v>
      </c>
      <c r="T799" s="205">
        <f ca="1">IF(ISERROR(OFFSET(Rame!$F$1,MATCH(J799,Rame!$F:$F,0)-1,MATCH(K799,Rame!$F$1:$FF$1,0)-1)=TRUE),0,OFFSET(Rame!$F$1,MATCH(J799,Rame!$F:$F,0)-1,MATCH(K799,Rame!$F$1:$FF$1,0)-1))*IF(G799="Rame",1,0)</f>
        <v>0</v>
      </c>
      <c r="U799" s="205">
        <f ca="1">IF(ISERROR(OFFSET(Bronzo!$A$1,MATCH(J799,Bronzo!$A:$A,0)-1,MATCH(K799,Bronzo!$A$1:$AA$1,0)-1)=TRUE),0,OFFSET(Bronzo!$A$1,MATCH(J799,Bronzo!$A:$A,0)-1,MATCH(K799,Bronzo!$A$1:$AA$1,0)-1))</f>
        <v>0</v>
      </c>
      <c r="V799" s="205">
        <f t="shared" ca="1" si="264"/>
        <v>0</v>
      </c>
      <c r="W799" s="204"/>
      <c r="X799" s="205">
        <v>0</v>
      </c>
      <c r="Y799" s="206">
        <f t="shared" ca="1" si="265"/>
        <v>0</v>
      </c>
      <c r="Z799" s="277">
        <f t="shared" si="266"/>
        <v>0</v>
      </c>
      <c r="AA799" s="203"/>
      <c r="AB799" s="203">
        <f t="shared" ca="1" si="267"/>
        <v>0</v>
      </c>
      <c r="AC799" s="238"/>
      <c r="AI799" s="367">
        <f t="shared" ca="1" si="262"/>
        <v>46092</v>
      </c>
      <c r="AJ799" s="367" t="b">
        <f t="shared" si="256"/>
        <v>1</v>
      </c>
      <c r="AK799" s="370" t="str">
        <f t="shared" si="257"/>
        <v/>
      </c>
      <c r="AN799">
        <f t="shared" si="258"/>
        <v>0</v>
      </c>
      <c r="AO799">
        <f t="shared" si="259"/>
        <v>1900</v>
      </c>
      <c r="AV799">
        <f t="shared" si="260"/>
        <v>0</v>
      </c>
      <c r="AW799">
        <f t="shared" si="261"/>
        <v>0</v>
      </c>
    </row>
    <row r="800" spans="4:49" ht="15.75" x14ac:dyDescent="0.25">
      <c r="D800" s="199"/>
      <c r="E800" s="200"/>
      <c r="F800" s="287"/>
      <c r="G800" s="201"/>
      <c r="H800" s="219"/>
      <c r="I800" s="202"/>
      <c r="J800" s="200"/>
      <c r="K800" s="200"/>
      <c r="L800" s="203"/>
      <c r="M800" s="204">
        <f ca="1">IF(ISERROR(OFFSET(Tabella!$A$1,MATCH(J800,Tabella!$A:$A,0)-1,MATCH(L800,Tabella!$A$1:$AC$1,0)-1)=TRUE),0,+OFFSET(Tabella!$A$1,MATCH(J800,Tabella!$A:$A,0)-1,MATCH(L800,Tabella!$A$1:$AC$1,0)-1))</f>
        <v>0</v>
      </c>
      <c r="N800" s="205">
        <f ca="1">IF(ISERROR(OFFSET(Ottone!$A$1,MATCH(J800,Ottone!$A:$A,0)-1,MATCH(L800,Ottone!$A$1:$Z$1,0)-1)=TRUE),0,OFFSET(Ottone!$A$1,MATCH(J800,Ottone!$A:$A,0)-1,MATCH(L800,Ottone!$A$1:$Z$1,0)-1))*IF(G800="Ottone",1,0)</f>
        <v>0</v>
      </c>
      <c r="O800" s="205">
        <f ca="1">IF(ISERROR(OFFSET(Rame!$A$1,MATCH(J800,Rame!$A:$A,0)-1,MATCH(L800,Rame!$A$1:$AA$1,0)-1)=TRUE),0,OFFSET(Rame!$A$1,MATCH(J800,Rame!$A:$A,0)-1,MATCH(L800,Rame!$A$1:$AA$1,0)-1))*IF(G800="Rame",1,0)</f>
        <v>0</v>
      </c>
      <c r="P800" s="205">
        <v>0</v>
      </c>
      <c r="Q800" s="205">
        <f t="shared" ca="1" si="263"/>
        <v>0</v>
      </c>
      <c r="R800" s="205">
        <f ca="1">+IF(ISERROR(OFFSET(Tabella!$G$1,MATCH(J800,Tabella!$G:$G,0)-1,MATCH(K800,Tabella!$G$1:$FG$1,0)-1)=TRUE),0,OFFSET(Tabella!$G$1,MATCH(J800,Tabella!$G:$G,0)-1,MATCH(K800,Tabella!$G$1:$AB$1,0)-1))</f>
        <v>0</v>
      </c>
      <c r="S800" s="205">
        <f ca="1">IF(ISERROR(OFFSET(Ottone!$F$1,MATCH(J800,Ottone!$A:$A,0)-1,MATCH(K800,Ottone!$F$1:$FF$1,0)-1)=TRUE),0,OFFSET(Ottone!$F$1,MATCH(J800,Ottone!$A:$A,0)-1,MATCH(K800,Ottone!$F$1:$FF$1,0)-1))*IF(G800="Ottone",1,0)</f>
        <v>0</v>
      </c>
      <c r="T800" s="205">
        <f ca="1">IF(ISERROR(OFFSET(Rame!$F$1,MATCH(J800,Rame!$F:$F,0)-1,MATCH(K800,Rame!$F$1:$FF$1,0)-1)=TRUE),0,OFFSET(Rame!$F$1,MATCH(J800,Rame!$F:$F,0)-1,MATCH(K800,Rame!$F$1:$FF$1,0)-1))*IF(G800="Rame",1,0)</f>
        <v>0</v>
      </c>
      <c r="U800" s="205">
        <f ca="1">IF(ISERROR(OFFSET(Bronzo!$A$1,MATCH(J800,Bronzo!$A:$A,0)-1,MATCH(K800,Bronzo!$A$1:$AA$1,0)-1)=TRUE),0,OFFSET(Bronzo!$A$1,MATCH(J800,Bronzo!$A:$A,0)-1,MATCH(K800,Bronzo!$A$1:$AA$1,0)-1))</f>
        <v>0</v>
      </c>
      <c r="V800" s="205">
        <f t="shared" ca="1" si="264"/>
        <v>0</v>
      </c>
      <c r="W800" s="204"/>
      <c r="X800" s="205">
        <v>0</v>
      </c>
      <c r="Y800" s="206">
        <f t="shared" ca="1" si="265"/>
        <v>0</v>
      </c>
      <c r="Z800" s="277">
        <f t="shared" si="266"/>
        <v>0</v>
      </c>
      <c r="AA800" s="203"/>
      <c r="AB800" s="203">
        <f t="shared" ca="1" si="267"/>
        <v>0</v>
      </c>
      <c r="AC800" s="238"/>
      <c r="AI800" s="367">
        <f t="shared" ca="1" si="262"/>
        <v>46092</v>
      </c>
      <c r="AJ800" s="367" t="b">
        <f t="shared" ref="AJ800:AJ863" si="268">ISBLANK(AC800)</f>
        <v>1</v>
      </c>
      <c r="AK800" s="370" t="str">
        <f t="shared" ref="AK800:AK863" si="269">IF(AJ800=FALSE,_xlfn.DAYS(AC800,AI800),"")</f>
        <v/>
      </c>
      <c r="AN800">
        <f t="shared" ref="AN800:AN863" si="270">WEEKNUM(AC800)</f>
        <v>0</v>
      </c>
      <c r="AO800">
        <f t="shared" ref="AO800:AO863" si="271">YEAR(AC800)</f>
        <v>1900</v>
      </c>
      <c r="AV800">
        <f t="shared" si="260"/>
        <v>0</v>
      </c>
      <c r="AW800">
        <f t="shared" si="261"/>
        <v>0</v>
      </c>
    </row>
    <row r="801" spans="4:49" ht="15.75" x14ac:dyDescent="0.25">
      <c r="D801" s="199"/>
      <c r="E801" s="200"/>
      <c r="F801" s="287"/>
      <c r="G801" s="201"/>
      <c r="H801" s="219"/>
      <c r="I801" s="202"/>
      <c r="J801" s="200"/>
      <c r="K801" s="200"/>
      <c r="L801" s="203"/>
      <c r="M801" s="204">
        <f ca="1">IF(ISERROR(OFFSET(Tabella!$A$1,MATCH(J801,Tabella!$A:$A,0)-1,MATCH(L801,Tabella!$A$1:$AC$1,0)-1)=TRUE),0,+OFFSET(Tabella!$A$1,MATCH(J801,Tabella!$A:$A,0)-1,MATCH(L801,Tabella!$A$1:$AC$1,0)-1))</f>
        <v>0</v>
      </c>
      <c r="N801" s="205">
        <f ca="1">IF(ISERROR(OFFSET(Ottone!$A$1,MATCH(J801,Ottone!$A:$A,0)-1,MATCH(L801,Ottone!$A$1:$Z$1,0)-1)=TRUE),0,OFFSET(Ottone!$A$1,MATCH(J801,Ottone!$A:$A,0)-1,MATCH(L801,Ottone!$A$1:$Z$1,0)-1))*IF(G801="Ottone",1,0)</f>
        <v>0</v>
      </c>
      <c r="O801" s="205">
        <f ca="1">IF(ISERROR(OFFSET(Rame!$A$1,MATCH(J801,Rame!$A:$A,0)-1,MATCH(L801,Rame!$A$1:$AA$1,0)-1)=TRUE),0,OFFSET(Rame!$A$1,MATCH(J801,Rame!$A:$A,0)-1,MATCH(L801,Rame!$A$1:$AA$1,0)-1))*IF(G801="Rame",1,0)</f>
        <v>0</v>
      </c>
      <c r="P801" s="205">
        <v>0</v>
      </c>
      <c r="Q801" s="205">
        <f t="shared" ca="1" si="263"/>
        <v>0</v>
      </c>
      <c r="R801" s="205">
        <f ca="1">+IF(ISERROR(OFFSET(Tabella!$G$1,MATCH(J801,Tabella!$G:$G,0)-1,MATCH(K801,Tabella!$G$1:$FG$1,0)-1)=TRUE),0,OFFSET(Tabella!$G$1,MATCH(J801,Tabella!$G:$G,0)-1,MATCH(K801,Tabella!$G$1:$AB$1,0)-1))</f>
        <v>0</v>
      </c>
      <c r="S801" s="205">
        <f ca="1">IF(ISERROR(OFFSET(Ottone!$F$1,MATCH(J801,Ottone!$A:$A,0)-1,MATCH(K801,Ottone!$F$1:$FF$1,0)-1)=TRUE),0,OFFSET(Ottone!$F$1,MATCH(J801,Ottone!$A:$A,0)-1,MATCH(K801,Ottone!$F$1:$FF$1,0)-1))*IF(G801="Ottone",1,0)</f>
        <v>0</v>
      </c>
      <c r="T801" s="205">
        <f ca="1">IF(ISERROR(OFFSET(Rame!$F$1,MATCH(J801,Rame!$F:$F,0)-1,MATCH(K801,Rame!$F$1:$FF$1,0)-1)=TRUE),0,OFFSET(Rame!$F$1,MATCH(J801,Rame!$F:$F,0)-1,MATCH(K801,Rame!$F$1:$FF$1,0)-1))*IF(G801="Rame",1,0)</f>
        <v>0</v>
      </c>
      <c r="U801" s="205">
        <f ca="1">IF(ISERROR(OFFSET(Bronzo!$A$1,MATCH(J801,Bronzo!$A:$A,0)-1,MATCH(K801,Bronzo!$A$1:$AA$1,0)-1)=TRUE),0,OFFSET(Bronzo!$A$1,MATCH(J801,Bronzo!$A:$A,0)-1,MATCH(K801,Bronzo!$A$1:$AA$1,0)-1))</f>
        <v>0</v>
      </c>
      <c r="V801" s="205">
        <f t="shared" ca="1" si="264"/>
        <v>0</v>
      </c>
      <c r="W801" s="204"/>
      <c r="X801" s="205">
        <v>0</v>
      </c>
      <c r="Y801" s="206">
        <f t="shared" ca="1" si="265"/>
        <v>0</v>
      </c>
      <c r="Z801" s="277">
        <f t="shared" si="266"/>
        <v>0</v>
      </c>
      <c r="AA801" s="203"/>
      <c r="AB801" s="203">
        <f t="shared" ca="1" si="267"/>
        <v>0</v>
      </c>
      <c r="AC801" s="238"/>
      <c r="AI801" s="367">
        <f t="shared" ca="1" si="262"/>
        <v>46092</v>
      </c>
      <c r="AJ801" s="367" t="b">
        <f t="shared" si="268"/>
        <v>1</v>
      </c>
      <c r="AK801" s="370" t="str">
        <f t="shared" si="269"/>
        <v/>
      </c>
      <c r="AN801">
        <f t="shared" si="270"/>
        <v>0</v>
      </c>
      <c r="AO801">
        <f t="shared" si="271"/>
        <v>1900</v>
      </c>
      <c r="AV801">
        <f t="shared" si="260"/>
        <v>0</v>
      </c>
      <c r="AW801">
        <f t="shared" si="261"/>
        <v>0</v>
      </c>
    </row>
    <row r="802" spans="4:49" ht="15.75" x14ac:dyDescent="0.25">
      <c r="D802" s="199"/>
      <c r="E802" s="200"/>
      <c r="F802" s="287"/>
      <c r="G802" s="201"/>
      <c r="H802" s="219"/>
      <c r="I802" s="202"/>
      <c r="J802" s="200"/>
      <c r="K802" s="200"/>
      <c r="L802" s="203"/>
      <c r="M802" s="204">
        <f ca="1">IF(ISERROR(OFFSET(Tabella!$A$1,MATCH(J802,Tabella!$A:$A,0)-1,MATCH(L802,Tabella!$A$1:$AC$1,0)-1)=TRUE),0,+OFFSET(Tabella!$A$1,MATCH(J802,Tabella!$A:$A,0)-1,MATCH(L802,Tabella!$A$1:$AC$1,0)-1))</f>
        <v>0</v>
      </c>
      <c r="N802" s="205">
        <f ca="1">IF(ISERROR(OFFSET(Ottone!$A$1,MATCH(J802,Ottone!$A:$A,0)-1,MATCH(L802,Ottone!$A$1:$Z$1,0)-1)=TRUE),0,OFFSET(Ottone!$A$1,MATCH(J802,Ottone!$A:$A,0)-1,MATCH(L802,Ottone!$A$1:$Z$1,0)-1))*IF(G802="Ottone",1,0)</f>
        <v>0</v>
      </c>
      <c r="O802" s="205">
        <f ca="1">IF(ISERROR(OFFSET(Rame!$A$1,MATCH(J802,Rame!$A:$A,0)-1,MATCH(L802,Rame!$A$1:$AA$1,0)-1)=TRUE),0,OFFSET(Rame!$A$1,MATCH(J802,Rame!$A:$A,0)-1,MATCH(L802,Rame!$A$1:$AA$1,0)-1))*IF(G802="Rame",1,0)</f>
        <v>0</v>
      </c>
      <c r="P802" s="205">
        <v>0</v>
      </c>
      <c r="Q802" s="205">
        <f t="shared" ca="1" si="263"/>
        <v>0</v>
      </c>
      <c r="R802" s="205">
        <f ca="1">+IF(ISERROR(OFFSET(Tabella!$G$1,MATCH(J802,Tabella!$G:$G,0)-1,MATCH(K802,Tabella!$G$1:$FG$1,0)-1)=TRUE),0,OFFSET(Tabella!$G$1,MATCH(J802,Tabella!$G:$G,0)-1,MATCH(K802,Tabella!$G$1:$AB$1,0)-1))</f>
        <v>0</v>
      </c>
      <c r="S802" s="205">
        <f ca="1">IF(ISERROR(OFFSET(Ottone!$F$1,MATCH(J802,Ottone!$A:$A,0)-1,MATCH(K802,Ottone!$F$1:$FF$1,0)-1)=TRUE),0,OFFSET(Ottone!$F$1,MATCH(J802,Ottone!$A:$A,0)-1,MATCH(K802,Ottone!$F$1:$FF$1,0)-1))*IF(G802="Ottone",1,0)</f>
        <v>0</v>
      </c>
      <c r="T802" s="205">
        <f ca="1">IF(ISERROR(OFFSET(Rame!$F$1,MATCH(J802,Rame!$F:$F,0)-1,MATCH(K802,Rame!$F$1:$FF$1,0)-1)=TRUE),0,OFFSET(Rame!$F$1,MATCH(J802,Rame!$F:$F,0)-1,MATCH(K802,Rame!$F$1:$FF$1,0)-1))*IF(G802="Rame",1,0)</f>
        <v>0</v>
      </c>
      <c r="U802" s="205">
        <f ca="1">IF(ISERROR(OFFSET(Bronzo!$A$1,MATCH(J802,Bronzo!$A:$A,0)-1,MATCH(K802,Bronzo!$A$1:$AA$1,0)-1)=TRUE),0,OFFSET(Bronzo!$A$1,MATCH(J802,Bronzo!$A:$A,0)-1,MATCH(K802,Bronzo!$A$1:$AA$1,0)-1))</f>
        <v>0</v>
      </c>
      <c r="V802" s="205">
        <f t="shared" ca="1" si="264"/>
        <v>0</v>
      </c>
      <c r="W802" s="204"/>
      <c r="X802" s="205">
        <v>0</v>
      </c>
      <c r="Y802" s="206">
        <f t="shared" ca="1" si="265"/>
        <v>0</v>
      </c>
      <c r="Z802" s="277">
        <f t="shared" si="266"/>
        <v>0</v>
      </c>
      <c r="AA802" s="203"/>
      <c r="AB802" s="203">
        <f t="shared" ca="1" si="267"/>
        <v>0</v>
      </c>
      <c r="AC802" s="238"/>
      <c r="AI802" s="367">
        <f t="shared" ca="1" si="262"/>
        <v>46092</v>
      </c>
      <c r="AJ802" s="367" t="b">
        <f t="shared" si="268"/>
        <v>1</v>
      </c>
      <c r="AK802" s="370" t="str">
        <f t="shared" si="269"/>
        <v/>
      </c>
      <c r="AN802">
        <f t="shared" si="270"/>
        <v>0</v>
      </c>
      <c r="AO802">
        <f t="shared" si="271"/>
        <v>1900</v>
      </c>
      <c r="AV802">
        <f t="shared" si="260"/>
        <v>0</v>
      </c>
      <c r="AW802">
        <f t="shared" si="261"/>
        <v>0</v>
      </c>
    </row>
    <row r="803" spans="4:49" ht="15.75" x14ac:dyDescent="0.25">
      <c r="D803" s="199"/>
      <c r="E803" s="200"/>
      <c r="F803" s="287"/>
      <c r="G803" s="201"/>
      <c r="H803" s="219"/>
      <c r="I803" s="202"/>
      <c r="J803" s="200"/>
      <c r="K803" s="200"/>
      <c r="L803" s="203"/>
      <c r="M803" s="204">
        <f ca="1">IF(ISERROR(OFFSET(Tabella!$A$1,MATCH(J803,Tabella!$A:$A,0)-1,MATCH(L803,Tabella!$A$1:$AC$1,0)-1)=TRUE),0,+OFFSET(Tabella!$A$1,MATCH(J803,Tabella!$A:$A,0)-1,MATCH(L803,Tabella!$A$1:$AC$1,0)-1))</f>
        <v>0</v>
      </c>
      <c r="N803" s="205">
        <f ca="1">IF(ISERROR(OFFSET(Ottone!$A$1,MATCH(J803,Ottone!$A:$A,0)-1,MATCH(L803,Ottone!$A$1:$Z$1,0)-1)=TRUE),0,OFFSET(Ottone!$A$1,MATCH(J803,Ottone!$A:$A,0)-1,MATCH(L803,Ottone!$A$1:$Z$1,0)-1))*IF(G803="Ottone",1,0)</f>
        <v>0</v>
      </c>
      <c r="O803" s="205">
        <f ca="1">IF(ISERROR(OFFSET(Rame!$A$1,MATCH(J803,Rame!$A:$A,0)-1,MATCH(L803,Rame!$A$1:$AA$1,0)-1)=TRUE),0,OFFSET(Rame!$A$1,MATCH(J803,Rame!$A:$A,0)-1,MATCH(L803,Rame!$A$1:$AA$1,0)-1))*IF(G803="Rame",1,0)</f>
        <v>0</v>
      </c>
      <c r="P803" s="205">
        <v>0</v>
      </c>
      <c r="Q803" s="205">
        <f t="shared" ca="1" si="263"/>
        <v>0</v>
      </c>
      <c r="R803" s="205">
        <f ca="1">+IF(ISERROR(OFFSET(Tabella!$G$1,MATCH(J803,Tabella!$G:$G,0)-1,MATCH(K803,Tabella!$G$1:$FG$1,0)-1)=TRUE),0,OFFSET(Tabella!$G$1,MATCH(J803,Tabella!$G:$G,0)-1,MATCH(K803,Tabella!$G$1:$AB$1,0)-1))</f>
        <v>0</v>
      </c>
      <c r="S803" s="205">
        <f ca="1">IF(ISERROR(OFFSET(Ottone!$F$1,MATCH(J803,Ottone!$A:$A,0)-1,MATCH(K803,Ottone!$F$1:$FF$1,0)-1)=TRUE),0,OFFSET(Ottone!$F$1,MATCH(J803,Ottone!$A:$A,0)-1,MATCH(K803,Ottone!$F$1:$FF$1,0)-1))*IF(G803="Ottone",1,0)</f>
        <v>0</v>
      </c>
      <c r="T803" s="205">
        <f ca="1">IF(ISERROR(OFFSET(Rame!$F$1,MATCH(J803,Rame!$F:$F,0)-1,MATCH(K803,Rame!$F$1:$FF$1,0)-1)=TRUE),0,OFFSET(Rame!$F$1,MATCH(J803,Rame!$F:$F,0)-1,MATCH(K803,Rame!$F$1:$FF$1,0)-1))*IF(G803="Rame",1,0)</f>
        <v>0</v>
      </c>
      <c r="U803" s="205">
        <f ca="1">IF(ISERROR(OFFSET(Bronzo!$A$1,MATCH(J803,Bronzo!$A:$A,0)-1,MATCH(K803,Bronzo!$A$1:$AA$1,0)-1)=TRUE),0,OFFSET(Bronzo!$A$1,MATCH(J803,Bronzo!$A:$A,0)-1,MATCH(K803,Bronzo!$A$1:$AA$1,0)-1))</f>
        <v>0</v>
      </c>
      <c r="V803" s="205">
        <f t="shared" ca="1" si="264"/>
        <v>0</v>
      </c>
      <c r="W803" s="204"/>
      <c r="X803" s="205">
        <v>0</v>
      </c>
      <c r="Y803" s="206">
        <f t="shared" ca="1" si="265"/>
        <v>0</v>
      </c>
      <c r="Z803" s="277">
        <f t="shared" si="266"/>
        <v>0</v>
      </c>
      <c r="AA803" s="203"/>
      <c r="AB803" s="203">
        <f t="shared" ca="1" si="267"/>
        <v>0</v>
      </c>
      <c r="AC803" s="238"/>
      <c r="AI803" s="367">
        <f t="shared" ca="1" si="262"/>
        <v>46092</v>
      </c>
      <c r="AJ803" s="367" t="b">
        <f t="shared" si="268"/>
        <v>1</v>
      </c>
      <c r="AK803" s="370" t="str">
        <f t="shared" si="269"/>
        <v/>
      </c>
      <c r="AN803">
        <f t="shared" si="270"/>
        <v>0</v>
      </c>
      <c r="AO803">
        <f t="shared" si="271"/>
        <v>1900</v>
      </c>
      <c r="AV803">
        <f t="shared" si="260"/>
        <v>0</v>
      </c>
      <c r="AW803">
        <f t="shared" si="261"/>
        <v>0</v>
      </c>
    </row>
    <row r="804" spans="4:49" ht="15.75" x14ac:dyDescent="0.25">
      <c r="D804" s="199"/>
      <c r="E804" s="200"/>
      <c r="F804" s="287"/>
      <c r="G804" s="201"/>
      <c r="H804" s="219"/>
      <c r="I804" s="202"/>
      <c r="J804" s="200"/>
      <c r="K804" s="200"/>
      <c r="L804" s="203"/>
      <c r="M804" s="204">
        <f ca="1">IF(ISERROR(OFFSET(Tabella!$A$1,MATCH(J804,Tabella!$A:$A,0)-1,MATCH(L804,Tabella!$A$1:$AC$1,0)-1)=TRUE),0,+OFFSET(Tabella!$A$1,MATCH(J804,Tabella!$A:$A,0)-1,MATCH(L804,Tabella!$A$1:$AC$1,0)-1))</f>
        <v>0</v>
      </c>
      <c r="N804" s="205">
        <f ca="1">IF(ISERROR(OFFSET(Ottone!$A$1,MATCH(J804,Ottone!$A:$A,0)-1,MATCH(L804,Ottone!$A$1:$Z$1,0)-1)=TRUE),0,OFFSET(Ottone!$A$1,MATCH(J804,Ottone!$A:$A,0)-1,MATCH(L804,Ottone!$A$1:$Z$1,0)-1))*IF(G804="Ottone",1,0)</f>
        <v>0</v>
      </c>
      <c r="O804" s="205">
        <f ca="1">IF(ISERROR(OFFSET(Rame!$A$1,MATCH(J804,Rame!$A:$A,0)-1,MATCH(L804,Rame!$A$1:$AA$1,0)-1)=TRUE),0,OFFSET(Rame!$A$1,MATCH(J804,Rame!$A:$A,0)-1,MATCH(L804,Rame!$A$1:$AA$1,0)-1))*IF(G804="Rame",1,0)</f>
        <v>0</v>
      </c>
      <c r="P804" s="205">
        <v>0</v>
      </c>
      <c r="Q804" s="205">
        <f t="shared" ca="1" si="263"/>
        <v>0</v>
      </c>
      <c r="R804" s="205">
        <f ca="1">+IF(ISERROR(OFFSET(Tabella!$G$1,MATCH(J804,Tabella!$G:$G,0)-1,MATCH(K804,Tabella!$G$1:$FG$1,0)-1)=TRUE),0,OFFSET(Tabella!$G$1,MATCH(J804,Tabella!$G:$G,0)-1,MATCH(K804,Tabella!$G$1:$AB$1,0)-1))</f>
        <v>0</v>
      </c>
      <c r="S804" s="205">
        <f ca="1">IF(ISERROR(OFFSET(Ottone!$F$1,MATCH(J804,Ottone!$A:$A,0)-1,MATCH(K804,Ottone!$F$1:$FF$1,0)-1)=TRUE),0,OFFSET(Ottone!$F$1,MATCH(J804,Ottone!$A:$A,0)-1,MATCH(K804,Ottone!$F$1:$FF$1,0)-1))*IF(G804="Ottone",1,0)</f>
        <v>0</v>
      </c>
      <c r="T804" s="205">
        <f ca="1">IF(ISERROR(OFFSET(Rame!$F$1,MATCH(J804,Rame!$F:$F,0)-1,MATCH(K804,Rame!$F$1:$FF$1,0)-1)=TRUE),0,OFFSET(Rame!$F$1,MATCH(J804,Rame!$F:$F,0)-1,MATCH(K804,Rame!$F$1:$FF$1,0)-1))*IF(G804="Rame",1,0)</f>
        <v>0</v>
      </c>
      <c r="U804" s="205">
        <f ca="1">IF(ISERROR(OFFSET(Bronzo!$A$1,MATCH(J804,Bronzo!$A:$A,0)-1,MATCH(K804,Bronzo!$A$1:$AA$1,0)-1)=TRUE),0,OFFSET(Bronzo!$A$1,MATCH(J804,Bronzo!$A:$A,0)-1,MATCH(K804,Bronzo!$A$1:$AA$1,0)-1))</f>
        <v>0</v>
      </c>
      <c r="V804" s="205">
        <f t="shared" ca="1" si="264"/>
        <v>0</v>
      </c>
      <c r="W804" s="204"/>
      <c r="X804" s="205">
        <v>0</v>
      </c>
      <c r="Y804" s="206">
        <f t="shared" ca="1" si="265"/>
        <v>0</v>
      </c>
      <c r="Z804" s="277">
        <f t="shared" si="266"/>
        <v>0</v>
      </c>
      <c r="AA804" s="203"/>
      <c r="AB804" s="203">
        <f t="shared" ca="1" si="267"/>
        <v>0</v>
      </c>
      <c r="AC804" s="238"/>
      <c r="AI804" s="367">
        <f t="shared" ca="1" si="262"/>
        <v>46092</v>
      </c>
      <c r="AJ804" s="367" t="b">
        <f t="shared" si="268"/>
        <v>1</v>
      </c>
      <c r="AK804" s="370" t="str">
        <f t="shared" si="269"/>
        <v/>
      </c>
      <c r="AN804">
        <f t="shared" si="270"/>
        <v>0</v>
      </c>
      <c r="AO804">
        <f t="shared" si="271"/>
        <v>1900</v>
      </c>
      <c r="AV804">
        <f t="shared" si="260"/>
        <v>0</v>
      </c>
      <c r="AW804">
        <f t="shared" si="261"/>
        <v>0</v>
      </c>
    </row>
    <row r="805" spans="4:49" ht="15.75" x14ac:dyDescent="0.25">
      <c r="D805" s="199"/>
      <c r="E805" s="200"/>
      <c r="F805" s="287"/>
      <c r="G805" s="201"/>
      <c r="H805" s="219"/>
      <c r="I805" s="202"/>
      <c r="J805" s="200"/>
      <c r="K805" s="200"/>
      <c r="L805" s="203"/>
      <c r="M805" s="204">
        <f ca="1">IF(ISERROR(OFFSET(Tabella!$A$1,MATCH(J805,Tabella!$A:$A,0)-1,MATCH(L805,Tabella!$A$1:$AC$1,0)-1)=TRUE),0,+OFFSET(Tabella!$A$1,MATCH(J805,Tabella!$A:$A,0)-1,MATCH(L805,Tabella!$A$1:$AC$1,0)-1))</f>
        <v>0</v>
      </c>
      <c r="N805" s="205">
        <f ca="1">IF(ISERROR(OFFSET(Ottone!$A$1,MATCH(J805,Ottone!$A:$A,0)-1,MATCH(L805,Ottone!$A$1:$Z$1,0)-1)=TRUE),0,OFFSET(Ottone!$A$1,MATCH(J805,Ottone!$A:$A,0)-1,MATCH(L805,Ottone!$A$1:$Z$1,0)-1))*IF(G805="Ottone",1,0)</f>
        <v>0</v>
      </c>
      <c r="O805" s="205">
        <f ca="1">IF(ISERROR(OFFSET(Rame!$A$1,MATCH(J805,Rame!$A:$A,0)-1,MATCH(L805,Rame!$A$1:$AA$1,0)-1)=TRUE),0,OFFSET(Rame!$A$1,MATCH(J805,Rame!$A:$A,0)-1,MATCH(L805,Rame!$A$1:$AA$1,0)-1))*IF(G805="Rame",1,0)</f>
        <v>0</v>
      </c>
      <c r="P805" s="205">
        <v>0</v>
      </c>
      <c r="Q805" s="205">
        <f t="shared" ca="1" si="263"/>
        <v>0</v>
      </c>
      <c r="R805" s="205">
        <f ca="1">+IF(ISERROR(OFFSET(Tabella!$G$1,MATCH(J805,Tabella!$G:$G,0)-1,MATCH(K805,Tabella!$G$1:$FG$1,0)-1)=TRUE),0,OFFSET(Tabella!$G$1,MATCH(J805,Tabella!$G:$G,0)-1,MATCH(K805,Tabella!$G$1:$AB$1,0)-1))</f>
        <v>0</v>
      </c>
      <c r="S805" s="205">
        <f ca="1">IF(ISERROR(OFFSET(Ottone!$F$1,MATCH(J805,Ottone!$A:$A,0)-1,MATCH(K805,Ottone!$F$1:$FF$1,0)-1)=TRUE),0,OFFSET(Ottone!$F$1,MATCH(J805,Ottone!$A:$A,0)-1,MATCH(K805,Ottone!$F$1:$FF$1,0)-1))*IF(G805="Ottone",1,0)</f>
        <v>0</v>
      </c>
      <c r="T805" s="205">
        <f ca="1">IF(ISERROR(OFFSET(Rame!$F$1,MATCH(J805,Rame!$F:$F,0)-1,MATCH(K805,Rame!$F$1:$FF$1,0)-1)=TRUE),0,OFFSET(Rame!$F$1,MATCH(J805,Rame!$F:$F,0)-1,MATCH(K805,Rame!$F$1:$FF$1,0)-1))*IF(G805="Rame",1,0)</f>
        <v>0</v>
      </c>
      <c r="U805" s="205">
        <f ca="1">IF(ISERROR(OFFSET(Bronzo!$A$1,MATCH(J805,Bronzo!$A:$A,0)-1,MATCH(K805,Bronzo!$A$1:$AA$1,0)-1)=TRUE),0,OFFSET(Bronzo!$A$1,MATCH(J805,Bronzo!$A:$A,0)-1,MATCH(K805,Bronzo!$A$1:$AA$1,0)-1))</f>
        <v>0</v>
      </c>
      <c r="V805" s="205">
        <f t="shared" ca="1" si="264"/>
        <v>0</v>
      </c>
      <c r="W805" s="204"/>
      <c r="X805" s="205">
        <v>0</v>
      </c>
      <c r="Y805" s="206">
        <f t="shared" ca="1" si="265"/>
        <v>0</v>
      </c>
      <c r="Z805" s="277">
        <f t="shared" si="266"/>
        <v>0</v>
      </c>
      <c r="AA805" s="203"/>
      <c r="AB805" s="203">
        <f t="shared" ca="1" si="267"/>
        <v>0</v>
      </c>
      <c r="AC805" s="238"/>
      <c r="AI805" s="367">
        <f t="shared" ca="1" si="262"/>
        <v>46092</v>
      </c>
      <c r="AJ805" s="367" t="b">
        <f t="shared" si="268"/>
        <v>1</v>
      </c>
      <c r="AK805" s="370" t="str">
        <f t="shared" si="269"/>
        <v/>
      </c>
      <c r="AN805">
        <f t="shared" si="270"/>
        <v>0</v>
      </c>
      <c r="AO805">
        <f t="shared" si="271"/>
        <v>1900</v>
      </c>
      <c r="AV805">
        <f t="shared" ref="AV805:AV868" si="272">IF(AC805="",0,MONTH(AC805))</f>
        <v>0</v>
      </c>
      <c r="AW805">
        <f t="shared" ref="AW805:AW868" si="273">IF(AC805="",0,YEAR(AC805))</f>
        <v>0</v>
      </c>
    </row>
    <row r="806" spans="4:49" ht="15.75" x14ac:dyDescent="0.25">
      <c r="D806" s="199"/>
      <c r="E806" s="200"/>
      <c r="F806" s="287"/>
      <c r="G806" s="201"/>
      <c r="H806" s="219"/>
      <c r="I806" s="202"/>
      <c r="J806" s="200"/>
      <c r="K806" s="200"/>
      <c r="L806" s="203"/>
      <c r="M806" s="204">
        <f ca="1">IF(ISERROR(OFFSET(Tabella!$A$1,MATCH(J806,Tabella!$A:$A,0)-1,MATCH(L806,Tabella!$A$1:$AC$1,0)-1)=TRUE),0,+OFFSET(Tabella!$A$1,MATCH(J806,Tabella!$A:$A,0)-1,MATCH(L806,Tabella!$A$1:$AC$1,0)-1))</f>
        <v>0</v>
      </c>
      <c r="N806" s="205">
        <f ca="1">IF(ISERROR(OFFSET(Ottone!$A$1,MATCH(J806,Ottone!$A:$A,0)-1,MATCH(L806,Ottone!$A$1:$Z$1,0)-1)=TRUE),0,OFFSET(Ottone!$A$1,MATCH(J806,Ottone!$A:$A,0)-1,MATCH(L806,Ottone!$A$1:$Z$1,0)-1))*IF(G806="Ottone",1,0)</f>
        <v>0</v>
      </c>
      <c r="O806" s="205">
        <f ca="1">IF(ISERROR(OFFSET(Rame!$A$1,MATCH(J806,Rame!$A:$A,0)-1,MATCH(L806,Rame!$A$1:$AA$1,0)-1)=TRUE),0,OFFSET(Rame!$A$1,MATCH(J806,Rame!$A:$A,0)-1,MATCH(L806,Rame!$A$1:$AA$1,0)-1))*IF(G806="Rame",1,0)</f>
        <v>0</v>
      </c>
      <c r="P806" s="205">
        <v>0</v>
      </c>
      <c r="Q806" s="205">
        <f t="shared" ca="1" si="263"/>
        <v>0</v>
      </c>
      <c r="R806" s="205">
        <f ca="1">+IF(ISERROR(OFFSET(Tabella!$G$1,MATCH(J806,Tabella!$G:$G,0)-1,MATCH(K806,Tabella!$G$1:$FG$1,0)-1)=TRUE),0,OFFSET(Tabella!$G$1,MATCH(J806,Tabella!$G:$G,0)-1,MATCH(K806,Tabella!$G$1:$AB$1,0)-1))</f>
        <v>0</v>
      </c>
      <c r="S806" s="205">
        <f ca="1">IF(ISERROR(OFFSET(Ottone!$F$1,MATCH(J806,Ottone!$A:$A,0)-1,MATCH(K806,Ottone!$F$1:$FF$1,0)-1)=TRUE),0,OFFSET(Ottone!$F$1,MATCH(J806,Ottone!$A:$A,0)-1,MATCH(K806,Ottone!$F$1:$FF$1,0)-1))*IF(G806="Ottone",1,0)</f>
        <v>0</v>
      </c>
      <c r="T806" s="205">
        <f ca="1">IF(ISERROR(OFFSET(Rame!$F$1,MATCH(J806,Rame!$F:$F,0)-1,MATCH(K806,Rame!$F$1:$FF$1,0)-1)=TRUE),0,OFFSET(Rame!$F$1,MATCH(J806,Rame!$F:$F,0)-1,MATCH(K806,Rame!$F$1:$FF$1,0)-1))*IF(G806="Rame",1,0)</f>
        <v>0</v>
      </c>
      <c r="U806" s="205">
        <f ca="1">IF(ISERROR(OFFSET(Bronzo!$A$1,MATCH(J806,Bronzo!$A:$A,0)-1,MATCH(K806,Bronzo!$A$1:$AA$1,0)-1)=TRUE),0,OFFSET(Bronzo!$A$1,MATCH(J806,Bronzo!$A:$A,0)-1,MATCH(K806,Bronzo!$A$1:$AA$1,0)-1))</f>
        <v>0</v>
      </c>
      <c r="V806" s="205">
        <f t="shared" ca="1" si="264"/>
        <v>0</v>
      </c>
      <c r="W806" s="204"/>
      <c r="X806" s="205">
        <v>0</v>
      </c>
      <c r="Y806" s="206">
        <f t="shared" ca="1" si="265"/>
        <v>0</v>
      </c>
      <c r="Z806" s="277">
        <f t="shared" si="266"/>
        <v>0</v>
      </c>
      <c r="AA806" s="203"/>
      <c r="AB806" s="203">
        <f t="shared" ca="1" si="267"/>
        <v>0</v>
      </c>
      <c r="AC806" s="238"/>
      <c r="AI806" s="367">
        <f t="shared" ca="1" si="262"/>
        <v>46092</v>
      </c>
      <c r="AJ806" s="367" t="b">
        <f t="shared" si="268"/>
        <v>1</v>
      </c>
      <c r="AK806" s="370" t="str">
        <f t="shared" si="269"/>
        <v/>
      </c>
      <c r="AN806">
        <f t="shared" si="270"/>
        <v>0</v>
      </c>
      <c r="AO806">
        <f t="shared" si="271"/>
        <v>1900</v>
      </c>
      <c r="AV806">
        <f t="shared" si="272"/>
        <v>0</v>
      </c>
      <c r="AW806">
        <f t="shared" si="273"/>
        <v>0</v>
      </c>
    </row>
    <row r="807" spans="4:49" ht="15.75" x14ac:dyDescent="0.25">
      <c r="D807" s="199"/>
      <c r="E807" s="200"/>
      <c r="F807" s="287"/>
      <c r="G807" s="201"/>
      <c r="H807" s="219"/>
      <c r="I807" s="202"/>
      <c r="J807" s="200"/>
      <c r="K807" s="200"/>
      <c r="L807" s="203"/>
      <c r="M807" s="204">
        <f ca="1">IF(ISERROR(OFFSET(Tabella!$A$1,MATCH(J807,Tabella!$A:$A,0)-1,MATCH(L807,Tabella!$A$1:$AC$1,0)-1)=TRUE),0,+OFFSET(Tabella!$A$1,MATCH(J807,Tabella!$A:$A,0)-1,MATCH(L807,Tabella!$A$1:$AC$1,0)-1))</f>
        <v>0</v>
      </c>
      <c r="N807" s="205">
        <f ca="1">IF(ISERROR(OFFSET(Ottone!$A$1,MATCH(J807,Ottone!$A:$A,0)-1,MATCH(L807,Ottone!$A$1:$Z$1,0)-1)=TRUE),0,OFFSET(Ottone!$A$1,MATCH(J807,Ottone!$A:$A,0)-1,MATCH(L807,Ottone!$A$1:$Z$1,0)-1))*IF(G807="Ottone",1,0)</f>
        <v>0</v>
      </c>
      <c r="O807" s="205">
        <f ca="1">IF(ISERROR(OFFSET(Rame!$A$1,MATCH(J807,Rame!$A:$A,0)-1,MATCH(L807,Rame!$A$1:$AA$1,0)-1)=TRUE),0,OFFSET(Rame!$A$1,MATCH(J807,Rame!$A:$A,0)-1,MATCH(L807,Rame!$A$1:$AA$1,0)-1))*IF(G807="Rame",1,0)</f>
        <v>0</v>
      </c>
      <c r="P807" s="205">
        <v>0</v>
      </c>
      <c r="Q807" s="205">
        <f t="shared" ca="1" si="263"/>
        <v>0</v>
      </c>
      <c r="R807" s="205">
        <f ca="1">+IF(ISERROR(OFFSET(Tabella!$G$1,MATCH(J807,Tabella!$G:$G,0)-1,MATCH(K807,Tabella!$G$1:$FG$1,0)-1)=TRUE),0,OFFSET(Tabella!$G$1,MATCH(J807,Tabella!$G:$G,0)-1,MATCH(K807,Tabella!$G$1:$AB$1,0)-1))</f>
        <v>0</v>
      </c>
      <c r="S807" s="205">
        <f ca="1">IF(ISERROR(OFFSET(Ottone!$F$1,MATCH(J807,Ottone!$A:$A,0)-1,MATCH(K807,Ottone!$F$1:$FF$1,0)-1)=TRUE),0,OFFSET(Ottone!$F$1,MATCH(J807,Ottone!$A:$A,0)-1,MATCH(K807,Ottone!$F$1:$FF$1,0)-1))*IF(G807="Ottone",1,0)</f>
        <v>0</v>
      </c>
      <c r="T807" s="205">
        <f ca="1">IF(ISERROR(OFFSET(Rame!$F$1,MATCH(J807,Rame!$F:$F,0)-1,MATCH(K807,Rame!$F$1:$FF$1,0)-1)=TRUE),0,OFFSET(Rame!$F$1,MATCH(J807,Rame!$F:$F,0)-1,MATCH(K807,Rame!$F$1:$FF$1,0)-1))*IF(G807="Rame",1,0)</f>
        <v>0</v>
      </c>
      <c r="U807" s="205">
        <f ca="1">IF(ISERROR(OFFSET(Bronzo!$A$1,MATCH(J807,Bronzo!$A:$A,0)-1,MATCH(K807,Bronzo!$A$1:$AA$1,0)-1)=TRUE),0,OFFSET(Bronzo!$A$1,MATCH(J807,Bronzo!$A:$A,0)-1,MATCH(K807,Bronzo!$A$1:$AA$1,0)-1))</f>
        <v>0</v>
      </c>
      <c r="V807" s="205">
        <f t="shared" ca="1" si="264"/>
        <v>0</v>
      </c>
      <c r="W807" s="204"/>
      <c r="X807" s="205">
        <v>0</v>
      </c>
      <c r="Y807" s="206">
        <f t="shared" ca="1" si="265"/>
        <v>0</v>
      </c>
      <c r="Z807" s="277">
        <f t="shared" si="266"/>
        <v>0</v>
      </c>
      <c r="AA807" s="203"/>
      <c r="AB807" s="203">
        <f t="shared" ca="1" si="267"/>
        <v>0</v>
      </c>
      <c r="AC807" s="238"/>
      <c r="AI807" s="367">
        <f t="shared" ca="1" si="262"/>
        <v>46092</v>
      </c>
      <c r="AJ807" s="367" t="b">
        <f t="shared" si="268"/>
        <v>1</v>
      </c>
      <c r="AK807" s="370" t="str">
        <f t="shared" si="269"/>
        <v/>
      </c>
      <c r="AN807">
        <f t="shared" si="270"/>
        <v>0</v>
      </c>
      <c r="AO807">
        <f t="shared" si="271"/>
        <v>1900</v>
      </c>
      <c r="AV807">
        <f t="shared" si="272"/>
        <v>0</v>
      </c>
      <c r="AW807">
        <f t="shared" si="273"/>
        <v>0</v>
      </c>
    </row>
    <row r="808" spans="4:49" ht="15.75" x14ac:dyDescent="0.25">
      <c r="D808" s="199"/>
      <c r="E808" s="200"/>
      <c r="F808" s="287"/>
      <c r="G808" s="201"/>
      <c r="H808" s="219"/>
      <c r="I808" s="202"/>
      <c r="J808" s="200"/>
      <c r="K808" s="200"/>
      <c r="L808" s="203"/>
      <c r="M808" s="204">
        <f ca="1">IF(ISERROR(OFFSET(Tabella!$A$1,MATCH(J808,Tabella!$A:$A,0)-1,MATCH(L808,Tabella!$A$1:$AC$1,0)-1)=TRUE),0,+OFFSET(Tabella!$A$1,MATCH(J808,Tabella!$A:$A,0)-1,MATCH(L808,Tabella!$A$1:$AC$1,0)-1))</f>
        <v>0</v>
      </c>
      <c r="N808" s="205">
        <f ca="1">IF(ISERROR(OFFSET(Ottone!$A$1,MATCH(J808,Ottone!$A:$A,0)-1,MATCH(L808,Ottone!$A$1:$Z$1,0)-1)=TRUE),0,OFFSET(Ottone!$A$1,MATCH(J808,Ottone!$A:$A,0)-1,MATCH(L808,Ottone!$A$1:$Z$1,0)-1))*IF(G808="Ottone",1,0)</f>
        <v>0</v>
      </c>
      <c r="O808" s="205">
        <f ca="1">IF(ISERROR(OFFSET(Rame!$A$1,MATCH(J808,Rame!$A:$A,0)-1,MATCH(L808,Rame!$A$1:$AA$1,0)-1)=TRUE),0,OFFSET(Rame!$A$1,MATCH(J808,Rame!$A:$A,0)-1,MATCH(L808,Rame!$A$1:$AA$1,0)-1))*IF(G808="Rame",1,0)</f>
        <v>0</v>
      </c>
      <c r="P808" s="205">
        <v>0</v>
      </c>
      <c r="Q808" s="205">
        <f t="shared" ca="1" si="263"/>
        <v>0</v>
      </c>
      <c r="R808" s="205">
        <f ca="1">+IF(ISERROR(OFFSET(Tabella!$G$1,MATCH(J808,Tabella!$G:$G,0)-1,MATCH(K808,Tabella!$G$1:$FG$1,0)-1)=TRUE),0,OFFSET(Tabella!$G$1,MATCH(J808,Tabella!$G:$G,0)-1,MATCH(K808,Tabella!$G$1:$AB$1,0)-1))</f>
        <v>0</v>
      </c>
      <c r="S808" s="205">
        <f ca="1">IF(ISERROR(OFFSET(Ottone!$F$1,MATCH(J808,Ottone!$A:$A,0)-1,MATCH(K808,Ottone!$F$1:$FF$1,0)-1)=TRUE),0,OFFSET(Ottone!$F$1,MATCH(J808,Ottone!$A:$A,0)-1,MATCH(K808,Ottone!$F$1:$FF$1,0)-1))*IF(G808="Ottone",1,0)</f>
        <v>0</v>
      </c>
      <c r="T808" s="205">
        <f ca="1">IF(ISERROR(OFFSET(Rame!$F$1,MATCH(J808,Rame!$F:$F,0)-1,MATCH(K808,Rame!$F$1:$FF$1,0)-1)=TRUE),0,OFFSET(Rame!$F$1,MATCH(J808,Rame!$F:$F,0)-1,MATCH(K808,Rame!$F$1:$FF$1,0)-1))*IF(G808="Rame",1,0)</f>
        <v>0</v>
      </c>
      <c r="U808" s="205">
        <f ca="1">IF(ISERROR(OFFSET(Bronzo!$A$1,MATCH(J808,Bronzo!$A:$A,0)-1,MATCH(K808,Bronzo!$A$1:$AA$1,0)-1)=TRUE),0,OFFSET(Bronzo!$A$1,MATCH(J808,Bronzo!$A:$A,0)-1,MATCH(K808,Bronzo!$A$1:$AA$1,0)-1))</f>
        <v>0</v>
      </c>
      <c r="V808" s="205">
        <f t="shared" ca="1" si="264"/>
        <v>0</v>
      </c>
      <c r="W808" s="204"/>
      <c r="X808" s="205">
        <v>0</v>
      </c>
      <c r="Y808" s="206">
        <f t="shared" ca="1" si="265"/>
        <v>0</v>
      </c>
      <c r="Z808" s="277">
        <f t="shared" si="266"/>
        <v>0</v>
      </c>
      <c r="AA808" s="203"/>
      <c r="AB808" s="203">
        <f t="shared" ca="1" si="267"/>
        <v>0</v>
      </c>
      <c r="AC808" s="238"/>
      <c r="AI808" s="367">
        <f t="shared" ca="1" si="262"/>
        <v>46092</v>
      </c>
      <c r="AJ808" s="367" t="b">
        <f t="shared" si="268"/>
        <v>1</v>
      </c>
      <c r="AK808" s="370" t="str">
        <f t="shared" si="269"/>
        <v/>
      </c>
      <c r="AN808">
        <f t="shared" si="270"/>
        <v>0</v>
      </c>
      <c r="AO808">
        <f t="shared" si="271"/>
        <v>1900</v>
      </c>
      <c r="AV808">
        <f t="shared" si="272"/>
        <v>0</v>
      </c>
      <c r="AW808">
        <f t="shared" si="273"/>
        <v>0</v>
      </c>
    </row>
    <row r="809" spans="4:49" ht="15.75" x14ac:dyDescent="0.25">
      <c r="D809" s="199"/>
      <c r="E809" s="200"/>
      <c r="F809" s="287"/>
      <c r="G809" s="201"/>
      <c r="H809" s="219"/>
      <c r="I809" s="202"/>
      <c r="J809" s="200"/>
      <c r="K809" s="200"/>
      <c r="L809" s="203"/>
      <c r="M809" s="204">
        <f ca="1">IF(ISERROR(OFFSET(Tabella!$A$1,MATCH(J809,Tabella!$A:$A,0)-1,MATCH(L809,Tabella!$A$1:$AC$1,0)-1)=TRUE),0,+OFFSET(Tabella!$A$1,MATCH(J809,Tabella!$A:$A,0)-1,MATCH(L809,Tabella!$A$1:$AC$1,0)-1))</f>
        <v>0</v>
      </c>
      <c r="N809" s="205">
        <f ca="1">IF(ISERROR(OFFSET(Ottone!$A$1,MATCH(J809,Ottone!$A:$A,0)-1,MATCH(L809,Ottone!$A$1:$Z$1,0)-1)=TRUE),0,OFFSET(Ottone!$A$1,MATCH(J809,Ottone!$A:$A,0)-1,MATCH(L809,Ottone!$A$1:$Z$1,0)-1))*IF(G809="Ottone",1,0)</f>
        <v>0</v>
      </c>
      <c r="O809" s="205">
        <f ca="1">IF(ISERROR(OFFSET(Rame!$A$1,MATCH(J809,Rame!$A:$A,0)-1,MATCH(L809,Rame!$A$1:$AA$1,0)-1)=TRUE),0,OFFSET(Rame!$A$1,MATCH(J809,Rame!$A:$A,0)-1,MATCH(L809,Rame!$A$1:$AA$1,0)-1))*IF(G809="Rame",1,0)</f>
        <v>0</v>
      </c>
      <c r="P809" s="205">
        <v>0</v>
      </c>
      <c r="Q809" s="205">
        <f t="shared" ca="1" si="263"/>
        <v>0</v>
      </c>
      <c r="R809" s="205">
        <f ca="1">+IF(ISERROR(OFFSET(Tabella!$G$1,MATCH(J809,Tabella!$G:$G,0)-1,MATCH(K809,Tabella!$G$1:$FG$1,0)-1)=TRUE),0,OFFSET(Tabella!$G$1,MATCH(J809,Tabella!$G:$G,0)-1,MATCH(K809,Tabella!$G$1:$AB$1,0)-1))</f>
        <v>0</v>
      </c>
      <c r="S809" s="205">
        <f ca="1">IF(ISERROR(OFFSET(Ottone!$F$1,MATCH(J809,Ottone!$A:$A,0)-1,MATCH(K809,Ottone!$F$1:$FF$1,0)-1)=TRUE),0,OFFSET(Ottone!$F$1,MATCH(J809,Ottone!$A:$A,0)-1,MATCH(K809,Ottone!$F$1:$FF$1,0)-1))*IF(G809="Ottone",1,0)</f>
        <v>0</v>
      </c>
      <c r="T809" s="205">
        <f ca="1">IF(ISERROR(OFFSET(Rame!$F$1,MATCH(J809,Rame!$F:$F,0)-1,MATCH(K809,Rame!$F$1:$FF$1,0)-1)=TRUE),0,OFFSET(Rame!$F$1,MATCH(J809,Rame!$F:$F,0)-1,MATCH(K809,Rame!$F$1:$FF$1,0)-1))*IF(G809="Rame",1,0)</f>
        <v>0</v>
      </c>
      <c r="U809" s="205">
        <f ca="1">IF(ISERROR(OFFSET(Bronzo!$A$1,MATCH(J809,Bronzo!$A:$A,0)-1,MATCH(K809,Bronzo!$A$1:$AA$1,0)-1)=TRUE),0,OFFSET(Bronzo!$A$1,MATCH(J809,Bronzo!$A:$A,0)-1,MATCH(K809,Bronzo!$A$1:$AA$1,0)-1))</f>
        <v>0</v>
      </c>
      <c r="V809" s="205">
        <f t="shared" ca="1" si="264"/>
        <v>0</v>
      </c>
      <c r="W809" s="204"/>
      <c r="X809" s="205">
        <v>0</v>
      </c>
      <c r="Y809" s="206">
        <f t="shared" ca="1" si="265"/>
        <v>0</v>
      </c>
      <c r="Z809" s="277">
        <f t="shared" si="266"/>
        <v>0</v>
      </c>
      <c r="AA809" s="203"/>
      <c r="AB809" s="203">
        <f t="shared" ca="1" si="267"/>
        <v>0</v>
      </c>
      <c r="AC809" s="238"/>
      <c r="AI809" s="367">
        <f t="shared" ca="1" si="262"/>
        <v>46092</v>
      </c>
      <c r="AJ809" s="367" t="b">
        <f t="shared" si="268"/>
        <v>1</v>
      </c>
      <c r="AK809" s="370" t="str">
        <f t="shared" si="269"/>
        <v/>
      </c>
      <c r="AN809">
        <f t="shared" si="270"/>
        <v>0</v>
      </c>
      <c r="AO809">
        <f t="shared" si="271"/>
        <v>1900</v>
      </c>
      <c r="AV809">
        <f t="shared" si="272"/>
        <v>0</v>
      </c>
      <c r="AW809">
        <f t="shared" si="273"/>
        <v>0</v>
      </c>
    </row>
    <row r="810" spans="4:49" ht="15.75" x14ac:dyDescent="0.25">
      <c r="D810" s="199"/>
      <c r="E810" s="200"/>
      <c r="F810" s="287"/>
      <c r="G810" s="201"/>
      <c r="H810" s="219"/>
      <c r="I810" s="202"/>
      <c r="J810" s="200"/>
      <c r="K810" s="200"/>
      <c r="L810" s="203"/>
      <c r="M810" s="204">
        <f ca="1">IF(ISERROR(OFFSET(Tabella!$A$1,MATCH(J810,Tabella!$A:$A,0)-1,MATCH(L810,Tabella!$A$1:$AC$1,0)-1)=TRUE),0,+OFFSET(Tabella!$A$1,MATCH(J810,Tabella!$A:$A,0)-1,MATCH(L810,Tabella!$A$1:$AC$1,0)-1))</f>
        <v>0</v>
      </c>
      <c r="N810" s="205">
        <f ca="1">IF(ISERROR(OFFSET(Ottone!$A$1,MATCH(J810,Ottone!$A:$A,0)-1,MATCH(L810,Ottone!$A$1:$Z$1,0)-1)=TRUE),0,OFFSET(Ottone!$A$1,MATCH(J810,Ottone!$A:$A,0)-1,MATCH(L810,Ottone!$A$1:$Z$1,0)-1))*IF(G810="Ottone",1,0)</f>
        <v>0</v>
      </c>
      <c r="O810" s="205">
        <f ca="1">IF(ISERROR(OFFSET(Rame!$A$1,MATCH(J810,Rame!$A:$A,0)-1,MATCH(L810,Rame!$A$1:$AA$1,0)-1)=TRUE),0,OFFSET(Rame!$A$1,MATCH(J810,Rame!$A:$A,0)-1,MATCH(L810,Rame!$A$1:$AA$1,0)-1))*IF(G810="Rame",1,0)</f>
        <v>0</v>
      </c>
      <c r="P810" s="205">
        <v>0</v>
      </c>
      <c r="Q810" s="205">
        <f t="shared" ca="1" si="263"/>
        <v>0</v>
      </c>
      <c r="R810" s="205">
        <f ca="1">+IF(ISERROR(OFFSET(Tabella!$G$1,MATCH(J810,Tabella!$G:$G,0)-1,MATCH(K810,Tabella!$G$1:$FG$1,0)-1)=TRUE),0,OFFSET(Tabella!$G$1,MATCH(J810,Tabella!$G:$G,0)-1,MATCH(K810,Tabella!$G$1:$AB$1,0)-1))</f>
        <v>0</v>
      </c>
      <c r="S810" s="205">
        <f ca="1">IF(ISERROR(OFFSET(Ottone!$F$1,MATCH(J810,Ottone!$A:$A,0)-1,MATCH(K810,Ottone!$F$1:$FF$1,0)-1)=TRUE),0,OFFSET(Ottone!$F$1,MATCH(J810,Ottone!$A:$A,0)-1,MATCH(K810,Ottone!$F$1:$FF$1,0)-1))*IF(G810="Ottone",1,0)</f>
        <v>0</v>
      </c>
      <c r="T810" s="205">
        <f ca="1">IF(ISERROR(OFFSET(Rame!$F$1,MATCH(J810,Rame!$F:$F,0)-1,MATCH(K810,Rame!$F$1:$FF$1,0)-1)=TRUE),0,OFFSET(Rame!$F$1,MATCH(J810,Rame!$F:$F,0)-1,MATCH(K810,Rame!$F$1:$FF$1,0)-1))*IF(G810="Rame",1,0)</f>
        <v>0</v>
      </c>
      <c r="U810" s="205">
        <f ca="1">IF(ISERROR(OFFSET(Bronzo!$A$1,MATCH(J810,Bronzo!$A:$A,0)-1,MATCH(K810,Bronzo!$A$1:$AA$1,0)-1)=TRUE),0,OFFSET(Bronzo!$A$1,MATCH(J810,Bronzo!$A:$A,0)-1,MATCH(K810,Bronzo!$A$1:$AA$1,0)-1))</f>
        <v>0</v>
      </c>
      <c r="V810" s="205">
        <f t="shared" ca="1" si="264"/>
        <v>0</v>
      </c>
      <c r="W810" s="204"/>
      <c r="X810" s="205">
        <v>0</v>
      </c>
      <c r="Y810" s="206">
        <f t="shared" ca="1" si="265"/>
        <v>0</v>
      </c>
      <c r="Z810" s="277">
        <f t="shared" si="266"/>
        <v>0</v>
      </c>
      <c r="AA810" s="203"/>
      <c r="AB810" s="203">
        <f t="shared" ca="1" si="267"/>
        <v>0</v>
      </c>
      <c r="AC810" s="238"/>
      <c r="AI810" s="367">
        <f t="shared" ca="1" si="262"/>
        <v>46092</v>
      </c>
      <c r="AJ810" s="367" t="b">
        <f t="shared" si="268"/>
        <v>1</v>
      </c>
      <c r="AK810" s="370" t="str">
        <f t="shared" si="269"/>
        <v/>
      </c>
      <c r="AN810">
        <f t="shared" si="270"/>
        <v>0</v>
      </c>
      <c r="AO810">
        <f t="shared" si="271"/>
        <v>1900</v>
      </c>
      <c r="AV810">
        <f t="shared" si="272"/>
        <v>0</v>
      </c>
      <c r="AW810">
        <f t="shared" si="273"/>
        <v>0</v>
      </c>
    </row>
    <row r="811" spans="4:49" ht="15.75" x14ac:dyDescent="0.25">
      <c r="D811" s="199"/>
      <c r="E811" s="200"/>
      <c r="F811" s="287"/>
      <c r="G811" s="201"/>
      <c r="H811" s="219"/>
      <c r="I811" s="202"/>
      <c r="J811" s="200"/>
      <c r="K811" s="200"/>
      <c r="L811" s="203"/>
      <c r="M811" s="204">
        <f ca="1">IF(ISERROR(OFFSET(Tabella!$A$1,MATCH(J811,Tabella!$A:$A,0)-1,MATCH(L811,Tabella!$A$1:$AC$1,0)-1)=TRUE),0,+OFFSET(Tabella!$A$1,MATCH(J811,Tabella!$A:$A,0)-1,MATCH(L811,Tabella!$A$1:$AC$1,0)-1))</f>
        <v>0</v>
      </c>
      <c r="N811" s="205">
        <f ca="1">IF(ISERROR(OFFSET(Ottone!$A$1,MATCH(J811,Ottone!$A:$A,0)-1,MATCH(L811,Ottone!$A$1:$Z$1,0)-1)=TRUE),0,OFFSET(Ottone!$A$1,MATCH(J811,Ottone!$A:$A,0)-1,MATCH(L811,Ottone!$A$1:$Z$1,0)-1))*IF(G811="Ottone",1,0)</f>
        <v>0</v>
      </c>
      <c r="O811" s="205">
        <f ca="1">IF(ISERROR(OFFSET(Rame!$A$1,MATCH(J811,Rame!$A:$A,0)-1,MATCH(L811,Rame!$A$1:$AA$1,0)-1)=TRUE),0,OFFSET(Rame!$A$1,MATCH(J811,Rame!$A:$A,0)-1,MATCH(L811,Rame!$A$1:$AA$1,0)-1))*IF(G811="Rame",1,0)</f>
        <v>0</v>
      </c>
      <c r="P811" s="205">
        <v>0</v>
      </c>
      <c r="Q811" s="205">
        <f t="shared" ca="1" si="263"/>
        <v>0</v>
      </c>
      <c r="R811" s="205">
        <f ca="1">+IF(ISERROR(OFFSET(Tabella!$G$1,MATCH(J811,Tabella!$G:$G,0)-1,MATCH(K811,Tabella!$G$1:$FG$1,0)-1)=TRUE),0,OFFSET(Tabella!$G$1,MATCH(J811,Tabella!$G:$G,0)-1,MATCH(K811,Tabella!$G$1:$AB$1,0)-1))</f>
        <v>0</v>
      </c>
      <c r="S811" s="205">
        <f ca="1">IF(ISERROR(OFFSET(Ottone!$F$1,MATCH(J811,Ottone!$A:$A,0)-1,MATCH(K811,Ottone!$F$1:$FF$1,0)-1)=TRUE),0,OFFSET(Ottone!$F$1,MATCH(J811,Ottone!$A:$A,0)-1,MATCH(K811,Ottone!$F$1:$FF$1,0)-1))*IF(G811="Ottone",1,0)</f>
        <v>0</v>
      </c>
      <c r="T811" s="205">
        <f ca="1">IF(ISERROR(OFFSET(Rame!$F$1,MATCH(J811,Rame!$F:$F,0)-1,MATCH(K811,Rame!$F$1:$FF$1,0)-1)=TRUE),0,OFFSET(Rame!$F$1,MATCH(J811,Rame!$F:$F,0)-1,MATCH(K811,Rame!$F$1:$FF$1,0)-1))*IF(G811="Rame",1,0)</f>
        <v>0</v>
      </c>
      <c r="U811" s="205">
        <f ca="1">IF(ISERROR(OFFSET(Bronzo!$A$1,MATCH(J811,Bronzo!$A:$A,0)-1,MATCH(K811,Bronzo!$A$1:$AA$1,0)-1)=TRUE),0,OFFSET(Bronzo!$A$1,MATCH(J811,Bronzo!$A:$A,0)-1,MATCH(K811,Bronzo!$A$1:$AA$1,0)-1))</f>
        <v>0</v>
      </c>
      <c r="V811" s="205">
        <f t="shared" ca="1" si="264"/>
        <v>0</v>
      </c>
      <c r="W811" s="204"/>
      <c r="X811" s="205">
        <v>0</v>
      </c>
      <c r="Y811" s="206">
        <f t="shared" ca="1" si="265"/>
        <v>0</v>
      </c>
      <c r="Z811" s="277">
        <f t="shared" si="266"/>
        <v>0</v>
      </c>
      <c r="AA811" s="203"/>
      <c r="AB811" s="203">
        <f t="shared" ca="1" si="267"/>
        <v>0</v>
      </c>
      <c r="AC811" s="238"/>
      <c r="AI811" s="367">
        <f t="shared" ca="1" si="262"/>
        <v>46092</v>
      </c>
      <c r="AJ811" s="367" t="b">
        <f t="shared" si="268"/>
        <v>1</v>
      </c>
      <c r="AK811" s="370" t="str">
        <f t="shared" si="269"/>
        <v/>
      </c>
      <c r="AN811">
        <f t="shared" si="270"/>
        <v>0</v>
      </c>
      <c r="AO811">
        <f t="shared" si="271"/>
        <v>1900</v>
      </c>
      <c r="AV811">
        <f t="shared" si="272"/>
        <v>0</v>
      </c>
      <c r="AW811">
        <f t="shared" si="273"/>
        <v>0</v>
      </c>
    </row>
    <row r="812" spans="4:49" ht="15.75" x14ac:dyDescent="0.25">
      <c r="D812" s="199"/>
      <c r="E812" s="200"/>
      <c r="F812" s="287"/>
      <c r="G812" s="201"/>
      <c r="H812" s="219"/>
      <c r="I812" s="202"/>
      <c r="J812" s="200"/>
      <c r="K812" s="200"/>
      <c r="L812" s="203"/>
      <c r="M812" s="204">
        <f ca="1">IF(ISERROR(OFFSET(Tabella!$A$1,MATCH(J812,Tabella!$A:$A,0)-1,MATCH(L812,Tabella!$A$1:$AC$1,0)-1)=TRUE),0,+OFFSET(Tabella!$A$1,MATCH(J812,Tabella!$A:$A,0)-1,MATCH(L812,Tabella!$A$1:$AC$1,0)-1))</f>
        <v>0</v>
      </c>
      <c r="N812" s="205">
        <f ca="1">IF(ISERROR(OFFSET(Ottone!$A$1,MATCH(J812,Ottone!$A:$A,0)-1,MATCH(L812,Ottone!$A$1:$Z$1,0)-1)=TRUE),0,OFFSET(Ottone!$A$1,MATCH(J812,Ottone!$A:$A,0)-1,MATCH(L812,Ottone!$A$1:$Z$1,0)-1))*IF(G812="Ottone",1,0)</f>
        <v>0</v>
      </c>
      <c r="O812" s="205">
        <f ca="1">IF(ISERROR(OFFSET(Rame!$A$1,MATCH(J812,Rame!$A:$A,0)-1,MATCH(L812,Rame!$A$1:$AA$1,0)-1)=TRUE),0,OFFSET(Rame!$A$1,MATCH(J812,Rame!$A:$A,0)-1,MATCH(L812,Rame!$A$1:$AA$1,0)-1))*IF(G812="Rame",1,0)</f>
        <v>0</v>
      </c>
      <c r="P812" s="205">
        <v>0</v>
      </c>
      <c r="Q812" s="205">
        <f t="shared" ca="1" si="263"/>
        <v>0</v>
      </c>
      <c r="R812" s="205">
        <f ca="1">+IF(ISERROR(OFFSET(Tabella!$G$1,MATCH(J812,Tabella!$G:$G,0)-1,MATCH(K812,Tabella!$G$1:$FG$1,0)-1)=TRUE),0,OFFSET(Tabella!$G$1,MATCH(J812,Tabella!$G:$G,0)-1,MATCH(K812,Tabella!$G$1:$AB$1,0)-1))</f>
        <v>0</v>
      </c>
      <c r="S812" s="205">
        <f ca="1">IF(ISERROR(OFFSET(Ottone!$F$1,MATCH(J812,Ottone!$A:$A,0)-1,MATCH(K812,Ottone!$F$1:$FF$1,0)-1)=TRUE),0,OFFSET(Ottone!$F$1,MATCH(J812,Ottone!$A:$A,0)-1,MATCH(K812,Ottone!$F$1:$FF$1,0)-1))*IF(G812="Ottone",1,0)</f>
        <v>0</v>
      </c>
      <c r="T812" s="205">
        <f ca="1">IF(ISERROR(OFFSET(Rame!$F$1,MATCH(J812,Rame!$F:$F,0)-1,MATCH(K812,Rame!$F$1:$FF$1,0)-1)=TRUE),0,OFFSET(Rame!$F$1,MATCH(J812,Rame!$F:$F,0)-1,MATCH(K812,Rame!$F$1:$FF$1,0)-1))*IF(G812="Rame",1,0)</f>
        <v>0</v>
      </c>
      <c r="U812" s="205">
        <f ca="1">IF(ISERROR(OFFSET(Bronzo!$A$1,MATCH(J812,Bronzo!$A:$A,0)-1,MATCH(K812,Bronzo!$A$1:$AA$1,0)-1)=TRUE),0,OFFSET(Bronzo!$A$1,MATCH(J812,Bronzo!$A:$A,0)-1,MATCH(K812,Bronzo!$A$1:$AA$1,0)-1))</f>
        <v>0</v>
      </c>
      <c r="V812" s="205">
        <f t="shared" ca="1" si="264"/>
        <v>0</v>
      </c>
      <c r="W812" s="204"/>
      <c r="X812" s="205">
        <v>0</v>
      </c>
      <c r="Y812" s="206">
        <f t="shared" ca="1" si="265"/>
        <v>0</v>
      </c>
      <c r="Z812" s="277">
        <f t="shared" si="266"/>
        <v>0</v>
      </c>
      <c r="AA812" s="203"/>
      <c r="AB812" s="203">
        <f t="shared" ca="1" si="267"/>
        <v>0</v>
      </c>
      <c r="AC812" s="238"/>
      <c r="AI812" s="367">
        <f t="shared" ca="1" si="262"/>
        <v>46092</v>
      </c>
      <c r="AJ812" s="367" t="b">
        <f t="shared" si="268"/>
        <v>1</v>
      </c>
      <c r="AK812" s="370" t="str">
        <f t="shared" si="269"/>
        <v/>
      </c>
      <c r="AN812">
        <f t="shared" si="270"/>
        <v>0</v>
      </c>
      <c r="AO812">
        <f t="shared" si="271"/>
        <v>1900</v>
      </c>
      <c r="AV812">
        <f t="shared" si="272"/>
        <v>0</v>
      </c>
      <c r="AW812">
        <f t="shared" si="273"/>
        <v>0</v>
      </c>
    </row>
    <row r="813" spans="4:49" ht="15.75" x14ac:dyDescent="0.25">
      <c r="D813" s="199"/>
      <c r="E813" s="200"/>
      <c r="F813" s="287"/>
      <c r="G813" s="201"/>
      <c r="H813" s="219"/>
      <c r="I813" s="202"/>
      <c r="J813" s="200"/>
      <c r="K813" s="200"/>
      <c r="L813" s="203"/>
      <c r="M813" s="204">
        <f ca="1">IF(ISERROR(OFFSET(Tabella!$A$1,MATCH(J813,Tabella!$A:$A,0)-1,MATCH(L813,Tabella!$A$1:$AC$1,0)-1)=TRUE),0,+OFFSET(Tabella!$A$1,MATCH(J813,Tabella!$A:$A,0)-1,MATCH(L813,Tabella!$A$1:$AC$1,0)-1))</f>
        <v>0</v>
      </c>
      <c r="N813" s="205">
        <f ca="1">IF(ISERROR(OFFSET(Ottone!$A$1,MATCH(J813,Ottone!$A:$A,0)-1,MATCH(L813,Ottone!$A$1:$Z$1,0)-1)=TRUE),0,OFFSET(Ottone!$A$1,MATCH(J813,Ottone!$A:$A,0)-1,MATCH(L813,Ottone!$A$1:$Z$1,0)-1))*IF(G813="Ottone",1,0)</f>
        <v>0</v>
      </c>
      <c r="O813" s="205">
        <f ca="1">IF(ISERROR(OFFSET(Rame!$A$1,MATCH(J813,Rame!$A:$A,0)-1,MATCH(L813,Rame!$A$1:$AA$1,0)-1)=TRUE),0,OFFSET(Rame!$A$1,MATCH(J813,Rame!$A:$A,0)-1,MATCH(L813,Rame!$A$1:$AA$1,0)-1))*IF(G813="Rame",1,0)</f>
        <v>0</v>
      </c>
      <c r="P813" s="205">
        <v>0</v>
      </c>
      <c r="Q813" s="205">
        <f t="shared" ca="1" si="263"/>
        <v>0</v>
      </c>
      <c r="R813" s="205">
        <f ca="1">+IF(ISERROR(OFFSET(Tabella!$G$1,MATCH(J813,Tabella!$G:$G,0)-1,MATCH(K813,Tabella!$G$1:$FG$1,0)-1)=TRUE),0,OFFSET(Tabella!$G$1,MATCH(J813,Tabella!$G:$G,0)-1,MATCH(K813,Tabella!$G$1:$AB$1,0)-1))</f>
        <v>0</v>
      </c>
      <c r="S813" s="205">
        <f ca="1">IF(ISERROR(OFFSET(Ottone!$F$1,MATCH(J813,Ottone!$A:$A,0)-1,MATCH(K813,Ottone!$F$1:$FF$1,0)-1)=TRUE),0,OFFSET(Ottone!$F$1,MATCH(J813,Ottone!$A:$A,0)-1,MATCH(K813,Ottone!$F$1:$FF$1,0)-1))*IF(G813="Ottone",1,0)</f>
        <v>0</v>
      </c>
      <c r="T813" s="205">
        <f ca="1">IF(ISERROR(OFFSET(Rame!$F$1,MATCH(J813,Rame!$F:$F,0)-1,MATCH(K813,Rame!$F$1:$FF$1,0)-1)=TRUE),0,OFFSET(Rame!$F$1,MATCH(J813,Rame!$F:$F,0)-1,MATCH(K813,Rame!$F$1:$FF$1,0)-1))*IF(G813="Rame",1,0)</f>
        <v>0</v>
      </c>
      <c r="U813" s="205">
        <f ca="1">IF(ISERROR(OFFSET(Bronzo!$A$1,MATCH(J813,Bronzo!$A:$A,0)-1,MATCH(K813,Bronzo!$A$1:$AA$1,0)-1)=TRUE),0,OFFSET(Bronzo!$A$1,MATCH(J813,Bronzo!$A:$A,0)-1,MATCH(K813,Bronzo!$A$1:$AA$1,0)-1))</f>
        <v>0</v>
      </c>
      <c r="V813" s="205">
        <f t="shared" ca="1" si="264"/>
        <v>0</v>
      </c>
      <c r="W813" s="204"/>
      <c r="X813" s="205">
        <v>0</v>
      </c>
      <c r="Y813" s="206">
        <f t="shared" ca="1" si="265"/>
        <v>0</v>
      </c>
      <c r="Z813" s="277">
        <f t="shared" si="266"/>
        <v>0</v>
      </c>
      <c r="AA813" s="203"/>
      <c r="AB813" s="203">
        <f t="shared" ca="1" si="267"/>
        <v>0</v>
      </c>
      <c r="AC813" s="238"/>
      <c r="AI813" s="367">
        <f t="shared" ca="1" si="262"/>
        <v>46092</v>
      </c>
      <c r="AJ813" s="367" t="b">
        <f t="shared" si="268"/>
        <v>1</v>
      </c>
      <c r="AK813" s="370" t="str">
        <f t="shared" si="269"/>
        <v/>
      </c>
      <c r="AN813">
        <f t="shared" si="270"/>
        <v>0</v>
      </c>
      <c r="AO813">
        <f t="shared" si="271"/>
        <v>1900</v>
      </c>
      <c r="AV813">
        <f t="shared" si="272"/>
        <v>0</v>
      </c>
      <c r="AW813">
        <f t="shared" si="273"/>
        <v>0</v>
      </c>
    </row>
    <row r="814" spans="4:49" ht="15.75" x14ac:dyDescent="0.25">
      <c r="D814" s="199"/>
      <c r="E814" s="200"/>
      <c r="F814" s="287"/>
      <c r="G814" s="201"/>
      <c r="H814" s="219"/>
      <c r="I814" s="202"/>
      <c r="J814" s="200"/>
      <c r="K814" s="200"/>
      <c r="L814" s="203"/>
      <c r="M814" s="204">
        <f ca="1">IF(ISERROR(OFFSET(Tabella!$A$1,MATCH(J814,Tabella!$A:$A,0)-1,MATCH(L814,Tabella!$A$1:$AC$1,0)-1)=TRUE),0,+OFFSET(Tabella!$A$1,MATCH(J814,Tabella!$A:$A,0)-1,MATCH(L814,Tabella!$A$1:$AC$1,0)-1))</f>
        <v>0</v>
      </c>
      <c r="N814" s="205">
        <f ca="1">IF(ISERROR(OFFSET(Ottone!$A$1,MATCH(J814,Ottone!$A:$A,0)-1,MATCH(L814,Ottone!$A$1:$Z$1,0)-1)=TRUE),0,OFFSET(Ottone!$A$1,MATCH(J814,Ottone!$A:$A,0)-1,MATCH(L814,Ottone!$A$1:$Z$1,0)-1))*IF(G814="Ottone",1,0)</f>
        <v>0</v>
      </c>
      <c r="O814" s="205">
        <f ca="1">IF(ISERROR(OFFSET(Rame!$A$1,MATCH(J814,Rame!$A:$A,0)-1,MATCH(L814,Rame!$A$1:$AA$1,0)-1)=TRUE),0,OFFSET(Rame!$A$1,MATCH(J814,Rame!$A:$A,0)-1,MATCH(L814,Rame!$A$1:$AA$1,0)-1))*IF(G814="Rame",1,0)</f>
        <v>0</v>
      </c>
      <c r="P814" s="205">
        <v>0</v>
      </c>
      <c r="Q814" s="205">
        <f t="shared" ca="1" si="263"/>
        <v>0</v>
      </c>
      <c r="R814" s="205">
        <f ca="1">+IF(ISERROR(OFFSET(Tabella!$G$1,MATCH(J814,Tabella!$G:$G,0)-1,MATCH(K814,Tabella!$G$1:$FG$1,0)-1)=TRUE),0,OFFSET(Tabella!$G$1,MATCH(J814,Tabella!$G:$G,0)-1,MATCH(K814,Tabella!$G$1:$AB$1,0)-1))</f>
        <v>0</v>
      </c>
      <c r="S814" s="205">
        <f ca="1">IF(ISERROR(OFFSET(Ottone!$F$1,MATCH(J814,Ottone!$A:$A,0)-1,MATCH(K814,Ottone!$F$1:$FF$1,0)-1)=TRUE),0,OFFSET(Ottone!$F$1,MATCH(J814,Ottone!$A:$A,0)-1,MATCH(K814,Ottone!$F$1:$FF$1,0)-1))*IF(G814="Ottone",1,0)</f>
        <v>0</v>
      </c>
      <c r="T814" s="205">
        <f ca="1">IF(ISERROR(OFFSET(Rame!$F$1,MATCH(J814,Rame!$F:$F,0)-1,MATCH(K814,Rame!$F$1:$FF$1,0)-1)=TRUE),0,OFFSET(Rame!$F$1,MATCH(J814,Rame!$F:$F,0)-1,MATCH(K814,Rame!$F$1:$FF$1,0)-1))*IF(G814="Rame",1,0)</f>
        <v>0</v>
      </c>
      <c r="U814" s="205">
        <f ca="1">IF(ISERROR(OFFSET(Bronzo!$A$1,MATCH(J814,Bronzo!$A:$A,0)-1,MATCH(K814,Bronzo!$A$1:$AA$1,0)-1)=TRUE),0,OFFSET(Bronzo!$A$1,MATCH(J814,Bronzo!$A:$A,0)-1,MATCH(K814,Bronzo!$A$1:$AA$1,0)-1))</f>
        <v>0</v>
      </c>
      <c r="V814" s="205">
        <f t="shared" ca="1" si="264"/>
        <v>0</v>
      </c>
      <c r="W814" s="204"/>
      <c r="X814" s="205">
        <v>0</v>
      </c>
      <c r="Y814" s="206">
        <f t="shared" ca="1" si="265"/>
        <v>0</v>
      </c>
      <c r="Z814" s="277">
        <f t="shared" si="266"/>
        <v>0</v>
      </c>
      <c r="AA814" s="203"/>
      <c r="AB814" s="203">
        <f t="shared" ca="1" si="267"/>
        <v>0</v>
      </c>
      <c r="AC814" s="238"/>
      <c r="AI814" s="367">
        <f t="shared" ca="1" si="262"/>
        <v>46092</v>
      </c>
      <c r="AJ814" s="367" t="b">
        <f t="shared" si="268"/>
        <v>1</v>
      </c>
      <c r="AK814" s="370" t="str">
        <f t="shared" si="269"/>
        <v/>
      </c>
      <c r="AN814">
        <f t="shared" si="270"/>
        <v>0</v>
      </c>
      <c r="AO814">
        <f t="shared" si="271"/>
        <v>1900</v>
      </c>
      <c r="AV814">
        <f t="shared" si="272"/>
        <v>0</v>
      </c>
      <c r="AW814">
        <f t="shared" si="273"/>
        <v>0</v>
      </c>
    </row>
    <row r="815" spans="4:49" ht="15.75" x14ac:dyDescent="0.25">
      <c r="D815" s="199"/>
      <c r="E815" s="200"/>
      <c r="F815" s="287"/>
      <c r="G815" s="201"/>
      <c r="H815" s="219"/>
      <c r="I815" s="202"/>
      <c r="J815" s="200"/>
      <c r="K815" s="200"/>
      <c r="L815" s="203"/>
      <c r="M815" s="204">
        <f ca="1">IF(ISERROR(OFFSET(Tabella!$A$1,MATCH(J815,Tabella!$A:$A,0)-1,MATCH(L815,Tabella!$A$1:$AC$1,0)-1)=TRUE),0,+OFFSET(Tabella!$A$1,MATCH(J815,Tabella!$A:$A,0)-1,MATCH(L815,Tabella!$A$1:$AC$1,0)-1))</f>
        <v>0</v>
      </c>
      <c r="N815" s="205">
        <f ca="1">IF(ISERROR(OFFSET(Ottone!$A$1,MATCH(J815,Ottone!$A:$A,0)-1,MATCH(L815,Ottone!$A$1:$Z$1,0)-1)=TRUE),0,OFFSET(Ottone!$A$1,MATCH(J815,Ottone!$A:$A,0)-1,MATCH(L815,Ottone!$A$1:$Z$1,0)-1))*IF(G815="Ottone",1,0)</f>
        <v>0</v>
      </c>
      <c r="O815" s="205">
        <f ca="1">IF(ISERROR(OFFSET(Rame!$A$1,MATCH(J815,Rame!$A:$A,0)-1,MATCH(L815,Rame!$A$1:$AA$1,0)-1)=TRUE),0,OFFSET(Rame!$A$1,MATCH(J815,Rame!$A:$A,0)-1,MATCH(L815,Rame!$A$1:$AA$1,0)-1))*IF(G815="Rame",1,0)</f>
        <v>0</v>
      </c>
      <c r="P815" s="205">
        <v>0</v>
      </c>
      <c r="Q815" s="205">
        <f t="shared" ca="1" si="263"/>
        <v>0</v>
      </c>
      <c r="R815" s="205">
        <f ca="1">+IF(ISERROR(OFFSET(Tabella!$G$1,MATCH(J815,Tabella!$G:$G,0)-1,MATCH(K815,Tabella!$G$1:$FG$1,0)-1)=TRUE),0,OFFSET(Tabella!$G$1,MATCH(J815,Tabella!$G:$G,0)-1,MATCH(K815,Tabella!$G$1:$AB$1,0)-1))</f>
        <v>0</v>
      </c>
      <c r="S815" s="205">
        <f ca="1">IF(ISERROR(OFFSET(Ottone!$F$1,MATCH(J815,Ottone!$A:$A,0)-1,MATCH(K815,Ottone!$F$1:$FF$1,0)-1)=TRUE),0,OFFSET(Ottone!$F$1,MATCH(J815,Ottone!$A:$A,0)-1,MATCH(K815,Ottone!$F$1:$FF$1,0)-1))*IF(G815="Ottone",1,0)</f>
        <v>0</v>
      </c>
      <c r="T815" s="205">
        <f ca="1">IF(ISERROR(OFFSET(Rame!$F$1,MATCH(J815,Rame!$F:$F,0)-1,MATCH(K815,Rame!$F$1:$FF$1,0)-1)=TRUE),0,OFFSET(Rame!$F$1,MATCH(J815,Rame!$F:$F,0)-1,MATCH(K815,Rame!$F$1:$FF$1,0)-1))*IF(G815="Rame",1,0)</f>
        <v>0</v>
      </c>
      <c r="U815" s="205">
        <f ca="1">IF(ISERROR(OFFSET(Bronzo!$A$1,MATCH(J815,Bronzo!$A:$A,0)-1,MATCH(K815,Bronzo!$A$1:$AA$1,0)-1)=TRUE),0,OFFSET(Bronzo!$A$1,MATCH(J815,Bronzo!$A:$A,0)-1,MATCH(K815,Bronzo!$A$1:$AA$1,0)-1))</f>
        <v>0</v>
      </c>
      <c r="V815" s="205">
        <f t="shared" ca="1" si="264"/>
        <v>0</v>
      </c>
      <c r="W815" s="204"/>
      <c r="X815" s="205">
        <v>0</v>
      </c>
      <c r="Y815" s="206">
        <f t="shared" ca="1" si="265"/>
        <v>0</v>
      </c>
      <c r="Z815" s="277">
        <f t="shared" si="266"/>
        <v>0</v>
      </c>
      <c r="AA815" s="203"/>
      <c r="AB815" s="203">
        <f t="shared" ca="1" si="267"/>
        <v>0</v>
      </c>
      <c r="AC815" s="238"/>
      <c r="AI815" s="367">
        <f t="shared" ca="1" si="262"/>
        <v>46092</v>
      </c>
      <c r="AJ815" s="367" t="b">
        <f t="shared" si="268"/>
        <v>1</v>
      </c>
      <c r="AK815" s="370" t="str">
        <f t="shared" si="269"/>
        <v/>
      </c>
      <c r="AN815">
        <f t="shared" si="270"/>
        <v>0</v>
      </c>
      <c r="AO815">
        <f t="shared" si="271"/>
        <v>1900</v>
      </c>
      <c r="AV815">
        <f t="shared" si="272"/>
        <v>0</v>
      </c>
      <c r="AW815">
        <f t="shared" si="273"/>
        <v>0</v>
      </c>
    </row>
    <row r="816" spans="4:49" ht="15.75" x14ac:dyDescent="0.25">
      <c r="D816" s="199"/>
      <c r="E816" s="200"/>
      <c r="F816" s="287"/>
      <c r="G816" s="201"/>
      <c r="H816" s="219"/>
      <c r="I816" s="202"/>
      <c r="J816" s="200"/>
      <c r="K816" s="200"/>
      <c r="L816" s="203"/>
      <c r="M816" s="204">
        <f ca="1">IF(ISERROR(OFFSET(Tabella!$A$1,MATCH(J816,Tabella!$A:$A,0)-1,MATCH(L816,Tabella!$A$1:$AC$1,0)-1)=TRUE),0,+OFFSET(Tabella!$A$1,MATCH(J816,Tabella!$A:$A,0)-1,MATCH(L816,Tabella!$A$1:$AC$1,0)-1))</f>
        <v>0</v>
      </c>
      <c r="N816" s="205">
        <f ca="1">IF(ISERROR(OFFSET(Ottone!$A$1,MATCH(J816,Ottone!$A:$A,0)-1,MATCH(L816,Ottone!$A$1:$Z$1,0)-1)=TRUE),0,OFFSET(Ottone!$A$1,MATCH(J816,Ottone!$A:$A,0)-1,MATCH(L816,Ottone!$A$1:$Z$1,0)-1))*IF(G816="Ottone",1,0)</f>
        <v>0</v>
      </c>
      <c r="O816" s="205">
        <f ca="1">IF(ISERROR(OFFSET(Rame!$A$1,MATCH(J816,Rame!$A:$A,0)-1,MATCH(L816,Rame!$A$1:$AA$1,0)-1)=TRUE),0,OFFSET(Rame!$A$1,MATCH(J816,Rame!$A:$A,0)-1,MATCH(L816,Rame!$A$1:$AA$1,0)-1))*IF(G816="Rame",1,0)</f>
        <v>0</v>
      </c>
      <c r="P816" s="205">
        <v>0</v>
      </c>
      <c r="Q816" s="205">
        <f t="shared" ca="1" si="263"/>
        <v>0</v>
      </c>
      <c r="R816" s="205">
        <f ca="1">+IF(ISERROR(OFFSET(Tabella!$G$1,MATCH(J816,Tabella!$G:$G,0)-1,MATCH(K816,Tabella!$G$1:$FG$1,0)-1)=TRUE),0,OFFSET(Tabella!$G$1,MATCH(J816,Tabella!$G:$G,0)-1,MATCH(K816,Tabella!$G$1:$AB$1,0)-1))</f>
        <v>0</v>
      </c>
      <c r="S816" s="205">
        <f ca="1">IF(ISERROR(OFFSET(Ottone!$F$1,MATCH(J816,Ottone!$A:$A,0)-1,MATCH(K816,Ottone!$F$1:$FF$1,0)-1)=TRUE),0,OFFSET(Ottone!$F$1,MATCH(J816,Ottone!$A:$A,0)-1,MATCH(K816,Ottone!$F$1:$FF$1,0)-1))*IF(G816="Ottone",1,0)</f>
        <v>0</v>
      </c>
      <c r="T816" s="205">
        <f ca="1">IF(ISERROR(OFFSET(Rame!$F$1,MATCH(J816,Rame!$F:$F,0)-1,MATCH(K816,Rame!$F$1:$FF$1,0)-1)=TRUE),0,OFFSET(Rame!$F$1,MATCH(J816,Rame!$F:$F,0)-1,MATCH(K816,Rame!$F$1:$FF$1,0)-1))*IF(G816="Rame",1,0)</f>
        <v>0</v>
      </c>
      <c r="U816" s="205">
        <f ca="1">IF(ISERROR(OFFSET(Bronzo!$A$1,MATCH(J816,Bronzo!$A:$A,0)-1,MATCH(K816,Bronzo!$A$1:$AA$1,0)-1)=TRUE),0,OFFSET(Bronzo!$A$1,MATCH(J816,Bronzo!$A:$A,0)-1,MATCH(K816,Bronzo!$A$1:$AA$1,0)-1))</f>
        <v>0</v>
      </c>
      <c r="V816" s="205">
        <f t="shared" ca="1" si="264"/>
        <v>0</v>
      </c>
      <c r="W816" s="204"/>
      <c r="X816" s="205">
        <v>0</v>
      </c>
      <c r="Y816" s="206">
        <f t="shared" ca="1" si="265"/>
        <v>0</v>
      </c>
      <c r="Z816" s="277">
        <f t="shared" si="266"/>
        <v>0</v>
      </c>
      <c r="AA816" s="203"/>
      <c r="AB816" s="203">
        <f t="shared" ca="1" si="267"/>
        <v>0</v>
      </c>
      <c r="AC816" s="238"/>
      <c r="AI816" s="367">
        <f t="shared" ca="1" si="262"/>
        <v>46092</v>
      </c>
      <c r="AJ816" s="367" t="b">
        <f t="shared" si="268"/>
        <v>1</v>
      </c>
      <c r="AK816" s="370" t="str">
        <f t="shared" si="269"/>
        <v/>
      </c>
      <c r="AN816">
        <f t="shared" si="270"/>
        <v>0</v>
      </c>
      <c r="AO816">
        <f t="shared" si="271"/>
        <v>1900</v>
      </c>
      <c r="AV816">
        <f t="shared" si="272"/>
        <v>0</v>
      </c>
      <c r="AW816">
        <f t="shared" si="273"/>
        <v>0</v>
      </c>
    </row>
    <row r="817" spans="4:49" ht="15.75" x14ac:dyDescent="0.25">
      <c r="D817" s="199"/>
      <c r="E817" s="200"/>
      <c r="F817" s="287"/>
      <c r="G817" s="201"/>
      <c r="H817" s="219"/>
      <c r="I817" s="202"/>
      <c r="J817" s="200"/>
      <c r="K817" s="200"/>
      <c r="L817" s="203"/>
      <c r="M817" s="204">
        <f ca="1">IF(ISERROR(OFFSET(Tabella!$A$1,MATCH(J817,Tabella!$A:$A,0)-1,MATCH(L817,Tabella!$A$1:$AC$1,0)-1)=TRUE),0,+OFFSET(Tabella!$A$1,MATCH(J817,Tabella!$A:$A,0)-1,MATCH(L817,Tabella!$A$1:$AC$1,0)-1))</f>
        <v>0</v>
      </c>
      <c r="N817" s="205">
        <f ca="1">IF(ISERROR(OFFSET(Ottone!$A$1,MATCH(J817,Ottone!$A:$A,0)-1,MATCH(L817,Ottone!$A$1:$Z$1,0)-1)=TRUE),0,OFFSET(Ottone!$A$1,MATCH(J817,Ottone!$A:$A,0)-1,MATCH(L817,Ottone!$A$1:$Z$1,0)-1))*IF(G817="Ottone",1,0)</f>
        <v>0</v>
      </c>
      <c r="O817" s="205">
        <f ca="1">IF(ISERROR(OFFSET(Rame!$A$1,MATCH(J817,Rame!$A:$A,0)-1,MATCH(L817,Rame!$A$1:$AA$1,0)-1)=TRUE),0,OFFSET(Rame!$A$1,MATCH(J817,Rame!$A:$A,0)-1,MATCH(L817,Rame!$A$1:$AA$1,0)-1))*IF(G817="Rame",1,0)</f>
        <v>0</v>
      </c>
      <c r="P817" s="205">
        <v>0</v>
      </c>
      <c r="Q817" s="205">
        <f t="shared" ca="1" si="263"/>
        <v>0</v>
      </c>
      <c r="R817" s="205">
        <f ca="1">+IF(ISERROR(OFFSET(Tabella!$G$1,MATCH(J817,Tabella!$G:$G,0)-1,MATCH(K817,Tabella!$G$1:$FG$1,0)-1)=TRUE),0,OFFSET(Tabella!$G$1,MATCH(J817,Tabella!$G:$G,0)-1,MATCH(K817,Tabella!$G$1:$AB$1,0)-1))</f>
        <v>0</v>
      </c>
      <c r="S817" s="205">
        <f ca="1">IF(ISERROR(OFFSET(Ottone!$F$1,MATCH(J817,Ottone!$A:$A,0)-1,MATCH(K817,Ottone!$F$1:$FF$1,0)-1)=TRUE),0,OFFSET(Ottone!$F$1,MATCH(J817,Ottone!$A:$A,0)-1,MATCH(K817,Ottone!$F$1:$FF$1,0)-1))*IF(G817="Ottone",1,0)</f>
        <v>0</v>
      </c>
      <c r="T817" s="205">
        <f ca="1">IF(ISERROR(OFFSET(Rame!$F$1,MATCH(J817,Rame!$F:$F,0)-1,MATCH(K817,Rame!$F$1:$FF$1,0)-1)=TRUE),0,OFFSET(Rame!$F$1,MATCH(J817,Rame!$F:$F,0)-1,MATCH(K817,Rame!$F$1:$FF$1,0)-1))*IF(G817="Rame",1,0)</f>
        <v>0</v>
      </c>
      <c r="U817" s="205">
        <f ca="1">IF(ISERROR(OFFSET(Bronzo!$A$1,MATCH(J817,Bronzo!$A:$A,0)-1,MATCH(K817,Bronzo!$A$1:$AA$1,0)-1)=TRUE),0,OFFSET(Bronzo!$A$1,MATCH(J817,Bronzo!$A:$A,0)-1,MATCH(K817,Bronzo!$A$1:$AA$1,0)-1))</f>
        <v>0</v>
      </c>
      <c r="V817" s="205">
        <f t="shared" ca="1" si="264"/>
        <v>0</v>
      </c>
      <c r="W817" s="204"/>
      <c r="X817" s="205">
        <v>0</v>
      </c>
      <c r="Y817" s="206">
        <f t="shared" ca="1" si="265"/>
        <v>0</v>
      </c>
      <c r="Z817" s="277">
        <f t="shared" si="266"/>
        <v>0</v>
      </c>
      <c r="AA817" s="203"/>
      <c r="AB817" s="203">
        <f t="shared" ca="1" si="267"/>
        <v>0</v>
      </c>
      <c r="AC817" s="238"/>
      <c r="AI817" s="367">
        <f t="shared" ca="1" si="262"/>
        <v>46092</v>
      </c>
      <c r="AJ817" s="367" t="b">
        <f t="shared" si="268"/>
        <v>1</v>
      </c>
      <c r="AK817" s="370" t="str">
        <f t="shared" si="269"/>
        <v/>
      </c>
      <c r="AN817">
        <f t="shared" si="270"/>
        <v>0</v>
      </c>
      <c r="AO817">
        <f t="shared" si="271"/>
        <v>1900</v>
      </c>
      <c r="AV817">
        <f t="shared" si="272"/>
        <v>0</v>
      </c>
      <c r="AW817">
        <f t="shared" si="273"/>
        <v>0</v>
      </c>
    </row>
    <row r="818" spans="4:49" ht="15.75" x14ac:dyDescent="0.25">
      <c r="D818" s="199"/>
      <c r="E818" s="200"/>
      <c r="F818" s="287"/>
      <c r="G818" s="201"/>
      <c r="H818" s="219"/>
      <c r="I818" s="202"/>
      <c r="J818" s="200"/>
      <c r="K818" s="200"/>
      <c r="L818" s="203"/>
      <c r="M818" s="204">
        <f ca="1">IF(ISERROR(OFFSET(Tabella!$A$1,MATCH(J818,Tabella!$A:$A,0)-1,MATCH(L818,Tabella!$A$1:$AC$1,0)-1)=TRUE),0,+OFFSET(Tabella!$A$1,MATCH(J818,Tabella!$A:$A,0)-1,MATCH(L818,Tabella!$A$1:$AC$1,0)-1))</f>
        <v>0</v>
      </c>
      <c r="N818" s="205">
        <f ca="1">IF(ISERROR(OFFSET(Ottone!$A$1,MATCH(J818,Ottone!$A:$A,0)-1,MATCH(L818,Ottone!$A$1:$Z$1,0)-1)=TRUE),0,OFFSET(Ottone!$A$1,MATCH(J818,Ottone!$A:$A,0)-1,MATCH(L818,Ottone!$A$1:$Z$1,0)-1))*IF(G818="Ottone",1,0)</f>
        <v>0</v>
      </c>
      <c r="O818" s="205">
        <f ca="1">IF(ISERROR(OFFSET(Rame!$A$1,MATCH(J818,Rame!$A:$A,0)-1,MATCH(L818,Rame!$A$1:$AA$1,0)-1)=TRUE),0,OFFSET(Rame!$A$1,MATCH(J818,Rame!$A:$A,0)-1,MATCH(L818,Rame!$A$1:$AA$1,0)-1))*IF(G818="Rame",1,0)</f>
        <v>0</v>
      </c>
      <c r="P818" s="205">
        <v>0</v>
      </c>
      <c r="Q818" s="205">
        <f t="shared" ca="1" si="263"/>
        <v>0</v>
      </c>
      <c r="R818" s="205">
        <f ca="1">+IF(ISERROR(OFFSET(Tabella!$G$1,MATCH(J818,Tabella!$G:$G,0)-1,MATCH(K818,Tabella!$G$1:$FG$1,0)-1)=TRUE),0,OFFSET(Tabella!$G$1,MATCH(J818,Tabella!$G:$G,0)-1,MATCH(K818,Tabella!$G$1:$AB$1,0)-1))</f>
        <v>0</v>
      </c>
      <c r="S818" s="205">
        <f ca="1">IF(ISERROR(OFFSET(Ottone!$F$1,MATCH(J818,Ottone!$A:$A,0)-1,MATCH(K818,Ottone!$F$1:$FF$1,0)-1)=TRUE),0,OFFSET(Ottone!$F$1,MATCH(J818,Ottone!$A:$A,0)-1,MATCH(K818,Ottone!$F$1:$FF$1,0)-1))*IF(G818="Ottone",1,0)</f>
        <v>0</v>
      </c>
      <c r="T818" s="205">
        <f ca="1">IF(ISERROR(OFFSET(Rame!$F$1,MATCH(J818,Rame!$F:$F,0)-1,MATCH(K818,Rame!$F$1:$FF$1,0)-1)=TRUE),0,OFFSET(Rame!$F$1,MATCH(J818,Rame!$F:$F,0)-1,MATCH(K818,Rame!$F$1:$FF$1,0)-1))*IF(G818="Rame",1,0)</f>
        <v>0</v>
      </c>
      <c r="U818" s="205">
        <f ca="1">IF(ISERROR(OFFSET(Bronzo!$A$1,MATCH(J818,Bronzo!$A:$A,0)-1,MATCH(K818,Bronzo!$A$1:$AA$1,0)-1)=TRUE),0,OFFSET(Bronzo!$A$1,MATCH(J818,Bronzo!$A:$A,0)-1,MATCH(K818,Bronzo!$A$1:$AA$1,0)-1))</f>
        <v>0</v>
      </c>
      <c r="V818" s="205">
        <f t="shared" ca="1" si="264"/>
        <v>0</v>
      </c>
      <c r="W818" s="204"/>
      <c r="X818" s="205">
        <v>0</v>
      </c>
      <c r="Y818" s="206">
        <f t="shared" ca="1" si="265"/>
        <v>0</v>
      </c>
      <c r="Z818" s="277">
        <f t="shared" si="266"/>
        <v>0</v>
      </c>
      <c r="AA818" s="203"/>
      <c r="AB818" s="203">
        <f t="shared" ca="1" si="267"/>
        <v>0</v>
      </c>
      <c r="AC818" s="238"/>
      <c r="AI818" s="367">
        <f t="shared" ca="1" si="262"/>
        <v>46092</v>
      </c>
      <c r="AJ818" s="367" t="b">
        <f t="shared" si="268"/>
        <v>1</v>
      </c>
      <c r="AK818" s="370" t="str">
        <f t="shared" si="269"/>
        <v/>
      </c>
      <c r="AN818">
        <f t="shared" si="270"/>
        <v>0</v>
      </c>
      <c r="AO818">
        <f t="shared" si="271"/>
        <v>1900</v>
      </c>
      <c r="AV818">
        <f t="shared" si="272"/>
        <v>0</v>
      </c>
      <c r="AW818">
        <f t="shared" si="273"/>
        <v>0</v>
      </c>
    </row>
    <row r="819" spans="4:49" ht="15.75" x14ac:dyDescent="0.25">
      <c r="D819" s="199"/>
      <c r="E819" s="200"/>
      <c r="F819" s="287"/>
      <c r="G819" s="201"/>
      <c r="H819" s="219"/>
      <c r="I819" s="202"/>
      <c r="J819" s="200"/>
      <c r="K819" s="200"/>
      <c r="L819" s="203"/>
      <c r="M819" s="204">
        <f ca="1">IF(ISERROR(OFFSET(Tabella!$A$1,MATCH(J819,Tabella!$A:$A,0)-1,MATCH(L819,Tabella!$A$1:$AC$1,0)-1)=TRUE),0,+OFFSET(Tabella!$A$1,MATCH(J819,Tabella!$A:$A,0)-1,MATCH(L819,Tabella!$A$1:$AC$1,0)-1))</f>
        <v>0</v>
      </c>
      <c r="N819" s="205">
        <f ca="1">IF(ISERROR(OFFSET(Ottone!$A$1,MATCH(J819,Ottone!$A:$A,0)-1,MATCH(L819,Ottone!$A$1:$Z$1,0)-1)=TRUE),0,OFFSET(Ottone!$A$1,MATCH(J819,Ottone!$A:$A,0)-1,MATCH(L819,Ottone!$A$1:$Z$1,0)-1))*IF(G819="Ottone",1,0)</f>
        <v>0</v>
      </c>
      <c r="O819" s="205">
        <f ca="1">IF(ISERROR(OFFSET(Rame!$A$1,MATCH(J819,Rame!$A:$A,0)-1,MATCH(L819,Rame!$A$1:$AA$1,0)-1)=TRUE),0,OFFSET(Rame!$A$1,MATCH(J819,Rame!$A:$A,0)-1,MATCH(L819,Rame!$A$1:$AA$1,0)-1))*IF(G819="Rame",1,0)</f>
        <v>0</v>
      </c>
      <c r="P819" s="205">
        <v>0</v>
      </c>
      <c r="Q819" s="205">
        <f t="shared" ca="1" si="263"/>
        <v>0</v>
      </c>
      <c r="R819" s="205">
        <f ca="1">+IF(ISERROR(OFFSET(Tabella!$G$1,MATCH(J819,Tabella!$G:$G,0)-1,MATCH(K819,Tabella!$G$1:$FG$1,0)-1)=TRUE),0,OFFSET(Tabella!$G$1,MATCH(J819,Tabella!$G:$G,0)-1,MATCH(K819,Tabella!$G$1:$AB$1,0)-1))</f>
        <v>0</v>
      </c>
      <c r="S819" s="205">
        <f ca="1">IF(ISERROR(OFFSET(Ottone!$F$1,MATCH(J819,Ottone!$A:$A,0)-1,MATCH(K819,Ottone!$F$1:$FF$1,0)-1)=TRUE),0,OFFSET(Ottone!$F$1,MATCH(J819,Ottone!$A:$A,0)-1,MATCH(K819,Ottone!$F$1:$FF$1,0)-1))*IF(G819="Ottone",1,0)</f>
        <v>0</v>
      </c>
      <c r="T819" s="205">
        <f ca="1">IF(ISERROR(OFFSET(Rame!$F$1,MATCH(J819,Rame!$F:$F,0)-1,MATCH(K819,Rame!$F$1:$FF$1,0)-1)=TRUE),0,OFFSET(Rame!$F$1,MATCH(J819,Rame!$F:$F,0)-1,MATCH(K819,Rame!$F$1:$FF$1,0)-1))*IF(G819="Rame",1,0)</f>
        <v>0</v>
      </c>
      <c r="U819" s="205">
        <f ca="1">IF(ISERROR(OFFSET(Bronzo!$A$1,MATCH(J819,Bronzo!$A:$A,0)-1,MATCH(K819,Bronzo!$A$1:$AA$1,0)-1)=TRUE),0,OFFSET(Bronzo!$A$1,MATCH(J819,Bronzo!$A:$A,0)-1,MATCH(K819,Bronzo!$A$1:$AA$1,0)-1))</f>
        <v>0</v>
      </c>
      <c r="V819" s="205">
        <f t="shared" ca="1" si="264"/>
        <v>0</v>
      </c>
      <c r="W819" s="204"/>
      <c r="X819" s="205">
        <v>0</v>
      </c>
      <c r="Y819" s="206">
        <f t="shared" ca="1" si="265"/>
        <v>0</v>
      </c>
      <c r="Z819" s="277">
        <f t="shared" si="266"/>
        <v>0</v>
      </c>
      <c r="AA819" s="203"/>
      <c r="AB819" s="203">
        <f t="shared" ca="1" si="267"/>
        <v>0</v>
      </c>
      <c r="AC819" s="238"/>
      <c r="AI819" s="367">
        <f t="shared" ca="1" si="262"/>
        <v>46092</v>
      </c>
      <c r="AJ819" s="367" t="b">
        <f t="shared" si="268"/>
        <v>1</v>
      </c>
      <c r="AK819" s="370" t="str">
        <f t="shared" si="269"/>
        <v/>
      </c>
      <c r="AN819">
        <f t="shared" si="270"/>
        <v>0</v>
      </c>
      <c r="AO819">
        <f t="shared" si="271"/>
        <v>1900</v>
      </c>
      <c r="AV819">
        <f t="shared" si="272"/>
        <v>0</v>
      </c>
      <c r="AW819">
        <f t="shared" si="273"/>
        <v>0</v>
      </c>
    </row>
    <row r="820" spans="4:49" ht="15.75" x14ac:dyDescent="0.25">
      <c r="D820" s="199"/>
      <c r="E820" s="200"/>
      <c r="F820" s="287"/>
      <c r="G820" s="201"/>
      <c r="H820" s="219"/>
      <c r="I820" s="202"/>
      <c r="J820" s="200"/>
      <c r="K820" s="200"/>
      <c r="L820" s="203"/>
      <c r="M820" s="204">
        <f ca="1">IF(ISERROR(OFFSET(Tabella!$A$1,MATCH(J820,Tabella!$A:$A,0)-1,MATCH(L820,Tabella!$A$1:$AC$1,0)-1)=TRUE),0,+OFFSET(Tabella!$A$1,MATCH(J820,Tabella!$A:$A,0)-1,MATCH(L820,Tabella!$A$1:$AC$1,0)-1))</f>
        <v>0</v>
      </c>
      <c r="N820" s="205">
        <f ca="1">IF(ISERROR(OFFSET(Ottone!$A$1,MATCH(J820,Ottone!$A:$A,0)-1,MATCH(L820,Ottone!$A$1:$Z$1,0)-1)=TRUE),0,OFFSET(Ottone!$A$1,MATCH(J820,Ottone!$A:$A,0)-1,MATCH(L820,Ottone!$A$1:$Z$1,0)-1))*IF(G820="Ottone",1,0)</f>
        <v>0</v>
      </c>
      <c r="O820" s="205">
        <f ca="1">IF(ISERROR(OFFSET(Rame!$A$1,MATCH(J820,Rame!$A:$A,0)-1,MATCH(L820,Rame!$A$1:$AA$1,0)-1)=TRUE),0,OFFSET(Rame!$A$1,MATCH(J820,Rame!$A:$A,0)-1,MATCH(L820,Rame!$A$1:$AA$1,0)-1))*IF(G820="Rame",1,0)</f>
        <v>0</v>
      </c>
      <c r="P820" s="205">
        <v>0</v>
      </c>
      <c r="Q820" s="205">
        <f t="shared" ca="1" si="263"/>
        <v>0</v>
      </c>
      <c r="R820" s="205">
        <f ca="1">+IF(ISERROR(OFFSET(Tabella!$G$1,MATCH(J820,Tabella!$G:$G,0)-1,MATCH(K820,Tabella!$G$1:$FG$1,0)-1)=TRUE),0,OFFSET(Tabella!$G$1,MATCH(J820,Tabella!$G:$G,0)-1,MATCH(K820,Tabella!$G$1:$AB$1,0)-1))</f>
        <v>0</v>
      </c>
      <c r="S820" s="205">
        <f ca="1">IF(ISERROR(OFFSET(Ottone!$F$1,MATCH(J820,Ottone!$A:$A,0)-1,MATCH(K820,Ottone!$F$1:$FF$1,0)-1)=TRUE),0,OFFSET(Ottone!$F$1,MATCH(J820,Ottone!$A:$A,0)-1,MATCH(K820,Ottone!$F$1:$FF$1,0)-1))*IF(G820="Ottone",1,0)</f>
        <v>0</v>
      </c>
      <c r="T820" s="205">
        <f ca="1">IF(ISERROR(OFFSET(Rame!$F$1,MATCH(J820,Rame!$F:$F,0)-1,MATCH(K820,Rame!$F$1:$FF$1,0)-1)=TRUE),0,OFFSET(Rame!$F$1,MATCH(J820,Rame!$F:$F,0)-1,MATCH(K820,Rame!$F$1:$FF$1,0)-1))*IF(G820="Rame",1,0)</f>
        <v>0</v>
      </c>
      <c r="U820" s="205">
        <f ca="1">IF(ISERROR(OFFSET(Bronzo!$A$1,MATCH(J820,Bronzo!$A:$A,0)-1,MATCH(K820,Bronzo!$A$1:$AA$1,0)-1)=TRUE),0,OFFSET(Bronzo!$A$1,MATCH(J820,Bronzo!$A:$A,0)-1,MATCH(K820,Bronzo!$A$1:$AA$1,0)-1))</f>
        <v>0</v>
      </c>
      <c r="V820" s="205">
        <f t="shared" ca="1" si="264"/>
        <v>0</v>
      </c>
      <c r="W820" s="204"/>
      <c r="X820" s="205">
        <v>0</v>
      </c>
      <c r="Y820" s="206">
        <f t="shared" ca="1" si="265"/>
        <v>0</v>
      </c>
      <c r="Z820" s="277">
        <f t="shared" si="266"/>
        <v>0</v>
      </c>
      <c r="AA820" s="203"/>
      <c r="AB820" s="203">
        <f t="shared" ca="1" si="267"/>
        <v>0</v>
      </c>
      <c r="AC820" s="238"/>
      <c r="AI820" s="367">
        <f t="shared" ca="1" si="262"/>
        <v>46092</v>
      </c>
      <c r="AJ820" s="367" t="b">
        <f t="shared" si="268"/>
        <v>1</v>
      </c>
      <c r="AK820" s="370" t="str">
        <f t="shared" si="269"/>
        <v/>
      </c>
      <c r="AN820">
        <f t="shared" si="270"/>
        <v>0</v>
      </c>
      <c r="AO820">
        <f t="shared" si="271"/>
        <v>1900</v>
      </c>
      <c r="AV820">
        <f t="shared" si="272"/>
        <v>0</v>
      </c>
      <c r="AW820">
        <f t="shared" si="273"/>
        <v>0</v>
      </c>
    </row>
    <row r="821" spans="4:49" ht="15.75" x14ac:dyDescent="0.25">
      <c r="D821" s="199"/>
      <c r="E821" s="200"/>
      <c r="F821" s="287"/>
      <c r="G821" s="201"/>
      <c r="H821" s="219"/>
      <c r="I821" s="202"/>
      <c r="J821" s="200"/>
      <c r="K821" s="200"/>
      <c r="L821" s="203"/>
      <c r="M821" s="204">
        <f ca="1">IF(ISERROR(OFFSET(Tabella!$A$1,MATCH(J821,Tabella!$A:$A,0)-1,MATCH(L821,Tabella!$A$1:$AC$1,0)-1)=TRUE),0,+OFFSET(Tabella!$A$1,MATCH(J821,Tabella!$A:$A,0)-1,MATCH(L821,Tabella!$A$1:$AC$1,0)-1))</f>
        <v>0</v>
      </c>
      <c r="N821" s="205">
        <f ca="1">IF(ISERROR(OFFSET(Ottone!$A$1,MATCH(J821,Ottone!$A:$A,0)-1,MATCH(L821,Ottone!$A$1:$Z$1,0)-1)=TRUE),0,OFFSET(Ottone!$A$1,MATCH(J821,Ottone!$A:$A,0)-1,MATCH(L821,Ottone!$A$1:$Z$1,0)-1))*IF(G821="Ottone",1,0)</f>
        <v>0</v>
      </c>
      <c r="O821" s="205">
        <f ca="1">IF(ISERROR(OFFSET(Rame!$A$1,MATCH(J821,Rame!$A:$A,0)-1,MATCH(L821,Rame!$A$1:$AA$1,0)-1)=TRUE),0,OFFSET(Rame!$A$1,MATCH(J821,Rame!$A:$A,0)-1,MATCH(L821,Rame!$A$1:$AA$1,0)-1))*IF(G821="Rame",1,0)</f>
        <v>0</v>
      </c>
      <c r="P821" s="205">
        <v>0</v>
      </c>
      <c r="Q821" s="205">
        <f t="shared" ca="1" si="263"/>
        <v>0</v>
      </c>
      <c r="R821" s="205">
        <f ca="1">+IF(ISERROR(OFFSET(Tabella!$G$1,MATCH(J821,Tabella!$G:$G,0)-1,MATCH(K821,Tabella!$G$1:$FG$1,0)-1)=TRUE),0,OFFSET(Tabella!$G$1,MATCH(J821,Tabella!$G:$G,0)-1,MATCH(K821,Tabella!$G$1:$AB$1,0)-1))</f>
        <v>0</v>
      </c>
      <c r="S821" s="205">
        <f ca="1">IF(ISERROR(OFFSET(Ottone!$F$1,MATCH(J821,Ottone!$A:$A,0)-1,MATCH(K821,Ottone!$F$1:$FF$1,0)-1)=TRUE),0,OFFSET(Ottone!$F$1,MATCH(J821,Ottone!$A:$A,0)-1,MATCH(K821,Ottone!$F$1:$FF$1,0)-1))*IF(G821="Ottone",1,0)</f>
        <v>0</v>
      </c>
      <c r="T821" s="205">
        <f ca="1">IF(ISERROR(OFFSET(Rame!$F$1,MATCH(J821,Rame!$F:$F,0)-1,MATCH(K821,Rame!$F$1:$FF$1,0)-1)=TRUE),0,OFFSET(Rame!$F$1,MATCH(J821,Rame!$F:$F,0)-1,MATCH(K821,Rame!$F$1:$FF$1,0)-1))*IF(G821="Rame",1,0)</f>
        <v>0</v>
      </c>
      <c r="U821" s="205">
        <f ca="1">IF(ISERROR(OFFSET(Bronzo!$A$1,MATCH(J821,Bronzo!$A:$A,0)-1,MATCH(K821,Bronzo!$A$1:$AA$1,0)-1)=TRUE),0,OFFSET(Bronzo!$A$1,MATCH(J821,Bronzo!$A:$A,0)-1,MATCH(K821,Bronzo!$A$1:$AA$1,0)-1))</f>
        <v>0</v>
      </c>
      <c r="V821" s="205">
        <f t="shared" ca="1" si="264"/>
        <v>0</v>
      </c>
      <c r="W821" s="204"/>
      <c r="X821" s="205">
        <v>0</v>
      </c>
      <c r="Y821" s="206">
        <f t="shared" ca="1" si="265"/>
        <v>0</v>
      </c>
      <c r="Z821" s="277">
        <f t="shared" si="266"/>
        <v>0</v>
      </c>
      <c r="AA821" s="203"/>
      <c r="AB821" s="203">
        <f t="shared" ca="1" si="267"/>
        <v>0</v>
      </c>
      <c r="AC821" s="238"/>
      <c r="AI821" s="367">
        <f t="shared" ca="1" si="262"/>
        <v>46092</v>
      </c>
      <c r="AJ821" s="367" t="b">
        <f t="shared" si="268"/>
        <v>1</v>
      </c>
      <c r="AK821" s="370" t="str">
        <f t="shared" si="269"/>
        <v/>
      </c>
      <c r="AN821">
        <f t="shared" si="270"/>
        <v>0</v>
      </c>
      <c r="AO821">
        <f t="shared" si="271"/>
        <v>1900</v>
      </c>
      <c r="AV821">
        <f t="shared" si="272"/>
        <v>0</v>
      </c>
      <c r="AW821">
        <f t="shared" si="273"/>
        <v>0</v>
      </c>
    </row>
    <row r="822" spans="4:49" ht="15.75" x14ac:dyDescent="0.25">
      <c r="D822" s="199"/>
      <c r="E822" s="200"/>
      <c r="F822" s="287"/>
      <c r="G822" s="201"/>
      <c r="H822" s="219"/>
      <c r="I822" s="202"/>
      <c r="J822" s="200"/>
      <c r="K822" s="200"/>
      <c r="L822" s="203"/>
      <c r="M822" s="204">
        <f ca="1">IF(ISERROR(OFFSET(Tabella!$A$1,MATCH(J822,Tabella!$A:$A,0)-1,MATCH(L822,Tabella!$A$1:$AC$1,0)-1)=TRUE),0,+OFFSET(Tabella!$A$1,MATCH(J822,Tabella!$A:$A,0)-1,MATCH(L822,Tabella!$A$1:$AC$1,0)-1))</f>
        <v>0</v>
      </c>
      <c r="N822" s="205">
        <f ca="1">IF(ISERROR(OFFSET(Ottone!$A$1,MATCH(J822,Ottone!$A:$A,0)-1,MATCH(L822,Ottone!$A$1:$Z$1,0)-1)=TRUE),0,OFFSET(Ottone!$A$1,MATCH(J822,Ottone!$A:$A,0)-1,MATCH(L822,Ottone!$A$1:$Z$1,0)-1))*IF(G822="Ottone",1,0)</f>
        <v>0</v>
      </c>
      <c r="O822" s="205">
        <f ca="1">IF(ISERROR(OFFSET(Rame!$A$1,MATCH(J822,Rame!$A:$A,0)-1,MATCH(L822,Rame!$A$1:$AA$1,0)-1)=TRUE),0,OFFSET(Rame!$A$1,MATCH(J822,Rame!$A:$A,0)-1,MATCH(L822,Rame!$A$1:$AA$1,0)-1))*IF(G822="Rame",1,0)</f>
        <v>0</v>
      </c>
      <c r="P822" s="205">
        <v>0</v>
      </c>
      <c r="Q822" s="205">
        <f t="shared" ca="1" si="263"/>
        <v>0</v>
      </c>
      <c r="R822" s="205">
        <f ca="1">+IF(ISERROR(OFFSET(Tabella!$G$1,MATCH(J822,Tabella!$G:$G,0)-1,MATCH(K822,Tabella!$G$1:$FG$1,0)-1)=TRUE),0,OFFSET(Tabella!$G$1,MATCH(J822,Tabella!$G:$G,0)-1,MATCH(K822,Tabella!$G$1:$AB$1,0)-1))</f>
        <v>0</v>
      </c>
      <c r="S822" s="205">
        <f ca="1">IF(ISERROR(OFFSET(Ottone!$F$1,MATCH(J822,Ottone!$A:$A,0)-1,MATCH(K822,Ottone!$F$1:$FF$1,0)-1)=TRUE),0,OFFSET(Ottone!$F$1,MATCH(J822,Ottone!$A:$A,0)-1,MATCH(K822,Ottone!$F$1:$FF$1,0)-1))*IF(G822="Ottone",1,0)</f>
        <v>0</v>
      </c>
      <c r="T822" s="205">
        <f ca="1">IF(ISERROR(OFFSET(Rame!$F$1,MATCH(J822,Rame!$F:$F,0)-1,MATCH(K822,Rame!$F$1:$FF$1,0)-1)=TRUE),0,OFFSET(Rame!$F$1,MATCH(J822,Rame!$F:$F,0)-1,MATCH(K822,Rame!$F$1:$FF$1,0)-1))*IF(G822="Rame",1,0)</f>
        <v>0</v>
      </c>
      <c r="U822" s="205">
        <f ca="1">IF(ISERROR(OFFSET(Bronzo!$A$1,MATCH(J822,Bronzo!$A:$A,0)-1,MATCH(K822,Bronzo!$A$1:$AA$1,0)-1)=TRUE),0,OFFSET(Bronzo!$A$1,MATCH(J822,Bronzo!$A:$A,0)-1,MATCH(K822,Bronzo!$A$1:$AA$1,0)-1))</f>
        <v>0</v>
      </c>
      <c r="V822" s="205">
        <f t="shared" ca="1" si="264"/>
        <v>0</v>
      </c>
      <c r="W822" s="204"/>
      <c r="X822" s="205">
        <v>0</v>
      </c>
      <c r="Y822" s="206">
        <f t="shared" ca="1" si="265"/>
        <v>0</v>
      </c>
      <c r="Z822" s="277">
        <f t="shared" si="266"/>
        <v>0</v>
      </c>
      <c r="AA822" s="203"/>
      <c r="AB822" s="203">
        <f t="shared" ca="1" si="267"/>
        <v>0</v>
      </c>
      <c r="AC822" s="238"/>
      <c r="AI822" s="367">
        <f t="shared" ca="1" si="262"/>
        <v>46092</v>
      </c>
      <c r="AJ822" s="367" t="b">
        <f t="shared" si="268"/>
        <v>1</v>
      </c>
      <c r="AK822" s="370" t="str">
        <f t="shared" si="269"/>
        <v/>
      </c>
      <c r="AN822">
        <f t="shared" si="270"/>
        <v>0</v>
      </c>
      <c r="AO822">
        <f t="shared" si="271"/>
        <v>1900</v>
      </c>
      <c r="AV822">
        <f t="shared" si="272"/>
        <v>0</v>
      </c>
      <c r="AW822">
        <f t="shared" si="273"/>
        <v>0</v>
      </c>
    </row>
    <row r="823" spans="4:49" ht="15.75" x14ac:dyDescent="0.25">
      <c r="D823" s="199"/>
      <c r="E823" s="200"/>
      <c r="F823" s="287"/>
      <c r="G823" s="201"/>
      <c r="H823" s="219"/>
      <c r="I823" s="202"/>
      <c r="J823" s="200"/>
      <c r="K823" s="200"/>
      <c r="L823" s="203"/>
      <c r="M823" s="204">
        <f ca="1">IF(ISERROR(OFFSET(Tabella!$A$1,MATCH(J823,Tabella!$A:$A,0)-1,MATCH(L823,Tabella!$A$1:$AC$1,0)-1)=TRUE),0,+OFFSET(Tabella!$A$1,MATCH(J823,Tabella!$A:$A,0)-1,MATCH(L823,Tabella!$A$1:$AC$1,0)-1))</f>
        <v>0</v>
      </c>
      <c r="N823" s="205">
        <f ca="1">IF(ISERROR(OFFSET(Ottone!$A$1,MATCH(J823,Ottone!$A:$A,0)-1,MATCH(L823,Ottone!$A$1:$Z$1,0)-1)=TRUE),0,OFFSET(Ottone!$A$1,MATCH(J823,Ottone!$A:$A,0)-1,MATCH(L823,Ottone!$A$1:$Z$1,0)-1))*IF(G823="Ottone",1,0)</f>
        <v>0</v>
      </c>
      <c r="O823" s="205">
        <f ca="1">IF(ISERROR(OFFSET(Rame!$A$1,MATCH(J823,Rame!$A:$A,0)-1,MATCH(L823,Rame!$A$1:$AA$1,0)-1)=TRUE),0,OFFSET(Rame!$A$1,MATCH(J823,Rame!$A:$A,0)-1,MATCH(L823,Rame!$A$1:$AA$1,0)-1))*IF(G823="Rame",1,0)</f>
        <v>0</v>
      </c>
      <c r="P823" s="205">
        <v>0</v>
      </c>
      <c r="Q823" s="205">
        <f t="shared" ca="1" si="263"/>
        <v>0</v>
      </c>
      <c r="R823" s="205">
        <f ca="1">+IF(ISERROR(OFFSET(Tabella!$G$1,MATCH(J823,Tabella!$G:$G,0)-1,MATCH(K823,Tabella!$G$1:$FG$1,0)-1)=TRUE),0,OFFSET(Tabella!$G$1,MATCH(J823,Tabella!$G:$G,0)-1,MATCH(K823,Tabella!$G$1:$AB$1,0)-1))</f>
        <v>0</v>
      </c>
      <c r="S823" s="205">
        <f ca="1">IF(ISERROR(OFFSET(Ottone!$F$1,MATCH(J823,Ottone!$A:$A,0)-1,MATCH(K823,Ottone!$F$1:$FF$1,0)-1)=TRUE),0,OFFSET(Ottone!$F$1,MATCH(J823,Ottone!$A:$A,0)-1,MATCH(K823,Ottone!$F$1:$FF$1,0)-1))*IF(G823="Ottone",1,0)</f>
        <v>0</v>
      </c>
      <c r="T823" s="205">
        <f ca="1">IF(ISERROR(OFFSET(Rame!$F$1,MATCH(J823,Rame!$F:$F,0)-1,MATCH(K823,Rame!$F$1:$FF$1,0)-1)=TRUE),0,OFFSET(Rame!$F$1,MATCH(J823,Rame!$F:$F,0)-1,MATCH(K823,Rame!$F$1:$FF$1,0)-1))*IF(G823="Rame",1,0)</f>
        <v>0</v>
      </c>
      <c r="U823" s="205">
        <f ca="1">IF(ISERROR(OFFSET(Bronzo!$A$1,MATCH(J823,Bronzo!$A:$A,0)-1,MATCH(K823,Bronzo!$A$1:$AA$1,0)-1)=TRUE),0,OFFSET(Bronzo!$A$1,MATCH(J823,Bronzo!$A:$A,0)-1,MATCH(K823,Bronzo!$A$1:$AA$1,0)-1))</f>
        <v>0</v>
      </c>
      <c r="V823" s="205">
        <f t="shared" ca="1" si="264"/>
        <v>0</v>
      </c>
      <c r="W823" s="204"/>
      <c r="X823" s="205">
        <v>0</v>
      </c>
      <c r="Y823" s="206">
        <f t="shared" ca="1" si="265"/>
        <v>0</v>
      </c>
      <c r="Z823" s="277">
        <f t="shared" si="266"/>
        <v>0</v>
      </c>
      <c r="AA823" s="203"/>
      <c r="AB823" s="203">
        <f t="shared" ca="1" si="267"/>
        <v>0</v>
      </c>
      <c r="AC823" s="238"/>
      <c r="AI823" s="367">
        <f t="shared" ca="1" si="262"/>
        <v>46092</v>
      </c>
      <c r="AJ823" s="367" t="b">
        <f t="shared" si="268"/>
        <v>1</v>
      </c>
      <c r="AK823" s="370" t="str">
        <f t="shared" si="269"/>
        <v/>
      </c>
      <c r="AN823">
        <f t="shared" si="270"/>
        <v>0</v>
      </c>
      <c r="AO823">
        <f t="shared" si="271"/>
        <v>1900</v>
      </c>
      <c r="AV823">
        <f t="shared" si="272"/>
        <v>0</v>
      </c>
      <c r="AW823">
        <f t="shared" si="273"/>
        <v>0</v>
      </c>
    </row>
    <row r="824" spans="4:49" ht="15.75" x14ac:dyDescent="0.25">
      <c r="D824" s="199"/>
      <c r="E824" s="200"/>
      <c r="F824" s="287"/>
      <c r="G824" s="201"/>
      <c r="H824" s="219"/>
      <c r="I824" s="202"/>
      <c r="J824" s="200"/>
      <c r="K824" s="200"/>
      <c r="L824" s="203"/>
      <c r="M824" s="204">
        <f ca="1">IF(ISERROR(OFFSET(Tabella!$A$1,MATCH(J824,Tabella!$A:$A,0)-1,MATCH(L824,Tabella!$A$1:$AC$1,0)-1)=TRUE),0,+OFFSET(Tabella!$A$1,MATCH(J824,Tabella!$A:$A,0)-1,MATCH(L824,Tabella!$A$1:$AC$1,0)-1))</f>
        <v>0</v>
      </c>
      <c r="N824" s="205">
        <f ca="1">IF(ISERROR(OFFSET(Ottone!$A$1,MATCH(J824,Ottone!$A:$A,0)-1,MATCH(L824,Ottone!$A$1:$Z$1,0)-1)=TRUE),0,OFFSET(Ottone!$A$1,MATCH(J824,Ottone!$A:$A,0)-1,MATCH(L824,Ottone!$A$1:$Z$1,0)-1))*IF(G824="Ottone",1,0)</f>
        <v>0</v>
      </c>
      <c r="O824" s="205">
        <f ca="1">IF(ISERROR(OFFSET(Rame!$A$1,MATCH(J824,Rame!$A:$A,0)-1,MATCH(L824,Rame!$A$1:$AA$1,0)-1)=TRUE),0,OFFSET(Rame!$A$1,MATCH(J824,Rame!$A:$A,0)-1,MATCH(L824,Rame!$A$1:$AA$1,0)-1))*IF(G824="Rame",1,0)</f>
        <v>0</v>
      </c>
      <c r="P824" s="205">
        <v>0</v>
      </c>
      <c r="Q824" s="205">
        <f t="shared" ca="1" si="263"/>
        <v>0</v>
      </c>
      <c r="R824" s="205">
        <f ca="1">+IF(ISERROR(OFFSET(Tabella!$G$1,MATCH(J824,Tabella!$G:$G,0)-1,MATCH(K824,Tabella!$G$1:$FG$1,0)-1)=TRUE),0,OFFSET(Tabella!$G$1,MATCH(J824,Tabella!$G:$G,0)-1,MATCH(K824,Tabella!$G$1:$AB$1,0)-1))</f>
        <v>0</v>
      </c>
      <c r="S824" s="205">
        <f ca="1">IF(ISERROR(OFFSET(Ottone!$F$1,MATCH(J824,Ottone!$A:$A,0)-1,MATCH(K824,Ottone!$F$1:$FF$1,0)-1)=TRUE),0,OFFSET(Ottone!$F$1,MATCH(J824,Ottone!$A:$A,0)-1,MATCH(K824,Ottone!$F$1:$FF$1,0)-1))*IF(G824="Ottone",1,0)</f>
        <v>0</v>
      </c>
      <c r="T824" s="205">
        <f ca="1">IF(ISERROR(OFFSET(Rame!$F$1,MATCH(J824,Rame!$F:$F,0)-1,MATCH(K824,Rame!$F$1:$FF$1,0)-1)=TRUE),0,OFFSET(Rame!$F$1,MATCH(J824,Rame!$F:$F,0)-1,MATCH(K824,Rame!$F$1:$FF$1,0)-1))*IF(G824="Rame",1,0)</f>
        <v>0</v>
      </c>
      <c r="U824" s="205">
        <f ca="1">IF(ISERROR(OFFSET(Bronzo!$A$1,MATCH(J824,Bronzo!$A:$A,0)-1,MATCH(K824,Bronzo!$A$1:$AA$1,0)-1)=TRUE),0,OFFSET(Bronzo!$A$1,MATCH(J824,Bronzo!$A:$A,0)-1,MATCH(K824,Bronzo!$A$1:$AA$1,0)-1))</f>
        <v>0</v>
      </c>
      <c r="V824" s="205">
        <f t="shared" ca="1" si="264"/>
        <v>0</v>
      </c>
      <c r="W824" s="204"/>
      <c r="X824" s="205">
        <v>0</v>
      </c>
      <c r="Y824" s="206">
        <f t="shared" ca="1" si="265"/>
        <v>0</v>
      </c>
      <c r="Z824" s="277">
        <f t="shared" si="266"/>
        <v>0</v>
      </c>
      <c r="AA824" s="203"/>
      <c r="AB824" s="203">
        <f t="shared" ca="1" si="267"/>
        <v>0</v>
      </c>
      <c r="AC824" s="238"/>
      <c r="AI824" s="367">
        <f t="shared" ca="1" si="262"/>
        <v>46092</v>
      </c>
      <c r="AJ824" s="367" t="b">
        <f t="shared" si="268"/>
        <v>1</v>
      </c>
      <c r="AK824" s="370" t="str">
        <f t="shared" si="269"/>
        <v/>
      </c>
      <c r="AN824">
        <f t="shared" si="270"/>
        <v>0</v>
      </c>
      <c r="AO824">
        <f t="shared" si="271"/>
        <v>1900</v>
      </c>
      <c r="AV824">
        <f t="shared" si="272"/>
        <v>0</v>
      </c>
      <c r="AW824">
        <f t="shared" si="273"/>
        <v>0</v>
      </c>
    </row>
    <row r="825" spans="4:49" ht="15.75" x14ac:dyDescent="0.25">
      <c r="D825" s="199"/>
      <c r="E825" s="200"/>
      <c r="F825" s="287"/>
      <c r="G825" s="201"/>
      <c r="H825" s="219"/>
      <c r="I825" s="202"/>
      <c r="J825" s="200"/>
      <c r="K825" s="200"/>
      <c r="L825" s="203"/>
      <c r="M825" s="204">
        <f ca="1">IF(ISERROR(OFFSET(Tabella!$A$1,MATCH(J825,Tabella!$A:$A,0)-1,MATCH(L825,Tabella!$A$1:$AC$1,0)-1)=TRUE),0,+OFFSET(Tabella!$A$1,MATCH(J825,Tabella!$A:$A,0)-1,MATCH(L825,Tabella!$A$1:$AC$1,0)-1))</f>
        <v>0</v>
      </c>
      <c r="N825" s="205">
        <f ca="1">IF(ISERROR(OFFSET(Ottone!$A$1,MATCH(J825,Ottone!$A:$A,0)-1,MATCH(L825,Ottone!$A$1:$Z$1,0)-1)=TRUE),0,OFFSET(Ottone!$A$1,MATCH(J825,Ottone!$A:$A,0)-1,MATCH(L825,Ottone!$A$1:$Z$1,0)-1))*IF(G825="Ottone",1,0)</f>
        <v>0</v>
      </c>
      <c r="O825" s="205">
        <f ca="1">IF(ISERROR(OFFSET(Rame!$A$1,MATCH(J825,Rame!$A:$A,0)-1,MATCH(L825,Rame!$A$1:$AA$1,0)-1)=TRUE),0,OFFSET(Rame!$A$1,MATCH(J825,Rame!$A:$A,0)-1,MATCH(L825,Rame!$A$1:$AA$1,0)-1))*IF(G825="Rame",1,0)</f>
        <v>0</v>
      </c>
      <c r="P825" s="205">
        <v>0</v>
      </c>
      <c r="Q825" s="205">
        <f t="shared" ca="1" si="263"/>
        <v>0</v>
      </c>
      <c r="R825" s="205">
        <f ca="1">+IF(ISERROR(OFFSET(Tabella!$G$1,MATCH(J825,Tabella!$G:$G,0)-1,MATCH(K825,Tabella!$G$1:$FG$1,0)-1)=TRUE),0,OFFSET(Tabella!$G$1,MATCH(J825,Tabella!$G:$G,0)-1,MATCH(K825,Tabella!$G$1:$AB$1,0)-1))</f>
        <v>0</v>
      </c>
      <c r="S825" s="205">
        <f ca="1">IF(ISERROR(OFFSET(Ottone!$F$1,MATCH(J825,Ottone!$A:$A,0)-1,MATCH(K825,Ottone!$F$1:$FF$1,0)-1)=TRUE),0,OFFSET(Ottone!$F$1,MATCH(J825,Ottone!$A:$A,0)-1,MATCH(K825,Ottone!$F$1:$FF$1,0)-1))*IF(G825="Ottone",1,0)</f>
        <v>0</v>
      </c>
      <c r="T825" s="205">
        <f ca="1">IF(ISERROR(OFFSET(Rame!$F$1,MATCH(J825,Rame!$F:$F,0)-1,MATCH(K825,Rame!$F$1:$FF$1,0)-1)=TRUE),0,OFFSET(Rame!$F$1,MATCH(J825,Rame!$F:$F,0)-1,MATCH(K825,Rame!$F$1:$FF$1,0)-1))*IF(G825="Rame",1,0)</f>
        <v>0</v>
      </c>
      <c r="U825" s="205">
        <f ca="1">IF(ISERROR(OFFSET(Bronzo!$A$1,MATCH(J825,Bronzo!$A:$A,0)-1,MATCH(K825,Bronzo!$A$1:$AA$1,0)-1)=TRUE),0,OFFSET(Bronzo!$A$1,MATCH(J825,Bronzo!$A:$A,0)-1,MATCH(K825,Bronzo!$A$1:$AA$1,0)-1))</f>
        <v>0</v>
      </c>
      <c r="V825" s="205">
        <f t="shared" ca="1" si="264"/>
        <v>0</v>
      </c>
      <c r="W825" s="204"/>
      <c r="X825" s="205">
        <v>0</v>
      </c>
      <c r="Y825" s="206">
        <f t="shared" ca="1" si="265"/>
        <v>0</v>
      </c>
      <c r="Z825" s="277">
        <f t="shared" si="266"/>
        <v>0</v>
      </c>
      <c r="AA825" s="203"/>
      <c r="AB825" s="203">
        <f t="shared" ca="1" si="267"/>
        <v>0</v>
      </c>
      <c r="AC825" s="238"/>
      <c r="AI825" s="367">
        <f t="shared" ca="1" si="262"/>
        <v>46092</v>
      </c>
      <c r="AJ825" s="367" t="b">
        <f t="shared" si="268"/>
        <v>1</v>
      </c>
      <c r="AK825" s="370" t="str">
        <f t="shared" si="269"/>
        <v/>
      </c>
      <c r="AN825">
        <f t="shared" si="270"/>
        <v>0</v>
      </c>
      <c r="AO825">
        <f t="shared" si="271"/>
        <v>1900</v>
      </c>
      <c r="AV825">
        <f t="shared" si="272"/>
        <v>0</v>
      </c>
      <c r="AW825">
        <f t="shared" si="273"/>
        <v>0</v>
      </c>
    </row>
    <row r="826" spans="4:49" ht="15.75" x14ac:dyDescent="0.25">
      <c r="D826" s="199"/>
      <c r="E826" s="200"/>
      <c r="F826" s="287"/>
      <c r="G826" s="201"/>
      <c r="H826" s="219"/>
      <c r="I826" s="202"/>
      <c r="J826" s="200"/>
      <c r="K826" s="200"/>
      <c r="L826" s="203"/>
      <c r="M826" s="204">
        <f ca="1">IF(ISERROR(OFFSET(Tabella!$A$1,MATCH(J826,Tabella!$A:$A,0)-1,MATCH(L826,Tabella!$A$1:$AC$1,0)-1)=TRUE),0,+OFFSET(Tabella!$A$1,MATCH(J826,Tabella!$A:$A,0)-1,MATCH(L826,Tabella!$A$1:$AC$1,0)-1))</f>
        <v>0</v>
      </c>
      <c r="N826" s="205">
        <f ca="1">IF(ISERROR(OFFSET(Ottone!$A$1,MATCH(J826,Ottone!$A:$A,0)-1,MATCH(L826,Ottone!$A$1:$Z$1,0)-1)=TRUE),0,OFFSET(Ottone!$A$1,MATCH(J826,Ottone!$A:$A,0)-1,MATCH(L826,Ottone!$A$1:$Z$1,0)-1))*IF(G826="Ottone",1,0)</f>
        <v>0</v>
      </c>
      <c r="O826" s="205">
        <f ca="1">IF(ISERROR(OFFSET(Rame!$A$1,MATCH(J826,Rame!$A:$A,0)-1,MATCH(L826,Rame!$A$1:$AA$1,0)-1)=TRUE),0,OFFSET(Rame!$A$1,MATCH(J826,Rame!$A:$A,0)-1,MATCH(L826,Rame!$A$1:$AA$1,0)-1))*IF(G826="Rame",1,0)</f>
        <v>0</v>
      </c>
      <c r="P826" s="205">
        <v>0</v>
      </c>
      <c r="Q826" s="205">
        <f t="shared" ca="1" si="263"/>
        <v>0</v>
      </c>
      <c r="R826" s="205">
        <f ca="1">+IF(ISERROR(OFFSET(Tabella!$G$1,MATCH(J826,Tabella!$G:$G,0)-1,MATCH(K826,Tabella!$G$1:$FG$1,0)-1)=TRUE),0,OFFSET(Tabella!$G$1,MATCH(J826,Tabella!$G:$G,0)-1,MATCH(K826,Tabella!$G$1:$AB$1,0)-1))</f>
        <v>0</v>
      </c>
      <c r="S826" s="205">
        <f ca="1">IF(ISERROR(OFFSET(Ottone!$F$1,MATCH(J826,Ottone!$A:$A,0)-1,MATCH(K826,Ottone!$F$1:$FF$1,0)-1)=TRUE),0,OFFSET(Ottone!$F$1,MATCH(J826,Ottone!$A:$A,0)-1,MATCH(K826,Ottone!$F$1:$FF$1,0)-1))*IF(G826="Ottone",1,0)</f>
        <v>0</v>
      </c>
      <c r="T826" s="205">
        <f ca="1">IF(ISERROR(OFFSET(Rame!$F$1,MATCH(J826,Rame!$F:$F,0)-1,MATCH(K826,Rame!$F$1:$FF$1,0)-1)=TRUE),0,OFFSET(Rame!$F$1,MATCH(J826,Rame!$F:$F,0)-1,MATCH(K826,Rame!$F$1:$FF$1,0)-1))*IF(G826="Rame",1,0)</f>
        <v>0</v>
      </c>
      <c r="U826" s="205">
        <f ca="1">IF(ISERROR(OFFSET(Bronzo!$A$1,MATCH(J826,Bronzo!$A:$A,0)-1,MATCH(K826,Bronzo!$A$1:$AA$1,0)-1)=TRUE),0,OFFSET(Bronzo!$A$1,MATCH(J826,Bronzo!$A:$A,0)-1,MATCH(K826,Bronzo!$A$1:$AA$1,0)-1))</f>
        <v>0</v>
      </c>
      <c r="V826" s="205">
        <f t="shared" ca="1" si="264"/>
        <v>0</v>
      </c>
      <c r="W826" s="204"/>
      <c r="X826" s="205">
        <v>0</v>
      </c>
      <c r="Y826" s="206">
        <f t="shared" ca="1" si="265"/>
        <v>0</v>
      </c>
      <c r="Z826" s="277">
        <f t="shared" si="266"/>
        <v>0</v>
      </c>
      <c r="AA826" s="203"/>
      <c r="AB826" s="203">
        <f t="shared" ca="1" si="267"/>
        <v>0</v>
      </c>
      <c r="AC826" s="238"/>
      <c r="AI826" s="367">
        <f t="shared" ca="1" si="262"/>
        <v>46092</v>
      </c>
      <c r="AJ826" s="367" t="b">
        <f t="shared" si="268"/>
        <v>1</v>
      </c>
      <c r="AK826" s="370" t="str">
        <f t="shared" si="269"/>
        <v/>
      </c>
      <c r="AN826">
        <f t="shared" si="270"/>
        <v>0</v>
      </c>
      <c r="AO826">
        <f t="shared" si="271"/>
        <v>1900</v>
      </c>
      <c r="AV826">
        <f t="shared" si="272"/>
        <v>0</v>
      </c>
      <c r="AW826">
        <f t="shared" si="273"/>
        <v>0</v>
      </c>
    </row>
    <row r="827" spans="4:49" ht="15.75" x14ac:dyDescent="0.25">
      <c r="D827" s="199"/>
      <c r="E827" s="200"/>
      <c r="F827" s="287"/>
      <c r="G827" s="201"/>
      <c r="H827" s="219"/>
      <c r="I827" s="202"/>
      <c r="J827" s="200"/>
      <c r="K827" s="200"/>
      <c r="L827" s="203"/>
      <c r="M827" s="204">
        <f ca="1">IF(ISERROR(OFFSET(Tabella!$A$1,MATCH(J827,Tabella!$A:$A,0)-1,MATCH(L827,Tabella!$A$1:$AC$1,0)-1)=TRUE),0,+OFFSET(Tabella!$A$1,MATCH(J827,Tabella!$A:$A,0)-1,MATCH(L827,Tabella!$A$1:$AC$1,0)-1))</f>
        <v>0</v>
      </c>
      <c r="N827" s="205">
        <f ca="1">IF(ISERROR(OFFSET(Ottone!$A$1,MATCH(J827,Ottone!$A:$A,0)-1,MATCH(L827,Ottone!$A$1:$Z$1,0)-1)=TRUE),0,OFFSET(Ottone!$A$1,MATCH(J827,Ottone!$A:$A,0)-1,MATCH(L827,Ottone!$A$1:$Z$1,0)-1))*IF(G827="Ottone",1,0)</f>
        <v>0</v>
      </c>
      <c r="O827" s="205">
        <f ca="1">IF(ISERROR(OFFSET(Rame!$A$1,MATCH(J827,Rame!$A:$A,0)-1,MATCH(L827,Rame!$A$1:$AA$1,0)-1)=TRUE),0,OFFSET(Rame!$A$1,MATCH(J827,Rame!$A:$A,0)-1,MATCH(L827,Rame!$A$1:$AA$1,0)-1))*IF(G827="Rame",1,0)</f>
        <v>0</v>
      </c>
      <c r="P827" s="205">
        <v>0</v>
      </c>
      <c r="Q827" s="205">
        <f t="shared" ca="1" si="263"/>
        <v>0</v>
      </c>
      <c r="R827" s="205">
        <f ca="1">+IF(ISERROR(OFFSET(Tabella!$G$1,MATCH(J827,Tabella!$G:$G,0)-1,MATCH(K827,Tabella!$G$1:$FG$1,0)-1)=TRUE),0,OFFSET(Tabella!$G$1,MATCH(J827,Tabella!$G:$G,0)-1,MATCH(K827,Tabella!$G$1:$AB$1,0)-1))</f>
        <v>0</v>
      </c>
      <c r="S827" s="205">
        <f ca="1">IF(ISERROR(OFFSET(Ottone!$F$1,MATCH(J827,Ottone!$A:$A,0)-1,MATCH(K827,Ottone!$F$1:$FF$1,0)-1)=TRUE),0,OFFSET(Ottone!$F$1,MATCH(J827,Ottone!$A:$A,0)-1,MATCH(K827,Ottone!$F$1:$FF$1,0)-1))*IF(G827="Ottone",1,0)</f>
        <v>0</v>
      </c>
      <c r="T827" s="205">
        <f ca="1">IF(ISERROR(OFFSET(Rame!$F$1,MATCH(J827,Rame!$F:$F,0)-1,MATCH(K827,Rame!$F$1:$FF$1,0)-1)=TRUE),0,OFFSET(Rame!$F$1,MATCH(J827,Rame!$F:$F,0)-1,MATCH(K827,Rame!$F$1:$FF$1,0)-1))*IF(G827="Rame",1,0)</f>
        <v>0</v>
      </c>
      <c r="U827" s="205">
        <f ca="1">IF(ISERROR(OFFSET(Bronzo!$A$1,MATCH(J827,Bronzo!$A:$A,0)-1,MATCH(K827,Bronzo!$A$1:$AA$1,0)-1)=TRUE),0,OFFSET(Bronzo!$A$1,MATCH(J827,Bronzo!$A:$A,0)-1,MATCH(K827,Bronzo!$A$1:$AA$1,0)-1))</f>
        <v>0</v>
      </c>
      <c r="V827" s="205">
        <f t="shared" ca="1" si="264"/>
        <v>0</v>
      </c>
      <c r="W827" s="204"/>
      <c r="X827" s="205">
        <v>0</v>
      </c>
      <c r="Y827" s="206">
        <f t="shared" ca="1" si="265"/>
        <v>0</v>
      </c>
      <c r="Z827" s="277">
        <f t="shared" si="266"/>
        <v>0</v>
      </c>
      <c r="AA827" s="203"/>
      <c r="AB827" s="203">
        <f t="shared" ca="1" si="267"/>
        <v>0</v>
      </c>
      <c r="AC827" s="238"/>
      <c r="AI827" s="367">
        <f t="shared" ca="1" si="262"/>
        <v>46092</v>
      </c>
      <c r="AJ827" s="367" t="b">
        <f t="shared" si="268"/>
        <v>1</v>
      </c>
      <c r="AK827" s="370" t="str">
        <f t="shared" si="269"/>
        <v/>
      </c>
      <c r="AN827">
        <f t="shared" si="270"/>
        <v>0</v>
      </c>
      <c r="AO827">
        <f t="shared" si="271"/>
        <v>1900</v>
      </c>
      <c r="AV827">
        <f t="shared" si="272"/>
        <v>0</v>
      </c>
      <c r="AW827">
        <f t="shared" si="273"/>
        <v>0</v>
      </c>
    </row>
    <row r="828" spans="4:49" ht="15.75" x14ac:dyDescent="0.25">
      <c r="D828" s="199"/>
      <c r="E828" s="200"/>
      <c r="F828" s="287"/>
      <c r="G828" s="201"/>
      <c r="H828" s="219"/>
      <c r="I828" s="202"/>
      <c r="J828" s="200"/>
      <c r="K828" s="200"/>
      <c r="L828" s="203"/>
      <c r="M828" s="204">
        <f ca="1">IF(ISERROR(OFFSET(Tabella!$A$1,MATCH(J828,Tabella!$A:$A,0)-1,MATCH(L828,Tabella!$A$1:$AC$1,0)-1)=TRUE),0,+OFFSET(Tabella!$A$1,MATCH(J828,Tabella!$A:$A,0)-1,MATCH(L828,Tabella!$A$1:$AC$1,0)-1))</f>
        <v>0</v>
      </c>
      <c r="N828" s="205">
        <f ca="1">IF(ISERROR(OFFSET(Ottone!$A$1,MATCH(J828,Ottone!$A:$A,0)-1,MATCH(L828,Ottone!$A$1:$Z$1,0)-1)=TRUE),0,OFFSET(Ottone!$A$1,MATCH(J828,Ottone!$A:$A,0)-1,MATCH(L828,Ottone!$A$1:$Z$1,0)-1))*IF(G828="Ottone",1,0)</f>
        <v>0</v>
      </c>
      <c r="O828" s="205">
        <f ca="1">IF(ISERROR(OFFSET(Rame!$A$1,MATCH(J828,Rame!$A:$A,0)-1,MATCH(L828,Rame!$A$1:$AA$1,0)-1)=TRUE),0,OFFSET(Rame!$A$1,MATCH(J828,Rame!$A:$A,0)-1,MATCH(L828,Rame!$A$1:$AA$1,0)-1))*IF(G828="Rame",1,0)</f>
        <v>0</v>
      </c>
      <c r="P828" s="205">
        <v>0</v>
      </c>
      <c r="Q828" s="205">
        <f t="shared" ca="1" si="263"/>
        <v>0</v>
      </c>
      <c r="R828" s="205">
        <f ca="1">+IF(ISERROR(OFFSET(Tabella!$G$1,MATCH(J828,Tabella!$G:$G,0)-1,MATCH(K828,Tabella!$G$1:$FG$1,0)-1)=TRUE),0,OFFSET(Tabella!$G$1,MATCH(J828,Tabella!$G:$G,0)-1,MATCH(K828,Tabella!$G$1:$AB$1,0)-1))</f>
        <v>0</v>
      </c>
      <c r="S828" s="205">
        <f ca="1">IF(ISERROR(OFFSET(Ottone!$F$1,MATCH(J828,Ottone!$A:$A,0)-1,MATCH(K828,Ottone!$F$1:$FF$1,0)-1)=TRUE),0,OFFSET(Ottone!$F$1,MATCH(J828,Ottone!$A:$A,0)-1,MATCH(K828,Ottone!$F$1:$FF$1,0)-1))*IF(G828="Ottone",1,0)</f>
        <v>0</v>
      </c>
      <c r="T828" s="205">
        <f ca="1">IF(ISERROR(OFFSET(Rame!$F$1,MATCH(J828,Rame!$F:$F,0)-1,MATCH(K828,Rame!$F$1:$FF$1,0)-1)=TRUE),0,OFFSET(Rame!$F$1,MATCH(J828,Rame!$F:$F,0)-1,MATCH(K828,Rame!$F$1:$FF$1,0)-1))*IF(G828="Rame",1,0)</f>
        <v>0</v>
      </c>
      <c r="U828" s="205">
        <f ca="1">IF(ISERROR(OFFSET(Bronzo!$A$1,MATCH(J828,Bronzo!$A:$A,0)-1,MATCH(K828,Bronzo!$A$1:$AA$1,0)-1)=TRUE),0,OFFSET(Bronzo!$A$1,MATCH(J828,Bronzo!$A:$A,0)-1,MATCH(K828,Bronzo!$A$1:$AA$1,0)-1))</f>
        <v>0</v>
      </c>
      <c r="V828" s="205">
        <f t="shared" ca="1" si="264"/>
        <v>0</v>
      </c>
      <c r="W828" s="204"/>
      <c r="X828" s="205">
        <v>0</v>
      </c>
      <c r="Y828" s="206">
        <f t="shared" ca="1" si="265"/>
        <v>0</v>
      </c>
      <c r="Z828" s="277">
        <f t="shared" si="266"/>
        <v>0</v>
      </c>
      <c r="AA828" s="203"/>
      <c r="AB828" s="203">
        <f t="shared" ca="1" si="267"/>
        <v>0</v>
      </c>
      <c r="AC828" s="238"/>
      <c r="AI828" s="367">
        <f t="shared" ca="1" si="262"/>
        <v>46092</v>
      </c>
      <c r="AJ828" s="367" t="b">
        <f t="shared" si="268"/>
        <v>1</v>
      </c>
      <c r="AK828" s="370" t="str">
        <f t="shared" si="269"/>
        <v/>
      </c>
      <c r="AN828">
        <f t="shared" si="270"/>
        <v>0</v>
      </c>
      <c r="AO828">
        <f t="shared" si="271"/>
        <v>1900</v>
      </c>
      <c r="AV828">
        <f t="shared" si="272"/>
        <v>0</v>
      </c>
      <c r="AW828">
        <f t="shared" si="273"/>
        <v>0</v>
      </c>
    </row>
    <row r="829" spans="4:49" ht="15.75" x14ac:dyDescent="0.25">
      <c r="D829" s="199"/>
      <c r="E829" s="200"/>
      <c r="F829" s="287"/>
      <c r="G829" s="201"/>
      <c r="H829" s="219"/>
      <c r="I829" s="202"/>
      <c r="J829" s="200"/>
      <c r="K829" s="200"/>
      <c r="L829" s="203"/>
      <c r="M829" s="204">
        <f ca="1">IF(ISERROR(OFFSET(Tabella!$A$1,MATCH(J829,Tabella!$A:$A,0)-1,MATCH(L829,Tabella!$A$1:$AC$1,0)-1)=TRUE),0,+OFFSET(Tabella!$A$1,MATCH(J829,Tabella!$A:$A,0)-1,MATCH(L829,Tabella!$A$1:$AC$1,0)-1))</f>
        <v>0</v>
      </c>
      <c r="N829" s="205">
        <f ca="1">IF(ISERROR(OFFSET(Ottone!$A$1,MATCH(J829,Ottone!$A:$A,0)-1,MATCH(L829,Ottone!$A$1:$Z$1,0)-1)=TRUE),0,OFFSET(Ottone!$A$1,MATCH(J829,Ottone!$A:$A,0)-1,MATCH(L829,Ottone!$A$1:$Z$1,0)-1))*IF(G829="Ottone",1,0)</f>
        <v>0</v>
      </c>
      <c r="O829" s="205">
        <f ca="1">IF(ISERROR(OFFSET(Rame!$A$1,MATCH(J829,Rame!$A:$A,0)-1,MATCH(L829,Rame!$A$1:$AA$1,0)-1)=TRUE),0,OFFSET(Rame!$A$1,MATCH(J829,Rame!$A:$A,0)-1,MATCH(L829,Rame!$A$1:$AA$1,0)-1))*IF(G829="Rame",1,0)</f>
        <v>0</v>
      </c>
      <c r="P829" s="205">
        <v>0</v>
      </c>
      <c r="Q829" s="205">
        <f t="shared" ca="1" si="263"/>
        <v>0</v>
      </c>
      <c r="R829" s="205">
        <f ca="1">+IF(ISERROR(OFFSET(Tabella!$G$1,MATCH(J829,Tabella!$G:$G,0)-1,MATCH(K829,Tabella!$G$1:$FG$1,0)-1)=TRUE),0,OFFSET(Tabella!$G$1,MATCH(J829,Tabella!$G:$G,0)-1,MATCH(K829,Tabella!$G$1:$AB$1,0)-1))</f>
        <v>0</v>
      </c>
      <c r="S829" s="205">
        <f ca="1">IF(ISERROR(OFFSET(Ottone!$F$1,MATCH(J829,Ottone!$A:$A,0)-1,MATCH(K829,Ottone!$F$1:$FF$1,0)-1)=TRUE),0,OFFSET(Ottone!$F$1,MATCH(J829,Ottone!$A:$A,0)-1,MATCH(K829,Ottone!$F$1:$FF$1,0)-1))*IF(G829="Ottone",1,0)</f>
        <v>0</v>
      </c>
      <c r="T829" s="205">
        <f ca="1">IF(ISERROR(OFFSET(Rame!$F$1,MATCH(J829,Rame!$F:$F,0)-1,MATCH(K829,Rame!$F$1:$FF$1,0)-1)=TRUE),0,OFFSET(Rame!$F$1,MATCH(J829,Rame!$F:$F,0)-1,MATCH(K829,Rame!$F$1:$FF$1,0)-1))*IF(G829="Rame",1,0)</f>
        <v>0</v>
      </c>
      <c r="U829" s="205">
        <f ca="1">IF(ISERROR(OFFSET(Bronzo!$A$1,MATCH(J829,Bronzo!$A:$A,0)-1,MATCH(K829,Bronzo!$A$1:$AA$1,0)-1)=TRUE),0,OFFSET(Bronzo!$A$1,MATCH(J829,Bronzo!$A:$A,0)-1,MATCH(K829,Bronzo!$A$1:$AA$1,0)-1))</f>
        <v>0</v>
      </c>
      <c r="V829" s="205">
        <f t="shared" ca="1" si="264"/>
        <v>0</v>
      </c>
      <c r="W829" s="204"/>
      <c r="X829" s="205">
        <v>0</v>
      </c>
      <c r="Y829" s="206">
        <f t="shared" ca="1" si="265"/>
        <v>0</v>
      </c>
      <c r="Z829" s="277">
        <f t="shared" si="266"/>
        <v>0</v>
      </c>
      <c r="AA829" s="203"/>
      <c r="AB829" s="203">
        <f t="shared" ca="1" si="267"/>
        <v>0</v>
      </c>
      <c r="AC829" s="238"/>
      <c r="AI829" s="367">
        <f t="shared" ca="1" si="262"/>
        <v>46092</v>
      </c>
      <c r="AJ829" s="367" t="b">
        <f t="shared" si="268"/>
        <v>1</v>
      </c>
      <c r="AK829" s="370" t="str">
        <f t="shared" si="269"/>
        <v/>
      </c>
      <c r="AN829">
        <f t="shared" si="270"/>
        <v>0</v>
      </c>
      <c r="AO829">
        <f t="shared" si="271"/>
        <v>1900</v>
      </c>
      <c r="AV829">
        <f t="shared" si="272"/>
        <v>0</v>
      </c>
      <c r="AW829">
        <f t="shared" si="273"/>
        <v>0</v>
      </c>
    </row>
    <row r="830" spans="4:49" ht="15.75" x14ac:dyDescent="0.25">
      <c r="D830" s="199"/>
      <c r="E830" s="200"/>
      <c r="F830" s="287"/>
      <c r="G830" s="201"/>
      <c r="H830" s="219"/>
      <c r="I830" s="202"/>
      <c r="J830" s="200"/>
      <c r="K830" s="200"/>
      <c r="L830" s="203"/>
      <c r="M830" s="204">
        <f ca="1">IF(ISERROR(OFFSET(Tabella!$A$1,MATCH(J830,Tabella!$A:$A,0)-1,MATCH(L830,Tabella!$A$1:$AC$1,0)-1)=TRUE),0,+OFFSET(Tabella!$A$1,MATCH(J830,Tabella!$A:$A,0)-1,MATCH(L830,Tabella!$A$1:$AC$1,0)-1))</f>
        <v>0</v>
      </c>
      <c r="N830" s="205">
        <f ca="1">IF(ISERROR(OFFSET(Ottone!$A$1,MATCH(J830,Ottone!$A:$A,0)-1,MATCH(L830,Ottone!$A$1:$Z$1,0)-1)=TRUE),0,OFFSET(Ottone!$A$1,MATCH(J830,Ottone!$A:$A,0)-1,MATCH(L830,Ottone!$A$1:$Z$1,0)-1))*IF(G830="Ottone",1,0)</f>
        <v>0</v>
      </c>
      <c r="O830" s="205">
        <f ca="1">IF(ISERROR(OFFSET(Rame!$A$1,MATCH(J830,Rame!$A:$A,0)-1,MATCH(L830,Rame!$A$1:$AA$1,0)-1)=TRUE),0,OFFSET(Rame!$A$1,MATCH(J830,Rame!$A:$A,0)-1,MATCH(L830,Rame!$A$1:$AA$1,0)-1))*IF(G830="Rame",1,0)</f>
        <v>0</v>
      </c>
      <c r="P830" s="205">
        <v>0</v>
      </c>
      <c r="Q830" s="205">
        <f t="shared" ca="1" si="263"/>
        <v>0</v>
      </c>
      <c r="R830" s="205">
        <f ca="1">+IF(ISERROR(OFFSET(Tabella!$G$1,MATCH(J830,Tabella!$G:$G,0)-1,MATCH(K830,Tabella!$G$1:$FG$1,0)-1)=TRUE),0,OFFSET(Tabella!$G$1,MATCH(J830,Tabella!$G:$G,0)-1,MATCH(K830,Tabella!$G$1:$AB$1,0)-1))</f>
        <v>0</v>
      </c>
      <c r="S830" s="205">
        <f ca="1">IF(ISERROR(OFFSET(Ottone!$F$1,MATCH(J830,Ottone!$A:$A,0)-1,MATCH(K830,Ottone!$F$1:$FF$1,0)-1)=TRUE),0,OFFSET(Ottone!$F$1,MATCH(J830,Ottone!$A:$A,0)-1,MATCH(K830,Ottone!$F$1:$FF$1,0)-1))*IF(G830="Ottone",1,0)</f>
        <v>0</v>
      </c>
      <c r="T830" s="205">
        <f ca="1">IF(ISERROR(OFFSET(Rame!$F$1,MATCH(J830,Rame!$F:$F,0)-1,MATCH(K830,Rame!$F$1:$FF$1,0)-1)=TRUE),0,OFFSET(Rame!$F$1,MATCH(J830,Rame!$F:$F,0)-1,MATCH(K830,Rame!$F$1:$FF$1,0)-1))*IF(G830="Rame",1,0)</f>
        <v>0</v>
      </c>
      <c r="U830" s="205">
        <f ca="1">IF(ISERROR(OFFSET(Bronzo!$A$1,MATCH(J830,Bronzo!$A:$A,0)-1,MATCH(K830,Bronzo!$A$1:$AA$1,0)-1)=TRUE),0,OFFSET(Bronzo!$A$1,MATCH(J830,Bronzo!$A:$A,0)-1,MATCH(K830,Bronzo!$A$1:$AA$1,0)-1))</f>
        <v>0</v>
      </c>
      <c r="V830" s="205">
        <f t="shared" ca="1" si="264"/>
        <v>0</v>
      </c>
      <c r="W830" s="204"/>
      <c r="X830" s="205">
        <v>0</v>
      </c>
      <c r="Y830" s="206">
        <f t="shared" ca="1" si="265"/>
        <v>0</v>
      </c>
      <c r="Z830" s="277">
        <f t="shared" si="266"/>
        <v>0</v>
      </c>
      <c r="AA830" s="203"/>
      <c r="AB830" s="203">
        <f t="shared" ca="1" si="267"/>
        <v>0</v>
      </c>
      <c r="AC830" s="238"/>
      <c r="AI830" s="367">
        <f t="shared" ca="1" si="262"/>
        <v>46092</v>
      </c>
      <c r="AJ830" s="367" t="b">
        <f t="shared" si="268"/>
        <v>1</v>
      </c>
      <c r="AK830" s="370" t="str">
        <f t="shared" si="269"/>
        <v/>
      </c>
      <c r="AN830">
        <f t="shared" si="270"/>
        <v>0</v>
      </c>
      <c r="AO830">
        <f t="shared" si="271"/>
        <v>1900</v>
      </c>
      <c r="AV830">
        <f t="shared" si="272"/>
        <v>0</v>
      </c>
      <c r="AW830">
        <f t="shared" si="273"/>
        <v>0</v>
      </c>
    </row>
    <row r="831" spans="4:49" ht="15.75" x14ac:dyDescent="0.25">
      <c r="D831" s="199"/>
      <c r="E831" s="200"/>
      <c r="F831" s="287"/>
      <c r="G831" s="201"/>
      <c r="H831" s="219"/>
      <c r="I831" s="202"/>
      <c r="J831" s="200"/>
      <c r="K831" s="200"/>
      <c r="L831" s="203"/>
      <c r="M831" s="204">
        <f ca="1">IF(ISERROR(OFFSET(Tabella!$A$1,MATCH(J831,Tabella!$A:$A,0)-1,MATCH(L831,Tabella!$A$1:$AC$1,0)-1)=TRUE),0,+OFFSET(Tabella!$A$1,MATCH(J831,Tabella!$A:$A,0)-1,MATCH(L831,Tabella!$A$1:$AC$1,0)-1))</f>
        <v>0</v>
      </c>
      <c r="N831" s="205">
        <f ca="1">IF(ISERROR(OFFSET(Ottone!$A$1,MATCH(J831,Ottone!$A:$A,0)-1,MATCH(L831,Ottone!$A$1:$Z$1,0)-1)=TRUE),0,OFFSET(Ottone!$A$1,MATCH(J831,Ottone!$A:$A,0)-1,MATCH(L831,Ottone!$A$1:$Z$1,0)-1))*IF(G831="Ottone",1,0)</f>
        <v>0</v>
      </c>
      <c r="O831" s="205">
        <f ca="1">IF(ISERROR(OFFSET(Rame!$A$1,MATCH(J831,Rame!$A:$A,0)-1,MATCH(L831,Rame!$A$1:$AA$1,0)-1)=TRUE),0,OFFSET(Rame!$A$1,MATCH(J831,Rame!$A:$A,0)-1,MATCH(L831,Rame!$A$1:$AA$1,0)-1))*IF(G831="Rame",1,0)</f>
        <v>0</v>
      </c>
      <c r="P831" s="205">
        <v>0</v>
      </c>
      <c r="Q831" s="205">
        <f t="shared" ca="1" si="263"/>
        <v>0</v>
      </c>
      <c r="R831" s="205">
        <f ca="1">+IF(ISERROR(OFFSET(Tabella!$G$1,MATCH(J831,Tabella!$G:$G,0)-1,MATCH(K831,Tabella!$G$1:$FG$1,0)-1)=TRUE),0,OFFSET(Tabella!$G$1,MATCH(J831,Tabella!$G:$G,0)-1,MATCH(K831,Tabella!$G$1:$AB$1,0)-1))</f>
        <v>0</v>
      </c>
      <c r="S831" s="205">
        <f ca="1">IF(ISERROR(OFFSET(Ottone!$F$1,MATCH(J831,Ottone!$A:$A,0)-1,MATCH(K831,Ottone!$F$1:$FF$1,0)-1)=TRUE),0,OFFSET(Ottone!$F$1,MATCH(J831,Ottone!$A:$A,0)-1,MATCH(K831,Ottone!$F$1:$FF$1,0)-1))*IF(G831="Ottone",1,0)</f>
        <v>0</v>
      </c>
      <c r="T831" s="205">
        <f ca="1">IF(ISERROR(OFFSET(Rame!$F$1,MATCH(J831,Rame!$F:$F,0)-1,MATCH(K831,Rame!$F$1:$FF$1,0)-1)=TRUE),0,OFFSET(Rame!$F$1,MATCH(J831,Rame!$F:$F,0)-1,MATCH(K831,Rame!$F$1:$FF$1,0)-1))*IF(G831="Rame",1,0)</f>
        <v>0</v>
      </c>
      <c r="U831" s="205">
        <f ca="1">IF(ISERROR(OFFSET(Bronzo!$A$1,MATCH(J831,Bronzo!$A:$A,0)-1,MATCH(K831,Bronzo!$A$1:$AA$1,0)-1)=TRUE),0,OFFSET(Bronzo!$A$1,MATCH(J831,Bronzo!$A:$A,0)-1,MATCH(K831,Bronzo!$A$1:$AA$1,0)-1))</f>
        <v>0</v>
      </c>
      <c r="V831" s="205">
        <f t="shared" ca="1" si="264"/>
        <v>0</v>
      </c>
      <c r="W831" s="204"/>
      <c r="X831" s="205">
        <v>0</v>
      </c>
      <c r="Y831" s="206">
        <f t="shared" ca="1" si="265"/>
        <v>0</v>
      </c>
      <c r="Z831" s="277">
        <f t="shared" si="266"/>
        <v>0</v>
      </c>
      <c r="AA831" s="203"/>
      <c r="AB831" s="203">
        <f t="shared" ca="1" si="267"/>
        <v>0</v>
      </c>
      <c r="AC831" s="238"/>
      <c r="AI831" s="367">
        <f t="shared" ca="1" si="262"/>
        <v>46092</v>
      </c>
      <c r="AJ831" s="367" t="b">
        <f t="shared" si="268"/>
        <v>1</v>
      </c>
      <c r="AK831" s="370" t="str">
        <f t="shared" si="269"/>
        <v/>
      </c>
      <c r="AN831">
        <f t="shared" si="270"/>
        <v>0</v>
      </c>
      <c r="AO831">
        <f t="shared" si="271"/>
        <v>1900</v>
      </c>
      <c r="AV831">
        <f t="shared" si="272"/>
        <v>0</v>
      </c>
      <c r="AW831">
        <f t="shared" si="273"/>
        <v>0</v>
      </c>
    </row>
    <row r="832" spans="4:49" ht="15.75" x14ac:dyDescent="0.25">
      <c r="D832" s="199"/>
      <c r="E832" s="200"/>
      <c r="F832" s="287"/>
      <c r="G832" s="201"/>
      <c r="H832" s="219"/>
      <c r="I832" s="202"/>
      <c r="J832" s="200"/>
      <c r="K832" s="200"/>
      <c r="L832" s="203"/>
      <c r="M832" s="204">
        <f ca="1">IF(ISERROR(OFFSET(Tabella!$A$1,MATCH(J832,Tabella!$A:$A,0)-1,MATCH(L832,Tabella!$A$1:$AC$1,0)-1)=TRUE),0,+OFFSET(Tabella!$A$1,MATCH(J832,Tabella!$A:$A,0)-1,MATCH(L832,Tabella!$A$1:$AC$1,0)-1))</f>
        <v>0</v>
      </c>
      <c r="N832" s="205">
        <f ca="1">IF(ISERROR(OFFSET(Ottone!$A$1,MATCH(J832,Ottone!$A:$A,0)-1,MATCH(L832,Ottone!$A$1:$Z$1,0)-1)=TRUE),0,OFFSET(Ottone!$A$1,MATCH(J832,Ottone!$A:$A,0)-1,MATCH(L832,Ottone!$A$1:$Z$1,0)-1))*IF(G832="Ottone",1,0)</f>
        <v>0</v>
      </c>
      <c r="O832" s="205">
        <f ca="1">IF(ISERROR(OFFSET(Rame!$A$1,MATCH(J832,Rame!$A:$A,0)-1,MATCH(L832,Rame!$A$1:$AA$1,0)-1)=TRUE),0,OFFSET(Rame!$A$1,MATCH(J832,Rame!$A:$A,0)-1,MATCH(L832,Rame!$A$1:$AA$1,0)-1))*IF(G832="Rame",1,0)</f>
        <v>0</v>
      </c>
      <c r="P832" s="205">
        <v>0</v>
      </c>
      <c r="Q832" s="205">
        <f t="shared" ca="1" si="263"/>
        <v>0</v>
      </c>
      <c r="R832" s="205">
        <f ca="1">+IF(ISERROR(OFFSET(Tabella!$G$1,MATCH(J832,Tabella!$G:$G,0)-1,MATCH(K832,Tabella!$G$1:$FG$1,0)-1)=TRUE),0,OFFSET(Tabella!$G$1,MATCH(J832,Tabella!$G:$G,0)-1,MATCH(K832,Tabella!$G$1:$AB$1,0)-1))</f>
        <v>0</v>
      </c>
      <c r="S832" s="205">
        <f ca="1">IF(ISERROR(OFFSET(Ottone!$F$1,MATCH(J832,Ottone!$A:$A,0)-1,MATCH(K832,Ottone!$F$1:$FF$1,0)-1)=TRUE),0,OFFSET(Ottone!$F$1,MATCH(J832,Ottone!$A:$A,0)-1,MATCH(K832,Ottone!$F$1:$FF$1,0)-1))*IF(G832="Ottone",1,0)</f>
        <v>0</v>
      </c>
      <c r="T832" s="205">
        <f ca="1">IF(ISERROR(OFFSET(Rame!$F$1,MATCH(J832,Rame!$F:$F,0)-1,MATCH(K832,Rame!$F$1:$FF$1,0)-1)=TRUE),0,OFFSET(Rame!$F$1,MATCH(J832,Rame!$F:$F,0)-1,MATCH(K832,Rame!$F$1:$FF$1,0)-1))*IF(G832="Rame",1,0)</f>
        <v>0</v>
      </c>
      <c r="U832" s="205">
        <f ca="1">IF(ISERROR(OFFSET(Bronzo!$A$1,MATCH(J832,Bronzo!$A:$A,0)-1,MATCH(K832,Bronzo!$A$1:$AA$1,0)-1)=TRUE),0,OFFSET(Bronzo!$A$1,MATCH(J832,Bronzo!$A:$A,0)-1,MATCH(K832,Bronzo!$A$1:$AA$1,0)-1))</f>
        <v>0</v>
      </c>
      <c r="V832" s="205">
        <f t="shared" ca="1" si="264"/>
        <v>0</v>
      </c>
      <c r="W832" s="204"/>
      <c r="X832" s="205">
        <v>0</v>
      </c>
      <c r="Y832" s="206">
        <f t="shared" ca="1" si="265"/>
        <v>0</v>
      </c>
      <c r="Z832" s="277">
        <f t="shared" si="266"/>
        <v>0</v>
      </c>
      <c r="AA832" s="203"/>
      <c r="AB832" s="203">
        <f t="shared" ca="1" si="267"/>
        <v>0</v>
      </c>
      <c r="AC832" s="238"/>
      <c r="AI832" s="367">
        <f t="shared" ref="AI832:AI895" ca="1" si="274">TODAY()</f>
        <v>46092</v>
      </c>
      <c r="AJ832" s="367" t="b">
        <f t="shared" si="268"/>
        <v>1</v>
      </c>
      <c r="AK832" s="370" t="str">
        <f t="shared" si="269"/>
        <v/>
      </c>
      <c r="AN832">
        <f t="shared" si="270"/>
        <v>0</v>
      </c>
      <c r="AO832">
        <f t="shared" si="271"/>
        <v>1900</v>
      </c>
      <c r="AV832">
        <f t="shared" si="272"/>
        <v>0</v>
      </c>
      <c r="AW832">
        <f t="shared" si="273"/>
        <v>0</v>
      </c>
    </row>
    <row r="833" spans="4:49" ht="15.75" x14ac:dyDescent="0.25">
      <c r="D833" s="199"/>
      <c r="E833" s="200"/>
      <c r="F833" s="287"/>
      <c r="G833" s="201"/>
      <c r="H833" s="219"/>
      <c r="I833" s="202"/>
      <c r="J833" s="200"/>
      <c r="K833" s="200"/>
      <c r="L833" s="203"/>
      <c r="M833" s="204">
        <f ca="1">IF(ISERROR(OFFSET(Tabella!$A$1,MATCH(J833,Tabella!$A:$A,0)-1,MATCH(L833,Tabella!$A$1:$AC$1,0)-1)=TRUE),0,+OFFSET(Tabella!$A$1,MATCH(J833,Tabella!$A:$A,0)-1,MATCH(L833,Tabella!$A$1:$AC$1,0)-1))</f>
        <v>0</v>
      </c>
      <c r="N833" s="205">
        <f ca="1">IF(ISERROR(OFFSET(Ottone!$A$1,MATCH(J833,Ottone!$A:$A,0)-1,MATCH(L833,Ottone!$A$1:$Z$1,0)-1)=TRUE),0,OFFSET(Ottone!$A$1,MATCH(J833,Ottone!$A:$A,0)-1,MATCH(L833,Ottone!$A$1:$Z$1,0)-1))*IF(G833="Ottone",1,0)</f>
        <v>0</v>
      </c>
      <c r="O833" s="205">
        <f ca="1">IF(ISERROR(OFFSET(Rame!$A$1,MATCH(J833,Rame!$A:$A,0)-1,MATCH(L833,Rame!$A$1:$AA$1,0)-1)=TRUE),0,OFFSET(Rame!$A$1,MATCH(J833,Rame!$A:$A,0)-1,MATCH(L833,Rame!$A$1:$AA$1,0)-1))*IF(G833="Rame",1,0)</f>
        <v>0</v>
      </c>
      <c r="P833" s="205">
        <v>0</v>
      </c>
      <c r="Q833" s="205">
        <f t="shared" ca="1" si="263"/>
        <v>0</v>
      </c>
      <c r="R833" s="205">
        <f ca="1">+IF(ISERROR(OFFSET(Tabella!$G$1,MATCH(J833,Tabella!$G:$G,0)-1,MATCH(K833,Tabella!$G$1:$FG$1,0)-1)=TRUE),0,OFFSET(Tabella!$G$1,MATCH(J833,Tabella!$G:$G,0)-1,MATCH(K833,Tabella!$G$1:$AB$1,0)-1))</f>
        <v>0</v>
      </c>
      <c r="S833" s="205">
        <f ca="1">IF(ISERROR(OFFSET(Ottone!$F$1,MATCH(J833,Ottone!$A:$A,0)-1,MATCH(K833,Ottone!$F$1:$FF$1,0)-1)=TRUE),0,OFFSET(Ottone!$F$1,MATCH(J833,Ottone!$A:$A,0)-1,MATCH(K833,Ottone!$F$1:$FF$1,0)-1))*IF(G833="Ottone",1,0)</f>
        <v>0</v>
      </c>
      <c r="T833" s="205">
        <f ca="1">IF(ISERROR(OFFSET(Rame!$F$1,MATCH(J833,Rame!$F:$F,0)-1,MATCH(K833,Rame!$F$1:$FF$1,0)-1)=TRUE),0,OFFSET(Rame!$F$1,MATCH(J833,Rame!$F:$F,0)-1,MATCH(K833,Rame!$F$1:$FF$1,0)-1))*IF(G833="Rame",1,0)</f>
        <v>0</v>
      </c>
      <c r="U833" s="205">
        <f ca="1">IF(ISERROR(OFFSET(Bronzo!$A$1,MATCH(J833,Bronzo!$A:$A,0)-1,MATCH(K833,Bronzo!$A$1:$AA$1,0)-1)=TRUE),0,OFFSET(Bronzo!$A$1,MATCH(J833,Bronzo!$A:$A,0)-1,MATCH(K833,Bronzo!$A$1:$AA$1,0)-1))</f>
        <v>0</v>
      </c>
      <c r="V833" s="205">
        <f t="shared" ca="1" si="264"/>
        <v>0</v>
      </c>
      <c r="W833" s="204"/>
      <c r="X833" s="205">
        <v>0</v>
      </c>
      <c r="Y833" s="206">
        <f t="shared" ca="1" si="265"/>
        <v>0</v>
      </c>
      <c r="Z833" s="277">
        <f t="shared" si="266"/>
        <v>0</v>
      </c>
      <c r="AA833" s="203"/>
      <c r="AB833" s="203">
        <f t="shared" ca="1" si="267"/>
        <v>0</v>
      </c>
      <c r="AC833" s="238"/>
      <c r="AI833" s="367">
        <f t="shared" ca="1" si="274"/>
        <v>46092</v>
      </c>
      <c r="AJ833" s="367" t="b">
        <f t="shared" si="268"/>
        <v>1</v>
      </c>
      <c r="AK833" s="370" t="str">
        <f t="shared" si="269"/>
        <v/>
      </c>
      <c r="AN833">
        <f t="shared" si="270"/>
        <v>0</v>
      </c>
      <c r="AO833">
        <f t="shared" si="271"/>
        <v>1900</v>
      </c>
      <c r="AV833">
        <f t="shared" si="272"/>
        <v>0</v>
      </c>
      <c r="AW833">
        <f t="shared" si="273"/>
        <v>0</v>
      </c>
    </row>
    <row r="834" spans="4:49" ht="15.75" x14ac:dyDescent="0.25">
      <c r="D834" s="199"/>
      <c r="E834" s="200"/>
      <c r="F834" s="287"/>
      <c r="G834" s="201"/>
      <c r="H834" s="219"/>
      <c r="I834" s="202"/>
      <c r="J834" s="200"/>
      <c r="K834" s="200"/>
      <c r="L834" s="203"/>
      <c r="M834" s="204">
        <f ca="1">IF(ISERROR(OFFSET(Tabella!$A$1,MATCH(J834,Tabella!$A:$A,0)-1,MATCH(L834,Tabella!$A$1:$AC$1,0)-1)=TRUE),0,+OFFSET(Tabella!$A$1,MATCH(J834,Tabella!$A:$A,0)-1,MATCH(L834,Tabella!$A$1:$AC$1,0)-1))</f>
        <v>0</v>
      </c>
      <c r="N834" s="205">
        <f ca="1">IF(ISERROR(OFFSET(Ottone!$A$1,MATCH(J834,Ottone!$A:$A,0)-1,MATCH(L834,Ottone!$A$1:$Z$1,0)-1)=TRUE),0,OFFSET(Ottone!$A$1,MATCH(J834,Ottone!$A:$A,0)-1,MATCH(L834,Ottone!$A$1:$Z$1,0)-1))*IF(G834="Ottone",1,0)</f>
        <v>0</v>
      </c>
      <c r="O834" s="205">
        <f ca="1">IF(ISERROR(OFFSET(Rame!$A$1,MATCH(J834,Rame!$A:$A,0)-1,MATCH(L834,Rame!$A$1:$AA$1,0)-1)=TRUE),0,OFFSET(Rame!$A$1,MATCH(J834,Rame!$A:$A,0)-1,MATCH(L834,Rame!$A$1:$AA$1,0)-1))*IF(G834="Rame",1,0)</f>
        <v>0</v>
      </c>
      <c r="P834" s="205">
        <v>0</v>
      </c>
      <c r="Q834" s="205">
        <f t="shared" ca="1" si="263"/>
        <v>0</v>
      </c>
      <c r="R834" s="205">
        <f ca="1">+IF(ISERROR(OFFSET(Tabella!$G$1,MATCH(J834,Tabella!$G:$G,0)-1,MATCH(K834,Tabella!$G$1:$FG$1,0)-1)=TRUE),0,OFFSET(Tabella!$G$1,MATCH(J834,Tabella!$G:$G,0)-1,MATCH(K834,Tabella!$G$1:$AB$1,0)-1))</f>
        <v>0</v>
      </c>
      <c r="S834" s="205">
        <f ca="1">IF(ISERROR(OFFSET(Ottone!$F$1,MATCH(J834,Ottone!$A:$A,0)-1,MATCH(K834,Ottone!$F$1:$FF$1,0)-1)=TRUE),0,OFFSET(Ottone!$F$1,MATCH(J834,Ottone!$A:$A,0)-1,MATCH(K834,Ottone!$F$1:$FF$1,0)-1))*IF(G834="Ottone",1,0)</f>
        <v>0</v>
      </c>
      <c r="T834" s="205">
        <f ca="1">IF(ISERROR(OFFSET(Rame!$F$1,MATCH(J834,Rame!$F:$F,0)-1,MATCH(K834,Rame!$F$1:$FF$1,0)-1)=TRUE),0,OFFSET(Rame!$F$1,MATCH(J834,Rame!$F:$F,0)-1,MATCH(K834,Rame!$F$1:$FF$1,0)-1))*IF(G834="Rame",1,0)</f>
        <v>0</v>
      </c>
      <c r="U834" s="205">
        <f ca="1">IF(ISERROR(OFFSET(Bronzo!$A$1,MATCH(J834,Bronzo!$A:$A,0)-1,MATCH(K834,Bronzo!$A$1:$AA$1,0)-1)=TRUE),0,OFFSET(Bronzo!$A$1,MATCH(J834,Bronzo!$A:$A,0)-1,MATCH(K834,Bronzo!$A$1:$AA$1,0)-1))</f>
        <v>0</v>
      </c>
      <c r="V834" s="205">
        <f t="shared" ca="1" si="264"/>
        <v>0</v>
      </c>
      <c r="W834" s="204"/>
      <c r="X834" s="205">
        <v>0</v>
      </c>
      <c r="Y834" s="206">
        <f t="shared" ca="1" si="265"/>
        <v>0</v>
      </c>
      <c r="Z834" s="277">
        <f t="shared" si="266"/>
        <v>0</v>
      </c>
      <c r="AA834" s="203"/>
      <c r="AB834" s="203">
        <f t="shared" ca="1" si="267"/>
        <v>0</v>
      </c>
      <c r="AC834" s="238"/>
      <c r="AI834" s="367">
        <f t="shared" ca="1" si="274"/>
        <v>46092</v>
      </c>
      <c r="AJ834" s="367" t="b">
        <f t="shared" si="268"/>
        <v>1</v>
      </c>
      <c r="AK834" s="370" t="str">
        <f t="shared" si="269"/>
        <v/>
      </c>
      <c r="AN834">
        <f t="shared" si="270"/>
        <v>0</v>
      </c>
      <c r="AO834">
        <f t="shared" si="271"/>
        <v>1900</v>
      </c>
      <c r="AV834">
        <f t="shared" si="272"/>
        <v>0</v>
      </c>
      <c r="AW834">
        <f t="shared" si="273"/>
        <v>0</v>
      </c>
    </row>
    <row r="835" spans="4:49" ht="15.75" x14ac:dyDescent="0.25">
      <c r="D835" s="199"/>
      <c r="E835" s="200"/>
      <c r="F835" s="287"/>
      <c r="G835" s="201"/>
      <c r="H835" s="219"/>
      <c r="I835" s="202"/>
      <c r="J835" s="200"/>
      <c r="K835" s="200"/>
      <c r="L835" s="203"/>
      <c r="M835" s="204">
        <f ca="1">IF(ISERROR(OFFSET(Tabella!$A$1,MATCH(J835,Tabella!$A:$A,0)-1,MATCH(L835,Tabella!$A$1:$AC$1,0)-1)=TRUE),0,+OFFSET(Tabella!$A$1,MATCH(J835,Tabella!$A:$A,0)-1,MATCH(L835,Tabella!$A$1:$AC$1,0)-1))</f>
        <v>0</v>
      </c>
      <c r="N835" s="205">
        <f ca="1">IF(ISERROR(OFFSET(Ottone!$A$1,MATCH(J835,Ottone!$A:$A,0)-1,MATCH(L835,Ottone!$A$1:$Z$1,0)-1)=TRUE),0,OFFSET(Ottone!$A$1,MATCH(J835,Ottone!$A:$A,0)-1,MATCH(L835,Ottone!$A$1:$Z$1,0)-1))*IF(G835="Ottone",1,0)</f>
        <v>0</v>
      </c>
      <c r="O835" s="205">
        <f ca="1">IF(ISERROR(OFFSET(Rame!$A$1,MATCH(J835,Rame!$A:$A,0)-1,MATCH(L835,Rame!$A$1:$AA$1,0)-1)=TRUE),0,OFFSET(Rame!$A$1,MATCH(J835,Rame!$A:$A,0)-1,MATCH(L835,Rame!$A$1:$AA$1,0)-1))*IF(G835="Rame",1,0)</f>
        <v>0</v>
      </c>
      <c r="P835" s="205">
        <v>0</v>
      </c>
      <c r="Q835" s="205">
        <f t="shared" ca="1" si="263"/>
        <v>0</v>
      </c>
      <c r="R835" s="205">
        <f ca="1">+IF(ISERROR(OFFSET(Tabella!$G$1,MATCH(J835,Tabella!$G:$G,0)-1,MATCH(K835,Tabella!$G$1:$FG$1,0)-1)=TRUE),0,OFFSET(Tabella!$G$1,MATCH(J835,Tabella!$G:$G,0)-1,MATCH(K835,Tabella!$G$1:$AB$1,0)-1))</f>
        <v>0</v>
      </c>
      <c r="S835" s="205">
        <f ca="1">IF(ISERROR(OFFSET(Ottone!$F$1,MATCH(J835,Ottone!$A:$A,0)-1,MATCH(K835,Ottone!$F$1:$FF$1,0)-1)=TRUE),0,OFFSET(Ottone!$F$1,MATCH(J835,Ottone!$A:$A,0)-1,MATCH(K835,Ottone!$F$1:$FF$1,0)-1))*IF(G835="Ottone",1,0)</f>
        <v>0</v>
      </c>
      <c r="T835" s="205">
        <f ca="1">IF(ISERROR(OFFSET(Rame!$F$1,MATCH(J835,Rame!$F:$F,0)-1,MATCH(K835,Rame!$F$1:$FF$1,0)-1)=TRUE),0,OFFSET(Rame!$F$1,MATCH(J835,Rame!$F:$F,0)-1,MATCH(K835,Rame!$F$1:$FF$1,0)-1))*IF(G835="Rame",1,0)</f>
        <v>0</v>
      </c>
      <c r="U835" s="205">
        <f ca="1">IF(ISERROR(OFFSET(Bronzo!$A$1,MATCH(J835,Bronzo!$A:$A,0)-1,MATCH(K835,Bronzo!$A$1:$AA$1,0)-1)=TRUE),0,OFFSET(Bronzo!$A$1,MATCH(J835,Bronzo!$A:$A,0)-1,MATCH(K835,Bronzo!$A$1:$AA$1,0)-1))</f>
        <v>0</v>
      </c>
      <c r="V835" s="205">
        <f t="shared" ca="1" si="264"/>
        <v>0</v>
      </c>
      <c r="W835" s="204"/>
      <c r="X835" s="205">
        <v>0</v>
      </c>
      <c r="Y835" s="206">
        <f t="shared" ca="1" si="265"/>
        <v>0</v>
      </c>
      <c r="Z835" s="277">
        <f t="shared" si="266"/>
        <v>0</v>
      </c>
      <c r="AA835" s="203"/>
      <c r="AB835" s="203">
        <f t="shared" ca="1" si="267"/>
        <v>0</v>
      </c>
      <c r="AC835" s="238"/>
      <c r="AI835" s="367">
        <f t="shared" ca="1" si="274"/>
        <v>46092</v>
      </c>
      <c r="AJ835" s="367" t="b">
        <f t="shared" si="268"/>
        <v>1</v>
      </c>
      <c r="AK835" s="370" t="str">
        <f t="shared" si="269"/>
        <v/>
      </c>
      <c r="AN835">
        <f t="shared" si="270"/>
        <v>0</v>
      </c>
      <c r="AO835">
        <f t="shared" si="271"/>
        <v>1900</v>
      </c>
      <c r="AV835">
        <f t="shared" si="272"/>
        <v>0</v>
      </c>
      <c r="AW835">
        <f t="shared" si="273"/>
        <v>0</v>
      </c>
    </row>
    <row r="836" spans="4:49" ht="15.75" x14ac:dyDescent="0.25">
      <c r="D836" s="199"/>
      <c r="E836" s="200"/>
      <c r="F836" s="287"/>
      <c r="G836" s="201"/>
      <c r="H836" s="219"/>
      <c r="I836" s="202"/>
      <c r="J836" s="200"/>
      <c r="K836" s="200"/>
      <c r="L836" s="203"/>
      <c r="M836" s="204">
        <f ca="1">IF(ISERROR(OFFSET(Tabella!$A$1,MATCH(J836,Tabella!$A:$A,0)-1,MATCH(L836,Tabella!$A$1:$AC$1,0)-1)=TRUE),0,+OFFSET(Tabella!$A$1,MATCH(J836,Tabella!$A:$A,0)-1,MATCH(L836,Tabella!$A$1:$AC$1,0)-1))</f>
        <v>0</v>
      </c>
      <c r="N836" s="205">
        <f ca="1">IF(ISERROR(OFFSET(Ottone!$A$1,MATCH(J836,Ottone!$A:$A,0)-1,MATCH(L836,Ottone!$A$1:$Z$1,0)-1)=TRUE),0,OFFSET(Ottone!$A$1,MATCH(J836,Ottone!$A:$A,0)-1,MATCH(L836,Ottone!$A$1:$Z$1,0)-1))*IF(G836="Ottone",1,0)</f>
        <v>0</v>
      </c>
      <c r="O836" s="205">
        <f ca="1">IF(ISERROR(OFFSET(Rame!$A$1,MATCH(J836,Rame!$A:$A,0)-1,MATCH(L836,Rame!$A$1:$AA$1,0)-1)=TRUE),0,OFFSET(Rame!$A$1,MATCH(J836,Rame!$A:$A,0)-1,MATCH(L836,Rame!$A$1:$AA$1,0)-1))*IF(G836="Rame",1,0)</f>
        <v>0</v>
      </c>
      <c r="P836" s="205">
        <v>0</v>
      </c>
      <c r="Q836" s="205">
        <f t="shared" ca="1" si="263"/>
        <v>0</v>
      </c>
      <c r="R836" s="205">
        <f ca="1">+IF(ISERROR(OFFSET(Tabella!$G$1,MATCH(J836,Tabella!$G:$G,0)-1,MATCH(K836,Tabella!$G$1:$FG$1,0)-1)=TRUE),0,OFFSET(Tabella!$G$1,MATCH(J836,Tabella!$G:$G,0)-1,MATCH(K836,Tabella!$G$1:$AB$1,0)-1))</f>
        <v>0</v>
      </c>
      <c r="S836" s="205">
        <f ca="1">IF(ISERROR(OFFSET(Ottone!$F$1,MATCH(J836,Ottone!$A:$A,0)-1,MATCH(K836,Ottone!$F$1:$FF$1,0)-1)=TRUE),0,OFFSET(Ottone!$F$1,MATCH(J836,Ottone!$A:$A,0)-1,MATCH(K836,Ottone!$F$1:$FF$1,0)-1))*IF(G836="Ottone",1,0)</f>
        <v>0</v>
      </c>
      <c r="T836" s="205">
        <f ca="1">IF(ISERROR(OFFSET(Rame!$F$1,MATCH(J836,Rame!$F:$F,0)-1,MATCH(K836,Rame!$F$1:$FF$1,0)-1)=TRUE),0,OFFSET(Rame!$F$1,MATCH(J836,Rame!$F:$F,0)-1,MATCH(K836,Rame!$F$1:$FF$1,0)-1))*IF(G836="Rame",1,0)</f>
        <v>0</v>
      </c>
      <c r="U836" s="205">
        <f ca="1">IF(ISERROR(OFFSET(Bronzo!$A$1,MATCH(J836,Bronzo!$A:$A,0)-1,MATCH(K836,Bronzo!$A$1:$AA$1,0)-1)=TRUE),0,OFFSET(Bronzo!$A$1,MATCH(J836,Bronzo!$A:$A,0)-1,MATCH(K836,Bronzo!$A$1:$AA$1,0)-1))</f>
        <v>0</v>
      </c>
      <c r="V836" s="205">
        <f t="shared" ca="1" si="264"/>
        <v>0</v>
      </c>
      <c r="W836" s="204"/>
      <c r="X836" s="205">
        <v>0</v>
      </c>
      <c r="Y836" s="206">
        <f t="shared" ca="1" si="265"/>
        <v>0</v>
      </c>
      <c r="Z836" s="277">
        <f t="shared" si="266"/>
        <v>0</v>
      </c>
      <c r="AA836" s="203"/>
      <c r="AB836" s="203">
        <f t="shared" ca="1" si="267"/>
        <v>0</v>
      </c>
      <c r="AC836" s="238"/>
      <c r="AI836" s="367">
        <f t="shared" ca="1" si="274"/>
        <v>46092</v>
      </c>
      <c r="AJ836" s="367" t="b">
        <f t="shared" si="268"/>
        <v>1</v>
      </c>
      <c r="AK836" s="370" t="str">
        <f t="shared" si="269"/>
        <v/>
      </c>
      <c r="AN836">
        <f t="shared" si="270"/>
        <v>0</v>
      </c>
      <c r="AO836">
        <f t="shared" si="271"/>
        <v>1900</v>
      </c>
      <c r="AV836">
        <f t="shared" si="272"/>
        <v>0</v>
      </c>
      <c r="AW836">
        <f t="shared" si="273"/>
        <v>0</v>
      </c>
    </row>
    <row r="837" spans="4:49" ht="15.75" x14ac:dyDescent="0.25">
      <c r="D837" s="199"/>
      <c r="E837" s="200"/>
      <c r="F837" s="287"/>
      <c r="G837" s="201"/>
      <c r="H837" s="219"/>
      <c r="I837" s="202"/>
      <c r="J837" s="200"/>
      <c r="K837" s="200"/>
      <c r="L837" s="203"/>
      <c r="M837" s="204">
        <f ca="1">IF(ISERROR(OFFSET(Tabella!$A$1,MATCH(J837,Tabella!$A:$A,0)-1,MATCH(L837,Tabella!$A$1:$AC$1,0)-1)=TRUE),0,+OFFSET(Tabella!$A$1,MATCH(J837,Tabella!$A:$A,0)-1,MATCH(L837,Tabella!$A$1:$AC$1,0)-1))</f>
        <v>0</v>
      </c>
      <c r="N837" s="205">
        <f ca="1">IF(ISERROR(OFFSET(Ottone!$A$1,MATCH(J837,Ottone!$A:$A,0)-1,MATCH(L837,Ottone!$A$1:$Z$1,0)-1)=TRUE),0,OFFSET(Ottone!$A$1,MATCH(J837,Ottone!$A:$A,0)-1,MATCH(L837,Ottone!$A$1:$Z$1,0)-1))*IF(G837="Ottone",1,0)</f>
        <v>0</v>
      </c>
      <c r="O837" s="205">
        <f ca="1">IF(ISERROR(OFFSET(Rame!$A$1,MATCH(J837,Rame!$A:$A,0)-1,MATCH(L837,Rame!$A$1:$AA$1,0)-1)=TRUE),0,OFFSET(Rame!$A$1,MATCH(J837,Rame!$A:$A,0)-1,MATCH(L837,Rame!$A$1:$AA$1,0)-1))*IF(G837="Rame",1,0)</f>
        <v>0</v>
      </c>
      <c r="P837" s="205">
        <v>0</v>
      </c>
      <c r="Q837" s="205">
        <f t="shared" ca="1" si="263"/>
        <v>0</v>
      </c>
      <c r="R837" s="205">
        <f ca="1">+IF(ISERROR(OFFSET(Tabella!$G$1,MATCH(J837,Tabella!$G:$G,0)-1,MATCH(K837,Tabella!$G$1:$FG$1,0)-1)=TRUE),0,OFFSET(Tabella!$G$1,MATCH(J837,Tabella!$G:$G,0)-1,MATCH(K837,Tabella!$G$1:$AB$1,0)-1))</f>
        <v>0</v>
      </c>
      <c r="S837" s="205">
        <f ca="1">IF(ISERROR(OFFSET(Ottone!$F$1,MATCH(J837,Ottone!$A:$A,0)-1,MATCH(K837,Ottone!$F$1:$FF$1,0)-1)=TRUE),0,OFFSET(Ottone!$F$1,MATCH(J837,Ottone!$A:$A,0)-1,MATCH(K837,Ottone!$F$1:$FF$1,0)-1))*IF(G837="Ottone",1,0)</f>
        <v>0</v>
      </c>
      <c r="T837" s="205">
        <f ca="1">IF(ISERROR(OFFSET(Rame!$F$1,MATCH(J837,Rame!$F:$F,0)-1,MATCH(K837,Rame!$F$1:$FF$1,0)-1)=TRUE),0,OFFSET(Rame!$F$1,MATCH(J837,Rame!$F:$F,0)-1,MATCH(K837,Rame!$F$1:$FF$1,0)-1))*IF(G837="Rame",1,0)</f>
        <v>0</v>
      </c>
      <c r="U837" s="205">
        <f ca="1">IF(ISERROR(OFFSET(Bronzo!$A$1,MATCH(J837,Bronzo!$A:$A,0)-1,MATCH(K837,Bronzo!$A$1:$AA$1,0)-1)=TRUE),0,OFFSET(Bronzo!$A$1,MATCH(J837,Bronzo!$A:$A,0)-1,MATCH(K837,Bronzo!$A$1:$AA$1,0)-1))</f>
        <v>0</v>
      </c>
      <c r="V837" s="205">
        <f t="shared" ca="1" si="264"/>
        <v>0</v>
      </c>
      <c r="W837" s="204"/>
      <c r="X837" s="205">
        <v>0</v>
      </c>
      <c r="Y837" s="206">
        <f t="shared" ca="1" si="265"/>
        <v>0</v>
      </c>
      <c r="Z837" s="277">
        <f t="shared" si="266"/>
        <v>0</v>
      </c>
      <c r="AA837" s="203"/>
      <c r="AB837" s="203">
        <f t="shared" ca="1" si="267"/>
        <v>0</v>
      </c>
      <c r="AC837" s="238"/>
      <c r="AI837" s="367">
        <f t="shared" ca="1" si="274"/>
        <v>46092</v>
      </c>
      <c r="AJ837" s="367" t="b">
        <f t="shared" si="268"/>
        <v>1</v>
      </c>
      <c r="AK837" s="370" t="str">
        <f t="shared" si="269"/>
        <v/>
      </c>
      <c r="AN837">
        <f t="shared" si="270"/>
        <v>0</v>
      </c>
      <c r="AO837">
        <f t="shared" si="271"/>
        <v>1900</v>
      </c>
      <c r="AV837">
        <f t="shared" si="272"/>
        <v>0</v>
      </c>
      <c r="AW837">
        <f t="shared" si="273"/>
        <v>0</v>
      </c>
    </row>
    <row r="838" spans="4:49" ht="15.75" x14ac:dyDescent="0.25">
      <c r="D838" s="199"/>
      <c r="E838" s="200"/>
      <c r="F838" s="287"/>
      <c r="G838" s="201"/>
      <c r="H838" s="219"/>
      <c r="I838" s="202"/>
      <c r="J838" s="200"/>
      <c r="K838" s="200"/>
      <c r="L838" s="203"/>
      <c r="M838" s="204">
        <f ca="1">IF(ISERROR(OFFSET(Tabella!$A$1,MATCH(J838,Tabella!$A:$A,0)-1,MATCH(L838,Tabella!$A$1:$AC$1,0)-1)=TRUE),0,+OFFSET(Tabella!$A$1,MATCH(J838,Tabella!$A:$A,0)-1,MATCH(L838,Tabella!$A$1:$AC$1,0)-1))</f>
        <v>0</v>
      </c>
      <c r="N838" s="205">
        <f ca="1">IF(ISERROR(OFFSET(Ottone!$A$1,MATCH(J838,Ottone!$A:$A,0)-1,MATCH(L838,Ottone!$A$1:$Z$1,0)-1)=TRUE),0,OFFSET(Ottone!$A$1,MATCH(J838,Ottone!$A:$A,0)-1,MATCH(L838,Ottone!$A$1:$Z$1,0)-1))*IF(G838="Ottone",1,0)</f>
        <v>0</v>
      </c>
      <c r="O838" s="205">
        <f ca="1">IF(ISERROR(OFFSET(Rame!$A$1,MATCH(J838,Rame!$A:$A,0)-1,MATCH(L838,Rame!$A$1:$AA$1,0)-1)=TRUE),0,OFFSET(Rame!$A$1,MATCH(J838,Rame!$A:$A,0)-1,MATCH(L838,Rame!$A$1:$AA$1,0)-1))*IF(G838="Rame",1,0)</f>
        <v>0</v>
      </c>
      <c r="P838" s="205">
        <v>0</v>
      </c>
      <c r="Q838" s="205">
        <f t="shared" ca="1" si="263"/>
        <v>0</v>
      </c>
      <c r="R838" s="205">
        <f ca="1">+IF(ISERROR(OFFSET(Tabella!$G$1,MATCH(J838,Tabella!$G:$G,0)-1,MATCH(K838,Tabella!$G$1:$FG$1,0)-1)=TRUE),0,OFFSET(Tabella!$G$1,MATCH(J838,Tabella!$G:$G,0)-1,MATCH(K838,Tabella!$G$1:$AB$1,0)-1))</f>
        <v>0</v>
      </c>
      <c r="S838" s="205">
        <f ca="1">IF(ISERROR(OFFSET(Ottone!$F$1,MATCH(J838,Ottone!$A:$A,0)-1,MATCH(K838,Ottone!$F$1:$FF$1,0)-1)=TRUE),0,OFFSET(Ottone!$F$1,MATCH(J838,Ottone!$A:$A,0)-1,MATCH(K838,Ottone!$F$1:$FF$1,0)-1))*IF(G838="Ottone",1,0)</f>
        <v>0</v>
      </c>
      <c r="T838" s="205">
        <f ca="1">IF(ISERROR(OFFSET(Rame!$F$1,MATCH(J838,Rame!$F:$F,0)-1,MATCH(K838,Rame!$F$1:$FF$1,0)-1)=TRUE),0,OFFSET(Rame!$F$1,MATCH(J838,Rame!$F:$F,0)-1,MATCH(K838,Rame!$F$1:$FF$1,0)-1))*IF(G838="Rame",1,0)</f>
        <v>0</v>
      </c>
      <c r="U838" s="205">
        <f ca="1">IF(ISERROR(OFFSET(Bronzo!$A$1,MATCH(J838,Bronzo!$A:$A,0)-1,MATCH(K838,Bronzo!$A$1:$AA$1,0)-1)=TRUE),0,OFFSET(Bronzo!$A$1,MATCH(J838,Bronzo!$A:$A,0)-1,MATCH(K838,Bronzo!$A$1:$AA$1,0)-1))</f>
        <v>0</v>
      </c>
      <c r="V838" s="205">
        <f t="shared" ca="1" si="264"/>
        <v>0</v>
      </c>
      <c r="W838" s="204"/>
      <c r="X838" s="205">
        <v>0</v>
      </c>
      <c r="Y838" s="206">
        <f t="shared" ca="1" si="265"/>
        <v>0</v>
      </c>
      <c r="Z838" s="277">
        <f t="shared" si="266"/>
        <v>0</v>
      </c>
      <c r="AA838" s="203"/>
      <c r="AB838" s="203">
        <f t="shared" ca="1" si="267"/>
        <v>0</v>
      </c>
      <c r="AC838" s="238"/>
      <c r="AI838" s="367">
        <f t="shared" ca="1" si="274"/>
        <v>46092</v>
      </c>
      <c r="AJ838" s="367" t="b">
        <f t="shared" si="268"/>
        <v>1</v>
      </c>
      <c r="AK838" s="370" t="str">
        <f t="shared" si="269"/>
        <v/>
      </c>
      <c r="AN838">
        <f t="shared" si="270"/>
        <v>0</v>
      </c>
      <c r="AO838">
        <f t="shared" si="271"/>
        <v>1900</v>
      </c>
      <c r="AV838">
        <f t="shared" si="272"/>
        <v>0</v>
      </c>
      <c r="AW838">
        <f t="shared" si="273"/>
        <v>0</v>
      </c>
    </row>
    <row r="839" spans="4:49" ht="15.75" x14ac:dyDescent="0.25">
      <c r="D839" s="199"/>
      <c r="E839" s="200"/>
      <c r="F839" s="287"/>
      <c r="G839" s="201"/>
      <c r="H839" s="219"/>
      <c r="I839" s="202"/>
      <c r="J839" s="200"/>
      <c r="K839" s="200"/>
      <c r="L839" s="203"/>
      <c r="M839" s="204">
        <f ca="1">IF(ISERROR(OFFSET(Tabella!$A$1,MATCH(J839,Tabella!$A:$A,0)-1,MATCH(L839,Tabella!$A$1:$AC$1,0)-1)=TRUE),0,+OFFSET(Tabella!$A$1,MATCH(J839,Tabella!$A:$A,0)-1,MATCH(L839,Tabella!$A$1:$AC$1,0)-1))</f>
        <v>0</v>
      </c>
      <c r="N839" s="205">
        <f ca="1">IF(ISERROR(OFFSET(Ottone!$A$1,MATCH(J839,Ottone!$A:$A,0)-1,MATCH(L839,Ottone!$A$1:$Z$1,0)-1)=TRUE),0,OFFSET(Ottone!$A$1,MATCH(J839,Ottone!$A:$A,0)-1,MATCH(L839,Ottone!$A$1:$Z$1,0)-1))*IF(G839="Ottone",1,0)</f>
        <v>0</v>
      </c>
      <c r="O839" s="205">
        <f ca="1">IF(ISERROR(OFFSET(Rame!$A$1,MATCH(J839,Rame!$A:$A,0)-1,MATCH(L839,Rame!$A$1:$AA$1,0)-1)=TRUE),0,OFFSET(Rame!$A$1,MATCH(J839,Rame!$A:$A,0)-1,MATCH(L839,Rame!$A$1:$AA$1,0)-1))*IF(G839="Rame",1,0)</f>
        <v>0</v>
      </c>
      <c r="P839" s="205">
        <v>0</v>
      </c>
      <c r="Q839" s="205">
        <f t="shared" ca="1" si="263"/>
        <v>0</v>
      </c>
      <c r="R839" s="205">
        <f ca="1">+IF(ISERROR(OFFSET(Tabella!$G$1,MATCH(J839,Tabella!$G:$G,0)-1,MATCH(K839,Tabella!$G$1:$FG$1,0)-1)=TRUE),0,OFFSET(Tabella!$G$1,MATCH(J839,Tabella!$G:$G,0)-1,MATCH(K839,Tabella!$G$1:$AB$1,0)-1))</f>
        <v>0</v>
      </c>
      <c r="S839" s="205">
        <f ca="1">IF(ISERROR(OFFSET(Ottone!$F$1,MATCH(J839,Ottone!$A:$A,0)-1,MATCH(K839,Ottone!$F$1:$FF$1,0)-1)=TRUE),0,OFFSET(Ottone!$F$1,MATCH(J839,Ottone!$A:$A,0)-1,MATCH(K839,Ottone!$F$1:$FF$1,0)-1))*IF(G839="Ottone",1,0)</f>
        <v>0</v>
      </c>
      <c r="T839" s="205">
        <f ca="1">IF(ISERROR(OFFSET(Rame!$F$1,MATCH(J839,Rame!$F:$F,0)-1,MATCH(K839,Rame!$F$1:$FF$1,0)-1)=TRUE),0,OFFSET(Rame!$F$1,MATCH(J839,Rame!$F:$F,0)-1,MATCH(K839,Rame!$F$1:$FF$1,0)-1))*IF(G839="Rame",1,0)</f>
        <v>0</v>
      </c>
      <c r="U839" s="205">
        <f ca="1">IF(ISERROR(OFFSET(Bronzo!$A$1,MATCH(J839,Bronzo!$A:$A,0)-1,MATCH(K839,Bronzo!$A$1:$AA$1,0)-1)=TRUE),0,OFFSET(Bronzo!$A$1,MATCH(J839,Bronzo!$A:$A,0)-1,MATCH(K839,Bronzo!$A$1:$AA$1,0)-1))</f>
        <v>0</v>
      </c>
      <c r="V839" s="205">
        <f t="shared" ca="1" si="264"/>
        <v>0</v>
      </c>
      <c r="W839" s="204"/>
      <c r="X839" s="205">
        <v>0</v>
      </c>
      <c r="Y839" s="206">
        <f t="shared" ca="1" si="265"/>
        <v>0</v>
      </c>
      <c r="Z839" s="277">
        <f t="shared" si="266"/>
        <v>0</v>
      </c>
      <c r="AA839" s="203"/>
      <c r="AB839" s="203">
        <f t="shared" ca="1" si="267"/>
        <v>0</v>
      </c>
      <c r="AC839" s="238"/>
      <c r="AI839" s="367">
        <f t="shared" ca="1" si="274"/>
        <v>46092</v>
      </c>
      <c r="AJ839" s="367" t="b">
        <f t="shared" si="268"/>
        <v>1</v>
      </c>
      <c r="AK839" s="370" t="str">
        <f t="shared" si="269"/>
        <v/>
      </c>
      <c r="AN839">
        <f t="shared" si="270"/>
        <v>0</v>
      </c>
      <c r="AO839">
        <f t="shared" si="271"/>
        <v>1900</v>
      </c>
      <c r="AV839">
        <f t="shared" si="272"/>
        <v>0</v>
      </c>
      <c r="AW839">
        <f t="shared" si="273"/>
        <v>0</v>
      </c>
    </row>
    <row r="840" spans="4:49" ht="15.75" x14ac:dyDescent="0.25">
      <c r="D840" s="199"/>
      <c r="E840" s="200"/>
      <c r="F840" s="287"/>
      <c r="G840" s="201"/>
      <c r="H840" s="219"/>
      <c r="I840" s="202"/>
      <c r="J840" s="200"/>
      <c r="K840" s="200"/>
      <c r="L840" s="203"/>
      <c r="M840" s="204">
        <f ca="1">IF(ISERROR(OFFSET(Tabella!$A$1,MATCH(J840,Tabella!$A:$A,0)-1,MATCH(L840,Tabella!$A$1:$AC$1,0)-1)=TRUE),0,+OFFSET(Tabella!$A$1,MATCH(J840,Tabella!$A:$A,0)-1,MATCH(L840,Tabella!$A$1:$AC$1,0)-1))</f>
        <v>0</v>
      </c>
      <c r="N840" s="205">
        <f ca="1">IF(ISERROR(OFFSET(Ottone!$A$1,MATCH(J840,Ottone!$A:$A,0)-1,MATCH(L840,Ottone!$A$1:$Z$1,0)-1)=TRUE),0,OFFSET(Ottone!$A$1,MATCH(J840,Ottone!$A:$A,0)-1,MATCH(L840,Ottone!$A$1:$Z$1,0)-1))*IF(G840="Ottone",1,0)</f>
        <v>0</v>
      </c>
      <c r="O840" s="205">
        <f ca="1">IF(ISERROR(OFFSET(Rame!$A$1,MATCH(J840,Rame!$A:$A,0)-1,MATCH(L840,Rame!$A$1:$AA$1,0)-1)=TRUE),0,OFFSET(Rame!$A$1,MATCH(J840,Rame!$A:$A,0)-1,MATCH(L840,Rame!$A$1:$AA$1,0)-1))*IF(G840="Rame",1,0)</f>
        <v>0</v>
      </c>
      <c r="P840" s="205">
        <v>0</v>
      </c>
      <c r="Q840" s="205">
        <f t="shared" ca="1" si="263"/>
        <v>0</v>
      </c>
      <c r="R840" s="205">
        <f ca="1">+IF(ISERROR(OFFSET(Tabella!$G$1,MATCH(J840,Tabella!$G:$G,0)-1,MATCH(K840,Tabella!$G$1:$FG$1,0)-1)=TRUE),0,OFFSET(Tabella!$G$1,MATCH(J840,Tabella!$G:$G,0)-1,MATCH(K840,Tabella!$G$1:$AB$1,0)-1))</f>
        <v>0</v>
      </c>
      <c r="S840" s="205">
        <f ca="1">IF(ISERROR(OFFSET(Ottone!$F$1,MATCH(J840,Ottone!$A:$A,0)-1,MATCH(K840,Ottone!$F$1:$FF$1,0)-1)=TRUE),0,OFFSET(Ottone!$F$1,MATCH(J840,Ottone!$A:$A,0)-1,MATCH(K840,Ottone!$F$1:$FF$1,0)-1))*IF(G840="Ottone",1,0)</f>
        <v>0</v>
      </c>
      <c r="T840" s="205">
        <f ca="1">IF(ISERROR(OFFSET(Rame!$F$1,MATCH(J840,Rame!$F:$F,0)-1,MATCH(K840,Rame!$F$1:$FF$1,0)-1)=TRUE),0,OFFSET(Rame!$F$1,MATCH(J840,Rame!$F:$F,0)-1,MATCH(K840,Rame!$F$1:$FF$1,0)-1))*IF(G840="Rame",1,0)</f>
        <v>0</v>
      </c>
      <c r="U840" s="205">
        <f ca="1">IF(ISERROR(OFFSET(Bronzo!$A$1,MATCH(J840,Bronzo!$A:$A,0)-1,MATCH(K840,Bronzo!$A$1:$AA$1,0)-1)=TRUE),0,OFFSET(Bronzo!$A$1,MATCH(J840,Bronzo!$A:$A,0)-1,MATCH(K840,Bronzo!$A$1:$AA$1,0)-1))</f>
        <v>0</v>
      </c>
      <c r="V840" s="205">
        <f t="shared" ca="1" si="264"/>
        <v>0</v>
      </c>
      <c r="W840" s="204"/>
      <c r="X840" s="205">
        <v>0</v>
      </c>
      <c r="Y840" s="206">
        <f t="shared" ca="1" si="265"/>
        <v>0</v>
      </c>
      <c r="Z840" s="277">
        <f t="shared" si="266"/>
        <v>0</v>
      </c>
      <c r="AA840" s="203"/>
      <c r="AB840" s="203">
        <f t="shared" ca="1" si="267"/>
        <v>0</v>
      </c>
      <c r="AC840" s="238"/>
      <c r="AI840" s="367">
        <f t="shared" ca="1" si="274"/>
        <v>46092</v>
      </c>
      <c r="AJ840" s="367" t="b">
        <f t="shared" si="268"/>
        <v>1</v>
      </c>
      <c r="AK840" s="370" t="str">
        <f t="shared" si="269"/>
        <v/>
      </c>
      <c r="AN840">
        <f t="shared" si="270"/>
        <v>0</v>
      </c>
      <c r="AO840">
        <f t="shared" si="271"/>
        <v>1900</v>
      </c>
      <c r="AV840">
        <f t="shared" si="272"/>
        <v>0</v>
      </c>
      <c r="AW840">
        <f t="shared" si="273"/>
        <v>0</v>
      </c>
    </row>
    <row r="841" spans="4:49" ht="15.75" x14ac:dyDescent="0.25">
      <c r="D841" s="199"/>
      <c r="E841" s="200"/>
      <c r="F841" s="287"/>
      <c r="G841" s="201"/>
      <c r="H841" s="219"/>
      <c r="I841" s="202"/>
      <c r="J841" s="200"/>
      <c r="K841" s="200"/>
      <c r="L841" s="203"/>
      <c r="M841" s="204">
        <f ca="1">IF(ISERROR(OFFSET(Tabella!$A$1,MATCH(J841,Tabella!$A:$A,0)-1,MATCH(L841,Tabella!$A$1:$AC$1,0)-1)=TRUE),0,+OFFSET(Tabella!$A$1,MATCH(J841,Tabella!$A:$A,0)-1,MATCH(L841,Tabella!$A$1:$AC$1,0)-1))</f>
        <v>0</v>
      </c>
      <c r="N841" s="205">
        <f ca="1">IF(ISERROR(OFFSET(Ottone!$A$1,MATCH(J841,Ottone!$A:$A,0)-1,MATCH(L841,Ottone!$A$1:$Z$1,0)-1)=TRUE),0,OFFSET(Ottone!$A$1,MATCH(J841,Ottone!$A:$A,0)-1,MATCH(L841,Ottone!$A$1:$Z$1,0)-1))*IF(G841="Ottone",1,0)</f>
        <v>0</v>
      </c>
      <c r="O841" s="205">
        <f ca="1">IF(ISERROR(OFFSET(Rame!$A$1,MATCH(J841,Rame!$A:$A,0)-1,MATCH(L841,Rame!$A$1:$AA$1,0)-1)=TRUE),0,OFFSET(Rame!$A$1,MATCH(J841,Rame!$A:$A,0)-1,MATCH(L841,Rame!$A$1:$AA$1,0)-1))*IF(G841="Rame",1,0)</f>
        <v>0</v>
      </c>
      <c r="P841" s="205">
        <v>0</v>
      </c>
      <c r="Q841" s="205">
        <f t="shared" ca="1" si="263"/>
        <v>0</v>
      </c>
      <c r="R841" s="205">
        <f ca="1">+IF(ISERROR(OFFSET(Tabella!$G$1,MATCH(J841,Tabella!$G:$G,0)-1,MATCH(K841,Tabella!$G$1:$FG$1,0)-1)=TRUE),0,OFFSET(Tabella!$G$1,MATCH(J841,Tabella!$G:$G,0)-1,MATCH(K841,Tabella!$G$1:$AB$1,0)-1))</f>
        <v>0</v>
      </c>
      <c r="S841" s="205">
        <f ca="1">IF(ISERROR(OFFSET(Ottone!$F$1,MATCH(J841,Ottone!$A:$A,0)-1,MATCH(K841,Ottone!$F$1:$FF$1,0)-1)=TRUE),0,OFFSET(Ottone!$F$1,MATCH(J841,Ottone!$A:$A,0)-1,MATCH(K841,Ottone!$F$1:$FF$1,0)-1))*IF(G841="Ottone",1,0)</f>
        <v>0</v>
      </c>
      <c r="T841" s="205">
        <f ca="1">IF(ISERROR(OFFSET(Rame!$F$1,MATCH(J841,Rame!$F:$F,0)-1,MATCH(K841,Rame!$F$1:$FF$1,0)-1)=TRUE),0,OFFSET(Rame!$F$1,MATCH(J841,Rame!$F:$F,0)-1,MATCH(K841,Rame!$F$1:$FF$1,0)-1))*IF(G841="Rame",1,0)</f>
        <v>0</v>
      </c>
      <c r="U841" s="205">
        <f ca="1">IF(ISERROR(OFFSET(Bronzo!$A$1,MATCH(J841,Bronzo!$A:$A,0)-1,MATCH(K841,Bronzo!$A$1:$AA$1,0)-1)=TRUE),0,OFFSET(Bronzo!$A$1,MATCH(J841,Bronzo!$A:$A,0)-1,MATCH(K841,Bronzo!$A$1:$AA$1,0)-1))</f>
        <v>0</v>
      </c>
      <c r="V841" s="205">
        <f t="shared" ca="1" si="264"/>
        <v>0</v>
      </c>
      <c r="W841" s="204"/>
      <c r="X841" s="205">
        <v>0</v>
      </c>
      <c r="Y841" s="206">
        <f t="shared" ca="1" si="265"/>
        <v>0</v>
      </c>
      <c r="Z841" s="277">
        <f t="shared" si="266"/>
        <v>0</v>
      </c>
      <c r="AA841" s="203"/>
      <c r="AB841" s="203">
        <f t="shared" ca="1" si="267"/>
        <v>0</v>
      </c>
      <c r="AC841" s="238"/>
      <c r="AI841" s="367">
        <f t="shared" ca="1" si="274"/>
        <v>46092</v>
      </c>
      <c r="AJ841" s="367" t="b">
        <f t="shared" si="268"/>
        <v>1</v>
      </c>
      <c r="AK841" s="370" t="str">
        <f t="shared" si="269"/>
        <v/>
      </c>
      <c r="AN841">
        <f t="shared" si="270"/>
        <v>0</v>
      </c>
      <c r="AO841">
        <f t="shared" si="271"/>
        <v>1900</v>
      </c>
      <c r="AV841">
        <f t="shared" si="272"/>
        <v>0</v>
      </c>
      <c r="AW841">
        <f t="shared" si="273"/>
        <v>0</v>
      </c>
    </row>
    <row r="842" spans="4:49" ht="15.75" x14ac:dyDescent="0.25">
      <c r="D842" s="199"/>
      <c r="E842" s="200"/>
      <c r="F842" s="287"/>
      <c r="G842" s="201"/>
      <c r="H842" s="219"/>
      <c r="I842" s="202"/>
      <c r="J842" s="200"/>
      <c r="K842" s="200"/>
      <c r="L842" s="203"/>
      <c r="M842" s="204">
        <f ca="1">IF(ISERROR(OFFSET(Tabella!$A$1,MATCH(J842,Tabella!$A:$A,0)-1,MATCH(L842,Tabella!$A$1:$AC$1,0)-1)=TRUE),0,+OFFSET(Tabella!$A$1,MATCH(J842,Tabella!$A:$A,0)-1,MATCH(L842,Tabella!$A$1:$AC$1,0)-1))</f>
        <v>0</v>
      </c>
      <c r="N842" s="205">
        <f ca="1">IF(ISERROR(OFFSET(Ottone!$A$1,MATCH(J842,Ottone!$A:$A,0)-1,MATCH(L842,Ottone!$A$1:$Z$1,0)-1)=TRUE),0,OFFSET(Ottone!$A$1,MATCH(J842,Ottone!$A:$A,0)-1,MATCH(L842,Ottone!$A$1:$Z$1,0)-1))*IF(G842="Ottone",1,0)</f>
        <v>0</v>
      </c>
      <c r="O842" s="205">
        <f ca="1">IF(ISERROR(OFFSET(Rame!$A$1,MATCH(J842,Rame!$A:$A,0)-1,MATCH(L842,Rame!$A$1:$AA$1,0)-1)=TRUE),0,OFFSET(Rame!$A$1,MATCH(J842,Rame!$A:$A,0)-1,MATCH(L842,Rame!$A$1:$AA$1,0)-1))*IF(G842="Rame",1,0)</f>
        <v>0</v>
      </c>
      <c r="P842" s="205">
        <v>0</v>
      </c>
      <c r="Q842" s="205">
        <f t="shared" ca="1" si="263"/>
        <v>0</v>
      </c>
      <c r="R842" s="205">
        <f ca="1">+IF(ISERROR(OFFSET(Tabella!$G$1,MATCH(J842,Tabella!$G:$G,0)-1,MATCH(K842,Tabella!$G$1:$FG$1,0)-1)=TRUE),0,OFFSET(Tabella!$G$1,MATCH(J842,Tabella!$G:$G,0)-1,MATCH(K842,Tabella!$G$1:$AB$1,0)-1))</f>
        <v>0</v>
      </c>
      <c r="S842" s="205">
        <f ca="1">IF(ISERROR(OFFSET(Ottone!$F$1,MATCH(J842,Ottone!$A:$A,0)-1,MATCH(K842,Ottone!$F$1:$FF$1,0)-1)=TRUE),0,OFFSET(Ottone!$F$1,MATCH(J842,Ottone!$A:$A,0)-1,MATCH(K842,Ottone!$F$1:$FF$1,0)-1))*IF(G842="Ottone",1,0)</f>
        <v>0</v>
      </c>
      <c r="T842" s="205">
        <f ca="1">IF(ISERROR(OFFSET(Rame!$F$1,MATCH(J842,Rame!$F:$F,0)-1,MATCH(K842,Rame!$F$1:$FF$1,0)-1)=TRUE),0,OFFSET(Rame!$F$1,MATCH(J842,Rame!$F:$F,0)-1,MATCH(K842,Rame!$F$1:$FF$1,0)-1))*IF(G842="Rame",1,0)</f>
        <v>0</v>
      </c>
      <c r="U842" s="205">
        <f ca="1">IF(ISERROR(OFFSET(Bronzo!$A$1,MATCH(J842,Bronzo!$A:$A,0)-1,MATCH(K842,Bronzo!$A$1:$AA$1,0)-1)=TRUE),0,OFFSET(Bronzo!$A$1,MATCH(J842,Bronzo!$A:$A,0)-1,MATCH(K842,Bronzo!$A$1:$AA$1,0)-1))</f>
        <v>0</v>
      </c>
      <c r="V842" s="205">
        <f t="shared" ca="1" si="264"/>
        <v>0</v>
      </c>
      <c r="W842" s="204"/>
      <c r="X842" s="205">
        <v>0</v>
      </c>
      <c r="Y842" s="206">
        <f t="shared" ca="1" si="265"/>
        <v>0</v>
      </c>
      <c r="Z842" s="277">
        <f t="shared" si="266"/>
        <v>0</v>
      </c>
      <c r="AA842" s="203"/>
      <c r="AB842" s="203">
        <f t="shared" ca="1" si="267"/>
        <v>0</v>
      </c>
      <c r="AC842" s="238"/>
      <c r="AI842" s="367">
        <f t="shared" ca="1" si="274"/>
        <v>46092</v>
      </c>
      <c r="AJ842" s="367" t="b">
        <f t="shared" si="268"/>
        <v>1</v>
      </c>
      <c r="AK842" s="370" t="str">
        <f t="shared" si="269"/>
        <v/>
      </c>
      <c r="AN842">
        <f t="shared" si="270"/>
        <v>0</v>
      </c>
      <c r="AO842">
        <f t="shared" si="271"/>
        <v>1900</v>
      </c>
      <c r="AV842">
        <f t="shared" si="272"/>
        <v>0</v>
      </c>
      <c r="AW842">
        <f t="shared" si="273"/>
        <v>0</v>
      </c>
    </row>
    <row r="843" spans="4:49" ht="15.75" x14ac:dyDescent="0.25">
      <c r="D843" s="199"/>
      <c r="E843" s="200"/>
      <c r="F843" s="287"/>
      <c r="G843" s="201"/>
      <c r="H843" s="219"/>
      <c r="I843" s="202"/>
      <c r="J843" s="200"/>
      <c r="K843" s="200"/>
      <c r="L843" s="203"/>
      <c r="M843" s="204">
        <f ca="1">IF(ISERROR(OFFSET(Tabella!$A$1,MATCH(J843,Tabella!$A:$A,0)-1,MATCH(L843,Tabella!$A$1:$AC$1,0)-1)=TRUE),0,+OFFSET(Tabella!$A$1,MATCH(J843,Tabella!$A:$A,0)-1,MATCH(L843,Tabella!$A$1:$AC$1,0)-1))</f>
        <v>0</v>
      </c>
      <c r="N843" s="205">
        <f ca="1">IF(ISERROR(OFFSET(Ottone!$A$1,MATCH(J843,Ottone!$A:$A,0)-1,MATCH(L843,Ottone!$A$1:$Z$1,0)-1)=TRUE),0,OFFSET(Ottone!$A$1,MATCH(J843,Ottone!$A:$A,0)-1,MATCH(L843,Ottone!$A$1:$Z$1,0)-1))*IF(G843="Ottone",1,0)</f>
        <v>0</v>
      </c>
      <c r="O843" s="205">
        <f ca="1">IF(ISERROR(OFFSET(Rame!$A$1,MATCH(J843,Rame!$A:$A,0)-1,MATCH(L843,Rame!$A$1:$AA$1,0)-1)=TRUE),0,OFFSET(Rame!$A$1,MATCH(J843,Rame!$A:$A,0)-1,MATCH(L843,Rame!$A$1:$AA$1,0)-1))*IF(G843="Rame",1,0)</f>
        <v>0</v>
      </c>
      <c r="P843" s="205">
        <v>0</v>
      </c>
      <c r="Q843" s="205">
        <f t="shared" ca="1" si="263"/>
        <v>0</v>
      </c>
      <c r="R843" s="205">
        <f ca="1">+IF(ISERROR(OFFSET(Tabella!$G$1,MATCH(J843,Tabella!$G:$G,0)-1,MATCH(K843,Tabella!$G$1:$FG$1,0)-1)=TRUE),0,OFFSET(Tabella!$G$1,MATCH(J843,Tabella!$G:$G,0)-1,MATCH(K843,Tabella!$G$1:$AB$1,0)-1))</f>
        <v>0</v>
      </c>
      <c r="S843" s="205">
        <f ca="1">IF(ISERROR(OFFSET(Ottone!$F$1,MATCH(J843,Ottone!$A:$A,0)-1,MATCH(K843,Ottone!$F$1:$FF$1,0)-1)=TRUE),0,OFFSET(Ottone!$F$1,MATCH(J843,Ottone!$A:$A,0)-1,MATCH(K843,Ottone!$F$1:$FF$1,0)-1))*IF(G843="Ottone",1,0)</f>
        <v>0</v>
      </c>
      <c r="T843" s="205">
        <f ca="1">IF(ISERROR(OFFSET(Rame!$F$1,MATCH(J843,Rame!$F:$F,0)-1,MATCH(K843,Rame!$F$1:$FF$1,0)-1)=TRUE),0,OFFSET(Rame!$F$1,MATCH(J843,Rame!$F:$F,0)-1,MATCH(K843,Rame!$F$1:$FF$1,0)-1))*IF(G843="Rame",1,0)</f>
        <v>0</v>
      </c>
      <c r="U843" s="205">
        <f ca="1">IF(ISERROR(OFFSET(Bronzo!$A$1,MATCH(J843,Bronzo!$A:$A,0)-1,MATCH(K843,Bronzo!$A$1:$AA$1,0)-1)=TRUE),0,OFFSET(Bronzo!$A$1,MATCH(J843,Bronzo!$A:$A,0)-1,MATCH(K843,Bronzo!$A$1:$AA$1,0)-1))</f>
        <v>0</v>
      </c>
      <c r="V843" s="205">
        <f t="shared" ca="1" si="264"/>
        <v>0</v>
      </c>
      <c r="W843" s="204"/>
      <c r="X843" s="205">
        <v>0</v>
      </c>
      <c r="Y843" s="206">
        <f t="shared" ca="1" si="265"/>
        <v>0</v>
      </c>
      <c r="Z843" s="277">
        <f t="shared" si="266"/>
        <v>0</v>
      </c>
      <c r="AA843" s="203"/>
      <c r="AB843" s="203">
        <f t="shared" ca="1" si="267"/>
        <v>0</v>
      </c>
      <c r="AC843" s="238"/>
      <c r="AI843" s="367">
        <f t="shared" ca="1" si="274"/>
        <v>46092</v>
      </c>
      <c r="AJ843" s="367" t="b">
        <f t="shared" si="268"/>
        <v>1</v>
      </c>
      <c r="AK843" s="370" t="str">
        <f t="shared" si="269"/>
        <v/>
      </c>
      <c r="AN843">
        <f t="shared" si="270"/>
        <v>0</v>
      </c>
      <c r="AO843">
        <f t="shared" si="271"/>
        <v>1900</v>
      </c>
      <c r="AV843">
        <f t="shared" si="272"/>
        <v>0</v>
      </c>
      <c r="AW843">
        <f t="shared" si="273"/>
        <v>0</v>
      </c>
    </row>
    <row r="844" spans="4:49" ht="15.75" x14ac:dyDescent="0.25">
      <c r="D844" s="199"/>
      <c r="E844" s="200"/>
      <c r="F844" s="287"/>
      <c r="G844" s="201"/>
      <c r="H844" s="219"/>
      <c r="I844" s="202"/>
      <c r="J844" s="200"/>
      <c r="K844" s="200"/>
      <c r="L844" s="203"/>
      <c r="M844" s="204">
        <f ca="1">IF(ISERROR(OFFSET(Tabella!$A$1,MATCH(J844,Tabella!$A:$A,0)-1,MATCH(L844,Tabella!$A$1:$AC$1,0)-1)=TRUE),0,+OFFSET(Tabella!$A$1,MATCH(J844,Tabella!$A:$A,0)-1,MATCH(L844,Tabella!$A$1:$AC$1,0)-1))</f>
        <v>0</v>
      </c>
      <c r="N844" s="205">
        <f ca="1">IF(ISERROR(OFFSET(Ottone!$A$1,MATCH(J844,Ottone!$A:$A,0)-1,MATCH(L844,Ottone!$A$1:$Z$1,0)-1)=TRUE),0,OFFSET(Ottone!$A$1,MATCH(J844,Ottone!$A:$A,0)-1,MATCH(L844,Ottone!$A$1:$Z$1,0)-1))*IF(G844="Ottone",1,0)</f>
        <v>0</v>
      </c>
      <c r="O844" s="205">
        <f ca="1">IF(ISERROR(OFFSET(Rame!$A$1,MATCH(J844,Rame!$A:$A,0)-1,MATCH(L844,Rame!$A$1:$AA$1,0)-1)=TRUE),0,OFFSET(Rame!$A$1,MATCH(J844,Rame!$A:$A,0)-1,MATCH(L844,Rame!$A$1:$AA$1,0)-1))*IF(G844="Rame",1,0)</f>
        <v>0</v>
      </c>
      <c r="P844" s="205">
        <v>0</v>
      </c>
      <c r="Q844" s="205">
        <f t="shared" ca="1" si="263"/>
        <v>0</v>
      </c>
      <c r="R844" s="205">
        <f ca="1">+IF(ISERROR(OFFSET(Tabella!$G$1,MATCH(J844,Tabella!$G:$G,0)-1,MATCH(K844,Tabella!$G$1:$FG$1,0)-1)=TRUE),0,OFFSET(Tabella!$G$1,MATCH(J844,Tabella!$G:$G,0)-1,MATCH(K844,Tabella!$G$1:$AB$1,0)-1))</f>
        <v>0</v>
      </c>
      <c r="S844" s="205">
        <f ca="1">IF(ISERROR(OFFSET(Ottone!$F$1,MATCH(J844,Ottone!$A:$A,0)-1,MATCH(K844,Ottone!$F$1:$FF$1,0)-1)=TRUE),0,OFFSET(Ottone!$F$1,MATCH(J844,Ottone!$A:$A,0)-1,MATCH(K844,Ottone!$F$1:$FF$1,0)-1))*IF(G844="Ottone",1,0)</f>
        <v>0</v>
      </c>
      <c r="T844" s="205">
        <f ca="1">IF(ISERROR(OFFSET(Rame!$F$1,MATCH(J844,Rame!$F:$F,0)-1,MATCH(K844,Rame!$F$1:$FF$1,0)-1)=TRUE),0,OFFSET(Rame!$F$1,MATCH(J844,Rame!$F:$F,0)-1,MATCH(K844,Rame!$F$1:$FF$1,0)-1))*IF(G844="Rame",1,0)</f>
        <v>0</v>
      </c>
      <c r="U844" s="205">
        <f ca="1">IF(ISERROR(OFFSET(Bronzo!$A$1,MATCH(J844,Bronzo!$A:$A,0)-1,MATCH(K844,Bronzo!$A$1:$AA$1,0)-1)=TRUE),0,OFFSET(Bronzo!$A$1,MATCH(J844,Bronzo!$A:$A,0)-1,MATCH(K844,Bronzo!$A$1:$AA$1,0)-1))</f>
        <v>0</v>
      </c>
      <c r="V844" s="205">
        <f t="shared" ca="1" si="264"/>
        <v>0</v>
      </c>
      <c r="W844" s="204"/>
      <c r="X844" s="205">
        <v>0</v>
      </c>
      <c r="Y844" s="206">
        <f t="shared" ca="1" si="265"/>
        <v>0</v>
      </c>
      <c r="Z844" s="277">
        <f t="shared" si="266"/>
        <v>0</v>
      </c>
      <c r="AA844" s="203"/>
      <c r="AB844" s="203">
        <f t="shared" ca="1" si="267"/>
        <v>0</v>
      </c>
      <c r="AC844" s="238"/>
      <c r="AI844" s="367">
        <f t="shared" ca="1" si="274"/>
        <v>46092</v>
      </c>
      <c r="AJ844" s="367" t="b">
        <f t="shared" si="268"/>
        <v>1</v>
      </c>
      <c r="AK844" s="370" t="str">
        <f t="shared" si="269"/>
        <v/>
      </c>
      <c r="AN844">
        <f t="shared" si="270"/>
        <v>0</v>
      </c>
      <c r="AO844">
        <f t="shared" si="271"/>
        <v>1900</v>
      </c>
      <c r="AV844">
        <f t="shared" si="272"/>
        <v>0</v>
      </c>
      <c r="AW844">
        <f t="shared" si="273"/>
        <v>0</v>
      </c>
    </row>
    <row r="845" spans="4:49" ht="15.75" x14ac:dyDescent="0.25">
      <c r="D845" s="199"/>
      <c r="E845" s="200"/>
      <c r="F845" s="287"/>
      <c r="G845" s="201"/>
      <c r="H845" s="219"/>
      <c r="I845" s="202"/>
      <c r="J845" s="200"/>
      <c r="K845" s="200"/>
      <c r="L845" s="203"/>
      <c r="M845" s="204">
        <f ca="1">IF(ISERROR(OFFSET(Tabella!$A$1,MATCH(J845,Tabella!$A:$A,0)-1,MATCH(L845,Tabella!$A$1:$AC$1,0)-1)=TRUE),0,+OFFSET(Tabella!$A$1,MATCH(J845,Tabella!$A:$A,0)-1,MATCH(L845,Tabella!$A$1:$AC$1,0)-1))</f>
        <v>0</v>
      </c>
      <c r="N845" s="205">
        <f ca="1">IF(ISERROR(OFFSET(Ottone!$A$1,MATCH(J845,Ottone!$A:$A,0)-1,MATCH(L845,Ottone!$A$1:$Z$1,0)-1)=TRUE),0,OFFSET(Ottone!$A$1,MATCH(J845,Ottone!$A:$A,0)-1,MATCH(L845,Ottone!$A$1:$Z$1,0)-1))*IF(G845="Ottone",1,0)</f>
        <v>0</v>
      </c>
      <c r="O845" s="205">
        <f ca="1">IF(ISERROR(OFFSET(Rame!$A$1,MATCH(J845,Rame!$A:$A,0)-1,MATCH(L845,Rame!$A$1:$AA$1,0)-1)=TRUE),0,OFFSET(Rame!$A$1,MATCH(J845,Rame!$A:$A,0)-1,MATCH(L845,Rame!$A$1:$AA$1,0)-1))*IF(G845="Rame",1,0)</f>
        <v>0</v>
      </c>
      <c r="P845" s="205">
        <v>0</v>
      </c>
      <c r="Q845" s="205">
        <f t="shared" ca="1" si="263"/>
        <v>0</v>
      </c>
      <c r="R845" s="205">
        <f ca="1">+IF(ISERROR(OFFSET(Tabella!$G$1,MATCH(J845,Tabella!$G:$G,0)-1,MATCH(K845,Tabella!$G$1:$FG$1,0)-1)=TRUE),0,OFFSET(Tabella!$G$1,MATCH(J845,Tabella!$G:$G,0)-1,MATCH(K845,Tabella!$G$1:$AB$1,0)-1))</f>
        <v>0</v>
      </c>
      <c r="S845" s="205">
        <f ca="1">IF(ISERROR(OFFSET(Ottone!$F$1,MATCH(J845,Ottone!$A:$A,0)-1,MATCH(K845,Ottone!$F$1:$FF$1,0)-1)=TRUE),0,OFFSET(Ottone!$F$1,MATCH(J845,Ottone!$A:$A,0)-1,MATCH(K845,Ottone!$F$1:$FF$1,0)-1))*IF(G845="Ottone",1,0)</f>
        <v>0</v>
      </c>
      <c r="T845" s="205">
        <f ca="1">IF(ISERROR(OFFSET(Rame!$F$1,MATCH(J845,Rame!$F:$F,0)-1,MATCH(K845,Rame!$F$1:$FF$1,0)-1)=TRUE),0,OFFSET(Rame!$F$1,MATCH(J845,Rame!$F:$F,0)-1,MATCH(K845,Rame!$F$1:$FF$1,0)-1))*IF(G845="Rame",1,0)</f>
        <v>0</v>
      </c>
      <c r="U845" s="205">
        <f ca="1">IF(ISERROR(OFFSET(Bronzo!$A$1,MATCH(J845,Bronzo!$A:$A,0)-1,MATCH(K845,Bronzo!$A$1:$AA$1,0)-1)=TRUE),0,OFFSET(Bronzo!$A$1,MATCH(J845,Bronzo!$A:$A,0)-1,MATCH(K845,Bronzo!$A$1:$AA$1,0)-1))</f>
        <v>0</v>
      </c>
      <c r="V845" s="205">
        <f t="shared" ca="1" si="264"/>
        <v>0</v>
      </c>
      <c r="W845" s="204"/>
      <c r="X845" s="205">
        <v>0</v>
      </c>
      <c r="Y845" s="206">
        <f t="shared" ca="1" si="265"/>
        <v>0</v>
      </c>
      <c r="Z845" s="277">
        <f t="shared" si="266"/>
        <v>0</v>
      </c>
      <c r="AA845" s="203"/>
      <c r="AB845" s="203">
        <f t="shared" ca="1" si="267"/>
        <v>0</v>
      </c>
      <c r="AC845" s="238"/>
      <c r="AI845" s="367">
        <f t="shared" ca="1" si="274"/>
        <v>46092</v>
      </c>
      <c r="AJ845" s="367" t="b">
        <f t="shared" si="268"/>
        <v>1</v>
      </c>
      <c r="AK845" s="370" t="str">
        <f t="shared" si="269"/>
        <v/>
      </c>
      <c r="AN845">
        <f t="shared" si="270"/>
        <v>0</v>
      </c>
      <c r="AO845">
        <f t="shared" si="271"/>
        <v>1900</v>
      </c>
      <c r="AV845">
        <f t="shared" si="272"/>
        <v>0</v>
      </c>
      <c r="AW845">
        <f t="shared" si="273"/>
        <v>0</v>
      </c>
    </row>
    <row r="846" spans="4:49" ht="15.75" x14ac:dyDescent="0.25">
      <c r="D846" s="199"/>
      <c r="E846" s="200"/>
      <c r="F846" s="287"/>
      <c r="G846" s="201"/>
      <c r="H846" s="219"/>
      <c r="I846" s="202"/>
      <c r="J846" s="200"/>
      <c r="K846" s="200"/>
      <c r="L846" s="203"/>
      <c r="M846" s="204">
        <f ca="1">IF(ISERROR(OFFSET(Tabella!$A$1,MATCH(J846,Tabella!$A:$A,0)-1,MATCH(L846,Tabella!$A$1:$AC$1,0)-1)=TRUE),0,+OFFSET(Tabella!$A$1,MATCH(J846,Tabella!$A:$A,0)-1,MATCH(L846,Tabella!$A$1:$AC$1,0)-1))</f>
        <v>0</v>
      </c>
      <c r="N846" s="205">
        <f ca="1">IF(ISERROR(OFFSET(Ottone!$A$1,MATCH(J846,Ottone!$A:$A,0)-1,MATCH(L846,Ottone!$A$1:$Z$1,0)-1)=TRUE),0,OFFSET(Ottone!$A$1,MATCH(J846,Ottone!$A:$A,0)-1,MATCH(L846,Ottone!$A$1:$Z$1,0)-1))*IF(G846="Ottone",1,0)</f>
        <v>0</v>
      </c>
      <c r="O846" s="205">
        <f ca="1">IF(ISERROR(OFFSET(Rame!$A$1,MATCH(J846,Rame!$A:$A,0)-1,MATCH(L846,Rame!$A$1:$AA$1,0)-1)=TRUE),0,OFFSET(Rame!$A$1,MATCH(J846,Rame!$A:$A,0)-1,MATCH(L846,Rame!$A$1:$AA$1,0)-1))*IF(G846="Rame",1,0)</f>
        <v>0</v>
      </c>
      <c r="P846" s="205">
        <v>0</v>
      </c>
      <c r="Q846" s="205">
        <f t="shared" ca="1" si="263"/>
        <v>0</v>
      </c>
      <c r="R846" s="205">
        <f ca="1">+IF(ISERROR(OFFSET(Tabella!$G$1,MATCH(J846,Tabella!$G:$G,0)-1,MATCH(K846,Tabella!$G$1:$FG$1,0)-1)=TRUE),0,OFFSET(Tabella!$G$1,MATCH(J846,Tabella!$G:$G,0)-1,MATCH(K846,Tabella!$G$1:$AB$1,0)-1))</f>
        <v>0</v>
      </c>
      <c r="S846" s="205">
        <f ca="1">IF(ISERROR(OFFSET(Ottone!$F$1,MATCH(J846,Ottone!$A:$A,0)-1,MATCH(K846,Ottone!$F$1:$FF$1,0)-1)=TRUE),0,OFFSET(Ottone!$F$1,MATCH(J846,Ottone!$A:$A,0)-1,MATCH(K846,Ottone!$F$1:$FF$1,0)-1))*IF(G846="Ottone",1,0)</f>
        <v>0</v>
      </c>
      <c r="T846" s="205">
        <f ca="1">IF(ISERROR(OFFSET(Rame!$F$1,MATCH(J846,Rame!$F:$F,0)-1,MATCH(K846,Rame!$F$1:$FF$1,0)-1)=TRUE),0,OFFSET(Rame!$F$1,MATCH(J846,Rame!$F:$F,0)-1,MATCH(K846,Rame!$F$1:$FF$1,0)-1))*IF(G846="Rame",1,0)</f>
        <v>0</v>
      </c>
      <c r="U846" s="205">
        <f ca="1">IF(ISERROR(OFFSET(Bronzo!$A$1,MATCH(J846,Bronzo!$A:$A,0)-1,MATCH(K846,Bronzo!$A$1:$AA$1,0)-1)=TRUE),0,OFFSET(Bronzo!$A$1,MATCH(J846,Bronzo!$A:$A,0)-1,MATCH(K846,Bronzo!$A$1:$AA$1,0)-1))</f>
        <v>0</v>
      </c>
      <c r="V846" s="205">
        <f t="shared" ca="1" si="264"/>
        <v>0</v>
      </c>
      <c r="W846" s="204"/>
      <c r="X846" s="205">
        <v>0</v>
      </c>
      <c r="Y846" s="206">
        <f t="shared" ca="1" si="265"/>
        <v>0</v>
      </c>
      <c r="Z846" s="277">
        <f t="shared" si="266"/>
        <v>0</v>
      </c>
      <c r="AA846" s="203"/>
      <c r="AB846" s="203">
        <f t="shared" ca="1" si="267"/>
        <v>0</v>
      </c>
      <c r="AC846" s="238"/>
      <c r="AI846" s="367">
        <f t="shared" ca="1" si="274"/>
        <v>46092</v>
      </c>
      <c r="AJ846" s="367" t="b">
        <f t="shared" si="268"/>
        <v>1</v>
      </c>
      <c r="AK846" s="370" t="str">
        <f t="shared" si="269"/>
        <v/>
      </c>
      <c r="AN846">
        <f t="shared" si="270"/>
        <v>0</v>
      </c>
      <c r="AO846">
        <f t="shared" si="271"/>
        <v>1900</v>
      </c>
      <c r="AV846">
        <f t="shared" si="272"/>
        <v>0</v>
      </c>
      <c r="AW846">
        <f t="shared" si="273"/>
        <v>0</v>
      </c>
    </row>
    <row r="847" spans="4:49" ht="15.75" x14ac:dyDescent="0.25">
      <c r="D847" s="199"/>
      <c r="E847" s="200"/>
      <c r="F847" s="287"/>
      <c r="G847" s="201"/>
      <c r="H847" s="219"/>
      <c r="I847" s="202"/>
      <c r="J847" s="200"/>
      <c r="K847" s="200"/>
      <c r="L847" s="203"/>
      <c r="M847" s="204">
        <f ca="1">IF(ISERROR(OFFSET(Tabella!$A$1,MATCH(J847,Tabella!$A:$A,0)-1,MATCH(L847,Tabella!$A$1:$AC$1,0)-1)=TRUE),0,+OFFSET(Tabella!$A$1,MATCH(J847,Tabella!$A:$A,0)-1,MATCH(L847,Tabella!$A$1:$AC$1,0)-1))</f>
        <v>0</v>
      </c>
      <c r="N847" s="205">
        <f ca="1">IF(ISERROR(OFFSET(Ottone!$A$1,MATCH(J847,Ottone!$A:$A,0)-1,MATCH(L847,Ottone!$A$1:$Z$1,0)-1)=TRUE),0,OFFSET(Ottone!$A$1,MATCH(J847,Ottone!$A:$A,0)-1,MATCH(L847,Ottone!$A$1:$Z$1,0)-1))*IF(G847="Ottone",1,0)</f>
        <v>0</v>
      </c>
      <c r="O847" s="205">
        <f ca="1">IF(ISERROR(OFFSET(Rame!$A$1,MATCH(J847,Rame!$A:$A,0)-1,MATCH(L847,Rame!$A$1:$AA$1,0)-1)=TRUE),0,OFFSET(Rame!$A$1,MATCH(J847,Rame!$A:$A,0)-1,MATCH(L847,Rame!$A$1:$AA$1,0)-1))*IF(G847="Rame",1,0)</f>
        <v>0</v>
      </c>
      <c r="P847" s="205">
        <v>0</v>
      </c>
      <c r="Q847" s="205">
        <f t="shared" ref="Q847:Q910" ca="1" si="275">SUM(M847:P847)</f>
        <v>0</v>
      </c>
      <c r="R847" s="205">
        <f ca="1">+IF(ISERROR(OFFSET(Tabella!$G$1,MATCH(J847,Tabella!$G:$G,0)-1,MATCH(K847,Tabella!$G$1:$FG$1,0)-1)=TRUE),0,OFFSET(Tabella!$G$1,MATCH(J847,Tabella!$G:$G,0)-1,MATCH(K847,Tabella!$G$1:$AB$1,0)-1))</f>
        <v>0</v>
      </c>
      <c r="S847" s="205">
        <f ca="1">IF(ISERROR(OFFSET(Ottone!$F$1,MATCH(J847,Ottone!$A:$A,0)-1,MATCH(K847,Ottone!$F$1:$FF$1,0)-1)=TRUE),0,OFFSET(Ottone!$F$1,MATCH(J847,Ottone!$A:$A,0)-1,MATCH(K847,Ottone!$F$1:$FF$1,0)-1))*IF(G847="Ottone",1,0)</f>
        <v>0</v>
      </c>
      <c r="T847" s="205">
        <f ca="1">IF(ISERROR(OFFSET(Rame!$F$1,MATCH(J847,Rame!$F:$F,0)-1,MATCH(K847,Rame!$F$1:$FF$1,0)-1)=TRUE),0,OFFSET(Rame!$F$1,MATCH(J847,Rame!$F:$F,0)-1,MATCH(K847,Rame!$F$1:$FF$1,0)-1))*IF(G847="Rame",1,0)</f>
        <v>0</v>
      </c>
      <c r="U847" s="205">
        <f ca="1">IF(ISERROR(OFFSET(Bronzo!$A$1,MATCH(J847,Bronzo!$A:$A,0)-1,MATCH(K847,Bronzo!$A$1:$AA$1,0)-1)=TRUE),0,OFFSET(Bronzo!$A$1,MATCH(J847,Bronzo!$A:$A,0)-1,MATCH(K847,Bronzo!$A$1:$AA$1,0)-1))</f>
        <v>0</v>
      </c>
      <c r="V847" s="205">
        <f t="shared" ref="V847:V910" ca="1" si="276">SUM(R847:U847)</f>
        <v>0</v>
      </c>
      <c r="W847" s="204"/>
      <c r="X847" s="205">
        <v>0</v>
      </c>
      <c r="Y847" s="206">
        <f t="shared" ref="Y847:Y910" ca="1" si="277">+Q847+V847+W847+X847</f>
        <v>0</v>
      </c>
      <c r="Z847" s="277">
        <f t="shared" ref="Z847:Z910" si="278">+L847*F847</f>
        <v>0</v>
      </c>
      <c r="AA847" s="203"/>
      <c r="AB847" s="203">
        <f t="shared" ref="AB847:AB910" ca="1" si="279">+AA847-Y847-H847</f>
        <v>0</v>
      </c>
      <c r="AC847" s="238"/>
      <c r="AI847" s="367">
        <f t="shared" ca="1" si="274"/>
        <v>46092</v>
      </c>
      <c r="AJ847" s="367" t="b">
        <f t="shared" si="268"/>
        <v>1</v>
      </c>
      <c r="AK847" s="370" t="str">
        <f t="shared" si="269"/>
        <v/>
      </c>
      <c r="AN847">
        <f t="shared" si="270"/>
        <v>0</v>
      </c>
      <c r="AO847">
        <f t="shared" si="271"/>
        <v>1900</v>
      </c>
      <c r="AV847">
        <f t="shared" si="272"/>
        <v>0</v>
      </c>
      <c r="AW847">
        <f t="shared" si="273"/>
        <v>0</v>
      </c>
    </row>
    <row r="848" spans="4:49" ht="15.75" x14ac:dyDescent="0.25">
      <c r="D848" s="199"/>
      <c r="E848" s="200"/>
      <c r="F848" s="287"/>
      <c r="G848" s="201"/>
      <c r="H848" s="219"/>
      <c r="I848" s="202"/>
      <c r="J848" s="200"/>
      <c r="K848" s="200"/>
      <c r="L848" s="203"/>
      <c r="M848" s="204">
        <f ca="1">IF(ISERROR(OFFSET(Tabella!$A$1,MATCH(J848,Tabella!$A:$A,0)-1,MATCH(L848,Tabella!$A$1:$AC$1,0)-1)=TRUE),0,+OFFSET(Tabella!$A$1,MATCH(J848,Tabella!$A:$A,0)-1,MATCH(L848,Tabella!$A$1:$AC$1,0)-1))</f>
        <v>0</v>
      </c>
      <c r="N848" s="205">
        <f ca="1">IF(ISERROR(OFFSET(Ottone!$A$1,MATCH(J848,Ottone!$A:$A,0)-1,MATCH(L848,Ottone!$A$1:$Z$1,0)-1)=TRUE),0,OFFSET(Ottone!$A$1,MATCH(J848,Ottone!$A:$A,0)-1,MATCH(L848,Ottone!$A$1:$Z$1,0)-1))*IF(G848="Ottone",1,0)</f>
        <v>0</v>
      </c>
      <c r="O848" s="205">
        <f ca="1">IF(ISERROR(OFFSET(Rame!$A$1,MATCH(J848,Rame!$A:$A,0)-1,MATCH(L848,Rame!$A$1:$AA$1,0)-1)=TRUE),0,OFFSET(Rame!$A$1,MATCH(J848,Rame!$A:$A,0)-1,MATCH(L848,Rame!$A$1:$AA$1,0)-1))*IF(G848="Rame",1,0)</f>
        <v>0</v>
      </c>
      <c r="P848" s="205">
        <v>0</v>
      </c>
      <c r="Q848" s="205">
        <f t="shared" ca="1" si="275"/>
        <v>0</v>
      </c>
      <c r="R848" s="205">
        <f ca="1">+IF(ISERROR(OFFSET(Tabella!$G$1,MATCH(J848,Tabella!$G:$G,0)-1,MATCH(K848,Tabella!$G$1:$FG$1,0)-1)=TRUE),0,OFFSET(Tabella!$G$1,MATCH(J848,Tabella!$G:$G,0)-1,MATCH(K848,Tabella!$G$1:$AB$1,0)-1))</f>
        <v>0</v>
      </c>
      <c r="S848" s="205">
        <f ca="1">IF(ISERROR(OFFSET(Ottone!$F$1,MATCH(J848,Ottone!$A:$A,0)-1,MATCH(K848,Ottone!$F$1:$FF$1,0)-1)=TRUE),0,OFFSET(Ottone!$F$1,MATCH(J848,Ottone!$A:$A,0)-1,MATCH(K848,Ottone!$F$1:$FF$1,0)-1))*IF(G848="Ottone",1,0)</f>
        <v>0</v>
      </c>
      <c r="T848" s="205">
        <f ca="1">IF(ISERROR(OFFSET(Rame!$F$1,MATCH(J848,Rame!$F:$F,0)-1,MATCH(K848,Rame!$F$1:$FF$1,0)-1)=TRUE),0,OFFSET(Rame!$F$1,MATCH(J848,Rame!$F:$F,0)-1,MATCH(K848,Rame!$F$1:$FF$1,0)-1))*IF(G848="Rame",1,0)</f>
        <v>0</v>
      </c>
      <c r="U848" s="205">
        <f ca="1">IF(ISERROR(OFFSET(Bronzo!$A$1,MATCH(J848,Bronzo!$A:$A,0)-1,MATCH(K848,Bronzo!$A$1:$AA$1,0)-1)=TRUE),0,OFFSET(Bronzo!$A$1,MATCH(J848,Bronzo!$A:$A,0)-1,MATCH(K848,Bronzo!$A$1:$AA$1,0)-1))</f>
        <v>0</v>
      </c>
      <c r="V848" s="205">
        <f t="shared" ca="1" si="276"/>
        <v>0</v>
      </c>
      <c r="W848" s="204"/>
      <c r="X848" s="205">
        <v>0</v>
      </c>
      <c r="Y848" s="206">
        <f t="shared" ca="1" si="277"/>
        <v>0</v>
      </c>
      <c r="Z848" s="277">
        <f t="shared" si="278"/>
        <v>0</v>
      </c>
      <c r="AA848" s="203"/>
      <c r="AB848" s="203">
        <f t="shared" ca="1" si="279"/>
        <v>0</v>
      </c>
      <c r="AC848" s="238"/>
      <c r="AI848" s="367">
        <f t="shared" ca="1" si="274"/>
        <v>46092</v>
      </c>
      <c r="AJ848" s="367" t="b">
        <f t="shared" si="268"/>
        <v>1</v>
      </c>
      <c r="AK848" s="370" t="str">
        <f t="shared" si="269"/>
        <v/>
      </c>
      <c r="AN848">
        <f t="shared" si="270"/>
        <v>0</v>
      </c>
      <c r="AO848">
        <f t="shared" si="271"/>
        <v>1900</v>
      </c>
      <c r="AV848">
        <f t="shared" si="272"/>
        <v>0</v>
      </c>
      <c r="AW848">
        <f t="shared" si="273"/>
        <v>0</v>
      </c>
    </row>
    <row r="849" spans="4:49" ht="15.75" x14ac:dyDescent="0.25">
      <c r="D849" s="199"/>
      <c r="E849" s="200"/>
      <c r="F849" s="287"/>
      <c r="G849" s="201"/>
      <c r="H849" s="219"/>
      <c r="I849" s="202"/>
      <c r="J849" s="200"/>
      <c r="K849" s="200"/>
      <c r="L849" s="203"/>
      <c r="M849" s="204">
        <f ca="1">IF(ISERROR(OFFSET(Tabella!$A$1,MATCH(J849,Tabella!$A:$A,0)-1,MATCH(L849,Tabella!$A$1:$AC$1,0)-1)=TRUE),0,+OFFSET(Tabella!$A$1,MATCH(J849,Tabella!$A:$A,0)-1,MATCH(L849,Tabella!$A$1:$AC$1,0)-1))</f>
        <v>0</v>
      </c>
      <c r="N849" s="205">
        <f ca="1">IF(ISERROR(OFFSET(Ottone!$A$1,MATCH(J849,Ottone!$A:$A,0)-1,MATCH(L849,Ottone!$A$1:$Z$1,0)-1)=TRUE),0,OFFSET(Ottone!$A$1,MATCH(J849,Ottone!$A:$A,0)-1,MATCH(L849,Ottone!$A$1:$Z$1,0)-1))*IF(G849="Ottone",1,0)</f>
        <v>0</v>
      </c>
      <c r="O849" s="205">
        <f ca="1">IF(ISERROR(OFFSET(Rame!$A$1,MATCH(J849,Rame!$A:$A,0)-1,MATCH(L849,Rame!$A$1:$AA$1,0)-1)=TRUE),0,OFFSET(Rame!$A$1,MATCH(J849,Rame!$A:$A,0)-1,MATCH(L849,Rame!$A$1:$AA$1,0)-1))*IF(G849="Rame",1,0)</f>
        <v>0</v>
      </c>
      <c r="P849" s="205">
        <v>0</v>
      </c>
      <c r="Q849" s="205">
        <f t="shared" ca="1" si="275"/>
        <v>0</v>
      </c>
      <c r="R849" s="205">
        <f ca="1">+IF(ISERROR(OFFSET(Tabella!$G$1,MATCH(J849,Tabella!$G:$G,0)-1,MATCH(K849,Tabella!$G$1:$FG$1,0)-1)=TRUE),0,OFFSET(Tabella!$G$1,MATCH(J849,Tabella!$G:$G,0)-1,MATCH(K849,Tabella!$G$1:$AB$1,0)-1))</f>
        <v>0</v>
      </c>
      <c r="S849" s="205">
        <f ca="1">IF(ISERROR(OFFSET(Ottone!$F$1,MATCH(J849,Ottone!$A:$A,0)-1,MATCH(K849,Ottone!$F$1:$FF$1,0)-1)=TRUE),0,OFFSET(Ottone!$F$1,MATCH(J849,Ottone!$A:$A,0)-1,MATCH(K849,Ottone!$F$1:$FF$1,0)-1))*IF(G849="Ottone",1,0)</f>
        <v>0</v>
      </c>
      <c r="T849" s="205">
        <f ca="1">IF(ISERROR(OFFSET(Rame!$F$1,MATCH(J849,Rame!$F:$F,0)-1,MATCH(K849,Rame!$F$1:$FF$1,0)-1)=TRUE),0,OFFSET(Rame!$F$1,MATCH(J849,Rame!$F:$F,0)-1,MATCH(K849,Rame!$F$1:$FF$1,0)-1))*IF(G849="Rame",1,0)</f>
        <v>0</v>
      </c>
      <c r="U849" s="205">
        <f ca="1">IF(ISERROR(OFFSET(Bronzo!$A$1,MATCH(J849,Bronzo!$A:$A,0)-1,MATCH(K849,Bronzo!$A$1:$AA$1,0)-1)=TRUE),0,OFFSET(Bronzo!$A$1,MATCH(J849,Bronzo!$A:$A,0)-1,MATCH(K849,Bronzo!$A$1:$AA$1,0)-1))</f>
        <v>0</v>
      </c>
      <c r="V849" s="205">
        <f t="shared" ca="1" si="276"/>
        <v>0</v>
      </c>
      <c r="W849" s="204"/>
      <c r="X849" s="205">
        <v>0</v>
      </c>
      <c r="Y849" s="206">
        <f t="shared" ca="1" si="277"/>
        <v>0</v>
      </c>
      <c r="Z849" s="277">
        <f t="shared" si="278"/>
        <v>0</v>
      </c>
      <c r="AA849" s="203"/>
      <c r="AB849" s="203">
        <f t="shared" ca="1" si="279"/>
        <v>0</v>
      </c>
      <c r="AC849" s="238"/>
      <c r="AI849" s="367">
        <f t="shared" ca="1" si="274"/>
        <v>46092</v>
      </c>
      <c r="AJ849" s="367" t="b">
        <f t="shared" si="268"/>
        <v>1</v>
      </c>
      <c r="AK849" s="370" t="str">
        <f t="shared" si="269"/>
        <v/>
      </c>
      <c r="AN849">
        <f t="shared" si="270"/>
        <v>0</v>
      </c>
      <c r="AO849">
        <f t="shared" si="271"/>
        <v>1900</v>
      </c>
      <c r="AV849">
        <f t="shared" si="272"/>
        <v>0</v>
      </c>
      <c r="AW849">
        <f t="shared" si="273"/>
        <v>0</v>
      </c>
    </row>
    <row r="850" spans="4:49" ht="15.75" x14ac:dyDescent="0.25">
      <c r="D850" s="199"/>
      <c r="E850" s="200"/>
      <c r="F850" s="287"/>
      <c r="G850" s="201"/>
      <c r="H850" s="219"/>
      <c r="I850" s="202"/>
      <c r="J850" s="200"/>
      <c r="K850" s="200"/>
      <c r="L850" s="203"/>
      <c r="M850" s="204">
        <f ca="1">IF(ISERROR(OFFSET(Tabella!$A$1,MATCH(J850,Tabella!$A:$A,0)-1,MATCH(L850,Tabella!$A$1:$AC$1,0)-1)=TRUE),0,+OFFSET(Tabella!$A$1,MATCH(J850,Tabella!$A:$A,0)-1,MATCH(L850,Tabella!$A$1:$AC$1,0)-1))</f>
        <v>0</v>
      </c>
      <c r="N850" s="205">
        <f ca="1">IF(ISERROR(OFFSET(Ottone!$A$1,MATCH(J850,Ottone!$A:$A,0)-1,MATCH(L850,Ottone!$A$1:$Z$1,0)-1)=TRUE),0,OFFSET(Ottone!$A$1,MATCH(J850,Ottone!$A:$A,0)-1,MATCH(L850,Ottone!$A$1:$Z$1,0)-1))*IF(G850="Ottone",1,0)</f>
        <v>0</v>
      </c>
      <c r="O850" s="205">
        <f ca="1">IF(ISERROR(OFFSET(Rame!$A$1,MATCH(J850,Rame!$A:$A,0)-1,MATCH(L850,Rame!$A$1:$AA$1,0)-1)=TRUE),0,OFFSET(Rame!$A$1,MATCH(J850,Rame!$A:$A,0)-1,MATCH(L850,Rame!$A$1:$AA$1,0)-1))*IF(G850="Rame",1,0)</f>
        <v>0</v>
      </c>
      <c r="P850" s="205">
        <v>0</v>
      </c>
      <c r="Q850" s="205">
        <f t="shared" ca="1" si="275"/>
        <v>0</v>
      </c>
      <c r="R850" s="205">
        <f ca="1">+IF(ISERROR(OFFSET(Tabella!$G$1,MATCH(J850,Tabella!$G:$G,0)-1,MATCH(K850,Tabella!$G$1:$FG$1,0)-1)=TRUE),0,OFFSET(Tabella!$G$1,MATCH(J850,Tabella!$G:$G,0)-1,MATCH(K850,Tabella!$G$1:$AB$1,0)-1))</f>
        <v>0</v>
      </c>
      <c r="S850" s="205">
        <f ca="1">IF(ISERROR(OFFSET(Ottone!$F$1,MATCH(J850,Ottone!$A:$A,0)-1,MATCH(K850,Ottone!$F$1:$FF$1,0)-1)=TRUE),0,OFFSET(Ottone!$F$1,MATCH(J850,Ottone!$A:$A,0)-1,MATCH(K850,Ottone!$F$1:$FF$1,0)-1))*IF(G850="Ottone",1,0)</f>
        <v>0</v>
      </c>
      <c r="T850" s="205">
        <f ca="1">IF(ISERROR(OFFSET(Rame!$F$1,MATCH(J850,Rame!$F:$F,0)-1,MATCH(K850,Rame!$F$1:$FF$1,0)-1)=TRUE),0,OFFSET(Rame!$F$1,MATCH(J850,Rame!$F:$F,0)-1,MATCH(K850,Rame!$F$1:$FF$1,0)-1))*IF(G850="Rame",1,0)</f>
        <v>0</v>
      </c>
      <c r="U850" s="205">
        <f ca="1">IF(ISERROR(OFFSET(Bronzo!$A$1,MATCH(J850,Bronzo!$A:$A,0)-1,MATCH(K850,Bronzo!$A$1:$AA$1,0)-1)=TRUE),0,OFFSET(Bronzo!$A$1,MATCH(J850,Bronzo!$A:$A,0)-1,MATCH(K850,Bronzo!$A$1:$AA$1,0)-1))</f>
        <v>0</v>
      </c>
      <c r="V850" s="205">
        <f t="shared" ca="1" si="276"/>
        <v>0</v>
      </c>
      <c r="W850" s="204"/>
      <c r="X850" s="205">
        <v>0</v>
      </c>
      <c r="Y850" s="206">
        <f t="shared" ca="1" si="277"/>
        <v>0</v>
      </c>
      <c r="Z850" s="277">
        <f t="shared" si="278"/>
        <v>0</v>
      </c>
      <c r="AA850" s="203"/>
      <c r="AB850" s="203">
        <f t="shared" ca="1" si="279"/>
        <v>0</v>
      </c>
      <c r="AC850" s="238"/>
      <c r="AI850" s="367">
        <f t="shared" ca="1" si="274"/>
        <v>46092</v>
      </c>
      <c r="AJ850" s="367" t="b">
        <f t="shared" si="268"/>
        <v>1</v>
      </c>
      <c r="AK850" s="370" t="str">
        <f t="shared" si="269"/>
        <v/>
      </c>
      <c r="AN850">
        <f t="shared" si="270"/>
        <v>0</v>
      </c>
      <c r="AO850">
        <f t="shared" si="271"/>
        <v>1900</v>
      </c>
      <c r="AV850">
        <f t="shared" si="272"/>
        <v>0</v>
      </c>
      <c r="AW850">
        <f t="shared" si="273"/>
        <v>0</v>
      </c>
    </row>
    <row r="851" spans="4:49" ht="15.75" x14ac:dyDescent="0.25">
      <c r="D851" s="199"/>
      <c r="E851" s="200"/>
      <c r="F851" s="287"/>
      <c r="G851" s="201"/>
      <c r="H851" s="219"/>
      <c r="I851" s="202"/>
      <c r="J851" s="200"/>
      <c r="K851" s="200"/>
      <c r="L851" s="203"/>
      <c r="M851" s="204">
        <f ca="1">IF(ISERROR(OFFSET(Tabella!$A$1,MATCH(J851,Tabella!$A:$A,0)-1,MATCH(L851,Tabella!$A$1:$AC$1,0)-1)=TRUE),0,+OFFSET(Tabella!$A$1,MATCH(J851,Tabella!$A:$A,0)-1,MATCH(L851,Tabella!$A$1:$AC$1,0)-1))</f>
        <v>0</v>
      </c>
      <c r="N851" s="205">
        <f ca="1">IF(ISERROR(OFFSET(Ottone!$A$1,MATCH(J851,Ottone!$A:$A,0)-1,MATCH(L851,Ottone!$A$1:$Z$1,0)-1)=TRUE),0,OFFSET(Ottone!$A$1,MATCH(J851,Ottone!$A:$A,0)-1,MATCH(L851,Ottone!$A$1:$Z$1,0)-1))*IF(G851="Ottone",1,0)</f>
        <v>0</v>
      </c>
      <c r="O851" s="205">
        <f ca="1">IF(ISERROR(OFFSET(Rame!$A$1,MATCH(J851,Rame!$A:$A,0)-1,MATCH(L851,Rame!$A$1:$AA$1,0)-1)=TRUE),0,OFFSET(Rame!$A$1,MATCH(J851,Rame!$A:$A,0)-1,MATCH(L851,Rame!$A$1:$AA$1,0)-1))*IF(G851="Rame",1,0)</f>
        <v>0</v>
      </c>
      <c r="P851" s="205">
        <v>0</v>
      </c>
      <c r="Q851" s="205">
        <f t="shared" ca="1" si="275"/>
        <v>0</v>
      </c>
      <c r="R851" s="205">
        <f ca="1">+IF(ISERROR(OFFSET(Tabella!$G$1,MATCH(J851,Tabella!$G:$G,0)-1,MATCH(K851,Tabella!$G$1:$FG$1,0)-1)=TRUE),0,OFFSET(Tabella!$G$1,MATCH(J851,Tabella!$G:$G,0)-1,MATCH(K851,Tabella!$G$1:$AB$1,0)-1))</f>
        <v>0</v>
      </c>
      <c r="S851" s="205">
        <f ca="1">IF(ISERROR(OFFSET(Ottone!$F$1,MATCH(J851,Ottone!$A:$A,0)-1,MATCH(K851,Ottone!$F$1:$FF$1,0)-1)=TRUE),0,OFFSET(Ottone!$F$1,MATCH(J851,Ottone!$A:$A,0)-1,MATCH(K851,Ottone!$F$1:$FF$1,0)-1))*IF(G851="Ottone",1,0)</f>
        <v>0</v>
      </c>
      <c r="T851" s="205">
        <f ca="1">IF(ISERROR(OFFSET(Rame!$F$1,MATCH(J851,Rame!$F:$F,0)-1,MATCH(K851,Rame!$F$1:$FF$1,0)-1)=TRUE),0,OFFSET(Rame!$F$1,MATCH(J851,Rame!$F:$F,0)-1,MATCH(K851,Rame!$F$1:$FF$1,0)-1))*IF(G851="Rame",1,0)</f>
        <v>0</v>
      </c>
      <c r="U851" s="205">
        <f ca="1">IF(ISERROR(OFFSET(Bronzo!$A$1,MATCH(J851,Bronzo!$A:$A,0)-1,MATCH(K851,Bronzo!$A$1:$AA$1,0)-1)=TRUE),0,OFFSET(Bronzo!$A$1,MATCH(J851,Bronzo!$A:$A,0)-1,MATCH(K851,Bronzo!$A$1:$AA$1,0)-1))</f>
        <v>0</v>
      </c>
      <c r="V851" s="205">
        <f t="shared" ca="1" si="276"/>
        <v>0</v>
      </c>
      <c r="W851" s="204"/>
      <c r="X851" s="205">
        <v>0</v>
      </c>
      <c r="Y851" s="206">
        <f t="shared" ca="1" si="277"/>
        <v>0</v>
      </c>
      <c r="Z851" s="277">
        <f t="shared" si="278"/>
        <v>0</v>
      </c>
      <c r="AA851" s="203"/>
      <c r="AB851" s="203">
        <f t="shared" ca="1" si="279"/>
        <v>0</v>
      </c>
      <c r="AC851" s="238"/>
      <c r="AI851" s="367">
        <f t="shared" ca="1" si="274"/>
        <v>46092</v>
      </c>
      <c r="AJ851" s="367" t="b">
        <f t="shared" si="268"/>
        <v>1</v>
      </c>
      <c r="AK851" s="370" t="str">
        <f t="shared" si="269"/>
        <v/>
      </c>
      <c r="AN851">
        <f t="shared" si="270"/>
        <v>0</v>
      </c>
      <c r="AO851">
        <f t="shared" si="271"/>
        <v>1900</v>
      </c>
      <c r="AV851">
        <f t="shared" si="272"/>
        <v>0</v>
      </c>
      <c r="AW851">
        <f t="shared" si="273"/>
        <v>0</v>
      </c>
    </row>
    <row r="852" spans="4:49" ht="15.75" x14ac:dyDescent="0.25">
      <c r="D852" s="199"/>
      <c r="E852" s="200"/>
      <c r="F852" s="287"/>
      <c r="G852" s="201"/>
      <c r="H852" s="219"/>
      <c r="I852" s="202"/>
      <c r="J852" s="200"/>
      <c r="K852" s="200"/>
      <c r="L852" s="203"/>
      <c r="M852" s="204">
        <f ca="1">IF(ISERROR(OFFSET(Tabella!$A$1,MATCH(J852,Tabella!$A:$A,0)-1,MATCH(L852,Tabella!$A$1:$AC$1,0)-1)=TRUE),0,+OFFSET(Tabella!$A$1,MATCH(J852,Tabella!$A:$A,0)-1,MATCH(L852,Tabella!$A$1:$AC$1,0)-1))</f>
        <v>0</v>
      </c>
      <c r="N852" s="205">
        <f ca="1">IF(ISERROR(OFFSET(Ottone!$A$1,MATCH(J852,Ottone!$A:$A,0)-1,MATCH(L852,Ottone!$A$1:$Z$1,0)-1)=TRUE),0,OFFSET(Ottone!$A$1,MATCH(J852,Ottone!$A:$A,0)-1,MATCH(L852,Ottone!$A$1:$Z$1,0)-1))*IF(G852="Ottone",1,0)</f>
        <v>0</v>
      </c>
      <c r="O852" s="205">
        <f ca="1">IF(ISERROR(OFFSET(Rame!$A$1,MATCH(J852,Rame!$A:$A,0)-1,MATCH(L852,Rame!$A$1:$AA$1,0)-1)=TRUE),0,OFFSET(Rame!$A$1,MATCH(J852,Rame!$A:$A,0)-1,MATCH(L852,Rame!$A$1:$AA$1,0)-1))*IF(G852="Rame",1,0)</f>
        <v>0</v>
      </c>
      <c r="P852" s="205">
        <v>0</v>
      </c>
      <c r="Q852" s="205">
        <f t="shared" ca="1" si="275"/>
        <v>0</v>
      </c>
      <c r="R852" s="205">
        <f ca="1">+IF(ISERROR(OFFSET(Tabella!$G$1,MATCH(J852,Tabella!$G:$G,0)-1,MATCH(K852,Tabella!$G$1:$FG$1,0)-1)=TRUE),0,OFFSET(Tabella!$G$1,MATCH(J852,Tabella!$G:$G,0)-1,MATCH(K852,Tabella!$G$1:$AB$1,0)-1))</f>
        <v>0</v>
      </c>
      <c r="S852" s="205">
        <f ca="1">IF(ISERROR(OFFSET(Ottone!$F$1,MATCH(J852,Ottone!$A:$A,0)-1,MATCH(K852,Ottone!$F$1:$FF$1,0)-1)=TRUE),0,OFFSET(Ottone!$F$1,MATCH(J852,Ottone!$A:$A,0)-1,MATCH(K852,Ottone!$F$1:$FF$1,0)-1))*IF(G852="Ottone",1,0)</f>
        <v>0</v>
      </c>
      <c r="T852" s="205">
        <f ca="1">IF(ISERROR(OFFSET(Rame!$F$1,MATCH(J852,Rame!$F:$F,0)-1,MATCH(K852,Rame!$F$1:$FF$1,0)-1)=TRUE),0,OFFSET(Rame!$F$1,MATCH(J852,Rame!$F:$F,0)-1,MATCH(K852,Rame!$F$1:$FF$1,0)-1))*IF(G852="Rame",1,0)</f>
        <v>0</v>
      </c>
      <c r="U852" s="205">
        <f ca="1">IF(ISERROR(OFFSET(Bronzo!$A$1,MATCH(J852,Bronzo!$A:$A,0)-1,MATCH(K852,Bronzo!$A$1:$AA$1,0)-1)=TRUE),0,OFFSET(Bronzo!$A$1,MATCH(J852,Bronzo!$A:$A,0)-1,MATCH(K852,Bronzo!$A$1:$AA$1,0)-1))</f>
        <v>0</v>
      </c>
      <c r="V852" s="205">
        <f t="shared" ca="1" si="276"/>
        <v>0</v>
      </c>
      <c r="W852" s="204"/>
      <c r="X852" s="205">
        <v>0</v>
      </c>
      <c r="Y852" s="206">
        <f t="shared" ca="1" si="277"/>
        <v>0</v>
      </c>
      <c r="Z852" s="277">
        <f t="shared" si="278"/>
        <v>0</v>
      </c>
      <c r="AA852" s="203"/>
      <c r="AB852" s="203">
        <f t="shared" ca="1" si="279"/>
        <v>0</v>
      </c>
      <c r="AC852" s="238"/>
      <c r="AI852" s="367">
        <f t="shared" ca="1" si="274"/>
        <v>46092</v>
      </c>
      <c r="AJ852" s="367" t="b">
        <f t="shared" si="268"/>
        <v>1</v>
      </c>
      <c r="AK852" s="370" t="str">
        <f t="shared" si="269"/>
        <v/>
      </c>
      <c r="AN852">
        <f t="shared" si="270"/>
        <v>0</v>
      </c>
      <c r="AO852">
        <f t="shared" si="271"/>
        <v>1900</v>
      </c>
      <c r="AV852">
        <f t="shared" si="272"/>
        <v>0</v>
      </c>
      <c r="AW852">
        <f t="shared" si="273"/>
        <v>0</v>
      </c>
    </row>
    <row r="853" spans="4:49" ht="15.75" x14ac:dyDescent="0.25">
      <c r="D853" s="199"/>
      <c r="E853" s="200"/>
      <c r="F853" s="287"/>
      <c r="G853" s="201"/>
      <c r="H853" s="219"/>
      <c r="I853" s="202"/>
      <c r="J853" s="200"/>
      <c r="K853" s="200"/>
      <c r="L853" s="203"/>
      <c r="M853" s="204">
        <f ca="1">IF(ISERROR(OFFSET(Tabella!$A$1,MATCH(J853,Tabella!$A:$A,0)-1,MATCH(L853,Tabella!$A$1:$AC$1,0)-1)=TRUE),0,+OFFSET(Tabella!$A$1,MATCH(J853,Tabella!$A:$A,0)-1,MATCH(L853,Tabella!$A$1:$AC$1,0)-1))</f>
        <v>0</v>
      </c>
      <c r="N853" s="205">
        <f ca="1">IF(ISERROR(OFFSET(Ottone!$A$1,MATCH(J853,Ottone!$A:$A,0)-1,MATCH(L853,Ottone!$A$1:$Z$1,0)-1)=TRUE),0,OFFSET(Ottone!$A$1,MATCH(J853,Ottone!$A:$A,0)-1,MATCH(L853,Ottone!$A$1:$Z$1,0)-1))*IF(G853="Ottone",1,0)</f>
        <v>0</v>
      </c>
      <c r="O853" s="205">
        <f ca="1">IF(ISERROR(OFFSET(Rame!$A$1,MATCH(J853,Rame!$A:$A,0)-1,MATCH(L853,Rame!$A$1:$AA$1,0)-1)=TRUE),0,OFFSET(Rame!$A$1,MATCH(J853,Rame!$A:$A,0)-1,MATCH(L853,Rame!$A$1:$AA$1,0)-1))*IF(G853="Rame",1,0)</f>
        <v>0</v>
      </c>
      <c r="P853" s="205">
        <v>0</v>
      </c>
      <c r="Q853" s="205">
        <f t="shared" ca="1" si="275"/>
        <v>0</v>
      </c>
      <c r="R853" s="205">
        <f ca="1">+IF(ISERROR(OFFSET(Tabella!$G$1,MATCH(J853,Tabella!$G:$G,0)-1,MATCH(K853,Tabella!$G$1:$FG$1,0)-1)=TRUE),0,OFFSET(Tabella!$G$1,MATCH(J853,Tabella!$G:$G,0)-1,MATCH(K853,Tabella!$G$1:$AB$1,0)-1))</f>
        <v>0</v>
      </c>
      <c r="S853" s="205">
        <f ca="1">IF(ISERROR(OFFSET(Ottone!$F$1,MATCH(J853,Ottone!$A:$A,0)-1,MATCH(K853,Ottone!$F$1:$FF$1,0)-1)=TRUE),0,OFFSET(Ottone!$F$1,MATCH(J853,Ottone!$A:$A,0)-1,MATCH(K853,Ottone!$F$1:$FF$1,0)-1))*IF(G853="Ottone",1,0)</f>
        <v>0</v>
      </c>
      <c r="T853" s="205">
        <f ca="1">IF(ISERROR(OFFSET(Rame!$F$1,MATCH(J853,Rame!$F:$F,0)-1,MATCH(K853,Rame!$F$1:$FF$1,0)-1)=TRUE),0,OFFSET(Rame!$F$1,MATCH(J853,Rame!$F:$F,0)-1,MATCH(K853,Rame!$F$1:$FF$1,0)-1))*IF(G853="Rame",1,0)</f>
        <v>0</v>
      </c>
      <c r="U853" s="205">
        <f ca="1">IF(ISERROR(OFFSET(Bronzo!$A$1,MATCH(J853,Bronzo!$A:$A,0)-1,MATCH(K853,Bronzo!$A$1:$AA$1,0)-1)=TRUE),0,OFFSET(Bronzo!$A$1,MATCH(J853,Bronzo!$A:$A,0)-1,MATCH(K853,Bronzo!$A$1:$AA$1,0)-1))</f>
        <v>0</v>
      </c>
      <c r="V853" s="205">
        <f t="shared" ca="1" si="276"/>
        <v>0</v>
      </c>
      <c r="W853" s="204"/>
      <c r="X853" s="205">
        <v>0</v>
      </c>
      <c r="Y853" s="206">
        <f t="shared" ca="1" si="277"/>
        <v>0</v>
      </c>
      <c r="Z853" s="277">
        <f t="shared" si="278"/>
        <v>0</v>
      </c>
      <c r="AA853" s="203"/>
      <c r="AB853" s="203">
        <f t="shared" ca="1" si="279"/>
        <v>0</v>
      </c>
      <c r="AC853" s="238"/>
      <c r="AI853" s="367">
        <f t="shared" ca="1" si="274"/>
        <v>46092</v>
      </c>
      <c r="AJ853" s="367" t="b">
        <f t="shared" si="268"/>
        <v>1</v>
      </c>
      <c r="AK853" s="370" t="str">
        <f t="shared" si="269"/>
        <v/>
      </c>
      <c r="AN853">
        <f t="shared" si="270"/>
        <v>0</v>
      </c>
      <c r="AO853">
        <f t="shared" si="271"/>
        <v>1900</v>
      </c>
      <c r="AV853">
        <f t="shared" si="272"/>
        <v>0</v>
      </c>
      <c r="AW853">
        <f t="shared" si="273"/>
        <v>0</v>
      </c>
    </row>
    <row r="854" spans="4:49" ht="15.75" x14ac:dyDescent="0.25">
      <c r="D854" s="199"/>
      <c r="E854" s="200"/>
      <c r="F854" s="287"/>
      <c r="G854" s="201"/>
      <c r="H854" s="219"/>
      <c r="I854" s="202"/>
      <c r="J854" s="200"/>
      <c r="K854" s="200"/>
      <c r="L854" s="203"/>
      <c r="M854" s="204">
        <f ca="1">IF(ISERROR(OFFSET(Tabella!$A$1,MATCH(J854,Tabella!$A:$A,0)-1,MATCH(L854,Tabella!$A$1:$AC$1,0)-1)=TRUE),0,+OFFSET(Tabella!$A$1,MATCH(J854,Tabella!$A:$A,0)-1,MATCH(L854,Tabella!$A$1:$AC$1,0)-1))</f>
        <v>0</v>
      </c>
      <c r="N854" s="205">
        <f ca="1">IF(ISERROR(OFFSET(Ottone!$A$1,MATCH(J854,Ottone!$A:$A,0)-1,MATCH(L854,Ottone!$A$1:$Z$1,0)-1)=TRUE),0,OFFSET(Ottone!$A$1,MATCH(J854,Ottone!$A:$A,0)-1,MATCH(L854,Ottone!$A$1:$Z$1,0)-1))*IF(G854="Ottone",1,0)</f>
        <v>0</v>
      </c>
      <c r="O854" s="205">
        <f ca="1">IF(ISERROR(OFFSET(Rame!$A$1,MATCH(J854,Rame!$A:$A,0)-1,MATCH(L854,Rame!$A$1:$AA$1,0)-1)=TRUE),0,OFFSET(Rame!$A$1,MATCH(J854,Rame!$A:$A,0)-1,MATCH(L854,Rame!$A$1:$AA$1,0)-1))*IF(G854="Rame",1,0)</f>
        <v>0</v>
      </c>
      <c r="P854" s="205">
        <v>0</v>
      </c>
      <c r="Q854" s="205">
        <f t="shared" ca="1" si="275"/>
        <v>0</v>
      </c>
      <c r="R854" s="205">
        <f ca="1">+IF(ISERROR(OFFSET(Tabella!$G$1,MATCH(J854,Tabella!$G:$G,0)-1,MATCH(K854,Tabella!$G$1:$FG$1,0)-1)=TRUE),0,OFFSET(Tabella!$G$1,MATCH(J854,Tabella!$G:$G,0)-1,MATCH(K854,Tabella!$G$1:$AB$1,0)-1))</f>
        <v>0</v>
      </c>
      <c r="S854" s="205">
        <f ca="1">IF(ISERROR(OFFSET(Ottone!$F$1,MATCH(J854,Ottone!$A:$A,0)-1,MATCH(K854,Ottone!$F$1:$FF$1,0)-1)=TRUE),0,OFFSET(Ottone!$F$1,MATCH(J854,Ottone!$A:$A,0)-1,MATCH(K854,Ottone!$F$1:$FF$1,0)-1))*IF(G854="Ottone",1,0)</f>
        <v>0</v>
      </c>
      <c r="T854" s="205">
        <f ca="1">IF(ISERROR(OFFSET(Rame!$F$1,MATCH(J854,Rame!$F:$F,0)-1,MATCH(K854,Rame!$F$1:$FF$1,0)-1)=TRUE),0,OFFSET(Rame!$F$1,MATCH(J854,Rame!$F:$F,0)-1,MATCH(K854,Rame!$F$1:$FF$1,0)-1))*IF(G854="Rame",1,0)</f>
        <v>0</v>
      </c>
      <c r="U854" s="205">
        <f ca="1">IF(ISERROR(OFFSET(Bronzo!$A$1,MATCH(J854,Bronzo!$A:$A,0)-1,MATCH(K854,Bronzo!$A$1:$AA$1,0)-1)=TRUE),0,OFFSET(Bronzo!$A$1,MATCH(J854,Bronzo!$A:$A,0)-1,MATCH(K854,Bronzo!$A$1:$AA$1,0)-1))</f>
        <v>0</v>
      </c>
      <c r="V854" s="205">
        <f t="shared" ca="1" si="276"/>
        <v>0</v>
      </c>
      <c r="W854" s="204"/>
      <c r="X854" s="205">
        <v>0</v>
      </c>
      <c r="Y854" s="206">
        <f t="shared" ca="1" si="277"/>
        <v>0</v>
      </c>
      <c r="Z854" s="277">
        <f t="shared" si="278"/>
        <v>0</v>
      </c>
      <c r="AA854" s="203"/>
      <c r="AB854" s="203">
        <f t="shared" ca="1" si="279"/>
        <v>0</v>
      </c>
      <c r="AC854" s="238"/>
      <c r="AI854" s="367">
        <f t="shared" ca="1" si="274"/>
        <v>46092</v>
      </c>
      <c r="AJ854" s="367" t="b">
        <f t="shared" si="268"/>
        <v>1</v>
      </c>
      <c r="AK854" s="370" t="str">
        <f t="shared" si="269"/>
        <v/>
      </c>
      <c r="AN854">
        <f t="shared" si="270"/>
        <v>0</v>
      </c>
      <c r="AO854">
        <f t="shared" si="271"/>
        <v>1900</v>
      </c>
      <c r="AV854">
        <f t="shared" si="272"/>
        <v>0</v>
      </c>
      <c r="AW854">
        <f t="shared" si="273"/>
        <v>0</v>
      </c>
    </row>
    <row r="855" spans="4:49" ht="15.75" x14ac:dyDescent="0.25">
      <c r="D855" s="199"/>
      <c r="E855" s="200"/>
      <c r="F855" s="287"/>
      <c r="G855" s="201"/>
      <c r="H855" s="219"/>
      <c r="I855" s="202"/>
      <c r="J855" s="200"/>
      <c r="K855" s="200"/>
      <c r="L855" s="203"/>
      <c r="M855" s="204">
        <f ca="1">IF(ISERROR(OFFSET(Tabella!$A$1,MATCH(J855,Tabella!$A:$A,0)-1,MATCH(L855,Tabella!$A$1:$AC$1,0)-1)=TRUE),0,+OFFSET(Tabella!$A$1,MATCH(J855,Tabella!$A:$A,0)-1,MATCH(L855,Tabella!$A$1:$AC$1,0)-1))</f>
        <v>0</v>
      </c>
      <c r="N855" s="205">
        <f ca="1">IF(ISERROR(OFFSET(Ottone!$A$1,MATCH(J855,Ottone!$A:$A,0)-1,MATCH(L855,Ottone!$A$1:$Z$1,0)-1)=TRUE),0,OFFSET(Ottone!$A$1,MATCH(J855,Ottone!$A:$A,0)-1,MATCH(L855,Ottone!$A$1:$Z$1,0)-1))*IF(G855="Ottone",1,0)</f>
        <v>0</v>
      </c>
      <c r="O855" s="205">
        <f ca="1">IF(ISERROR(OFFSET(Rame!$A$1,MATCH(J855,Rame!$A:$A,0)-1,MATCH(L855,Rame!$A$1:$AA$1,0)-1)=TRUE),0,OFFSET(Rame!$A$1,MATCH(J855,Rame!$A:$A,0)-1,MATCH(L855,Rame!$A$1:$AA$1,0)-1))*IF(G855="Rame",1,0)</f>
        <v>0</v>
      </c>
      <c r="P855" s="205">
        <v>0</v>
      </c>
      <c r="Q855" s="205">
        <f t="shared" ca="1" si="275"/>
        <v>0</v>
      </c>
      <c r="R855" s="205">
        <f ca="1">+IF(ISERROR(OFFSET(Tabella!$G$1,MATCH(J855,Tabella!$G:$G,0)-1,MATCH(K855,Tabella!$G$1:$FG$1,0)-1)=TRUE),0,OFFSET(Tabella!$G$1,MATCH(J855,Tabella!$G:$G,0)-1,MATCH(K855,Tabella!$G$1:$AB$1,0)-1))</f>
        <v>0</v>
      </c>
      <c r="S855" s="205">
        <f ca="1">IF(ISERROR(OFFSET(Ottone!$F$1,MATCH(J855,Ottone!$A:$A,0)-1,MATCH(K855,Ottone!$F$1:$FF$1,0)-1)=TRUE),0,OFFSET(Ottone!$F$1,MATCH(J855,Ottone!$A:$A,0)-1,MATCH(K855,Ottone!$F$1:$FF$1,0)-1))*IF(G855="Ottone",1,0)</f>
        <v>0</v>
      </c>
      <c r="T855" s="205">
        <f ca="1">IF(ISERROR(OFFSET(Rame!$F$1,MATCH(J855,Rame!$F:$F,0)-1,MATCH(K855,Rame!$F$1:$FF$1,0)-1)=TRUE),0,OFFSET(Rame!$F$1,MATCH(J855,Rame!$F:$F,0)-1,MATCH(K855,Rame!$F$1:$FF$1,0)-1))*IF(G855="Rame",1,0)</f>
        <v>0</v>
      </c>
      <c r="U855" s="205">
        <f ca="1">IF(ISERROR(OFFSET(Bronzo!$A$1,MATCH(J855,Bronzo!$A:$A,0)-1,MATCH(K855,Bronzo!$A$1:$AA$1,0)-1)=TRUE),0,OFFSET(Bronzo!$A$1,MATCH(J855,Bronzo!$A:$A,0)-1,MATCH(K855,Bronzo!$A$1:$AA$1,0)-1))</f>
        <v>0</v>
      </c>
      <c r="V855" s="205">
        <f t="shared" ca="1" si="276"/>
        <v>0</v>
      </c>
      <c r="W855" s="204"/>
      <c r="X855" s="205">
        <v>0</v>
      </c>
      <c r="Y855" s="206">
        <f t="shared" ca="1" si="277"/>
        <v>0</v>
      </c>
      <c r="Z855" s="277">
        <f t="shared" si="278"/>
        <v>0</v>
      </c>
      <c r="AA855" s="203"/>
      <c r="AB855" s="203">
        <f t="shared" ca="1" si="279"/>
        <v>0</v>
      </c>
      <c r="AC855" s="238"/>
      <c r="AI855" s="367">
        <f t="shared" ca="1" si="274"/>
        <v>46092</v>
      </c>
      <c r="AJ855" s="367" t="b">
        <f t="shared" si="268"/>
        <v>1</v>
      </c>
      <c r="AK855" s="370" t="str">
        <f t="shared" si="269"/>
        <v/>
      </c>
      <c r="AN855">
        <f t="shared" si="270"/>
        <v>0</v>
      </c>
      <c r="AO855">
        <f t="shared" si="271"/>
        <v>1900</v>
      </c>
      <c r="AV855">
        <f t="shared" si="272"/>
        <v>0</v>
      </c>
      <c r="AW855">
        <f t="shared" si="273"/>
        <v>0</v>
      </c>
    </row>
    <row r="856" spans="4:49" ht="15.75" x14ac:dyDescent="0.25">
      <c r="D856" s="199"/>
      <c r="E856" s="200"/>
      <c r="F856" s="287"/>
      <c r="G856" s="201"/>
      <c r="H856" s="219"/>
      <c r="I856" s="202"/>
      <c r="J856" s="200"/>
      <c r="K856" s="200"/>
      <c r="L856" s="203"/>
      <c r="M856" s="204">
        <f ca="1">IF(ISERROR(OFFSET(Tabella!$A$1,MATCH(J856,Tabella!$A:$A,0)-1,MATCH(L856,Tabella!$A$1:$AC$1,0)-1)=TRUE),0,+OFFSET(Tabella!$A$1,MATCH(J856,Tabella!$A:$A,0)-1,MATCH(L856,Tabella!$A$1:$AC$1,0)-1))</f>
        <v>0</v>
      </c>
      <c r="N856" s="205">
        <f ca="1">IF(ISERROR(OFFSET(Ottone!$A$1,MATCH(J856,Ottone!$A:$A,0)-1,MATCH(L856,Ottone!$A$1:$Z$1,0)-1)=TRUE),0,OFFSET(Ottone!$A$1,MATCH(J856,Ottone!$A:$A,0)-1,MATCH(L856,Ottone!$A$1:$Z$1,0)-1))*IF(G856="Ottone",1,0)</f>
        <v>0</v>
      </c>
      <c r="O856" s="205">
        <f ca="1">IF(ISERROR(OFFSET(Rame!$A$1,MATCH(J856,Rame!$A:$A,0)-1,MATCH(L856,Rame!$A$1:$AA$1,0)-1)=TRUE),0,OFFSET(Rame!$A$1,MATCH(J856,Rame!$A:$A,0)-1,MATCH(L856,Rame!$A$1:$AA$1,0)-1))*IF(G856="Rame",1,0)</f>
        <v>0</v>
      </c>
      <c r="P856" s="205">
        <v>0</v>
      </c>
      <c r="Q856" s="205">
        <f t="shared" ca="1" si="275"/>
        <v>0</v>
      </c>
      <c r="R856" s="205">
        <f ca="1">+IF(ISERROR(OFFSET(Tabella!$G$1,MATCH(J856,Tabella!$G:$G,0)-1,MATCH(K856,Tabella!$G$1:$FG$1,0)-1)=TRUE),0,OFFSET(Tabella!$G$1,MATCH(J856,Tabella!$G:$G,0)-1,MATCH(K856,Tabella!$G$1:$AB$1,0)-1))</f>
        <v>0</v>
      </c>
      <c r="S856" s="205">
        <f ca="1">IF(ISERROR(OFFSET(Ottone!$F$1,MATCH(J856,Ottone!$A:$A,0)-1,MATCH(K856,Ottone!$F$1:$FF$1,0)-1)=TRUE),0,OFFSET(Ottone!$F$1,MATCH(J856,Ottone!$A:$A,0)-1,MATCH(K856,Ottone!$F$1:$FF$1,0)-1))*IF(G856="Ottone",1,0)</f>
        <v>0</v>
      </c>
      <c r="T856" s="205">
        <f ca="1">IF(ISERROR(OFFSET(Rame!$F$1,MATCH(J856,Rame!$F:$F,0)-1,MATCH(K856,Rame!$F$1:$FF$1,0)-1)=TRUE),0,OFFSET(Rame!$F$1,MATCH(J856,Rame!$F:$F,0)-1,MATCH(K856,Rame!$F$1:$FF$1,0)-1))*IF(G856="Rame",1,0)</f>
        <v>0</v>
      </c>
      <c r="U856" s="205">
        <f ca="1">IF(ISERROR(OFFSET(Bronzo!$A$1,MATCH(J856,Bronzo!$A:$A,0)-1,MATCH(K856,Bronzo!$A$1:$AA$1,0)-1)=TRUE),0,OFFSET(Bronzo!$A$1,MATCH(J856,Bronzo!$A:$A,0)-1,MATCH(K856,Bronzo!$A$1:$AA$1,0)-1))</f>
        <v>0</v>
      </c>
      <c r="V856" s="205">
        <f t="shared" ca="1" si="276"/>
        <v>0</v>
      </c>
      <c r="W856" s="204"/>
      <c r="X856" s="205">
        <v>0</v>
      </c>
      <c r="Y856" s="206">
        <f t="shared" ca="1" si="277"/>
        <v>0</v>
      </c>
      <c r="Z856" s="277">
        <f t="shared" si="278"/>
        <v>0</v>
      </c>
      <c r="AA856" s="203"/>
      <c r="AB856" s="203">
        <f t="shared" ca="1" si="279"/>
        <v>0</v>
      </c>
      <c r="AC856" s="238"/>
      <c r="AI856" s="367">
        <f t="shared" ca="1" si="274"/>
        <v>46092</v>
      </c>
      <c r="AJ856" s="367" t="b">
        <f t="shared" si="268"/>
        <v>1</v>
      </c>
      <c r="AK856" s="370" t="str">
        <f t="shared" si="269"/>
        <v/>
      </c>
      <c r="AN856">
        <f t="shared" si="270"/>
        <v>0</v>
      </c>
      <c r="AO856">
        <f t="shared" si="271"/>
        <v>1900</v>
      </c>
      <c r="AV856">
        <f t="shared" si="272"/>
        <v>0</v>
      </c>
      <c r="AW856">
        <f t="shared" si="273"/>
        <v>0</v>
      </c>
    </row>
    <row r="857" spans="4:49" ht="15.75" x14ac:dyDescent="0.25">
      <c r="D857" s="199"/>
      <c r="E857" s="200"/>
      <c r="F857" s="287"/>
      <c r="G857" s="201"/>
      <c r="H857" s="219"/>
      <c r="I857" s="202"/>
      <c r="J857" s="200"/>
      <c r="K857" s="200"/>
      <c r="L857" s="203"/>
      <c r="M857" s="204">
        <f ca="1">IF(ISERROR(OFFSET(Tabella!$A$1,MATCH(J857,Tabella!$A:$A,0)-1,MATCH(L857,Tabella!$A$1:$AC$1,0)-1)=TRUE),0,+OFFSET(Tabella!$A$1,MATCH(J857,Tabella!$A:$A,0)-1,MATCH(L857,Tabella!$A$1:$AC$1,0)-1))</f>
        <v>0</v>
      </c>
      <c r="N857" s="205">
        <f ca="1">IF(ISERROR(OFFSET(Ottone!$A$1,MATCH(J857,Ottone!$A:$A,0)-1,MATCH(L857,Ottone!$A$1:$Z$1,0)-1)=TRUE),0,OFFSET(Ottone!$A$1,MATCH(J857,Ottone!$A:$A,0)-1,MATCH(L857,Ottone!$A$1:$Z$1,0)-1))*IF(G857="Ottone",1,0)</f>
        <v>0</v>
      </c>
      <c r="O857" s="205">
        <f ca="1">IF(ISERROR(OFFSET(Rame!$A$1,MATCH(J857,Rame!$A:$A,0)-1,MATCH(L857,Rame!$A$1:$AA$1,0)-1)=TRUE),0,OFFSET(Rame!$A$1,MATCH(J857,Rame!$A:$A,0)-1,MATCH(L857,Rame!$A$1:$AA$1,0)-1))*IF(G857="Rame",1,0)</f>
        <v>0</v>
      </c>
      <c r="P857" s="205">
        <v>0</v>
      </c>
      <c r="Q857" s="205">
        <f t="shared" ca="1" si="275"/>
        <v>0</v>
      </c>
      <c r="R857" s="205">
        <f ca="1">+IF(ISERROR(OFFSET(Tabella!$G$1,MATCH(J857,Tabella!$G:$G,0)-1,MATCH(K857,Tabella!$G$1:$FG$1,0)-1)=TRUE),0,OFFSET(Tabella!$G$1,MATCH(J857,Tabella!$G:$G,0)-1,MATCH(K857,Tabella!$G$1:$AB$1,0)-1))</f>
        <v>0</v>
      </c>
      <c r="S857" s="205">
        <f ca="1">IF(ISERROR(OFFSET(Ottone!$F$1,MATCH(J857,Ottone!$A:$A,0)-1,MATCH(K857,Ottone!$F$1:$FF$1,0)-1)=TRUE),0,OFFSET(Ottone!$F$1,MATCH(J857,Ottone!$A:$A,0)-1,MATCH(K857,Ottone!$F$1:$FF$1,0)-1))*IF(G857="Ottone",1,0)</f>
        <v>0</v>
      </c>
      <c r="T857" s="205">
        <f ca="1">IF(ISERROR(OFFSET(Rame!$F$1,MATCH(J857,Rame!$F:$F,0)-1,MATCH(K857,Rame!$F$1:$FF$1,0)-1)=TRUE),0,OFFSET(Rame!$F$1,MATCH(J857,Rame!$F:$F,0)-1,MATCH(K857,Rame!$F$1:$FF$1,0)-1))*IF(G857="Rame",1,0)</f>
        <v>0</v>
      </c>
      <c r="U857" s="205">
        <f ca="1">IF(ISERROR(OFFSET(Bronzo!$A$1,MATCH(J857,Bronzo!$A:$A,0)-1,MATCH(K857,Bronzo!$A$1:$AA$1,0)-1)=TRUE),0,OFFSET(Bronzo!$A$1,MATCH(J857,Bronzo!$A:$A,0)-1,MATCH(K857,Bronzo!$A$1:$AA$1,0)-1))</f>
        <v>0</v>
      </c>
      <c r="V857" s="205">
        <f t="shared" ca="1" si="276"/>
        <v>0</v>
      </c>
      <c r="W857" s="204"/>
      <c r="X857" s="205">
        <v>0</v>
      </c>
      <c r="Y857" s="206">
        <f t="shared" ca="1" si="277"/>
        <v>0</v>
      </c>
      <c r="Z857" s="277">
        <f t="shared" si="278"/>
        <v>0</v>
      </c>
      <c r="AA857" s="203"/>
      <c r="AB857" s="203">
        <f t="shared" ca="1" si="279"/>
        <v>0</v>
      </c>
      <c r="AC857" s="238"/>
      <c r="AI857" s="367">
        <f t="shared" ca="1" si="274"/>
        <v>46092</v>
      </c>
      <c r="AJ857" s="367" t="b">
        <f t="shared" si="268"/>
        <v>1</v>
      </c>
      <c r="AK857" s="370" t="str">
        <f t="shared" si="269"/>
        <v/>
      </c>
      <c r="AN857">
        <f t="shared" si="270"/>
        <v>0</v>
      </c>
      <c r="AO857">
        <f t="shared" si="271"/>
        <v>1900</v>
      </c>
      <c r="AV857">
        <f t="shared" si="272"/>
        <v>0</v>
      </c>
      <c r="AW857">
        <f t="shared" si="273"/>
        <v>0</v>
      </c>
    </row>
    <row r="858" spans="4:49" ht="15.75" x14ac:dyDescent="0.25">
      <c r="D858" s="199"/>
      <c r="E858" s="200"/>
      <c r="F858" s="287"/>
      <c r="G858" s="201"/>
      <c r="H858" s="219"/>
      <c r="I858" s="202"/>
      <c r="J858" s="200"/>
      <c r="K858" s="200"/>
      <c r="L858" s="203"/>
      <c r="M858" s="204">
        <f ca="1">IF(ISERROR(OFFSET(Tabella!$A$1,MATCH(J858,Tabella!$A:$A,0)-1,MATCH(L858,Tabella!$A$1:$AC$1,0)-1)=TRUE),0,+OFFSET(Tabella!$A$1,MATCH(J858,Tabella!$A:$A,0)-1,MATCH(L858,Tabella!$A$1:$AC$1,0)-1))</f>
        <v>0</v>
      </c>
      <c r="N858" s="205">
        <f ca="1">IF(ISERROR(OFFSET(Ottone!$A$1,MATCH(J858,Ottone!$A:$A,0)-1,MATCH(L858,Ottone!$A$1:$Z$1,0)-1)=TRUE),0,OFFSET(Ottone!$A$1,MATCH(J858,Ottone!$A:$A,0)-1,MATCH(L858,Ottone!$A$1:$Z$1,0)-1))*IF(G858="Ottone",1,0)</f>
        <v>0</v>
      </c>
      <c r="O858" s="205">
        <f ca="1">IF(ISERROR(OFFSET(Rame!$A$1,MATCH(J858,Rame!$A:$A,0)-1,MATCH(L858,Rame!$A$1:$AA$1,0)-1)=TRUE),0,OFFSET(Rame!$A$1,MATCH(J858,Rame!$A:$A,0)-1,MATCH(L858,Rame!$A$1:$AA$1,0)-1))*IF(G858="Rame",1,0)</f>
        <v>0</v>
      </c>
      <c r="P858" s="205">
        <v>0</v>
      </c>
      <c r="Q858" s="205">
        <f t="shared" ca="1" si="275"/>
        <v>0</v>
      </c>
      <c r="R858" s="205">
        <f ca="1">+IF(ISERROR(OFFSET(Tabella!$G$1,MATCH(J858,Tabella!$G:$G,0)-1,MATCH(K858,Tabella!$G$1:$FG$1,0)-1)=TRUE),0,OFFSET(Tabella!$G$1,MATCH(J858,Tabella!$G:$G,0)-1,MATCH(K858,Tabella!$G$1:$AB$1,0)-1))</f>
        <v>0</v>
      </c>
      <c r="S858" s="205">
        <f ca="1">IF(ISERROR(OFFSET(Ottone!$F$1,MATCH(J858,Ottone!$A:$A,0)-1,MATCH(K858,Ottone!$F$1:$FF$1,0)-1)=TRUE),0,OFFSET(Ottone!$F$1,MATCH(J858,Ottone!$A:$A,0)-1,MATCH(K858,Ottone!$F$1:$FF$1,0)-1))*IF(G858="Ottone",1,0)</f>
        <v>0</v>
      </c>
      <c r="T858" s="205">
        <f ca="1">IF(ISERROR(OFFSET(Rame!$F$1,MATCH(J858,Rame!$F:$F,0)-1,MATCH(K858,Rame!$F$1:$FF$1,0)-1)=TRUE),0,OFFSET(Rame!$F$1,MATCH(J858,Rame!$F:$F,0)-1,MATCH(K858,Rame!$F$1:$FF$1,0)-1))*IF(G858="Rame",1,0)</f>
        <v>0</v>
      </c>
      <c r="U858" s="205">
        <f ca="1">IF(ISERROR(OFFSET(Bronzo!$A$1,MATCH(J858,Bronzo!$A:$A,0)-1,MATCH(K858,Bronzo!$A$1:$AA$1,0)-1)=TRUE),0,OFFSET(Bronzo!$A$1,MATCH(J858,Bronzo!$A:$A,0)-1,MATCH(K858,Bronzo!$A$1:$AA$1,0)-1))</f>
        <v>0</v>
      </c>
      <c r="V858" s="205">
        <f t="shared" ca="1" si="276"/>
        <v>0</v>
      </c>
      <c r="W858" s="204"/>
      <c r="X858" s="205">
        <v>0</v>
      </c>
      <c r="Y858" s="206">
        <f t="shared" ca="1" si="277"/>
        <v>0</v>
      </c>
      <c r="Z858" s="277">
        <f t="shared" si="278"/>
        <v>0</v>
      </c>
      <c r="AA858" s="203"/>
      <c r="AB858" s="203">
        <f t="shared" ca="1" si="279"/>
        <v>0</v>
      </c>
      <c r="AC858" s="238"/>
      <c r="AI858" s="367">
        <f t="shared" ca="1" si="274"/>
        <v>46092</v>
      </c>
      <c r="AJ858" s="367" t="b">
        <f t="shared" si="268"/>
        <v>1</v>
      </c>
      <c r="AK858" s="370" t="str">
        <f t="shared" si="269"/>
        <v/>
      </c>
      <c r="AN858">
        <f t="shared" si="270"/>
        <v>0</v>
      </c>
      <c r="AO858">
        <f t="shared" si="271"/>
        <v>1900</v>
      </c>
      <c r="AV858">
        <f t="shared" si="272"/>
        <v>0</v>
      </c>
      <c r="AW858">
        <f t="shared" si="273"/>
        <v>0</v>
      </c>
    </row>
    <row r="859" spans="4:49" ht="15.75" x14ac:dyDescent="0.25">
      <c r="D859" s="199"/>
      <c r="E859" s="200"/>
      <c r="F859" s="287"/>
      <c r="G859" s="201"/>
      <c r="H859" s="219"/>
      <c r="I859" s="202"/>
      <c r="J859" s="200"/>
      <c r="K859" s="200"/>
      <c r="L859" s="203"/>
      <c r="M859" s="204">
        <f ca="1">IF(ISERROR(OFFSET(Tabella!$A$1,MATCH(J859,Tabella!$A:$A,0)-1,MATCH(L859,Tabella!$A$1:$AC$1,0)-1)=TRUE),0,+OFFSET(Tabella!$A$1,MATCH(J859,Tabella!$A:$A,0)-1,MATCH(L859,Tabella!$A$1:$AC$1,0)-1))</f>
        <v>0</v>
      </c>
      <c r="N859" s="205">
        <f ca="1">IF(ISERROR(OFFSET(Ottone!$A$1,MATCH(J859,Ottone!$A:$A,0)-1,MATCH(L859,Ottone!$A$1:$Z$1,0)-1)=TRUE),0,OFFSET(Ottone!$A$1,MATCH(J859,Ottone!$A:$A,0)-1,MATCH(L859,Ottone!$A$1:$Z$1,0)-1))*IF(G859="Ottone",1,0)</f>
        <v>0</v>
      </c>
      <c r="O859" s="205">
        <f ca="1">IF(ISERROR(OFFSET(Rame!$A$1,MATCH(J859,Rame!$A:$A,0)-1,MATCH(L859,Rame!$A$1:$AA$1,0)-1)=TRUE),0,OFFSET(Rame!$A$1,MATCH(J859,Rame!$A:$A,0)-1,MATCH(L859,Rame!$A$1:$AA$1,0)-1))*IF(G859="Rame",1,0)</f>
        <v>0</v>
      </c>
      <c r="P859" s="205">
        <v>0</v>
      </c>
      <c r="Q859" s="205">
        <f t="shared" ca="1" si="275"/>
        <v>0</v>
      </c>
      <c r="R859" s="205">
        <f ca="1">+IF(ISERROR(OFFSET(Tabella!$G$1,MATCH(J859,Tabella!$G:$G,0)-1,MATCH(K859,Tabella!$G$1:$FG$1,0)-1)=TRUE),0,OFFSET(Tabella!$G$1,MATCH(J859,Tabella!$G:$G,0)-1,MATCH(K859,Tabella!$G$1:$AB$1,0)-1))</f>
        <v>0</v>
      </c>
      <c r="S859" s="205">
        <f ca="1">IF(ISERROR(OFFSET(Ottone!$F$1,MATCH(J859,Ottone!$A:$A,0)-1,MATCH(K859,Ottone!$F$1:$FF$1,0)-1)=TRUE),0,OFFSET(Ottone!$F$1,MATCH(J859,Ottone!$A:$A,0)-1,MATCH(K859,Ottone!$F$1:$FF$1,0)-1))*IF(G859="Ottone",1,0)</f>
        <v>0</v>
      </c>
      <c r="T859" s="205">
        <f ca="1">IF(ISERROR(OFFSET(Rame!$F$1,MATCH(J859,Rame!$F:$F,0)-1,MATCH(K859,Rame!$F$1:$FF$1,0)-1)=TRUE),0,OFFSET(Rame!$F$1,MATCH(J859,Rame!$F:$F,0)-1,MATCH(K859,Rame!$F$1:$FF$1,0)-1))*IF(G859="Rame",1,0)</f>
        <v>0</v>
      </c>
      <c r="U859" s="205">
        <f ca="1">IF(ISERROR(OFFSET(Bronzo!$A$1,MATCH(J859,Bronzo!$A:$A,0)-1,MATCH(K859,Bronzo!$A$1:$AA$1,0)-1)=TRUE),0,OFFSET(Bronzo!$A$1,MATCH(J859,Bronzo!$A:$A,0)-1,MATCH(K859,Bronzo!$A$1:$AA$1,0)-1))</f>
        <v>0</v>
      </c>
      <c r="V859" s="205">
        <f t="shared" ca="1" si="276"/>
        <v>0</v>
      </c>
      <c r="W859" s="204"/>
      <c r="X859" s="205">
        <v>0</v>
      </c>
      <c r="Y859" s="206">
        <f t="shared" ca="1" si="277"/>
        <v>0</v>
      </c>
      <c r="Z859" s="277">
        <f t="shared" si="278"/>
        <v>0</v>
      </c>
      <c r="AA859" s="203"/>
      <c r="AB859" s="203">
        <f t="shared" ca="1" si="279"/>
        <v>0</v>
      </c>
      <c r="AC859" s="238"/>
      <c r="AI859" s="367">
        <f t="shared" ca="1" si="274"/>
        <v>46092</v>
      </c>
      <c r="AJ859" s="367" t="b">
        <f t="shared" si="268"/>
        <v>1</v>
      </c>
      <c r="AK859" s="370" t="str">
        <f t="shared" si="269"/>
        <v/>
      </c>
      <c r="AN859">
        <f t="shared" si="270"/>
        <v>0</v>
      </c>
      <c r="AO859">
        <f t="shared" si="271"/>
        <v>1900</v>
      </c>
      <c r="AV859">
        <f t="shared" si="272"/>
        <v>0</v>
      </c>
      <c r="AW859">
        <f t="shared" si="273"/>
        <v>0</v>
      </c>
    </row>
    <row r="860" spans="4:49" ht="15.75" x14ac:dyDescent="0.25">
      <c r="D860" s="199"/>
      <c r="E860" s="200"/>
      <c r="F860" s="287"/>
      <c r="G860" s="201"/>
      <c r="H860" s="219"/>
      <c r="I860" s="202"/>
      <c r="J860" s="200"/>
      <c r="K860" s="200"/>
      <c r="L860" s="203"/>
      <c r="M860" s="204">
        <f ca="1">IF(ISERROR(OFFSET(Tabella!$A$1,MATCH(J860,Tabella!$A:$A,0)-1,MATCH(L860,Tabella!$A$1:$AC$1,0)-1)=TRUE),0,+OFFSET(Tabella!$A$1,MATCH(J860,Tabella!$A:$A,0)-1,MATCH(L860,Tabella!$A$1:$AC$1,0)-1))</f>
        <v>0</v>
      </c>
      <c r="N860" s="205">
        <f ca="1">IF(ISERROR(OFFSET(Ottone!$A$1,MATCH(J860,Ottone!$A:$A,0)-1,MATCH(L860,Ottone!$A$1:$Z$1,0)-1)=TRUE),0,OFFSET(Ottone!$A$1,MATCH(J860,Ottone!$A:$A,0)-1,MATCH(L860,Ottone!$A$1:$Z$1,0)-1))*IF(G860="Ottone",1,0)</f>
        <v>0</v>
      </c>
      <c r="O860" s="205">
        <f ca="1">IF(ISERROR(OFFSET(Rame!$A$1,MATCH(J860,Rame!$A:$A,0)-1,MATCH(L860,Rame!$A$1:$AA$1,0)-1)=TRUE),0,OFFSET(Rame!$A$1,MATCH(J860,Rame!$A:$A,0)-1,MATCH(L860,Rame!$A$1:$AA$1,0)-1))*IF(G860="Rame",1,0)</f>
        <v>0</v>
      </c>
      <c r="P860" s="205">
        <v>0</v>
      </c>
      <c r="Q860" s="205">
        <f t="shared" ca="1" si="275"/>
        <v>0</v>
      </c>
      <c r="R860" s="205">
        <f ca="1">+IF(ISERROR(OFFSET(Tabella!$G$1,MATCH(J860,Tabella!$G:$G,0)-1,MATCH(K860,Tabella!$G$1:$FG$1,0)-1)=TRUE),0,OFFSET(Tabella!$G$1,MATCH(J860,Tabella!$G:$G,0)-1,MATCH(K860,Tabella!$G$1:$AB$1,0)-1))</f>
        <v>0</v>
      </c>
      <c r="S860" s="205">
        <f ca="1">IF(ISERROR(OFFSET(Ottone!$F$1,MATCH(J860,Ottone!$A:$A,0)-1,MATCH(K860,Ottone!$F$1:$FF$1,0)-1)=TRUE),0,OFFSET(Ottone!$F$1,MATCH(J860,Ottone!$A:$A,0)-1,MATCH(K860,Ottone!$F$1:$FF$1,0)-1))*IF(G860="Ottone",1,0)</f>
        <v>0</v>
      </c>
      <c r="T860" s="205">
        <f ca="1">IF(ISERROR(OFFSET(Rame!$F$1,MATCH(J860,Rame!$F:$F,0)-1,MATCH(K860,Rame!$F$1:$FF$1,0)-1)=TRUE),0,OFFSET(Rame!$F$1,MATCH(J860,Rame!$F:$F,0)-1,MATCH(K860,Rame!$F$1:$FF$1,0)-1))*IF(G860="Rame",1,0)</f>
        <v>0</v>
      </c>
      <c r="U860" s="205">
        <f ca="1">IF(ISERROR(OFFSET(Bronzo!$A$1,MATCH(J860,Bronzo!$A:$A,0)-1,MATCH(K860,Bronzo!$A$1:$AA$1,0)-1)=TRUE),0,OFFSET(Bronzo!$A$1,MATCH(J860,Bronzo!$A:$A,0)-1,MATCH(K860,Bronzo!$A$1:$AA$1,0)-1))</f>
        <v>0</v>
      </c>
      <c r="V860" s="205">
        <f t="shared" ca="1" si="276"/>
        <v>0</v>
      </c>
      <c r="W860" s="204"/>
      <c r="X860" s="205">
        <v>0</v>
      </c>
      <c r="Y860" s="206">
        <f t="shared" ca="1" si="277"/>
        <v>0</v>
      </c>
      <c r="Z860" s="277">
        <f t="shared" si="278"/>
        <v>0</v>
      </c>
      <c r="AA860" s="203"/>
      <c r="AB860" s="203">
        <f t="shared" ca="1" si="279"/>
        <v>0</v>
      </c>
      <c r="AC860" s="238"/>
      <c r="AI860" s="367">
        <f t="shared" ca="1" si="274"/>
        <v>46092</v>
      </c>
      <c r="AJ860" s="367" t="b">
        <f t="shared" si="268"/>
        <v>1</v>
      </c>
      <c r="AK860" s="370" t="str">
        <f t="shared" si="269"/>
        <v/>
      </c>
      <c r="AN860">
        <f t="shared" si="270"/>
        <v>0</v>
      </c>
      <c r="AO860">
        <f t="shared" si="271"/>
        <v>1900</v>
      </c>
      <c r="AV860">
        <f t="shared" si="272"/>
        <v>0</v>
      </c>
      <c r="AW860">
        <f t="shared" si="273"/>
        <v>0</v>
      </c>
    </row>
    <row r="861" spans="4:49" ht="15.75" x14ac:dyDescent="0.25">
      <c r="D861" s="199"/>
      <c r="E861" s="200"/>
      <c r="F861" s="287"/>
      <c r="G861" s="201"/>
      <c r="H861" s="219"/>
      <c r="I861" s="202"/>
      <c r="J861" s="200"/>
      <c r="K861" s="200"/>
      <c r="L861" s="203"/>
      <c r="M861" s="204">
        <f ca="1">IF(ISERROR(OFFSET(Tabella!$A$1,MATCH(J861,Tabella!$A:$A,0)-1,MATCH(L861,Tabella!$A$1:$AC$1,0)-1)=TRUE),0,+OFFSET(Tabella!$A$1,MATCH(J861,Tabella!$A:$A,0)-1,MATCH(L861,Tabella!$A$1:$AC$1,0)-1))</f>
        <v>0</v>
      </c>
      <c r="N861" s="205">
        <f ca="1">IF(ISERROR(OFFSET(Ottone!$A$1,MATCH(J861,Ottone!$A:$A,0)-1,MATCH(L861,Ottone!$A$1:$Z$1,0)-1)=TRUE),0,OFFSET(Ottone!$A$1,MATCH(J861,Ottone!$A:$A,0)-1,MATCH(L861,Ottone!$A$1:$Z$1,0)-1))*IF(G861="Ottone",1,0)</f>
        <v>0</v>
      </c>
      <c r="O861" s="205">
        <f ca="1">IF(ISERROR(OFFSET(Rame!$A$1,MATCH(J861,Rame!$A:$A,0)-1,MATCH(L861,Rame!$A$1:$AA$1,0)-1)=TRUE),0,OFFSET(Rame!$A$1,MATCH(J861,Rame!$A:$A,0)-1,MATCH(L861,Rame!$A$1:$AA$1,0)-1))*IF(G861="Rame",1,0)</f>
        <v>0</v>
      </c>
      <c r="P861" s="205">
        <v>0</v>
      </c>
      <c r="Q861" s="205">
        <f t="shared" ca="1" si="275"/>
        <v>0</v>
      </c>
      <c r="R861" s="205">
        <f ca="1">+IF(ISERROR(OFFSET(Tabella!$G$1,MATCH(J861,Tabella!$G:$G,0)-1,MATCH(K861,Tabella!$G$1:$FG$1,0)-1)=TRUE),0,OFFSET(Tabella!$G$1,MATCH(J861,Tabella!$G:$G,0)-1,MATCH(K861,Tabella!$G$1:$AB$1,0)-1))</f>
        <v>0</v>
      </c>
      <c r="S861" s="205">
        <f ca="1">IF(ISERROR(OFFSET(Ottone!$F$1,MATCH(J861,Ottone!$A:$A,0)-1,MATCH(K861,Ottone!$F$1:$FF$1,0)-1)=TRUE),0,OFFSET(Ottone!$F$1,MATCH(J861,Ottone!$A:$A,0)-1,MATCH(K861,Ottone!$F$1:$FF$1,0)-1))*IF(G861="Ottone",1,0)</f>
        <v>0</v>
      </c>
      <c r="T861" s="205">
        <f ca="1">IF(ISERROR(OFFSET(Rame!$F$1,MATCH(J861,Rame!$F:$F,0)-1,MATCH(K861,Rame!$F$1:$FF$1,0)-1)=TRUE),0,OFFSET(Rame!$F$1,MATCH(J861,Rame!$F:$F,0)-1,MATCH(K861,Rame!$F$1:$FF$1,0)-1))*IF(G861="Rame",1,0)</f>
        <v>0</v>
      </c>
      <c r="U861" s="205">
        <f ca="1">IF(ISERROR(OFFSET(Bronzo!$A$1,MATCH(J861,Bronzo!$A:$A,0)-1,MATCH(K861,Bronzo!$A$1:$AA$1,0)-1)=TRUE),0,OFFSET(Bronzo!$A$1,MATCH(J861,Bronzo!$A:$A,0)-1,MATCH(K861,Bronzo!$A$1:$AA$1,0)-1))</f>
        <v>0</v>
      </c>
      <c r="V861" s="205">
        <f t="shared" ca="1" si="276"/>
        <v>0</v>
      </c>
      <c r="W861" s="204"/>
      <c r="X861" s="205">
        <v>0</v>
      </c>
      <c r="Y861" s="206">
        <f t="shared" ca="1" si="277"/>
        <v>0</v>
      </c>
      <c r="Z861" s="277">
        <f t="shared" si="278"/>
        <v>0</v>
      </c>
      <c r="AA861" s="203"/>
      <c r="AB861" s="203">
        <f t="shared" ca="1" si="279"/>
        <v>0</v>
      </c>
      <c r="AC861" s="238"/>
      <c r="AI861" s="367">
        <f t="shared" ca="1" si="274"/>
        <v>46092</v>
      </c>
      <c r="AJ861" s="367" t="b">
        <f t="shared" si="268"/>
        <v>1</v>
      </c>
      <c r="AK861" s="370" t="str">
        <f t="shared" si="269"/>
        <v/>
      </c>
      <c r="AN861">
        <f t="shared" si="270"/>
        <v>0</v>
      </c>
      <c r="AO861">
        <f t="shared" si="271"/>
        <v>1900</v>
      </c>
      <c r="AV861">
        <f t="shared" si="272"/>
        <v>0</v>
      </c>
      <c r="AW861">
        <f t="shared" si="273"/>
        <v>0</v>
      </c>
    </row>
    <row r="862" spans="4:49" ht="15.75" x14ac:dyDescent="0.25">
      <c r="D862" s="199"/>
      <c r="E862" s="200"/>
      <c r="F862" s="287"/>
      <c r="G862" s="201"/>
      <c r="H862" s="219"/>
      <c r="I862" s="202"/>
      <c r="J862" s="200"/>
      <c r="K862" s="200"/>
      <c r="L862" s="203"/>
      <c r="M862" s="204">
        <f ca="1">IF(ISERROR(OFFSET(Tabella!$A$1,MATCH(J862,Tabella!$A:$A,0)-1,MATCH(L862,Tabella!$A$1:$AC$1,0)-1)=TRUE),0,+OFFSET(Tabella!$A$1,MATCH(J862,Tabella!$A:$A,0)-1,MATCH(L862,Tabella!$A$1:$AC$1,0)-1))</f>
        <v>0</v>
      </c>
      <c r="N862" s="205">
        <f ca="1">IF(ISERROR(OFFSET(Ottone!$A$1,MATCH(J862,Ottone!$A:$A,0)-1,MATCH(L862,Ottone!$A$1:$Z$1,0)-1)=TRUE),0,OFFSET(Ottone!$A$1,MATCH(J862,Ottone!$A:$A,0)-1,MATCH(L862,Ottone!$A$1:$Z$1,0)-1))*IF(G862="Ottone",1,0)</f>
        <v>0</v>
      </c>
      <c r="O862" s="205">
        <f ca="1">IF(ISERROR(OFFSET(Rame!$A$1,MATCH(J862,Rame!$A:$A,0)-1,MATCH(L862,Rame!$A$1:$AA$1,0)-1)=TRUE),0,OFFSET(Rame!$A$1,MATCH(J862,Rame!$A:$A,0)-1,MATCH(L862,Rame!$A$1:$AA$1,0)-1))*IF(G862="Rame",1,0)</f>
        <v>0</v>
      </c>
      <c r="P862" s="205">
        <v>0</v>
      </c>
      <c r="Q862" s="205">
        <f t="shared" ca="1" si="275"/>
        <v>0</v>
      </c>
      <c r="R862" s="205">
        <f ca="1">+IF(ISERROR(OFFSET(Tabella!$G$1,MATCH(J862,Tabella!$G:$G,0)-1,MATCH(K862,Tabella!$G$1:$FG$1,0)-1)=TRUE),0,OFFSET(Tabella!$G$1,MATCH(J862,Tabella!$G:$G,0)-1,MATCH(K862,Tabella!$G$1:$AB$1,0)-1))</f>
        <v>0</v>
      </c>
      <c r="S862" s="205">
        <f ca="1">IF(ISERROR(OFFSET(Ottone!$F$1,MATCH(J862,Ottone!$A:$A,0)-1,MATCH(K862,Ottone!$F$1:$FF$1,0)-1)=TRUE),0,OFFSET(Ottone!$F$1,MATCH(J862,Ottone!$A:$A,0)-1,MATCH(K862,Ottone!$F$1:$FF$1,0)-1))*IF(G862="Ottone",1,0)</f>
        <v>0</v>
      </c>
      <c r="T862" s="205">
        <f ca="1">IF(ISERROR(OFFSET(Rame!$F$1,MATCH(J862,Rame!$F:$F,0)-1,MATCH(K862,Rame!$F$1:$FF$1,0)-1)=TRUE),0,OFFSET(Rame!$F$1,MATCH(J862,Rame!$F:$F,0)-1,MATCH(K862,Rame!$F$1:$FF$1,0)-1))*IF(G862="Rame",1,0)</f>
        <v>0</v>
      </c>
      <c r="U862" s="205">
        <f ca="1">IF(ISERROR(OFFSET(Bronzo!$A$1,MATCH(J862,Bronzo!$A:$A,0)-1,MATCH(K862,Bronzo!$A$1:$AA$1,0)-1)=TRUE),0,OFFSET(Bronzo!$A$1,MATCH(J862,Bronzo!$A:$A,0)-1,MATCH(K862,Bronzo!$A$1:$AA$1,0)-1))</f>
        <v>0</v>
      </c>
      <c r="V862" s="205">
        <f t="shared" ca="1" si="276"/>
        <v>0</v>
      </c>
      <c r="W862" s="204"/>
      <c r="X862" s="205">
        <v>0</v>
      </c>
      <c r="Y862" s="206">
        <f t="shared" ca="1" si="277"/>
        <v>0</v>
      </c>
      <c r="Z862" s="277">
        <f t="shared" si="278"/>
        <v>0</v>
      </c>
      <c r="AA862" s="203"/>
      <c r="AB862" s="203">
        <f t="shared" ca="1" si="279"/>
        <v>0</v>
      </c>
      <c r="AC862" s="238"/>
      <c r="AI862" s="367">
        <f t="shared" ca="1" si="274"/>
        <v>46092</v>
      </c>
      <c r="AJ862" s="367" t="b">
        <f t="shared" si="268"/>
        <v>1</v>
      </c>
      <c r="AK862" s="370" t="str">
        <f t="shared" si="269"/>
        <v/>
      </c>
      <c r="AN862">
        <f t="shared" si="270"/>
        <v>0</v>
      </c>
      <c r="AO862">
        <f t="shared" si="271"/>
        <v>1900</v>
      </c>
      <c r="AV862">
        <f t="shared" si="272"/>
        <v>0</v>
      </c>
      <c r="AW862">
        <f t="shared" si="273"/>
        <v>0</v>
      </c>
    </row>
    <row r="863" spans="4:49" ht="15.75" x14ac:dyDescent="0.25">
      <c r="D863" s="199"/>
      <c r="E863" s="200"/>
      <c r="F863" s="287"/>
      <c r="G863" s="201"/>
      <c r="H863" s="219"/>
      <c r="I863" s="202"/>
      <c r="J863" s="200"/>
      <c r="K863" s="200"/>
      <c r="L863" s="203"/>
      <c r="M863" s="204">
        <f ca="1">IF(ISERROR(OFFSET(Tabella!$A$1,MATCH(J863,Tabella!$A:$A,0)-1,MATCH(L863,Tabella!$A$1:$AC$1,0)-1)=TRUE),0,+OFFSET(Tabella!$A$1,MATCH(J863,Tabella!$A:$A,0)-1,MATCH(L863,Tabella!$A$1:$AC$1,0)-1))</f>
        <v>0</v>
      </c>
      <c r="N863" s="205">
        <f ca="1">IF(ISERROR(OFFSET(Ottone!$A$1,MATCH(J863,Ottone!$A:$A,0)-1,MATCH(L863,Ottone!$A$1:$Z$1,0)-1)=TRUE),0,OFFSET(Ottone!$A$1,MATCH(J863,Ottone!$A:$A,0)-1,MATCH(L863,Ottone!$A$1:$Z$1,0)-1))*IF(G863="Ottone",1,0)</f>
        <v>0</v>
      </c>
      <c r="O863" s="205">
        <f ca="1">IF(ISERROR(OFFSET(Rame!$A$1,MATCH(J863,Rame!$A:$A,0)-1,MATCH(L863,Rame!$A$1:$AA$1,0)-1)=TRUE),0,OFFSET(Rame!$A$1,MATCH(J863,Rame!$A:$A,0)-1,MATCH(L863,Rame!$A$1:$AA$1,0)-1))*IF(G863="Rame",1,0)</f>
        <v>0</v>
      </c>
      <c r="P863" s="205">
        <v>0</v>
      </c>
      <c r="Q863" s="205">
        <f t="shared" ca="1" si="275"/>
        <v>0</v>
      </c>
      <c r="R863" s="205">
        <f ca="1">+IF(ISERROR(OFFSET(Tabella!$G$1,MATCH(J863,Tabella!$G:$G,0)-1,MATCH(K863,Tabella!$G$1:$FG$1,0)-1)=TRUE),0,OFFSET(Tabella!$G$1,MATCH(J863,Tabella!$G:$G,0)-1,MATCH(K863,Tabella!$G$1:$AB$1,0)-1))</f>
        <v>0</v>
      </c>
      <c r="S863" s="205">
        <f ca="1">IF(ISERROR(OFFSET(Ottone!$F$1,MATCH(J863,Ottone!$A:$A,0)-1,MATCH(K863,Ottone!$F$1:$FF$1,0)-1)=TRUE),0,OFFSET(Ottone!$F$1,MATCH(J863,Ottone!$A:$A,0)-1,MATCH(K863,Ottone!$F$1:$FF$1,0)-1))*IF(G863="Ottone",1,0)</f>
        <v>0</v>
      </c>
      <c r="T863" s="205">
        <f ca="1">IF(ISERROR(OFFSET(Rame!$F$1,MATCH(J863,Rame!$F:$F,0)-1,MATCH(K863,Rame!$F$1:$FF$1,0)-1)=TRUE),0,OFFSET(Rame!$F$1,MATCH(J863,Rame!$F:$F,0)-1,MATCH(K863,Rame!$F$1:$FF$1,0)-1))*IF(G863="Rame",1,0)</f>
        <v>0</v>
      </c>
      <c r="U863" s="205">
        <f ca="1">IF(ISERROR(OFFSET(Bronzo!$A$1,MATCH(J863,Bronzo!$A:$A,0)-1,MATCH(K863,Bronzo!$A$1:$AA$1,0)-1)=TRUE),0,OFFSET(Bronzo!$A$1,MATCH(J863,Bronzo!$A:$A,0)-1,MATCH(K863,Bronzo!$A$1:$AA$1,0)-1))</f>
        <v>0</v>
      </c>
      <c r="V863" s="205">
        <f t="shared" ca="1" si="276"/>
        <v>0</v>
      </c>
      <c r="W863" s="204"/>
      <c r="X863" s="205">
        <v>0</v>
      </c>
      <c r="Y863" s="206">
        <f t="shared" ca="1" si="277"/>
        <v>0</v>
      </c>
      <c r="Z863" s="277">
        <f t="shared" si="278"/>
        <v>0</v>
      </c>
      <c r="AA863" s="203"/>
      <c r="AB863" s="203">
        <f t="shared" ca="1" si="279"/>
        <v>0</v>
      </c>
      <c r="AC863" s="238"/>
      <c r="AI863" s="367">
        <f t="shared" ca="1" si="274"/>
        <v>46092</v>
      </c>
      <c r="AJ863" s="367" t="b">
        <f t="shared" si="268"/>
        <v>1</v>
      </c>
      <c r="AK863" s="370" t="str">
        <f t="shared" si="269"/>
        <v/>
      </c>
      <c r="AN863">
        <f t="shared" si="270"/>
        <v>0</v>
      </c>
      <c r="AO863">
        <f t="shared" si="271"/>
        <v>1900</v>
      </c>
      <c r="AV863">
        <f t="shared" si="272"/>
        <v>0</v>
      </c>
      <c r="AW863">
        <f t="shared" si="273"/>
        <v>0</v>
      </c>
    </row>
    <row r="864" spans="4:49" ht="15.75" x14ac:dyDescent="0.25">
      <c r="D864" s="199"/>
      <c r="E864" s="200"/>
      <c r="F864" s="287"/>
      <c r="G864" s="201"/>
      <c r="H864" s="219"/>
      <c r="I864" s="202"/>
      <c r="J864" s="200"/>
      <c r="K864" s="200"/>
      <c r="L864" s="203"/>
      <c r="M864" s="204">
        <f ca="1">IF(ISERROR(OFFSET(Tabella!$A$1,MATCH(J864,Tabella!$A:$A,0)-1,MATCH(L864,Tabella!$A$1:$AC$1,0)-1)=TRUE),0,+OFFSET(Tabella!$A$1,MATCH(J864,Tabella!$A:$A,0)-1,MATCH(L864,Tabella!$A$1:$AC$1,0)-1))</f>
        <v>0</v>
      </c>
      <c r="N864" s="205">
        <f ca="1">IF(ISERROR(OFFSET(Ottone!$A$1,MATCH(J864,Ottone!$A:$A,0)-1,MATCH(L864,Ottone!$A$1:$Z$1,0)-1)=TRUE),0,OFFSET(Ottone!$A$1,MATCH(J864,Ottone!$A:$A,0)-1,MATCH(L864,Ottone!$A$1:$Z$1,0)-1))*IF(G864="Ottone",1,0)</f>
        <v>0</v>
      </c>
      <c r="O864" s="205">
        <f ca="1">IF(ISERROR(OFFSET(Rame!$A$1,MATCH(J864,Rame!$A:$A,0)-1,MATCH(L864,Rame!$A$1:$AA$1,0)-1)=TRUE),0,OFFSET(Rame!$A$1,MATCH(J864,Rame!$A:$A,0)-1,MATCH(L864,Rame!$A$1:$AA$1,0)-1))*IF(G864="Rame",1,0)</f>
        <v>0</v>
      </c>
      <c r="P864" s="205">
        <v>0</v>
      </c>
      <c r="Q864" s="205">
        <f t="shared" ca="1" si="275"/>
        <v>0</v>
      </c>
      <c r="R864" s="205">
        <f ca="1">+IF(ISERROR(OFFSET(Tabella!$G$1,MATCH(J864,Tabella!$G:$G,0)-1,MATCH(K864,Tabella!$G$1:$FG$1,0)-1)=TRUE),0,OFFSET(Tabella!$G$1,MATCH(J864,Tabella!$G:$G,0)-1,MATCH(K864,Tabella!$G$1:$AB$1,0)-1))</f>
        <v>0</v>
      </c>
      <c r="S864" s="205">
        <f ca="1">IF(ISERROR(OFFSET(Ottone!$F$1,MATCH(J864,Ottone!$A:$A,0)-1,MATCH(K864,Ottone!$F$1:$FF$1,0)-1)=TRUE),0,OFFSET(Ottone!$F$1,MATCH(J864,Ottone!$A:$A,0)-1,MATCH(K864,Ottone!$F$1:$FF$1,0)-1))*IF(G864="Ottone",1,0)</f>
        <v>0</v>
      </c>
      <c r="T864" s="205">
        <f ca="1">IF(ISERROR(OFFSET(Rame!$F$1,MATCH(J864,Rame!$F:$F,0)-1,MATCH(K864,Rame!$F$1:$FF$1,0)-1)=TRUE),0,OFFSET(Rame!$F$1,MATCH(J864,Rame!$F:$F,0)-1,MATCH(K864,Rame!$F$1:$FF$1,0)-1))*IF(G864="Rame",1,0)</f>
        <v>0</v>
      </c>
      <c r="U864" s="205">
        <f ca="1">IF(ISERROR(OFFSET(Bronzo!$A$1,MATCH(J864,Bronzo!$A:$A,0)-1,MATCH(K864,Bronzo!$A$1:$AA$1,0)-1)=TRUE),0,OFFSET(Bronzo!$A$1,MATCH(J864,Bronzo!$A:$A,0)-1,MATCH(K864,Bronzo!$A$1:$AA$1,0)-1))</f>
        <v>0</v>
      </c>
      <c r="V864" s="205">
        <f t="shared" ca="1" si="276"/>
        <v>0</v>
      </c>
      <c r="W864" s="204"/>
      <c r="X864" s="205">
        <v>0</v>
      </c>
      <c r="Y864" s="206">
        <f t="shared" ca="1" si="277"/>
        <v>0</v>
      </c>
      <c r="Z864" s="277">
        <f t="shared" si="278"/>
        <v>0</v>
      </c>
      <c r="AA864" s="203"/>
      <c r="AB864" s="203">
        <f t="shared" ca="1" si="279"/>
        <v>0</v>
      </c>
      <c r="AC864" s="238"/>
      <c r="AI864" s="367">
        <f t="shared" ca="1" si="274"/>
        <v>46092</v>
      </c>
      <c r="AJ864" s="367" t="b">
        <f t="shared" ref="AJ864:AJ927" si="280">ISBLANK(AC864)</f>
        <v>1</v>
      </c>
      <c r="AK864" s="370" t="str">
        <f t="shared" ref="AK864:AK927" si="281">IF(AJ864=FALSE,_xlfn.DAYS(AC864,AI864),"")</f>
        <v/>
      </c>
      <c r="AN864">
        <f t="shared" ref="AN864:AN927" si="282">WEEKNUM(AC864)</f>
        <v>0</v>
      </c>
      <c r="AO864">
        <f t="shared" ref="AO864:AO927" si="283">YEAR(AC864)</f>
        <v>1900</v>
      </c>
      <c r="AV864">
        <f t="shared" si="272"/>
        <v>0</v>
      </c>
      <c r="AW864">
        <f t="shared" si="273"/>
        <v>0</v>
      </c>
    </row>
    <row r="865" spans="4:49" ht="15.75" x14ac:dyDescent="0.25">
      <c r="D865" s="199"/>
      <c r="E865" s="200"/>
      <c r="F865" s="287"/>
      <c r="G865" s="201"/>
      <c r="H865" s="219"/>
      <c r="I865" s="202"/>
      <c r="J865" s="200"/>
      <c r="K865" s="200"/>
      <c r="L865" s="203"/>
      <c r="M865" s="204">
        <f ca="1">IF(ISERROR(OFFSET(Tabella!$A$1,MATCH(J865,Tabella!$A:$A,0)-1,MATCH(L865,Tabella!$A$1:$AC$1,0)-1)=TRUE),0,+OFFSET(Tabella!$A$1,MATCH(J865,Tabella!$A:$A,0)-1,MATCH(L865,Tabella!$A$1:$AC$1,0)-1))</f>
        <v>0</v>
      </c>
      <c r="N865" s="205">
        <f ca="1">IF(ISERROR(OFFSET(Ottone!$A$1,MATCH(J865,Ottone!$A:$A,0)-1,MATCH(L865,Ottone!$A$1:$Z$1,0)-1)=TRUE),0,OFFSET(Ottone!$A$1,MATCH(J865,Ottone!$A:$A,0)-1,MATCH(L865,Ottone!$A$1:$Z$1,0)-1))*IF(G865="Ottone",1,0)</f>
        <v>0</v>
      </c>
      <c r="O865" s="205">
        <f ca="1">IF(ISERROR(OFFSET(Rame!$A$1,MATCH(J865,Rame!$A:$A,0)-1,MATCH(L865,Rame!$A$1:$AA$1,0)-1)=TRUE),0,OFFSET(Rame!$A$1,MATCH(J865,Rame!$A:$A,0)-1,MATCH(L865,Rame!$A$1:$AA$1,0)-1))*IF(G865="Rame",1,0)</f>
        <v>0</v>
      </c>
      <c r="P865" s="205">
        <v>0</v>
      </c>
      <c r="Q865" s="205">
        <f t="shared" ca="1" si="275"/>
        <v>0</v>
      </c>
      <c r="R865" s="205">
        <f ca="1">+IF(ISERROR(OFFSET(Tabella!$G$1,MATCH(J865,Tabella!$G:$G,0)-1,MATCH(K865,Tabella!$G$1:$FG$1,0)-1)=TRUE),0,OFFSET(Tabella!$G$1,MATCH(J865,Tabella!$G:$G,0)-1,MATCH(K865,Tabella!$G$1:$AB$1,0)-1))</f>
        <v>0</v>
      </c>
      <c r="S865" s="205">
        <f ca="1">IF(ISERROR(OFFSET(Ottone!$F$1,MATCH(J865,Ottone!$A:$A,0)-1,MATCH(K865,Ottone!$F$1:$FF$1,0)-1)=TRUE),0,OFFSET(Ottone!$F$1,MATCH(J865,Ottone!$A:$A,0)-1,MATCH(K865,Ottone!$F$1:$FF$1,0)-1))*IF(G865="Ottone",1,0)</f>
        <v>0</v>
      </c>
      <c r="T865" s="205">
        <f ca="1">IF(ISERROR(OFFSET(Rame!$F$1,MATCH(J865,Rame!$F:$F,0)-1,MATCH(K865,Rame!$F$1:$FF$1,0)-1)=TRUE),0,OFFSET(Rame!$F$1,MATCH(J865,Rame!$F:$F,0)-1,MATCH(K865,Rame!$F$1:$FF$1,0)-1))*IF(G865="Rame",1,0)</f>
        <v>0</v>
      </c>
      <c r="U865" s="205">
        <f ca="1">IF(ISERROR(OFFSET(Bronzo!$A$1,MATCH(J865,Bronzo!$A:$A,0)-1,MATCH(K865,Bronzo!$A$1:$AA$1,0)-1)=TRUE),0,OFFSET(Bronzo!$A$1,MATCH(J865,Bronzo!$A:$A,0)-1,MATCH(K865,Bronzo!$A$1:$AA$1,0)-1))</f>
        <v>0</v>
      </c>
      <c r="V865" s="205">
        <f t="shared" ca="1" si="276"/>
        <v>0</v>
      </c>
      <c r="W865" s="204"/>
      <c r="X865" s="205">
        <v>0</v>
      </c>
      <c r="Y865" s="206">
        <f t="shared" ca="1" si="277"/>
        <v>0</v>
      </c>
      <c r="Z865" s="277">
        <f t="shared" si="278"/>
        <v>0</v>
      </c>
      <c r="AA865" s="203"/>
      <c r="AB865" s="203">
        <f t="shared" ca="1" si="279"/>
        <v>0</v>
      </c>
      <c r="AC865" s="238"/>
      <c r="AI865" s="367">
        <f t="shared" ca="1" si="274"/>
        <v>46092</v>
      </c>
      <c r="AJ865" s="367" t="b">
        <f t="shared" si="280"/>
        <v>1</v>
      </c>
      <c r="AK865" s="370" t="str">
        <f t="shared" si="281"/>
        <v/>
      </c>
      <c r="AN865">
        <f t="shared" si="282"/>
        <v>0</v>
      </c>
      <c r="AO865">
        <f t="shared" si="283"/>
        <v>1900</v>
      </c>
      <c r="AV865">
        <f t="shared" si="272"/>
        <v>0</v>
      </c>
      <c r="AW865">
        <f t="shared" si="273"/>
        <v>0</v>
      </c>
    </row>
    <row r="866" spans="4:49" ht="15.75" x14ac:dyDescent="0.25">
      <c r="D866" s="199"/>
      <c r="E866" s="200"/>
      <c r="F866" s="287"/>
      <c r="G866" s="201"/>
      <c r="H866" s="219"/>
      <c r="I866" s="202"/>
      <c r="J866" s="200"/>
      <c r="K866" s="200"/>
      <c r="L866" s="203"/>
      <c r="M866" s="204">
        <f ca="1">IF(ISERROR(OFFSET(Tabella!$A$1,MATCH(J866,Tabella!$A:$A,0)-1,MATCH(L866,Tabella!$A$1:$AC$1,0)-1)=TRUE),0,+OFFSET(Tabella!$A$1,MATCH(J866,Tabella!$A:$A,0)-1,MATCH(L866,Tabella!$A$1:$AC$1,0)-1))</f>
        <v>0</v>
      </c>
      <c r="N866" s="205">
        <f ca="1">IF(ISERROR(OFFSET(Ottone!$A$1,MATCH(J866,Ottone!$A:$A,0)-1,MATCH(L866,Ottone!$A$1:$Z$1,0)-1)=TRUE),0,OFFSET(Ottone!$A$1,MATCH(J866,Ottone!$A:$A,0)-1,MATCH(L866,Ottone!$A$1:$Z$1,0)-1))*IF(G866="Ottone",1,0)</f>
        <v>0</v>
      </c>
      <c r="O866" s="205">
        <f ca="1">IF(ISERROR(OFFSET(Rame!$A$1,MATCH(J866,Rame!$A:$A,0)-1,MATCH(L866,Rame!$A$1:$AA$1,0)-1)=TRUE),0,OFFSET(Rame!$A$1,MATCH(J866,Rame!$A:$A,0)-1,MATCH(L866,Rame!$A$1:$AA$1,0)-1))*IF(G866="Rame",1,0)</f>
        <v>0</v>
      </c>
      <c r="P866" s="205">
        <v>0</v>
      </c>
      <c r="Q866" s="205">
        <f t="shared" ca="1" si="275"/>
        <v>0</v>
      </c>
      <c r="R866" s="205">
        <f ca="1">+IF(ISERROR(OFFSET(Tabella!$G$1,MATCH(J866,Tabella!$G:$G,0)-1,MATCH(K866,Tabella!$G$1:$FG$1,0)-1)=TRUE),0,OFFSET(Tabella!$G$1,MATCH(J866,Tabella!$G:$G,0)-1,MATCH(K866,Tabella!$G$1:$AB$1,0)-1))</f>
        <v>0</v>
      </c>
      <c r="S866" s="205">
        <f ca="1">IF(ISERROR(OFFSET(Ottone!$F$1,MATCH(J866,Ottone!$A:$A,0)-1,MATCH(K866,Ottone!$F$1:$FF$1,0)-1)=TRUE),0,OFFSET(Ottone!$F$1,MATCH(J866,Ottone!$A:$A,0)-1,MATCH(K866,Ottone!$F$1:$FF$1,0)-1))*IF(G866="Ottone",1,0)</f>
        <v>0</v>
      </c>
      <c r="T866" s="205">
        <f ca="1">IF(ISERROR(OFFSET(Rame!$F$1,MATCH(J866,Rame!$F:$F,0)-1,MATCH(K866,Rame!$F$1:$FF$1,0)-1)=TRUE),0,OFFSET(Rame!$F$1,MATCH(J866,Rame!$F:$F,0)-1,MATCH(K866,Rame!$F$1:$FF$1,0)-1))*IF(G866="Rame",1,0)</f>
        <v>0</v>
      </c>
      <c r="U866" s="205">
        <f ca="1">IF(ISERROR(OFFSET(Bronzo!$A$1,MATCH(J866,Bronzo!$A:$A,0)-1,MATCH(K866,Bronzo!$A$1:$AA$1,0)-1)=TRUE),0,OFFSET(Bronzo!$A$1,MATCH(J866,Bronzo!$A:$A,0)-1,MATCH(K866,Bronzo!$A$1:$AA$1,0)-1))</f>
        <v>0</v>
      </c>
      <c r="V866" s="205">
        <f t="shared" ca="1" si="276"/>
        <v>0</v>
      </c>
      <c r="W866" s="204"/>
      <c r="X866" s="205">
        <v>0</v>
      </c>
      <c r="Y866" s="206">
        <f t="shared" ca="1" si="277"/>
        <v>0</v>
      </c>
      <c r="Z866" s="277">
        <f t="shared" si="278"/>
        <v>0</v>
      </c>
      <c r="AA866" s="203"/>
      <c r="AB866" s="203">
        <f t="shared" ca="1" si="279"/>
        <v>0</v>
      </c>
      <c r="AC866" s="238"/>
      <c r="AI866" s="367">
        <f t="shared" ca="1" si="274"/>
        <v>46092</v>
      </c>
      <c r="AJ866" s="367" t="b">
        <f t="shared" si="280"/>
        <v>1</v>
      </c>
      <c r="AK866" s="370" t="str">
        <f t="shared" si="281"/>
        <v/>
      </c>
      <c r="AN866">
        <f t="shared" si="282"/>
        <v>0</v>
      </c>
      <c r="AO866">
        <f t="shared" si="283"/>
        <v>1900</v>
      </c>
      <c r="AV866">
        <f t="shared" si="272"/>
        <v>0</v>
      </c>
      <c r="AW866">
        <f t="shared" si="273"/>
        <v>0</v>
      </c>
    </row>
    <row r="867" spans="4:49" ht="15.75" x14ac:dyDescent="0.25">
      <c r="D867" s="199"/>
      <c r="E867" s="200"/>
      <c r="F867" s="287"/>
      <c r="G867" s="201"/>
      <c r="H867" s="219"/>
      <c r="I867" s="202"/>
      <c r="J867" s="200"/>
      <c r="K867" s="200"/>
      <c r="L867" s="203"/>
      <c r="M867" s="204">
        <f ca="1">IF(ISERROR(OFFSET(Tabella!$A$1,MATCH(J867,Tabella!$A:$A,0)-1,MATCH(L867,Tabella!$A$1:$AC$1,0)-1)=TRUE),0,+OFFSET(Tabella!$A$1,MATCH(J867,Tabella!$A:$A,0)-1,MATCH(L867,Tabella!$A$1:$AC$1,0)-1))</f>
        <v>0</v>
      </c>
      <c r="N867" s="205">
        <f ca="1">IF(ISERROR(OFFSET(Ottone!$A$1,MATCH(J867,Ottone!$A:$A,0)-1,MATCH(L867,Ottone!$A$1:$Z$1,0)-1)=TRUE),0,OFFSET(Ottone!$A$1,MATCH(J867,Ottone!$A:$A,0)-1,MATCH(L867,Ottone!$A$1:$Z$1,0)-1))*IF(G867="Ottone",1,0)</f>
        <v>0</v>
      </c>
      <c r="O867" s="205">
        <f ca="1">IF(ISERROR(OFFSET(Rame!$A$1,MATCH(J867,Rame!$A:$A,0)-1,MATCH(L867,Rame!$A$1:$AA$1,0)-1)=TRUE),0,OFFSET(Rame!$A$1,MATCH(J867,Rame!$A:$A,0)-1,MATCH(L867,Rame!$A$1:$AA$1,0)-1))*IF(G867="Rame",1,0)</f>
        <v>0</v>
      </c>
      <c r="P867" s="205">
        <v>0</v>
      </c>
      <c r="Q867" s="205">
        <f t="shared" ca="1" si="275"/>
        <v>0</v>
      </c>
      <c r="R867" s="205">
        <f ca="1">+IF(ISERROR(OFFSET(Tabella!$G$1,MATCH(J867,Tabella!$G:$G,0)-1,MATCH(K867,Tabella!$G$1:$FG$1,0)-1)=TRUE),0,OFFSET(Tabella!$G$1,MATCH(J867,Tabella!$G:$G,0)-1,MATCH(K867,Tabella!$G$1:$AB$1,0)-1))</f>
        <v>0</v>
      </c>
      <c r="S867" s="205">
        <f ca="1">IF(ISERROR(OFFSET(Ottone!$F$1,MATCH(J867,Ottone!$A:$A,0)-1,MATCH(K867,Ottone!$F$1:$FF$1,0)-1)=TRUE),0,OFFSET(Ottone!$F$1,MATCH(J867,Ottone!$A:$A,0)-1,MATCH(K867,Ottone!$F$1:$FF$1,0)-1))*IF(G867="Ottone",1,0)</f>
        <v>0</v>
      </c>
      <c r="T867" s="205">
        <f ca="1">IF(ISERROR(OFFSET(Rame!$F$1,MATCH(J867,Rame!$F:$F,0)-1,MATCH(K867,Rame!$F$1:$FF$1,0)-1)=TRUE),0,OFFSET(Rame!$F$1,MATCH(J867,Rame!$F:$F,0)-1,MATCH(K867,Rame!$F$1:$FF$1,0)-1))*IF(G867="Rame",1,0)</f>
        <v>0</v>
      </c>
      <c r="U867" s="205">
        <f ca="1">IF(ISERROR(OFFSET(Bronzo!$A$1,MATCH(J867,Bronzo!$A:$A,0)-1,MATCH(K867,Bronzo!$A$1:$AA$1,0)-1)=TRUE),0,OFFSET(Bronzo!$A$1,MATCH(J867,Bronzo!$A:$A,0)-1,MATCH(K867,Bronzo!$A$1:$AA$1,0)-1))</f>
        <v>0</v>
      </c>
      <c r="V867" s="205">
        <f t="shared" ca="1" si="276"/>
        <v>0</v>
      </c>
      <c r="W867" s="204"/>
      <c r="X867" s="205">
        <v>0</v>
      </c>
      <c r="Y867" s="206">
        <f t="shared" ca="1" si="277"/>
        <v>0</v>
      </c>
      <c r="Z867" s="277">
        <f t="shared" si="278"/>
        <v>0</v>
      </c>
      <c r="AA867" s="203"/>
      <c r="AB867" s="203">
        <f t="shared" ca="1" si="279"/>
        <v>0</v>
      </c>
      <c r="AC867" s="238"/>
      <c r="AI867" s="367">
        <f t="shared" ca="1" si="274"/>
        <v>46092</v>
      </c>
      <c r="AJ867" s="367" t="b">
        <f t="shared" si="280"/>
        <v>1</v>
      </c>
      <c r="AK867" s="370" t="str">
        <f t="shared" si="281"/>
        <v/>
      </c>
      <c r="AN867">
        <f t="shared" si="282"/>
        <v>0</v>
      </c>
      <c r="AO867">
        <f t="shared" si="283"/>
        <v>1900</v>
      </c>
      <c r="AV867">
        <f t="shared" si="272"/>
        <v>0</v>
      </c>
      <c r="AW867">
        <f t="shared" si="273"/>
        <v>0</v>
      </c>
    </row>
    <row r="868" spans="4:49" ht="15.75" x14ac:dyDescent="0.25">
      <c r="D868" s="199"/>
      <c r="E868" s="200"/>
      <c r="F868" s="287"/>
      <c r="G868" s="201"/>
      <c r="H868" s="219"/>
      <c r="I868" s="202"/>
      <c r="J868" s="200"/>
      <c r="K868" s="200"/>
      <c r="L868" s="203"/>
      <c r="M868" s="204">
        <f ca="1">IF(ISERROR(OFFSET(Tabella!$A$1,MATCH(J868,Tabella!$A:$A,0)-1,MATCH(L868,Tabella!$A$1:$AC$1,0)-1)=TRUE),0,+OFFSET(Tabella!$A$1,MATCH(J868,Tabella!$A:$A,0)-1,MATCH(L868,Tabella!$A$1:$AC$1,0)-1))</f>
        <v>0</v>
      </c>
      <c r="N868" s="205">
        <f ca="1">IF(ISERROR(OFFSET(Ottone!$A$1,MATCH(J868,Ottone!$A:$A,0)-1,MATCH(L868,Ottone!$A$1:$Z$1,0)-1)=TRUE),0,OFFSET(Ottone!$A$1,MATCH(J868,Ottone!$A:$A,0)-1,MATCH(L868,Ottone!$A$1:$Z$1,0)-1))*IF(G868="Ottone",1,0)</f>
        <v>0</v>
      </c>
      <c r="O868" s="205">
        <f ca="1">IF(ISERROR(OFFSET(Rame!$A$1,MATCH(J868,Rame!$A:$A,0)-1,MATCH(L868,Rame!$A$1:$AA$1,0)-1)=TRUE),0,OFFSET(Rame!$A$1,MATCH(J868,Rame!$A:$A,0)-1,MATCH(L868,Rame!$A$1:$AA$1,0)-1))*IF(G868="Rame",1,0)</f>
        <v>0</v>
      </c>
      <c r="P868" s="205">
        <v>0</v>
      </c>
      <c r="Q868" s="205">
        <f t="shared" ca="1" si="275"/>
        <v>0</v>
      </c>
      <c r="R868" s="205">
        <f ca="1">+IF(ISERROR(OFFSET(Tabella!$G$1,MATCH(J868,Tabella!$G:$G,0)-1,MATCH(K868,Tabella!$G$1:$FG$1,0)-1)=TRUE),0,OFFSET(Tabella!$G$1,MATCH(J868,Tabella!$G:$G,0)-1,MATCH(K868,Tabella!$G$1:$AB$1,0)-1))</f>
        <v>0</v>
      </c>
      <c r="S868" s="205">
        <f ca="1">IF(ISERROR(OFFSET(Ottone!$F$1,MATCH(J868,Ottone!$A:$A,0)-1,MATCH(K868,Ottone!$F$1:$FF$1,0)-1)=TRUE),0,OFFSET(Ottone!$F$1,MATCH(J868,Ottone!$A:$A,0)-1,MATCH(K868,Ottone!$F$1:$FF$1,0)-1))*IF(G868="Ottone",1,0)</f>
        <v>0</v>
      </c>
      <c r="T868" s="205">
        <f ca="1">IF(ISERROR(OFFSET(Rame!$F$1,MATCH(J868,Rame!$F:$F,0)-1,MATCH(K868,Rame!$F$1:$FF$1,0)-1)=TRUE),0,OFFSET(Rame!$F$1,MATCH(J868,Rame!$F:$F,0)-1,MATCH(K868,Rame!$F$1:$FF$1,0)-1))*IF(G868="Rame",1,0)</f>
        <v>0</v>
      </c>
      <c r="U868" s="205">
        <f ca="1">IF(ISERROR(OFFSET(Bronzo!$A$1,MATCH(J868,Bronzo!$A:$A,0)-1,MATCH(K868,Bronzo!$A$1:$AA$1,0)-1)=TRUE),0,OFFSET(Bronzo!$A$1,MATCH(J868,Bronzo!$A:$A,0)-1,MATCH(K868,Bronzo!$A$1:$AA$1,0)-1))</f>
        <v>0</v>
      </c>
      <c r="V868" s="205">
        <f t="shared" ca="1" si="276"/>
        <v>0</v>
      </c>
      <c r="W868" s="204"/>
      <c r="X868" s="205">
        <v>0</v>
      </c>
      <c r="Y868" s="206">
        <f t="shared" ca="1" si="277"/>
        <v>0</v>
      </c>
      <c r="Z868" s="277">
        <f t="shared" si="278"/>
        <v>0</v>
      </c>
      <c r="AA868" s="203"/>
      <c r="AB868" s="203">
        <f t="shared" ca="1" si="279"/>
        <v>0</v>
      </c>
      <c r="AC868" s="238"/>
      <c r="AI868" s="367">
        <f t="shared" ca="1" si="274"/>
        <v>46092</v>
      </c>
      <c r="AJ868" s="367" t="b">
        <f t="shared" si="280"/>
        <v>1</v>
      </c>
      <c r="AK868" s="370" t="str">
        <f t="shared" si="281"/>
        <v/>
      </c>
      <c r="AN868">
        <f t="shared" si="282"/>
        <v>0</v>
      </c>
      <c r="AO868">
        <f t="shared" si="283"/>
        <v>1900</v>
      </c>
      <c r="AV868">
        <f t="shared" si="272"/>
        <v>0</v>
      </c>
      <c r="AW868">
        <f t="shared" si="273"/>
        <v>0</v>
      </c>
    </row>
    <row r="869" spans="4:49" ht="15.75" x14ac:dyDescent="0.25">
      <c r="D869" s="199"/>
      <c r="E869" s="200"/>
      <c r="F869" s="287"/>
      <c r="G869" s="201"/>
      <c r="H869" s="219"/>
      <c r="I869" s="202"/>
      <c r="J869" s="200"/>
      <c r="K869" s="200"/>
      <c r="L869" s="203"/>
      <c r="M869" s="204">
        <f ca="1">IF(ISERROR(OFFSET(Tabella!$A$1,MATCH(J869,Tabella!$A:$A,0)-1,MATCH(L869,Tabella!$A$1:$AC$1,0)-1)=TRUE),0,+OFFSET(Tabella!$A$1,MATCH(J869,Tabella!$A:$A,0)-1,MATCH(L869,Tabella!$A$1:$AC$1,0)-1))</f>
        <v>0</v>
      </c>
      <c r="N869" s="205">
        <f ca="1">IF(ISERROR(OFFSET(Ottone!$A$1,MATCH(J869,Ottone!$A:$A,0)-1,MATCH(L869,Ottone!$A$1:$Z$1,0)-1)=TRUE),0,OFFSET(Ottone!$A$1,MATCH(J869,Ottone!$A:$A,0)-1,MATCH(L869,Ottone!$A$1:$Z$1,0)-1))*IF(G869="Ottone",1,0)</f>
        <v>0</v>
      </c>
      <c r="O869" s="205">
        <f ca="1">IF(ISERROR(OFFSET(Rame!$A$1,MATCH(J869,Rame!$A:$A,0)-1,MATCH(L869,Rame!$A$1:$AA$1,0)-1)=TRUE),0,OFFSET(Rame!$A$1,MATCH(J869,Rame!$A:$A,0)-1,MATCH(L869,Rame!$A$1:$AA$1,0)-1))*IF(G869="Rame",1,0)</f>
        <v>0</v>
      </c>
      <c r="P869" s="205">
        <v>0</v>
      </c>
      <c r="Q869" s="205">
        <f t="shared" ca="1" si="275"/>
        <v>0</v>
      </c>
      <c r="R869" s="205">
        <f ca="1">+IF(ISERROR(OFFSET(Tabella!$G$1,MATCH(J869,Tabella!$G:$G,0)-1,MATCH(K869,Tabella!$G$1:$FG$1,0)-1)=TRUE),0,OFFSET(Tabella!$G$1,MATCH(J869,Tabella!$G:$G,0)-1,MATCH(K869,Tabella!$G$1:$AB$1,0)-1))</f>
        <v>0</v>
      </c>
      <c r="S869" s="205">
        <f ca="1">IF(ISERROR(OFFSET(Ottone!$F$1,MATCH(J869,Ottone!$A:$A,0)-1,MATCH(K869,Ottone!$F$1:$FF$1,0)-1)=TRUE),0,OFFSET(Ottone!$F$1,MATCH(J869,Ottone!$A:$A,0)-1,MATCH(K869,Ottone!$F$1:$FF$1,0)-1))*IF(G869="Ottone",1,0)</f>
        <v>0</v>
      </c>
      <c r="T869" s="205">
        <f ca="1">IF(ISERROR(OFFSET(Rame!$F$1,MATCH(J869,Rame!$F:$F,0)-1,MATCH(K869,Rame!$F$1:$FF$1,0)-1)=TRUE),0,OFFSET(Rame!$F$1,MATCH(J869,Rame!$F:$F,0)-1,MATCH(K869,Rame!$F$1:$FF$1,0)-1))*IF(G869="Rame",1,0)</f>
        <v>0</v>
      </c>
      <c r="U869" s="205">
        <f ca="1">IF(ISERROR(OFFSET(Bronzo!$A$1,MATCH(J869,Bronzo!$A:$A,0)-1,MATCH(K869,Bronzo!$A$1:$AA$1,0)-1)=TRUE),0,OFFSET(Bronzo!$A$1,MATCH(J869,Bronzo!$A:$A,0)-1,MATCH(K869,Bronzo!$A$1:$AA$1,0)-1))</f>
        <v>0</v>
      </c>
      <c r="V869" s="205">
        <f t="shared" ca="1" si="276"/>
        <v>0</v>
      </c>
      <c r="W869" s="204"/>
      <c r="X869" s="205">
        <v>0</v>
      </c>
      <c r="Y869" s="206">
        <f t="shared" ca="1" si="277"/>
        <v>0</v>
      </c>
      <c r="Z869" s="277">
        <f t="shared" si="278"/>
        <v>0</v>
      </c>
      <c r="AA869" s="203"/>
      <c r="AB869" s="203">
        <f t="shared" ca="1" si="279"/>
        <v>0</v>
      </c>
      <c r="AC869" s="238"/>
      <c r="AI869" s="367">
        <f t="shared" ca="1" si="274"/>
        <v>46092</v>
      </c>
      <c r="AJ869" s="367" t="b">
        <f t="shared" si="280"/>
        <v>1</v>
      </c>
      <c r="AK869" s="370" t="str">
        <f t="shared" si="281"/>
        <v/>
      </c>
      <c r="AN869">
        <f t="shared" si="282"/>
        <v>0</v>
      </c>
      <c r="AO869">
        <f t="shared" si="283"/>
        <v>1900</v>
      </c>
      <c r="AV869">
        <f t="shared" ref="AV869:AV932" si="284">IF(AC869="",0,MONTH(AC869))</f>
        <v>0</v>
      </c>
      <c r="AW869">
        <f t="shared" ref="AW869:AW932" si="285">IF(AC869="",0,YEAR(AC869))</f>
        <v>0</v>
      </c>
    </row>
    <row r="870" spans="4:49" ht="15.75" x14ac:dyDescent="0.25">
      <c r="D870" s="199"/>
      <c r="E870" s="200"/>
      <c r="F870" s="287"/>
      <c r="G870" s="201"/>
      <c r="H870" s="219"/>
      <c r="I870" s="202"/>
      <c r="J870" s="200"/>
      <c r="K870" s="200"/>
      <c r="L870" s="203"/>
      <c r="M870" s="204">
        <f ca="1">IF(ISERROR(OFFSET(Tabella!$A$1,MATCH(J870,Tabella!$A:$A,0)-1,MATCH(L870,Tabella!$A$1:$AC$1,0)-1)=TRUE),0,+OFFSET(Tabella!$A$1,MATCH(J870,Tabella!$A:$A,0)-1,MATCH(L870,Tabella!$A$1:$AC$1,0)-1))</f>
        <v>0</v>
      </c>
      <c r="N870" s="205">
        <f ca="1">IF(ISERROR(OFFSET(Ottone!$A$1,MATCH(J870,Ottone!$A:$A,0)-1,MATCH(L870,Ottone!$A$1:$Z$1,0)-1)=TRUE),0,OFFSET(Ottone!$A$1,MATCH(J870,Ottone!$A:$A,0)-1,MATCH(L870,Ottone!$A$1:$Z$1,0)-1))*IF(G870="Ottone",1,0)</f>
        <v>0</v>
      </c>
      <c r="O870" s="205">
        <f ca="1">IF(ISERROR(OFFSET(Rame!$A$1,MATCH(J870,Rame!$A:$A,0)-1,MATCH(L870,Rame!$A$1:$AA$1,0)-1)=TRUE),0,OFFSET(Rame!$A$1,MATCH(J870,Rame!$A:$A,0)-1,MATCH(L870,Rame!$A$1:$AA$1,0)-1))*IF(G870="Rame",1,0)</f>
        <v>0</v>
      </c>
      <c r="P870" s="205">
        <v>0</v>
      </c>
      <c r="Q870" s="205">
        <f t="shared" ca="1" si="275"/>
        <v>0</v>
      </c>
      <c r="R870" s="205">
        <f ca="1">+IF(ISERROR(OFFSET(Tabella!$G$1,MATCH(J870,Tabella!$G:$G,0)-1,MATCH(K870,Tabella!$G$1:$FG$1,0)-1)=TRUE),0,OFFSET(Tabella!$G$1,MATCH(J870,Tabella!$G:$G,0)-1,MATCH(K870,Tabella!$G$1:$AB$1,0)-1))</f>
        <v>0</v>
      </c>
      <c r="S870" s="205">
        <f ca="1">IF(ISERROR(OFFSET(Ottone!$F$1,MATCH(J870,Ottone!$A:$A,0)-1,MATCH(K870,Ottone!$F$1:$FF$1,0)-1)=TRUE),0,OFFSET(Ottone!$F$1,MATCH(J870,Ottone!$A:$A,0)-1,MATCH(K870,Ottone!$F$1:$FF$1,0)-1))*IF(G870="Ottone",1,0)</f>
        <v>0</v>
      </c>
      <c r="T870" s="205">
        <f ca="1">IF(ISERROR(OFFSET(Rame!$F$1,MATCH(J870,Rame!$F:$F,0)-1,MATCH(K870,Rame!$F$1:$FF$1,0)-1)=TRUE),0,OFFSET(Rame!$F$1,MATCH(J870,Rame!$F:$F,0)-1,MATCH(K870,Rame!$F$1:$FF$1,0)-1))*IF(G870="Rame",1,0)</f>
        <v>0</v>
      </c>
      <c r="U870" s="205">
        <f ca="1">IF(ISERROR(OFFSET(Bronzo!$A$1,MATCH(J870,Bronzo!$A:$A,0)-1,MATCH(K870,Bronzo!$A$1:$AA$1,0)-1)=TRUE),0,OFFSET(Bronzo!$A$1,MATCH(J870,Bronzo!$A:$A,0)-1,MATCH(K870,Bronzo!$A$1:$AA$1,0)-1))</f>
        <v>0</v>
      </c>
      <c r="V870" s="205">
        <f t="shared" ca="1" si="276"/>
        <v>0</v>
      </c>
      <c r="W870" s="204"/>
      <c r="X870" s="205">
        <v>0</v>
      </c>
      <c r="Y870" s="206">
        <f t="shared" ca="1" si="277"/>
        <v>0</v>
      </c>
      <c r="Z870" s="277">
        <f t="shared" si="278"/>
        <v>0</v>
      </c>
      <c r="AA870" s="203"/>
      <c r="AB870" s="203">
        <f t="shared" ca="1" si="279"/>
        <v>0</v>
      </c>
      <c r="AC870" s="238"/>
      <c r="AI870" s="367">
        <f t="shared" ca="1" si="274"/>
        <v>46092</v>
      </c>
      <c r="AJ870" s="367" t="b">
        <f t="shared" si="280"/>
        <v>1</v>
      </c>
      <c r="AK870" s="370" t="str">
        <f t="shared" si="281"/>
        <v/>
      </c>
      <c r="AN870">
        <f t="shared" si="282"/>
        <v>0</v>
      </c>
      <c r="AO870">
        <f t="shared" si="283"/>
        <v>1900</v>
      </c>
      <c r="AV870">
        <f t="shared" si="284"/>
        <v>0</v>
      </c>
      <c r="AW870">
        <f t="shared" si="285"/>
        <v>0</v>
      </c>
    </row>
    <row r="871" spans="4:49" ht="15.75" x14ac:dyDescent="0.25">
      <c r="D871" s="199"/>
      <c r="E871" s="200"/>
      <c r="F871" s="287"/>
      <c r="G871" s="201"/>
      <c r="H871" s="219"/>
      <c r="I871" s="202"/>
      <c r="J871" s="200"/>
      <c r="K871" s="200"/>
      <c r="L871" s="203"/>
      <c r="M871" s="204">
        <f ca="1">IF(ISERROR(OFFSET(Tabella!$A$1,MATCH(J871,Tabella!$A:$A,0)-1,MATCH(L871,Tabella!$A$1:$AC$1,0)-1)=TRUE),0,+OFFSET(Tabella!$A$1,MATCH(J871,Tabella!$A:$A,0)-1,MATCH(L871,Tabella!$A$1:$AC$1,0)-1))</f>
        <v>0</v>
      </c>
      <c r="N871" s="205">
        <f ca="1">IF(ISERROR(OFFSET(Ottone!$A$1,MATCH(J871,Ottone!$A:$A,0)-1,MATCH(L871,Ottone!$A$1:$Z$1,0)-1)=TRUE),0,OFFSET(Ottone!$A$1,MATCH(J871,Ottone!$A:$A,0)-1,MATCH(L871,Ottone!$A$1:$Z$1,0)-1))*IF(G871="Ottone",1,0)</f>
        <v>0</v>
      </c>
      <c r="O871" s="205">
        <f ca="1">IF(ISERROR(OFFSET(Rame!$A$1,MATCH(J871,Rame!$A:$A,0)-1,MATCH(L871,Rame!$A$1:$AA$1,0)-1)=TRUE),0,OFFSET(Rame!$A$1,MATCH(J871,Rame!$A:$A,0)-1,MATCH(L871,Rame!$A$1:$AA$1,0)-1))*IF(G871="Rame",1,0)</f>
        <v>0</v>
      </c>
      <c r="P871" s="205">
        <v>0</v>
      </c>
      <c r="Q871" s="205">
        <f t="shared" ca="1" si="275"/>
        <v>0</v>
      </c>
      <c r="R871" s="205">
        <f ca="1">+IF(ISERROR(OFFSET(Tabella!$G$1,MATCH(J871,Tabella!$G:$G,0)-1,MATCH(K871,Tabella!$G$1:$FG$1,0)-1)=TRUE),0,OFFSET(Tabella!$G$1,MATCH(J871,Tabella!$G:$G,0)-1,MATCH(K871,Tabella!$G$1:$AB$1,0)-1))</f>
        <v>0</v>
      </c>
      <c r="S871" s="205">
        <f ca="1">IF(ISERROR(OFFSET(Ottone!$F$1,MATCH(J871,Ottone!$A:$A,0)-1,MATCH(K871,Ottone!$F$1:$FF$1,0)-1)=TRUE),0,OFFSET(Ottone!$F$1,MATCH(J871,Ottone!$A:$A,0)-1,MATCH(K871,Ottone!$F$1:$FF$1,0)-1))*IF(G871="Ottone",1,0)</f>
        <v>0</v>
      </c>
      <c r="T871" s="205">
        <f ca="1">IF(ISERROR(OFFSET(Rame!$F$1,MATCH(J871,Rame!$F:$F,0)-1,MATCH(K871,Rame!$F$1:$FF$1,0)-1)=TRUE),0,OFFSET(Rame!$F$1,MATCH(J871,Rame!$F:$F,0)-1,MATCH(K871,Rame!$F$1:$FF$1,0)-1))*IF(G871="Rame",1,0)</f>
        <v>0</v>
      </c>
      <c r="U871" s="205">
        <f ca="1">IF(ISERROR(OFFSET(Bronzo!$A$1,MATCH(J871,Bronzo!$A:$A,0)-1,MATCH(K871,Bronzo!$A$1:$AA$1,0)-1)=TRUE),0,OFFSET(Bronzo!$A$1,MATCH(J871,Bronzo!$A:$A,0)-1,MATCH(K871,Bronzo!$A$1:$AA$1,0)-1))</f>
        <v>0</v>
      </c>
      <c r="V871" s="205">
        <f t="shared" ca="1" si="276"/>
        <v>0</v>
      </c>
      <c r="W871" s="204"/>
      <c r="X871" s="205">
        <v>0</v>
      </c>
      <c r="Y871" s="206">
        <f t="shared" ca="1" si="277"/>
        <v>0</v>
      </c>
      <c r="Z871" s="277">
        <f t="shared" si="278"/>
        <v>0</v>
      </c>
      <c r="AA871" s="203"/>
      <c r="AB871" s="203">
        <f t="shared" ca="1" si="279"/>
        <v>0</v>
      </c>
      <c r="AC871" s="238"/>
      <c r="AI871" s="367">
        <f t="shared" ca="1" si="274"/>
        <v>46092</v>
      </c>
      <c r="AJ871" s="367" t="b">
        <f t="shared" si="280"/>
        <v>1</v>
      </c>
      <c r="AK871" s="370" t="str">
        <f t="shared" si="281"/>
        <v/>
      </c>
      <c r="AN871">
        <f t="shared" si="282"/>
        <v>0</v>
      </c>
      <c r="AO871">
        <f t="shared" si="283"/>
        <v>1900</v>
      </c>
      <c r="AV871">
        <f t="shared" si="284"/>
        <v>0</v>
      </c>
      <c r="AW871">
        <f t="shared" si="285"/>
        <v>0</v>
      </c>
    </row>
    <row r="872" spans="4:49" ht="15.75" x14ac:dyDescent="0.25">
      <c r="D872" s="199"/>
      <c r="E872" s="200"/>
      <c r="F872" s="287"/>
      <c r="G872" s="201"/>
      <c r="H872" s="219"/>
      <c r="I872" s="202"/>
      <c r="J872" s="200"/>
      <c r="K872" s="200"/>
      <c r="L872" s="203"/>
      <c r="M872" s="204">
        <f ca="1">IF(ISERROR(OFFSET(Tabella!$A$1,MATCH(J872,Tabella!$A:$A,0)-1,MATCH(L872,Tabella!$A$1:$AC$1,0)-1)=TRUE),0,+OFFSET(Tabella!$A$1,MATCH(J872,Tabella!$A:$A,0)-1,MATCH(L872,Tabella!$A$1:$AC$1,0)-1))</f>
        <v>0</v>
      </c>
      <c r="N872" s="205">
        <f ca="1">IF(ISERROR(OFFSET(Ottone!$A$1,MATCH(J872,Ottone!$A:$A,0)-1,MATCH(L872,Ottone!$A$1:$Z$1,0)-1)=TRUE),0,OFFSET(Ottone!$A$1,MATCH(J872,Ottone!$A:$A,0)-1,MATCH(L872,Ottone!$A$1:$Z$1,0)-1))*IF(G872="Ottone",1,0)</f>
        <v>0</v>
      </c>
      <c r="O872" s="205">
        <f ca="1">IF(ISERROR(OFFSET(Rame!$A$1,MATCH(J872,Rame!$A:$A,0)-1,MATCH(L872,Rame!$A$1:$AA$1,0)-1)=TRUE),0,OFFSET(Rame!$A$1,MATCH(J872,Rame!$A:$A,0)-1,MATCH(L872,Rame!$A$1:$AA$1,0)-1))*IF(G872="Rame",1,0)</f>
        <v>0</v>
      </c>
      <c r="P872" s="205">
        <v>0</v>
      </c>
      <c r="Q872" s="205">
        <f t="shared" ca="1" si="275"/>
        <v>0</v>
      </c>
      <c r="R872" s="205">
        <f ca="1">+IF(ISERROR(OFFSET(Tabella!$G$1,MATCH(J872,Tabella!$G:$G,0)-1,MATCH(K872,Tabella!$G$1:$FG$1,0)-1)=TRUE),0,OFFSET(Tabella!$G$1,MATCH(J872,Tabella!$G:$G,0)-1,MATCH(K872,Tabella!$G$1:$AB$1,0)-1))</f>
        <v>0</v>
      </c>
      <c r="S872" s="205">
        <f ca="1">IF(ISERROR(OFFSET(Ottone!$F$1,MATCH(J872,Ottone!$A:$A,0)-1,MATCH(K872,Ottone!$F$1:$FF$1,0)-1)=TRUE),0,OFFSET(Ottone!$F$1,MATCH(J872,Ottone!$A:$A,0)-1,MATCH(K872,Ottone!$F$1:$FF$1,0)-1))*IF(G872="Ottone",1,0)</f>
        <v>0</v>
      </c>
      <c r="T872" s="205">
        <f ca="1">IF(ISERROR(OFFSET(Rame!$F$1,MATCH(J872,Rame!$F:$F,0)-1,MATCH(K872,Rame!$F$1:$FF$1,0)-1)=TRUE),0,OFFSET(Rame!$F$1,MATCH(J872,Rame!$F:$F,0)-1,MATCH(K872,Rame!$F$1:$FF$1,0)-1))*IF(G872="Rame",1,0)</f>
        <v>0</v>
      </c>
      <c r="U872" s="205">
        <f ca="1">IF(ISERROR(OFFSET(Bronzo!$A$1,MATCH(J872,Bronzo!$A:$A,0)-1,MATCH(K872,Bronzo!$A$1:$AA$1,0)-1)=TRUE),0,OFFSET(Bronzo!$A$1,MATCH(J872,Bronzo!$A:$A,0)-1,MATCH(K872,Bronzo!$A$1:$AA$1,0)-1))</f>
        <v>0</v>
      </c>
      <c r="V872" s="205">
        <f t="shared" ca="1" si="276"/>
        <v>0</v>
      </c>
      <c r="W872" s="204"/>
      <c r="X872" s="205">
        <v>0</v>
      </c>
      <c r="Y872" s="206">
        <f t="shared" ca="1" si="277"/>
        <v>0</v>
      </c>
      <c r="Z872" s="277">
        <f t="shared" si="278"/>
        <v>0</v>
      </c>
      <c r="AA872" s="203"/>
      <c r="AB872" s="203">
        <f t="shared" ca="1" si="279"/>
        <v>0</v>
      </c>
      <c r="AC872" s="238"/>
      <c r="AI872" s="367">
        <f t="shared" ca="1" si="274"/>
        <v>46092</v>
      </c>
      <c r="AJ872" s="367" t="b">
        <f t="shared" si="280"/>
        <v>1</v>
      </c>
      <c r="AK872" s="370" t="str">
        <f t="shared" si="281"/>
        <v/>
      </c>
      <c r="AN872">
        <f t="shared" si="282"/>
        <v>0</v>
      </c>
      <c r="AO872">
        <f t="shared" si="283"/>
        <v>1900</v>
      </c>
      <c r="AV872">
        <f t="shared" si="284"/>
        <v>0</v>
      </c>
      <c r="AW872">
        <f t="shared" si="285"/>
        <v>0</v>
      </c>
    </row>
    <row r="873" spans="4:49" ht="15.75" x14ac:dyDescent="0.25">
      <c r="D873" s="199"/>
      <c r="E873" s="200"/>
      <c r="F873" s="287"/>
      <c r="G873" s="201"/>
      <c r="H873" s="219"/>
      <c r="I873" s="202"/>
      <c r="J873" s="200"/>
      <c r="K873" s="200"/>
      <c r="L873" s="203"/>
      <c r="M873" s="204">
        <f ca="1">IF(ISERROR(OFFSET(Tabella!$A$1,MATCH(J873,Tabella!$A:$A,0)-1,MATCH(L873,Tabella!$A$1:$AC$1,0)-1)=TRUE),0,+OFFSET(Tabella!$A$1,MATCH(J873,Tabella!$A:$A,0)-1,MATCH(L873,Tabella!$A$1:$AC$1,0)-1))</f>
        <v>0</v>
      </c>
      <c r="N873" s="205">
        <f ca="1">IF(ISERROR(OFFSET(Ottone!$A$1,MATCH(J873,Ottone!$A:$A,0)-1,MATCH(L873,Ottone!$A$1:$Z$1,0)-1)=TRUE),0,OFFSET(Ottone!$A$1,MATCH(J873,Ottone!$A:$A,0)-1,MATCH(L873,Ottone!$A$1:$Z$1,0)-1))*IF(G873="Ottone",1,0)</f>
        <v>0</v>
      </c>
      <c r="O873" s="205">
        <f ca="1">IF(ISERROR(OFFSET(Rame!$A$1,MATCH(J873,Rame!$A:$A,0)-1,MATCH(L873,Rame!$A$1:$AA$1,0)-1)=TRUE),0,OFFSET(Rame!$A$1,MATCH(J873,Rame!$A:$A,0)-1,MATCH(L873,Rame!$A$1:$AA$1,0)-1))*IF(G873="Rame",1,0)</f>
        <v>0</v>
      </c>
      <c r="P873" s="205">
        <v>0</v>
      </c>
      <c r="Q873" s="205">
        <f t="shared" ca="1" si="275"/>
        <v>0</v>
      </c>
      <c r="R873" s="205">
        <f ca="1">+IF(ISERROR(OFFSET(Tabella!$G$1,MATCH(J873,Tabella!$G:$G,0)-1,MATCH(K873,Tabella!$G$1:$FG$1,0)-1)=TRUE),0,OFFSET(Tabella!$G$1,MATCH(J873,Tabella!$G:$G,0)-1,MATCH(K873,Tabella!$G$1:$AB$1,0)-1))</f>
        <v>0</v>
      </c>
      <c r="S873" s="205">
        <f ca="1">IF(ISERROR(OFFSET(Ottone!$F$1,MATCH(J873,Ottone!$A:$A,0)-1,MATCH(K873,Ottone!$F$1:$FF$1,0)-1)=TRUE),0,OFFSET(Ottone!$F$1,MATCH(J873,Ottone!$A:$A,0)-1,MATCH(K873,Ottone!$F$1:$FF$1,0)-1))*IF(G873="Ottone",1,0)</f>
        <v>0</v>
      </c>
      <c r="T873" s="205">
        <f ca="1">IF(ISERROR(OFFSET(Rame!$F$1,MATCH(J873,Rame!$F:$F,0)-1,MATCH(K873,Rame!$F$1:$FF$1,0)-1)=TRUE),0,OFFSET(Rame!$F$1,MATCH(J873,Rame!$F:$F,0)-1,MATCH(K873,Rame!$F$1:$FF$1,0)-1))*IF(G873="Rame",1,0)</f>
        <v>0</v>
      </c>
      <c r="U873" s="205">
        <f ca="1">IF(ISERROR(OFFSET(Bronzo!$A$1,MATCH(J873,Bronzo!$A:$A,0)-1,MATCH(K873,Bronzo!$A$1:$AA$1,0)-1)=TRUE),0,OFFSET(Bronzo!$A$1,MATCH(J873,Bronzo!$A:$A,0)-1,MATCH(K873,Bronzo!$A$1:$AA$1,0)-1))</f>
        <v>0</v>
      </c>
      <c r="V873" s="205">
        <f t="shared" ca="1" si="276"/>
        <v>0</v>
      </c>
      <c r="W873" s="204"/>
      <c r="X873" s="205">
        <v>0</v>
      </c>
      <c r="Y873" s="206">
        <f t="shared" ca="1" si="277"/>
        <v>0</v>
      </c>
      <c r="Z873" s="277">
        <f t="shared" si="278"/>
        <v>0</v>
      </c>
      <c r="AA873" s="203"/>
      <c r="AB873" s="203">
        <f t="shared" ca="1" si="279"/>
        <v>0</v>
      </c>
      <c r="AC873" s="238"/>
      <c r="AI873" s="367">
        <f t="shared" ca="1" si="274"/>
        <v>46092</v>
      </c>
      <c r="AJ873" s="367" t="b">
        <f t="shared" si="280"/>
        <v>1</v>
      </c>
      <c r="AK873" s="370" t="str">
        <f t="shared" si="281"/>
        <v/>
      </c>
      <c r="AN873">
        <f t="shared" si="282"/>
        <v>0</v>
      </c>
      <c r="AO873">
        <f t="shared" si="283"/>
        <v>1900</v>
      </c>
      <c r="AV873">
        <f t="shared" si="284"/>
        <v>0</v>
      </c>
      <c r="AW873">
        <f t="shared" si="285"/>
        <v>0</v>
      </c>
    </row>
    <row r="874" spans="4:49" ht="15.75" x14ac:dyDescent="0.25">
      <c r="D874" s="199"/>
      <c r="E874" s="200"/>
      <c r="F874" s="287"/>
      <c r="G874" s="201"/>
      <c r="H874" s="219"/>
      <c r="I874" s="202"/>
      <c r="J874" s="200"/>
      <c r="K874" s="200"/>
      <c r="L874" s="203"/>
      <c r="M874" s="204">
        <f ca="1">IF(ISERROR(OFFSET(Tabella!$A$1,MATCH(J874,Tabella!$A:$A,0)-1,MATCH(L874,Tabella!$A$1:$AC$1,0)-1)=TRUE),0,+OFFSET(Tabella!$A$1,MATCH(J874,Tabella!$A:$A,0)-1,MATCH(L874,Tabella!$A$1:$AC$1,0)-1))</f>
        <v>0</v>
      </c>
      <c r="N874" s="205">
        <f ca="1">IF(ISERROR(OFFSET(Ottone!$A$1,MATCH(J874,Ottone!$A:$A,0)-1,MATCH(L874,Ottone!$A$1:$Z$1,0)-1)=TRUE),0,OFFSET(Ottone!$A$1,MATCH(J874,Ottone!$A:$A,0)-1,MATCH(L874,Ottone!$A$1:$Z$1,0)-1))*IF(G874="Ottone",1,0)</f>
        <v>0</v>
      </c>
      <c r="O874" s="205">
        <f ca="1">IF(ISERROR(OFFSET(Rame!$A$1,MATCH(J874,Rame!$A:$A,0)-1,MATCH(L874,Rame!$A$1:$AA$1,0)-1)=TRUE),0,OFFSET(Rame!$A$1,MATCH(J874,Rame!$A:$A,0)-1,MATCH(L874,Rame!$A$1:$AA$1,0)-1))*IF(G874="Rame",1,0)</f>
        <v>0</v>
      </c>
      <c r="P874" s="205">
        <v>0</v>
      </c>
      <c r="Q874" s="205">
        <f t="shared" ca="1" si="275"/>
        <v>0</v>
      </c>
      <c r="R874" s="205">
        <f ca="1">+IF(ISERROR(OFFSET(Tabella!$G$1,MATCH(J874,Tabella!$G:$G,0)-1,MATCH(K874,Tabella!$G$1:$FG$1,0)-1)=TRUE),0,OFFSET(Tabella!$G$1,MATCH(J874,Tabella!$G:$G,0)-1,MATCH(K874,Tabella!$G$1:$AB$1,0)-1))</f>
        <v>0</v>
      </c>
      <c r="S874" s="205">
        <f ca="1">IF(ISERROR(OFFSET(Ottone!$F$1,MATCH(J874,Ottone!$A:$A,0)-1,MATCH(K874,Ottone!$F$1:$FF$1,0)-1)=TRUE),0,OFFSET(Ottone!$F$1,MATCH(J874,Ottone!$A:$A,0)-1,MATCH(K874,Ottone!$F$1:$FF$1,0)-1))*IF(G874="Ottone",1,0)</f>
        <v>0</v>
      </c>
      <c r="T874" s="205">
        <f ca="1">IF(ISERROR(OFFSET(Rame!$F$1,MATCH(J874,Rame!$F:$F,0)-1,MATCH(K874,Rame!$F$1:$FF$1,0)-1)=TRUE),0,OFFSET(Rame!$F$1,MATCH(J874,Rame!$F:$F,0)-1,MATCH(K874,Rame!$F$1:$FF$1,0)-1))*IF(G874="Rame",1,0)</f>
        <v>0</v>
      </c>
      <c r="U874" s="205">
        <f ca="1">IF(ISERROR(OFFSET(Bronzo!$A$1,MATCH(J874,Bronzo!$A:$A,0)-1,MATCH(K874,Bronzo!$A$1:$AA$1,0)-1)=TRUE),0,OFFSET(Bronzo!$A$1,MATCH(J874,Bronzo!$A:$A,0)-1,MATCH(K874,Bronzo!$A$1:$AA$1,0)-1))</f>
        <v>0</v>
      </c>
      <c r="V874" s="205">
        <f t="shared" ca="1" si="276"/>
        <v>0</v>
      </c>
      <c r="W874" s="204"/>
      <c r="X874" s="205">
        <v>0</v>
      </c>
      <c r="Y874" s="206">
        <f t="shared" ca="1" si="277"/>
        <v>0</v>
      </c>
      <c r="Z874" s="277">
        <f t="shared" si="278"/>
        <v>0</v>
      </c>
      <c r="AA874" s="203"/>
      <c r="AB874" s="203">
        <f t="shared" ca="1" si="279"/>
        <v>0</v>
      </c>
      <c r="AC874" s="238"/>
      <c r="AI874" s="367">
        <f t="shared" ca="1" si="274"/>
        <v>46092</v>
      </c>
      <c r="AJ874" s="367" t="b">
        <f t="shared" si="280"/>
        <v>1</v>
      </c>
      <c r="AK874" s="370" t="str">
        <f t="shared" si="281"/>
        <v/>
      </c>
      <c r="AN874">
        <f t="shared" si="282"/>
        <v>0</v>
      </c>
      <c r="AO874">
        <f t="shared" si="283"/>
        <v>1900</v>
      </c>
      <c r="AV874">
        <f t="shared" si="284"/>
        <v>0</v>
      </c>
      <c r="AW874">
        <f t="shared" si="285"/>
        <v>0</v>
      </c>
    </row>
    <row r="875" spans="4:49" ht="15.75" x14ac:dyDescent="0.25">
      <c r="D875" s="199"/>
      <c r="E875" s="200"/>
      <c r="F875" s="287"/>
      <c r="G875" s="201"/>
      <c r="H875" s="219"/>
      <c r="I875" s="202"/>
      <c r="J875" s="200"/>
      <c r="K875" s="200"/>
      <c r="L875" s="203"/>
      <c r="M875" s="204">
        <f ca="1">IF(ISERROR(OFFSET(Tabella!$A$1,MATCH(J875,Tabella!$A:$A,0)-1,MATCH(L875,Tabella!$A$1:$AC$1,0)-1)=TRUE),0,+OFFSET(Tabella!$A$1,MATCH(J875,Tabella!$A:$A,0)-1,MATCH(L875,Tabella!$A$1:$AC$1,0)-1))</f>
        <v>0</v>
      </c>
      <c r="N875" s="205">
        <f ca="1">IF(ISERROR(OFFSET(Ottone!$A$1,MATCH(J875,Ottone!$A:$A,0)-1,MATCH(L875,Ottone!$A$1:$Z$1,0)-1)=TRUE),0,OFFSET(Ottone!$A$1,MATCH(J875,Ottone!$A:$A,0)-1,MATCH(L875,Ottone!$A$1:$Z$1,0)-1))*IF(G875="Ottone",1,0)</f>
        <v>0</v>
      </c>
      <c r="O875" s="205">
        <f ca="1">IF(ISERROR(OFFSET(Rame!$A$1,MATCH(J875,Rame!$A:$A,0)-1,MATCH(L875,Rame!$A$1:$AA$1,0)-1)=TRUE),0,OFFSET(Rame!$A$1,MATCH(J875,Rame!$A:$A,0)-1,MATCH(L875,Rame!$A$1:$AA$1,0)-1))*IF(G875="Rame",1,0)</f>
        <v>0</v>
      </c>
      <c r="P875" s="205">
        <v>0</v>
      </c>
      <c r="Q875" s="205">
        <f t="shared" ca="1" si="275"/>
        <v>0</v>
      </c>
      <c r="R875" s="205">
        <f ca="1">+IF(ISERROR(OFFSET(Tabella!$G$1,MATCH(J875,Tabella!$G:$G,0)-1,MATCH(K875,Tabella!$G$1:$FG$1,0)-1)=TRUE),0,OFFSET(Tabella!$G$1,MATCH(J875,Tabella!$G:$G,0)-1,MATCH(K875,Tabella!$G$1:$AB$1,0)-1))</f>
        <v>0</v>
      </c>
      <c r="S875" s="205">
        <f ca="1">IF(ISERROR(OFFSET(Ottone!$F$1,MATCH(J875,Ottone!$A:$A,0)-1,MATCH(K875,Ottone!$F$1:$FF$1,0)-1)=TRUE),0,OFFSET(Ottone!$F$1,MATCH(J875,Ottone!$A:$A,0)-1,MATCH(K875,Ottone!$F$1:$FF$1,0)-1))*IF(G875="Ottone",1,0)</f>
        <v>0</v>
      </c>
      <c r="T875" s="205">
        <f ca="1">IF(ISERROR(OFFSET(Rame!$F$1,MATCH(J875,Rame!$F:$F,0)-1,MATCH(K875,Rame!$F$1:$FF$1,0)-1)=TRUE),0,OFFSET(Rame!$F$1,MATCH(J875,Rame!$F:$F,0)-1,MATCH(K875,Rame!$F$1:$FF$1,0)-1))*IF(G875="Rame",1,0)</f>
        <v>0</v>
      </c>
      <c r="U875" s="205">
        <f ca="1">IF(ISERROR(OFFSET(Bronzo!$A$1,MATCH(J875,Bronzo!$A:$A,0)-1,MATCH(K875,Bronzo!$A$1:$AA$1,0)-1)=TRUE),0,OFFSET(Bronzo!$A$1,MATCH(J875,Bronzo!$A:$A,0)-1,MATCH(K875,Bronzo!$A$1:$AA$1,0)-1))</f>
        <v>0</v>
      </c>
      <c r="V875" s="205">
        <f t="shared" ca="1" si="276"/>
        <v>0</v>
      </c>
      <c r="W875" s="204"/>
      <c r="X875" s="205">
        <v>0</v>
      </c>
      <c r="Y875" s="206">
        <f t="shared" ca="1" si="277"/>
        <v>0</v>
      </c>
      <c r="Z875" s="277">
        <f t="shared" si="278"/>
        <v>0</v>
      </c>
      <c r="AA875" s="203"/>
      <c r="AB875" s="203">
        <f t="shared" ca="1" si="279"/>
        <v>0</v>
      </c>
      <c r="AC875" s="238"/>
      <c r="AI875" s="367">
        <f t="shared" ca="1" si="274"/>
        <v>46092</v>
      </c>
      <c r="AJ875" s="367" t="b">
        <f t="shared" si="280"/>
        <v>1</v>
      </c>
      <c r="AK875" s="370" t="str">
        <f t="shared" si="281"/>
        <v/>
      </c>
      <c r="AN875">
        <f t="shared" si="282"/>
        <v>0</v>
      </c>
      <c r="AO875">
        <f t="shared" si="283"/>
        <v>1900</v>
      </c>
      <c r="AV875">
        <f t="shared" si="284"/>
        <v>0</v>
      </c>
      <c r="AW875">
        <f t="shared" si="285"/>
        <v>0</v>
      </c>
    </row>
    <row r="876" spans="4:49" ht="15.75" x14ac:dyDescent="0.25">
      <c r="D876" s="199"/>
      <c r="E876" s="200"/>
      <c r="F876" s="287"/>
      <c r="G876" s="201"/>
      <c r="H876" s="219"/>
      <c r="I876" s="202"/>
      <c r="J876" s="200"/>
      <c r="K876" s="200"/>
      <c r="L876" s="203"/>
      <c r="M876" s="204">
        <f ca="1">IF(ISERROR(OFFSET(Tabella!$A$1,MATCH(J876,Tabella!$A:$A,0)-1,MATCH(L876,Tabella!$A$1:$AC$1,0)-1)=TRUE),0,+OFFSET(Tabella!$A$1,MATCH(J876,Tabella!$A:$A,0)-1,MATCH(L876,Tabella!$A$1:$AC$1,0)-1))</f>
        <v>0</v>
      </c>
      <c r="N876" s="205">
        <f ca="1">IF(ISERROR(OFFSET(Ottone!$A$1,MATCH(J876,Ottone!$A:$A,0)-1,MATCH(L876,Ottone!$A$1:$Z$1,0)-1)=TRUE),0,OFFSET(Ottone!$A$1,MATCH(J876,Ottone!$A:$A,0)-1,MATCH(L876,Ottone!$A$1:$Z$1,0)-1))*IF(G876="Ottone",1,0)</f>
        <v>0</v>
      </c>
      <c r="O876" s="205">
        <f ca="1">IF(ISERROR(OFFSET(Rame!$A$1,MATCH(J876,Rame!$A:$A,0)-1,MATCH(L876,Rame!$A$1:$AA$1,0)-1)=TRUE),0,OFFSET(Rame!$A$1,MATCH(J876,Rame!$A:$A,0)-1,MATCH(L876,Rame!$A$1:$AA$1,0)-1))*IF(G876="Rame",1,0)</f>
        <v>0</v>
      </c>
      <c r="P876" s="205">
        <v>0</v>
      </c>
      <c r="Q876" s="205">
        <f t="shared" ca="1" si="275"/>
        <v>0</v>
      </c>
      <c r="R876" s="205">
        <f ca="1">+IF(ISERROR(OFFSET(Tabella!$G$1,MATCH(J876,Tabella!$G:$G,0)-1,MATCH(K876,Tabella!$G$1:$FG$1,0)-1)=TRUE),0,OFFSET(Tabella!$G$1,MATCH(J876,Tabella!$G:$G,0)-1,MATCH(K876,Tabella!$G$1:$AB$1,0)-1))</f>
        <v>0</v>
      </c>
      <c r="S876" s="205">
        <f ca="1">IF(ISERROR(OFFSET(Ottone!$F$1,MATCH(J876,Ottone!$A:$A,0)-1,MATCH(K876,Ottone!$F$1:$FF$1,0)-1)=TRUE),0,OFFSET(Ottone!$F$1,MATCH(J876,Ottone!$A:$A,0)-1,MATCH(K876,Ottone!$F$1:$FF$1,0)-1))*IF(G876="Ottone",1,0)</f>
        <v>0</v>
      </c>
      <c r="T876" s="205">
        <f ca="1">IF(ISERROR(OFFSET(Rame!$F$1,MATCH(J876,Rame!$F:$F,0)-1,MATCH(K876,Rame!$F$1:$FF$1,0)-1)=TRUE),0,OFFSET(Rame!$F$1,MATCH(J876,Rame!$F:$F,0)-1,MATCH(K876,Rame!$F$1:$FF$1,0)-1))*IF(G876="Rame",1,0)</f>
        <v>0</v>
      </c>
      <c r="U876" s="205">
        <f ca="1">IF(ISERROR(OFFSET(Bronzo!$A$1,MATCH(J876,Bronzo!$A:$A,0)-1,MATCH(K876,Bronzo!$A$1:$AA$1,0)-1)=TRUE),0,OFFSET(Bronzo!$A$1,MATCH(J876,Bronzo!$A:$A,0)-1,MATCH(K876,Bronzo!$A$1:$AA$1,0)-1))</f>
        <v>0</v>
      </c>
      <c r="V876" s="205">
        <f t="shared" ca="1" si="276"/>
        <v>0</v>
      </c>
      <c r="W876" s="204"/>
      <c r="X876" s="205">
        <v>0</v>
      </c>
      <c r="Y876" s="206">
        <f t="shared" ca="1" si="277"/>
        <v>0</v>
      </c>
      <c r="Z876" s="277">
        <f t="shared" si="278"/>
        <v>0</v>
      </c>
      <c r="AA876" s="203"/>
      <c r="AB876" s="203">
        <f t="shared" ca="1" si="279"/>
        <v>0</v>
      </c>
      <c r="AC876" s="238"/>
      <c r="AI876" s="367">
        <f t="shared" ca="1" si="274"/>
        <v>46092</v>
      </c>
      <c r="AJ876" s="367" t="b">
        <f t="shared" si="280"/>
        <v>1</v>
      </c>
      <c r="AK876" s="370" t="str">
        <f t="shared" si="281"/>
        <v/>
      </c>
      <c r="AN876">
        <f t="shared" si="282"/>
        <v>0</v>
      </c>
      <c r="AO876">
        <f t="shared" si="283"/>
        <v>1900</v>
      </c>
      <c r="AV876">
        <f t="shared" si="284"/>
        <v>0</v>
      </c>
      <c r="AW876">
        <f t="shared" si="285"/>
        <v>0</v>
      </c>
    </row>
    <row r="877" spans="4:49" ht="15.75" x14ac:dyDescent="0.25">
      <c r="D877" s="199"/>
      <c r="E877" s="200"/>
      <c r="F877" s="287"/>
      <c r="G877" s="201"/>
      <c r="H877" s="219"/>
      <c r="I877" s="202"/>
      <c r="J877" s="200"/>
      <c r="K877" s="200"/>
      <c r="L877" s="203"/>
      <c r="M877" s="204">
        <f ca="1">IF(ISERROR(OFFSET(Tabella!$A$1,MATCH(J877,Tabella!$A:$A,0)-1,MATCH(L877,Tabella!$A$1:$AC$1,0)-1)=TRUE),0,+OFFSET(Tabella!$A$1,MATCH(J877,Tabella!$A:$A,0)-1,MATCH(L877,Tabella!$A$1:$AC$1,0)-1))</f>
        <v>0</v>
      </c>
      <c r="N877" s="205">
        <f ca="1">IF(ISERROR(OFFSET(Ottone!$A$1,MATCH(J877,Ottone!$A:$A,0)-1,MATCH(L877,Ottone!$A$1:$Z$1,0)-1)=TRUE),0,OFFSET(Ottone!$A$1,MATCH(J877,Ottone!$A:$A,0)-1,MATCH(L877,Ottone!$A$1:$Z$1,0)-1))*IF(G877="Ottone",1,0)</f>
        <v>0</v>
      </c>
      <c r="O877" s="205">
        <f ca="1">IF(ISERROR(OFFSET(Rame!$A$1,MATCH(J877,Rame!$A:$A,0)-1,MATCH(L877,Rame!$A$1:$AA$1,0)-1)=TRUE),0,OFFSET(Rame!$A$1,MATCH(J877,Rame!$A:$A,0)-1,MATCH(L877,Rame!$A$1:$AA$1,0)-1))*IF(G877="Rame",1,0)</f>
        <v>0</v>
      </c>
      <c r="P877" s="205">
        <v>0</v>
      </c>
      <c r="Q877" s="205">
        <f t="shared" ca="1" si="275"/>
        <v>0</v>
      </c>
      <c r="R877" s="205">
        <f ca="1">+IF(ISERROR(OFFSET(Tabella!$G$1,MATCH(J877,Tabella!$G:$G,0)-1,MATCH(K877,Tabella!$G$1:$FG$1,0)-1)=TRUE),0,OFFSET(Tabella!$G$1,MATCH(J877,Tabella!$G:$G,0)-1,MATCH(K877,Tabella!$G$1:$AB$1,0)-1))</f>
        <v>0</v>
      </c>
      <c r="S877" s="205">
        <f ca="1">IF(ISERROR(OFFSET(Ottone!$F$1,MATCH(J877,Ottone!$A:$A,0)-1,MATCH(K877,Ottone!$F$1:$FF$1,0)-1)=TRUE),0,OFFSET(Ottone!$F$1,MATCH(J877,Ottone!$A:$A,0)-1,MATCH(K877,Ottone!$F$1:$FF$1,0)-1))*IF(G877="Ottone",1,0)</f>
        <v>0</v>
      </c>
      <c r="T877" s="205">
        <f ca="1">IF(ISERROR(OFFSET(Rame!$F$1,MATCH(J877,Rame!$F:$F,0)-1,MATCH(K877,Rame!$F$1:$FF$1,0)-1)=TRUE),0,OFFSET(Rame!$F$1,MATCH(J877,Rame!$F:$F,0)-1,MATCH(K877,Rame!$F$1:$FF$1,0)-1))*IF(G877="Rame",1,0)</f>
        <v>0</v>
      </c>
      <c r="U877" s="205">
        <f ca="1">IF(ISERROR(OFFSET(Bronzo!$A$1,MATCH(J877,Bronzo!$A:$A,0)-1,MATCH(K877,Bronzo!$A$1:$AA$1,0)-1)=TRUE),0,OFFSET(Bronzo!$A$1,MATCH(J877,Bronzo!$A:$A,0)-1,MATCH(K877,Bronzo!$A$1:$AA$1,0)-1))</f>
        <v>0</v>
      </c>
      <c r="V877" s="205">
        <f t="shared" ca="1" si="276"/>
        <v>0</v>
      </c>
      <c r="W877" s="204"/>
      <c r="X877" s="205">
        <v>0</v>
      </c>
      <c r="Y877" s="206">
        <f t="shared" ca="1" si="277"/>
        <v>0</v>
      </c>
      <c r="Z877" s="277">
        <f t="shared" si="278"/>
        <v>0</v>
      </c>
      <c r="AA877" s="203"/>
      <c r="AB877" s="203">
        <f t="shared" ca="1" si="279"/>
        <v>0</v>
      </c>
      <c r="AC877" s="238"/>
      <c r="AI877" s="367">
        <f t="shared" ca="1" si="274"/>
        <v>46092</v>
      </c>
      <c r="AJ877" s="367" t="b">
        <f t="shared" si="280"/>
        <v>1</v>
      </c>
      <c r="AK877" s="370" t="str">
        <f t="shared" si="281"/>
        <v/>
      </c>
      <c r="AN877">
        <f t="shared" si="282"/>
        <v>0</v>
      </c>
      <c r="AO877">
        <f t="shared" si="283"/>
        <v>1900</v>
      </c>
      <c r="AV877">
        <f t="shared" si="284"/>
        <v>0</v>
      </c>
      <c r="AW877">
        <f t="shared" si="285"/>
        <v>0</v>
      </c>
    </row>
    <row r="878" spans="4:49" ht="15.75" x14ac:dyDescent="0.25">
      <c r="D878" s="199"/>
      <c r="E878" s="200"/>
      <c r="F878" s="287"/>
      <c r="G878" s="201"/>
      <c r="H878" s="219"/>
      <c r="I878" s="202"/>
      <c r="J878" s="200"/>
      <c r="K878" s="200"/>
      <c r="L878" s="203"/>
      <c r="M878" s="204">
        <f ca="1">IF(ISERROR(OFFSET(Tabella!$A$1,MATCH(J878,Tabella!$A:$A,0)-1,MATCH(L878,Tabella!$A$1:$AC$1,0)-1)=TRUE),0,+OFFSET(Tabella!$A$1,MATCH(J878,Tabella!$A:$A,0)-1,MATCH(L878,Tabella!$A$1:$AC$1,0)-1))</f>
        <v>0</v>
      </c>
      <c r="N878" s="205">
        <f ca="1">IF(ISERROR(OFFSET(Ottone!$A$1,MATCH(J878,Ottone!$A:$A,0)-1,MATCH(L878,Ottone!$A$1:$Z$1,0)-1)=TRUE),0,OFFSET(Ottone!$A$1,MATCH(J878,Ottone!$A:$A,0)-1,MATCH(L878,Ottone!$A$1:$Z$1,0)-1))*IF(G878="Ottone",1,0)</f>
        <v>0</v>
      </c>
      <c r="O878" s="205">
        <f ca="1">IF(ISERROR(OFFSET(Rame!$A$1,MATCH(J878,Rame!$A:$A,0)-1,MATCH(L878,Rame!$A$1:$AA$1,0)-1)=TRUE),0,OFFSET(Rame!$A$1,MATCH(J878,Rame!$A:$A,0)-1,MATCH(L878,Rame!$A$1:$AA$1,0)-1))*IF(G878="Rame",1,0)</f>
        <v>0</v>
      </c>
      <c r="P878" s="205">
        <v>0</v>
      </c>
      <c r="Q878" s="205">
        <f t="shared" ca="1" si="275"/>
        <v>0</v>
      </c>
      <c r="R878" s="205">
        <f ca="1">+IF(ISERROR(OFFSET(Tabella!$G$1,MATCH(J878,Tabella!$G:$G,0)-1,MATCH(K878,Tabella!$G$1:$FG$1,0)-1)=TRUE),0,OFFSET(Tabella!$G$1,MATCH(J878,Tabella!$G:$G,0)-1,MATCH(K878,Tabella!$G$1:$AB$1,0)-1))</f>
        <v>0</v>
      </c>
      <c r="S878" s="205">
        <f ca="1">IF(ISERROR(OFFSET(Ottone!$F$1,MATCH(J878,Ottone!$A:$A,0)-1,MATCH(K878,Ottone!$F$1:$FF$1,0)-1)=TRUE),0,OFFSET(Ottone!$F$1,MATCH(J878,Ottone!$A:$A,0)-1,MATCH(K878,Ottone!$F$1:$FF$1,0)-1))*IF(G878="Ottone",1,0)</f>
        <v>0</v>
      </c>
      <c r="T878" s="205">
        <f ca="1">IF(ISERROR(OFFSET(Rame!$F$1,MATCH(J878,Rame!$F:$F,0)-1,MATCH(K878,Rame!$F$1:$FF$1,0)-1)=TRUE),0,OFFSET(Rame!$F$1,MATCH(J878,Rame!$F:$F,0)-1,MATCH(K878,Rame!$F$1:$FF$1,0)-1))*IF(G878="Rame",1,0)</f>
        <v>0</v>
      </c>
      <c r="U878" s="205">
        <f ca="1">IF(ISERROR(OFFSET(Bronzo!$A$1,MATCH(J878,Bronzo!$A:$A,0)-1,MATCH(K878,Bronzo!$A$1:$AA$1,0)-1)=TRUE),0,OFFSET(Bronzo!$A$1,MATCH(J878,Bronzo!$A:$A,0)-1,MATCH(K878,Bronzo!$A$1:$AA$1,0)-1))</f>
        <v>0</v>
      </c>
      <c r="V878" s="205">
        <f t="shared" ca="1" si="276"/>
        <v>0</v>
      </c>
      <c r="W878" s="204"/>
      <c r="X878" s="205">
        <v>0</v>
      </c>
      <c r="Y878" s="206">
        <f t="shared" ca="1" si="277"/>
        <v>0</v>
      </c>
      <c r="Z878" s="277">
        <f t="shared" si="278"/>
        <v>0</v>
      </c>
      <c r="AA878" s="203"/>
      <c r="AB878" s="203">
        <f t="shared" ca="1" si="279"/>
        <v>0</v>
      </c>
      <c r="AC878" s="238"/>
      <c r="AI878" s="367">
        <f t="shared" ca="1" si="274"/>
        <v>46092</v>
      </c>
      <c r="AJ878" s="367" t="b">
        <f t="shared" si="280"/>
        <v>1</v>
      </c>
      <c r="AK878" s="370" t="str">
        <f t="shared" si="281"/>
        <v/>
      </c>
      <c r="AN878">
        <f t="shared" si="282"/>
        <v>0</v>
      </c>
      <c r="AO878">
        <f t="shared" si="283"/>
        <v>1900</v>
      </c>
      <c r="AV878">
        <f t="shared" si="284"/>
        <v>0</v>
      </c>
      <c r="AW878">
        <f t="shared" si="285"/>
        <v>0</v>
      </c>
    </row>
    <row r="879" spans="4:49" ht="15.75" x14ac:dyDescent="0.25">
      <c r="D879" s="199"/>
      <c r="E879" s="200"/>
      <c r="F879" s="287"/>
      <c r="G879" s="201"/>
      <c r="H879" s="219"/>
      <c r="I879" s="202"/>
      <c r="J879" s="200"/>
      <c r="K879" s="200"/>
      <c r="L879" s="203"/>
      <c r="M879" s="204">
        <f ca="1">IF(ISERROR(OFFSET(Tabella!$A$1,MATCH(J879,Tabella!$A:$A,0)-1,MATCH(L879,Tabella!$A$1:$AC$1,0)-1)=TRUE),0,+OFFSET(Tabella!$A$1,MATCH(J879,Tabella!$A:$A,0)-1,MATCH(L879,Tabella!$A$1:$AC$1,0)-1))</f>
        <v>0</v>
      </c>
      <c r="N879" s="205">
        <f ca="1">IF(ISERROR(OFFSET(Ottone!$A$1,MATCH(J879,Ottone!$A:$A,0)-1,MATCH(L879,Ottone!$A$1:$Z$1,0)-1)=TRUE),0,OFFSET(Ottone!$A$1,MATCH(J879,Ottone!$A:$A,0)-1,MATCH(L879,Ottone!$A$1:$Z$1,0)-1))*IF(G879="Ottone",1,0)</f>
        <v>0</v>
      </c>
      <c r="O879" s="205">
        <f ca="1">IF(ISERROR(OFFSET(Rame!$A$1,MATCH(J879,Rame!$A:$A,0)-1,MATCH(L879,Rame!$A$1:$AA$1,0)-1)=TRUE),0,OFFSET(Rame!$A$1,MATCH(J879,Rame!$A:$A,0)-1,MATCH(L879,Rame!$A$1:$AA$1,0)-1))*IF(G879="Rame",1,0)</f>
        <v>0</v>
      </c>
      <c r="P879" s="205">
        <v>0</v>
      </c>
      <c r="Q879" s="205">
        <f t="shared" ca="1" si="275"/>
        <v>0</v>
      </c>
      <c r="R879" s="205">
        <f ca="1">+IF(ISERROR(OFFSET(Tabella!$G$1,MATCH(J879,Tabella!$G:$G,0)-1,MATCH(K879,Tabella!$G$1:$FG$1,0)-1)=TRUE),0,OFFSET(Tabella!$G$1,MATCH(J879,Tabella!$G:$G,0)-1,MATCH(K879,Tabella!$G$1:$AB$1,0)-1))</f>
        <v>0</v>
      </c>
      <c r="S879" s="205">
        <f ca="1">IF(ISERROR(OFFSET(Ottone!$F$1,MATCH(J879,Ottone!$A:$A,0)-1,MATCH(K879,Ottone!$F$1:$FF$1,0)-1)=TRUE),0,OFFSET(Ottone!$F$1,MATCH(J879,Ottone!$A:$A,0)-1,MATCH(K879,Ottone!$F$1:$FF$1,0)-1))*IF(G879="Ottone",1,0)</f>
        <v>0</v>
      </c>
      <c r="T879" s="205">
        <f ca="1">IF(ISERROR(OFFSET(Rame!$F$1,MATCH(J879,Rame!$F:$F,0)-1,MATCH(K879,Rame!$F$1:$FF$1,0)-1)=TRUE),0,OFFSET(Rame!$F$1,MATCH(J879,Rame!$F:$F,0)-1,MATCH(K879,Rame!$F$1:$FF$1,0)-1))*IF(G879="Rame",1,0)</f>
        <v>0</v>
      </c>
      <c r="U879" s="205">
        <f ca="1">IF(ISERROR(OFFSET(Bronzo!$A$1,MATCH(J879,Bronzo!$A:$A,0)-1,MATCH(K879,Bronzo!$A$1:$AA$1,0)-1)=TRUE),0,OFFSET(Bronzo!$A$1,MATCH(J879,Bronzo!$A:$A,0)-1,MATCH(K879,Bronzo!$A$1:$AA$1,0)-1))</f>
        <v>0</v>
      </c>
      <c r="V879" s="205">
        <f t="shared" ca="1" si="276"/>
        <v>0</v>
      </c>
      <c r="W879" s="204"/>
      <c r="X879" s="205">
        <v>0</v>
      </c>
      <c r="Y879" s="206">
        <f t="shared" ca="1" si="277"/>
        <v>0</v>
      </c>
      <c r="Z879" s="277">
        <f t="shared" si="278"/>
        <v>0</v>
      </c>
      <c r="AA879" s="203"/>
      <c r="AB879" s="203">
        <f t="shared" ca="1" si="279"/>
        <v>0</v>
      </c>
      <c r="AC879" s="238"/>
      <c r="AI879" s="367">
        <f t="shared" ca="1" si="274"/>
        <v>46092</v>
      </c>
      <c r="AJ879" s="367" t="b">
        <f t="shared" si="280"/>
        <v>1</v>
      </c>
      <c r="AK879" s="370" t="str">
        <f t="shared" si="281"/>
        <v/>
      </c>
      <c r="AN879">
        <f t="shared" si="282"/>
        <v>0</v>
      </c>
      <c r="AO879">
        <f t="shared" si="283"/>
        <v>1900</v>
      </c>
      <c r="AV879">
        <f t="shared" si="284"/>
        <v>0</v>
      </c>
      <c r="AW879">
        <f t="shared" si="285"/>
        <v>0</v>
      </c>
    </row>
    <row r="880" spans="4:49" ht="15.75" x14ac:dyDescent="0.25">
      <c r="D880" s="199"/>
      <c r="E880" s="200"/>
      <c r="F880" s="287"/>
      <c r="G880" s="201"/>
      <c r="H880" s="219"/>
      <c r="I880" s="202"/>
      <c r="J880" s="200"/>
      <c r="K880" s="200"/>
      <c r="L880" s="203"/>
      <c r="M880" s="204">
        <f ca="1">IF(ISERROR(OFFSET(Tabella!$A$1,MATCH(J880,Tabella!$A:$A,0)-1,MATCH(L880,Tabella!$A$1:$AC$1,0)-1)=TRUE),0,+OFFSET(Tabella!$A$1,MATCH(J880,Tabella!$A:$A,0)-1,MATCH(L880,Tabella!$A$1:$AC$1,0)-1))</f>
        <v>0</v>
      </c>
      <c r="N880" s="205">
        <f ca="1">IF(ISERROR(OFFSET(Ottone!$A$1,MATCH(J880,Ottone!$A:$A,0)-1,MATCH(L880,Ottone!$A$1:$Z$1,0)-1)=TRUE),0,OFFSET(Ottone!$A$1,MATCH(J880,Ottone!$A:$A,0)-1,MATCH(L880,Ottone!$A$1:$Z$1,0)-1))*IF(G880="Ottone",1,0)</f>
        <v>0</v>
      </c>
      <c r="O880" s="205">
        <f ca="1">IF(ISERROR(OFFSET(Rame!$A$1,MATCH(J880,Rame!$A:$A,0)-1,MATCH(L880,Rame!$A$1:$AA$1,0)-1)=TRUE),0,OFFSET(Rame!$A$1,MATCH(J880,Rame!$A:$A,0)-1,MATCH(L880,Rame!$A$1:$AA$1,0)-1))*IF(G880="Rame",1,0)</f>
        <v>0</v>
      </c>
      <c r="P880" s="205">
        <v>0</v>
      </c>
      <c r="Q880" s="205">
        <f t="shared" ca="1" si="275"/>
        <v>0</v>
      </c>
      <c r="R880" s="205">
        <f ca="1">+IF(ISERROR(OFFSET(Tabella!$G$1,MATCH(J880,Tabella!$G:$G,0)-1,MATCH(K880,Tabella!$G$1:$FG$1,0)-1)=TRUE),0,OFFSET(Tabella!$G$1,MATCH(J880,Tabella!$G:$G,0)-1,MATCH(K880,Tabella!$G$1:$AB$1,0)-1))</f>
        <v>0</v>
      </c>
      <c r="S880" s="205">
        <f ca="1">IF(ISERROR(OFFSET(Ottone!$F$1,MATCH(J880,Ottone!$A:$A,0)-1,MATCH(K880,Ottone!$F$1:$FF$1,0)-1)=TRUE),0,OFFSET(Ottone!$F$1,MATCH(J880,Ottone!$A:$A,0)-1,MATCH(K880,Ottone!$F$1:$FF$1,0)-1))*IF(G880="Ottone",1,0)</f>
        <v>0</v>
      </c>
      <c r="T880" s="205">
        <f ca="1">IF(ISERROR(OFFSET(Rame!$F$1,MATCH(J880,Rame!$F:$F,0)-1,MATCH(K880,Rame!$F$1:$FF$1,0)-1)=TRUE),0,OFFSET(Rame!$F$1,MATCH(J880,Rame!$F:$F,0)-1,MATCH(K880,Rame!$F$1:$FF$1,0)-1))*IF(G880="Rame",1,0)</f>
        <v>0</v>
      </c>
      <c r="U880" s="205">
        <f ca="1">IF(ISERROR(OFFSET(Bronzo!$A$1,MATCH(J880,Bronzo!$A:$A,0)-1,MATCH(K880,Bronzo!$A$1:$AA$1,0)-1)=TRUE),0,OFFSET(Bronzo!$A$1,MATCH(J880,Bronzo!$A:$A,0)-1,MATCH(K880,Bronzo!$A$1:$AA$1,0)-1))</f>
        <v>0</v>
      </c>
      <c r="V880" s="205">
        <f t="shared" ca="1" si="276"/>
        <v>0</v>
      </c>
      <c r="W880" s="204"/>
      <c r="X880" s="205">
        <v>0</v>
      </c>
      <c r="Y880" s="206">
        <f t="shared" ca="1" si="277"/>
        <v>0</v>
      </c>
      <c r="Z880" s="277">
        <f t="shared" si="278"/>
        <v>0</v>
      </c>
      <c r="AA880" s="203"/>
      <c r="AB880" s="203">
        <f t="shared" ca="1" si="279"/>
        <v>0</v>
      </c>
      <c r="AC880" s="238"/>
      <c r="AI880" s="367">
        <f t="shared" ca="1" si="274"/>
        <v>46092</v>
      </c>
      <c r="AJ880" s="367" t="b">
        <f t="shared" si="280"/>
        <v>1</v>
      </c>
      <c r="AK880" s="370" t="str">
        <f t="shared" si="281"/>
        <v/>
      </c>
      <c r="AN880">
        <f t="shared" si="282"/>
        <v>0</v>
      </c>
      <c r="AO880">
        <f t="shared" si="283"/>
        <v>1900</v>
      </c>
      <c r="AV880">
        <f t="shared" si="284"/>
        <v>0</v>
      </c>
      <c r="AW880">
        <f t="shared" si="285"/>
        <v>0</v>
      </c>
    </row>
    <row r="881" spans="4:49" ht="15.75" x14ac:dyDescent="0.25">
      <c r="D881" s="199"/>
      <c r="E881" s="200"/>
      <c r="F881" s="287"/>
      <c r="G881" s="201"/>
      <c r="H881" s="219"/>
      <c r="I881" s="202"/>
      <c r="J881" s="200"/>
      <c r="K881" s="200"/>
      <c r="L881" s="203"/>
      <c r="M881" s="204">
        <f ca="1">IF(ISERROR(OFFSET(Tabella!$A$1,MATCH(J881,Tabella!$A:$A,0)-1,MATCH(L881,Tabella!$A$1:$AC$1,0)-1)=TRUE),0,+OFFSET(Tabella!$A$1,MATCH(J881,Tabella!$A:$A,0)-1,MATCH(L881,Tabella!$A$1:$AC$1,0)-1))</f>
        <v>0</v>
      </c>
      <c r="N881" s="205">
        <f ca="1">IF(ISERROR(OFFSET(Ottone!$A$1,MATCH(J881,Ottone!$A:$A,0)-1,MATCH(L881,Ottone!$A$1:$Z$1,0)-1)=TRUE),0,OFFSET(Ottone!$A$1,MATCH(J881,Ottone!$A:$A,0)-1,MATCH(L881,Ottone!$A$1:$Z$1,0)-1))*IF(G881="Ottone",1,0)</f>
        <v>0</v>
      </c>
      <c r="O881" s="205">
        <f ca="1">IF(ISERROR(OFFSET(Rame!$A$1,MATCH(J881,Rame!$A:$A,0)-1,MATCH(L881,Rame!$A$1:$AA$1,0)-1)=TRUE),0,OFFSET(Rame!$A$1,MATCH(J881,Rame!$A:$A,0)-1,MATCH(L881,Rame!$A$1:$AA$1,0)-1))*IF(G881="Rame",1,0)</f>
        <v>0</v>
      </c>
      <c r="P881" s="205">
        <v>0</v>
      </c>
      <c r="Q881" s="205">
        <f t="shared" ca="1" si="275"/>
        <v>0</v>
      </c>
      <c r="R881" s="205">
        <f ca="1">+IF(ISERROR(OFFSET(Tabella!$G$1,MATCH(J881,Tabella!$G:$G,0)-1,MATCH(K881,Tabella!$G$1:$FG$1,0)-1)=TRUE),0,OFFSET(Tabella!$G$1,MATCH(J881,Tabella!$G:$G,0)-1,MATCH(K881,Tabella!$G$1:$AB$1,0)-1))</f>
        <v>0</v>
      </c>
      <c r="S881" s="205">
        <f ca="1">IF(ISERROR(OFFSET(Ottone!$F$1,MATCH(J881,Ottone!$A:$A,0)-1,MATCH(K881,Ottone!$F$1:$FF$1,0)-1)=TRUE),0,OFFSET(Ottone!$F$1,MATCH(J881,Ottone!$A:$A,0)-1,MATCH(K881,Ottone!$F$1:$FF$1,0)-1))*IF(G881="Ottone",1,0)</f>
        <v>0</v>
      </c>
      <c r="T881" s="205">
        <f ca="1">IF(ISERROR(OFFSET(Rame!$F$1,MATCH(J881,Rame!$F:$F,0)-1,MATCH(K881,Rame!$F$1:$FF$1,0)-1)=TRUE),0,OFFSET(Rame!$F$1,MATCH(J881,Rame!$F:$F,0)-1,MATCH(K881,Rame!$F$1:$FF$1,0)-1))*IF(G881="Rame",1,0)</f>
        <v>0</v>
      </c>
      <c r="U881" s="205">
        <f ca="1">IF(ISERROR(OFFSET(Bronzo!$A$1,MATCH(J881,Bronzo!$A:$A,0)-1,MATCH(K881,Bronzo!$A$1:$AA$1,0)-1)=TRUE),0,OFFSET(Bronzo!$A$1,MATCH(J881,Bronzo!$A:$A,0)-1,MATCH(K881,Bronzo!$A$1:$AA$1,0)-1))</f>
        <v>0</v>
      </c>
      <c r="V881" s="205">
        <f t="shared" ca="1" si="276"/>
        <v>0</v>
      </c>
      <c r="W881" s="204"/>
      <c r="X881" s="205">
        <v>0</v>
      </c>
      <c r="Y881" s="206">
        <f t="shared" ca="1" si="277"/>
        <v>0</v>
      </c>
      <c r="Z881" s="277">
        <f t="shared" si="278"/>
        <v>0</v>
      </c>
      <c r="AA881" s="203"/>
      <c r="AB881" s="203">
        <f t="shared" ca="1" si="279"/>
        <v>0</v>
      </c>
      <c r="AC881" s="238"/>
      <c r="AI881" s="367">
        <f t="shared" ca="1" si="274"/>
        <v>46092</v>
      </c>
      <c r="AJ881" s="367" t="b">
        <f t="shared" si="280"/>
        <v>1</v>
      </c>
      <c r="AK881" s="370" t="str">
        <f t="shared" si="281"/>
        <v/>
      </c>
      <c r="AN881">
        <f t="shared" si="282"/>
        <v>0</v>
      </c>
      <c r="AO881">
        <f t="shared" si="283"/>
        <v>1900</v>
      </c>
      <c r="AV881">
        <f t="shared" si="284"/>
        <v>0</v>
      </c>
      <c r="AW881">
        <f t="shared" si="285"/>
        <v>0</v>
      </c>
    </row>
    <row r="882" spans="4:49" ht="15.75" x14ac:dyDescent="0.25">
      <c r="D882" s="199"/>
      <c r="E882" s="200"/>
      <c r="F882" s="287"/>
      <c r="G882" s="201"/>
      <c r="H882" s="219"/>
      <c r="I882" s="202"/>
      <c r="J882" s="200"/>
      <c r="K882" s="200"/>
      <c r="L882" s="203"/>
      <c r="M882" s="204">
        <f ca="1">IF(ISERROR(OFFSET(Tabella!$A$1,MATCH(J882,Tabella!$A:$A,0)-1,MATCH(L882,Tabella!$A$1:$AC$1,0)-1)=TRUE),0,+OFFSET(Tabella!$A$1,MATCH(J882,Tabella!$A:$A,0)-1,MATCH(L882,Tabella!$A$1:$AC$1,0)-1))</f>
        <v>0</v>
      </c>
      <c r="N882" s="205">
        <f ca="1">IF(ISERROR(OFFSET(Ottone!$A$1,MATCH(J882,Ottone!$A:$A,0)-1,MATCH(L882,Ottone!$A$1:$Z$1,0)-1)=TRUE),0,OFFSET(Ottone!$A$1,MATCH(J882,Ottone!$A:$A,0)-1,MATCH(L882,Ottone!$A$1:$Z$1,0)-1))*IF(G882="Ottone",1,0)</f>
        <v>0</v>
      </c>
      <c r="O882" s="205">
        <f ca="1">IF(ISERROR(OFFSET(Rame!$A$1,MATCH(J882,Rame!$A:$A,0)-1,MATCH(L882,Rame!$A$1:$AA$1,0)-1)=TRUE),0,OFFSET(Rame!$A$1,MATCH(J882,Rame!$A:$A,0)-1,MATCH(L882,Rame!$A$1:$AA$1,0)-1))*IF(G882="Rame",1,0)</f>
        <v>0</v>
      </c>
      <c r="P882" s="205">
        <v>0</v>
      </c>
      <c r="Q882" s="205">
        <f t="shared" ca="1" si="275"/>
        <v>0</v>
      </c>
      <c r="R882" s="205">
        <f ca="1">+IF(ISERROR(OFFSET(Tabella!$G$1,MATCH(J882,Tabella!$G:$G,0)-1,MATCH(K882,Tabella!$G$1:$FG$1,0)-1)=TRUE),0,OFFSET(Tabella!$G$1,MATCH(J882,Tabella!$G:$G,0)-1,MATCH(K882,Tabella!$G$1:$AB$1,0)-1))</f>
        <v>0</v>
      </c>
      <c r="S882" s="205">
        <f ca="1">IF(ISERROR(OFFSET(Ottone!$F$1,MATCH(J882,Ottone!$A:$A,0)-1,MATCH(K882,Ottone!$F$1:$FF$1,0)-1)=TRUE),0,OFFSET(Ottone!$F$1,MATCH(J882,Ottone!$A:$A,0)-1,MATCH(K882,Ottone!$F$1:$FF$1,0)-1))*IF(G882="Ottone",1,0)</f>
        <v>0</v>
      </c>
      <c r="T882" s="205">
        <f ca="1">IF(ISERROR(OFFSET(Rame!$F$1,MATCH(J882,Rame!$F:$F,0)-1,MATCH(K882,Rame!$F$1:$FF$1,0)-1)=TRUE),0,OFFSET(Rame!$F$1,MATCH(J882,Rame!$F:$F,0)-1,MATCH(K882,Rame!$F$1:$FF$1,0)-1))*IF(G882="Rame",1,0)</f>
        <v>0</v>
      </c>
      <c r="U882" s="205">
        <f ca="1">IF(ISERROR(OFFSET(Bronzo!$A$1,MATCH(J882,Bronzo!$A:$A,0)-1,MATCH(K882,Bronzo!$A$1:$AA$1,0)-1)=TRUE),0,OFFSET(Bronzo!$A$1,MATCH(J882,Bronzo!$A:$A,0)-1,MATCH(K882,Bronzo!$A$1:$AA$1,0)-1))</f>
        <v>0</v>
      </c>
      <c r="V882" s="205">
        <f t="shared" ca="1" si="276"/>
        <v>0</v>
      </c>
      <c r="W882" s="204"/>
      <c r="X882" s="205">
        <v>0</v>
      </c>
      <c r="Y882" s="206">
        <f t="shared" ca="1" si="277"/>
        <v>0</v>
      </c>
      <c r="Z882" s="277">
        <f t="shared" si="278"/>
        <v>0</v>
      </c>
      <c r="AA882" s="203"/>
      <c r="AB882" s="203">
        <f t="shared" ca="1" si="279"/>
        <v>0</v>
      </c>
      <c r="AC882" s="238"/>
      <c r="AI882" s="367">
        <f t="shared" ca="1" si="274"/>
        <v>46092</v>
      </c>
      <c r="AJ882" s="367" t="b">
        <f t="shared" si="280"/>
        <v>1</v>
      </c>
      <c r="AK882" s="370" t="str">
        <f t="shared" si="281"/>
        <v/>
      </c>
      <c r="AN882">
        <f t="shared" si="282"/>
        <v>0</v>
      </c>
      <c r="AO882">
        <f t="shared" si="283"/>
        <v>1900</v>
      </c>
      <c r="AV882">
        <f t="shared" si="284"/>
        <v>0</v>
      </c>
      <c r="AW882">
        <f t="shared" si="285"/>
        <v>0</v>
      </c>
    </row>
    <row r="883" spans="4:49" ht="15.75" x14ac:dyDescent="0.25">
      <c r="D883" s="199"/>
      <c r="E883" s="200"/>
      <c r="F883" s="287"/>
      <c r="G883" s="201"/>
      <c r="H883" s="219"/>
      <c r="I883" s="202"/>
      <c r="J883" s="200"/>
      <c r="K883" s="200"/>
      <c r="L883" s="203"/>
      <c r="M883" s="204">
        <f ca="1">IF(ISERROR(OFFSET(Tabella!$A$1,MATCH(J883,Tabella!$A:$A,0)-1,MATCH(L883,Tabella!$A$1:$AC$1,0)-1)=TRUE),0,+OFFSET(Tabella!$A$1,MATCH(J883,Tabella!$A:$A,0)-1,MATCH(L883,Tabella!$A$1:$AC$1,0)-1))</f>
        <v>0</v>
      </c>
      <c r="N883" s="205">
        <f ca="1">IF(ISERROR(OFFSET(Ottone!$A$1,MATCH(J883,Ottone!$A:$A,0)-1,MATCH(L883,Ottone!$A$1:$Z$1,0)-1)=TRUE),0,OFFSET(Ottone!$A$1,MATCH(J883,Ottone!$A:$A,0)-1,MATCH(L883,Ottone!$A$1:$Z$1,0)-1))*IF(G883="Ottone",1,0)</f>
        <v>0</v>
      </c>
      <c r="O883" s="205">
        <f ca="1">IF(ISERROR(OFFSET(Rame!$A$1,MATCH(J883,Rame!$A:$A,0)-1,MATCH(L883,Rame!$A$1:$AA$1,0)-1)=TRUE),0,OFFSET(Rame!$A$1,MATCH(J883,Rame!$A:$A,0)-1,MATCH(L883,Rame!$A$1:$AA$1,0)-1))*IF(G883="Rame",1,0)</f>
        <v>0</v>
      </c>
      <c r="P883" s="205">
        <v>0</v>
      </c>
      <c r="Q883" s="205">
        <f t="shared" ca="1" si="275"/>
        <v>0</v>
      </c>
      <c r="R883" s="205">
        <f ca="1">+IF(ISERROR(OFFSET(Tabella!$G$1,MATCH(J883,Tabella!$G:$G,0)-1,MATCH(K883,Tabella!$G$1:$FG$1,0)-1)=TRUE),0,OFFSET(Tabella!$G$1,MATCH(J883,Tabella!$G:$G,0)-1,MATCH(K883,Tabella!$G$1:$AB$1,0)-1))</f>
        <v>0</v>
      </c>
      <c r="S883" s="205">
        <f ca="1">IF(ISERROR(OFFSET(Ottone!$F$1,MATCH(J883,Ottone!$A:$A,0)-1,MATCH(K883,Ottone!$F$1:$FF$1,0)-1)=TRUE),0,OFFSET(Ottone!$F$1,MATCH(J883,Ottone!$A:$A,0)-1,MATCH(K883,Ottone!$F$1:$FF$1,0)-1))*IF(G883="Ottone",1,0)</f>
        <v>0</v>
      </c>
      <c r="T883" s="205">
        <f ca="1">IF(ISERROR(OFFSET(Rame!$F$1,MATCH(J883,Rame!$F:$F,0)-1,MATCH(K883,Rame!$F$1:$FF$1,0)-1)=TRUE),0,OFFSET(Rame!$F$1,MATCH(J883,Rame!$F:$F,0)-1,MATCH(K883,Rame!$F$1:$FF$1,0)-1))*IF(G883="Rame",1,0)</f>
        <v>0</v>
      </c>
      <c r="U883" s="205">
        <f ca="1">IF(ISERROR(OFFSET(Bronzo!$A$1,MATCH(J883,Bronzo!$A:$A,0)-1,MATCH(K883,Bronzo!$A$1:$AA$1,0)-1)=TRUE),0,OFFSET(Bronzo!$A$1,MATCH(J883,Bronzo!$A:$A,0)-1,MATCH(K883,Bronzo!$A$1:$AA$1,0)-1))</f>
        <v>0</v>
      </c>
      <c r="V883" s="205">
        <f t="shared" ca="1" si="276"/>
        <v>0</v>
      </c>
      <c r="W883" s="204"/>
      <c r="X883" s="205">
        <v>0</v>
      </c>
      <c r="Y883" s="206">
        <f t="shared" ca="1" si="277"/>
        <v>0</v>
      </c>
      <c r="Z883" s="277">
        <f t="shared" si="278"/>
        <v>0</v>
      </c>
      <c r="AA883" s="203"/>
      <c r="AB883" s="203">
        <f t="shared" ca="1" si="279"/>
        <v>0</v>
      </c>
      <c r="AC883" s="238"/>
      <c r="AI883" s="367">
        <f t="shared" ca="1" si="274"/>
        <v>46092</v>
      </c>
      <c r="AJ883" s="367" t="b">
        <f t="shared" si="280"/>
        <v>1</v>
      </c>
      <c r="AK883" s="370" t="str">
        <f t="shared" si="281"/>
        <v/>
      </c>
      <c r="AN883">
        <f t="shared" si="282"/>
        <v>0</v>
      </c>
      <c r="AO883">
        <f t="shared" si="283"/>
        <v>1900</v>
      </c>
      <c r="AV883">
        <f t="shared" si="284"/>
        <v>0</v>
      </c>
      <c r="AW883">
        <f t="shared" si="285"/>
        <v>0</v>
      </c>
    </row>
    <row r="884" spans="4:49" ht="15.75" x14ac:dyDescent="0.25">
      <c r="D884" s="199"/>
      <c r="E884" s="200"/>
      <c r="F884" s="287"/>
      <c r="G884" s="201"/>
      <c r="H884" s="219"/>
      <c r="I884" s="202"/>
      <c r="J884" s="200"/>
      <c r="K884" s="200"/>
      <c r="L884" s="203"/>
      <c r="M884" s="204">
        <f ca="1">IF(ISERROR(OFFSET(Tabella!$A$1,MATCH(J884,Tabella!$A:$A,0)-1,MATCH(L884,Tabella!$A$1:$AC$1,0)-1)=TRUE),0,+OFFSET(Tabella!$A$1,MATCH(J884,Tabella!$A:$A,0)-1,MATCH(L884,Tabella!$A$1:$AC$1,0)-1))</f>
        <v>0</v>
      </c>
      <c r="N884" s="205">
        <f ca="1">IF(ISERROR(OFFSET(Ottone!$A$1,MATCH(J884,Ottone!$A:$A,0)-1,MATCH(L884,Ottone!$A$1:$Z$1,0)-1)=TRUE),0,OFFSET(Ottone!$A$1,MATCH(J884,Ottone!$A:$A,0)-1,MATCH(L884,Ottone!$A$1:$Z$1,0)-1))*IF(G884="Ottone",1,0)</f>
        <v>0</v>
      </c>
      <c r="O884" s="205">
        <f ca="1">IF(ISERROR(OFFSET(Rame!$A$1,MATCH(J884,Rame!$A:$A,0)-1,MATCH(L884,Rame!$A$1:$AA$1,0)-1)=TRUE),0,OFFSET(Rame!$A$1,MATCH(J884,Rame!$A:$A,0)-1,MATCH(L884,Rame!$A$1:$AA$1,0)-1))*IF(G884="Rame",1,0)</f>
        <v>0</v>
      </c>
      <c r="P884" s="205">
        <v>0</v>
      </c>
      <c r="Q884" s="205">
        <f t="shared" ca="1" si="275"/>
        <v>0</v>
      </c>
      <c r="R884" s="205">
        <f ca="1">+IF(ISERROR(OFFSET(Tabella!$G$1,MATCH(J884,Tabella!$G:$G,0)-1,MATCH(K884,Tabella!$G$1:$FG$1,0)-1)=TRUE),0,OFFSET(Tabella!$G$1,MATCH(J884,Tabella!$G:$G,0)-1,MATCH(K884,Tabella!$G$1:$AB$1,0)-1))</f>
        <v>0</v>
      </c>
      <c r="S884" s="205">
        <f ca="1">IF(ISERROR(OFFSET(Ottone!$F$1,MATCH(J884,Ottone!$A:$A,0)-1,MATCH(K884,Ottone!$F$1:$FF$1,0)-1)=TRUE),0,OFFSET(Ottone!$F$1,MATCH(J884,Ottone!$A:$A,0)-1,MATCH(K884,Ottone!$F$1:$FF$1,0)-1))*IF(G884="Ottone",1,0)</f>
        <v>0</v>
      </c>
      <c r="T884" s="205">
        <f ca="1">IF(ISERROR(OFFSET(Rame!$F$1,MATCH(J884,Rame!$F:$F,0)-1,MATCH(K884,Rame!$F$1:$FF$1,0)-1)=TRUE),0,OFFSET(Rame!$F$1,MATCH(J884,Rame!$F:$F,0)-1,MATCH(K884,Rame!$F$1:$FF$1,0)-1))*IF(G884="Rame",1,0)</f>
        <v>0</v>
      </c>
      <c r="U884" s="205">
        <f ca="1">IF(ISERROR(OFFSET(Bronzo!$A$1,MATCH(J884,Bronzo!$A:$A,0)-1,MATCH(K884,Bronzo!$A$1:$AA$1,0)-1)=TRUE),0,OFFSET(Bronzo!$A$1,MATCH(J884,Bronzo!$A:$A,0)-1,MATCH(K884,Bronzo!$A$1:$AA$1,0)-1))</f>
        <v>0</v>
      </c>
      <c r="V884" s="205">
        <f t="shared" ca="1" si="276"/>
        <v>0</v>
      </c>
      <c r="W884" s="204"/>
      <c r="X884" s="205">
        <v>0</v>
      </c>
      <c r="Y884" s="206">
        <f t="shared" ca="1" si="277"/>
        <v>0</v>
      </c>
      <c r="Z884" s="277">
        <f t="shared" si="278"/>
        <v>0</v>
      </c>
      <c r="AA884" s="203"/>
      <c r="AB884" s="203">
        <f t="shared" ca="1" si="279"/>
        <v>0</v>
      </c>
      <c r="AC884" s="238"/>
      <c r="AI884" s="367">
        <f t="shared" ca="1" si="274"/>
        <v>46092</v>
      </c>
      <c r="AJ884" s="367" t="b">
        <f t="shared" si="280"/>
        <v>1</v>
      </c>
      <c r="AK884" s="370" t="str">
        <f t="shared" si="281"/>
        <v/>
      </c>
      <c r="AN884">
        <f t="shared" si="282"/>
        <v>0</v>
      </c>
      <c r="AO884">
        <f t="shared" si="283"/>
        <v>1900</v>
      </c>
      <c r="AV884">
        <f t="shared" si="284"/>
        <v>0</v>
      </c>
      <c r="AW884">
        <f t="shared" si="285"/>
        <v>0</v>
      </c>
    </row>
    <row r="885" spans="4:49" ht="15.75" x14ac:dyDescent="0.25">
      <c r="D885" s="199"/>
      <c r="E885" s="200"/>
      <c r="F885" s="287"/>
      <c r="G885" s="201"/>
      <c r="H885" s="219"/>
      <c r="I885" s="202"/>
      <c r="J885" s="200"/>
      <c r="K885" s="200"/>
      <c r="L885" s="203"/>
      <c r="M885" s="204">
        <f ca="1">IF(ISERROR(OFFSET(Tabella!$A$1,MATCH(J885,Tabella!$A:$A,0)-1,MATCH(L885,Tabella!$A$1:$AC$1,0)-1)=TRUE),0,+OFFSET(Tabella!$A$1,MATCH(J885,Tabella!$A:$A,0)-1,MATCH(L885,Tabella!$A$1:$AC$1,0)-1))</f>
        <v>0</v>
      </c>
      <c r="N885" s="205">
        <f ca="1">IF(ISERROR(OFFSET(Ottone!$A$1,MATCH(J885,Ottone!$A:$A,0)-1,MATCH(L885,Ottone!$A$1:$Z$1,0)-1)=TRUE),0,OFFSET(Ottone!$A$1,MATCH(J885,Ottone!$A:$A,0)-1,MATCH(L885,Ottone!$A$1:$Z$1,0)-1))*IF(G885="Ottone",1,0)</f>
        <v>0</v>
      </c>
      <c r="O885" s="205">
        <f ca="1">IF(ISERROR(OFFSET(Rame!$A$1,MATCH(J885,Rame!$A:$A,0)-1,MATCH(L885,Rame!$A$1:$AA$1,0)-1)=TRUE),0,OFFSET(Rame!$A$1,MATCH(J885,Rame!$A:$A,0)-1,MATCH(L885,Rame!$A$1:$AA$1,0)-1))*IF(G885="Rame",1,0)</f>
        <v>0</v>
      </c>
      <c r="P885" s="205">
        <v>0</v>
      </c>
      <c r="Q885" s="205">
        <f t="shared" ca="1" si="275"/>
        <v>0</v>
      </c>
      <c r="R885" s="205">
        <f ca="1">+IF(ISERROR(OFFSET(Tabella!$G$1,MATCH(J885,Tabella!$G:$G,0)-1,MATCH(K885,Tabella!$G$1:$FG$1,0)-1)=TRUE),0,OFFSET(Tabella!$G$1,MATCH(J885,Tabella!$G:$G,0)-1,MATCH(K885,Tabella!$G$1:$AB$1,0)-1))</f>
        <v>0</v>
      </c>
      <c r="S885" s="205">
        <f ca="1">IF(ISERROR(OFFSET(Ottone!$F$1,MATCH(J885,Ottone!$A:$A,0)-1,MATCH(K885,Ottone!$F$1:$FF$1,0)-1)=TRUE),0,OFFSET(Ottone!$F$1,MATCH(J885,Ottone!$A:$A,0)-1,MATCH(K885,Ottone!$F$1:$FF$1,0)-1))*IF(G885="Ottone",1,0)</f>
        <v>0</v>
      </c>
      <c r="T885" s="205">
        <f ca="1">IF(ISERROR(OFFSET(Rame!$F$1,MATCH(J885,Rame!$F:$F,0)-1,MATCH(K885,Rame!$F$1:$FF$1,0)-1)=TRUE),0,OFFSET(Rame!$F$1,MATCH(J885,Rame!$F:$F,0)-1,MATCH(K885,Rame!$F$1:$FF$1,0)-1))*IF(G885="Rame",1,0)</f>
        <v>0</v>
      </c>
      <c r="U885" s="205">
        <f ca="1">IF(ISERROR(OFFSET(Bronzo!$A$1,MATCH(J885,Bronzo!$A:$A,0)-1,MATCH(K885,Bronzo!$A$1:$AA$1,0)-1)=TRUE),0,OFFSET(Bronzo!$A$1,MATCH(J885,Bronzo!$A:$A,0)-1,MATCH(K885,Bronzo!$A$1:$AA$1,0)-1))</f>
        <v>0</v>
      </c>
      <c r="V885" s="205">
        <f t="shared" ca="1" si="276"/>
        <v>0</v>
      </c>
      <c r="W885" s="204"/>
      <c r="X885" s="205">
        <v>0</v>
      </c>
      <c r="Y885" s="206">
        <f t="shared" ca="1" si="277"/>
        <v>0</v>
      </c>
      <c r="Z885" s="277">
        <f t="shared" si="278"/>
        <v>0</v>
      </c>
      <c r="AA885" s="203"/>
      <c r="AB885" s="203">
        <f t="shared" ca="1" si="279"/>
        <v>0</v>
      </c>
      <c r="AC885" s="238"/>
      <c r="AI885" s="367">
        <f t="shared" ca="1" si="274"/>
        <v>46092</v>
      </c>
      <c r="AJ885" s="367" t="b">
        <f t="shared" si="280"/>
        <v>1</v>
      </c>
      <c r="AK885" s="370" t="str">
        <f t="shared" si="281"/>
        <v/>
      </c>
      <c r="AN885">
        <f t="shared" si="282"/>
        <v>0</v>
      </c>
      <c r="AO885">
        <f t="shared" si="283"/>
        <v>1900</v>
      </c>
      <c r="AV885">
        <f t="shared" si="284"/>
        <v>0</v>
      </c>
      <c r="AW885">
        <f t="shared" si="285"/>
        <v>0</v>
      </c>
    </row>
    <row r="886" spans="4:49" ht="15.75" x14ac:dyDescent="0.25">
      <c r="D886" s="199"/>
      <c r="E886" s="200"/>
      <c r="F886" s="287"/>
      <c r="G886" s="201"/>
      <c r="H886" s="219"/>
      <c r="I886" s="202"/>
      <c r="J886" s="200"/>
      <c r="K886" s="200"/>
      <c r="L886" s="203"/>
      <c r="M886" s="204">
        <f ca="1">IF(ISERROR(OFFSET(Tabella!$A$1,MATCH(J886,Tabella!$A:$A,0)-1,MATCH(L886,Tabella!$A$1:$AC$1,0)-1)=TRUE),0,+OFFSET(Tabella!$A$1,MATCH(J886,Tabella!$A:$A,0)-1,MATCH(L886,Tabella!$A$1:$AC$1,0)-1))</f>
        <v>0</v>
      </c>
      <c r="N886" s="205">
        <f ca="1">IF(ISERROR(OFFSET(Ottone!$A$1,MATCH(J886,Ottone!$A:$A,0)-1,MATCH(L886,Ottone!$A$1:$Z$1,0)-1)=TRUE),0,OFFSET(Ottone!$A$1,MATCH(J886,Ottone!$A:$A,0)-1,MATCH(L886,Ottone!$A$1:$Z$1,0)-1))*IF(G886="Ottone",1,0)</f>
        <v>0</v>
      </c>
      <c r="O886" s="205">
        <f ca="1">IF(ISERROR(OFFSET(Rame!$A$1,MATCH(J886,Rame!$A:$A,0)-1,MATCH(L886,Rame!$A$1:$AA$1,0)-1)=TRUE),0,OFFSET(Rame!$A$1,MATCH(J886,Rame!$A:$A,0)-1,MATCH(L886,Rame!$A$1:$AA$1,0)-1))*IF(G886="Rame",1,0)</f>
        <v>0</v>
      </c>
      <c r="P886" s="205">
        <v>0</v>
      </c>
      <c r="Q886" s="205">
        <f t="shared" ca="1" si="275"/>
        <v>0</v>
      </c>
      <c r="R886" s="205">
        <f ca="1">+IF(ISERROR(OFFSET(Tabella!$G$1,MATCH(J886,Tabella!$G:$G,0)-1,MATCH(K886,Tabella!$G$1:$FG$1,0)-1)=TRUE),0,OFFSET(Tabella!$G$1,MATCH(J886,Tabella!$G:$G,0)-1,MATCH(K886,Tabella!$G$1:$AB$1,0)-1))</f>
        <v>0</v>
      </c>
      <c r="S886" s="205">
        <f ca="1">IF(ISERROR(OFFSET(Ottone!$F$1,MATCH(J886,Ottone!$A:$A,0)-1,MATCH(K886,Ottone!$F$1:$FF$1,0)-1)=TRUE),0,OFFSET(Ottone!$F$1,MATCH(J886,Ottone!$A:$A,0)-1,MATCH(K886,Ottone!$F$1:$FF$1,0)-1))*IF(G886="Ottone",1,0)</f>
        <v>0</v>
      </c>
      <c r="T886" s="205">
        <f ca="1">IF(ISERROR(OFFSET(Rame!$F$1,MATCH(J886,Rame!$F:$F,0)-1,MATCH(K886,Rame!$F$1:$FF$1,0)-1)=TRUE),0,OFFSET(Rame!$F$1,MATCH(J886,Rame!$F:$F,0)-1,MATCH(K886,Rame!$F$1:$FF$1,0)-1))*IF(G886="Rame",1,0)</f>
        <v>0</v>
      </c>
      <c r="U886" s="205">
        <f ca="1">IF(ISERROR(OFFSET(Bronzo!$A$1,MATCH(J886,Bronzo!$A:$A,0)-1,MATCH(K886,Bronzo!$A$1:$AA$1,0)-1)=TRUE),0,OFFSET(Bronzo!$A$1,MATCH(J886,Bronzo!$A:$A,0)-1,MATCH(K886,Bronzo!$A$1:$AA$1,0)-1))</f>
        <v>0</v>
      </c>
      <c r="V886" s="205">
        <f t="shared" ca="1" si="276"/>
        <v>0</v>
      </c>
      <c r="W886" s="204"/>
      <c r="X886" s="205">
        <v>0</v>
      </c>
      <c r="Y886" s="206">
        <f t="shared" ca="1" si="277"/>
        <v>0</v>
      </c>
      <c r="Z886" s="277">
        <f t="shared" si="278"/>
        <v>0</v>
      </c>
      <c r="AA886" s="203"/>
      <c r="AB886" s="203">
        <f t="shared" ca="1" si="279"/>
        <v>0</v>
      </c>
      <c r="AC886" s="238"/>
      <c r="AI886" s="367">
        <f t="shared" ca="1" si="274"/>
        <v>46092</v>
      </c>
      <c r="AJ886" s="367" t="b">
        <f t="shared" si="280"/>
        <v>1</v>
      </c>
      <c r="AK886" s="370" t="str">
        <f t="shared" si="281"/>
        <v/>
      </c>
      <c r="AN886">
        <f t="shared" si="282"/>
        <v>0</v>
      </c>
      <c r="AO886">
        <f t="shared" si="283"/>
        <v>1900</v>
      </c>
      <c r="AV886">
        <f t="shared" si="284"/>
        <v>0</v>
      </c>
      <c r="AW886">
        <f t="shared" si="285"/>
        <v>0</v>
      </c>
    </row>
    <row r="887" spans="4:49" ht="15.75" x14ac:dyDescent="0.25">
      <c r="D887" s="199"/>
      <c r="E887" s="200"/>
      <c r="F887" s="287"/>
      <c r="G887" s="201"/>
      <c r="H887" s="219"/>
      <c r="I887" s="202"/>
      <c r="J887" s="200"/>
      <c r="K887" s="200"/>
      <c r="L887" s="203"/>
      <c r="M887" s="204">
        <f ca="1">IF(ISERROR(OFFSET(Tabella!$A$1,MATCH(J887,Tabella!$A:$A,0)-1,MATCH(L887,Tabella!$A$1:$AC$1,0)-1)=TRUE),0,+OFFSET(Tabella!$A$1,MATCH(J887,Tabella!$A:$A,0)-1,MATCH(L887,Tabella!$A$1:$AC$1,0)-1))</f>
        <v>0</v>
      </c>
      <c r="N887" s="205">
        <f ca="1">IF(ISERROR(OFFSET(Ottone!$A$1,MATCH(J887,Ottone!$A:$A,0)-1,MATCH(L887,Ottone!$A$1:$Z$1,0)-1)=TRUE),0,OFFSET(Ottone!$A$1,MATCH(J887,Ottone!$A:$A,0)-1,MATCH(L887,Ottone!$A$1:$Z$1,0)-1))*IF(G887="Ottone",1,0)</f>
        <v>0</v>
      </c>
      <c r="O887" s="205">
        <f ca="1">IF(ISERROR(OFFSET(Rame!$A$1,MATCH(J887,Rame!$A:$A,0)-1,MATCH(L887,Rame!$A$1:$AA$1,0)-1)=TRUE),0,OFFSET(Rame!$A$1,MATCH(J887,Rame!$A:$A,0)-1,MATCH(L887,Rame!$A$1:$AA$1,0)-1))*IF(G887="Rame",1,0)</f>
        <v>0</v>
      </c>
      <c r="P887" s="205">
        <v>0</v>
      </c>
      <c r="Q887" s="205">
        <f t="shared" ca="1" si="275"/>
        <v>0</v>
      </c>
      <c r="R887" s="205">
        <f ca="1">+IF(ISERROR(OFFSET(Tabella!$G$1,MATCH(J887,Tabella!$G:$G,0)-1,MATCH(K887,Tabella!$G$1:$FG$1,0)-1)=TRUE),0,OFFSET(Tabella!$G$1,MATCH(J887,Tabella!$G:$G,0)-1,MATCH(K887,Tabella!$G$1:$AB$1,0)-1))</f>
        <v>0</v>
      </c>
      <c r="S887" s="205">
        <f ca="1">IF(ISERROR(OFFSET(Ottone!$F$1,MATCH(J887,Ottone!$A:$A,0)-1,MATCH(K887,Ottone!$F$1:$FF$1,0)-1)=TRUE),0,OFFSET(Ottone!$F$1,MATCH(J887,Ottone!$A:$A,0)-1,MATCH(K887,Ottone!$F$1:$FF$1,0)-1))*IF(G887="Ottone",1,0)</f>
        <v>0</v>
      </c>
      <c r="T887" s="205">
        <f ca="1">IF(ISERROR(OFFSET(Rame!$F$1,MATCH(J887,Rame!$F:$F,0)-1,MATCH(K887,Rame!$F$1:$FF$1,0)-1)=TRUE),0,OFFSET(Rame!$F$1,MATCH(J887,Rame!$F:$F,0)-1,MATCH(K887,Rame!$F$1:$FF$1,0)-1))*IF(G887="Rame",1,0)</f>
        <v>0</v>
      </c>
      <c r="U887" s="205">
        <f ca="1">IF(ISERROR(OFFSET(Bronzo!$A$1,MATCH(J887,Bronzo!$A:$A,0)-1,MATCH(K887,Bronzo!$A$1:$AA$1,0)-1)=TRUE),0,OFFSET(Bronzo!$A$1,MATCH(J887,Bronzo!$A:$A,0)-1,MATCH(K887,Bronzo!$A$1:$AA$1,0)-1))</f>
        <v>0</v>
      </c>
      <c r="V887" s="205">
        <f t="shared" ca="1" si="276"/>
        <v>0</v>
      </c>
      <c r="W887" s="204"/>
      <c r="X887" s="205">
        <v>0</v>
      </c>
      <c r="Y887" s="206">
        <f t="shared" ca="1" si="277"/>
        <v>0</v>
      </c>
      <c r="Z887" s="277">
        <f t="shared" si="278"/>
        <v>0</v>
      </c>
      <c r="AA887" s="203"/>
      <c r="AB887" s="203">
        <f t="shared" ca="1" si="279"/>
        <v>0</v>
      </c>
      <c r="AC887" s="238"/>
      <c r="AI887" s="367">
        <f t="shared" ca="1" si="274"/>
        <v>46092</v>
      </c>
      <c r="AJ887" s="367" t="b">
        <f t="shared" si="280"/>
        <v>1</v>
      </c>
      <c r="AK887" s="370" t="str">
        <f t="shared" si="281"/>
        <v/>
      </c>
      <c r="AN887">
        <f t="shared" si="282"/>
        <v>0</v>
      </c>
      <c r="AO887">
        <f t="shared" si="283"/>
        <v>1900</v>
      </c>
      <c r="AV887">
        <f t="shared" si="284"/>
        <v>0</v>
      </c>
      <c r="AW887">
        <f t="shared" si="285"/>
        <v>0</v>
      </c>
    </row>
    <row r="888" spans="4:49" ht="15.75" x14ac:dyDescent="0.25">
      <c r="D888" s="199"/>
      <c r="E888" s="200"/>
      <c r="F888" s="287"/>
      <c r="G888" s="201"/>
      <c r="H888" s="219"/>
      <c r="I888" s="202"/>
      <c r="J888" s="200"/>
      <c r="K888" s="200"/>
      <c r="L888" s="203"/>
      <c r="M888" s="204">
        <f ca="1">IF(ISERROR(OFFSET(Tabella!$A$1,MATCH(J888,Tabella!$A:$A,0)-1,MATCH(L888,Tabella!$A$1:$AC$1,0)-1)=TRUE),0,+OFFSET(Tabella!$A$1,MATCH(J888,Tabella!$A:$A,0)-1,MATCH(L888,Tabella!$A$1:$AC$1,0)-1))</f>
        <v>0</v>
      </c>
      <c r="N888" s="205">
        <f ca="1">IF(ISERROR(OFFSET(Ottone!$A$1,MATCH(J888,Ottone!$A:$A,0)-1,MATCH(L888,Ottone!$A$1:$Z$1,0)-1)=TRUE),0,OFFSET(Ottone!$A$1,MATCH(J888,Ottone!$A:$A,0)-1,MATCH(L888,Ottone!$A$1:$Z$1,0)-1))*IF(G888="Ottone",1,0)</f>
        <v>0</v>
      </c>
      <c r="O888" s="205">
        <f ca="1">IF(ISERROR(OFFSET(Rame!$A$1,MATCH(J888,Rame!$A:$A,0)-1,MATCH(L888,Rame!$A$1:$AA$1,0)-1)=TRUE),0,OFFSET(Rame!$A$1,MATCH(J888,Rame!$A:$A,0)-1,MATCH(L888,Rame!$A$1:$AA$1,0)-1))*IF(G888="Rame",1,0)</f>
        <v>0</v>
      </c>
      <c r="P888" s="205">
        <v>0</v>
      </c>
      <c r="Q888" s="205">
        <f t="shared" ca="1" si="275"/>
        <v>0</v>
      </c>
      <c r="R888" s="205">
        <f ca="1">+IF(ISERROR(OFFSET(Tabella!$G$1,MATCH(J888,Tabella!$G:$G,0)-1,MATCH(K888,Tabella!$G$1:$FG$1,0)-1)=TRUE),0,OFFSET(Tabella!$G$1,MATCH(J888,Tabella!$G:$G,0)-1,MATCH(K888,Tabella!$G$1:$AB$1,0)-1))</f>
        <v>0</v>
      </c>
      <c r="S888" s="205">
        <f ca="1">IF(ISERROR(OFFSET(Ottone!$F$1,MATCH(J888,Ottone!$A:$A,0)-1,MATCH(K888,Ottone!$F$1:$FF$1,0)-1)=TRUE),0,OFFSET(Ottone!$F$1,MATCH(J888,Ottone!$A:$A,0)-1,MATCH(K888,Ottone!$F$1:$FF$1,0)-1))*IF(G888="Ottone",1,0)</f>
        <v>0</v>
      </c>
      <c r="T888" s="205">
        <f ca="1">IF(ISERROR(OFFSET(Rame!$F$1,MATCH(J888,Rame!$F:$F,0)-1,MATCH(K888,Rame!$F$1:$FF$1,0)-1)=TRUE),0,OFFSET(Rame!$F$1,MATCH(J888,Rame!$F:$F,0)-1,MATCH(K888,Rame!$F$1:$FF$1,0)-1))*IF(G888="Rame",1,0)</f>
        <v>0</v>
      </c>
      <c r="U888" s="205">
        <f ca="1">IF(ISERROR(OFFSET(Bronzo!$A$1,MATCH(J888,Bronzo!$A:$A,0)-1,MATCH(K888,Bronzo!$A$1:$AA$1,0)-1)=TRUE),0,OFFSET(Bronzo!$A$1,MATCH(J888,Bronzo!$A:$A,0)-1,MATCH(K888,Bronzo!$A$1:$AA$1,0)-1))</f>
        <v>0</v>
      </c>
      <c r="V888" s="205">
        <f t="shared" ca="1" si="276"/>
        <v>0</v>
      </c>
      <c r="W888" s="204"/>
      <c r="X888" s="205">
        <v>0</v>
      </c>
      <c r="Y888" s="206">
        <f t="shared" ca="1" si="277"/>
        <v>0</v>
      </c>
      <c r="Z888" s="277">
        <f t="shared" si="278"/>
        <v>0</v>
      </c>
      <c r="AA888" s="203"/>
      <c r="AB888" s="203">
        <f t="shared" ca="1" si="279"/>
        <v>0</v>
      </c>
      <c r="AC888" s="238"/>
      <c r="AI888" s="367">
        <f t="shared" ca="1" si="274"/>
        <v>46092</v>
      </c>
      <c r="AJ888" s="367" t="b">
        <f t="shared" si="280"/>
        <v>1</v>
      </c>
      <c r="AK888" s="370" t="str">
        <f t="shared" si="281"/>
        <v/>
      </c>
      <c r="AN888">
        <f t="shared" si="282"/>
        <v>0</v>
      </c>
      <c r="AO888">
        <f t="shared" si="283"/>
        <v>1900</v>
      </c>
      <c r="AV888">
        <f t="shared" si="284"/>
        <v>0</v>
      </c>
      <c r="AW888">
        <f t="shared" si="285"/>
        <v>0</v>
      </c>
    </row>
    <row r="889" spans="4:49" ht="15.75" x14ac:dyDescent="0.25">
      <c r="D889" s="199"/>
      <c r="E889" s="200"/>
      <c r="F889" s="287"/>
      <c r="G889" s="201"/>
      <c r="H889" s="219"/>
      <c r="I889" s="202"/>
      <c r="J889" s="200"/>
      <c r="K889" s="200"/>
      <c r="L889" s="203"/>
      <c r="M889" s="204">
        <f ca="1">IF(ISERROR(OFFSET(Tabella!$A$1,MATCH(J889,Tabella!$A:$A,0)-1,MATCH(L889,Tabella!$A$1:$AC$1,0)-1)=TRUE),0,+OFFSET(Tabella!$A$1,MATCH(J889,Tabella!$A:$A,0)-1,MATCH(L889,Tabella!$A$1:$AC$1,0)-1))</f>
        <v>0</v>
      </c>
      <c r="N889" s="205">
        <f ca="1">IF(ISERROR(OFFSET(Ottone!$A$1,MATCH(J889,Ottone!$A:$A,0)-1,MATCH(L889,Ottone!$A$1:$Z$1,0)-1)=TRUE),0,OFFSET(Ottone!$A$1,MATCH(J889,Ottone!$A:$A,0)-1,MATCH(L889,Ottone!$A$1:$Z$1,0)-1))*IF(G889="Ottone",1,0)</f>
        <v>0</v>
      </c>
      <c r="O889" s="205">
        <f ca="1">IF(ISERROR(OFFSET(Rame!$A$1,MATCH(J889,Rame!$A:$A,0)-1,MATCH(L889,Rame!$A$1:$AA$1,0)-1)=TRUE),0,OFFSET(Rame!$A$1,MATCH(J889,Rame!$A:$A,0)-1,MATCH(L889,Rame!$A$1:$AA$1,0)-1))*IF(G889="Rame",1,0)</f>
        <v>0</v>
      </c>
      <c r="P889" s="205">
        <v>0</v>
      </c>
      <c r="Q889" s="205">
        <f t="shared" ca="1" si="275"/>
        <v>0</v>
      </c>
      <c r="R889" s="205">
        <f ca="1">+IF(ISERROR(OFFSET(Tabella!$G$1,MATCH(J889,Tabella!$G:$G,0)-1,MATCH(K889,Tabella!$G$1:$FG$1,0)-1)=TRUE),0,OFFSET(Tabella!$G$1,MATCH(J889,Tabella!$G:$G,0)-1,MATCH(K889,Tabella!$G$1:$AB$1,0)-1))</f>
        <v>0</v>
      </c>
      <c r="S889" s="205">
        <f ca="1">IF(ISERROR(OFFSET(Ottone!$F$1,MATCH(J889,Ottone!$A:$A,0)-1,MATCH(K889,Ottone!$F$1:$FF$1,0)-1)=TRUE),0,OFFSET(Ottone!$F$1,MATCH(J889,Ottone!$A:$A,0)-1,MATCH(K889,Ottone!$F$1:$FF$1,0)-1))*IF(G889="Ottone",1,0)</f>
        <v>0</v>
      </c>
      <c r="T889" s="205">
        <f ca="1">IF(ISERROR(OFFSET(Rame!$F$1,MATCH(J889,Rame!$F:$F,0)-1,MATCH(K889,Rame!$F$1:$FF$1,0)-1)=TRUE),0,OFFSET(Rame!$F$1,MATCH(J889,Rame!$F:$F,0)-1,MATCH(K889,Rame!$F$1:$FF$1,0)-1))*IF(G889="Rame",1,0)</f>
        <v>0</v>
      </c>
      <c r="U889" s="205">
        <f ca="1">IF(ISERROR(OFFSET(Bronzo!$A$1,MATCH(J889,Bronzo!$A:$A,0)-1,MATCH(K889,Bronzo!$A$1:$AA$1,0)-1)=TRUE),0,OFFSET(Bronzo!$A$1,MATCH(J889,Bronzo!$A:$A,0)-1,MATCH(K889,Bronzo!$A$1:$AA$1,0)-1))</f>
        <v>0</v>
      </c>
      <c r="V889" s="205">
        <f t="shared" ca="1" si="276"/>
        <v>0</v>
      </c>
      <c r="W889" s="204"/>
      <c r="X889" s="205">
        <v>0</v>
      </c>
      <c r="Y889" s="206">
        <f t="shared" ca="1" si="277"/>
        <v>0</v>
      </c>
      <c r="Z889" s="277">
        <f t="shared" si="278"/>
        <v>0</v>
      </c>
      <c r="AA889" s="203"/>
      <c r="AB889" s="203">
        <f t="shared" ca="1" si="279"/>
        <v>0</v>
      </c>
      <c r="AC889" s="238"/>
      <c r="AI889" s="367">
        <f t="shared" ca="1" si="274"/>
        <v>46092</v>
      </c>
      <c r="AJ889" s="367" t="b">
        <f t="shared" si="280"/>
        <v>1</v>
      </c>
      <c r="AK889" s="370" t="str">
        <f t="shared" si="281"/>
        <v/>
      </c>
      <c r="AN889">
        <f t="shared" si="282"/>
        <v>0</v>
      </c>
      <c r="AO889">
        <f t="shared" si="283"/>
        <v>1900</v>
      </c>
      <c r="AV889">
        <f t="shared" si="284"/>
        <v>0</v>
      </c>
      <c r="AW889">
        <f t="shared" si="285"/>
        <v>0</v>
      </c>
    </row>
    <row r="890" spans="4:49" ht="15.75" x14ac:dyDescent="0.25">
      <c r="D890" s="199"/>
      <c r="E890" s="200"/>
      <c r="F890" s="287"/>
      <c r="G890" s="201"/>
      <c r="H890" s="219"/>
      <c r="I890" s="202"/>
      <c r="J890" s="200"/>
      <c r="K890" s="200"/>
      <c r="L890" s="203"/>
      <c r="M890" s="204">
        <f ca="1">IF(ISERROR(OFFSET(Tabella!$A$1,MATCH(J890,Tabella!$A:$A,0)-1,MATCH(L890,Tabella!$A$1:$AC$1,0)-1)=TRUE),0,+OFFSET(Tabella!$A$1,MATCH(J890,Tabella!$A:$A,0)-1,MATCH(L890,Tabella!$A$1:$AC$1,0)-1))</f>
        <v>0</v>
      </c>
      <c r="N890" s="205">
        <f ca="1">IF(ISERROR(OFFSET(Ottone!$A$1,MATCH(J890,Ottone!$A:$A,0)-1,MATCH(L890,Ottone!$A$1:$Z$1,0)-1)=TRUE),0,OFFSET(Ottone!$A$1,MATCH(J890,Ottone!$A:$A,0)-1,MATCH(L890,Ottone!$A$1:$Z$1,0)-1))*IF(G890="Ottone",1,0)</f>
        <v>0</v>
      </c>
      <c r="O890" s="205">
        <f ca="1">IF(ISERROR(OFFSET(Rame!$A$1,MATCH(J890,Rame!$A:$A,0)-1,MATCH(L890,Rame!$A$1:$AA$1,0)-1)=TRUE),0,OFFSET(Rame!$A$1,MATCH(J890,Rame!$A:$A,0)-1,MATCH(L890,Rame!$A$1:$AA$1,0)-1))*IF(G890="Rame",1,0)</f>
        <v>0</v>
      </c>
      <c r="P890" s="205">
        <v>0</v>
      </c>
      <c r="Q890" s="205">
        <f t="shared" ca="1" si="275"/>
        <v>0</v>
      </c>
      <c r="R890" s="205">
        <f ca="1">+IF(ISERROR(OFFSET(Tabella!$G$1,MATCH(J890,Tabella!$G:$G,0)-1,MATCH(K890,Tabella!$G$1:$FG$1,0)-1)=TRUE),0,OFFSET(Tabella!$G$1,MATCH(J890,Tabella!$G:$G,0)-1,MATCH(K890,Tabella!$G$1:$AB$1,0)-1))</f>
        <v>0</v>
      </c>
      <c r="S890" s="205">
        <f ca="1">IF(ISERROR(OFFSET(Ottone!$F$1,MATCH(J890,Ottone!$A:$A,0)-1,MATCH(K890,Ottone!$F$1:$FF$1,0)-1)=TRUE),0,OFFSET(Ottone!$F$1,MATCH(J890,Ottone!$A:$A,0)-1,MATCH(K890,Ottone!$F$1:$FF$1,0)-1))*IF(G890="Ottone",1,0)</f>
        <v>0</v>
      </c>
      <c r="T890" s="205">
        <f ca="1">IF(ISERROR(OFFSET(Rame!$F$1,MATCH(J890,Rame!$F:$F,0)-1,MATCH(K890,Rame!$F$1:$FF$1,0)-1)=TRUE),0,OFFSET(Rame!$F$1,MATCH(J890,Rame!$F:$F,0)-1,MATCH(K890,Rame!$F$1:$FF$1,0)-1))*IF(G890="Rame",1,0)</f>
        <v>0</v>
      </c>
      <c r="U890" s="205">
        <f ca="1">IF(ISERROR(OFFSET(Bronzo!$A$1,MATCH(J890,Bronzo!$A:$A,0)-1,MATCH(K890,Bronzo!$A$1:$AA$1,0)-1)=TRUE),0,OFFSET(Bronzo!$A$1,MATCH(J890,Bronzo!$A:$A,0)-1,MATCH(K890,Bronzo!$A$1:$AA$1,0)-1))</f>
        <v>0</v>
      </c>
      <c r="V890" s="205">
        <f t="shared" ca="1" si="276"/>
        <v>0</v>
      </c>
      <c r="W890" s="204"/>
      <c r="X890" s="205">
        <v>0</v>
      </c>
      <c r="Y890" s="206">
        <f t="shared" ca="1" si="277"/>
        <v>0</v>
      </c>
      <c r="Z890" s="277">
        <f t="shared" si="278"/>
        <v>0</v>
      </c>
      <c r="AA890" s="203"/>
      <c r="AB890" s="203">
        <f t="shared" ca="1" si="279"/>
        <v>0</v>
      </c>
      <c r="AC890" s="238"/>
      <c r="AI890" s="367">
        <f t="shared" ca="1" si="274"/>
        <v>46092</v>
      </c>
      <c r="AJ890" s="367" t="b">
        <f t="shared" si="280"/>
        <v>1</v>
      </c>
      <c r="AK890" s="370" t="str">
        <f t="shared" si="281"/>
        <v/>
      </c>
      <c r="AN890">
        <f t="shared" si="282"/>
        <v>0</v>
      </c>
      <c r="AO890">
        <f t="shared" si="283"/>
        <v>1900</v>
      </c>
      <c r="AV890">
        <f t="shared" si="284"/>
        <v>0</v>
      </c>
      <c r="AW890">
        <f t="shared" si="285"/>
        <v>0</v>
      </c>
    </row>
    <row r="891" spans="4:49" ht="15.75" x14ac:dyDescent="0.25">
      <c r="D891" s="199"/>
      <c r="E891" s="200"/>
      <c r="F891" s="287"/>
      <c r="G891" s="201"/>
      <c r="H891" s="219"/>
      <c r="I891" s="202"/>
      <c r="J891" s="200"/>
      <c r="K891" s="200"/>
      <c r="L891" s="203"/>
      <c r="M891" s="204">
        <f ca="1">IF(ISERROR(OFFSET(Tabella!$A$1,MATCH(J891,Tabella!$A:$A,0)-1,MATCH(L891,Tabella!$A$1:$AC$1,0)-1)=TRUE),0,+OFFSET(Tabella!$A$1,MATCH(J891,Tabella!$A:$A,0)-1,MATCH(L891,Tabella!$A$1:$AC$1,0)-1))</f>
        <v>0</v>
      </c>
      <c r="N891" s="205">
        <f ca="1">IF(ISERROR(OFFSET(Ottone!$A$1,MATCH(J891,Ottone!$A:$A,0)-1,MATCH(L891,Ottone!$A$1:$Z$1,0)-1)=TRUE),0,OFFSET(Ottone!$A$1,MATCH(J891,Ottone!$A:$A,0)-1,MATCH(L891,Ottone!$A$1:$Z$1,0)-1))*IF(G891="Ottone",1,0)</f>
        <v>0</v>
      </c>
      <c r="O891" s="205">
        <f ca="1">IF(ISERROR(OFFSET(Rame!$A$1,MATCH(J891,Rame!$A:$A,0)-1,MATCH(L891,Rame!$A$1:$AA$1,0)-1)=TRUE),0,OFFSET(Rame!$A$1,MATCH(J891,Rame!$A:$A,0)-1,MATCH(L891,Rame!$A$1:$AA$1,0)-1))*IF(G891="Rame",1,0)</f>
        <v>0</v>
      </c>
      <c r="P891" s="205">
        <v>0</v>
      </c>
      <c r="Q891" s="205">
        <f t="shared" ca="1" si="275"/>
        <v>0</v>
      </c>
      <c r="R891" s="205">
        <f ca="1">+IF(ISERROR(OFFSET(Tabella!$G$1,MATCH(J891,Tabella!$G:$G,0)-1,MATCH(K891,Tabella!$G$1:$FG$1,0)-1)=TRUE),0,OFFSET(Tabella!$G$1,MATCH(J891,Tabella!$G:$G,0)-1,MATCH(K891,Tabella!$G$1:$AB$1,0)-1))</f>
        <v>0</v>
      </c>
      <c r="S891" s="205">
        <f ca="1">IF(ISERROR(OFFSET(Ottone!$F$1,MATCH(J891,Ottone!$A:$A,0)-1,MATCH(K891,Ottone!$F$1:$FF$1,0)-1)=TRUE),0,OFFSET(Ottone!$F$1,MATCH(J891,Ottone!$A:$A,0)-1,MATCH(K891,Ottone!$F$1:$FF$1,0)-1))*IF(G891="Ottone",1,0)</f>
        <v>0</v>
      </c>
      <c r="T891" s="205">
        <f ca="1">IF(ISERROR(OFFSET(Rame!$F$1,MATCH(J891,Rame!$F:$F,0)-1,MATCH(K891,Rame!$F$1:$FF$1,0)-1)=TRUE),0,OFFSET(Rame!$F$1,MATCH(J891,Rame!$F:$F,0)-1,MATCH(K891,Rame!$F$1:$FF$1,0)-1))*IF(G891="Rame",1,0)</f>
        <v>0</v>
      </c>
      <c r="U891" s="205">
        <f ca="1">IF(ISERROR(OFFSET(Bronzo!$A$1,MATCH(J891,Bronzo!$A:$A,0)-1,MATCH(K891,Bronzo!$A$1:$AA$1,0)-1)=TRUE),0,OFFSET(Bronzo!$A$1,MATCH(J891,Bronzo!$A:$A,0)-1,MATCH(K891,Bronzo!$A$1:$AA$1,0)-1))</f>
        <v>0</v>
      </c>
      <c r="V891" s="205">
        <f t="shared" ca="1" si="276"/>
        <v>0</v>
      </c>
      <c r="W891" s="204"/>
      <c r="X891" s="205">
        <v>0</v>
      </c>
      <c r="Y891" s="206">
        <f t="shared" ca="1" si="277"/>
        <v>0</v>
      </c>
      <c r="Z891" s="277">
        <f t="shared" si="278"/>
        <v>0</v>
      </c>
      <c r="AA891" s="203"/>
      <c r="AB891" s="203">
        <f t="shared" ca="1" si="279"/>
        <v>0</v>
      </c>
      <c r="AC891" s="238"/>
      <c r="AI891" s="367">
        <f t="shared" ca="1" si="274"/>
        <v>46092</v>
      </c>
      <c r="AJ891" s="367" t="b">
        <f t="shared" si="280"/>
        <v>1</v>
      </c>
      <c r="AK891" s="370" t="str">
        <f t="shared" si="281"/>
        <v/>
      </c>
      <c r="AN891">
        <f t="shared" si="282"/>
        <v>0</v>
      </c>
      <c r="AO891">
        <f t="shared" si="283"/>
        <v>1900</v>
      </c>
      <c r="AV891">
        <f t="shared" si="284"/>
        <v>0</v>
      </c>
      <c r="AW891">
        <f t="shared" si="285"/>
        <v>0</v>
      </c>
    </row>
    <row r="892" spans="4:49" ht="15.75" x14ac:dyDescent="0.25">
      <c r="D892" s="199"/>
      <c r="E892" s="200"/>
      <c r="F892" s="287"/>
      <c r="G892" s="201"/>
      <c r="H892" s="219"/>
      <c r="I892" s="202"/>
      <c r="J892" s="200"/>
      <c r="K892" s="200"/>
      <c r="L892" s="203"/>
      <c r="M892" s="204">
        <f ca="1">IF(ISERROR(OFFSET(Tabella!$A$1,MATCH(J892,Tabella!$A:$A,0)-1,MATCH(L892,Tabella!$A$1:$AC$1,0)-1)=TRUE),0,+OFFSET(Tabella!$A$1,MATCH(J892,Tabella!$A:$A,0)-1,MATCH(L892,Tabella!$A$1:$AC$1,0)-1))</f>
        <v>0</v>
      </c>
      <c r="N892" s="205">
        <f ca="1">IF(ISERROR(OFFSET(Ottone!$A$1,MATCH(J892,Ottone!$A:$A,0)-1,MATCH(L892,Ottone!$A$1:$Z$1,0)-1)=TRUE),0,OFFSET(Ottone!$A$1,MATCH(J892,Ottone!$A:$A,0)-1,MATCH(L892,Ottone!$A$1:$Z$1,0)-1))*IF(G892="Ottone",1,0)</f>
        <v>0</v>
      </c>
      <c r="O892" s="205">
        <f ca="1">IF(ISERROR(OFFSET(Rame!$A$1,MATCH(J892,Rame!$A:$A,0)-1,MATCH(L892,Rame!$A$1:$AA$1,0)-1)=TRUE),0,OFFSET(Rame!$A$1,MATCH(J892,Rame!$A:$A,0)-1,MATCH(L892,Rame!$A$1:$AA$1,0)-1))*IF(G892="Rame",1,0)</f>
        <v>0</v>
      </c>
      <c r="P892" s="205">
        <v>0</v>
      </c>
      <c r="Q892" s="205">
        <f t="shared" ca="1" si="275"/>
        <v>0</v>
      </c>
      <c r="R892" s="205">
        <f ca="1">+IF(ISERROR(OFFSET(Tabella!$G$1,MATCH(J892,Tabella!$G:$G,0)-1,MATCH(K892,Tabella!$G$1:$FG$1,0)-1)=TRUE),0,OFFSET(Tabella!$G$1,MATCH(J892,Tabella!$G:$G,0)-1,MATCH(K892,Tabella!$G$1:$AB$1,0)-1))</f>
        <v>0</v>
      </c>
      <c r="S892" s="205">
        <f ca="1">IF(ISERROR(OFFSET(Ottone!$F$1,MATCH(J892,Ottone!$A:$A,0)-1,MATCH(K892,Ottone!$F$1:$FF$1,0)-1)=TRUE),0,OFFSET(Ottone!$F$1,MATCH(J892,Ottone!$A:$A,0)-1,MATCH(K892,Ottone!$F$1:$FF$1,0)-1))*IF(G892="Ottone",1,0)</f>
        <v>0</v>
      </c>
      <c r="T892" s="205">
        <f ca="1">IF(ISERROR(OFFSET(Rame!$F$1,MATCH(J892,Rame!$F:$F,0)-1,MATCH(K892,Rame!$F$1:$FF$1,0)-1)=TRUE),0,OFFSET(Rame!$F$1,MATCH(J892,Rame!$F:$F,0)-1,MATCH(K892,Rame!$F$1:$FF$1,0)-1))*IF(G892="Rame",1,0)</f>
        <v>0</v>
      </c>
      <c r="U892" s="205">
        <f ca="1">IF(ISERROR(OFFSET(Bronzo!$A$1,MATCH(J892,Bronzo!$A:$A,0)-1,MATCH(K892,Bronzo!$A$1:$AA$1,0)-1)=TRUE),0,OFFSET(Bronzo!$A$1,MATCH(J892,Bronzo!$A:$A,0)-1,MATCH(K892,Bronzo!$A$1:$AA$1,0)-1))</f>
        <v>0</v>
      </c>
      <c r="V892" s="205">
        <f t="shared" ca="1" si="276"/>
        <v>0</v>
      </c>
      <c r="W892" s="204"/>
      <c r="X892" s="205">
        <v>0</v>
      </c>
      <c r="Y892" s="206">
        <f t="shared" ca="1" si="277"/>
        <v>0</v>
      </c>
      <c r="Z892" s="277">
        <f t="shared" si="278"/>
        <v>0</v>
      </c>
      <c r="AA892" s="203"/>
      <c r="AB892" s="203">
        <f t="shared" ca="1" si="279"/>
        <v>0</v>
      </c>
      <c r="AC892" s="238"/>
      <c r="AI892" s="367">
        <f t="shared" ca="1" si="274"/>
        <v>46092</v>
      </c>
      <c r="AJ892" s="367" t="b">
        <f t="shared" si="280"/>
        <v>1</v>
      </c>
      <c r="AK892" s="370" t="str">
        <f t="shared" si="281"/>
        <v/>
      </c>
      <c r="AN892">
        <f t="shared" si="282"/>
        <v>0</v>
      </c>
      <c r="AO892">
        <f t="shared" si="283"/>
        <v>1900</v>
      </c>
      <c r="AV892">
        <f t="shared" si="284"/>
        <v>0</v>
      </c>
      <c r="AW892">
        <f t="shared" si="285"/>
        <v>0</v>
      </c>
    </row>
    <row r="893" spans="4:49" ht="15.75" x14ac:dyDescent="0.25">
      <c r="D893" s="199"/>
      <c r="E893" s="200"/>
      <c r="F893" s="287"/>
      <c r="G893" s="201"/>
      <c r="H893" s="219"/>
      <c r="I893" s="202"/>
      <c r="J893" s="200"/>
      <c r="K893" s="200"/>
      <c r="L893" s="203"/>
      <c r="M893" s="204">
        <f ca="1">IF(ISERROR(OFFSET(Tabella!$A$1,MATCH(J893,Tabella!$A:$A,0)-1,MATCH(L893,Tabella!$A$1:$AC$1,0)-1)=TRUE),0,+OFFSET(Tabella!$A$1,MATCH(J893,Tabella!$A:$A,0)-1,MATCH(L893,Tabella!$A$1:$AC$1,0)-1))</f>
        <v>0</v>
      </c>
      <c r="N893" s="205">
        <f ca="1">IF(ISERROR(OFFSET(Ottone!$A$1,MATCH(J893,Ottone!$A:$A,0)-1,MATCH(L893,Ottone!$A$1:$Z$1,0)-1)=TRUE),0,OFFSET(Ottone!$A$1,MATCH(J893,Ottone!$A:$A,0)-1,MATCH(L893,Ottone!$A$1:$Z$1,0)-1))*IF(G893="Ottone",1,0)</f>
        <v>0</v>
      </c>
      <c r="O893" s="205">
        <f ca="1">IF(ISERROR(OFFSET(Rame!$A$1,MATCH(J893,Rame!$A:$A,0)-1,MATCH(L893,Rame!$A$1:$AA$1,0)-1)=TRUE),0,OFFSET(Rame!$A$1,MATCH(J893,Rame!$A:$A,0)-1,MATCH(L893,Rame!$A$1:$AA$1,0)-1))*IF(G893="Rame",1,0)</f>
        <v>0</v>
      </c>
      <c r="P893" s="205">
        <v>0</v>
      </c>
      <c r="Q893" s="205">
        <f t="shared" ca="1" si="275"/>
        <v>0</v>
      </c>
      <c r="R893" s="205">
        <f ca="1">+IF(ISERROR(OFFSET(Tabella!$G$1,MATCH(J893,Tabella!$G:$G,0)-1,MATCH(K893,Tabella!$G$1:$FG$1,0)-1)=TRUE),0,OFFSET(Tabella!$G$1,MATCH(J893,Tabella!$G:$G,0)-1,MATCH(K893,Tabella!$G$1:$AB$1,0)-1))</f>
        <v>0</v>
      </c>
      <c r="S893" s="205">
        <f ca="1">IF(ISERROR(OFFSET(Ottone!$F$1,MATCH(J893,Ottone!$A:$A,0)-1,MATCH(K893,Ottone!$F$1:$FF$1,0)-1)=TRUE),0,OFFSET(Ottone!$F$1,MATCH(J893,Ottone!$A:$A,0)-1,MATCH(K893,Ottone!$F$1:$FF$1,0)-1))*IF(G893="Ottone",1,0)</f>
        <v>0</v>
      </c>
      <c r="T893" s="205">
        <f ca="1">IF(ISERROR(OFFSET(Rame!$F$1,MATCH(J893,Rame!$F:$F,0)-1,MATCH(K893,Rame!$F$1:$FF$1,0)-1)=TRUE),0,OFFSET(Rame!$F$1,MATCH(J893,Rame!$F:$F,0)-1,MATCH(K893,Rame!$F$1:$FF$1,0)-1))*IF(G893="Rame",1,0)</f>
        <v>0</v>
      </c>
      <c r="U893" s="205">
        <f ca="1">IF(ISERROR(OFFSET(Bronzo!$A$1,MATCH(J893,Bronzo!$A:$A,0)-1,MATCH(K893,Bronzo!$A$1:$AA$1,0)-1)=TRUE),0,OFFSET(Bronzo!$A$1,MATCH(J893,Bronzo!$A:$A,0)-1,MATCH(K893,Bronzo!$A$1:$AA$1,0)-1))</f>
        <v>0</v>
      </c>
      <c r="V893" s="205">
        <f t="shared" ca="1" si="276"/>
        <v>0</v>
      </c>
      <c r="W893" s="204"/>
      <c r="X893" s="205">
        <v>0</v>
      </c>
      <c r="Y893" s="206">
        <f t="shared" ca="1" si="277"/>
        <v>0</v>
      </c>
      <c r="Z893" s="277">
        <f t="shared" si="278"/>
        <v>0</v>
      </c>
      <c r="AA893" s="203"/>
      <c r="AB893" s="203">
        <f t="shared" ca="1" si="279"/>
        <v>0</v>
      </c>
      <c r="AC893" s="238"/>
      <c r="AI893" s="367">
        <f t="shared" ca="1" si="274"/>
        <v>46092</v>
      </c>
      <c r="AJ893" s="367" t="b">
        <f t="shared" si="280"/>
        <v>1</v>
      </c>
      <c r="AK893" s="370" t="str">
        <f t="shared" si="281"/>
        <v/>
      </c>
      <c r="AN893">
        <f t="shared" si="282"/>
        <v>0</v>
      </c>
      <c r="AO893">
        <f t="shared" si="283"/>
        <v>1900</v>
      </c>
      <c r="AV893">
        <f t="shared" si="284"/>
        <v>0</v>
      </c>
      <c r="AW893">
        <f t="shared" si="285"/>
        <v>0</v>
      </c>
    </row>
    <row r="894" spans="4:49" ht="15.75" x14ac:dyDescent="0.25">
      <c r="D894" s="199"/>
      <c r="E894" s="200"/>
      <c r="F894" s="287"/>
      <c r="G894" s="201"/>
      <c r="H894" s="219"/>
      <c r="I894" s="202"/>
      <c r="J894" s="200"/>
      <c r="K894" s="200"/>
      <c r="L894" s="203"/>
      <c r="M894" s="204">
        <f ca="1">IF(ISERROR(OFFSET(Tabella!$A$1,MATCH(J894,Tabella!$A:$A,0)-1,MATCH(L894,Tabella!$A$1:$AC$1,0)-1)=TRUE),0,+OFFSET(Tabella!$A$1,MATCH(J894,Tabella!$A:$A,0)-1,MATCH(L894,Tabella!$A$1:$AC$1,0)-1))</f>
        <v>0</v>
      </c>
      <c r="N894" s="205">
        <f ca="1">IF(ISERROR(OFFSET(Ottone!$A$1,MATCH(J894,Ottone!$A:$A,0)-1,MATCH(L894,Ottone!$A$1:$Z$1,0)-1)=TRUE),0,OFFSET(Ottone!$A$1,MATCH(J894,Ottone!$A:$A,0)-1,MATCH(L894,Ottone!$A$1:$Z$1,0)-1))*IF(G894="Ottone",1,0)</f>
        <v>0</v>
      </c>
      <c r="O894" s="205">
        <f ca="1">IF(ISERROR(OFFSET(Rame!$A$1,MATCH(J894,Rame!$A:$A,0)-1,MATCH(L894,Rame!$A$1:$AA$1,0)-1)=TRUE),0,OFFSET(Rame!$A$1,MATCH(J894,Rame!$A:$A,0)-1,MATCH(L894,Rame!$A$1:$AA$1,0)-1))*IF(G894="Rame",1,0)</f>
        <v>0</v>
      </c>
      <c r="P894" s="205">
        <v>0</v>
      </c>
      <c r="Q894" s="205">
        <f t="shared" ca="1" si="275"/>
        <v>0</v>
      </c>
      <c r="R894" s="205">
        <f ca="1">+IF(ISERROR(OFFSET(Tabella!$G$1,MATCH(J894,Tabella!$G:$G,0)-1,MATCH(K894,Tabella!$G$1:$FG$1,0)-1)=TRUE),0,OFFSET(Tabella!$G$1,MATCH(J894,Tabella!$G:$G,0)-1,MATCH(K894,Tabella!$G$1:$AB$1,0)-1))</f>
        <v>0</v>
      </c>
      <c r="S894" s="205">
        <f ca="1">IF(ISERROR(OFFSET(Ottone!$F$1,MATCH(J894,Ottone!$A:$A,0)-1,MATCH(K894,Ottone!$F$1:$FF$1,0)-1)=TRUE),0,OFFSET(Ottone!$F$1,MATCH(J894,Ottone!$A:$A,0)-1,MATCH(K894,Ottone!$F$1:$FF$1,0)-1))*IF(G894="Ottone",1,0)</f>
        <v>0</v>
      </c>
      <c r="T894" s="205">
        <f ca="1">IF(ISERROR(OFFSET(Rame!$F$1,MATCH(J894,Rame!$F:$F,0)-1,MATCH(K894,Rame!$F$1:$FF$1,0)-1)=TRUE),0,OFFSET(Rame!$F$1,MATCH(J894,Rame!$F:$F,0)-1,MATCH(K894,Rame!$F$1:$FF$1,0)-1))*IF(G894="Rame",1,0)</f>
        <v>0</v>
      </c>
      <c r="U894" s="205">
        <f ca="1">IF(ISERROR(OFFSET(Bronzo!$A$1,MATCH(J894,Bronzo!$A:$A,0)-1,MATCH(K894,Bronzo!$A$1:$AA$1,0)-1)=TRUE),0,OFFSET(Bronzo!$A$1,MATCH(J894,Bronzo!$A:$A,0)-1,MATCH(K894,Bronzo!$A$1:$AA$1,0)-1))</f>
        <v>0</v>
      </c>
      <c r="V894" s="205">
        <f t="shared" ca="1" si="276"/>
        <v>0</v>
      </c>
      <c r="W894" s="204"/>
      <c r="X894" s="205">
        <v>0</v>
      </c>
      <c r="Y894" s="206">
        <f t="shared" ca="1" si="277"/>
        <v>0</v>
      </c>
      <c r="Z894" s="277">
        <f t="shared" si="278"/>
        <v>0</v>
      </c>
      <c r="AA894" s="203"/>
      <c r="AB894" s="203">
        <f t="shared" ca="1" si="279"/>
        <v>0</v>
      </c>
      <c r="AC894" s="238"/>
      <c r="AI894" s="367">
        <f t="shared" ca="1" si="274"/>
        <v>46092</v>
      </c>
      <c r="AJ894" s="367" t="b">
        <f t="shared" si="280"/>
        <v>1</v>
      </c>
      <c r="AK894" s="370" t="str">
        <f t="shared" si="281"/>
        <v/>
      </c>
      <c r="AN894">
        <f t="shared" si="282"/>
        <v>0</v>
      </c>
      <c r="AO894">
        <f t="shared" si="283"/>
        <v>1900</v>
      </c>
      <c r="AV894">
        <f t="shared" si="284"/>
        <v>0</v>
      </c>
      <c r="AW894">
        <f t="shared" si="285"/>
        <v>0</v>
      </c>
    </row>
    <row r="895" spans="4:49" ht="15.75" x14ac:dyDescent="0.25">
      <c r="D895" s="199"/>
      <c r="E895" s="200"/>
      <c r="F895" s="287"/>
      <c r="G895" s="201"/>
      <c r="H895" s="219"/>
      <c r="I895" s="202"/>
      <c r="J895" s="200"/>
      <c r="K895" s="200"/>
      <c r="L895" s="203"/>
      <c r="M895" s="204">
        <f ca="1">IF(ISERROR(OFFSET(Tabella!$A$1,MATCH(J895,Tabella!$A:$A,0)-1,MATCH(L895,Tabella!$A$1:$AC$1,0)-1)=TRUE),0,+OFFSET(Tabella!$A$1,MATCH(J895,Tabella!$A:$A,0)-1,MATCH(L895,Tabella!$A$1:$AC$1,0)-1))</f>
        <v>0</v>
      </c>
      <c r="N895" s="205">
        <f ca="1">IF(ISERROR(OFFSET(Ottone!$A$1,MATCH(J895,Ottone!$A:$A,0)-1,MATCH(L895,Ottone!$A$1:$Z$1,0)-1)=TRUE),0,OFFSET(Ottone!$A$1,MATCH(J895,Ottone!$A:$A,0)-1,MATCH(L895,Ottone!$A$1:$Z$1,0)-1))*IF(G895="Ottone",1,0)</f>
        <v>0</v>
      </c>
      <c r="O895" s="205">
        <f ca="1">IF(ISERROR(OFFSET(Rame!$A$1,MATCH(J895,Rame!$A:$A,0)-1,MATCH(L895,Rame!$A$1:$AA$1,0)-1)=TRUE),0,OFFSET(Rame!$A$1,MATCH(J895,Rame!$A:$A,0)-1,MATCH(L895,Rame!$A$1:$AA$1,0)-1))*IF(G895="Rame",1,0)</f>
        <v>0</v>
      </c>
      <c r="P895" s="205">
        <v>0</v>
      </c>
      <c r="Q895" s="205">
        <f t="shared" ca="1" si="275"/>
        <v>0</v>
      </c>
      <c r="R895" s="205">
        <f ca="1">+IF(ISERROR(OFFSET(Tabella!$G$1,MATCH(J895,Tabella!$G:$G,0)-1,MATCH(K895,Tabella!$G$1:$FG$1,0)-1)=TRUE),0,OFFSET(Tabella!$G$1,MATCH(J895,Tabella!$G:$G,0)-1,MATCH(K895,Tabella!$G$1:$AB$1,0)-1))</f>
        <v>0</v>
      </c>
      <c r="S895" s="205">
        <f ca="1">IF(ISERROR(OFFSET(Ottone!$F$1,MATCH(J895,Ottone!$A:$A,0)-1,MATCH(K895,Ottone!$F$1:$FF$1,0)-1)=TRUE),0,OFFSET(Ottone!$F$1,MATCH(J895,Ottone!$A:$A,0)-1,MATCH(K895,Ottone!$F$1:$FF$1,0)-1))*IF(G895="Ottone",1,0)</f>
        <v>0</v>
      </c>
      <c r="T895" s="205">
        <f ca="1">IF(ISERROR(OFFSET(Rame!$F$1,MATCH(J895,Rame!$F:$F,0)-1,MATCH(K895,Rame!$F$1:$FF$1,0)-1)=TRUE),0,OFFSET(Rame!$F$1,MATCH(J895,Rame!$F:$F,0)-1,MATCH(K895,Rame!$F$1:$FF$1,0)-1))*IF(G895="Rame",1,0)</f>
        <v>0</v>
      </c>
      <c r="U895" s="205">
        <f ca="1">IF(ISERROR(OFFSET(Bronzo!$A$1,MATCH(J895,Bronzo!$A:$A,0)-1,MATCH(K895,Bronzo!$A$1:$AA$1,0)-1)=TRUE),0,OFFSET(Bronzo!$A$1,MATCH(J895,Bronzo!$A:$A,0)-1,MATCH(K895,Bronzo!$A$1:$AA$1,0)-1))</f>
        <v>0</v>
      </c>
      <c r="V895" s="205">
        <f t="shared" ca="1" si="276"/>
        <v>0</v>
      </c>
      <c r="W895" s="204"/>
      <c r="X895" s="205">
        <v>0</v>
      </c>
      <c r="Y895" s="206">
        <f t="shared" ca="1" si="277"/>
        <v>0</v>
      </c>
      <c r="Z895" s="277">
        <f t="shared" si="278"/>
        <v>0</v>
      </c>
      <c r="AA895" s="203"/>
      <c r="AB895" s="203">
        <f t="shared" ca="1" si="279"/>
        <v>0</v>
      </c>
      <c r="AC895" s="238"/>
      <c r="AI895" s="367">
        <f t="shared" ca="1" si="274"/>
        <v>46092</v>
      </c>
      <c r="AJ895" s="367" t="b">
        <f t="shared" si="280"/>
        <v>1</v>
      </c>
      <c r="AK895" s="370" t="str">
        <f t="shared" si="281"/>
        <v/>
      </c>
      <c r="AN895">
        <f t="shared" si="282"/>
        <v>0</v>
      </c>
      <c r="AO895">
        <f t="shared" si="283"/>
        <v>1900</v>
      </c>
      <c r="AV895">
        <f t="shared" si="284"/>
        <v>0</v>
      </c>
      <c r="AW895">
        <f t="shared" si="285"/>
        <v>0</v>
      </c>
    </row>
    <row r="896" spans="4:49" ht="15.75" x14ac:dyDescent="0.25">
      <c r="D896" s="199"/>
      <c r="E896" s="200"/>
      <c r="F896" s="287"/>
      <c r="G896" s="201"/>
      <c r="H896" s="219"/>
      <c r="I896" s="202"/>
      <c r="J896" s="200"/>
      <c r="K896" s="200"/>
      <c r="L896" s="203"/>
      <c r="M896" s="204">
        <f ca="1">IF(ISERROR(OFFSET(Tabella!$A$1,MATCH(J896,Tabella!$A:$A,0)-1,MATCH(L896,Tabella!$A$1:$AC$1,0)-1)=TRUE),0,+OFFSET(Tabella!$A$1,MATCH(J896,Tabella!$A:$A,0)-1,MATCH(L896,Tabella!$A$1:$AC$1,0)-1))</f>
        <v>0</v>
      </c>
      <c r="N896" s="205">
        <f ca="1">IF(ISERROR(OFFSET(Ottone!$A$1,MATCH(J896,Ottone!$A:$A,0)-1,MATCH(L896,Ottone!$A$1:$Z$1,0)-1)=TRUE),0,OFFSET(Ottone!$A$1,MATCH(J896,Ottone!$A:$A,0)-1,MATCH(L896,Ottone!$A$1:$Z$1,0)-1))*IF(G896="Ottone",1,0)</f>
        <v>0</v>
      </c>
      <c r="O896" s="205">
        <f ca="1">IF(ISERROR(OFFSET(Rame!$A$1,MATCH(J896,Rame!$A:$A,0)-1,MATCH(L896,Rame!$A$1:$AA$1,0)-1)=TRUE),0,OFFSET(Rame!$A$1,MATCH(J896,Rame!$A:$A,0)-1,MATCH(L896,Rame!$A$1:$AA$1,0)-1))*IF(G896="Rame",1,0)</f>
        <v>0</v>
      </c>
      <c r="P896" s="205">
        <v>0</v>
      </c>
      <c r="Q896" s="205">
        <f t="shared" ca="1" si="275"/>
        <v>0</v>
      </c>
      <c r="R896" s="205">
        <f ca="1">+IF(ISERROR(OFFSET(Tabella!$G$1,MATCH(J896,Tabella!$G:$G,0)-1,MATCH(K896,Tabella!$G$1:$FG$1,0)-1)=TRUE),0,OFFSET(Tabella!$G$1,MATCH(J896,Tabella!$G:$G,0)-1,MATCH(K896,Tabella!$G$1:$AB$1,0)-1))</f>
        <v>0</v>
      </c>
      <c r="S896" s="205">
        <f ca="1">IF(ISERROR(OFFSET(Ottone!$F$1,MATCH(J896,Ottone!$A:$A,0)-1,MATCH(K896,Ottone!$F$1:$FF$1,0)-1)=TRUE),0,OFFSET(Ottone!$F$1,MATCH(J896,Ottone!$A:$A,0)-1,MATCH(K896,Ottone!$F$1:$FF$1,0)-1))*IF(G896="Ottone",1,0)</f>
        <v>0</v>
      </c>
      <c r="T896" s="205">
        <f ca="1">IF(ISERROR(OFFSET(Rame!$F$1,MATCH(J896,Rame!$F:$F,0)-1,MATCH(K896,Rame!$F$1:$FF$1,0)-1)=TRUE),0,OFFSET(Rame!$F$1,MATCH(J896,Rame!$F:$F,0)-1,MATCH(K896,Rame!$F$1:$FF$1,0)-1))*IF(G896="Rame",1,0)</f>
        <v>0</v>
      </c>
      <c r="U896" s="205">
        <f ca="1">IF(ISERROR(OFFSET(Bronzo!$A$1,MATCH(J896,Bronzo!$A:$A,0)-1,MATCH(K896,Bronzo!$A$1:$AA$1,0)-1)=TRUE),0,OFFSET(Bronzo!$A$1,MATCH(J896,Bronzo!$A:$A,0)-1,MATCH(K896,Bronzo!$A$1:$AA$1,0)-1))</f>
        <v>0</v>
      </c>
      <c r="V896" s="205">
        <f t="shared" ca="1" si="276"/>
        <v>0</v>
      </c>
      <c r="W896" s="204"/>
      <c r="X896" s="205">
        <v>0</v>
      </c>
      <c r="Y896" s="206">
        <f t="shared" ca="1" si="277"/>
        <v>0</v>
      </c>
      <c r="Z896" s="277">
        <f t="shared" si="278"/>
        <v>0</v>
      </c>
      <c r="AA896" s="203"/>
      <c r="AB896" s="203">
        <f t="shared" ca="1" si="279"/>
        <v>0</v>
      </c>
      <c r="AC896" s="238"/>
      <c r="AI896" s="367">
        <f t="shared" ref="AI896:AI959" ca="1" si="286">TODAY()</f>
        <v>46092</v>
      </c>
      <c r="AJ896" s="367" t="b">
        <f t="shared" si="280"/>
        <v>1</v>
      </c>
      <c r="AK896" s="370" t="str">
        <f t="shared" si="281"/>
        <v/>
      </c>
      <c r="AN896">
        <f t="shared" si="282"/>
        <v>0</v>
      </c>
      <c r="AO896">
        <f t="shared" si="283"/>
        <v>1900</v>
      </c>
      <c r="AV896">
        <f t="shared" si="284"/>
        <v>0</v>
      </c>
      <c r="AW896">
        <f t="shared" si="285"/>
        <v>0</v>
      </c>
    </row>
    <row r="897" spans="4:49" ht="15.75" x14ac:dyDescent="0.25">
      <c r="D897" s="199"/>
      <c r="E897" s="200"/>
      <c r="F897" s="287"/>
      <c r="G897" s="201"/>
      <c r="H897" s="219"/>
      <c r="I897" s="202"/>
      <c r="J897" s="200"/>
      <c r="K897" s="200"/>
      <c r="L897" s="203"/>
      <c r="M897" s="204">
        <f ca="1">IF(ISERROR(OFFSET(Tabella!$A$1,MATCH(J897,Tabella!$A:$A,0)-1,MATCH(L897,Tabella!$A$1:$AC$1,0)-1)=TRUE),0,+OFFSET(Tabella!$A$1,MATCH(J897,Tabella!$A:$A,0)-1,MATCH(L897,Tabella!$A$1:$AC$1,0)-1))</f>
        <v>0</v>
      </c>
      <c r="N897" s="205">
        <f ca="1">IF(ISERROR(OFFSET(Ottone!$A$1,MATCH(J897,Ottone!$A:$A,0)-1,MATCH(L897,Ottone!$A$1:$Z$1,0)-1)=TRUE),0,OFFSET(Ottone!$A$1,MATCH(J897,Ottone!$A:$A,0)-1,MATCH(L897,Ottone!$A$1:$Z$1,0)-1))*IF(G897="Ottone",1,0)</f>
        <v>0</v>
      </c>
      <c r="O897" s="205">
        <f ca="1">IF(ISERROR(OFFSET(Rame!$A$1,MATCH(J897,Rame!$A:$A,0)-1,MATCH(L897,Rame!$A$1:$AA$1,0)-1)=TRUE),0,OFFSET(Rame!$A$1,MATCH(J897,Rame!$A:$A,0)-1,MATCH(L897,Rame!$A$1:$AA$1,0)-1))*IF(G897="Rame",1,0)</f>
        <v>0</v>
      </c>
      <c r="P897" s="205">
        <v>0</v>
      </c>
      <c r="Q897" s="205">
        <f t="shared" ca="1" si="275"/>
        <v>0</v>
      </c>
      <c r="R897" s="205">
        <f ca="1">+IF(ISERROR(OFFSET(Tabella!$G$1,MATCH(J897,Tabella!$G:$G,0)-1,MATCH(K897,Tabella!$G$1:$FG$1,0)-1)=TRUE),0,OFFSET(Tabella!$G$1,MATCH(J897,Tabella!$G:$G,0)-1,MATCH(K897,Tabella!$G$1:$AB$1,0)-1))</f>
        <v>0</v>
      </c>
      <c r="S897" s="205">
        <f ca="1">IF(ISERROR(OFFSET(Ottone!$F$1,MATCH(J897,Ottone!$A:$A,0)-1,MATCH(K897,Ottone!$F$1:$FF$1,0)-1)=TRUE),0,OFFSET(Ottone!$F$1,MATCH(J897,Ottone!$A:$A,0)-1,MATCH(K897,Ottone!$F$1:$FF$1,0)-1))*IF(G897="Ottone",1,0)</f>
        <v>0</v>
      </c>
      <c r="T897" s="205">
        <f ca="1">IF(ISERROR(OFFSET(Rame!$F$1,MATCH(J897,Rame!$F:$F,0)-1,MATCH(K897,Rame!$F$1:$FF$1,0)-1)=TRUE),0,OFFSET(Rame!$F$1,MATCH(J897,Rame!$F:$F,0)-1,MATCH(K897,Rame!$F$1:$FF$1,0)-1))*IF(G897="Rame",1,0)</f>
        <v>0</v>
      </c>
      <c r="U897" s="205">
        <f ca="1">IF(ISERROR(OFFSET(Bronzo!$A$1,MATCH(J897,Bronzo!$A:$A,0)-1,MATCH(K897,Bronzo!$A$1:$AA$1,0)-1)=TRUE),0,OFFSET(Bronzo!$A$1,MATCH(J897,Bronzo!$A:$A,0)-1,MATCH(K897,Bronzo!$A$1:$AA$1,0)-1))</f>
        <v>0</v>
      </c>
      <c r="V897" s="205">
        <f t="shared" ca="1" si="276"/>
        <v>0</v>
      </c>
      <c r="W897" s="204"/>
      <c r="X897" s="205">
        <v>0</v>
      </c>
      <c r="Y897" s="206">
        <f t="shared" ca="1" si="277"/>
        <v>0</v>
      </c>
      <c r="Z897" s="277">
        <f t="shared" si="278"/>
        <v>0</v>
      </c>
      <c r="AA897" s="203"/>
      <c r="AB897" s="203">
        <f t="shared" ca="1" si="279"/>
        <v>0</v>
      </c>
      <c r="AC897" s="238"/>
      <c r="AI897" s="367">
        <f t="shared" ca="1" si="286"/>
        <v>46092</v>
      </c>
      <c r="AJ897" s="367" t="b">
        <f t="shared" si="280"/>
        <v>1</v>
      </c>
      <c r="AK897" s="370" t="str">
        <f t="shared" si="281"/>
        <v/>
      </c>
      <c r="AN897">
        <f t="shared" si="282"/>
        <v>0</v>
      </c>
      <c r="AO897">
        <f t="shared" si="283"/>
        <v>1900</v>
      </c>
      <c r="AV897">
        <f t="shared" si="284"/>
        <v>0</v>
      </c>
      <c r="AW897">
        <f t="shared" si="285"/>
        <v>0</v>
      </c>
    </row>
    <row r="898" spans="4:49" ht="15.75" x14ac:dyDescent="0.25">
      <c r="D898" s="199"/>
      <c r="E898" s="200"/>
      <c r="F898" s="287"/>
      <c r="G898" s="201"/>
      <c r="H898" s="219"/>
      <c r="I898" s="202"/>
      <c r="J898" s="200"/>
      <c r="K898" s="200"/>
      <c r="L898" s="203"/>
      <c r="M898" s="204">
        <f ca="1">IF(ISERROR(OFFSET(Tabella!$A$1,MATCH(J898,Tabella!$A:$A,0)-1,MATCH(L898,Tabella!$A$1:$AC$1,0)-1)=TRUE),0,+OFFSET(Tabella!$A$1,MATCH(J898,Tabella!$A:$A,0)-1,MATCH(L898,Tabella!$A$1:$AC$1,0)-1))</f>
        <v>0</v>
      </c>
      <c r="N898" s="205">
        <f ca="1">IF(ISERROR(OFFSET(Ottone!$A$1,MATCH(J898,Ottone!$A:$A,0)-1,MATCH(L898,Ottone!$A$1:$Z$1,0)-1)=TRUE),0,OFFSET(Ottone!$A$1,MATCH(J898,Ottone!$A:$A,0)-1,MATCH(L898,Ottone!$A$1:$Z$1,0)-1))*IF(G898="Ottone",1,0)</f>
        <v>0</v>
      </c>
      <c r="O898" s="205">
        <f ca="1">IF(ISERROR(OFFSET(Rame!$A$1,MATCH(J898,Rame!$A:$A,0)-1,MATCH(L898,Rame!$A$1:$AA$1,0)-1)=TRUE),0,OFFSET(Rame!$A$1,MATCH(J898,Rame!$A:$A,0)-1,MATCH(L898,Rame!$A$1:$AA$1,0)-1))*IF(G898="Rame",1,0)</f>
        <v>0</v>
      </c>
      <c r="P898" s="205">
        <v>0</v>
      </c>
      <c r="Q898" s="205">
        <f t="shared" ca="1" si="275"/>
        <v>0</v>
      </c>
      <c r="R898" s="205">
        <f ca="1">+IF(ISERROR(OFFSET(Tabella!$G$1,MATCH(J898,Tabella!$G:$G,0)-1,MATCH(K898,Tabella!$G$1:$FG$1,0)-1)=TRUE),0,OFFSET(Tabella!$G$1,MATCH(J898,Tabella!$G:$G,0)-1,MATCH(K898,Tabella!$G$1:$AB$1,0)-1))</f>
        <v>0</v>
      </c>
      <c r="S898" s="205">
        <f ca="1">IF(ISERROR(OFFSET(Ottone!$F$1,MATCH(J898,Ottone!$A:$A,0)-1,MATCH(K898,Ottone!$F$1:$FF$1,0)-1)=TRUE),0,OFFSET(Ottone!$F$1,MATCH(J898,Ottone!$A:$A,0)-1,MATCH(K898,Ottone!$F$1:$FF$1,0)-1))*IF(G898="Ottone",1,0)</f>
        <v>0</v>
      </c>
      <c r="T898" s="205">
        <f ca="1">IF(ISERROR(OFFSET(Rame!$F$1,MATCH(J898,Rame!$F:$F,0)-1,MATCH(K898,Rame!$F$1:$FF$1,0)-1)=TRUE),0,OFFSET(Rame!$F$1,MATCH(J898,Rame!$F:$F,0)-1,MATCH(K898,Rame!$F$1:$FF$1,0)-1))*IF(G898="Rame",1,0)</f>
        <v>0</v>
      </c>
      <c r="U898" s="205">
        <f ca="1">IF(ISERROR(OFFSET(Bronzo!$A$1,MATCH(J898,Bronzo!$A:$A,0)-1,MATCH(K898,Bronzo!$A$1:$AA$1,0)-1)=TRUE),0,OFFSET(Bronzo!$A$1,MATCH(J898,Bronzo!$A:$A,0)-1,MATCH(K898,Bronzo!$A$1:$AA$1,0)-1))</f>
        <v>0</v>
      </c>
      <c r="V898" s="205">
        <f t="shared" ca="1" si="276"/>
        <v>0</v>
      </c>
      <c r="W898" s="204"/>
      <c r="X898" s="205">
        <v>0</v>
      </c>
      <c r="Y898" s="206">
        <f t="shared" ca="1" si="277"/>
        <v>0</v>
      </c>
      <c r="Z898" s="277">
        <f t="shared" si="278"/>
        <v>0</v>
      </c>
      <c r="AA898" s="203"/>
      <c r="AB898" s="203">
        <f t="shared" ca="1" si="279"/>
        <v>0</v>
      </c>
      <c r="AC898" s="238"/>
      <c r="AI898" s="367">
        <f t="shared" ca="1" si="286"/>
        <v>46092</v>
      </c>
      <c r="AJ898" s="367" t="b">
        <f t="shared" si="280"/>
        <v>1</v>
      </c>
      <c r="AK898" s="370" t="str">
        <f t="shared" si="281"/>
        <v/>
      </c>
      <c r="AN898">
        <f t="shared" si="282"/>
        <v>0</v>
      </c>
      <c r="AO898">
        <f t="shared" si="283"/>
        <v>1900</v>
      </c>
      <c r="AV898">
        <f t="shared" si="284"/>
        <v>0</v>
      </c>
      <c r="AW898">
        <f t="shared" si="285"/>
        <v>0</v>
      </c>
    </row>
    <row r="899" spans="4:49" ht="15.75" x14ac:dyDescent="0.25">
      <c r="D899" s="199"/>
      <c r="E899" s="200"/>
      <c r="F899" s="287"/>
      <c r="G899" s="201"/>
      <c r="H899" s="219"/>
      <c r="I899" s="202"/>
      <c r="J899" s="200"/>
      <c r="K899" s="200"/>
      <c r="L899" s="203"/>
      <c r="M899" s="204">
        <f ca="1">IF(ISERROR(OFFSET(Tabella!$A$1,MATCH(J899,Tabella!$A:$A,0)-1,MATCH(L899,Tabella!$A$1:$AC$1,0)-1)=TRUE),0,+OFFSET(Tabella!$A$1,MATCH(J899,Tabella!$A:$A,0)-1,MATCH(L899,Tabella!$A$1:$AC$1,0)-1))</f>
        <v>0</v>
      </c>
      <c r="N899" s="205">
        <f ca="1">IF(ISERROR(OFFSET(Ottone!$A$1,MATCH(J899,Ottone!$A:$A,0)-1,MATCH(L899,Ottone!$A$1:$Z$1,0)-1)=TRUE),0,OFFSET(Ottone!$A$1,MATCH(J899,Ottone!$A:$A,0)-1,MATCH(L899,Ottone!$A$1:$Z$1,0)-1))*IF(G899="Ottone",1,0)</f>
        <v>0</v>
      </c>
      <c r="O899" s="205">
        <f ca="1">IF(ISERROR(OFFSET(Rame!$A$1,MATCH(J899,Rame!$A:$A,0)-1,MATCH(L899,Rame!$A$1:$AA$1,0)-1)=TRUE),0,OFFSET(Rame!$A$1,MATCH(J899,Rame!$A:$A,0)-1,MATCH(L899,Rame!$A$1:$AA$1,0)-1))*IF(G899="Rame",1,0)</f>
        <v>0</v>
      </c>
      <c r="P899" s="205">
        <v>0</v>
      </c>
      <c r="Q899" s="205">
        <f t="shared" ca="1" si="275"/>
        <v>0</v>
      </c>
      <c r="R899" s="205">
        <f ca="1">+IF(ISERROR(OFFSET(Tabella!$G$1,MATCH(J899,Tabella!$G:$G,0)-1,MATCH(K899,Tabella!$G$1:$FG$1,0)-1)=TRUE),0,OFFSET(Tabella!$G$1,MATCH(J899,Tabella!$G:$G,0)-1,MATCH(K899,Tabella!$G$1:$AB$1,0)-1))</f>
        <v>0</v>
      </c>
      <c r="S899" s="205">
        <f ca="1">IF(ISERROR(OFFSET(Ottone!$F$1,MATCH(J899,Ottone!$A:$A,0)-1,MATCH(K899,Ottone!$F$1:$FF$1,0)-1)=TRUE),0,OFFSET(Ottone!$F$1,MATCH(J899,Ottone!$A:$A,0)-1,MATCH(K899,Ottone!$F$1:$FF$1,0)-1))*IF(G899="Ottone",1,0)</f>
        <v>0</v>
      </c>
      <c r="T899" s="205">
        <f ca="1">IF(ISERROR(OFFSET(Rame!$F$1,MATCH(J899,Rame!$F:$F,0)-1,MATCH(K899,Rame!$F$1:$FF$1,0)-1)=TRUE),0,OFFSET(Rame!$F$1,MATCH(J899,Rame!$F:$F,0)-1,MATCH(K899,Rame!$F$1:$FF$1,0)-1))*IF(G899="Rame",1,0)</f>
        <v>0</v>
      </c>
      <c r="U899" s="205">
        <f ca="1">IF(ISERROR(OFFSET(Bronzo!$A$1,MATCH(J899,Bronzo!$A:$A,0)-1,MATCH(K899,Bronzo!$A$1:$AA$1,0)-1)=TRUE),0,OFFSET(Bronzo!$A$1,MATCH(J899,Bronzo!$A:$A,0)-1,MATCH(K899,Bronzo!$A$1:$AA$1,0)-1))</f>
        <v>0</v>
      </c>
      <c r="V899" s="205">
        <f t="shared" ca="1" si="276"/>
        <v>0</v>
      </c>
      <c r="W899" s="204"/>
      <c r="X899" s="205">
        <v>0</v>
      </c>
      <c r="Y899" s="206">
        <f t="shared" ca="1" si="277"/>
        <v>0</v>
      </c>
      <c r="Z899" s="277">
        <f t="shared" si="278"/>
        <v>0</v>
      </c>
      <c r="AA899" s="203"/>
      <c r="AB899" s="203">
        <f t="shared" ca="1" si="279"/>
        <v>0</v>
      </c>
      <c r="AC899" s="238"/>
      <c r="AI899" s="367">
        <f t="shared" ca="1" si="286"/>
        <v>46092</v>
      </c>
      <c r="AJ899" s="367" t="b">
        <f t="shared" si="280"/>
        <v>1</v>
      </c>
      <c r="AK899" s="370" t="str">
        <f t="shared" si="281"/>
        <v/>
      </c>
      <c r="AN899">
        <f t="shared" si="282"/>
        <v>0</v>
      </c>
      <c r="AO899">
        <f t="shared" si="283"/>
        <v>1900</v>
      </c>
      <c r="AV899">
        <f t="shared" si="284"/>
        <v>0</v>
      </c>
      <c r="AW899">
        <f t="shared" si="285"/>
        <v>0</v>
      </c>
    </row>
    <row r="900" spans="4:49" ht="15.75" x14ac:dyDescent="0.25">
      <c r="D900" s="199"/>
      <c r="E900" s="200"/>
      <c r="F900" s="287"/>
      <c r="G900" s="201"/>
      <c r="H900" s="219"/>
      <c r="I900" s="202"/>
      <c r="J900" s="200"/>
      <c r="K900" s="200"/>
      <c r="L900" s="203"/>
      <c r="M900" s="204">
        <f ca="1">IF(ISERROR(OFFSET(Tabella!$A$1,MATCH(J900,Tabella!$A:$A,0)-1,MATCH(L900,Tabella!$A$1:$AC$1,0)-1)=TRUE),0,+OFFSET(Tabella!$A$1,MATCH(J900,Tabella!$A:$A,0)-1,MATCH(L900,Tabella!$A$1:$AC$1,0)-1))</f>
        <v>0</v>
      </c>
      <c r="N900" s="205">
        <f ca="1">IF(ISERROR(OFFSET(Ottone!$A$1,MATCH(J900,Ottone!$A:$A,0)-1,MATCH(L900,Ottone!$A$1:$Z$1,0)-1)=TRUE),0,OFFSET(Ottone!$A$1,MATCH(J900,Ottone!$A:$A,0)-1,MATCH(L900,Ottone!$A$1:$Z$1,0)-1))*IF(G900="Ottone",1,0)</f>
        <v>0</v>
      </c>
      <c r="O900" s="205">
        <f ca="1">IF(ISERROR(OFFSET(Rame!$A$1,MATCH(J900,Rame!$A:$A,0)-1,MATCH(L900,Rame!$A$1:$AA$1,0)-1)=TRUE),0,OFFSET(Rame!$A$1,MATCH(J900,Rame!$A:$A,0)-1,MATCH(L900,Rame!$A$1:$AA$1,0)-1))*IF(G900="Rame",1,0)</f>
        <v>0</v>
      </c>
      <c r="P900" s="205">
        <v>0</v>
      </c>
      <c r="Q900" s="205">
        <f t="shared" ca="1" si="275"/>
        <v>0</v>
      </c>
      <c r="R900" s="205">
        <f ca="1">+IF(ISERROR(OFFSET(Tabella!$G$1,MATCH(J900,Tabella!$G:$G,0)-1,MATCH(K900,Tabella!$G$1:$FG$1,0)-1)=TRUE),0,OFFSET(Tabella!$G$1,MATCH(J900,Tabella!$G:$G,0)-1,MATCH(K900,Tabella!$G$1:$AB$1,0)-1))</f>
        <v>0</v>
      </c>
      <c r="S900" s="205">
        <f ca="1">IF(ISERROR(OFFSET(Ottone!$F$1,MATCH(J900,Ottone!$A:$A,0)-1,MATCH(K900,Ottone!$F$1:$FF$1,0)-1)=TRUE),0,OFFSET(Ottone!$F$1,MATCH(J900,Ottone!$A:$A,0)-1,MATCH(K900,Ottone!$F$1:$FF$1,0)-1))*IF(G900="Ottone",1,0)</f>
        <v>0</v>
      </c>
      <c r="T900" s="205">
        <f ca="1">IF(ISERROR(OFFSET(Rame!$F$1,MATCH(J900,Rame!$F:$F,0)-1,MATCH(K900,Rame!$F$1:$FF$1,0)-1)=TRUE),0,OFFSET(Rame!$F$1,MATCH(J900,Rame!$F:$F,0)-1,MATCH(K900,Rame!$F$1:$FF$1,0)-1))*IF(G900="Rame",1,0)</f>
        <v>0</v>
      </c>
      <c r="U900" s="205">
        <f ca="1">IF(ISERROR(OFFSET(Bronzo!$A$1,MATCH(J900,Bronzo!$A:$A,0)-1,MATCH(K900,Bronzo!$A$1:$AA$1,0)-1)=TRUE),0,OFFSET(Bronzo!$A$1,MATCH(J900,Bronzo!$A:$A,0)-1,MATCH(K900,Bronzo!$A$1:$AA$1,0)-1))</f>
        <v>0</v>
      </c>
      <c r="V900" s="205">
        <f t="shared" ca="1" si="276"/>
        <v>0</v>
      </c>
      <c r="W900" s="204"/>
      <c r="X900" s="205">
        <v>0</v>
      </c>
      <c r="Y900" s="206">
        <f t="shared" ca="1" si="277"/>
        <v>0</v>
      </c>
      <c r="Z900" s="277">
        <f t="shared" si="278"/>
        <v>0</v>
      </c>
      <c r="AA900" s="203"/>
      <c r="AB900" s="203">
        <f t="shared" ca="1" si="279"/>
        <v>0</v>
      </c>
      <c r="AC900" s="238"/>
      <c r="AI900" s="367">
        <f t="shared" ca="1" si="286"/>
        <v>46092</v>
      </c>
      <c r="AJ900" s="367" t="b">
        <f t="shared" si="280"/>
        <v>1</v>
      </c>
      <c r="AK900" s="370" t="str">
        <f t="shared" si="281"/>
        <v/>
      </c>
      <c r="AN900">
        <f t="shared" si="282"/>
        <v>0</v>
      </c>
      <c r="AO900">
        <f t="shared" si="283"/>
        <v>1900</v>
      </c>
      <c r="AV900">
        <f t="shared" si="284"/>
        <v>0</v>
      </c>
      <c r="AW900">
        <f t="shared" si="285"/>
        <v>0</v>
      </c>
    </row>
    <row r="901" spans="4:49" ht="15.75" x14ac:dyDescent="0.25">
      <c r="D901" s="199"/>
      <c r="E901" s="200"/>
      <c r="F901" s="287"/>
      <c r="G901" s="201"/>
      <c r="H901" s="219"/>
      <c r="I901" s="202"/>
      <c r="J901" s="200"/>
      <c r="K901" s="200"/>
      <c r="L901" s="203"/>
      <c r="M901" s="204">
        <f ca="1">IF(ISERROR(OFFSET(Tabella!$A$1,MATCH(J901,Tabella!$A:$A,0)-1,MATCH(L901,Tabella!$A$1:$AC$1,0)-1)=TRUE),0,+OFFSET(Tabella!$A$1,MATCH(J901,Tabella!$A:$A,0)-1,MATCH(L901,Tabella!$A$1:$AC$1,0)-1))</f>
        <v>0</v>
      </c>
      <c r="N901" s="205">
        <f ca="1">IF(ISERROR(OFFSET(Ottone!$A$1,MATCH(J901,Ottone!$A:$A,0)-1,MATCH(L901,Ottone!$A$1:$Z$1,0)-1)=TRUE),0,OFFSET(Ottone!$A$1,MATCH(J901,Ottone!$A:$A,0)-1,MATCH(L901,Ottone!$A$1:$Z$1,0)-1))*IF(G901="Ottone",1,0)</f>
        <v>0</v>
      </c>
      <c r="O901" s="205">
        <f ca="1">IF(ISERROR(OFFSET(Rame!$A$1,MATCH(J901,Rame!$A:$A,0)-1,MATCH(L901,Rame!$A$1:$AA$1,0)-1)=TRUE),0,OFFSET(Rame!$A$1,MATCH(J901,Rame!$A:$A,0)-1,MATCH(L901,Rame!$A$1:$AA$1,0)-1))*IF(G901="Rame",1,0)</f>
        <v>0</v>
      </c>
      <c r="P901" s="205">
        <v>0</v>
      </c>
      <c r="Q901" s="205">
        <f t="shared" ca="1" si="275"/>
        <v>0</v>
      </c>
      <c r="R901" s="205">
        <f ca="1">+IF(ISERROR(OFFSET(Tabella!$G$1,MATCH(J901,Tabella!$G:$G,0)-1,MATCH(K901,Tabella!$G$1:$FG$1,0)-1)=TRUE),0,OFFSET(Tabella!$G$1,MATCH(J901,Tabella!$G:$G,0)-1,MATCH(K901,Tabella!$G$1:$AB$1,0)-1))</f>
        <v>0</v>
      </c>
      <c r="S901" s="205">
        <f ca="1">IF(ISERROR(OFFSET(Ottone!$F$1,MATCH(J901,Ottone!$A:$A,0)-1,MATCH(K901,Ottone!$F$1:$FF$1,0)-1)=TRUE),0,OFFSET(Ottone!$F$1,MATCH(J901,Ottone!$A:$A,0)-1,MATCH(K901,Ottone!$F$1:$FF$1,0)-1))*IF(G901="Ottone",1,0)</f>
        <v>0</v>
      </c>
      <c r="T901" s="205">
        <f ca="1">IF(ISERROR(OFFSET(Rame!$F$1,MATCH(J901,Rame!$F:$F,0)-1,MATCH(K901,Rame!$F$1:$FF$1,0)-1)=TRUE),0,OFFSET(Rame!$F$1,MATCH(J901,Rame!$F:$F,0)-1,MATCH(K901,Rame!$F$1:$FF$1,0)-1))*IF(G901="Rame",1,0)</f>
        <v>0</v>
      </c>
      <c r="U901" s="205">
        <f ca="1">IF(ISERROR(OFFSET(Bronzo!$A$1,MATCH(J901,Bronzo!$A:$A,0)-1,MATCH(K901,Bronzo!$A$1:$AA$1,0)-1)=TRUE),0,OFFSET(Bronzo!$A$1,MATCH(J901,Bronzo!$A:$A,0)-1,MATCH(K901,Bronzo!$A$1:$AA$1,0)-1))</f>
        <v>0</v>
      </c>
      <c r="V901" s="205">
        <f t="shared" ca="1" si="276"/>
        <v>0</v>
      </c>
      <c r="W901" s="204"/>
      <c r="X901" s="205">
        <v>0</v>
      </c>
      <c r="Y901" s="206">
        <f t="shared" ca="1" si="277"/>
        <v>0</v>
      </c>
      <c r="Z901" s="277">
        <f t="shared" si="278"/>
        <v>0</v>
      </c>
      <c r="AA901" s="203"/>
      <c r="AB901" s="203">
        <f t="shared" ca="1" si="279"/>
        <v>0</v>
      </c>
      <c r="AC901" s="238"/>
      <c r="AI901" s="367">
        <f t="shared" ca="1" si="286"/>
        <v>46092</v>
      </c>
      <c r="AJ901" s="367" t="b">
        <f t="shared" si="280"/>
        <v>1</v>
      </c>
      <c r="AK901" s="370" t="str">
        <f t="shared" si="281"/>
        <v/>
      </c>
      <c r="AN901">
        <f t="shared" si="282"/>
        <v>0</v>
      </c>
      <c r="AO901">
        <f t="shared" si="283"/>
        <v>1900</v>
      </c>
      <c r="AV901">
        <f t="shared" si="284"/>
        <v>0</v>
      </c>
      <c r="AW901">
        <f t="shared" si="285"/>
        <v>0</v>
      </c>
    </row>
    <row r="902" spans="4:49" ht="15.75" x14ac:dyDescent="0.25">
      <c r="D902" s="199"/>
      <c r="E902" s="200"/>
      <c r="F902" s="287"/>
      <c r="G902" s="201"/>
      <c r="H902" s="219"/>
      <c r="I902" s="202"/>
      <c r="J902" s="200"/>
      <c r="K902" s="200"/>
      <c r="L902" s="203"/>
      <c r="M902" s="204">
        <f ca="1">IF(ISERROR(OFFSET(Tabella!$A$1,MATCH(J902,Tabella!$A:$A,0)-1,MATCH(L902,Tabella!$A$1:$AC$1,0)-1)=TRUE),0,+OFFSET(Tabella!$A$1,MATCH(J902,Tabella!$A:$A,0)-1,MATCH(L902,Tabella!$A$1:$AC$1,0)-1))</f>
        <v>0</v>
      </c>
      <c r="N902" s="205">
        <f ca="1">IF(ISERROR(OFFSET(Ottone!$A$1,MATCH(J902,Ottone!$A:$A,0)-1,MATCH(L902,Ottone!$A$1:$Z$1,0)-1)=TRUE),0,OFFSET(Ottone!$A$1,MATCH(J902,Ottone!$A:$A,0)-1,MATCH(L902,Ottone!$A$1:$Z$1,0)-1))*IF(G902="Ottone",1,0)</f>
        <v>0</v>
      </c>
      <c r="O902" s="205">
        <f ca="1">IF(ISERROR(OFFSET(Rame!$A$1,MATCH(J902,Rame!$A:$A,0)-1,MATCH(L902,Rame!$A$1:$AA$1,0)-1)=TRUE),0,OFFSET(Rame!$A$1,MATCH(J902,Rame!$A:$A,0)-1,MATCH(L902,Rame!$A$1:$AA$1,0)-1))*IF(G902="Rame",1,0)</f>
        <v>0</v>
      </c>
      <c r="P902" s="205">
        <v>0</v>
      </c>
      <c r="Q902" s="205">
        <f t="shared" ca="1" si="275"/>
        <v>0</v>
      </c>
      <c r="R902" s="205">
        <f ca="1">+IF(ISERROR(OFFSET(Tabella!$G$1,MATCH(J902,Tabella!$G:$G,0)-1,MATCH(K902,Tabella!$G$1:$FG$1,0)-1)=TRUE),0,OFFSET(Tabella!$G$1,MATCH(J902,Tabella!$G:$G,0)-1,MATCH(K902,Tabella!$G$1:$AB$1,0)-1))</f>
        <v>0</v>
      </c>
      <c r="S902" s="205">
        <f ca="1">IF(ISERROR(OFFSET(Ottone!$F$1,MATCH(J902,Ottone!$A:$A,0)-1,MATCH(K902,Ottone!$F$1:$FF$1,0)-1)=TRUE),0,OFFSET(Ottone!$F$1,MATCH(J902,Ottone!$A:$A,0)-1,MATCH(K902,Ottone!$F$1:$FF$1,0)-1))*IF(G902="Ottone",1,0)</f>
        <v>0</v>
      </c>
      <c r="T902" s="205">
        <f ca="1">IF(ISERROR(OFFSET(Rame!$F$1,MATCH(J902,Rame!$F:$F,0)-1,MATCH(K902,Rame!$F$1:$FF$1,0)-1)=TRUE),0,OFFSET(Rame!$F$1,MATCH(J902,Rame!$F:$F,0)-1,MATCH(K902,Rame!$F$1:$FF$1,0)-1))*IF(G902="Rame",1,0)</f>
        <v>0</v>
      </c>
      <c r="U902" s="205">
        <f ca="1">IF(ISERROR(OFFSET(Bronzo!$A$1,MATCH(J902,Bronzo!$A:$A,0)-1,MATCH(K902,Bronzo!$A$1:$AA$1,0)-1)=TRUE),0,OFFSET(Bronzo!$A$1,MATCH(J902,Bronzo!$A:$A,0)-1,MATCH(K902,Bronzo!$A$1:$AA$1,0)-1))</f>
        <v>0</v>
      </c>
      <c r="V902" s="205">
        <f t="shared" ca="1" si="276"/>
        <v>0</v>
      </c>
      <c r="W902" s="204"/>
      <c r="X902" s="205">
        <v>0</v>
      </c>
      <c r="Y902" s="206">
        <f t="shared" ca="1" si="277"/>
        <v>0</v>
      </c>
      <c r="Z902" s="277">
        <f t="shared" si="278"/>
        <v>0</v>
      </c>
      <c r="AA902" s="203"/>
      <c r="AB902" s="203">
        <f t="shared" ca="1" si="279"/>
        <v>0</v>
      </c>
      <c r="AC902" s="238"/>
      <c r="AI902" s="367">
        <f t="shared" ca="1" si="286"/>
        <v>46092</v>
      </c>
      <c r="AJ902" s="367" t="b">
        <f t="shared" si="280"/>
        <v>1</v>
      </c>
      <c r="AK902" s="370" t="str">
        <f t="shared" si="281"/>
        <v/>
      </c>
      <c r="AN902">
        <f t="shared" si="282"/>
        <v>0</v>
      </c>
      <c r="AO902">
        <f t="shared" si="283"/>
        <v>1900</v>
      </c>
      <c r="AV902">
        <f t="shared" si="284"/>
        <v>0</v>
      </c>
      <c r="AW902">
        <f t="shared" si="285"/>
        <v>0</v>
      </c>
    </row>
    <row r="903" spans="4:49" ht="15.75" x14ac:dyDescent="0.25">
      <c r="D903" s="199"/>
      <c r="E903" s="200"/>
      <c r="F903" s="287"/>
      <c r="G903" s="201"/>
      <c r="H903" s="219"/>
      <c r="I903" s="202"/>
      <c r="J903" s="200"/>
      <c r="K903" s="200"/>
      <c r="L903" s="203"/>
      <c r="M903" s="204">
        <f ca="1">IF(ISERROR(OFFSET(Tabella!$A$1,MATCH(J903,Tabella!$A:$A,0)-1,MATCH(L903,Tabella!$A$1:$AC$1,0)-1)=TRUE),0,+OFFSET(Tabella!$A$1,MATCH(J903,Tabella!$A:$A,0)-1,MATCH(L903,Tabella!$A$1:$AC$1,0)-1))</f>
        <v>0</v>
      </c>
      <c r="N903" s="205">
        <f ca="1">IF(ISERROR(OFFSET(Ottone!$A$1,MATCH(J903,Ottone!$A:$A,0)-1,MATCH(L903,Ottone!$A$1:$Z$1,0)-1)=TRUE),0,OFFSET(Ottone!$A$1,MATCH(J903,Ottone!$A:$A,0)-1,MATCH(L903,Ottone!$A$1:$Z$1,0)-1))*IF(G903="Ottone",1,0)</f>
        <v>0</v>
      </c>
      <c r="O903" s="205">
        <f ca="1">IF(ISERROR(OFFSET(Rame!$A$1,MATCH(J903,Rame!$A:$A,0)-1,MATCH(L903,Rame!$A$1:$AA$1,0)-1)=TRUE),0,OFFSET(Rame!$A$1,MATCH(J903,Rame!$A:$A,0)-1,MATCH(L903,Rame!$A$1:$AA$1,0)-1))*IF(G903="Rame",1,0)</f>
        <v>0</v>
      </c>
      <c r="P903" s="205">
        <v>0</v>
      </c>
      <c r="Q903" s="205">
        <f t="shared" ca="1" si="275"/>
        <v>0</v>
      </c>
      <c r="R903" s="205">
        <f ca="1">+IF(ISERROR(OFFSET(Tabella!$G$1,MATCH(J903,Tabella!$G:$G,0)-1,MATCH(K903,Tabella!$G$1:$FG$1,0)-1)=TRUE),0,OFFSET(Tabella!$G$1,MATCH(J903,Tabella!$G:$G,0)-1,MATCH(K903,Tabella!$G$1:$AB$1,0)-1))</f>
        <v>0</v>
      </c>
      <c r="S903" s="205">
        <f ca="1">IF(ISERROR(OFFSET(Ottone!$F$1,MATCH(J903,Ottone!$A:$A,0)-1,MATCH(K903,Ottone!$F$1:$FF$1,0)-1)=TRUE),0,OFFSET(Ottone!$F$1,MATCH(J903,Ottone!$A:$A,0)-1,MATCH(K903,Ottone!$F$1:$FF$1,0)-1))*IF(G903="Ottone",1,0)</f>
        <v>0</v>
      </c>
      <c r="T903" s="205">
        <f ca="1">IF(ISERROR(OFFSET(Rame!$F$1,MATCH(J903,Rame!$F:$F,0)-1,MATCH(K903,Rame!$F$1:$FF$1,0)-1)=TRUE),0,OFFSET(Rame!$F$1,MATCH(J903,Rame!$F:$F,0)-1,MATCH(K903,Rame!$F$1:$FF$1,0)-1))*IF(G903="Rame",1,0)</f>
        <v>0</v>
      </c>
      <c r="U903" s="205">
        <f ca="1">IF(ISERROR(OFFSET(Bronzo!$A$1,MATCH(J903,Bronzo!$A:$A,0)-1,MATCH(K903,Bronzo!$A$1:$AA$1,0)-1)=TRUE),0,OFFSET(Bronzo!$A$1,MATCH(J903,Bronzo!$A:$A,0)-1,MATCH(K903,Bronzo!$A$1:$AA$1,0)-1))</f>
        <v>0</v>
      </c>
      <c r="V903" s="205">
        <f t="shared" ca="1" si="276"/>
        <v>0</v>
      </c>
      <c r="W903" s="204"/>
      <c r="X903" s="205">
        <v>0</v>
      </c>
      <c r="Y903" s="206">
        <f t="shared" ca="1" si="277"/>
        <v>0</v>
      </c>
      <c r="Z903" s="277">
        <f t="shared" si="278"/>
        <v>0</v>
      </c>
      <c r="AA903" s="203"/>
      <c r="AB903" s="203">
        <f t="shared" ca="1" si="279"/>
        <v>0</v>
      </c>
      <c r="AC903" s="238"/>
      <c r="AI903" s="367">
        <f t="shared" ca="1" si="286"/>
        <v>46092</v>
      </c>
      <c r="AJ903" s="367" t="b">
        <f t="shared" si="280"/>
        <v>1</v>
      </c>
      <c r="AK903" s="370" t="str">
        <f t="shared" si="281"/>
        <v/>
      </c>
      <c r="AN903">
        <f t="shared" si="282"/>
        <v>0</v>
      </c>
      <c r="AO903">
        <f t="shared" si="283"/>
        <v>1900</v>
      </c>
      <c r="AV903">
        <f t="shared" si="284"/>
        <v>0</v>
      </c>
      <c r="AW903">
        <f t="shared" si="285"/>
        <v>0</v>
      </c>
    </row>
    <row r="904" spans="4:49" ht="15.75" x14ac:dyDescent="0.25">
      <c r="D904" s="199"/>
      <c r="E904" s="200"/>
      <c r="F904" s="287"/>
      <c r="G904" s="201"/>
      <c r="H904" s="219"/>
      <c r="I904" s="202"/>
      <c r="J904" s="200"/>
      <c r="K904" s="200"/>
      <c r="L904" s="203"/>
      <c r="M904" s="204">
        <f ca="1">IF(ISERROR(OFFSET(Tabella!$A$1,MATCH(J904,Tabella!$A:$A,0)-1,MATCH(L904,Tabella!$A$1:$AC$1,0)-1)=TRUE),0,+OFFSET(Tabella!$A$1,MATCH(J904,Tabella!$A:$A,0)-1,MATCH(L904,Tabella!$A$1:$AC$1,0)-1))</f>
        <v>0</v>
      </c>
      <c r="N904" s="205">
        <f ca="1">IF(ISERROR(OFFSET(Ottone!$A$1,MATCH(J904,Ottone!$A:$A,0)-1,MATCH(L904,Ottone!$A$1:$Z$1,0)-1)=TRUE),0,OFFSET(Ottone!$A$1,MATCH(J904,Ottone!$A:$A,0)-1,MATCH(L904,Ottone!$A$1:$Z$1,0)-1))*IF(G904="Ottone",1,0)</f>
        <v>0</v>
      </c>
      <c r="O904" s="205">
        <f ca="1">IF(ISERROR(OFFSET(Rame!$A$1,MATCH(J904,Rame!$A:$A,0)-1,MATCH(L904,Rame!$A$1:$AA$1,0)-1)=TRUE),0,OFFSET(Rame!$A$1,MATCH(J904,Rame!$A:$A,0)-1,MATCH(L904,Rame!$A$1:$AA$1,0)-1))*IF(G904="Rame",1,0)</f>
        <v>0</v>
      </c>
      <c r="P904" s="205">
        <v>0</v>
      </c>
      <c r="Q904" s="205">
        <f t="shared" ca="1" si="275"/>
        <v>0</v>
      </c>
      <c r="R904" s="205">
        <f ca="1">+IF(ISERROR(OFFSET(Tabella!$G$1,MATCH(J904,Tabella!$G:$G,0)-1,MATCH(K904,Tabella!$G$1:$FG$1,0)-1)=TRUE),0,OFFSET(Tabella!$G$1,MATCH(J904,Tabella!$G:$G,0)-1,MATCH(K904,Tabella!$G$1:$AB$1,0)-1))</f>
        <v>0</v>
      </c>
      <c r="S904" s="205">
        <f ca="1">IF(ISERROR(OFFSET(Ottone!$F$1,MATCH(J904,Ottone!$A:$A,0)-1,MATCH(K904,Ottone!$F$1:$FF$1,0)-1)=TRUE),0,OFFSET(Ottone!$F$1,MATCH(J904,Ottone!$A:$A,0)-1,MATCH(K904,Ottone!$F$1:$FF$1,0)-1))*IF(G904="Ottone",1,0)</f>
        <v>0</v>
      </c>
      <c r="T904" s="205">
        <f ca="1">IF(ISERROR(OFFSET(Rame!$F$1,MATCH(J904,Rame!$F:$F,0)-1,MATCH(K904,Rame!$F$1:$FF$1,0)-1)=TRUE),0,OFFSET(Rame!$F$1,MATCH(J904,Rame!$F:$F,0)-1,MATCH(K904,Rame!$F$1:$FF$1,0)-1))*IF(G904="Rame",1,0)</f>
        <v>0</v>
      </c>
      <c r="U904" s="205">
        <f ca="1">IF(ISERROR(OFFSET(Bronzo!$A$1,MATCH(J904,Bronzo!$A:$A,0)-1,MATCH(K904,Bronzo!$A$1:$AA$1,0)-1)=TRUE),0,OFFSET(Bronzo!$A$1,MATCH(J904,Bronzo!$A:$A,0)-1,MATCH(K904,Bronzo!$A$1:$AA$1,0)-1))</f>
        <v>0</v>
      </c>
      <c r="V904" s="205">
        <f t="shared" ca="1" si="276"/>
        <v>0</v>
      </c>
      <c r="W904" s="204"/>
      <c r="X904" s="205">
        <v>0</v>
      </c>
      <c r="Y904" s="206">
        <f t="shared" ca="1" si="277"/>
        <v>0</v>
      </c>
      <c r="Z904" s="277">
        <f t="shared" si="278"/>
        <v>0</v>
      </c>
      <c r="AA904" s="203"/>
      <c r="AB904" s="203">
        <f t="shared" ca="1" si="279"/>
        <v>0</v>
      </c>
      <c r="AC904" s="238"/>
      <c r="AI904" s="367">
        <f t="shared" ca="1" si="286"/>
        <v>46092</v>
      </c>
      <c r="AJ904" s="367" t="b">
        <f t="shared" si="280"/>
        <v>1</v>
      </c>
      <c r="AK904" s="370" t="str">
        <f t="shared" si="281"/>
        <v/>
      </c>
      <c r="AN904">
        <f t="shared" si="282"/>
        <v>0</v>
      </c>
      <c r="AO904">
        <f t="shared" si="283"/>
        <v>1900</v>
      </c>
      <c r="AV904">
        <f t="shared" si="284"/>
        <v>0</v>
      </c>
      <c r="AW904">
        <f t="shared" si="285"/>
        <v>0</v>
      </c>
    </row>
    <row r="905" spans="4:49" ht="15.75" x14ac:dyDescent="0.25">
      <c r="D905" s="199"/>
      <c r="E905" s="200"/>
      <c r="F905" s="287"/>
      <c r="G905" s="201"/>
      <c r="H905" s="219"/>
      <c r="I905" s="202"/>
      <c r="J905" s="200"/>
      <c r="K905" s="200"/>
      <c r="L905" s="203"/>
      <c r="M905" s="204">
        <f ca="1">IF(ISERROR(OFFSET(Tabella!$A$1,MATCH(J905,Tabella!$A:$A,0)-1,MATCH(L905,Tabella!$A$1:$AC$1,0)-1)=TRUE),0,+OFFSET(Tabella!$A$1,MATCH(J905,Tabella!$A:$A,0)-1,MATCH(L905,Tabella!$A$1:$AC$1,0)-1))</f>
        <v>0</v>
      </c>
      <c r="N905" s="205">
        <f ca="1">IF(ISERROR(OFFSET(Ottone!$A$1,MATCH(J905,Ottone!$A:$A,0)-1,MATCH(L905,Ottone!$A$1:$Z$1,0)-1)=TRUE),0,OFFSET(Ottone!$A$1,MATCH(J905,Ottone!$A:$A,0)-1,MATCH(L905,Ottone!$A$1:$Z$1,0)-1))*IF(G905="Ottone",1,0)</f>
        <v>0</v>
      </c>
      <c r="O905" s="205">
        <f ca="1">IF(ISERROR(OFFSET(Rame!$A$1,MATCH(J905,Rame!$A:$A,0)-1,MATCH(L905,Rame!$A$1:$AA$1,0)-1)=TRUE),0,OFFSET(Rame!$A$1,MATCH(J905,Rame!$A:$A,0)-1,MATCH(L905,Rame!$A$1:$AA$1,0)-1))*IF(G905="Rame",1,0)</f>
        <v>0</v>
      </c>
      <c r="P905" s="205">
        <v>0</v>
      </c>
      <c r="Q905" s="205">
        <f t="shared" ca="1" si="275"/>
        <v>0</v>
      </c>
      <c r="R905" s="205">
        <f ca="1">+IF(ISERROR(OFFSET(Tabella!$G$1,MATCH(J905,Tabella!$G:$G,0)-1,MATCH(K905,Tabella!$G$1:$FG$1,0)-1)=TRUE),0,OFFSET(Tabella!$G$1,MATCH(J905,Tabella!$G:$G,0)-1,MATCH(K905,Tabella!$G$1:$AB$1,0)-1))</f>
        <v>0</v>
      </c>
      <c r="S905" s="205">
        <f ca="1">IF(ISERROR(OFFSET(Ottone!$F$1,MATCH(J905,Ottone!$A:$A,0)-1,MATCH(K905,Ottone!$F$1:$FF$1,0)-1)=TRUE),0,OFFSET(Ottone!$F$1,MATCH(J905,Ottone!$A:$A,0)-1,MATCH(K905,Ottone!$F$1:$FF$1,0)-1))*IF(G905="Ottone",1,0)</f>
        <v>0</v>
      </c>
      <c r="T905" s="205">
        <f ca="1">IF(ISERROR(OFFSET(Rame!$F$1,MATCH(J905,Rame!$F:$F,0)-1,MATCH(K905,Rame!$F$1:$FF$1,0)-1)=TRUE),0,OFFSET(Rame!$F$1,MATCH(J905,Rame!$F:$F,0)-1,MATCH(K905,Rame!$F$1:$FF$1,0)-1))*IF(G905="Rame",1,0)</f>
        <v>0</v>
      </c>
      <c r="U905" s="205">
        <f ca="1">IF(ISERROR(OFFSET(Bronzo!$A$1,MATCH(J905,Bronzo!$A:$A,0)-1,MATCH(K905,Bronzo!$A$1:$AA$1,0)-1)=TRUE),0,OFFSET(Bronzo!$A$1,MATCH(J905,Bronzo!$A:$A,0)-1,MATCH(K905,Bronzo!$A$1:$AA$1,0)-1))</f>
        <v>0</v>
      </c>
      <c r="V905" s="205">
        <f t="shared" ca="1" si="276"/>
        <v>0</v>
      </c>
      <c r="W905" s="204"/>
      <c r="X905" s="205">
        <v>0</v>
      </c>
      <c r="Y905" s="206">
        <f t="shared" ca="1" si="277"/>
        <v>0</v>
      </c>
      <c r="Z905" s="277">
        <f t="shared" si="278"/>
        <v>0</v>
      </c>
      <c r="AA905" s="203"/>
      <c r="AB905" s="203">
        <f t="shared" ca="1" si="279"/>
        <v>0</v>
      </c>
      <c r="AC905" s="238"/>
      <c r="AI905" s="367">
        <f t="shared" ca="1" si="286"/>
        <v>46092</v>
      </c>
      <c r="AJ905" s="367" t="b">
        <f t="shared" si="280"/>
        <v>1</v>
      </c>
      <c r="AK905" s="370" t="str">
        <f t="shared" si="281"/>
        <v/>
      </c>
      <c r="AN905">
        <f t="shared" si="282"/>
        <v>0</v>
      </c>
      <c r="AO905">
        <f t="shared" si="283"/>
        <v>1900</v>
      </c>
      <c r="AV905">
        <f t="shared" si="284"/>
        <v>0</v>
      </c>
      <c r="AW905">
        <f t="shared" si="285"/>
        <v>0</v>
      </c>
    </row>
    <row r="906" spans="4:49" ht="15.75" x14ac:dyDescent="0.25">
      <c r="D906" s="199"/>
      <c r="E906" s="200"/>
      <c r="F906" s="287"/>
      <c r="G906" s="201"/>
      <c r="H906" s="219"/>
      <c r="I906" s="202"/>
      <c r="J906" s="200"/>
      <c r="K906" s="200"/>
      <c r="L906" s="203"/>
      <c r="M906" s="204">
        <f ca="1">IF(ISERROR(OFFSET(Tabella!$A$1,MATCH(J906,Tabella!$A:$A,0)-1,MATCH(L906,Tabella!$A$1:$AC$1,0)-1)=TRUE),0,+OFFSET(Tabella!$A$1,MATCH(J906,Tabella!$A:$A,0)-1,MATCH(L906,Tabella!$A$1:$AC$1,0)-1))</f>
        <v>0</v>
      </c>
      <c r="N906" s="205">
        <f ca="1">IF(ISERROR(OFFSET(Ottone!$A$1,MATCH(J906,Ottone!$A:$A,0)-1,MATCH(L906,Ottone!$A$1:$Z$1,0)-1)=TRUE),0,OFFSET(Ottone!$A$1,MATCH(J906,Ottone!$A:$A,0)-1,MATCH(L906,Ottone!$A$1:$Z$1,0)-1))*IF(G906="Ottone",1,0)</f>
        <v>0</v>
      </c>
      <c r="O906" s="205">
        <f ca="1">IF(ISERROR(OFFSET(Rame!$A$1,MATCH(J906,Rame!$A:$A,0)-1,MATCH(L906,Rame!$A$1:$AA$1,0)-1)=TRUE),0,OFFSET(Rame!$A$1,MATCH(J906,Rame!$A:$A,0)-1,MATCH(L906,Rame!$A$1:$AA$1,0)-1))*IF(G906="Rame",1,0)</f>
        <v>0</v>
      </c>
      <c r="P906" s="205">
        <v>0</v>
      </c>
      <c r="Q906" s="205">
        <f t="shared" ca="1" si="275"/>
        <v>0</v>
      </c>
      <c r="R906" s="205">
        <f ca="1">+IF(ISERROR(OFFSET(Tabella!$G$1,MATCH(J906,Tabella!$G:$G,0)-1,MATCH(K906,Tabella!$G$1:$FG$1,0)-1)=TRUE),0,OFFSET(Tabella!$G$1,MATCH(J906,Tabella!$G:$G,0)-1,MATCH(K906,Tabella!$G$1:$AB$1,0)-1))</f>
        <v>0</v>
      </c>
      <c r="S906" s="205">
        <f ca="1">IF(ISERROR(OFFSET(Ottone!$F$1,MATCH(J906,Ottone!$A:$A,0)-1,MATCH(K906,Ottone!$F$1:$FF$1,0)-1)=TRUE),0,OFFSET(Ottone!$F$1,MATCH(J906,Ottone!$A:$A,0)-1,MATCH(K906,Ottone!$F$1:$FF$1,0)-1))*IF(G906="Ottone",1,0)</f>
        <v>0</v>
      </c>
      <c r="T906" s="205">
        <f ca="1">IF(ISERROR(OFFSET(Rame!$F$1,MATCH(J906,Rame!$F:$F,0)-1,MATCH(K906,Rame!$F$1:$FF$1,0)-1)=TRUE),0,OFFSET(Rame!$F$1,MATCH(J906,Rame!$F:$F,0)-1,MATCH(K906,Rame!$F$1:$FF$1,0)-1))*IF(G906="Rame",1,0)</f>
        <v>0</v>
      </c>
      <c r="U906" s="205">
        <f ca="1">IF(ISERROR(OFFSET(Bronzo!$A$1,MATCH(J906,Bronzo!$A:$A,0)-1,MATCH(K906,Bronzo!$A$1:$AA$1,0)-1)=TRUE),0,OFFSET(Bronzo!$A$1,MATCH(J906,Bronzo!$A:$A,0)-1,MATCH(K906,Bronzo!$A$1:$AA$1,0)-1))</f>
        <v>0</v>
      </c>
      <c r="V906" s="205">
        <f t="shared" ca="1" si="276"/>
        <v>0</v>
      </c>
      <c r="W906" s="204"/>
      <c r="X906" s="205">
        <v>0</v>
      </c>
      <c r="Y906" s="206">
        <f t="shared" ca="1" si="277"/>
        <v>0</v>
      </c>
      <c r="Z906" s="277">
        <f t="shared" si="278"/>
        <v>0</v>
      </c>
      <c r="AA906" s="203"/>
      <c r="AB906" s="203">
        <f t="shared" ca="1" si="279"/>
        <v>0</v>
      </c>
      <c r="AC906" s="238"/>
      <c r="AI906" s="367">
        <f t="shared" ca="1" si="286"/>
        <v>46092</v>
      </c>
      <c r="AJ906" s="367" t="b">
        <f t="shared" si="280"/>
        <v>1</v>
      </c>
      <c r="AK906" s="370" t="str">
        <f t="shared" si="281"/>
        <v/>
      </c>
      <c r="AN906">
        <f t="shared" si="282"/>
        <v>0</v>
      </c>
      <c r="AO906">
        <f t="shared" si="283"/>
        <v>1900</v>
      </c>
      <c r="AV906">
        <f t="shared" si="284"/>
        <v>0</v>
      </c>
      <c r="AW906">
        <f t="shared" si="285"/>
        <v>0</v>
      </c>
    </row>
    <row r="907" spans="4:49" ht="15.75" x14ac:dyDescent="0.25">
      <c r="D907" s="199"/>
      <c r="E907" s="200"/>
      <c r="F907" s="287"/>
      <c r="G907" s="201"/>
      <c r="H907" s="219"/>
      <c r="I907" s="202"/>
      <c r="J907" s="200"/>
      <c r="K907" s="200"/>
      <c r="L907" s="203"/>
      <c r="M907" s="204">
        <f ca="1">IF(ISERROR(OFFSET(Tabella!$A$1,MATCH(J907,Tabella!$A:$A,0)-1,MATCH(L907,Tabella!$A$1:$AC$1,0)-1)=TRUE),0,+OFFSET(Tabella!$A$1,MATCH(J907,Tabella!$A:$A,0)-1,MATCH(L907,Tabella!$A$1:$AC$1,0)-1))</f>
        <v>0</v>
      </c>
      <c r="N907" s="205">
        <f ca="1">IF(ISERROR(OFFSET(Ottone!$A$1,MATCH(J907,Ottone!$A:$A,0)-1,MATCH(L907,Ottone!$A$1:$Z$1,0)-1)=TRUE),0,OFFSET(Ottone!$A$1,MATCH(J907,Ottone!$A:$A,0)-1,MATCH(L907,Ottone!$A$1:$Z$1,0)-1))*IF(G907="Ottone",1,0)</f>
        <v>0</v>
      </c>
      <c r="O907" s="205">
        <f ca="1">IF(ISERROR(OFFSET(Rame!$A$1,MATCH(J907,Rame!$A:$A,0)-1,MATCH(L907,Rame!$A$1:$AA$1,0)-1)=TRUE),0,OFFSET(Rame!$A$1,MATCH(J907,Rame!$A:$A,0)-1,MATCH(L907,Rame!$A$1:$AA$1,0)-1))*IF(G907="Rame",1,0)</f>
        <v>0</v>
      </c>
      <c r="P907" s="205">
        <v>0</v>
      </c>
      <c r="Q907" s="205">
        <f t="shared" ca="1" si="275"/>
        <v>0</v>
      </c>
      <c r="R907" s="205">
        <f ca="1">+IF(ISERROR(OFFSET(Tabella!$G$1,MATCH(J907,Tabella!$G:$G,0)-1,MATCH(K907,Tabella!$G$1:$FG$1,0)-1)=TRUE),0,OFFSET(Tabella!$G$1,MATCH(J907,Tabella!$G:$G,0)-1,MATCH(K907,Tabella!$G$1:$AB$1,0)-1))</f>
        <v>0</v>
      </c>
      <c r="S907" s="205">
        <f ca="1">IF(ISERROR(OFFSET(Ottone!$F$1,MATCH(J907,Ottone!$A:$A,0)-1,MATCH(K907,Ottone!$F$1:$FF$1,0)-1)=TRUE),0,OFFSET(Ottone!$F$1,MATCH(J907,Ottone!$A:$A,0)-1,MATCH(K907,Ottone!$F$1:$FF$1,0)-1))*IF(G907="Ottone",1,0)</f>
        <v>0</v>
      </c>
      <c r="T907" s="205">
        <f ca="1">IF(ISERROR(OFFSET(Rame!$F$1,MATCH(J907,Rame!$F:$F,0)-1,MATCH(K907,Rame!$F$1:$FF$1,0)-1)=TRUE),0,OFFSET(Rame!$F$1,MATCH(J907,Rame!$F:$F,0)-1,MATCH(K907,Rame!$F$1:$FF$1,0)-1))*IF(G907="Rame",1,0)</f>
        <v>0</v>
      </c>
      <c r="U907" s="205">
        <f ca="1">IF(ISERROR(OFFSET(Bronzo!$A$1,MATCH(J907,Bronzo!$A:$A,0)-1,MATCH(K907,Bronzo!$A$1:$AA$1,0)-1)=TRUE),0,OFFSET(Bronzo!$A$1,MATCH(J907,Bronzo!$A:$A,0)-1,MATCH(K907,Bronzo!$A$1:$AA$1,0)-1))</f>
        <v>0</v>
      </c>
      <c r="V907" s="205">
        <f t="shared" ca="1" si="276"/>
        <v>0</v>
      </c>
      <c r="W907" s="204"/>
      <c r="X907" s="205">
        <v>0</v>
      </c>
      <c r="Y907" s="206">
        <f t="shared" ca="1" si="277"/>
        <v>0</v>
      </c>
      <c r="Z907" s="277">
        <f t="shared" si="278"/>
        <v>0</v>
      </c>
      <c r="AA907" s="203"/>
      <c r="AB907" s="203">
        <f t="shared" ca="1" si="279"/>
        <v>0</v>
      </c>
      <c r="AC907" s="238"/>
      <c r="AI907" s="367">
        <f t="shared" ca="1" si="286"/>
        <v>46092</v>
      </c>
      <c r="AJ907" s="367" t="b">
        <f t="shared" si="280"/>
        <v>1</v>
      </c>
      <c r="AK907" s="370" t="str">
        <f t="shared" si="281"/>
        <v/>
      </c>
      <c r="AN907">
        <f t="shared" si="282"/>
        <v>0</v>
      </c>
      <c r="AO907">
        <f t="shared" si="283"/>
        <v>1900</v>
      </c>
      <c r="AV907">
        <f t="shared" si="284"/>
        <v>0</v>
      </c>
      <c r="AW907">
        <f t="shared" si="285"/>
        <v>0</v>
      </c>
    </row>
    <row r="908" spans="4:49" ht="15.75" x14ac:dyDescent="0.25">
      <c r="D908" s="199"/>
      <c r="E908" s="200"/>
      <c r="F908" s="287"/>
      <c r="G908" s="201"/>
      <c r="H908" s="219"/>
      <c r="I908" s="202"/>
      <c r="J908" s="200"/>
      <c r="K908" s="200"/>
      <c r="L908" s="203"/>
      <c r="M908" s="204">
        <f ca="1">IF(ISERROR(OFFSET(Tabella!$A$1,MATCH(J908,Tabella!$A:$A,0)-1,MATCH(L908,Tabella!$A$1:$AC$1,0)-1)=TRUE),0,+OFFSET(Tabella!$A$1,MATCH(J908,Tabella!$A:$A,0)-1,MATCH(L908,Tabella!$A$1:$AC$1,0)-1))</f>
        <v>0</v>
      </c>
      <c r="N908" s="205">
        <f ca="1">IF(ISERROR(OFFSET(Ottone!$A$1,MATCH(J908,Ottone!$A:$A,0)-1,MATCH(L908,Ottone!$A$1:$Z$1,0)-1)=TRUE),0,OFFSET(Ottone!$A$1,MATCH(J908,Ottone!$A:$A,0)-1,MATCH(L908,Ottone!$A$1:$Z$1,0)-1))*IF(G908="Ottone",1,0)</f>
        <v>0</v>
      </c>
      <c r="O908" s="205">
        <f ca="1">IF(ISERROR(OFFSET(Rame!$A$1,MATCH(J908,Rame!$A:$A,0)-1,MATCH(L908,Rame!$A$1:$AA$1,0)-1)=TRUE),0,OFFSET(Rame!$A$1,MATCH(J908,Rame!$A:$A,0)-1,MATCH(L908,Rame!$A$1:$AA$1,0)-1))*IF(G908="Rame",1,0)</f>
        <v>0</v>
      </c>
      <c r="P908" s="205">
        <v>0</v>
      </c>
      <c r="Q908" s="205">
        <f t="shared" ca="1" si="275"/>
        <v>0</v>
      </c>
      <c r="R908" s="205">
        <f ca="1">+IF(ISERROR(OFFSET(Tabella!$G$1,MATCH(J908,Tabella!$G:$G,0)-1,MATCH(K908,Tabella!$G$1:$FG$1,0)-1)=TRUE),0,OFFSET(Tabella!$G$1,MATCH(J908,Tabella!$G:$G,0)-1,MATCH(K908,Tabella!$G$1:$AB$1,0)-1))</f>
        <v>0</v>
      </c>
      <c r="S908" s="205">
        <f ca="1">IF(ISERROR(OFFSET(Ottone!$F$1,MATCH(J908,Ottone!$A:$A,0)-1,MATCH(K908,Ottone!$F$1:$FF$1,0)-1)=TRUE),0,OFFSET(Ottone!$F$1,MATCH(J908,Ottone!$A:$A,0)-1,MATCH(K908,Ottone!$F$1:$FF$1,0)-1))*IF(G908="Ottone",1,0)</f>
        <v>0</v>
      </c>
      <c r="T908" s="205">
        <f ca="1">IF(ISERROR(OFFSET(Rame!$F$1,MATCH(J908,Rame!$F:$F,0)-1,MATCH(K908,Rame!$F$1:$FF$1,0)-1)=TRUE),0,OFFSET(Rame!$F$1,MATCH(J908,Rame!$F:$F,0)-1,MATCH(K908,Rame!$F$1:$FF$1,0)-1))*IF(G908="Rame",1,0)</f>
        <v>0</v>
      </c>
      <c r="U908" s="205">
        <f ca="1">IF(ISERROR(OFFSET(Bronzo!$A$1,MATCH(J908,Bronzo!$A:$A,0)-1,MATCH(K908,Bronzo!$A$1:$AA$1,0)-1)=TRUE),0,OFFSET(Bronzo!$A$1,MATCH(J908,Bronzo!$A:$A,0)-1,MATCH(K908,Bronzo!$A$1:$AA$1,0)-1))</f>
        <v>0</v>
      </c>
      <c r="V908" s="205">
        <f t="shared" ca="1" si="276"/>
        <v>0</v>
      </c>
      <c r="W908" s="204"/>
      <c r="X908" s="205">
        <v>0</v>
      </c>
      <c r="Y908" s="206">
        <f t="shared" ca="1" si="277"/>
        <v>0</v>
      </c>
      <c r="Z908" s="277">
        <f t="shared" si="278"/>
        <v>0</v>
      </c>
      <c r="AA908" s="203"/>
      <c r="AB908" s="203">
        <f t="shared" ca="1" si="279"/>
        <v>0</v>
      </c>
      <c r="AC908" s="238"/>
      <c r="AI908" s="367">
        <f t="shared" ca="1" si="286"/>
        <v>46092</v>
      </c>
      <c r="AJ908" s="367" t="b">
        <f t="shared" si="280"/>
        <v>1</v>
      </c>
      <c r="AK908" s="370" t="str">
        <f t="shared" si="281"/>
        <v/>
      </c>
      <c r="AN908">
        <f t="shared" si="282"/>
        <v>0</v>
      </c>
      <c r="AO908">
        <f t="shared" si="283"/>
        <v>1900</v>
      </c>
      <c r="AV908">
        <f t="shared" si="284"/>
        <v>0</v>
      </c>
      <c r="AW908">
        <f t="shared" si="285"/>
        <v>0</v>
      </c>
    </row>
    <row r="909" spans="4:49" ht="15.75" x14ac:dyDescent="0.25">
      <c r="D909" s="199"/>
      <c r="E909" s="200"/>
      <c r="F909" s="287"/>
      <c r="G909" s="201"/>
      <c r="H909" s="219"/>
      <c r="I909" s="202"/>
      <c r="J909" s="200"/>
      <c r="K909" s="200"/>
      <c r="L909" s="203"/>
      <c r="M909" s="204">
        <f ca="1">IF(ISERROR(OFFSET(Tabella!$A$1,MATCH(J909,Tabella!$A:$A,0)-1,MATCH(L909,Tabella!$A$1:$AC$1,0)-1)=TRUE),0,+OFFSET(Tabella!$A$1,MATCH(J909,Tabella!$A:$A,0)-1,MATCH(L909,Tabella!$A$1:$AC$1,0)-1))</f>
        <v>0</v>
      </c>
      <c r="N909" s="205">
        <f ca="1">IF(ISERROR(OFFSET(Ottone!$A$1,MATCH(J909,Ottone!$A:$A,0)-1,MATCH(L909,Ottone!$A$1:$Z$1,0)-1)=TRUE),0,OFFSET(Ottone!$A$1,MATCH(J909,Ottone!$A:$A,0)-1,MATCH(L909,Ottone!$A$1:$Z$1,0)-1))*IF(G909="Ottone",1,0)</f>
        <v>0</v>
      </c>
      <c r="O909" s="205">
        <f ca="1">IF(ISERROR(OFFSET(Rame!$A$1,MATCH(J909,Rame!$A:$A,0)-1,MATCH(L909,Rame!$A$1:$AA$1,0)-1)=TRUE),0,OFFSET(Rame!$A$1,MATCH(J909,Rame!$A:$A,0)-1,MATCH(L909,Rame!$A$1:$AA$1,0)-1))*IF(G909="Rame",1,0)</f>
        <v>0</v>
      </c>
      <c r="P909" s="205">
        <v>0</v>
      </c>
      <c r="Q909" s="205">
        <f t="shared" ca="1" si="275"/>
        <v>0</v>
      </c>
      <c r="R909" s="205">
        <f ca="1">+IF(ISERROR(OFFSET(Tabella!$G$1,MATCH(J909,Tabella!$G:$G,0)-1,MATCH(K909,Tabella!$G$1:$FG$1,0)-1)=TRUE),0,OFFSET(Tabella!$G$1,MATCH(J909,Tabella!$G:$G,0)-1,MATCH(K909,Tabella!$G$1:$AB$1,0)-1))</f>
        <v>0</v>
      </c>
      <c r="S909" s="205">
        <f ca="1">IF(ISERROR(OFFSET(Ottone!$F$1,MATCH(J909,Ottone!$A:$A,0)-1,MATCH(K909,Ottone!$F$1:$FF$1,0)-1)=TRUE),0,OFFSET(Ottone!$F$1,MATCH(J909,Ottone!$A:$A,0)-1,MATCH(K909,Ottone!$F$1:$FF$1,0)-1))*IF(G909="Ottone",1,0)</f>
        <v>0</v>
      </c>
      <c r="T909" s="205">
        <f ca="1">IF(ISERROR(OFFSET(Rame!$F$1,MATCH(J909,Rame!$F:$F,0)-1,MATCH(K909,Rame!$F$1:$FF$1,0)-1)=TRUE),0,OFFSET(Rame!$F$1,MATCH(J909,Rame!$F:$F,0)-1,MATCH(K909,Rame!$F$1:$FF$1,0)-1))*IF(G909="Rame",1,0)</f>
        <v>0</v>
      </c>
      <c r="U909" s="205">
        <f ca="1">IF(ISERROR(OFFSET(Bronzo!$A$1,MATCH(J909,Bronzo!$A:$A,0)-1,MATCH(K909,Bronzo!$A$1:$AA$1,0)-1)=TRUE),0,OFFSET(Bronzo!$A$1,MATCH(J909,Bronzo!$A:$A,0)-1,MATCH(K909,Bronzo!$A$1:$AA$1,0)-1))</f>
        <v>0</v>
      </c>
      <c r="V909" s="205">
        <f t="shared" ca="1" si="276"/>
        <v>0</v>
      </c>
      <c r="W909" s="204"/>
      <c r="X909" s="205">
        <v>0</v>
      </c>
      <c r="Y909" s="206">
        <f t="shared" ca="1" si="277"/>
        <v>0</v>
      </c>
      <c r="Z909" s="277">
        <f t="shared" si="278"/>
        <v>0</v>
      </c>
      <c r="AA909" s="203"/>
      <c r="AB909" s="203">
        <f t="shared" ca="1" si="279"/>
        <v>0</v>
      </c>
      <c r="AC909" s="238"/>
      <c r="AI909" s="367">
        <f t="shared" ca="1" si="286"/>
        <v>46092</v>
      </c>
      <c r="AJ909" s="367" t="b">
        <f t="shared" si="280"/>
        <v>1</v>
      </c>
      <c r="AK909" s="370" t="str">
        <f t="shared" si="281"/>
        <v/>
      </c>
      <c r="AN909">
        <f t="shared" si="282"/>
        <v>0</v>
      </c>
      <c r="AO909">
        <f t="shared" si="283"/>
        <v>1900</v>
      </c>
      <c r="AV909">
        <f t="shared" si="284"/>
        <v>0</v>
      </c>
      <c r="AW909">
        <f t="shared" si="285"/>
        <v>0</v>
      </c>
    </row>
    <row r="910" spans="4:49" ht="15.75" x14ac:dyDescent="0.25">
      <c r="D910" s="199"/>
      <c r="E910" s="200"/>
      <c r="F910" s="287"/>
      <c r="G910" s="201"/>
      <c r="H910" s="219"/>
      <c r="I910" s="202"/>
      <c r="J910" s="200"/>
      <c r="K910" s="200"/>
      <c r="L910" s="203"/>
      <c r="M910" s="204">
        <f ca="1">IF(ISERROR(OFFSET(Tabella!$A$1,MATCH(J910,Tabella!$A:$A,0)-1,MATCH(L910,Tabella!$A$1:$AC$1,0)-1)=TRUE),0,+OFFSET(Tabella!$A$1,MATCH(J910,Tabella!$A:$A,0)-1,MATCH(L910,Tabella!$A$1:$AC$1,0)-1))</f>
        <v>0</v>
      </c>
      <c r="N910" s="205">
        <f ca="1">IF(ISERROR(OFFSET(Ottone!$A$1,MATCH(J910,Ottone!$A:$A,0)-1,MATCH(L910,Ottone!$A$1:$Z$1,0)-1)=TRUE),0,OFFSET(Ottone!$A$1,MATCH(J910,Ottone!$A:$A,0)-1,MATCH(L910,Ottone!$A$1:$Z$1,0)-1))*IF(G910="Ottone",1,0)</f>
        <v>0</v>
      </c>
      <c r="O910" s="205">
        <f ca="1">IF(ISERROR(OFFSET(Rame!$A$1,MATCH(J910,Rame!$A:$A,0)-1,MATCH(L910,Rame!$A$1:$AA$1,0)-1)=TRUE),0,OFFSET(Rame!$A$1,MATCH(J910,Rame!$A:$A,0)-1,MATCH(L910,Rame!$A$1:$AA$1,0)-1))*IF(G910="Rame",1,0)</f>
        <v>0</v>
      </c>
      <c r="P910" s="205">
        <v>0</v>
      </c>
      <c r="Q910" s="205">
        <f t="shared" ca="1" si="275"/>
        <v>0</v>
      </c>
      <c r="R910" s="205">
        <f ca="1">+IF(ISERROR(OFFSET(Tabella!$G$1,MATCH(J910,Tabella!$G:$G,0)-1,MATCH(K910,Tabella!$G$1:$FG$1,0)-1)=TRUE),0,OFFSET(Tabella!$G$1,MATCH(J910,Tabella!$G:$G,0)-1,MATCH(K910,Tabella!$G$1:$AB$1,0)-1))</f>
        <v>0</v>
      </c>
      <c r="S910" s="205">
        <f ca="1">IF(ISERROR(OFFSET(Ottone!$F$1,MATCH(J910,Ottone!$A:$A,0)-1,MATCH(K910,Ottone!$F$1:$FF$1,0)-1)=TRUE),0,OFFSET(Ottone!$F$1,MATCH(J910,Ottone!$A:$A,0)-1,MATCH(K910,Ottone!$F$1:$FF$1,0)-1))*IF(G910="Ottone",1,0)</f>
        <v>0</v>
      </c>
      <c r="T910" s="205">
        <f ca="1">IF(ISERROR(OFFSET(Rame!$F$1,MATCH(J910,Rame!$F:$F,0)-1,MATCH(K910,Rame!$F$1:$FF$1,0)-1)=TRUE),0,OFFSET(Rame!$F$1,MATCH(J910,Rame!$F:$F,0)-1,MATCH(K910,Rame!$F$1:$FF$1,0)-1))*IF(G910="Rame",1,0)</f>
        <v>0</v>
      </c>
      <c r="U910" s="205">
        <f ca="1">IF(ISERROR(OFFSET(Bronzo!$A$1,MATCH(J910,Bronzo!$A:$A,0)-1,MATCH(K910,Bronzo!$A$1:$AA$1,0)-1)=TRUE),0,OFFSET(Bronzo!$A$1,MATCH(J910,Bronzo!$A:$A,0)-1,MATCH(K910,Bronzo!$A$1:$AA$1,0)-1))</f>
        <v>0</v>
      </c>
      <c r="V910" s="205">
        <f t="shared" ca="1" si="276"/>
        <v>0</v>
      </c>
      <c r="W910" s="204"/>
      <c r="X910" s="205">
        <v>0</v>
      </c>
      <c r="Y910" s="206">
        <f t="shared" ca="1" si="277"/>
        <v>0</v>
      </c>
      <c r="Z910" s="277">
        <f t="shared" si="278"/>
        <v>0</v>
      </c>
      <c r="AA910" s="203"/>
      <c r="AB910" s="203">
        <f t="shared" ca="1" si="279"/>
        <v>0</v>
      </c>
      <c r="AC910" s="238"/>
      <c r="AI910" s="367">
        <f t="shared" ca="1" si="286"/>
        <v>46092</v>
      </c>
      <c r="AJ910" s="367" t="b">
        <f t="shared" si="280"/>
        <v>1</v>
      </c>
      <c r="AK910" s="370" t="str">
        <f t="shared" si="281"/>
        <v/>
      </c>
      <c r="AN910">
        <f t="shared" si="282"/>
        <v>0</v>
      </c>
      <c r="AO910">
        <f t="shared" si="283"/>
        <v>1900</v>
      </c>
      <c r="AV910">
        <f t="shared" si="284"/>
        <v>0</v>
      </c>
      <c r="AW910">
        <f t="shared" si="285"/>
        <v>0</v>
      </c>
    </row>
    <row r="911" spans="4:49" ht="15.75" x14ac:dyDescent="0.25">
      <c r="D911" s="199"/>
      <c r="E911" s="200"/>
      <c r="F911" s="287"/>
      <c r="G911" s="201"/>
      <c r="H911" s="219"/>
      <c r="I911" s="202"/>
      <c r="J911" s="200"/>
      <c r="K911" s="200"/>
      <c r="L911" s="203"/>
      <c r="M911" s="204">
        <f ca="1">IF(ISERROR(OFFSET(Tabella!$A$1,MATCH(J911,Tabella!$A:$A,0)-1,MATCH(L911,Tabella!$A$1:$AC$1,0)-1)=TRUE),0,+OFFSET(Tabella!$A$1,MATCH(J911,Tabella!$A:$A,0)-1,MATCH(L911,Tabella!$A$1:$AC$1,0)-1))</f>
        <v>0</v>
      </c>
      <c r="N911" s="205">
        <f ca="1">IF(ISERROR(OFFSET(Ottone!$A$1,MATCH(J911,Ottone!$A:$A,0)-1,MATCH(L911,Ottone!$A$1:$Z$1,0)-1)=TRUE),0,OFFSET(Ottone!$A$1,MATCH(J911,Ottone!$A:$A,0)-1,MATCH(L911,Ottone!$A$1:$Z$1,0)-1))*IF(G911="Ottone",1,0)</f>
        <v>0</v>
      </c>
      <c r="O911" s="205">
        <f ca="1">IF(ISERROR(OFFSET(Rame!$A$1,MATCH(J911,Rame!$A:$A,0)-1,MATCH(L911,Rame!$A$1:$AA$1,0)-1)=TRUE),0,OFFSET(Rame!$A$1,MATCH(J911,Rame!$A:$A,0)-1,MATCH(L911,Rame!$A$1:$AA$1,0)-1))*IF(G911="Rame",1,0)</f>
        <v>0</v>
      </c>
      <c r="P911" s="205">
        <v>0</v>
      </c>
      <c r="Q911" s="205">
        <f t="shared" ref="Q911:Q974" ca="1" si="287">SUM(M911:P911)</f>
        <v>0</v>
      </c>
      <c r="R911" s="205">
        <f ca="1">+IF(ISERROR(OFFSET(Tabella!$G$1,MATCH(J911,Tabella!$G:$G,0)-1,MATCH(K911,Tabella!$G$1:$FG$1,0)-1)=TRUE),0,OFFSET(Tabella!$G$1,MATCH(J911,Tabella!$G:$G,0)-1,MATCH(K911,Tabella!$G$1:$AB$1,0)-1))</f>
        <v>0</v>
      </c>
      <c r="S911" s="205">
        <f ca="1">IF(ISERROR(OFFSET(Ottone!$F$1,MATCH(J911,Ottone!$A:$A,0)-1,MATCH(K911,Ottone!$F$1:$FF$1,0)-1)=TRUE),0,OFFSET(Ottone!$F$1,MATCH(J911,Ottone!$A:$A,0)-1,MATCH(K911,Ottone!$F$1:$FF$1,0)-1))*IF(G911="Ottone",1,0)</f>
        <v>0</v>
      </c>
      <c r="T911" s="205">
        <f ca="1">IF(ISERROR(OFFSET(Rame!$F$1,MATCH(J911,Rame!$F:$F,0)-1,MATCH(K911,Rame!$F$1:$FF$1,0)-1)=TRUE),0,OFFSET(Rame!$F$1,MATCH(J911,Rame!$F:$F,0)-1,MATCH(K911,Rame!$F$1:$FF$1,0)-1))*IF(G911="Rame",1,0)</f>
        <v>0</v>
      </c>
      <c r="U911" s="205">
        <f ca="1">IF(ISERROR(OFFSET(Bronzo!$A$1,MATCH(J911,Bronzo!$A:$A,0)-1,MATCH(K911,Bronzo!$A$1:$AA$1,0)-1)=TRUE),0,OFFSET(Bronzo!$A$1,MATCH(J911,Bronzo!$A:$A,0)-1,MATCH(K911,Bronzo!$A$1:$AA$1,0)-1))</f>
        <v>0</v>
      </c>
      <c r="V911" s="205">
        <f t="shared" ref="V911:V974" ca="1" si="288">SUM(R911:U911)</f>
        <v>0</v>
      </c>
      <c r="W911" s="204"/>
      <c r="X911" s="205">
        <v>0</v>
      </c>
      <c r="Y911" s="206">
        <f t="shared" ref="Y911:Y974" ca="1" si="289">+Q911+V911+W911+X911</f>
        <v>0</v>
      </c>
      <c r="Z911" s="277">
        <f t="shared" ref="Z911:Z974" si="290">+L911*F911</f>
        <v>0</v>
      </c>
      <c r="AA911" s="203"/>
      <c r="AB911" s="203">
        <f t="shared" ref="AB911:AB974" ca="1" si="291">+AA911-Y911-H911</f>
        <v>0</v>
      </c>
      <c r="AC911" s="238"/>
      <c r="AI911" s="367">
        <f t="shared" ca="1" si="286"/>
        <v>46092</v>
      </c>
      <c r="AJ911" s="367" t="b">
        <f t="shared" si="280"/>
        <v>1</v>
      </c>
      <c r="AK911" s="370" t="str">
        <f t="shared" si="281"/>
        <v/>
      </c>
      <c r="AN911">
        <f t="shared" si="282"/>
        <v>0</v>
      </c>
      <c r="AO911">
        <f t="shared" si="283"/>
        <v>1900</v>
      </c>
      <c r="AV911">
        <f t="shared" si="284"/>
        <v>0</v>
      </c>
      <c r="AW911">
        <f t="shared" si="285"/>
        <v>0</v>
      </c>
    </row>
    <row r="912" spans="4:49" ht="15.75" x14ac:dyDescent="0.25">
      <c r="D912" s="199"/>
      <c r="E912" s="200"/>
      <c r="F912" s="287"/>
      <c r="G912" s="201"/>
      <c r="H912" s="219"/>
      <c r="I912" s="202"/>
      <c r="J912" s="200"/>
      <c r="K912" s="200"/>
      <c r="L912" s="203"/>
      <c r="M912" s="204">
        <f ca="1">IF(ISERROR(OFFSET(Tabella!$A$1,MATCH(J912,Tabella!$A:$A,0)-1,MATCH(L912,Tabella!$A$1:$AC$1,0)-1)=TRUE),0,+OFFSET(Tabella!$A$1,MATCH(J912,Tabella!$A:$A,0)-1,MATCH(L912,Tabella!$A$1:$AC$1,0)-1))</f>
        <v>0</v>
      </c>
      <c r="N912" s="205">
        <f ca="1">IF(ISERROR(OFFSET(Ottone!$A$1,MATCH(J912,Ottone!$A:$A,0)-1,MATCH(L912,Ottone!$A$1:$Z$1,0)-1)=TRUE),0,OFFSET(Ottone!$A$1,MATCH(J912,Ottone!$A:$A,0)-1,MATCH(L912,Ottone!$A$1:$Z$1,0)-1))*IF(G912="Ottone",1,0)</f>
        <v>0</v>
      </c>
      <c r="O912" s="205">
        <f ca="1">IF(ISERROR(OFFSET(Rame!$A$1,MATCH(J912,Rame!$A:$A,0)-1,MATCH(L912,Rame!$A$1:$AA$1,0)-1)=TRUE),0,OFFSET(Rame!$A$1,MATCH(J912,Rame!$A:$A,0)-1,MATCH(L912,Rame!$A$1:$AA$1,0)-1))*IF(G912="Rame",1,0)</f>
        <v>0</v>
      </c>
      <c r="P912" s="205">
        <v>0</v>
      </c>
      <c r="Q912" s="205">
        <f t="shared" ca="1" si="287"/>
        <v>0</v>
      </c>
      <c r="R912" s="205">
        <f ca="1">+IF(ISERROR(OFFSET(Tabella!$G$1,MATCH(J912,Tabella!$G:$G,0)-1,MATCH(K912,Tabella!$G$1:$FG$1,0)-1)=TRUE),0,OFFSET(Tabella!$G$1,MATCH(J912,Tabella!$G:$G,0)-1,MATCH(K912,Tabella!$G$1:$AB$1,0)-1))</f>
        <v>0</v>
      </c>
      <c r="S912" s="205">
        <f ca="1">IF(ISERROR(OFFSET(Ottone!$F$1,MATCH(J912,Ottone!$A:$A,0)-1,MATCH(K912,Ottone!$F$1:$FF$1,0)-1)=TRUE),0,OFFSET(Ottone!$F$1,MATCH(J912,Ottone!$A:$A,0)-1,MATCH(K912,Ottone!$F$1:$FF$1,0)-1))*IF(G912="Ottone",1,0)</f>
        <v>0</v>
      </c>
      <c r="T912" s="205">
        <f ca="1">IF(ISERROR(OFFSET(Rame!$F$1,MATCH(J912,Rame!$F:$F,0)-1,MATCH(K912,Rame!$F$1:$FF$1,0)-1)=TRUE),0,OFFSET(Rame!$F$1,MATCH(J912,Rame!$F:$F,0)-1,MATCH(K912,Rame!$F$1:$FF$1,0)-1))*IF(G912="Rame",1,0)</f>
        <v>0</v>
      </c>
      <c r="U912" s="205">
        <f ca="1">IF(ISERROR(OFFSET(Bronzo!$A$1,MATCH(J912,Bronzo!$A:$A,0)-1,MATCH(K912,Bronzo!$A$1:$AA$1,0)-1)=TRUE),0,OFFSET(Bronzo!$A$1,MATCH(J912,Bronzo!$A:$A,0)-1,MATCH(K912,Bronzo!$A$1:$AA$1,0)-1))</f>
        <v>0</v>
      </c>
      <c r="V912" s="205">
        <f t="shared" ca="1" si="288"/>
        <v>0</v>
      </c>
      <c r="W912" s="204"/>
      <c r="X912" s="205">
        <v>0</v>
      </c>
      <c r="Y912" s="206">
        <f t="shared" ca="1" si="289"/>
        <v>0</v>
      </c>
      <c r="Z912" s="277">
        <f t="shared" si="290"/>
        <v>0</v>
      </c>
      <c r="AA912" s="203"/>
      <c r="AB912" s="203">
        <f t="shared" ca="1" si="291"/>
        <v>0</v>
      </c>
      <c r="AC912" s="238"/>
      <c r="AI912" s="367">
        <f t="shared" ca="1" si="286"/>
        <v>46092</v>
      </c>
      <c r="AJ912" s="367" t="b">
        <f t="shared" si="280"/>
        <v>1</v>
      </c>
      <c r="AK912" s="370" t="str">
        <f t="shared" si="281"/>
        <v/>
      </c>
      <c r="AN912">
        <f t="shared" si="282"/>
        <v>0</v>
      </c>
      <c r="AO912">
        <f t="shared" si="283"/>
        <v>1900</v>
      </c>
      <c r="AV912">
        <f t="shared" si="284"/>
        <v>0</v>
      </c>
      <c r="AW912">
        <f t="shared" si="285"/>
        <v>0</v>
      </c>
    </row>
    <row r="913" spans="4:49" ht="15.75" x14ac:dyDescent="0.25">
      <c r="D913" s="199"/>
      <c r="E913" s="200"/>
      <c r="F913" s="287"/>
      <c r="G913" s="201"/>
      <c r="H913" s="219"/>
      <c r="I913" s="202"/>
      <c r="J913" s="200"/>
      <c r="K913" s="200"/>
      <c r="L913" s="203"/>
      <c r="M913" s="204">
        <f ca="1">IF(ISERROR(OFFSET(Tabella!$A$1,MATCH(J913,Tabella!$A:$A,0)-1,MATCH(L913,Tabella!$A$1:$AC$1,0)-1)=TRUE),0,+OFFSET(Tabella!$A$1,MATCH(J913,Tabella!$A:$A,0)-1,MATCH(L913,Tabella!$A$1:$AC$1,0)-1))</f>
        <v>0</v>
      </c>
      <c r="N913" s="205">
        <f ca="1">IF(ISERROR(OFFSET(Ottone!$A$1,MATCH(J913,Ottone!$A:$A,0)-1,MATCH(L913,Ottone!$A$1:$Z$1,0)-1)=TRUE),0,OFFSET(Ottone!$A$1,MATCH(J913,Ottone!$A:$A,0)-1,MATCH(L913,Ottone!$A$1:$Z$1,0)-1))*IF(G913="Ottone",1,0)</f>
        <v>0</v>
      </c>
      <c r="O913" s="205">
        <f ca="1">IF(ISERROR(OFFSET(Rame!$A$1,MATCH(J913,Rame!$A:$A,0)-1,MATCH(L913,Rame!$A$1:$AA$1,0)-1)=TRUE),0,OFFSET(Rame!$A$1,MATCH(J913,Rame!$A:$A,0)-1,MATCH(L913,Rame!$A$1:$AA$1,0)-1))*IF(G913="Rame",1,0)</f>
        <v>0</v>
      </c>
      <c r="P913" s="205">
        <v>0</v>
      </c>
      <c r="Q913" s="205">
        <f t="shared" ca="1" si="287"/>
        <v>0</v>
      </c>
      <c r="R913" s="205">
        <f ca="1">+IF(ISERROR(OFFSET(Tabella!$G$1,MATCH(J913,Tabella!$G:$G,0)-1,MATCH(K913,Tabella!$G$1:$FG$1,0)-1)=TRUE),0,OFFSET(Tabella!$G$1,MATCH(J913,Tabella!$G:$G,0)-1,MATCH(K913,Tabella!$G$1:$AB$1,0)-1))</f>
        <v>0</v>
      </c>
      <c r="S913" s="205">
        <f ca="1">IF(ISERROR(OFFSET(Ottone!$F$1,MATCH(J913,Ottone!$A:$A,0)-1,MATCH(K913,Ottone!$F$1:$FF$1,0)-1)=TRUE),0,OFFSET(Ottone!$F$1,MATCH(J913,Ottone!$A:$A,0)-1,MATCH(K913,Ottone!$F$1:$FF$1,0)-1))*IF(G913="Ottone",1,0)</f>
        <v>0</v>
      </c>
      <c r="T913" s="205">
        <f ca="1">IF(ISERROR(OFFSET(Rame!$F$1,MATCH(J913,Rame!$F:$F,0)-1,MATCH(K913,Rame!$F$1:$FF$1,0)-1)=TRUE),0,OFFSET(Rame!$F$1,MATCH(J913,Rame!$F:$F,0)-1,MATCH(K913,Rame!$F$1:$FF$1,0)-1))*IF(G913="Rame",1,0)</f>
        <v>0</v>
      </c>
      <c r="U913" s="205">
        <f ca="1">IF(ISERROR(OFFSET(Bronzo!$A$1,MATCH(J913,Bronzo!$A:$A,0)-1,MATCH(K913,Bronzo!$A$1:$AA$1,0)-1)=TRUE),0,OFFSET(Bronzo!$A$1,MATCH(J913,Bronzo!$A:$A,0)-1,MATCH(K913,Bronzo!$A$1:$AA$1,0)-1))</f>
        <v>0</v>
      </c>
      <c r="V913" s="205">
        <f t="shared" ca="1" si="288"/>
        <v>0</v>
      </c>
      <c r="W913" s="204"/>
      <c r="X913" s="205">
        <v>0</v>
      </c>
      <c r="Y913" s="206">
        <f t="shared" ca="1" si="289"/>
        <v>0</v>
      </c>
      <c r="Z913" s="277">
        <f t="shared" si="290"/>
        <v>0</v>
      </c>
      <c r="AA913" s="203"/>
      <c r="AB913" s="203">
        <f t="shared" ca="1" si="291"/>
        <v>0</v>
      </c>
      <c r="AC913" s="238"/>
      <c r="AI913" s="367">
        <f t="shared" ca="1" si="286"/>
        <v>46092</v>
      </c>
      <c r="AJ913" s="367" t="b">
        <f t="shared" si="280"/>
        <v>1</v>
      </c>
      <c r="AK913" s="370" t="str">
        <f t="shared" si="281"/>
        <v/>
      </c>
      <c r="AN913">
        <f t="shared" si="282"/>
        <v>0</v>
      </c>
      <c r="AO913">
        <f t="shared" si="283"/>
        <v>1900</v>
      </c>
      <c r="AV913">
        <f t="shared" si="284"/>
        <v>0</v>
      </c>
      <c r="AW913">
        <f t="shared" si="285"/>
        <v>0</v>
      </c>
    </row>
    <row r="914" spans="4:49" ht="15.75" x14ac:dyDescent="0.25">
      <c r="D914" s="199"/>
      <c r="E914" s="200"/>
      <c r="F914" s="287"/>
      <c r="G914" s="201"/>
      <c r="H914" s="219"/>
      <c r="I914" s="202"/>
      <c r="J914" s="200"/>
      <c r="K914" s="200"/>
      <c r="L914" s="203"/>
      <c r="M914" s="204">
        <f ca="1">IF(ISERROR(OFFSET(Tabella!$A$1,MATCH(J914,Tabella!$A:$A,0)-1,MATCH(L914,Tabella!$A$1:$AC$1,0)-1)=TRUE),0,+OFFSET(Tabella!$A$1,MATCH(J914,Tabella!$A:$A,0)-1,MATCH(L914,Tabella!$A$1:$AC$1,0)-1))</f>
        <v>0</v>
      </c>
      <c r="N914" s="205">
        <f ca="1">IF(ISERROR(OFFSET(Ottone!$A$1,MATCH(J914,Ottone!$A:$A,0)-1,MATCH(L914,Ottone!$A$1:$Z$1,0)-1)=TRUE),0,OFFSET(Ottone!$A$1,MATCH(J914,Ottone!$A:$A,0)-1,MATCH(L914,Ottone!$A$1:$Z$1,0)-1))*IF(G914="Ottone",1,0)</f>
        <v>0</v>
      </c>
      <c r="O914" s="205">
        <f ca="1">IF(ISERROR(OFFSET(Rame!$A$1,MATCH(J914,Rame!$A:$A,0)-1,MATCH(L914,Rame!$A$1:$AA$1,0)-1)=TRUE),0,OFFSET(Rame!$A$1,MATCH(J914,Rame!$A:$A,0)-1,MATCH(L914,Rame!$A$1:$AA$1,0)-1))*IF(G914="Rame",1,0)</f>
        <v>0</v>
      </c>
      <c r="P914" s="205">
        <v>0</v>
      </c>
      <c r="Q914" s="205">
        <f t="shared" ca="1" si="287"/>
        <v>0</v>
      </c>
      <c r="R914" s="205">
        <f ca="1">+IF(ISERROR(OFFSET(Tabella!$G$1,MATCH(J914,Tabella!$G:$G,0)-1,MATCH(K914,Tabella!$G$1:$FG$1,0)-1)=TRUE),0,OFFSET(Tabella!$G$1,MATCH(J914,Tabella!$G:$G,0)-1,MATCH(K914,Tabella!$G$1:$AB$1,0)-1))</f>
        <v>0</v>
      </c>
      <c r="S914" s="205">
        <f ca="1">IF(ISERROR(OFFSET(Ottone!$F$1,MATCH(J914,Ottone!$A:$A,0)-1,MATCH(K914,Ottone!$F$1:$FF$1,0)-1)=TRUE),0,OFFSET(Ottone!$F$1,MATCH(J914,Ottone!$A:$A,0)-1,MATCH(K914,Ottone!$F$1:$FF$1,0)-1))*IF(G914="Ottone",1,0)</f>
        <v>0</v>
      </c>
      <c r="T914" s="205">
        <f ca="1">IF(ISERROR(OFFSET(Rame!$F$1,MATCH(J914,Rame!$F:$F,0)-1,MATCH(K914,Rame!$F$1:$FF$1,0)-1)=TRUE),0,OFFSET(Rame!$F$1,MATCH(J914,Rame!$F:$F,0)-1,MATCH(K914,Rame!$F$1:$FF$1,0)-1))*IF(G914="Rame",1,0)</f>
        <v>0</v>
      </c>
      <c r="U914" s="205">
        <f ca="1">IF(ISERROR(OFFSET(Bronzo!$A$1,MATCH(J914,Bronzo!$A:$A,0)-1,MATCH(K914,Bronzo!$A$1:$AA$1,0)-1)=TRUE),0,OFFSET(Bronzo!$A$1,MATCH(J914,Bronzo!$A:$A,0)-1,MATCH(K914,Bronzo!$A$1:$AA$1,0)-1))</f>
        <v>0</v>
      </c>
      <c r="V914" s="205">
        <f t="shared" ca="1" si="288"/>
        <v>0</v>
      </c>
      <c r="W914" s="204"/>
      <c r="X914" s="205">
        <v>0</v>
      </c>
      <c r="Y914" s="206">
        <f t="shared" ca="1" si="289"/>
        <v>0</v>
      </c>
      <c r="Z914" s="277">
        <f t="shared" si="290"/>
        <v>0</v>
      </c>
      <c r="AA914" s="203"/>
      <c r="AB914" s="203">
        <f t="shared" ca="1" si="291"/>
        <v>0</v>
      </c>
      <c r="AC914" s="238"/>
      <c r="AI914" s="367">
        <f t="shared" ca="1" si="286"/>
        <v>46092</v>
      </c>
      <c r="AJ914" s="367" t="b">
        <f t="shared" si="280"/>
        <v>1</v>
      </c>
      <c r="AK914" s="370" t="str">
        <f t="shared" si="281"/>
        <v/>
      </c>
      <c r="AN914">
        <f t="shared" si="282"/>
        <v>0</v>
      </c>
      <c r="AO914">
        <f t="shared" si="283"/>
        <v>1900</v>
      </c>
      <c r="AV914">
        <f t="shared" si="284"/>
        <v>0</v>
      </c>
      <c r="AW914">
        <f t="shared" si="285"/>
        <v>0</v>
      </c>
    </row>
    <row r="915" spans="4:49" ht="15.75" x14ac:dyDescent="0.25">
      <c r="D915" s="199"/>
      <c r="E915" s="200"/>
      <c r="F915" s="287"/>
      <c r="G915" s="201"/>
      <c r="H915" s="219"/>
      <c r="I915" s="202"/>
      <c r="J915" s="200"/>
      <c r="K915" s="200"/>
      <c r="L915" s="203"/>
      <c r="M915" s="204">
        <f ca="1">IF(ISERROR(OFFSET(Tabella!$A$1,MATCH(J915,Tabella!$A:$A,0)-1,MATCH(L915,Tabella!$A$1:$AC$1,0)-1)=TRUE),0,+OFFSET(Tabella!$A$1,MATCH(J915,Tabella!$A:$A,0)-1,MATCH(L915,Tabella!$A$1:$AC$1,0)-1))</f>
        <v>0</v>
      </c>
      <c r="N915" s="205">
        <f ca="1">IF(ISERROR(OFFSET(Ottone!$A$1,MATCH(J915,Ottone!$A:$A,0)-1,MATCH(L915,Ottone!$A$1:$Z$1,0)-1)=TRUE),0,OFFSET(Ottone!$A$1,MATCH(J915,Ottone!$A:$A,0)-1,MATCH(L915,Ottone!$A$1:$Z$1,0)-1))*IF(G915="Ottone",1,0)</f>
        <v>0</v>
      </c>
      <c r="O915" s="205">
        <f ca="1">IF(ISERROR(OFFSET(Rame!$A$1,MATCH(J915,Rame!$A:$A,0)-1,MATCH(L915,Rame!$A$1:$AA$1,0)-1)=TRUE),0,OFFSET(Rame!$A$1,MATCH(J915,Rame!$A:$A,0)-1,MATCH(L915,Rame!$A$1:$AA$1,0)-1))*IF(G915="Rame",1,0)</f>
        <v>0</v>
      </c>
      <c r="P915" s="205">
        <v>0</v>
      </c>
      <c r="Q915" s="205">
        <f t="shared" ca="1" si="287"/>
        <v>0</v>
      </c>
      <c r="R915" s="205">
        <f ca="1">+IF(ISERROR(OFFSET(Tabella!$G$1,MATCH(J915,Tabella!$G:$G,0)-1,MATCH(K915,Tabella!$G$1:$FG$1,0)-1)=TRUE),0,OFFSET(Tabella!$G$1,MATCH(J915,Tabella!$G:$G,0)-1,MATCH(K915,Tabella!$G$1:$AB$1,0)-1))</f>
        <v>0</v>
      </c>
      <c r="S915" s="205">
        <f ca="1">IF(ISERROR(OFFSET(Ottone!$F$1,MATCH(J915,Ottone!$A:$A,0)-1,MATCH(K915,Ottone!$F$1:$FF$1,0)-1)=TRUE),0,OFFSET(Ottone!$F$1,MATCH(J915,Ottone!$A:$A,0)-1,MATCH(K915,Ottone!$F$1:$FF$1,0)-1))*IF(G915="Ottone",1,0)</f>
        <v>0</v>
      </c>
      <c r="T915" s="205">
        <f ca="1">IF(ISERROR(OFFSET(Rame!$F$1,MATCH(J915,Rame!$F:$F,0)-1,MATCH(K915,Rame!$F$1:$FF$1,0)-1)=TRUE),0,OFFSET(Rame!$F$1,MATCH(J915,Rame!$F:$F,0)-1,MATCH(K915,Rame!$F$1:$FF$1,0)-1))*IF(G915="Rame",1,0)</f>
        <v>0</v>
      </c>
      <c r="U915" s="205">
        <f ca="1">IF(ISERROR(OFFSET(Bronzo!$A$1,MATCH(J915,Bronzo!$A:$A,0)-1,MATCH(K915,Bronzo!$A$1:$AA$1,0)-1)=TRUE),0,OFFSET(Bronzo!$A$1,MATCH(J915,Bronzo!$A:$A,0)-1,MATCH(K915,Bronzo!$A$1:$AA$1,0)-1))</f>
        <v>0</v>
      </c>
      <c r="V915" s="205">
        <f t="shared" ca="1" si="288"/>
        <v>0</v>
      </c>
      <c r="W915" s="204"/>
      <c r="X915" s="205">
        <v>0</v>
      </c>
      <c r="Y915" s="206">
        <f t="shared" ca="1" si="289"/>
        <v>0</v>
      </c>
      <c r="Z915" s="277">
        <f t="shared" si="290"/>
        <v>0</v>
      </c>
      <c r="AA915" s="203"/>
      <c r="AB915" s="203">
        <f t="shared" ca="1" si="291"/>
        <v>0</v>
      </c>
      <c r="AC915" s="238"/>
      <c r="AI915" s="367">
        <f t="shared" ca="1" si="286"/>
        <v>46092</v>
      </c>
      <c r="AJ915" s="367" t="b">
        <f t="shared" si="280"/>
        <v>1</v>
      </c>
      <c r="AK915" s="370" t="str">
        <f t="shared" si="281"/>
        <v/>
      </c>
      <c r="AN915">
        <f t="shared" si="282"/>
        <v>0</v>
      </c>
      <c r="AO915">
        <f t="shared" si="283"/>
        <v>1900</v>
      </c>
      <c r="AV915">
        <f t="shared" si="284"/>
        <v>0</v>
      </c>
      <c r="AW915">
        <f t="shared" si="285"/>
        <v>0</v>
      </c>
    </row>
    <row r="916" spans="4:49" ht="15.75" x14ac:dyDescent="0.25">
      <c r="D916" s="199"/>
      <c r="E916" s="200"/>
      <c r="F916" s="287"/>
      <c r="G916" s="201"/>
      <c r="H916" s="219"/>
      <c r="I916" s="202"/>
      <c r="J916" s="200"/>
      <c r="K916" s="200"/>
      <c r="L916" s="203"/>
      <c r="M916" s="204">
        <f ca="1">IF(ISERROR(OFFSET(Tabella!$A$1,MATCH(J916,Tabella!$A:$A,0)-1,MATCH(L916,Tabella!$A$1:$AC$1,0)-1)=TRUE),0,+OFFSET(Tabella!$A$1,MATCH(J916,Tabella!$A:$A,0)-1,MATCH(L916,Tabella!$A$1:$AC$1,0)-1))</f>
        <v>0</v>
      </c>
      <c r="N916" s="205">
        <f ca="1">IF(ISERROR(OFFSET(Ottone!$A$1,MATCH(J916,Ottone!$A:$A,0)-1,MATCH(L916,Ottone!$A$1:$Z$1,0)-1)=TRUE),0,OFFSET(Ottone!$A$1,MATCH(J916,Ottone!$A:$A,0)-1,MATCH(L916,Ottone!$A$1:$Z$1,0)-1))*IF(G916="Ottone",1,0)</f>
        <v>0</v>
      </c>
      <c r="O916" s="205">
        <f ca="1">IF(ISERROR(OFFSET(Rame!$A$1,MATCH(J916,Rame!$A:$A,0)-1,MATCH(L916,Rame!$A$1:$AA$1,0)-1)=TRUE),0,OFFSET(Rame!$A$1,MATCH(J916,Rame!$A:$A,0)-1,MATCH(L916,Rame!$A$1:$AA$1,0)-1))*IF(G916="Rame",1,0)</f>
        <v>0</v>
      </c>
      <c r="P916" s="205">
        <v>0</v>
      </c>
      <c r="Q916" s="205">
        <f t="shared" ca="1" si="287"/>
        <v>0</v>
      </c>
      <c r="R916" s="205">
        <f ca="1">+IF(ISERROR(OFFSET(Tabella!$G$1,MATCH(J916,Tabella!$G:$G,0)-1,MATCH(K916,Tabella!$G$1:$FG$1,0)-1)=TRUE),0,OFFSET(Tabella!$G$1,MATCH(J916,Tabella!$G:$G,0)-1,MATCH(K916,Tabella!$G$1:$AB$1,0)-1))</f>
        <v>0</v>
      </c>
      <c r="S916" s="205">
        <f ca="1">IF(ISERROR(OFFSET(Ottone!$F$1,MATCH(J916,Ottone!$A:$A,0)-1,MATCH(K916,Ottone!$F$1:$FF$1,0)-1)=TRUE),0,OFFSET(Ottone!$F$1,MATCH(J916,Ottone!$A:$A,0)-1,MATCH(K916,Ottone!$F$1:$FF$1,0)-1))*IF(G916="Ottone",1,0)</f>
        <v>0</v>
      </c>
      <c r="T916" s="205">
        <f ca="1">IF(ISERROR(OFFSET(Rame!$F$1,MATCH(J916,Rame!$F:$F,0)-1,MATCH(K916,Rame!$F$1:$FF$1,0)-1)=TRUE),0,OFFSET(Rame!$F$1,MATCH(J916,Rame!$F:$F,0)-1,MATCH(K916,Rame!$F$1:$FF$1,0)-1))*IF(G916="Rame",1,0)</f>
        <v>0</v>
      </c>
      <c r="U916" s="205">
        <f ca="1">IF(ISERROR(OFFSET(Bronzo!$A$1,MATCH(J916,Bronzo!$A:$A,0)-1,MATCH(K916,Bronzo!$A$1:$AA$1,0)-1)=TRUE),0,OFFSET(Bronzo!$A$1,MATCH(J916,Bronzo!$A:$A,0)-1,MATCH(K916,Bronzo!$A$1:$AA$1,0)-1))</f>
        <v>0</v>
      </c>
      <c r="V916" s="205">
        <f t="shared" ca="1" si="288"/>
        <v>0</v>
      </c>
      <c r="W916" s="204"/>
      <c r="X916" s="205">
        <v>0</v>
      </c>
      <c r="Y916" s="206">
        <f t="shared" ca="1" si="289"/>
        <v>0</v>
      </c>
      <c r="Z916" s="277">
        <f t="shared" si="290"/>
        <v>0</v>
      </c>
      <c r="AA916" s="203"/>
      <c r="AB916" s="203">
        <f t="shared" ca="1" si="291"/>
        <v>0</v>
      </c>
      <c r="AC916" s="238"/>
      <c r="AI916" s="367">
        <f t="shared" ca="1" si="286"/>
        <v>46092</v>
      </c>
      <c r="AJ916" s="367" t="b">
        <f t="shared" si="280"/>
        <v>1</v>
      </c>
      <c r="AK916" s="370" t="str">
        <f t="shared" si="281"/>
        <v/>
      </c>
      <c r="AN916">
        <f t="shared" si="282"/>
        <v>0</v>
      </c>
      <c r="AO916">
        <f t="shared" si="283"/>
        <v>1900</v>
      </c>
      <c r="AV916">
        <f t="shared" si="284"/>
        <v>0</v>
      </c>
      <c r="AW916">
        <f t="shared" si="285"/>
        <v>0</v>
      </c>
    </row>
    <row r="917" spans="4:49" ht="15.75" x14ac:dyDescent="0.25">
      <c r="D917" s="199"/>
      <c r="E917" s="200"/>
      <c r="F917" s="287"/>
      <c r="G917" s="201"/>
      <c r="H917" s="219"/>
      <c r="I917" s="202"/>
      <c r="J917" s="200"/>
      <c r="K917" s="200"/>
      <c r="L917" s="203"/>
      <c r="M917" s="204">
        <f ca="1">IF(ISERROR(OFFSET(Tabella!$A$1,MATCH(J917,Tabella!$A:$A,0)-1,MATCH(L917,Tabella!$A$1:$AC$1,0)-1)=TRUE),0,+OFFSET(Tabella!$A$1,MATCH(J917,Tabella!$A:$A,0)-1,MATCH(L917,Tabella!$A$1:$AC$1,0)-1))</f>
        <v>0</v>
      </c>
      <c r="N917" s="205">
        <f ca="1">IF(ISERROR(OFFSET(Ottone!$A$1,MATCH(J917,Ottone!$A:$A,0)-1,MATCH(L917,Ottone!$A$1:$Z$1,0)-1)=TRUE),0,OFFSET(Ottone!$A$1,MATCH(J917,Ottone!$A:$A,0)-1,MATCH(L917,Ottone!$A$1:$Z$1,0)-1))*IF(G917="Ottone",1,0)</f>
        <v>0</v>
      </c>
      <c r="O917" s="205">
        <f ca="1">IF(ISERROR(OFFSET(Rame!$A$1,MATCH(J917,Rame!$A:$A,0)-1,MATCH(L917,Rame!$A$1:$AA$1,0)-1)=TRUE),0,OFFSET(Rame!$A$1,MATCH(J917,Rame!$A:$A,0)-1,MATCH(L917,Rame!$A$1:$AA$1,0)-1))*IF(G917="Rame",1,0)</f>
        <v>0</v>
      </c>
      <c r="P917" s="205">
        <v>0</v>
      </c>
      <c r="Q917" s="205">
        <f t="shared" ca="1" si="287"/>
        <v>0</v>
      </c>
      <c r="R917" s="205">
        <f ca="1">+IF(ISERROR(OFFSET(Tabella!$G$1,MATCH(J917,Tabella!$G:$G,0)-1,MATCH(K917,Tabella!$G$1:$FG$1,0)-1)=TRUE),0,OFFSET(Tabella!$G$1,MATCH(J917,Tabella!$G:$G,0)-1,MATCH(K917,Tabella!$G$1:$AB$1,0)-1))</f>
        <v>0</v>
      </c>
      <c r="S917" s="205">
        <f ca="1">IF(ISERROR(OFFSET(Ottone!$F$1,MATCH(J917,Ottone!$A:$A,0)-1,MATCH(K917,Ottone!$F$1:$FF$1,0)-1)=TRUE),0,OFFSET(Ottone!$F$1,MATCH(J917,Ottone!$A:$A,0)-1,MATCH(K917,Ottone!$F$1:$FF$1,0)-1))*IF(G917="Ottone",1,0)</f>
        <v>0</v>
      </c>
      <c r="T917" s="205">
        <f ca="1">IF(ISERROR(OFFSET(Rame!$F$1,MATCH(J917,Rame!$F:$F,0)-1,MATCH(K917,Rame!$F$1:$FF$1,0)-1)=TRUE),0,OFFSET(Rame!$F$1,MATCH(J917,Rame!$F:$F,0)-1,MATCH(K917,Rame!$F$1:$FF$1,0)-1))*IF(G917="Rame",1,0)</f>
        <v>0</v>
      </c>
      <c r="U917" s="205">
        <f ca="1">IF(ISERROR(OFFSET(Bronzo!$A$1,MATCH(J917,Bronzo!$A:$A,0)-1,MATCH(K917,Bronzo!$A$1:$AA$1,0)-1)=TRUE),0,OFFSET(Bronzo!$A$1,MATCH(J917,Bronzo!$A:$A,0)-1,MATCH(K917,Bronzo!$A$1:$AA$1,0)-1))</f>
        <v>0</v>
      </c>
      <c r="V917" s="205">
        <f t="shared" ca="1" si="288"/>
        <v>0</v>
      </c>
      <c r="W917" s="204"/>
      <c r="X917" s="205">
        <v>0</v>
      </c>
      <c r="Y917" s="206">
        <f t="shared" ca="1" si="289"/>
        <v>0</v>
      </c>
      <c r="Z917" s="277">
        <f t="shared" si="290"/>
        <v>0</v>
      </c>
      <c r="AA917" s="203"/>
      <c r="AB917" s="203">
        <f t="shared" ca="1" si="291"/>
        <v>0</v>
      </c>
      <c r="AC917" s="238"/>
      <c r="AI917" s="367">
        <f t="shared" ca="1" si="286"/>
        <v>46092</v>
      </c>
      <c r="AJ917" s="367" t="b">
        <f t="shared" si="280"/>
        <v>1</v>
      </c>
      <c r="AK917" s="370" t="str">
        <f t="shared" si="281"/>
        <v/>
      </c>
      <c r="AN917">
        <f t="shared" si="282"/>
        <v>0</v>
      </c>
      <c r="AO917">
        <f t="shared" si="283"/>
        <v>1900</v>
      </c>
      <c r="AV917">
        <f t="shared" si="284"/>
        <v>0</v>
      </c>
      <c r="AW917">
        <f t="shared" si="285"/>
        <v>0</v>
      </c>
    </row>
    <row r="918" spans="4:49" ht="15.75" x14ac:dyDescent="0.25">
      <c r="D918" s="199"/>
      <c r="E918" s="200"/>
      <c r="F918" s="287"/>
      <c r="G918" s="201"/>
      <c r="H918" s="219"/>
      <c r="I918" s="202"/>
      <c r="J918" s="200"/>
      <c r="K918" s="200"/>
      <c r="L918" s="203"/>
      <c r="M918" s="204">
        <f ca="1">IF(ISERROR(OFFSET(Tabella!$A$1,MATCH(J918,Tabella!$A:$A,0)-1,MATCH(L918,Tabella!$A$1:$AC$1,0)-1)=TRUE),0,+OFFSET(Tabella!$A$1,MATCH(J918,Tabella!$A:$A,0)-1,MATCH(L918,Tabella!$A$1:$AC$1,0)-1))</f>
        <v>0</v>
      </c>
      <c r="N918" s="205">
        <f ca="1">IF(ISERROR(OFFSET(Ottone!$A$1,MATCH(J918,Ottone!$A:$A,0)-1,MATCH(L918,Ottone!$A$1:$Z$1,0)-1)=TRUE),0,OFFSET(Ottone!$A$1,MATCH(J918,Ottone!$A:$A,0)-1,MATCH(L918,Ottone!$A$1:$Z$1,0)-1))*IF(G918="Ottone",1,0)</f>
        <v>0</v>
      </c>
      <c r="O918" s="205">
        <f ca="1">IF(ISERROR(OFFSET(Rame!$A$1,MATCH(J918,Rame!$A:$A,0)-1,MATCH(L918,Rame!$A$1:$AA$1,0)-1)=TRUE),0,OFFSET(Rame!$A$1,MATCH(J918,Rame!$A:$A,0)-1,MATCH(L918,Rame!$A$1:$AA$1,0)-1))*IF(G918="Rame",1,0)</f>
        <v>0</v>
      </c>
      <c r="P918" s="205">
        <v>0</v>
      </c>
      <c r="Q918" s="205">
        <f t="shared" ca="1" si="287"/>
        <v>0</v>
      </c>
      <c r="R918" s="205">
        <f ca="1">+IF(ISERROR(OFFSET(Tabella!$G$1,MATCH(J918,Tabella!$G:$G,0)-1,MATCH(K918,Tabella!$G$1:$FG$1,0)-1)=TRUE),0,OFFSET(Tabella!$G$1,MATCH(J918,Tabella!$G:$G,0)-1,MATCH(K918,Tabella!$G$1:$AB$1,0)-1))</f>
        <v>0</v>
      </c>
      <c r="S918" s="205">
        <f ca="1">IF(ISERROR(OFFSET(Ottone!$F$1,MATCH(J918,Ottone!$A:$A,0)-1,MATCH(K918,Ottone!$F$1:$FF$1,0)-1)=TRUE),0,OFFSET(Ottone!$F$1,MATCH(J918,Ottone!$A:$A,0)-1,MATCH(K918,Ottone!$F$1:$FF$1,0)-1))*IF(G918="Ottone",1,0)</f>
        <v>0</v>
      </c>
      <c r="T918" s="205">
        <f ca="1">IF(ISERROR(OFFSET(Rame!$F$1,MATCH(J918,Rame!$F:$F,0)-1,MATCH(K918,Rame!$F$1:$FF$1,0)-1)=TRUE),0,OFFSET(Rame!$F$1,MATCH(J918,Rame!$F:$F,0)-1,MATCH(K918,Rame!$F$1:$FF$1,0)-1))*IF(G918="Rame",1,0)</f>
        <v>0</v>
      </c>
      <c r="U918" s="205">
        <f ca="1">IF(ISERROR(OFFSET(Bronzo!$A$1,MATCH(J918,Bronzo!$A:$A,0)-1,MATCH(K918,Bronzo!$A$1:$AA$1,0)-1)=TRUE),0,OFFSET(Bronzo!$A$1,MATCH(J918,Bronzo!$A:$A,0)-1,MATCH(K918,Bronzo!$A$1:$AA$1,0)-1))</f>
        <v>0</v>
      </c>
      <c r="V918" s="205">
        <f t="shared" ca="1" si="288"/>
        <v>0</v>
      </c>
      <c r="W918" s="204"/>
      <c r="X918" s="205">
        <v>0</v>
      </c>
      <c r="Y918" s="206">
        <f t="shared" ca="1" si="289"/>
        <v>0</v>
      </c>
      <c r="Z918" s="277">
        <f t="shared" si="290"/>
        <v>0</v>
      </c>
      <c r="AA918" s="203"/>
      <c r="AB918" s="203">
        <f t="shared" ca="1" si="291"/>
        <v>0</v>
      </c>
      <c r="AC918" s="238"/>
      <c r="AI918" s="367">
        <f t="shared" ca="1" si="286"/>
        <v>46092</v>
      </c>
      <c r="AJ918" s="367" t="b">
        <f t="shared" si="280"/>
        <v>1</v>
      </c>
      <c r="AK918" s="370" t="str">
        <f t="shared" si="281"/>
        <v/>
      </c>
      <c r="AN918">
        <f t="shared" si="282"/>
        <v>0</v>
      </c>
      <c r="AO918">
        <f t="shared" si="283"/>
        <v>1900</v>
      </c>
      <c r="AV918">
        <f t="shared" si="284"/>
        <v>0</v>
      </c>
      <c r="AW918">
        <f t="shared" si="285"/>
        <v>0</v>
      </c>
    </row>
    <row r="919" spans="4:49" ht="15.75" x14ac:dyDescent="0.25">
      <c r="D919" s="199"/>
      <c r="E919" s="200"/>
      <c r="F919" s="287"/>
      <c r="G919" s="201"/>
      <c r="H919" s="219"/>
      <c r="I919" s="202"/>
      <c r="J919" s="200"/>
      <c r="K919" s="200"/>
      <c r="L919" s="203"/>
      <c r="M919" s="204">
        <f ca="1">IF(ISERROR(OFFSET(Tabella!$A$1,MATCH(J919,Tabella!$A:$A,0)-1,MATCH(L919,Tabella!$A$1:$AC$1,0)-1)=TRUE),0,+OFFSET(Tabella!$A$1,MATCH(J919,Tabella!$A:$A,0)-1,MATCH(L919,Tabella!$A$1:$AC$1,0)-1))</f>
        <v>0</v>
      </c>
      <c r="N919" s="205">
        <f ca="1">IF(ISERROR(OFFSET(Ottone!$A$1,MATCH(J919,Ottone!$A:$A,0)-1,MATCH(L919,Ottone!$A$1:$Z$1,0)-1)=TRUE),0,OFFSET(Ottone!$A$1,MATCH(J919,Ottone!$A:$A,0)-1,MATCH(L919,Ottone!$A$1:$Z$1,0)-1))*IF(G919="Ottone",1,0)</f>
        <v>0</v>
      </c>
      <c r="O919" s="205">
        <f ca="1">IF(ISERROR(OFFSET(Rame!$A$1,MATCH(J919,Rame!$A:$A,0)-1,MATCH(L919,Rame!$A$1:$AA$1,0)-1)=TRUE),0,OFFSET(Rame!$A$1,MATCH(J919,Rame!$A:$A,0)-1,MATCH(L919,Rame!$A$1:$AA$1,0)-1))*IF(G919="Rame",1,0)</f>
        <v>0</v>
      </c>
      <c r="P919" s="205">
        <v>0</v>
      </c>
      <c r="Q919" s="205">
        <f t="shared" ca="1" si="287"/>
        <v>0</v>
      </c>
      <c r="R919" s="205">
        <f ca="1">+IF(ISERROR(OFFSET(Tabella!$G$1,MATCH(J919,Tabella!$G:$G,0)-1,MATCH(K919,Tabella!$G$1:$FG$1,0)-1)=TRUE),0,OFFSET(Tabella!$G$1,MATCH(J919,Tabella!$G:$G,0)-1,MATCH(K919,Tabella!$G$1:$AB$1,0)-1))</f>
        <v>0</v>
      </c>
      <c r="S919" s="205">
        <f ca="1">IF(ISERROR(OFFSET(Ottone!$F$1,MATCH(J919,Ottone!$A:$A,0)-1,MATCH(K919,Ottone!$F$1:$FF$1,0)-1)=TRUE),0,OFFSET(Ottone!$F$1,MATCH(J919,Ottone!$A:$A,0)-1,MATCH(K919,Ottone!$F$1:$FF$1,0)-1))*IF(G919="Ottone",1,0)</f>
        <v>0</v>
      </c>
      <c r="T919" s="205">
        <f ca="1">IF(ISERROR(OFFSET(Rame!$F$1,MATCH(J919,Rame!$F:$F,0)-1,MATCH(K919,Rame!$F$1:$FF$1,0)-1)=TRUE),0,OFFSET(Rame!$F$1,MATCH(J919,Rame!$F:$F,0)-1,MATCH(K919,Rame!$F$1:$FF$1,0)-1))*IF(G919="Rame",1,0)</f>
        <v>0</v>
      </c>
      <c r="U919" s="205">
        <f ca="1">IF(ISERROR(OFFSET(Bronzo!$A$1,MATCH(J919,Bronzo!$A:$A,0)-1,MATCH(K919,Bronzo!$A$1:$AA$1,0)-1)=TRUE),0,OFFSET(Bronzo!$A$1,MATCH(J919,Bronzo!$A:$A,0)-1,MATCH(K919,Bronzo!$A$1:$AA$1,0)-1))</f>
        <v>0</v>
      </c>
      <c r="V919" s="205">
        <f t="shared" ca="1" si="288"/>
        <v>0</v>
      </c>
      <c r="W919" s="204"/>
      <c r="X919" s="205">
        <v>0</v>
      </c>
      <c r="Y919" s="206">
        <f t="shared" ca="1" si="289"/>
        <v>0</v>
      </c>
      <c r="Z919" s="277">
        <f t="shared" si="290"/>
        <v>0</v>
      </c>
      <c r="AA919" s="203"/>
      <c r="AB919" s="203">
        <f t="shared" ca="1" si="291"/>
        <v>0</v>
      </c>
      <c r="AC919" s="238"/>
      <c r="AI919" s="367">
        <f t="shared" ca="1" si="286"/>
        <v>46092</v>
      </c>
      <c r="AJ919" s="367" t="b">
        <f t="shared" si="280"/>
        <v>1</v>
      </c>
      <c r="AK919" s="370" t="str">
        <f t="shared" si="281"/>
        <v/>
      </c>
      <c r="AN919">
        <f t="shared" si="282"/>
        <v>0</v>
      </c>
      <c r="AO919">
        <f t="shared" si="283"/>
        <v>1900</v>
      </c>
      <c r="AV919">
        <f t="shared" si="284"/>
        <v>0</v>
      </c>
      <c r="AW919">
        <f t="shared" si="285"/>
        <v>0</v>
      </c>
    </row>
    <row r="920" spans="4:49" ht="15.75" x14ac:dyDescent="0.25">
      <c r="D920" s="199"/>
      <c r="E920" s="200"/>
      <c r="F920" s="287"/>
      <c r="G920" s="201"/>
      <c r="H920" s="219"/>
      <c r="I920" s="202"/>
      <c r="J920" s="200"/>
      <c r="K920" s="200"/>
      <c r="L920" s="203"/>
      <c r="M920" s="204">
        <f ca="1">IF(ISERROR(OFFSET(Tabella!$A$1,MATCH(J920,Tabella!$A:$A,0)-1,MATCH(L920,Tabella!$A$1:$AC$1,0)-1)=TRUE),0,+OFFSET(Tabella!$A$1,MATCH(J920,Tabella!$A:$A,0)-1,MATCH(L920,Tabella!$A$1:$AC$1,0)-1))</f>
        <v>0</v>
      </c>
      <c r="N920" s="205">
        <f ca="1">IF(ISERROR(OFFSET(Ottone!$A$1,MATCH(J920,Ottone!$A:$A,0)-1,MATCH(L920,Ottone!$A$1:$Z$1,0)-1)=TRUE),0,OFFSET(Ottone!$A$1,MATCH(J920,Ottone!$A:$A,0)-1,MATCH(L920,Ottone!$A$1:$Z$1,0)-1))*IF(G920="Ottone",1,0)</f>
        <v>0</v>
      </c>
      <c r="O920" s="205">
        <f ca="1">IF(ISERROR(OFFSET(Rame!$A$1,MATCH(J920,Rame!$A:$A,0)-1,MATCH(L920,Rame!$A$1:$AA$1,0)-1)=TRUE),0,OFFSET(Rame!$A$1,MATCH(J920,Rame!$A:$A,0)-1,MATCH(L920,Rame!$A$1:$AA$1,0)-1))*IF(G920="Rame",1,0)</f>
        <v>0</v>
      </c>
      <c r="P920" s="205">
        <v>0</v>
      </c>
      <c r="Q920" s="205">
        <f t="shared" ca="1" si="287"/>
        <v>0</v>
      </c>
      <c r="R920" s="205">
        <f ca="1">+IF(ISERROR(OFFSET(Tabella!$G$1,MATCH(J920,Tabella!$G:$G,0)-1,MATCH(K920,Tabella!$G$1:$FG$1,0)-1)=TRUE),0,OFFSET(Tabella!$G$1,MATCH(J920,Tabella!$G:$G,0)-1,MATCH(K920,Tabella!$G$1:$AB$1,0)-1))</f>
        <v>0</v>
      </c>
      <c r="S920" s="205">
        <f ca="1">IF(ISERROR(OFFSET(Ottone!$F$1,MATCH(J920,Ottone!$A:$A,0)-1,MATCH(K920,Ottone!$F$1:$FF$1,0)-1)=TRUE),0,OFFSET(Ottone!$F$1,MATCH(J920,Ottone!$A:$A,0)-1,MATCH(K920,Ottone!$F$1:$FF$1,0)-1))*IF(G920="Ottone",1,0)</f>
        <v>0</v>
      </c>
      <c r="T920" s="205">
        <f ca="1">IF(ISERROR(OFFSET(Rame!$F$1,MATCH(J920,Rame!$F:$F,0)-1,MATCH(K920,Rame!$F$1:$FF$1,0)-1)=TRUE),0,OFFSET(Rame!$F$1,MATCH(J920,Rame!$F:$F,0)-1,MATCH(K920,Rame!$F$1:$FF$1,0)-1))*IF(G920="Rame",1,0)</f>
        <v>0</v>
      </c>
      <c r="U920" s="205">
        <f ca="1">IF(ISERROR(OFFSET(Bronzo!$A$1,MATCH(J920,Bronzo!$A:$A,0)-1,MATCH(K920,Bronzo!$A$1:$AA$1,0)-1)=TRUE),0,OFFSET(Bronzo!$A$1,MATCH(J920,Bronzo!$A:$A,0)-1,MATCH(K920,Bronzo!$A$1:$AA$1,0)-1))</f>
        <v>0</v>
      </c>
      <c r="V920" s="205">
        <f t="shared" ca="1" si="288"/>
        <v>0</v>
      </c>
      <c r="W920" s="204"/>
      <c r="X920" s="205">
        <v>0</v>
      </c>
      <c r="Y920" s="206">
        <f t="shared" ca="1" si="289"/>
        <v>0</v>
      </c>
      <c r="Z920" s="277">
        <f t="shared" si="290"/>
        <v>0</v>
      </c>
      <c r="AA920" s="203"/>
      <c r="AB920" s="203">
        <f t="shared" ca="1" si="291"/>
        <v>0</v>
      </c>
      <c r="AC920" s="238"/>
      <c r="AI920" s="367">
        <f t="shared" ca="1" si="286"/>
        <v>46092</v>
      </c>
      <c r="AJ920" s="367" t="b">
        <f t="shared" si="280"/>
        <v>1</v>
      </c>
      <c r="AK920" s="370" t="str">
        <f t="shared" si="281"/>
        <v/>
      </c>
      <c r="AN920">
        <f t="shared" si="282"/>
        <v>0</v>
      </c>
      <c r="AO920">
        <f t="shared" si="283"/>
        <v>1900</v>
      </c>
      <c r="AV920">
        <f t="shared" si="284"/>
        <v>0</v>
      </c>
      <c r="AW920">
        <f t="shared" si="285"/>
        <v>0</v>
      </c>
    </row>
    <row r="921" spans="4:49" ht="15.75" x14ac:dyDescent="0.25">
      <c r="D921" s="199"/>
      <c r="E921" s="200"/>
      <c r="F921" s="287"/>
      <c r="G921" s="201"/>
      <c r="H921" s="219"/>
      <c r="I921" s="202"/>
      <c r="J921" s="200"/>
      <c r="K921" s="200"/>
      <c r="L921" s="203"/>
      <c r="M921" s="204">
        <f ca="1">IF(ISERROR(OFFSET(Tabella!$A$1,MATCH(J921,Tabella!$A:$A,0)-1,MATCH(L921,Tabella!$A$1:$AC$1,0)-1)=TRUE),0,+OFFSET(Tabella!$A$1,MATCH(J921,Tabella!$A:$A,0)-1,MATCH(L921,Tabella!$A$1:$AC$1,0)-1))</f>
        <v>0</v>
      </c>
      <c r="N921" s="205">
        <f ca="1">IF(ISERROR(OFFSET(Ottone!$A$1,MATCH(J921,Ottone!$A:$A,0)-1,MATCH(L921,Ottone!$A$1:$Z$1,0)-1)=TRUE),0,OFFSET(Ottone!$A$1,MATCH(J921,Ottone!$A:$A,0)-1,MATCH(L921,Ottone!$A$1:$Z$1,0)-1))*IF(G921="Ottone",1,0)</f>
        <v>0</v>
      </c>
      <c r="O921" s="205">
        <f ca="1">IF(ISERROR(OFFSET(Rame!$A$1,MATCH(J921,Rame!$A:$A,0)-1,MATCH(L921,Rame!$A$1:$AA$1,0)-1)=TRUE),0,OFFSET(Rame!$A$1,MATCH(J921,Rame!$A:$A,0)-1,MATCH(L921,Rame!$A$1:$AA$1,0)-1))*IF(G921="Rame",1,0)</f>
        <v>0</v>
      </c>
      <c r="P921" s="205">
        <v>0</v>
      </c>
      <c r="Q921" s="205">
        <f t="shared" ca="1" si="287"/>
        <v>0</v>
      </c>
      <c r="R921" s="205">
        <f ca="1">+IF(ISERROR(OFFSET(Tabella!$G$1,MATCH(J921,Tabella!$G:$G,0)-1,MATCH(K921,Tabella!$G$1:$FG$1,0)-1)=TRUE),0,OFFSET(Tabella!$G$1,MATCH(J921,Tabella!$G:$G,0)-1,MATCH(K921,Tabella!$G$1:$AB$1,0)-1))</f>
        <v>0</v>
      </c>
      <c r="S921" s="205">
        <f ca="1">IF(ISERROR(OFFSET(Ottone!$F$1,MATCH(J921,Ottone!$A:$A,0)-1,MATCH(K921,Ottone!$F$1:$FF$1,0)-1)=TRUE),0,OFFSET(Ottone!$F$1,MATCH(J921,Ottone!$A:$A,0)-1,MATCH(K921,Ottone!$F$1:$FF$1,0)-1))*IF(G921="Ottone",1,0)</f>
        <v>0</v>
      </c>
      <c r="T921" s="205">
        <f ca="1">IF(ISERROR(OFFSET(Rame!$F$1,MATCH(J921,Rame!$F:$F,0)-1,MATCH(K921,Rame!$F$1:$FF$1,0)-1)=TRUE),0,OFFSET(Rame!$F$1,MATCH(J921,Rame!$F:$F,0)-1,MATCH(K921,Rame!$F$1:$FF$1,0)-1))*IF(G921="Rame",1,0)</f>
        <v>0</v>
      </c>
      <c r="U921" s="205">
        <f ca="1">IF(ISERROR(OFFSET(Bronzo!$A$1,MATCH(J921,Bronzo!$A:$A,0)-1,MATCH(K921,Bronzo!$A$1:$AA$1,0)-1)=TRUE),0,OFFSET(Bronzo!$A$1,MATCH(J921,Bronzo!$A:$A,0)-1,MATCH(K921,Bronzo!$A$1:$AA$1,0)-1))</f>
        <v>0</v>
      </c>
      <c r="V921" s="205">
        <f t="shared" ca="1" si="288"/>
        <v>0</v>
      </c>
      <c r="W921" s="204"/>
      <c r="X921" s="205">
        <v>0</v>
      </c>
      <c r="Y921" s="206">
        <f t="shared" ca="1" si="289"/>
        <v>0</v>
      </c>
      <c r="Z921" s="277">
        <f t="shared" si="290"/>
        <v>0</v>
      </c>
      <c r="AA921" s="203"/>
      <c r="AB921" s="203">
        <f t="shared" ca="1" si="291"/>
        <v>0</v>
      </c>
      <c r="AC921" s="238"/>
      <c r="AI921" s="367">
        <f t="shared" ca="1" si="286"/>
        <v>46092</v>
      </c>
      <c r="AJ921" s="367" t="b">
        <f t="shared" si="280"/>
        <v>1</v>
      </c>
      <c r="AK921" s="370" t="str">
        <f t="shared" si="281"/>
        <v/>
      </c>
      <c r="AN921">
        <f t="shared" si="282"/>
        <v>0</v>
      </c>
      <c r="AO921">
        <f t="shared" si="283"/>
        <v>1900</v>
      </c>
      <c r="AV921">
        <f t="shared" si="284"/>
        <v>0</v>
      </c>
      <c r="AW921">
        <f t="shared" si="285"/>
        <v>0</v>
      </c>
    </row>
    <row r="922" spans="4:49" ht="15.75" x14ac:dyDescent="0.25">
      <c r="D922" s="199"/>
      <c r="E922" s="200"/>
      <c r="F922" s="287"/>
      <c r="G922" s="201"/>
      <c r="H922" s="219"/>
      <c r="I922" s="202"/>
      <c r="J922" s="200"/>
      <c r="K922" s="200"/>
      <c r="L922" s="203"/>
      <c r="M922" s="204">
        <f ca="1">IF(ISERROR(OFFSET(Tabella!$A$1,MATCH(J922,Tabella!$A:$A,0)-1,MATCH(L922,Tabella!$A$1:$AC$1,0)-1)=TRUE),0,+OFFSET(Tabella!$A$1,MATCH(J922,Tabella!$A:$A,0)-1,MATCH(L922,Tabella!$A$1:$AC$1,0)-1))</f>
        <v>0</v>
      </c>
      <c r="N922" s="205">
        <f ca="1">IF(ISERROR(OFFSET(Ottone!$A$1,MATCH(J922,Ottone!$A:$A,0)-1,MATCH(L922,Ottone!$A$1:$Z$1,0)-1)=TRUE),0,OFFSET(Ottone!$A$1,MATCH(J922,Ottone!$A:$A,0)-1,MATCH(L922,Ottone!$A$1:$Z$1,0)-1))*IF(G922="Ottone",1,0)</f>
        <v>0</v>
      </c>
      <c r="O922" s="205">
        <f ca="1">IF(ISERROR(OFFSET(Rame!$A$1,MATCH(J922,Rame!$A:$A,0)-1,MATCH(L922,Rame!$A$1:$AA$1,0)-1)=TRUE),0,OFFSET(Rame!$A$1,MATCH(J922,Rame!$A:$A,0)-1,MATCH(L922,Rame!$A$1:$AA$1,0)-1))*IF(G922="Rame",1,0)</f>
        <v>0</v>
      </c>
      <c r="P922" s="205">
        <v>0</v>
      </c>
      <c r="Q922" s="205">
        <f t="shared" ca="1" si="287"/>
        <v>0</v>
      </c>
      <c r="R922" s="205">
        <f ca="1">+IF(ISERROR(OFFSET(Tabella!$G$1,MATCH(J922,Tabella!$G:$G,0)-1,MATCH(K922,Tabella!$G$1:$FG$1,0)-1)=TRUE),0,OFFSET(Tabella!$G$1,MATCH(J922,Tabella!$G:$G,0)-1,MATCH(K922,Tabella!$G$1:$AB$1,0)-1))</f>
        <v>0</v>
      </c>
      <c r="S922" s="205">
        <f ca="1">IF(ISERROR(OFFSET(Ottone!$F$1,MATCH(J922,Ottone!$A:$A,0)-1,MATCH(K922,Ottone!$F$1:$FF$1,0)-1)=TRUE),0,OFFSET(Ottone!$F$1,MATCH(J922,Ottone!$A:$A,0)-1,MATCH(K922,Ottone!$F$1:$FF$1,0)-1))*IF(G922="Ottone",1,0)</f>
        <v>0</v>
      </c>
      <c r="T922" s="205">
        <f ca="1">IF(ISERROR(OFFSET(Rame!$F$1,MATCH(J922,Rame!$F:$F,0)-1,MATCH(K922,Rame!$F$1:$FF$1,0)-1)=TRUE),0,OFFSET(Rame!$F$1,MATCH(J922,Rame!$F:$F,0)-1,MATCH(K922,Rame!$F$1:$FF$1,0)-1))*IF(G922="Rame",1,0)</f>
        <v>0</v>
      </c>
      <c r="U922" s="205">
        <f ca="1">IF(ISERROR(OFFSET(Bronzo!$A$1,MATCH(J922,Bronzo!$A:$A,0)-1,MATCH(K922,Bronzo!$A$1:$AA$1,0)-1)=TRUE),0,OFFSET(Bronzo!$A$1,MATCH(J922,Bronzo!$A:$A,0)-1,MATCH(K922,Bronzo!$A$1:$AA$1,0)-1))</f>
        <v>0</v>
      </c>
      <c r="V922" s="205">
        <f t="shared" ca="1" si="288"/>
        <v>0</v>
      </c>
      <c r="W922" s="204"/>
      <c r="X922" s="205">
        <v>0</v>
      </c>
      <c r="Y922" s="206">
        <f t="shared" ca="1" si="289"/>
        <v>0</v>
      </c>
      <c r="Z922" s="277">
        <f t="shared" si="290"/>
        <v>0</v>
      </c>
      <c r="AA922" s="203"/>
      <c r="AB922" s="203">
        <f t="shared" ca="1" si="291"/>
        <v>0</v>
      </c>
      <c r="AC922" s="238"/>
      <c r="AI922" s="367">
        <f t="shared" ca="1" si="286"/>
        <v>46092</v>
      </c>
      <c r="AJ922" s="367" t="b">
        <f t="shared" si="280"/>
        <v>1</v>
      </c>
      <c r="AK922" s="370" t="str">
        <f t="shared" si="281"/>
        <v/>
      </c>
      <c r="AN922">
        <f t="shared" si="282"/>
        <v>0</v>
      </c>
      <c r="AO922">
        <f t="shared" si="283"/>
        <v>1900</v>
      </c>
      <c r="AV922">
        <f t="shared" si="284"/>
        <v>0</v>
      </c>
      <c r="AW922">
        <f t="shared" si="285"/>
        <v>0</v>
      </c>
    </row>
    <row r="923" spans="4:49" ht="15.75" x14ac:dyDescent="0.25">
      <c r="D923" s="199"/>
      <c r="E923" s="200"/>
      <c r="F923" s="287"/>
      <c r="G923" s="201"/>
      <c r="H923" s="219"/>
      <c r="I923" s="202"/>
      <c r="J923" s="200"/>
      <c r="K923" s="200"/>
      <c r="L923" s="203"/>
      <c r="M923" s="204">
        <f ca="1">IF(ISERROR(OFFSET(Tabella!$A$1,MATCH(J923,Tabella!$A:$A,0)-1,MATCH(L923,Tabella!$A$1:$AC$1,0)-1)=TRUE),0,+OFFSET(Tabella!$A$1,MATCH(J923,Tabella!$A:$A,0)-1,MATCH(L923,Tabella!$A$1:$AC$1,0)-1))</f>
        <v>0</v>
      </c>
      <c r="N923" s="205">
        <f ca="1">IF(ISERROR(OFFSET(Ottone!$A$1,MATCH(J923,Ottone!$A:$A,0)-1,MATCH(L923,Ottone!$A$1:$Z$1,0)-1)=TRUE),0,OFFSET(Ottone!$A$1,MATCH(J923,Ottone!$A:$A,0)-1,MATCH(L923,Ottone!$A$1:$Z$1,0)-1))*IF(G923="Ottone",1,0)</f>
        <v>0</v>
      </c>
      <c r="O923" s="205">
        <f ca="1">IF(ISERROR(OFFSET(Rame!$A$1,MATCH(J923,Rame!$A:$A,0)-1,MATCH(L923,Rame!$A$1:$AA$1,0)-1)=TRUE),0,OFFSET(Rame!$A$1,MATCH(J923,Rame!$A:$A,0)-1,MATCH(L923,Rame!$A$1:$AA$1,0)-1))*IF(G923="Rame",1,0)</f>
        <v>0</v>
      </c>
      <c r="P923" s="205">
        <v>0</v>
      </c>
      <c r="Q923" s="205">
        <f t="shared" ca="1" si="287"/>
        <v>0</v>
      </c>
      <c r="R923" s="205">
        <f ca="1">+IF(ISERROR(OFFSET(Tabella!$G$1,MATCH(J923,Tabella!$G:$G,0)-1,MATCH(K923,Tabella!$G$1:$FG$1,0)-1)=TRUE),0,OFFSET(Tabella!$G$1,MATCH(J923,Tabella!$G:$G,0)-1,MATCH(K923,Tabella!$G$1:$AB$1,0)-1))</f>
        <v>0</v>
      </c>
      <c r="S923" s="205">
        <f ca="1">IF(ISERROR(OFFSET(Ottone!$F$1,MATCH(J923,Ottone!$A:$A,0)-1,MATCH(K923,Ottone!$F$1:$FF$1,0)-1)=TRUE),0,OFFSET(Ottone!$F$1,MATCH(J923,Ottone!$A:$A,0)-1,MATCH(K923,Ottone!$F$1:$FF$1,0)-1))*IF(G923="Ottone",1,0)</f>
        <v>0</v>
      </c>
      <c r="T923" s="205">
        <f ca="1">IF(ISERROR(OFFSET(Rame!$F$1,MATCH(J923,Rame!$F:$F,0)-1,MATCH(K923,Rame!$F$1:$FF$1,0)-1)=TRUE),0,OFFSET(Rame!$F$1,MATCH(J923,Rame!$F:$F,0)-1,MATCH(K923,Rame!$F$1:$FF$1,0)-1))*IF(G923="Rame",1,0)</f>
        <v>0</v>
      </c>
      <c r="U923" s="205">
        <f ca="1">IF(ISERROR(OFFSET(Bronzo!$A$1,MATCH(J923,Bronzo!$A:$A,0)-1,MATCH(K923,Bronzo!$A$1:$AA$1,0)-1)=TRUE),0,OFFSET(Bronzo!$A$1,MATCH(J923,Bronzo!$A:$A,0)-1,MATCH(K923,Bronzo!$A$1:$AA$1,0)-1))</f>
        <v>0</v>
      </c>
      <c r="V923" s="205">
        <f t="shared" ca="1" si="288"/>
        <v>0</v>
      </c>
      <c r="W923" s="204"/>
      <c r="X923" s="205">
        <v>0</v>
      </c>
      <c r="Y923" s="206">
        <f t="shared" ca="1" si="289"/>
        <v>0</v>
      </c>
      <c r="Z923" s="277">
        <f t="shared" si="290"/>
        <v>0</v>
      </c>
      <c r="AA923" s="203"/>
      <c r="AB923" s="203">
        <f t="shared" ca="1" si="291"/>
        <v>0</v>
      </c>
      <c r="AC923" s="238"/>
      <c r="AI923" s="367">
        <f t="shared" ca="1" si="286"/>
        <v>46092</v>
      </c>
      <c r="AJ923" s="367" t="b">
        <f t="shared" si="280"/>
        <v>1</v>
      </c>
      <c r="AK923" s="370" t="str">
        <f t="shared" si="281"/>
        <v/>
      </c>
      <c r="AN923">
        <f t="shared" si="282"/>
        <v>0</v>
      </c>
      <c r="AO923">
        <f t="shared" si="283"/>
        <v>1900</v>
      </c>
      <c r="AV923">
        <f t="shared" si="284"/>
        <v>0</v>
      </c>
      <c r="AW923">
        <f t="shared" si="285"/>
        <v>0</v>
      </c>
    </row>
    <row r="924" spans="4:49" ht="15.75" x14ac:dyDescent="0.25">
      <c r="D924" s="199"/>
      <c r="E924" s="200"/>
      <c r="F924" s="287"/>
      <c r="G924" s="201"/>
      <c r="H924" s="219"/>
      <c r="I924" s="202"/>
      <c r="J924" s="200"/>
      <c r="K924" s="200"/>
      <c r="L924" s="203"/>
      <c r="M924" s="204">
        <f ca="1">IF(ISERROR(OFFSET(Tabella!$A$1,MATCH(J924,Tabella!$A:$A,0)-1,MATCH(L924,Tabella!$A$1:$AC$1,0)-1)=TRUE),0,+OFFSET(Tabella!$A$1,MATCH(J924,Tabella!$A:$A,0)-1,MATCH(L924,Tabella!$A$1:$AC$1,0)-1))</f>
        <v>0</v>
      </c>
      <c r="N924" s="205">
        <f ca="1">IF(ISERROR(OFFSET(Ottone!$A$1,MATCH(J924,Ottone!$A:$A,0)-1,MATCH(L924,Ottone!$A$1:$Z$1,0)-1)=TRUE),0,OFFSET(Ottone!$A$1,MATCH(J924,Ottone!$A:$A,0)-1,MATCH(L924,Ottone!$A$1:$Z$1,0)-1))*IF(G924="Ottone",1,0)</f>
        <v>0</v>
      </c>
      <c r="O924" s="205">
        <f ca="1">IF(ISERROR(OFFSET(Rame!$A$1,MATCH(J924,Rame!$A:$A,0)-1,MATCH(L924,Rame!$A$1:$AA$1,0)-1)=TRUE),0,OFFSET(Rame!$A$1,MATCH(J924,Rame!$A:$A,0)-1,MATCH(L924,Rame!$A$1:$AA$1,0)-1))*IF(G924="Rame",1,0)</f>
        <v>0</v>
      </c>
      <c r="P924" s="205">
        <v>0</v>
      </c>
      <c r="Q924" s="205">
        <f t="shared" ca="1" si="287"/>
        <v>0</v>
      </c>
      <c r="R924" s="205">
        <f ca="1">+IF(ISERROR(OFFSET(Tabella!$G$1,MATCH(J924,Tabella!$G:$G,0)-1,MATCH(K924,Tabella!$G$1:$FG$1,0)-1)=TRUE),0,OFFSET(Tabella!$G$1,MATCH(J924,Tabella!$G:$G,0)-1,MATCH(K924,Tabella!$G$1:$AB$1,0)-1))</f>
        <v>0</v>
      </c>
      <c r="S924" s="205">
        <f ca="1">IF(ISERROR(OFFSET(Ottone!$F$1,MATCH(J924,Ottone!$A:$A,0)-1,MATCH(K924,Ottone!$F$1:$FF$1,0)-1)=TRUE),0,OFFSET(Ottone!$F$1,MATCH(J924,Ottone!$A:$A,0)-1,MATCH(K924,Ottone!$F$1:$FF$1,0)-1))*IF(G924="Ottone",1,0)</f>
        <v>0</v>
      </c>
      <c r="T924" s="205">
        <f ca="1">IF(ISERROR(OFFSET(Rame!$F$1,MATCH(J924,Rame!$F:$F,0)-1,MATCH(K924,Rame!$F$1:$FF$1,0)-1)=TRUE),0,OFFSET(Rame!$F$1,MATCH(J924,Rame!$F:$F,0)-1,MATCH(K924,Rame!$F$1:$FF$1,0)-1))*IF(G924="Rame",1,0)</f>
        <v>0</v>
      </c>
      <c r="U924" s="205">
        <f ca="1">IF(ISERROR(OFFSET(Bronzo!$A$1,MATCH(J924,Bronzo!$A:$A,0)-1,MATCH(K924,Bronzo!$A$1:$AA$1,0)-1)=TRUE),0,OFFSET(Bronzo!$A$1,MATCH(J924,Bronzo!$A:$A,0)-1,MATCH(K924,Bronzo!$A$1:$AA$1,0)-1))</f>
        <v>0</v>
      </c>
      <c r="V924" s="205">
        <f t="shared" ca="1" si="288"/>
        <v>0</v>
      </c>
      <c r="W924" s="204"/>
      <c r="X924" s="205">
        <v>0</v>
      </c>
      <c r="Y924" s="206">
        <f t="shared" ca="1" si="289"/>
        <v>0</v>
      </c>
      <c r="Z924" s="277">
        <f t="shared" si="290"/>
        <v>0</v>
      </c>
      <c r="AA924" s="203"/>
      <c r="AB924" s="203">
        <f t="shared" ca="1" si="291"/>
        <v>0</v>
      </c>
      <c r="AC924" s="238"/>
      <c r="AI924" s="367">
        <f t="shared" ca="1" si="286"/>
        <v>46092</v>
      </c>
      <c r="AJ924" s="367" t="b">
        <f t="shared" si="280"/>
        <v>1</v>
      </c>
      <c r="AK924" s="370" t="str">
        <f t="shared" si="281"/>
        <v/>
      </c>
      <c r="AN924">
        <f t="shared" si="282"/>
        <v>0</v>
      </c>
      <c r="AO924">
        <f t="shared" si="283"/>
        <v>1900</v>
      </c>
      <c r="AV924">
        <f t="shared" si="284"/>
        <v>0</v>
      </c>
      <c r="AW924">
        <f t="shared" si="285"/>
        <v>0</v>
      </c>
    </row>
    <row r="925" spans="4:49" ht="15.75" x14ac:dyDescent="0.25">
      <c r="D925" s="199"/>
      <c r="E925" s="200"/>
      <c r="F925" s="287"/>
      <c r="G925" s="201"/>
      <c r="H925" s="219"/>
      <c r="I925" s="202"/>
      <c r="J925" s="200"/>
      <c r="K925" s="200"/>
      <c r="L925" s="203"/>
      <c r="M925" s="204">
        <f ca="1">IF(ISERROR(OFFSET(Tabella!$A$1,MATCH(J925,Tabella!$A:$A,0)-1,MATCH(L925,Tabella!$A$1:$AC$1,0)-1)=TRUE),0,+OFFSET(Tabella!$A$1,MATCH(J925,Tabella!$A:$A,0)-1,MATCH(L925,Tabella!$A$1:$AC$1,0)-1))</f>
        <v>0</v>
      </c>
      <c r="N925" s="205">
        <f ca="1">IF(ISERROR(OFFSET(Ottone!$A$1,MATCH(J925,Ottone!$A:$A,0)-1,MATCH(L925,Ottone!$A$1:$Z$1,0)-1)=TRUE),0,OFFSET(Ottone!$A$1,MATCH(J925,Ottone!$A:$A,0)-1,MATCH(L925,Ottone!$A$1:$Z$1,0)-1))*IF(G925="Ottone",1,0)</f>
        <v>0</v>
      </c>
      <c r="O925" s="205">
        <f ca="1">IF(ISERROR(OFFSET(Rame!$A$1,MATCH(J925,Rame!$A:$A,0)-1,MATCH(L925,Rame!$A$1:$AA$1,0)-1)=TRUE),0,OFFSET(Rame!$A$1,MATCH(J925,Rame!$A:$A,0)-1,MATCH(L925,Rame!$A$1:$AA$1,0)-1))*IF(G925="Rame",1,0)</f>
        <v>0</v>
      </c>
      <c r="P925" s="205">
        <v>0</v>
      </c>
      <c r="Q925" s="205">
        <f t="shared" ca="1" si="287"/>
        <v>0</v>
      </c>
      <c r="R925" s="205">
        <f ca="1">+IF(ISERROR(OFFSET(Tabella!$G$1,MATCH(J925,Tabella!$G:$G,0)-1,MATCH(K925,Tabella!$G$1:$FG$1,0)-1)=TRUE),0,OFFSET(Tabella!$G$1,MATCH(J925,Tabella!$G:$G,0)-1,MATCH(K925,Tabella!$G$1:$AB$1,0)-1))</f>
        <v>0</v>
      </c>
      <c r="S925" s="205">
        <f ca="1">IF(ISERROR(OFFSET(Ottone!$F$1,MATCH(J925,Ottone!$A:$A,0)-1,MATCH(K925,Ottone!$F$1:$FF$1,0)-1)=TRUE),0,OFFSET(Ottone!$F$1,MATCH(J925,Ottone!$A:$A,0)-1,MATCH(K925,Ottone!$F$1:$FF$1,0)-1))*IF(G925="Ottone",1,0)</f>
        <v>0</v>
      </c>
      <c r="T925" s="205">
        <f ca="1">IF(ISERROR(OFFSET(Rame!$F$1,MATCH(J925,Rame!$F:$F,0)-1,MATCH(K925,Rame!$F$1:$FF$1,0)-1)=TRUE),0,OFFSET(Rame!$F$1,MATCH(J925,Rame!$F:$F,0)-1,MATCH(K925,Rame!$F$1:$FF$1,0)-1))*IF(G925="Rame",1,0)</f>
        <v>0</v>
      </c>
      <c r="U925" s="205">
        <f ca="1">IF(ISERROR(OFFSET(Bronzo!$A$1,MATCH(J925,Bronzo!$A:$A,0)-1,MATCH(K925,Bronzo!$A$1:$AA$1,0)-1)=TRUE),0,OFFSET(Bronzo!$A$1,MATCH(J925,Bronzo!$A:$A,0)-1,MATCH(K925,Bronzo!$A$1:$AA$1,0)-1))</f>
        <v>0</v>
      </c>
      <c r="V925" s="205">
        <f t="shared" ca="1" si="288"/>
        <v>0</v>
      </c>
      <c r="W925" s="204"/>
      <c r="X925" s="205">
        <v>0</v>
      </c>
      <c r="Y925" s="206">
        <f t="shared" ca="1" si="289"/>
        <v>0</v>
      </c>
      <c r="Z925" s="277">
        <f t="shared" si="290"/>
        <v>0</v>
      </c>
      <c r="AA925" s="203"/>
      <c r="AB925" s="203">
        <f t="shared" ca="1" si="291"/>
        <v>0</v>
      </c>
      <c r="AC925" s="238"/>
      <c r="AI925" s="367">
        <f t="shared" ca="1" si="286"/>
        <v>46092</v>
      </c>
      <c r="AJ925" s="367" t="b">
        <f t="shared" si="280"/>
        <v>1</v>
      </c>
      <c r="AK925" s="370" t="str">
        <f t="shared" si="281"/>
        <v/>
      </c>
      <c r="AN925">
        <f t="shared" si="282"/>
        <v>0</v>
      </c>
      <c r="AO925">
        <f t="shared" si="283"/>
        <v>1900</v>
      </c>
      <c r="AV925">
        <f t="shared" si="284"/>
        <v>0</v>
      </c>
      <c r="AW925">
        <f t="shared" si="285"/>
        <v>0</v>
      </c>
    </row>
    <row r="926" spans="4:49" ht="15.75" x14ac:dyDescent="0.25">
      <c r="D926" s="199"/>
      <c r="E926" s="200"/>
      <c r="F926" s="287"/>
      <c r="G926" s="201"/>
      <c r="H926" s="219"/>
      <c r="I926" s="202"/>
      <c r="J926" s="200"/>
      <c r="K926" s="200"/>
      <c r="L926" s="203"/>
      <c r="M926" s="204">
        <f ca="1">IF(ISERROR(OFFSET(Tabella!$A$1,MATCH(J926,Tabella!$A:$A,0)-1,MATCH(L926,Tabella!$A$1:$AC$1,0)-1)=TRUE),0,+OFFSET(Tabella!$A$1,MATCH(J926,Tabella!$A:$A,0)-1,MATCH(L926,Tabella!$A$1:$AC$1,0)-1))</f>
        <v>0</v>
      </c>
      <c r="N926" s="205">
        <f ca="1">IF(ISERROR(OFFSET(Ottone!$A$1,MATCH(J926,Ottone!$A:$A,0)-1,MATCH(L926,Ottone!$A$1:$Z$1,0)-1)=TRUE),0,OFFSET(Ottone!$A$1,MATCH(J926,Ottone!$A:$A,0)-1,MATCH(L926,Ottone!$A$1:$Z$1,0)-1))*IF(G926="Ottone",1,0)</f>
        <v>0</v>
      </c>
      <c r="O926" s="205">
        <f ca="1">IF(ISERROR(OFFSET(Rame!$A$1,MATCH(J926,Rame!$A:$A,0)-1,MATCH(L926,Rame!$A$1:$AA$1,0)-1)=TRUE),0,OFFSET(Rame!$A$1,MATCH(J926,Rame!$A:$A,0)-1,MATCH(L926,Rame!$A$1:$AA$1,0)-1))*IF(G926="Rame",1,0)</f>
        <v>0</v>
      </c>
      <c r="P926" s="205">
        <v>0</v>
      </c>
      <c r="Q926" s="205">
        <f t="shared" ca="1" si="287"/>
        <v>0</v>
      </c>
      <c r="R926" s="205">
        <f ca="1">+IF(ISERROR(OFFSET(Tabella!$G$1,MATCH(J926,Tabella!$G:$G,0)-1,MATCH(K926,Tabella!$G$1:$FG$1,0)-1)=TRUE),0,OFFSET(Tabella!$G$1,MATCH(J926,Tabella!$G:$G,0)-1,MATCH(K926,Tabella!$G$1:$AB$1,0)-1))</f>
        <v>0</v>
      </c>
      <c r="S926" s="205">
        <f ca="1">IF(ISERROR(OFFSET(Ottone!$F$1,MATCH(J926,Ottone!$A:$A,0)-1,MATCH(K926,Ottone!$F$1:$FF$1,0)-1)=TRUE),0,OFFSET(Ottone!$F$1,MATCH(J926,Ottone!$A:$A,0)-1,MATCH(K926,Ottone!$F$1:$FF$1,0)-1))*IF(G926="Ottone",1,0)</f>
        <v>0</v>
      </c>
      <c r="T926" s="205">
        <f ca="1">IF(ISERROR(OFFSET(Rame!$F$1,MATCH(J926,Rame!$F:$F,0)-1,MATCH(K926,Rame!$F$1:$FF$1,0)-1)=TRUE),0,OFFSET(Rame!$F$1,MATCH(J926,Rame!$F:$F,0)-1,MATCH(K926,Rame!$F$1:$FF$1,0)-1))*IF(G926="Rame",1,0)</f>
        <v>0</v>
      </c>
      <c r="U926" s="205">
        <f ca="1">IF(ISERROR(OFFSET(Bronzo!$A$1,MATCH(J926,Bronzo!$A:$A,0)-1,MATCH(K926,Bronzo!$A$1:$AA$1,0)-1)=TRUE),0,OFFSET(Bronzo!$A$1,MATCH(J926,Bronzo!$A:$A,0)-1,MATCH(K926,Bronzo!$A$1:$AA$1,0)-1))</f>
        <v>0</v>
      </c>
      <c r="V926" s="205">
        <f t="shared" ca="1" si="288"/>
        <v>0</v>
      </c>
      <c r="W926" s="204"/>
      <c r="X926" s="205">
        <v>0</v>
      </c>
      <c r="Y926" s="206">
        <f t="shared" ca="1" si="289"/>
        <v>0</v>
      </c>
      <c r="Z926" s="277">
        <f t="shared" si="290"/>
        <v>0</v>
      </c>
      <c r="AA926" s="203"/>
      <c r="AB926" s="203">
        <f t="shared" ca="1" si="291"/>
        <v>0</v>
      </c>
      <c r="AC926" s="238"/>
      <c r="AI926" s="367">
        <f t="shared" ca="1" si="286"/>
        <v>46092</v>
      </c>
      <c r="AJ926" s="367" t="b">
        <f t="shared" si="280"/>
        <v>1</v>
      </c>
      <c r="AK926" s="370" t="str">
        <f t="shared" si="281"/>
        <v/>
      </c>
      <c r="AN926">
        <f t="shared" si="282"/>
        <v>0</v>
      </c>
      <c r="AO926">
        <f t="shared" si="283"/>
        <v>1900</v>
      </c>
      <c r="AV926">
        <f t="shared" si="284"/>
        <v>0</v>
      </c>
      <c r="AW926">
        <f t="shared" si="285"/>
        <v>0</v>
      </c>
    </row>
    <row r="927" spans="4:49" ht="15.75" x14ac:dyDescent="0.25">
      <c r="D927" s="199"/>
      <c r="E927" s="200"/>
      <c r="F927" s="287"/>
      <c r="G927" s="201"/>
      <c r="H927" s="219"/>
      <c r="I927" s="202"/>
      <c r="J927" s="200"/>
      <c r="K927" s="200"/>
      <c r="L927" s="203"/>
      <c r="M927" s="204">
        <f ca="1">IF(ISERROR(OFFSET(Tabella!$A$1,MATCH(J927,Tabella!$A:$A,0)-1,MATCH(L927,Tabella!$A$1:$AC$1,0)-1)=TRUE),0,+OFFSET(Tabella!$A$1,MATCH(J927,Tabella!$A:$A,0)-1,MATCH(L927,Tabella!$A$1:$AC$1,0)-1))</f>
        <v>0</v>
      </c>
      <c r="N927" s="205">
        <f ca="1">IF(ISERROR(OFFSET(Ottone!$A$1,MATCH(J927,Ottone!$A:$A,0)-1,MATCH(L927,Ottone!$A$1:$Z$1,0)-1)=TRUE),0,OFFSET(Ottone!$A$1,MATCH(J927,Ottone!$A:$A,0)-1,MATCH(L927,Ottone!$A$1:$Z$1,0)-1))*IF(G927="Ottone",1,0)</f>
        <v>0</v>
      </c>
      <c r="O927" s="205">
        <f ca="1">IF(ISERROR(OFFSET(Rame!$A$1,MATCH(J927,Rame!$A:$A,0)-1,MATCH(L927,Rame!$A$1:$AA$1,0)-1)=TRUE),0,OFFSET(Rame!$A$1,MATCH(J927,Rame!$A:$A,0)-1,MATCH(L927,Rame!$A$1:$AA$1,0)-1))*IF(G927="Rame",1,0)</f>
        <v>0</v>
      </c>
      <c r="P927" s="205">
        <v>0</v>
      </c>
      <c r="Q927" s="205">
        <f t="shared" ca="1" si="287"/>
        <v>0</v>
      </c>
      <c r="R927" s="205">
        <f ca="1">+IF(ISERROR(OFFSET(Tabella!$G$1,MATCH(J927,Tabella!$G:$G,0)-1,MATCH(K927,Tabella!$G$1:$FG$1,0)-1)=TRUE),0,OFFSET(Tabella!$G$1,MATCH(J927,Tabella!$G:$G,0)-1,MATCH(K927,Tabella!$G$1:$AB$1,0)-1))</f>
        <v>0</v>
      </c>
      <c r="S927" s="205">
        <f ca="1">IF(ISERROR(OFFSET(Ottone!$F$1,MATCH(J927,Ottone!$A:$A,0)-1,MATCH(K927,Ottone!$F$1:$FF$1,0)-1)=TRUE),0,OFFSET(Ottone!$F$1,MATCH(J927,Ottone!$A:$A,0)-1,MATCH(K927,Ottone!$F$1:$FF$1,0)-1))*IF(G927="Ottone",1,0)</f>
        <v>0</v>
      </c>
      <c r="T927" s="205">
        <f ca="1">IF(ISERROR(OFFSET(Rame!$F$1,MATCH(J927,Rame!$F:$F,0)-1,MATCH(K927,Rame!$F$1:$FF$1,0)-1)=TRUE),0,OFFSET(Rame!$F$1,MATCH(J927,Rame!$F:$F,0)-1,MATCH(K927,Rame!$F$1:$FF$1,0)-1))*IF(G927="Rame",1,0)</f>
        <v>0</v>
      </c>
      <c r="U927" s="205">
        <f ca="1">IF(ISERROR(OFFSET(Bronzo!$A$1,MATCH(J927,Bronzo!$A:$A,0)-1,MATCH(K927,Bronzo!$A$1:$AA$1,0)-1)=TRUE),0,OFFSET(Bronzo!$A$1,MATCH(J927,Bronzo!$A:$A,0)-1,MATCH(K927,Bronzo!$A$1:$AA$1,0)-1))</f>
        <v>0</v>
      </c>
      <c r="V927" s="205">
        <f t="shared" ca="1" si="288"/>
        <v>0</v>
      </c>
      <c r="W927" s="204"/>
      <c r="X927" s="205">
        <v>0</v>
      </c>
      <c r="Y927" s="206">
        <f t="shared" ca="1" si="289"/>
        <v>0</v>
      </c>
      <c r="Z927" s="277">
        <f t="shared" si="290"/>
        <v>0</v>
      </c>
      <c r="AA927" s="203"/>
      <c r="AB927" s="203">
        <f t="shared" ca="1" si="291"/>
        <v>0</v>
      </c>
      <c r="AC927" s="238"/>
      <c r="AI927" s="367">
        <f t="shared" ca="1" si="286"/>
        <v>46092</v>
      </c>
      <c r="AJ927" s="367" t="b">
        <f t="shared" si="280"/>
        <v>1</v>
      </c>
      <c r="AK927" s="370" t="str">
        <f t="shared" si="281"/>
        <v/>
      </c>
      <c r="AN927">
        <f t="shared" si="282"/>
        <v>0</v>
      </c>
      <c r="AO927">
        <f t="shared" si="283"/>
        <v>1900</v>
      </c>
      <c r="AV927">
        <f t="shared" si="284"/>
        <v>0</v>
      </c>
      <c r="AW927">
        <f t="shared" si="285"/>
        <v>0</v>
      </c>
    </row>
    <row r="928" spans="4:49" ht="15.75" x14ac:dyDescent="0.25">
      <c r="D928" s="199"/>
      <c r="E928" s="200"/>
      <c r="F928" s="287"/>
      <c r="G928" s="201"/>
      <c r="H928" s="219"/>
      <c r="I928" s="202"/>
      <c r="J928" s="200"/>
      <c r="K928" s="200"/>
      <c r="L928" s="203"/>
      <c r="M928" s="204">
        <f ca="1">IF(ISERROR(OFFSET(Tabella!$A$1,MATCH(J928,Tabella!$A:$A,0)-1,MATCH(L928,Tabella!$A$1:$AC$1,0)-1)=TRUE),0,+OFFSET(Tabella!$A$1,MATCH(J928,Tabella!$A:$A,0)-1,MATCH(L928,Tabella!$A$1:$AC$1,0)-1))</f>
        <v>0</v>
      </c>
      <c r="N928" s="205">
        <f ca="1">IF(ISERROR(OFFSET(Ottone!$A$1,MATCH(J928,Ottone!$A:$A,0)-1,MATCH(L928,Ottone!$A$1:$Z$1,0)-1)=TRUE),0,OFFSET(Ottone!$A$1,MATCH(J928,Ottone!$A:$A,0)-1,MATCH(L928,Ottone!$A$1:$Z$1,0)-1))*IF(G928="Ottone",1,0)</f>
        <v>0</v>
      </c>
      <c r="O928" s="205">
        <f ca="1">IF(ISERROR(OFFSET(Rame!$A$1,MATCH(J928,Rame!$A:$A,0)-1,MATCH(L928,Rame!$A$1:$AA$1,0)-1)=TRUE),0,OFFSET(Rame!$A$1,MATCH(J928,Rame!$A:$A,0)-1,MATCH(L928,Rame!$A$1:$AA$1,0)-1))*IF(G928="Rame",1,0)</f>
        <v>0</v>
      </c>
      <c r="P928" s="205">
        <v>0</v>
      </c>
      <c r="Q928" s="205">
        <f t="shared" ca="1" si="287"/>
        <v>0</v>
      </c>
      <c r="R928" s="205">
        <f ca="1">+IF(ISERROR(OFFSET(Tabella!$G$1,MATCH(J928,Tabella!$G:$G,0)-1,MATCH(K928,Tabella!$G$1:$FG$1,0)-1)=TRUE),0,OFFSET(Tabella!$G$1,MATCH(J928,Tabella!$G:$G,0)-1,MATCH(K928,Tabella!$G$1:$AB$1,0)-1))</f>
        <v>0</v>
      </c>
      <c r="S928" s="205">
        <f ca="1">IF(ISERROR(OFFSET(Ottone!$F$1,MATCH(J928,Ottone!$A:$A,0)-1,MATCH(K928,Ottone!$F$1:$FF$1,0)-1)=TRUE),0,OFFSET(Ottone!$F$1,MATCH(J928,Ottone!$A:$A,0)-1,MATCH(K928,Ottone!$F$1:$FF$1,0)-1))*IF(G928="Ottone",1,0)</f>
        <v>0</v>
      </c>
      <c r="T928" s="205">
        <f ca="1">IF(ISERROR(OFFSET(Rame!$F$1,MATCH(J928,Rame!$F:$F,0)-1,MATCH(K928,Rame!$F$1:$FF$1,0)-1)=TRUE),0,OFFSET(Rame!$F$1,MATCH(J928,Rame!$F:$F,0)-1,MATCH(K928,Rame!$F$1:$FF$1,0)-1))*IF(G928="Rame",1,0)</f>
        <v>0</v>
      </c>
      <c r="U928" s="205">
        <f ca="1">IF(ISERROR(OFFSET(Bronzo!$A$1,MATCH(J928,Bronzo!$A:$A,0)-1,MATCH(K928,Bronzo!$A$1:$AA$1,0)-1)=TRUE),0,OFFSET(Bronzo!$A$1,MATCH(J928,Bronzo!$A:$A,0)-1,MATCH(K928,Bronzo!$A$1:$AA$1,0)-1))</f>
        <v>0</v>
      </c>
      <c r="V928" s="205">
        <f t="shared" ca="1" si="288"/>
        <v>0</v>
      </c>
      <c r="W928" s="204"/>
      <c r="X928" s="205">
        <v>0</v>
      </c>
      <c r="Y928" s="206">
        <f t="shared" ca="1" si="289"/>
        <v>0</v>
      </c>
      <c r="Z928" s="277">
        <f t="shared" si="290"/>
        <v>0</v>
      </c>
      <c r="AA928" s="203"/>
      <c r="AB928" s="203">
        <f t="shared" ca="1" si="291"/>
        <v>0</v>
      </c>
      <c r="AC928" s="238"/>
      <c r="AI928" s="367">
        <f t="shared" ca="1" si="286"/>
        <v>46092</v>
      </c>
      <c r="AJ928" s="367" t="b">
        <f t="shared" ref="AJ928:AJ991" si="292">ISBLANK(AC928)</f>
        <v>1</v>
      </c>
      <c r="AK928" s="370" t="str">
        <f t="shared" ref="AK928:AK991" si="293">IF(AJ928=FALSE,_xlfn.DAYS(AC928,AI928),"")</f>
        <v/>
      </c>
      <c r="AN928">
        <f t="shared" ref="AN928:AN991" si="294">WEEKNUM(AC928)</f>
        <v>0</v>
      </c>
      <c r="AO928">
        <f t="shared" ref="AO928:AO991" si="295">YEAR(AC928)</f>
        <v>1900</v>
      </c>
      <c r="AV928">
        <f t="shared" si="284"/>
        <v>0</v>
      </c>
      <c r="AW928">
        <f t="shared" si="285"/>
        <v>0</v>
      </c>
    </row>
    <row r="929" spans="4:49" ht="15.75" x14ac:dyDescent="0.25">
      <c r="D929" s="199"/>
      <c r="E929" s="200"/>
      <c r="F929" s="287"/>
      <c r="G929" s="201"/>
      <c r="H929" s="219"/>
      <c r="I929" s="202"/>
      <c r="J929" s="200"/>
      <c r="K929" s="200"/>
      <c r="L929" s="203"/>
      <c r="M929" s="204">
        <f ca="1">IF(ISERROR(OFFSET(Tabella!$A$1,MATCH(J929,Tabella!$A:$A,0)-1,MATCH(L929,Tabella!$A$1:$AC$1,0)-1)=TRUE),0,+OFFSET(Tabella!$A$1,MATCH(J929,Tabella!$A:$A,0)-1,MATCH(L929,Tabella!$A$1:$AC$1,0)-1))</f>
        <v>0</v>
      </c>
      <c r="N929" s="205">
        <f ca="1">IF(ISERROR(OFFSET(Ottone!$A$1,MATCH(J929,Ottone!$A:$A,0)-1,MATCH(L929,Ottone!$A$1:$Z$1,0)-1)=TRUE),0,OFFSET(Ottone!$A$1,MATCH(J929,Ottone!$A:$A,0)-1,MATCH(L929,Ottone!$A$1:$Z$1,0)-1))*IF(G929="Ottone",1,0)</f>
        <v>0</v>
      </c>
      <c r="O929" s="205">
        <f ca="1">IF(ISERROR(OFFSET(Rame!$A$1,MATCH(J929,Rame!$A:$A,0)-1,MATCH(L929,Rame!$A$1:$AA$1,0)-1)=TRUE),0,OFFSET(Rame!$A$1,MATCH(J929,Rame!$A:$A,0)-1,MATCH(L929,Rame!$A$1:$AA$1,0)-1))*IF(G929="Rame",1,0)</f>
        <v>0</v>
      </c>
      <c r="P929" s="205">
        <v>0</v>
      </c>
      <c r="Q929" s="205">
        <f t="shared" ca="1" si="287"/>
        <v>0</v>
      </c>
      <c r="R929" s="205">
        <f ca="1">+IF(ISERROR(OFFSET(Tabella!$G$1,MATCH(J929,Tabella!$G:$G,0)-1,MATCH(K929,Tabella!$G$1:$FG$1,0)-1)=TRUE),0,OFFSET(Tabella!$G$1,MATCH(J929,Tabella!$G:$G,0)-1,MATCH(K929,Tabella!$G$1:$AB$1,0)-1))</f>
        <v>0</v>
      </c>
      <c r="S929" s="205">
        <f ca="1">IF(ISERROR(OFFSET(Ottone!$F$1,MATCH(J929,Ottone!$A:$A,0)-1,MATCH(K929,Ottone!$F$1:$FF$1,0)-1)=TRUE),0,OFFSET(Ottone!$F$1,MATCH(J929,Ottone!$A:$A,0)-1,MATCH(K929,Ottone!$F$1:$FF$1,0)-1))*IF(G929="Ottone",1,0)</f>
        <v>0</v>
      </c>
      <c r="T929" s="205">
        <f ca="1">IF(ISERROR(OFFSET(Rame!$F$1,MATCH(J929,Rame!$F:$F,0)-1,MATCH(K929,Rame!$F$1:$FF$1,0)-1)=TRUE),0,OFFSET(Rame!$F$1,MATCH(J929,Rame!$F:$F,0)-1,MATCH(K929,Rame!$F$1:$FF$1,0)-1))*IF(G929="Rame",1,0)</f>
        <v>0</v>
      </c>
      <c r="U929" s="205">
        <f ca="1">IF(ISERROR(OFFSET(Bronzo!$A$1,MATCH(J929,Bronzo!$A:$A,0)-1,MATCH(K929,Bronzo!$A$1:$AA$1,0)-1)=TRUE),0,OFFSET(Bronzo!$A$1,MATCH(J929,Bronzo!$A:$A,0)-1,MATCH(K929,Bronzo!$A$1:$AA$1,0)-1))</f>
        <v>0</v>
      </c>
      <c r="V929" s="205">
        <f t="shared" ca="1" si="288"/>
        <v>0</v>
      </c>
      <c r="W929" s="204"/>
      <c r="X929" s="205">
        <v>0</v>
      </c>
      <c r="Y929" s="206">
        <f t="shared" ca="1" si="289"/>
        <v>0</v>
      </c>
      <c r="Z929" s="277">
        <f t="shared" si="290"/>
        <v>0</v>
      </c>
      <c r="AA929" s="203"/>
      <c r="AB929" s="203">
        <f t="shared" ca="1" si="291"/>
        <v>0</v>
      </c>
      <c r="AC929" s="238"/>
      <c r="AI929" s="367">
        <f t="shared" ca="1" si="286"/>
        <v>46092</v>
      </c>
      <c r="AJ929" s="367" t="b">
        <f t="shared" si="292"/>
        <v>1</v>
      </c>
      <c r="AK929" s="370" t="str">
        <f t="shared" si="293"/>
        <v/>
      </c>
      <c r="AN929">
        <f t="shared" si="294"/>
        <v>0</v>
      </c>
      <c r="AO929">
        <f t="shared" si="295"/>
        <v>1900</v>
      </c>
      <c r="AV929">
        <f t="shared" si="284"/>
        <v>0</v>
      </c>
      <c r="AW929">
        <f t="shared" si="285"/>
        <v>0</v>
      </c>
    </row>
    <row r="930" spans="4:49" ht="15.75" x14ac:dyDescent="0.25">
      <c r="D930" s="199"/>
      <c r="E930" s="200"/>
      <c r="F930" s="287"/>
      <c r="G930" s="201"/>
      <c r="H930" s="219"/>
      <c r="I930" s="202"/>
      <c r="J930" s="200"/>
      <c r="K930" s="200"/>
      <c r="L930" s="203"/>
      <c r="M930" s="204">
        <f ca="1">IF(ISERROR(OFFSET(Tabella!$A$1,MATCH(J930,Tabella!$A:$A,0)-1,MATCH(L930,Tabella!$A$1:$AC$1,0)-1)=TRUE),0,+OFFSET(Tabella!$A$1,MATCH(J930,Tabella!$A:$A,0)-1,MATCH(L930,Tabella!$A$1:$AC$1,0)-1))</f>
        <v>0</v>
      </c>
      <c r="N930" s="205">
        <f ca="1">IF(ISERROR(OFFSET(Ottone!$A$1,MATCH(J930,Ottone!$A:$A,0)-1,MATCH(L930,Ottone!$A$1:$Z$1,0)-1)=TRUE),0,OFFSET(Ottone!$A$1,MATCH(J930,Ottone!$A:$A,0)-1,MATCH(L930,Ottone!$A$1:$Z$1,0)-1))*IF(G930="Ottone",1,0)</f>
        <v>0</v>
      </c>
      <c r="O930" s="205">
        <f ca="1">IF(ISERROR(OFFSET(Rame!$A$1,MATCH(J930,Rame!$A:$A,0)-1,MATCH(L930,Rame!$A$1:$AA$1,0)-1)=TRUE),0,OFFSET(Rame!$A$1,MATCH(J930,Rame!$A:$A,0)-1,MATCH(L930,Rame!$A$1:$AA$1,0)-1))*IF(G930="Rame",1,0)</f>
        <v>0</v>
      </c>
      <c r="P930" s="205">
        <v>0</v>
      </c>
      <c r="Q930" s="205">
        <f t="shared" ca="1" si="287"/>
        <v>0</v>
      </c>
      <c r="R930" s="205">
        <f ca="1">+IF(ISERROR(OFFSET(Tabella!$G$1,MATCH(J930,Tabella!$G:$G,0)-1,MATCH(K930,Tabella!$G$1:$FG$1,0)-1)=TRUE),0,OFFSET(Tabella!$G$1,MATCH(J930,Tabella!$G:$G,0)-1,MATCH(K930,Tabella!$G$1:$AB$1,0)-1))</f>
        <v>0</v>
      </c>
      <c r="S930" s="205">
        <f ca="1">IF(ISERROR(OFFSET(Ottone!$F$1,MATCH(J930,Ottone!$A:$A,0)-1,MATCH(K930,Ottone!$F$1:$FF$1,0)-1)=TRUE),0,OFFSET(Ottone!$F$1,MATCH(J930,Ottone!$A:$A,0)-1,MATCH(K930,Ottone!$F$1:$FF$1,0)-1))*IF(G930="Ottone",1,0)</f>
        <v>0</v>
      </c>
      <c r="T930" s="205">
        <f ca="1">IF(ISERROR(OFFSET(Rame!$F$1,MATCH(J930,Rame!$F:$F,0)-1,MATCH(K930,Rame!$F$1:$FF$1,0)-1)=TRUE),0,OFFSET(Rame!$F$1,MATCH(J930,Rame!$F:$F,0)-1,MATCH(K930,Rame!$F$1:$FF$1,0)-1))*IF(G930="Rame",1,0)</f>
        <v>0</v>
      </c>
      <c r="U930" s="205">
        <f ca="1">IF(ISERROR(OFFSET(Bronzo!$A$1,MATCH(J930,Bronzo!$A:$A,0)-1,MATCH(K930,Bronzo!$A$1:$AA$1,0)-1)=TRUE),0,OFFSET(Bronzo!$A$1,MATCH(J930,Bronzo!$A:$A,0)-1,MATCH(K930,Bronzo!$A$1:$AA$1,0)-1))</f>
        <v>0</v>
      </c>
      <c r="V930" s="205">
        <f t="shared" ca="1" si="288"/>
        <v>0</v>
      </c>
      <c r="W930" s="204"/>
      <c r="X930" s="205">
        <v>0</v>
      </c>
      <c r="Y930" s="206">
        <f t="shared" ca="1" si="289"/>
        <v>0</v>
      </c>
      <c r="Z930" s="277">
        <f t="shared" si="290"/>
        <v>0</v>
      </c>
      <c r="AA930" s="203"/>
      <c r="AB930" s="203">
        <f t="shared" ca="1" si="291"/>
        <v>0</v>
      </c>
      <c r="AC930" s="238"/>
      <c r="AI930" s="367">
        <f t="shared" ca="1" si="286"/>
        <v>46092</v>
      </c>
      <c r="AJ930" s="367" t="b">
        <f t="shared" si="292"/>
        <v>1</v>
      </c>
      <c r="AK930" s="370" t="str">
        <f t="shared" si="293"/>
        <v/>
      </c>
      <c r="AN930">
        <f t="shared" si="294"/>
        <v>0</v>
      </c>
      <c r="AO930">
        <f t="shared" si="295"/>
        <v>1900</v>
      </c>
      <c r="AV930">
        <f t="shared" si="284"/>
        <v>0</v>
      </c>
      <c r="AW930">
        <f t="shared" si="285"/>
        <v>0</v>
      </c>
    </row>
    <row r="931" spans="4:49" ht="15.75" x14ac:dyDescent="0.25">
      <c r="D931" s="199"/>
      <c r="E931" s="200"/>
      <c r="F931" s="287"/>
      <c r="G931" s="201"/>
      <c r="H931" s="219"/>
      <c r="I931" s="202"/>
      <c r="J931" s="200"/>
      <c r="K931" s="200"/>
      <c r="L931" s="203"/>
      <c r="M931" s="204">
        <f ca="1">IF(ISERROR(OFFSET(Tabella!$A$1,MATCH(J931,Tabella!$A:$A,0)-1,MATCH(L931,Tabella!$A$1:$AC$1,0)-1)=TRUE),0,+OFFSET(Tabella!$A$1,MATCH(J931,Tabella!$A:$A,0)-1,MATCH(L931,Tabella!$A$1:$AC$1,0)-1))</f>
        <v>0</v>
      </c>
      <c r="N931" s="205">
        <f ca="1">IF(ISERROR(OFFSET(Ottone!$A$1,MATCH(J931,Ottone!$A:$A,0)-1,MATCH(L931,Ottone!$A$1:$Z$1,0)-1)=TRUE),0,OFFSET(Ottone!$A$1,MATCH(J931,Ottone!$A:$A,0)-1,MATCH(L931,Ottone!$A$1:$Z$1,0)-1))*IF(G931="Ottone",1,0)</f>
        <v>0</v>
      </c>
      <c r="O931" s="205">
        <f ca="1">IF(ISERROR(OFFSET(Rame!$A$1,MATCH(J931,Rame!$A:$A,0)-1,MATCH(L931,Rame!$A$1:$AA$1,0)-1)=TRUE),0,OFFSET(Rame!$A$1,MATCH(J931,Rame!$A:$A,0)-1,MATCH(L931,Rame!$A$1:$AA$1,0)-1))*IF(G931="Rame",1,0)</f>
        <v>0</v>
      </c>
      <c r="P931" s="205">
        <v>0</v>
      </c>
      <c r="Q931" s="205">
        <f t="shared" ca="1" si="287"/>
        <v>0</v>
      </c>
      <c r="R931" s="205">
        <f ca="1">+IF(ISERROR(OFFSET(Tabella!$G$1,MATCH(J931,Tabella!$G:$G,0)-1,MATCH(K931,Tabella!$G$1:$FG$1,0)-1)=TRUE),0,OFFSET(Tabella!$G$1,MATCH(J931,Tabella!$G:$G,0)-1,MATCH(K931,Tabella!$G$1:$AB$1,0)-1))</f>
        <v>0</v>
      </c>
      <c r="S931" s="205">
        <f ca="1">IF(ISERROR(OFFSET(Ottone!$F$1,MATCH(J931,Ottone!$A:$A,0)-1,MATCH(K931,Ottone!$F$1:$FF$1,0)-1)=TRUE),0,OFFSET(Ottone!$F$1,MATCH(J931,Ottone!$A:$A,0)-1,MATCH(K931,Ottone!$F$1:$FF$1,0)-1))*IF(G931="Ottone",1,0)</f>
        <v>0</v>
      </c>
      <c r="T931" s="205">
        <f ca="1">IF(ISERROR(OFFSET(Rame!$F$1,MATCH(J931,Rame!$F:$F,0)-1,MATCH(K931,Rame!$F$1:$FF$1,0)-1)=TRUE),0,OFFSET(Rame!$F$1,MATCH(J931,Rame!$F:$F,0)-1,MATCH(K931,Rame!$F$1:$FF$1,0)-1))*IF(G931="Rame",1,0)</f>
        <v>0</v>
      </c>
      <c r="U931" s="205">
        <f ca="1">IF(ISERROR(OFFSET(Bronzo!$A$1,MATCH(J931,Bronzo!$A:$A,0)-1,MATCH(K931,Bronzo!$A$1:$AA$1,0)-1)=TRUE),0,OFFSET(Bronzo!$A$1,MATCH(J931,Bronzo!$A:$A,0)-1,MATCH(K931,Bronzo!$A$1:$AA$1,0)-1))</f>
        <v>0</v>
      </c>
      <c r="V931" s="205">
        <f t="shared" ca="1" si="288"/>
        <v>0</v>
      </c>
      <c r="W931" s="204"/>
      <c r="X931" s="205">
        <v>0</v>
      </c>
      <c r="Y931" s="206">
        <f t="shared" ca="1" si="289"/>
        <v>0</v>
      </c>
      <c r="Z931" s="277">
        <f t="shared" si="290"/>
        <v>0</v>
      </c>
      <c r="AA931" s="203"/>
      <c r="AB931" s="203">
        <f t="shared" ca="1" si="291"/>
        <v>0</v>
      </c>
      <c r="AC931" s="238"/>
      <c r="AI931" s="367">
        <f t="shared" ca="1" si="286"/>
        <v>46092</v>
      </c>
      <c r="AJ931" s="367" t="b">
        <f t="shared" si="292"/>
        <v>1</v>
      </c>
      <c r="AK931" s="370" t="str">
        <f t="shared" si="293"/>
        <v/>
      </c>
      <c r="AN931">
        <f t="shared" si="294"/>
        <v>0</v>
      </c>
      <c r="AO931">
        <f t="shared" si="295"/>
        <v>1900</v>
      </c>
      <c r="AV931">
        <f t="shared" si="284"/>
        <v>0</v>
      </c>
      <c r="AW931">
        <f t="shared" si="285"/>
        <v>0</v>
      </c>
    </row>
    <row r="932" spans="4:49" ht="15.75" x14ac:dyDescent="0.25">
      <c r="D932" s="199"/>
      <c r="E932" s="200"/>
      <c r="F932" s="287"/>
      <c r="G932" s="201"/>
      <c r="H932" s="219"/>
      <c r="I932" s="202"/>
      <c r="J932" s="200"/>
      <c r="K932" s="200"/>
      <c r="L932" s="203"/>
      <c r="M932" s="204">
        <f ca="1">IF(ISERROR(OFFSET(Tabella!$A$1,MATCH(J932,Tabella!$A:$A,0)-1,MATCH(L932,Tabella!$A$1:$AC$1,0)-1)=TRUE),0,+OFFSET(Tabella!$A$1,MATCH(J932,Tabella!$A:$A,0)-1,MATCH(L932,Tabella!$A$1:$AC$1,0)-1))</f>
        <v>0</v>
      </c>
      <c r="N932" s="205">
        <f ca="1">IF(ISERROR(OFFSET(Ottone!$A$1,MATCH(J932,Ottone!$A:$A,0)-1,MATCH(L932,Ottone!$A$1:$Z$1,0)-1)=TRUE),0,OFFSET(Ottone!$A$1,MATCH(J932,Ottone!$A:$A,0)-1,MATCH(L932,Ottone!$A$1:$Z$1,0)-1))*IF(G932="Ottone",1,0)</f>
        <v>0</v>
      </c>
      <c r="O932" s="205">
        <f ca="1">IF(ISERROR(OFFSET(Rame!$A$1,MATCH(J932,Rame!$A:$A,0)-1,MATCH(L932,Rame!$A$1:$AA$1,0)-1)=TRUE),0,OFFSET(Rame!$A$1,MATCH(J932,Rame!$A:$A,0)-1,MATCH(L932,Rame!$A$1:$AA$1,0)-1))*IF(G932="Rame",1,0)</f>
        <v>0</v>
      </c>
      <c r="P932" s="205">
        <v>0</v>
      </c>
      <c r="Q932" s="205">
        <f t="shared" ca="1" si="287"/>
        <v>0</v>
      </c>
      <c r="R932" s="205">
        <f ca="1">+IF(ISERROR(OFFSET(Tabella!$G$1,MATCH(J932,Tabella!$G:$G,0)-1,MATCH(K932,Tabella!$G$1:$FG$1,0)-1)=TRUE),0,OFFSET(Tabella!$G$1,MATCH(J932,Tabella!$G:$G,0)-1,MATCH(K932,Tabella!$G$1:$AB$1,0)-1))</f>
        <v>0</v>
      </c>
      <c r="S932" s="205">
        <f ca="1">IF(ISERROR(OFFSET(Ottone!$F$1,MATCH(J932,Ottone!$A:$A,0)-1,MATCH(K932,Ottone!$F$1:$FF$1,0)-1)=TRUE),0,OFFSET(Ottone!$F$1,MATCH(J932,Ottone!$A:$A,0)-1,MATCH(K932,Ottone!$F$1:$FF$1,0)-1))*IF(G932="Ottone",1,0)</f>
        <v>0</v>
      </c>
      <c r="T932" s="205">
        <f ca="1">IF(ISERROR(OFFSET(Rame!$F$1,MATCH(J932,Rame!$F:$F,0)-1,MATCH(K932,Rame!$F$1:$FF$1,0)-1)=TRUE),0,OFFSET(Rame!$F$1,MATCH(J932,Rame!$F:$F,0)-1,MATCH(K932,Rame!$F$1:$FF$1,0)-1))*IF(G932="Rame",1,0)</f>
        <v>0</v>
      </c>
      <c r="U932" s="205">
        <f ca="1">IF(ISERROR(OFFSET(Bronzo!$A$1,MATCH(J932,Bronzo!$A:$A,0)-1,MATCH(K932,Bronzo!$A$1:$AA$1,0)-1)=TRUE),0,OFFSET(Bronzo!$A$1,MATCH(J932,Bronzo!$A:$A,0)-1,MATCH(K932,Bronzo!$A$1:$AA$1,0)-1))</f>
        <v>0</v>
      </c>
      <c r="V932" s="205">
        <f t="shared" ca="1" si="288"/>
        <v>0</v>
      </c>
      <c r="W932" s="204"/>
      <c r="X932" s="205">
        <v>0</v>
      </c>
      <c r="Y932" s="206">
        <f t="shared" ca="1" si="289"/>
        <v>0</v>
      </c>
      <c r="Z932" s="277">
        <f t="shared" si="290"/>
        <v>0</v>
      </c>
      <c r="AA932" s="203"/>
      <c r="AB932" s="203">
        <f t="shared" ca="1" si="291"/>
        <v>0</v>
      </c>
      <c r="AC932" s="238"/>
      <c r="AI932" s="367">
        <f t="shared" ca="1" si="286"/>
        <v>46092</v>
      </c>
      <c r="AJ932" s="367" t="b">
        <f t="shared" si="292"/>
        <v>1</v>
      </c>
      <c r="AK932" s="370" t="str">
        <f t="shared" si="293"/>
        <v/>
      </c>
      <c r="AN932">
        <f t="shared" si="294"/>
        <v>0</v>
      </c>
      <c r="AO932">
        <f t="shared" si="295"/>
        <v>1900</v>
      </c>
      <c r="AV932">
        <f t="shared" si="284"/>
        <v>0</v>
      </c>
      <c r="AW932">
        <f t="shared" si="285"/>
        <v>0</v>
      </c>
    </row>
    <row r="933" spans="4:49" ht="15.75" x14ac:dyDescent="0.25">
      <c r="D933" s="199"/>
      <c r="E933" s="200"/>
      <c r="F933" s="287"/>
      <c r="G933" s="201"/>
      <c r="H933" s="219"/>
      <c r="I933" s="202"/>
      <c r="J933" s="200"/>
      <c r="K933" s="200"/>
      <c r="L933" s="203"/>
      <c r="M933" s="204">
        <f ca="1">IF(ISERROR(OFFSET(Tabella!$A$1,MATCH(J933,Tabella!$A:$A,0)-1,MATCH(L933,Tabella!$A$1:$AC$1,0)-1)=TRUE),0,+OFFSET(Tabella!$A$1,MATCH(J933,Tabella!$A:$A,0)-1,MATCH(L933,Tabella!$A$1:$AC$1,0)-1))</f>
        <v>0</v>
      </c>
      <c r="N933" s="205">
        <f ca="1">IF(ISERROR(OFFSET(Ottone!$A$1,MATCH(J933,Ottone!$A:$A,0)-1,MATCH(L933,Ottone!$A$1:$Z$1,0)-1)=TRUE),0,OFFSET(Ottone!$A$1,MATCH(J933,Ottone!$A:$A,0)-1,MATCH(L933,Ottone!$A$1:$Z$1,0)-1))*IF(G933="Ottone",1,0)</f>
        <v>0</v>
      </c>
      <c r="O933" s="205">
        <f ca="1">IF(ISERROR(OFFSET(Rame!$A$1,MATCH(J933,Rame!$A:$A,0)-1,MATCH(L933,Rame!$A$1:$AA$1,0)-1)=TRUE),0,OFFSET(Rame!$A$1,MATCH(J933,Rame!$A:$A,0)-1,MATCH(L933,Rame!$A$1:$AA$1,0)-1))*IF(G933="Rame",1,0)</f>
        <v>0</v>
      </c>
      <c r="P933" s="205">
        <v>0</v>
      </c>
      <c r="Q933" s="205">
        <f t="shared" ca="1" si="287"/>
        <v>0</v>
      </c>
      <c r="R933" s="205">
        <f ca="1">+IF(ISERROR(OFFSET(Tabella!$G$1,MATCH(J933,Tabella!$G:$G,0)-1,MATCH(K933,Tabella!$G$1:$FG$1,0)-1)=TRUE),0,OFFSET(Tabella!$G$1,MATCH(J933,Tabella!$G:$G,0)-1,MATCH(K933,Tabella!$G$1:$AB$1,0)-1))</f>
        <v>0</v>
      </c>
      <c r="S933" s="205">
        <f ca="1">IF(ISERROR(OFFSET(Ottone!$F$1,MATCH(J933,Ottone!$A:$A,0)-1,MATCH(K933,Ottone!$F$1:$FF$1,0)-1)=TRUE),0,OFFSET(Ottone!$F$1,MATCH(J933,Ottone!$A:$A,0)-1,MATCH(K933,Ottone!$F$1:$FF$1,0)-1))*IF(G933="Ottone",1,0)</f>
        <v>0</v>
      </c>
      <c r="T933" s="205">
        <f ca="1">IF(ISERROR(OFFSET(Rame!$F$1,MATCH(J933,Rame!$F:$F,0)-1,MATCH(K933,Rame!$F$1:$FF$1,0)-1)=TRUE),0,OFFSET(Rame!$F$1,MATCH(J933,Rame!$F:$F,0)-1,MATCH(K933,Rame!$F$1:$FF$1,0)-1))*IF(G933="Rame",1,0)</f>
        <v>0</v>
      </c>
      <c r="U933" s="205">
        <f ca="1">IF(ISERROR(OFFSET(Bronzo!$A$1,MATCH(J933,Bronzo!$A:$A,0)-1,MATCH(K933,Bronzo!$A$1:$AA$1,0)-1)=TRUE),0,OFFSET(Bronzo!$A$1,MATCH(J933,Bronzo!$A:$A,0)-1,MATCH(K933,Bronzo!$A$1:$AA$1,0)-1))</f>
        <v>0</v>
      </c>
      <c r="V933" s="205">
        <f t="shared" ca="1" si="288"/>
        <v>0</v>
      </c>
      <c r="W933" s="204"/>
      <c r="X933" s="205">
        <v>0</v>
      </c>
      <c r="Y933" s="206">
        <f t="shared" ca="1" si="289"/>
        <v>0</v>
      </c>
      <c r="Z933" s="277">
        <f t="shared" si="290"/>
        <v>0</v>
      </c>
      <c r="AA933" s="203"/>
      <c r="AB933" s="203">
        <f t="shared" ca="1" si="291"/>
        <v>0</v>
      </c>
      <c r="AC933" s="238"/>
      <c r="AI933" s="367">
        <f t="shared" ca="1" si="286"/>
        <v>46092</v>
      </c>
      <c r="AJ933" s="367" t="b">
        <f t="shared" si="292"/>
        <v>1</v>
      </c>
      <c r="AK933" s="370" t="str">
        <f t="shared" si="293"/>
        <v/>
      </c>
      <c r="AN933">
        <f t="shared" si="294"/>
        <v>0</v>
      </c>
      <c r="AO933">
        <f t="shared" si="295"/>
        <v>1900</v>
      </c>
      <c r="AV933">
        <f t="shared" ref="AV933:AV996" si="296">IF(AC933="",0,MONTH(AC933))</f>
        <v>0</v>
      </c>
      <c r="AW933">
        <f t="shared" ref="AW933:AW996" si="297">IF(AC933="",0,YEAR(AC933))</f>
        <v>0</v>
      </c>
    </row>
    <row r="934" spans="4:49" ht="15.75" x14ac:dyDescent="0.25">
      <c r="D934" s="199"/>
      <c r="E934" s="200"/>
      <c r="F934" s="287"/>
      <c r="G934" s="201"/>
      <c r="H934" s="219"/>
      <c r="I934" s="202"/>
      <c r="J934" s="200"/>
      <c r="K934" s="200"/>
      <c r="L934" s="203"/>
      <c r="M934" s="204">
        <f ca="1">IF(ISERROR(OFFSET(Tabella!$A$1,MATCH(J934,Tabella!$A:$A,0)-1,MATCH(L934,Tabella!$A$1:$AC$1,0)-1)=TRUE),0,+OFFSET(Tabella!$A$1,MATCH(J934,Tabella!$A:$A,0)-1,MATCH(L934,Tabella!$A$1:$AC$1,0)-1))</f>
        <v>0</v>
      </c>
      <c r="N934" s="205">
        <f ca="1">IF(ISERROR(OFFSET(Ottone!$A$1,MATCH(J934,Ottone!$A:$A,0)-1,MATCH(L934,Ottone!$A$1:$Z$1,0)-1)=TRUE),0,OFFSET(Ottone!$A$1,MATCH(J934,Ottone!$A:$A,0)-1,MATCH(L934,Ottone!$A$1:$Z$1,0)-1))*IF(G934="Ottone",1,0)</f>
        <v>0</v>
      </c>
      <c r="O934" s="205">
        <f ca="1">IF(ISERROR(OFFSET(Rame!$A$1,MATCH(J934,Rame!$A:$A,0)-1,MATCH(L934,Rame!$A$1:$AA$1,0)-1)=TRUE),0,OFFSET(Rame!$A$1,MATCH(J934,Rame!$A:$A,0)-1,MATCH(L934,Rame!$A$1:$AA$1,0)-1))*IF(G934="Rame",1,0)</f>
        <v>0</v>
      </c>
      <c r="P934" s="205">
        <v>0</v>
      </c>
      <c r="Q934" s="205">
        <f t="shared" ca="1" si="287"/>
        <v>0</v>
      </c>
      <c r="R934" s="205">
        <f ca="1">+IF(ISERROR(OFFSET(Tabella!$G$1,MATCH(J934,Tabella!$G:$G,0)-1,MATCH(K934,Tabella!$G$1:$FG$1,0)-1)=TRUE),0,OFFSET(Tabella!$G$1,MATCH(J934,Tabella!$G:$G,0)-1,MATCH(K934,Tabella!$G$1:$AB$1,0)-1))</f>
        <v>0</v>
      </c>
      <c r="S934" s="205">
        <f ca="1">IF(ISERROR(OFFSET(Ottone!$F$1,MATCH(J934,Ottone!$A:$A,0)-1,MATCH(K934,Ottone!$F$1:$FF$1,0)-1)=TRUE),0,OFFSET(Ottone!$F$1,MATCH(J934,Ottone!$A:$A,0)-1,MATCH(K934,Ottone!$F$1:$FF$1,0)-1))*IF(G934="Ottone",1,0)</f>
        <v>0</v>
      </c>
      <c r="T934" s="205">
        <f ca="1">IF(ISERROR(OFFSET(Rame!$F$1,MATCH(J934,Rame!$F:$F,0)-1,MATCH(K934,Rame!$F$1:$FF$1,0)-1)=TRUE),0,OFFSET(Rame!$F$1,MATCH(J934,Rame!$F:$F,0)-1,MATCH(K934,Rame!$F$1:$FF$1,0)-1))*IF(G934="Rame",1,0)</f>
        <v>0</v>
      </c>
      <c r="U934" s="205">
        <f ca="1">IF(ISERROR(OFFSET(Bronzo!$A$1,MATCH(J934,Bronzo!$A:$A,0)-1,MATCH(K934,Bronzo!$A$1:$AA$1,0)-1)=TRUE),0,OFFSET(Bronzo!$A$1,MATCH(J934,Bronzo!$A:$A,0)-1,MATCH(K934,Bronzo!$A$1:$AA$1,0)-1))</f>
        <v>0</v>
      </c>
      <c r="V934" s="205">
        <f t="shared" ca="1" si="288"/>
        <v>0</v>
      </c>
      <c r="W934" s="204"/>
      <c r="X934" s="205">
        <v>0</v>
      </c>
      <c r="Y934" s="206">
        <f t="shared" ca="1" si="289"/>
        <v>0</v>
      </c>
      <c r="Z934" s="277">
        <f t="shared" si="290"/>
        <v>0</v>
      </c>
      <c r="AA934" s="203"/>
      <c r="AB934" s="203">
        <f t="shared" ca="1" si="291"/>
        <v>0</v>
      </c>
      <c r="AC934" s="238"/>
      <c r="AI934" s="367">
        <f t="shared" ca="1" si="286"/>
        <v>46092</v>
      </c>
      <c r="AJ934" s="367" t="b">
        <f t="shared" si="292"/>
        <v>1</v>
      </c>
      <c r="AK934" s="370" t="str">
        <f t="shared" si="293"/>
        <v/>
      </c>
      <c r="AN934">
        <f t="shared" si="294"/>
        <v>0</v>
      </c>
      <c r="AO934">
        <f t="shared" si="295"/>
        <v>1900</v>
      </c>
      <c r="AV934">
        <f t="shared" si="296"/>
        <v>0</v>
      </c>
      <c r="AW934">
        <f t="shared" si="297"/>
        <v>0</v>
      </c>
    </row>
    <row r="935" spans="4:49" ht="15.75" x14ac:dyDescent="0.25">
      <c r="D935" s="199"/>
      <c r="E935" s="200"/>
      <c r="F935" s="287"/>
      <c r="G935" s="201"/>
      <c r="H935" s="219"/>
      <c r="I935" s="202"/>
      <c r="J935" s="200"/>
      <c r="K935" s="200"/>
      <c r="L935" s="203"/>
      <c r="M935" s="204">
        <f ca="1">IF(ISERROR(OFFSET(Tabella!$A$1,MATCH(J935,Tabella!$A:$A,0)-1,MATCH(L935,Tabella!$A$1:$AC$1,0)-1)=TRUE),0,+OFFSET(Tabella!$A$1,MATCH(J935,Tabella!$A:$A,0)-1,MATCH(L935,Tabella!$A$1:$AC$1,0)-1))</f>
        <v>0</v>
      </c>
      <c r="N935" s="205">
        <f ca="1">IF(ISERROR(OFFSET(Ottone!$A$1,MATCH(J935,Ottone!$A:$A,0)-1,MATCH(L935,Ottone!$A$1:$Z$1,0)-1)=TRUE),0,OFFSET(Ottone!$A$1,MATCH(J935,Ottone!$A:$A,0)-1,MATCH(L935,Ottone!$A$1:$Z$1,0)-1))*IF(G935="Ottone",1,0)</f>
        <v>0</v>
      </c>
      <c r="O935" s="205">
        <f ca="1">IF(ISERROR(OFFSET(Rame!$A$1,MATCH(J935,Rame!$A:$A,0)-1,MATCH(L935,Rame!$A$1:$AA$1,0)-1)=TRUE),0,OFFSET(Rame!$A$1,MATCH(J935,Rame!$A:$A,0)-1,MATCH(L935,Rame!$A$1:$AA$1,0)-1))*IF(G935="Rame",1,0)</f>
        <v>0</v>
      </c>
      <c r="P935" s="205">
        <v>0</v>
      </c>
      <c r="Q935" s="205">
        <f t="shared" ca="1" si="287"/>
        <v>0</v>
      </c>
      <c r="R935" s="205">
        <f ca="1">+IF(ISERROR(OFFSET(Tabella!$G$1,MATCH(J935,Tabella!$G:$G,0)-1,MATCH(K935,Tabella!$G$1:$FG$1,0)-1)=TRUE),0,OFFSET(Tabella!$G$1,MATCH(J935,Tabella!$G:$G,0)-1,MATCH(K935,Tabella!$G$1:$AB$1,0)-1))</f>
        <v>0</v>
      </c>
      <c r="S935" s="205">
        <f ca="1">IF(ISERROR(OFFSET(Ottone!$F$1,MATCH(J935,Ottone!$A:$A,0)-1,MATCH(K935,Ottone!$F$1:$FF$1,0)-1)=TRUE),0,OFFSET(Ottone!$F$1,MATCH(J935,Ottone!$A:$A,0)-1,MATCH(K935,Ottone!$F$1:$FF$1,0)-1))*IF(G935="Ottone",1,0)</f>
        <v>0</v>
      </c>
      <c r="T935" s="205">
        <f ca="1">IF(ISERROR(OFFSET(Rame!$F$1,MATCH(J935,Rame!$F:$F,0)-1,MATCH(K935,Rame!$F$1:$FF$1,0)-1)=TRUE),0,OFFSET(Rame!$F$1,MATCH(J935,Rame!$F:$F,0)-1,MATCH(K935,Rame!$F$1:$FF$1,0)-1))*IF(G935="Rame",1,0)</f>
        <v>0</v>
      </c>
      <c r="U935" s="205">
        <f ca="1">IF(ISERROR(OFFSET(Bronzo!$A$1,MATCH(J935,Bronzo!$A:$A,0)-1,MATCH(K935,Bronzo!$A$1:$AA$1,0)-1)=TRUE),0,OFFSET(Bronzo!$A$1,MATCH(J935,Bronzo!$A:$A,0)-1,MATCH(K935,Bronzo!$A$1:$AA$1,0)-1))</f>
        <v>0</v>
      </c>
      <c r="V935" s="205">
        <f t="shared" ca="1" si="288"/>
        <v>0</v>
      </c>
      <c r="W935" s="204"/>
      <c r="X935" s="205">
        <v>0</v>
      </c>
      <c r="Y935" s="206">
        <f t="shared" ca="1" si="289"/>
        <v>0</v>
      </c>
      <c r="Z935" s="277">
        <f t="shared" si="290"/>
        <v>0</v>
      </c>
      <c r="AA935" s="203"/>
      <c r="AB935" s="203">
        <f t="shared" ca="1" si="291"/>
        <v>0</v>
      </c>
      <c r="AC935" s="238"/>
      <c r="AI935" s="367">
        <f t="shared" ca="1" si="286"/>
        <v>46092</v>
      </c>
      <c r="AJ935" s="367" t="b">
        <f t="shared" si="292"/>
        <v>1</v>
      </c>
      <c r="AK935" s="370" t="str">
        <f t="shared" si="293"/>
        <v/>
      </c>
      <c r="AN935">
        <f t="shared" si="294"/>
        <v>0</v>
      </c>
      <c r="AO935">
        <f t="shared" si="295"/>
        <v>1900</v>
      </c>
      <c r="AV935">
        <f t="shared" si="296"/>
        <v>0</v>
      </c>
      <c r="AW935">
        <f t="shared" si="297"/>
        <v>0</v>
      </c>
    </row>
    <row r="936" spans="4:49" ht="15.75" x14ac:dyDescent="0.25">
      <c r="D936" s="199"/>
      <c r="E936" s="200"/>
      <c r="F936" s="287"/>
      <c r="G936" s="201"/>
      <c r="H936" s="219"/>
      <c r="I936" s="202"/>
      <c r="J936" s="200"/>
      <c r="K936" s="200"/>
      <c r="L936" s="203"/>
      <c r="M936" s="204">
        <f ca="1">IF(ISERROR(OFFSET(Tabella!$A$1,MATCH(J936,Tabella!$A:$A,0)-1,MATCH(L936,Tabella!$A$1:$AC$1,0)-1)=TRUE),0,+OFFSET(Tabella!$A$1,MATCH(J936,Tabella!$A:$A,0)-1,MATCH(L936,Tabella!$A$1:$AC$1,0)-1))</f>
        <v>0</v>
      </c>
      <c r="N936" s="205">
        <f ca="1">IF(ISERROR(OFFSET(Ottone!$A$1,MATCH(J936,Ottone!$A:$A,0)-1,MATCH(L936,Ottone!$A$1:$Z$1,0)-1)=TRUE),0,OFFSET(Ottone!$A$1,MATCH(J936,Ottone!$A:$A,0)-1,MATCH(L936,Ottone!$A$1:$Z$1,0)-1))*IF(G936="Ottone",1,0)</f>
        <v>0</v>
      </c>
      <c r="O936" s="205">
        <f ca="1">IF(ISERROR(OFFSET(Rame!$A$1,MATCH(J936,Rame!$A:$A,0)-1,MATCH(L936,Rame!$A$1:$AA$1,0)-1)=TRUE),0,OFFSET(Rame!$A$1,MATCH(J936,Rame!$A:$A,0)-1,MATCH(L936,Rame!$A$1:$AA$1,0)-1))*IF(G936="Rame",1,0)</f>
        <v>0</v>
      </c>
      <c r="P936" s="205">
        <v>0</v>
      </c>
      <c r="Q936" s="205">
        <f t="shared" ca="1" si="287"/>
        <v>0</v>
      </c>
      <c r="R936" s="205">
        <f ca="1">+IF(ISERROR(OFFSET(Tabella!$G$1,MATCH(J936,Tabella!$G:$G,0)-1,MATCH(K936,Tabella!$G$1:$FG$1,0)-1)=TRUE),0,OFFSET(Tabella!$G$1,MATCH(J936,Tabella!$G:$G,0)-1,MATCH(K936,Tabella!$G$1:$AB$1,0)-1))</f>
        <v>0</v>
      </c>
      <c r="S936" s="205">
        <f ca="1">IF(ISERROR(OFFSET(Ottone!$F$1,MATCH(J936,Ottone!$A:$A,0)-1,MATCH(K936,Ottone!$F$1:$FF$1,0)-1)=TRUE),0,OFFSET(Ottone!$F$1,MATCH(J936,Ottone!$A:$A,0)-1,MATCH(K936,Ottone!$F$1:$FF$1,0)-1))*IF(G936="Ottone",1,0)</f>
        <v>0</v>
      </c>
      <c r="T936" s="205">
        <f ca="1">IF(ISERROR(OFFSET(Rame!$F$1,MATCH(J936,Rame!$F:$F,0)-1,MATCH(K936,Rame!$F$1:$FF$1,0)-1)=TRUE),0,OFFSET(Rame!$F$1,MATCH(J936,Rame!$F:$F,0)-1,MATCH(K936,Rame!$F$1:$FF$1,0)-1))*IF(G936="Rame",1,0)</f>
        <v>0</v>
      </c>
      <c r="U936" s="205">
        <f ca="1">IF(ISERROR(OFFSET(Bronzo!$A$1,MATCH(J936,Bronzo!$A:$A,0)-1,MATCH(K936,Bronzo!$A$1:$AA$1,0)-1)=TRUE),0,OFFSET(Bronzo!$A$1,MATCH(J936,Bronzo!$A:$A,0)-1,MATCH(K936,Bronzo!$A$1:$AA$1,0)-1))</f>
        <v>0</v>
      </c>
      <c r="V936" s="205">
        <f t="shared" ca="1" si="288"/>
        <v>0</v>
      </c>
      <c r="W936" s="204"/>
      <c r="X936" s="205">
        <v>0</v>
      </c>
      <c r="Y936" s="206">
        <f t="shared" ca="1" si="289"/>
        <v>0</v>
      </c>
      <c r="Z936" s="277">
        <f t="shared" si="290"/>
        <v>0</v>
      </c>
      <c r="AA936" s="203"/>
      <c r="AB936" s="203">
        <f t="shared" ca="1" si="291"/>
        <v>0</v>
      </c>
      <c r="AC936" s="238"/>
      <c r="AI936" s="367">
        <f t="shared" ca="1" si="286"/>
        <v>46092</v>
      </c>
      <c r="AJ936" s="367" t="b">
        <f t="shared" si="292"/>
        <v>1</v>
      </c>
      <c r="AK936" s="370" t="str">
        <f t="shared" si="293"/>
        <v/>
      </c>
      <c r="AN936">
        <f t="shared" si="294"/>
        <v>0</v>
      </c>
      <c r="AO936">
        <f t="shared" si="295"/>
        <v>1900</v>
      </c>
      <c r="AV936">
        <f t="shared" si="296"/>
        <v>0</v>
      </c>
      <c r="AW936">
        <f t="shared" si="297"/>
        <v>0</v>
      </c>
    </row>
    <row r="937" spans="4:49" ht="15.75" x14ac:dyDescent="0.25">
      <c r="D937" s="199"/>
      <c r="E937" s="200"/>
      <c r="F937" s="287"/>
      <c r="G937" s="201"/>
      <c r="H937" s="219"/>
      <c r="I937" s="202"/>
      <c r="J937" s="200"/>
      <c r="K937" s="200"/>
      <c r="L937" s="203"/>
      <c r="M937" s="204">
        <f ca="1">IF(ISERROR(OFFSET(Tabella!$A$1,MATCH(J937,Tabella!$A:$A,0)-1,MATCH(L937,Tabella!$A$1:$AC$1,0)-1)=TRUE),0,+OFFSET(Tabella!$A$1,MATCH(J937,Tabella!$A:$A,0)-1,MATCH(L937,Tabella!$A$1:$AC$1,0)-1))</f>
        <v>0</v>
      </c>
      <c r="N937" s="205">
        <f ca="1">IF(ISERROR(OFFSET(Ottone!$A$1,MATCH(J937,Ottone!$A:$A,0)-1,MATCH(L937,Ottone!$A$1:$Z$1,0)-1)=TRUE),0,OFFSET(Ottone!$A$1,MATCH(J937,Ottone!$A:$A,0)-1,MATCH(L937,Ottone!$A$1:$Z$1,0)-1))*IF(G937="Ottone",1,0)</f>
        <v>0</v>
      </c>
      <c r="O937" s="205">
        <f ca="1">IF(ISERROR(OFFSET(Rame!$A$1,MATCH(J937,Rame!$A:$A,0)-1,MATCH(L937,Rame!$A$1:$AA$1,0)-1)=TRUE),0,OFFSET(Rame!$A$1,MATCH(J937,Rame!$A:$A,0)-1,MATCH(L937,Rame!$A$1:$AA$1,0)-1))*IF(G937="Rame",1,0)</f>
        <v>0</v>
      </c>
      <c r="P937" s="205">
        <v>0</v>
      </c>
      <c r="Q937" s="205">
        <f t="shared" ca="1" si="287"/>
        <v>0</v>
      </c>
      <c r="R937" s="205">
        <f ca="1">+IF(ISERROR(OFFSET(Tabella!$G$1,MATCH(J937,Tabella!$G:$G,0)-1,MATCH(K937,Tabella!$G$1:$FG$1,0)-1)=TRUE),0,OFFSET(Tabella!$G$1,MATCH(J937,Tabella!$G:$G,0)-1,MATCH(K937,Tabella!$G$1:$AB$1,0)-1))</f>
        <v>0</v>
      </c>
      <c r="S937" s="205">
        <f ca="1">IF(ISERROR(OFFSET(Ottone!$F$1,MATCH(J937,Ottone!$A:$A,0)-1,MATCH(K937,Ottone!$F$1:$FF$1,0)-1)=TRUE),0,OFFSET(Ottone!$F$1,MATCH(J937,Ottone!$A:$A,0)-1,MATCH(K937,Ottone!$F$1:$FF$1,0)-1))*IF(G937="Ottone",1,0)</f>
        <v>0</v>
      </c>
      <c r="T937" s="205">
        <f ca="1">IF(ISERROR(OFFSET(Rame!$F$1,MATCH(J937,Rame!$F:$F,0)-1,MATCH(K937,Rame!$F$1:$FF$1,0)-1)=TRUE),0,OFFSET(Rame!$F$1,MATCH(J937,Rame!$F:$F,0)-1,MATCH(K937,Rame!$F$1:$FF$1,0)-1))*IF(G937="Rame",1,0)</f>
        <v>0</v>
      </c>
      <c r="U937" s="205">
        <f ca="1">IF(ISERROR(OFFSET(Bronzo!$A$1,MATCH(J937,Bronzo!$A:$A,0)-1,MATCH(K937,Bronzo!$A$1:$AA$1,0)-1)=TRUE),0,OFFSET(Bronzo!$A$1,MATCH(J937,Bronzo!$A:$A,0)-1,MATCH(K937,Bronzo!$A$1:$AA$1,0)-1))</f>
        <v>0</v>
      </c>
      <c r="V937" s="205">
        <f t="shared" ca="1" si="288"/>
        <v>0</v>
      </c>
      <c r="W937" s="204"/>
      <c r="X937" s="205">
        <v>0</v>
      </c>
      <c r="Y937" s="206">
        <f t="shared" ca="1" si="289"/>
        <v>0</v>
      </c>
      <c r="Z937" s="277">
        <f t="shared" si="290"/>
        <v>0</v>
      </c>
      <c r="AA937" s="203"/>
      <c r="AB937" s="203">
        <f t="shared" ca="1" si="291"/>
        <v>0</v>
      </c>
      <c r="AC937" s="238"/>
      <c r="AI937" s="367">
        <f t="shared" ca="1" si="286"/>
        <v>46092</v>
      </c>
      <c r="AJ937" s="367" t="b">
        <f t="shared" si="292"/>
        <v>1</v>
      </c>
      <c r="AK937" s="370" t="str">
        <f t="shared" si="293"/>
        <v/>
      </c>
      <c r="AN937">
        <f t="shared" si="294"/>
        <v>0</v>
      </c>
      <c r="AO937">
        <f t="shared" si="295"/>
        <v>1900</v>
      </c>
      <c r="AV937">
        <f t="shared" si="296"/>
        <v>0</v>
      </c>
      <c r="AW937">
        <f t="shared" si="297"/>
        <v>0</v>
      </c>
    </row>
    <row r="938" spans="4:49" ht="15.75" x14ac:dyDescent="0.25">
      <c r="D938" s="199"/>
      <c r="E938" s="200"/>
      <c r="F938" s="287"/>
      <c r="G938" s="201"/>
      <c r="H938" s="219"/>
      <c r="I938" s="202"/>
      <c r="J938" s="200"/>
      <c r="K938" s="200"/>
      <c r="L938" s="203"/>
      <c r="M938" s="204">
        <f ca="1">IF(ISERROR(OFFSET(Tabella!$A$1,MATCH(J938,Tabella!$A:$A,0)-1,MATCH(L938,Tabella!$A$1:$AC$1,0)-1)=TRUE),0,+OFFSET(Tabella!$A$1,MATCH(J938,Tabella!$A:$A,0)-1,MATCH(L938,Tabella!$A$1:$AC$1,0)-1))</f>
        <v>0</v>
      </c>
      <c r="N938" s="205">
        <f ca="1">IF(ISERROR(OFFSET(Ottone!$A$1,MATCH(J938,Ottone!$A:$A,0)-1,MATCH(L938,Ottone!$A$1:$Z$1,0)-1)=TRUE),0,OFFSET(Ottone!$A$1,MATCH(J938,Ottone!$A:$A,0)-1,MATCH(L938,Ottone!$A$1:$Z$1,0)-1))*IF(G938="Ottone",1,0)</f>
        <v>0</v>
      </c>
      <c r="O938" s="205">
        <f ca="1">IF(ISERROR(OFFSET(Rame!$A$1,MATCH(J938,Rame!$A:$A,0)-1,MATCH(L938,Rame!$A$1:$AA$1,0)-1)=TRUE),0,OFFSET(Rame!$A$1,MATCH(J938,Rame!$A:$A,0)-1,MATCH(L938,Rame!$A$1:$AA$1,0)-1))*IF(G938="Rame",1,0)</f>
        <v>0</v>
      </c>
      <c r="P938" s="205">
        <v>0</v>
      </c>
      <c r="Q938" s="205">
        <f t="shared" ca="1" si="287"/>
        <v>0</v>
      </c>
      <c r="R938" s="205">
        <f ca="1">+IF(ISERROR(OFFSET(Tabella!$G$1,MATCH(J938,Tabella!$G:$G,0)-1,MATCH(K938,Tabella!$G$1:$FG$1,0)-1)=TRUE),0,OFFSET(Tabella!$G$1,MATCH(J938,Tabella!$G:$G,0)-1,MATCH(K938,Tabella!$G$1:$AB$1,0)-1))</f>
        <v>0</v>
      </c>
      <c r="S938" s="205">
        <f ca="1">IF(ISERROR(OFFSET(Ottone!$F$1,MATCH(J938,Ottone!$A:$A,0)-1,MATCH(K938,Ottone!$F$1:$FF$1,0)-1)=TRUE),0,OFFSET(Ottone!$F$1,MATCH(J938,Ottone!$A:$A,0)-1,MATCH(K938,Ottone!$F$1:$FF$1,0)-1))*IF(G938="Ottone",1,0)</f>
        <v>0</v>
      </c>
      <c r="T938" s="205">
        <f ca="1">IF(ISERROR(OFFSET(Rame!$F$1,MATCH(J938,Rame!$F:$F,0)-1,MATCH(K938,Rame!$F$1:$FF$1,0)-1)=TRUE),0,OFFSET(Rame!$F$1,MATCH(J938,Rame!$F:$F,0)-1,MATCH(K938,Rame!$F$1:$FF$1,0)-1))*IF(G938="Rame",1,0)</f>
        <v>0</v>
      </c>
      <c r="U938" s="205">
        <f ca="1">IF(ISERROR(OFFSET(Bronzo!$A$1,MATCH(J938,Bronzo!$A:$A,0)-1,MATCH(K938,Bronzo!$A$1:$AA$1,0)-1)=TRUE),0,OFFSET(Bronzo!$A$1,MATCH(J938,Bronzo!$A:$A,0)-1,MATCH(K938,Bronzo!$A$1:$AA$1,0)-1))</f>
        <v>0</v>
      </c>
      <c r="V938" s="205">
        <f t="shared" ca="1" si="288"/>
        <v>0</v>
      </c>
      <c r="W938" s="204"/>
      <c r="X938" s="205">
        <v>0</v>
      </c>
      <c r="Y938" s="206">
        <f t="shared" ca="1" si="289"/>
        <v>0</v>
      </c>
      <c r="Z938" s="277">
        <f t="shared" si="290"/>
        <v>0</v>
      </c>
      <c r="AA938" s="203"/>
      <c r="AB938" s="203">
        <f t="shared" ca="1" si="291"/>
        <v>0</v>
      </c>
      <c r="AC938" s="238"/>
      <c r="AI938" s="367">
        <f t="shared" ca="1" si="286"/>
        <v>46092</v>
      </c>
      <c r="AJ938" s="367" t="b">
        <f t="shared" si="292"/>
        <v>1</v>
      </c>
      <c r="AK938" s="370" t="str">
        <f t="shared" si="293"/>
        <v/>
      </c>
      <c r="AN938">
        <f t="shared" si="294"/>
        <v>0</v>
      </c>
      <c r="AO938">
        <f t="shared" si="295"/>
        <v>1900</v>
      </c>
      <c r="AV938">
        <f t="shared" si="296"/>
        <v>0</v>
      </c>
      <c r="AW938">
        <f t="shared" si="297"/>
        <v>0</v>
      </c>
    </row>
    <row r="939" spans="4:49" ht="15.75" x14ac:dyDescent="0.25">
      <c r="D939" s="199"/>
      <c r="E939" s="200"/>
      <c r="F939" s="287"/>
      <c r="G939" s="201"/>
      <c r="H939" s="219"/>
      <c r="I939" s="202"/>
      <c r="J939" s="200"/>
      <c r="K939" s="200"/>
      <c r="L939" s="203"/>
      <c r="M939" s="204">
        <f ca="1">IF(ISERROR(OFFSET(Tabella!$A$1,MATCH(J939,Tabella!$A:$A,0)-1,MATCH(L939,Tabella!$A$1:$AC$1,0)-1)=TRUE),0,+OFFSET(Tabella!$A$1,MATCH(J939,Tabella!$A:$A,0)-1,MATCH(L939,Tabella!$A$1:$AC$1,0)-1))</f>
        <v>0</v>
      </c>
      <c r="N939" s="205">
        <f ca="1">IF(ISERROR(OFFSET(Ottone!$A$1,MATCH(J939,Ottone!$A:$A,0)-1,MATCH(L939,Ottone!$A$1:$Z$1,0)-1)=TRUE),0,OFFSET(Ottone!$A$1,MATCH(J939,Ottone!$A:$A,0)-1,MATCH(L939,Ottone!$A$1:$Z$1,0)-1))*IF(G939="Ottone",1,0)</f>
        <v>0</v>
      </c>
      <c r="O939" s="205">
        <f ca="1">IF(ISERROR(OFFSET(Rame!$A$1,MATCH(J939,Rame!$A:$A,0)-1,MATCH(L939,Rame!$A$1:$AA$1,0)-1)=TRUE),0,OFFSET(Rame!$A$1,MATCH(J939,Rame!$A:$A,0)-1,MATCH(L939,Rame!$A$1:$AA$1,0)-1))*IF(G939="Rame",1,0)</f>
        <v>0</v>
      </c>
      <c r="P939" s="205">
        <v>0</v>
      </c>
      <c r="Q939" s="205">
        <f t="shared" ca="1" si="287"/>
        <v>0</v>
      </c>
      <c r="R939" s="205">
        <f ca="1">+IF(ISERROR(OFFSET(Tabella!$G$1,MATCH(J939,Tabella!$G:$G,0)-1,MATCH(K939,Tabella!$G$1:$FG$1,0)-1)=TRUE),0,OFFSET(Tabella!$G$1,MATCH(J939,Tabella!$G:$G,0)-1,MATCH(K939,Tabella!$G$1:$AB$1,0)-1))</f>
        <v>0</v>
      </c>
      <c r="S939" s="205">
        <f ca="1">IF(ISERROR(OFFSET(Ottone!$F$1,MATCH(J939,Ottone!$A:$A,0)-1,MATCH(K939,Ottone!$F$1:$FF$1,0)-1)=TRUE),0,OFFSET(Ottone!$F$1,MATCH(J939,Ottone!$A:$A,0)-1,MATCH(K939,Ottone!$F$1:$FF$1,0)-1))*IF(G939="Ottone",1,0)</f>
        <v>0</v>
      </c>
      <c r="T939" s="205">
        <f ca="1">IF(ISERROR(OFFSET(Rame!$F$1,MATCH(J939,Rame!$F:$F,0)-1,MATCH(K939,Rame!$F$1:$FF$1,0)-1)=TRUE),0,OFFSET(Rame!$F$1,MATCH(J939,Rame!$F:$F,0)-1,MATCH(K939,Rame!$F$1:$FF$1,0)-1))*IF(G939="Rame",1,0)</f>
        <v>0</v>
      </c>
      <c r="U939" s="205">
        <f ca="1">IF(ISERROR(OFFSET(Bronzo!$A$1,MATCH(J939,Bronzo!$A:$A,0)-1,MATCH(K939,Bronzo!$A$1:$AA$1,0)-1)=TRUE),0,OFFSET(Bronzo!$A$1,MATCH(J939,Bronzo!$A:$A,0)-1,MATCH(K939,Bronzo!$A$1:$AA$1,0)-1))</f>
        <v>0</v>
      </c>
      <c r="V939" s="205">
        <f t="shared" ca="1" si="288"/>
        <v>0</v>
      </c>
      <c r="W939" s="204"/>
      <c r="X939" s="205">
        <v>0</v>
      </c>
      <c r="Y939" s="206">
        <f t="shared" ca="1" si="289"/>
        <v>0</v>
      </c>
      <c r="Z939" s="277">
        <f t="shared" si="290"/>
        <v>0</v>
      </c>
      <c r="AA939" s="203"/>
      <c r="AB939" s="203">
        <f t="shared" ca="1" si="291"/>
        <v>0</v>
      </c>
      <c r="AC939" s="238"/>
      <c r="AI939" s="367">
        <f t="shared" ca="1" si="286"/>
        <v>46092</v>
      </c>
      <c r="AJ939" s="367" t="b">
        <f t="shared" si="292"/>
        <v>1</v>
      </c>
      <c r="AK939" s="370" t="str">
        <f t="shared" si="293"/>
        <v/>
      </c>
      <c r="AN939">
        <f t="shared" si="294"/>
        <v>0</v>
      </c>
      <c r="AO939">
        <f t="shared" si="295"/>
        <v>1900</v>
      </c>
      <c r="AV939">
        <f t="shared" si="296"/>
        <v>0</v>
      </c>
      <c r="AW939">
        <f t="shared" si="297"/>
        <v>0</v>
      </c>
    </row>
    <row r="940" spans="4:49" ht="15.75" x14ac:dyDescent="0.25">
      <c r="D940" s="199"/>
      <c r="E940" s="200"/>
      <c r="F940" s="287"/>
      <c r="G940" s="201"/>
      <c r="H940" s="219"/>
      <c r="I940" s="202"/>
      <c r="J940" s="200"/>
      <c r="K940" s="200"/>
      <c r="L940" s="203"/>
      <c r="M940" s="204">
        <f ca="1">IF(ISERROR(OFFSET(Tabella!$A$1,MATCH(J940,Tabella!$A:$A,0)-1,MATCH(L940,Tabella!$A$1:$AC$1,0)-1)=TRUE),0,+OFFSET(Tabella!$A$1,MATCH(J940,Tabella!$A:$A,0)-1,MATCH(L940,Tabella!$A$1:$AC$1,0)-1))</f>
        <v>0</v>
      </c>
      <c r="N940" s="205">
        <f ca="1">IF(ISERROR(OFFSET(Ottone!$A$1,MATCH(J940,Ottone!$A:$A,0)-1,MATCH(L940,Ottone!$A$1:$Z$1,0)-1)=TRUE),0,OFFSET(Ottone!$A$1,MATCH(J940,Ottone!$A:$A,0)-1,MATCH(L940,Ottone!$A$1:$Z$1,0)-1))*IF(G940="Ottone",1,0)</f>
        <v>0</v>
      </c>
      <c r="O940" s="205">
        <f ca="1">IF(ISERROR(OFFSET(Rame!$A$1,MATCH(J940,Rame!$A:$A,0)-1,MATCH(L940,Rame!$A$1:$AA$1,0)-1)=TRUE),0,OFFSET(Rame!$A$1,MATCH(J940,Rame!$A:$A,0)-1,MATCH(L940,Rame!$A$1:$AA$1,0)-1))*IF(G940="Rame",1,0)</f>
        <v>0</v>
      </c>
      <c r="P940" s="205">
        <v>0</v>
      </c>
      <c r="Q940" s="205">
        <f t="shared" ca="1" si="287"/>
        <v>0</v>
      </c>
      <c r="R940" s="205">
        <f ca="1">+IF(ISERROR(OFFSET(Tabella!$G$1,MATCH(J940,Tabella!$G:$G,0)-1,MATCH(K940,Tabella!$G$1:$FG$1,0)-1)=TRUE),0,OFFSET(Tabella!$G$1,MATCH(J940,Tabella!$G:$G,0)-1,MATCH(K940,Tabella!$G$1:$AB$1,0)-1))</f>
        <v>0</v>
      </c>
      <c r="S940" s="205">
        <f ca="1">IF(ISERROR(OFFSET(Ottone!$F$1,MATCH(J940,Ottone!$A:$A,0)-1,MATCH(K940,Ottone!$F$1:$FF$1,0)-1)=TRUE),0,OFFSET(Ottone!$F$1,MATCH(J940,Ottone!$A:$A,0)-1,MATCH(K940,Ottone!$F$1:$FF$1,0)-1))*IF(G940="Ottone",1,0)</f>
        <v>0</v>
      </c>
      <c r="T940" s="205">
        <f ca="1">IF(ISERROR(OFFSET(Rame!$F$1,MATCH(J940,Rame!$F:$F,0)-1,MATCH(K940,Rame!$F$1:$FF$1,0)-1)=TRUE),0,OFFSET(Rame!$F$1,MATCH(J940,Rame!$F:$F,0)-1,MATCH(K940,Rame!$F$1:$FF$1,0)-1))*IF(G940="Rame",1,0)</f>
        <v>0</v>
      </c>
      <c r="U940" s="205">
        <f ca="1">IF(ISERROR(OFFSET(Bronzo!$A$1,MATCH(J940,Bronzo!$A:$A,0)-1,MATCH(K940,Bronzo!$A$1:$AA$1,0)-1)=TRUE),0,OFFSET(Bronzo!$A$1,MATCH(J940,Bronzo!$A:$A,0)-1,MATCH(K940,Bronzo!$A$1:$AA$1,0)-1))</f>
        <v>0</v>
      </c>
      <c r="V940" s="205">
        <f t="shared" ca="1" si="288"/>
        <v>0</v>
      </c>
      <c r="W940" s="204"/>
      <c r="X940" s="205">
        <v>0</v>
      </c>
      <c r="Y940" s="206">
        <f t="shared" ca="1" si="289"/>
        <v>0</v>
      </c>
      <c r="Z940" s="277">
        <f t="shared" si="290"/>
        <v>0</v>
      </c>
      <c r="AA940" s="203"/>
      <c r="AB940" s="203">
        <f t="shared" ca="1" si="291"/>
        <v>0</v>
      </c>
      <c r="AC940" s="238"/>
      <c r="AI940" s="367">
        <f t="shared" ca="1" si="286"/>
        <v>46092</v>
      </c>
      <c r="AJ940" s="367" t="b">
        <f t="shared" si="292"/>
        <v>1</v>
      </c>
      <c r="AK940" s="370" t="str">
        <f t="shared" si="293"/>
        <v/>
      </c>
      <c r="AN940">
        <f t="shared" si="294"/>
        <v>0</v>
      </c>
      <c r="AO940">
        <f t="shared" si="295"/>
        <v>1900</v>
      </c>
      <c r="AV940">
        <f t="shared" si="296"/>
        <v>0</v>
      </c>
      <c r="AW940">
        <f t="shared" si="297"/>
        <v>0</v>
      </c>
    </row>
    <row r="941" spans="4:49" ht="15.75" x14ac:dyDescent="0.25">
      <c r="D941" s="199"/>
      <c r="E941" s="200"/>
      <c r="F941" s="287"/>
      <c r="G941" s="201"/>
      <c r="H941" s="219"/>
      <c r="I941" s="202"/>
      <c r="J941" s="200"/>
      <c r="K941" s="200"/>
      <c r="L941" s="203"/>
      <c r="M941" s="204">
        <f ca="1">IF(ISERROR(OFFSET(Tabella!$A$1,MATCH(J941,Tabella!$A:$A,0)-1,MATCH(L941,Tabella!$A$1:$AC$1,0)-1)=TRUE),0,+OFFSET(Tabella!$A$1,MATCH(J941,Tabella!$A:$A,0)-1,MATCH(L941,Tabella!$A$1:$AC$1,0)-1))</f>
        <v>0</v>
      </c>
      <c r="N941" s="205">
        <f ca="1">IF(ISERROR(OFFSET(Ottone!$A$1,MATCH(J941,Ottone!$A:$A,0)-1,MATCH(L941,Ottone!$A$1:$Z$1,0)-1)=TRUE),0,OFFSET(Ottone!$A$1,MATCH(J941,Ottone!$A:$A,0)-1,MATCH(L941,Ottone!$A$1:$Z$1,0)-1))*IF(G941="Ottone",1,0)</f>
        <v>0</v>
      </c>
      <c r="O941" s="205">
        <f ca="1">IF(ISERROR(OFFSET(Rame!$A$1,MATCH(J941,Rame!$A:$A,0)-1,MATCH(L941,Rame!$A$1:$AA$1,0)-1)=TRUE),0,OFFSET(Rame!$A$1,MATCH(J941,Rame!$A:$A,0)-1,MATCH(L941,Rame!$A$1:$AA$1,0)-1))*IF(G941="Rame",1,0)</f>
        <v>0</v>
      </c>
      <c r="P941" s="205">
        <v>0</v>
      </c>
      <c r="Q941" s="205">
        <f t="shared" ca="1" si="287"/>
        <v>0</v>
      </c>
      <c r="R941" s="205">
        <f ca="1">+IF(ISERROR(OFFSET(Tabella!$G$1,MATCH(J941,Tabella!$G:$G,0)-1,MATCH(K941,Tabella!$G$1:$FG$1,0)-1)=TRUE),0,OFFSET(Tabella!$G$1,MATCH(J941,Tabella!$G:$G,0)-1,MATCH(K941,Tabella!$G$1:$AB$1,0)-1))</f>
        <v>0</v>
      </c>
      <c r="S941" s="205">
        <f ca="1">IF(ISERROR(OFFSET(Ottone!$F$1,MATCH(J941,Ottone!$A:$A,0)-1,MATCH(K941,Ottone!$F$1:$FF$1,0)-1)=TRUE),0,OFFSET(Ottone!$F$1,MATCH(J941,Ottone!$A:$A,0)-1,MATCH(K941,Ottone!$F$1:$FF$1,0)-1))*IF(G941="Ottone",1,0)</f>
        <v>0</v>
      </c>
      <c r="T941" s="205">
        <f ca="1">IF(ISERROR(OFFSET(Rame!$F$1,MATCH(J941,Rame!$F:$F,0)-1,MATCH(K941,Rame!$F$1:$FF$1,0)-1)=TRUE),0,OFFSET(Rame!$F$1,MATCH(J941,Rame!$F:$F,0)-1,MATCH(K941,Rame!$F$1:$FF$1,0)-1))*IF(G941="Rame",1,0)</f>
        <v>0</v>
      </c>
      <c r="U941" s="205">
        <f ca="1">IF(ISERROR(OFFSET(Bronzo!$A$1,MATCH(J941,Bronzo!$A:$A,0)-1,MATCH(K941,Bronzo!$A$1:$AA$1,0)-1)=TRUE),0,OFFSET(Bronzo!$A$1,MATCH(J941,Bronzo!$A:$A,0)-1,MATCH(K941,Bronzo!$A$1:$AA$1,0)-1))</f>
        <v>0</v>
      </c>
      <c r="V941" s="205">
        <f t="shared" ca="1" si="288"/>
        <v>0</v>
      </c>
      <c r="W941" s="204"/>
      <c r="X941" s="205">
        <v>0</v>
      </c>
      <c r="Y941" s="206">
        <f t="shared" ca="1" si="289"/>
        <v>0</v>
      </c>
      <c r="Z941" s="277">
        <f t="shared" si="290"/>
        <v>0</v>
      </c>
      <c r="AA941" s="203"/>
      <c r="AB941" s="203">
        <f t="shared" ca="1" si="291"/>
        <v>0</v>
      </c>
      <c r="AC941" s="238"/>
      <c r="AI941" s="367">
        <f t="shared" ca="1" si="286"/>
        <v>46092</v>
      </c>
      <c r="AJ941" s="367" t="b">
        <f t="shared" si="292"/>
        <v>1</v>
      </c>
      <c r="AK941" s="370" t="str">
        <f t="shared" si="293"/>
        <v/>
      </c>
      <c r="AN941">
        <f t="shared" si="294"/>
        <v>0</v>
      </c>
      <c r="AO941">
        <f t="shared" si="295"/>
        <v>1900</v>
      </c>
      <c r="AV941">
        <f t="shared" si="296"/>
        <v>0</v>
      </c>
      <c r="AW941">
        <f t="shared" si="297"/>
        <v>0</v>
      </c>
    </row>
    <row r="942" spans="4:49" ht="15.75" x14ac:dyDescent="0.25">
      <c r="D942" s="199"/>
      <c r="E942" s="200"/>
      <c r="F942" s="287"/>
      <c r="G942" s="201"/>
      <c r="H942" s="219"/>
      <c r="I942" s="202"/>
      <c r="J942" s="200"/>
      <c r="K942" s="200"/>
      <c r="L942" s="203"/>
      <c r="M942" s="204">
        <f ca="1">IF(ISERROR(OFFSET(Tabella!$A$1,MATCH(J942,Tabella!$A:$A,0)-1,MATCH(L942,Tabella!$A$1:$AC$1,0)-1)=TRUE),0,+OFFSET(Tabella!$A$1,MATCH(J942,Tabella!$A:$A,0)-1,MATCH(L942,Tabella!$A$1:$AC$1,0)-1))</f>
        <v>0</v>
      </c>
      <c r="N942" s="205">
        <f ca="1">IF(ISERROR(OFFSET(Ottone!$A$1,MATCH(J942,Ottone!$A:$A,0)-1,MATCH(L942,Ottone!$A$1:$Z$1,0)-1)=TRUE),0,OFFSET(Ottone!$A$1,MATCH(J942,Ottone!$A:$A,0)-1,MATCH(L942,Ottone!$A$1:$Z$1,0)-1))*IF(G942="Ottone",1,0)</f>
        <v>0</v>
      </c>
      <c r="O942" s="205">
        <f ca="1">IF(ISERROR(OFFSET(Rame!$A$1,MATCH(J942,Rame!$A:$A,0)-1,MATCH(L942,Rame!$A$1:$AA$1,0)-1)=TRUE),0,OFFSET(Rame!$A$1,MATCH(J942,Rame!$A:$A,0)-1,MATCH(L942,Rame!$A$1:$AA$1,0)-1))*IF(G942="Rame",1,0)</f>
        <v>0</v>
      </c>
      <c r="P942" s="205">
        <v>0</v>
      </c>
      <c r="Q942" s="205">
        <f t="shared" ca="1" si="287"/>
        <v>0</v>
      </c>
      <c r="R942" s="205">
        <f ca="1">+IF(ISERROR(OFFSET(Tabella!$G$1,MATCH(J942,Tabella!$G:$G,0)-1,MATCH(K942,Tabella!$G$1:$FG$1,0)-1)=TRUE),0,OFFSET(Tabella!$G$1,MATCH(J942,Tabella!$G:$G,0)-1,MATCH(K942,Tabella!$G$1:$AB$1,0)-1))</f>
        <v>0</v>
      </c>
      <c r="S942" s="205">
        <f ca="1">IF(ISERROR(OFFSET(Ottone!$F$1,MATCH(J942,Ottone!$A:$A,0)-1,MATCH(K942,Ottone!$F$1:$FF$1,0)-1)=TRUE),0,OFFSET(Ottone!$F$1,MATCH(J942,Ottone!$A:$A,0)-1,MATCH(K942,Ottone!$F$1:$FF$1,0)-1))*IF(G942="Ottone",1,0)</f>
        <v>0</v>
      </c>
      <c r="T942" s="205">
        <f ca="1">IF(ISERROR(OFFSET(Rame!$F$1,MATCH(J942,Rame!$F:$F,0)-1,MATCH(K942,Rame!$F$1:$FF$1,0)-1)=TRUE),0,OFFSET(Rame!$F$1,MATCH(J942,Rame!$F:$F,0)-1,MATCH(K942,Rame!$F$1:$FF$1,0)-1))*IF(G942="Rame",1,0)</f>
        <v>0</v>
      </c>
      <c r="U942" s="205">
        <f ca="1">IF(ISERROR(OFFSET(Bronzo!$A$1,MATCH(J942,Bronzo!$A:$A,0)-1,MATCH(K942,Bronzo!$A$1:$AA$1,0)-1)=TRUE),0,OFFSET(Bronzo!$A$1,MATCH(J942,Bronzo!$A:$A,0)-1,MATCH(K942,Bronzo!$A$1:$AA$1,0)-1))</f>
        <v>0</v>
      </c>
      <c r="V942" s="205">
        <f t="shared" ca="1" si="288"/>
        <v>0</v>
      </c>
      <c r="W942" s="204"/>
      <c r="X942" s="205">
        <v>0</v>
      </c>
      <c r="Y942" s="206">
        <f t="shared" ca="1" si="289"/>
        <v>0</v>
      </c>
      <c r="Z942" s="277">
        <f t="shared" si="290"/>
        <v>0</v>
      </c>
      <c r="AA942" s="203"/>
      <c r="AB942" s="203">
        <f t="shared" ca="1" si="291"/>
        <v>0</v>
      </c>
      <c r="AC942" s="238"/>
      <c r="AI942" s="367">
        <f t="shared" ca="1" si="286"/>
        <v>46092</v>
      </c>
      <c r="AJ942" s="367" t="b">
        <f t="shared" si="292"/>
        <v>1</v>
      </c>
      <c r="AK942" s="370" t="str">
        <f t="shared" si="293"/>
        <v/>
      </c>
      <c r="AN942">
        <f t="shared" si="294"/>
        <v>0</v>
      </c>
      <c r="AO942">
        <f t="shared" si="295"/>
        <v>1900</v>
      </c>
      <c r="AV942">
        <f t="shared" si="296"/>
        <v>0</v>
      </c>
      <c r="AW942">
        <f t="shared" si="297"/>
        <v>0</v>
      </c>
    </row>
    <row r="943" spans="4:49" ht="15.75" x14ac:dyDescent="0.25">
      <c r="D943" s="199"/>
      <c r="E943" s="200"/>
      <c r="F943" s="287"/>
      <c r="G943" s="201"/>
      <c r="H943" s="219"/>
      <c r="I943" s="202"/>
      <c r="J943" s="200"/>
      <c r="K943" s="200"/>
      <c r="L943" s="203"/>
      <c r="M943" s="204">
        <f ca="1">IF(ISERROR(OFFSET(Tabella!$A$1,MATCH(J943,Tabella!$A:$A,0)-1,MATCH(L943,Tabella!$A$1:$AC$1,0)-1)=TRUE),0,+OFFSET(Tabella!$A$1,MATCH(J943,Tabella!$A:$A,0)-1,MATCH(L943,Tabella!$A$1:$AC$1,0)-1))</f>
        <v>0</v>
      </c>
      <c r="N943" s="205">
        <f ca="1">IF(ISERROR(OFFSET(Ottone!$A$1,MATCH(J943,Ottone!$A:$A,0)-1,MATCH(L943,Ottone!$A$1:$Z$1,0)-1)=TRUE),0,OFFSET(Ottone!$A$1,MATCH(J943,Ottone!$A:$A,0)-1,MATCH(L943,Ottone!$A$1:$Z$1,0)-1))*IF(G943="Ottone",1,0)</f>
        <v>0</v>
      </c>
      <c r="O943" s="205">
        <f ca="1">IF(ISERROR(OFFSET(Rame!$A$1,MATCH(J943,Rame!$A:$A,0)-1,MATCH(L943,Rame!$A$1:$AA$1,0)-1)=TRUE),0,OFFSET(Rame!$A$1,MATCH(J943,Rame!$A:$A,0)-1,MATCH(L943,Rame!$A$1:$AA$1,0)-1))*IF(G943="Rame",1,0)</f>
        <v>0</v>
      </c>
      <c r="P943" s="205">
        <v>0</v>
      </c>
      <c r="Q943" s="205">
        <f t="shared" ca="1" si="287"/>
        <v>0</v>
      </c>
      <c r="R943" s="205">
        <f ca="1">+IF(ISERROR(OFFSET(Tabella!$G$1,MATCH(J943,Tabella!$G:$G,0)-1,MATCH(K943,Tabella!$G$1:$FG$1,0)-1)=TRUE),0,OFFSET(Tabella!$G$1,MATCH(J943,Tabella!$G:$G,0)-1,MATCH(K943,Tabella!$G$1:$AB$1,0)-1))</f>
        <v>0</v>
      </c>
      <c r="S943" s="205">
        <f ca="1">IF(ISERROR(OFFSET(Ottone!$F$1,MATCH(J943,Ottone!$A:$A,0)-1,MATCH(K943,Ottone!$F$1:$FF$1,0)-1)=TRUE),0,OFFSET(Ottone!$F$1,MATCH(J943,Ottone!$A:$A,0)-1,MATCH(K943,Ottone!$F$1:$FF$1,0)-1))*IF(G943="Ottone",1,0)</f>
        <v>0</v>
      </c>
      <c r="T943" s="205">
        <f ca="1">IF(ISERROR(OFFSET(Rame!$F$1,MATCH(J943,Rame!$F:$F,0)-1,MATCH(K943,Rame!$F$1:$FF$1,0)-1)=TRUE),0,OFFSET(Rame!$F$1,MATCH(J943,Rame!$F:$F,0)-1,MATCH(K943,Rame!$F$1:$FF$1,0)-1))*IF(G943="Rame",1,0)</f>
        <v>0</v>
      </c>
      <c r="U943" s="205">
        <f ca="1">IF(ISERROR(OFFSET(Bronzo!$A$1,MATCH(J943,Bronzo!$A:$A,0)-1,MATCH(K943,Bronzo!$A$1:$AA$1,0)-1)=TRUE),0,OFFSET(Bronzo!$A$1,MATCH(J943,Bronzo!$A:$A,0)-1,MATCH(K943,Bronzo!$A$1:$AA$1,0)-1))</f>
        <v>0</v>
      </c>
      <c r="V943" s="205">
        <f t="shared" ca="1" si="288"/>
        <v>0</v>
      </c>
      <c r="W943" s="204"/>
      <c r="X943" s="205">
        <v>0</v>
      </c>
      <c r="Y943" s="206">
        <f t="shared" ca="1" si="289"/>
        <v>0</v>
      </c>
      <c r="Z943" s="277">
        <f t="shared" si="290"/>
        <v>0</v>
      </c>
      <c r="AA943" s="203"/>
      <c r="AB943" s="203">
        <f t="shared" ca="1" si="291"/>
        <v>0</v>
      </c>
      <c r="AC943" s="238"/>
      <c r="AI943" s="367">
        <f t="shared" ca="1" si="286"/>
        <v>46092</v>
      </c>
      <c r="AJ943" s="367" t="b">
        <f t="shared" si="292"/>
        <v>1</v>
      </c>
      <c r="AK943" s="370" t="str">
        <f t="shared" si="293"/>
        <v/>
      </c>
      <c r="AN943">
        <f t="shared" si="294"/>
        <v>0</v>
      </c>
      <c r="AO943">
        <f t="shared" si="295"/>
        <v>1900</v>
      </c>
      <c r="AV943">
        <f t="shared" si="296"/>
        <v>0</v>
      </c>
      <c r="AW943">
        <f t="shared" si="297"/>
        <v>0</v>
      </c>
    </row>
    <row r="944" spans="4:49" ht="15.75" x14ac:dyDescent="0.25">
      <c r="D944" s="199"/>
      <c r="E944" s="200"/>
      <c r="F944" s="287"/>
      <c r="G944" s="201"/>
      <c r="H944" s="219"/>
      <c r="I944" s="202"/>
      <c r="J944" s="200"/>
      <c r="K944" s="200"/>
      <c r="L944" s="203"/>
      <c r="M944" s="204">
        <f ca="1">IF(ISERROR(OFFSET(Tabella!$A$1,MATCH(J944,Tabella!$A:$A,0)-1,MATCH(L944,Tabella!$A$1:$AC$1,0)-1)=TRUE),0,+OFFSET(Tabella!$A$1,MATCH(J944,Tabella!$A:$A,0)-1,MATCH(L944,Tabella!$A$1:$AC$1,0)-1))</f>
        <v>0</v>
      </c>
      <c r="N944" s="205">
        <f ca="1">IF(ISERROR(OFFSET(Ottone!$A$1,MATCH(J944,Ottone!$A:$A,0)-1,MATCH(L944,Ottone!$A$1:$Z$1,0)-1)=TRUE),0,OFFSET(Ottone!$A$1,MATCH(J944,Ottone!$A:$A,0)-1,MATCH(L944,Ottone!$A$1:$Z$1,0)-1))*IF(G944="Ottone",1,0)</f>
        <v>0</v>
      </c>
      <c r="O944" s="205">
        <f ca="1">IF(ISERROR(OFFSET(Rame!$A$1,MATCH(J944,Rame!$A:$A,0)-1,MATCH(L944,Rame!$A$1:$AA$1,0)-1)=TRUE),0,OFFSET(Rame!$A$1,MATCH(J944,Rame!$A:$A,0)-1,MATCH(L944,Rame!$A$1:$AA$1,0)-1))*IF(G944="Rame",1,0)</f>
        <v>0</v>
      </c>
      <c r="P944" s="205">
        <v>0</v>
      </c>
      <c r="Q944" s="205">
        <f t="shared" ca="1" si="287"/>
        <v>0</v>
      </c>
      <c r="R944" s="205">
        <f ca="1">+IF(ISERROR(OFFSET(Tabella!$G$1,MATCH(J944,Tabella!$G:$G,0)-1,MATCH(K944,Tabella!$G$1:$FG$1,0)-1)=TRUE),0,OFFSET(Tabella!$G$1,MATCH(J944,Tabella!$G:$G,0)-1,MATCH(K944,Tabella!$G$1:$AB$1,0)-1))</f>
        <v>0</v>
      </c>
      <c r="S944" s="205">
        <f ca="1">IF(ISERROR(OFFSET(Ottone!$F$1,MATCH(J944,Ottone!$A:$A,0)-1,MATCH(K944,Ottone!$F$1:$FF$1,0)-1)=TRUE),0,OFFSET(Ottone!$F$1,MATCH(J944,Ottone!$A:$A,0)-1,MATCH(K944,Ottone!$F$1:$FF$1,0)-1))*IF(G944="Ottone",1,0)</f>
        <v>0</v>
      </c>
      <c r="T944" s="205">
        <f ca="1">IF(ISERROR(OFFSET(Rame!$F$1,MATCH(J944,Rame!$F:$F,0)-1,MATCH(K944,Rame!$F$1:$FF$1,0)-1)=TRUE),0,OFFSET(Rame!$F$1,MATCH(J944,Rame!$F:$F,0)-1,MATCH(K944,Rame!$F$1:$FF$1,0)-1))*IF(G944="Rame",1,0)</f>
        <v>0</v>
      </c>
      <c r="U944" s="205">
        <f ca="1">IF(ISERROR(OFFSET(Bronzo!$A$1,MATCH(J944,Bronzo!$A:$A,0)-1,MATCH(K944,Bronzo!$A$1:$AA$1,0)-1)=TRUE),0,OFFSET(Bronzo!$A$1,MATCH(J944,Bronzo!$A:$A,0)-1,MATCH(K944,Bronzo!$A$1:$AA$1,0)-1))</f>
        <v>0</v>
      </c>
      <c r="V944" s="205">
        <f t="shared" ca="1" si="288"/>
        <v>0</v>
      </c>
      <c r="W944" s="204"/>
      <c r="X944" s="205">
        <v>0</v>
      </c>
      <c r="Y944" s="206">
        <f t="shared" ca="1" si="289"/>
        <v>0</v>
      </c>
      <c r="Z944" s="277">
        <f t="shared" si="290"/>
        <v>0</v>
      </c>
      <c r="AA944" s="203"/>
      <c r="AB944" s="203">
        <f t="shared" ca="1" si="291"/>
        <v>0</v>
      </c>
      <c r="AC944" s="238"/>
      <c r="AI944" s="367">
        <f t="shared" ca="1" si="286"/>
        <v>46092</v>
      </c>
      <c r="AJ944" s="367" t="b">
        <f t="shared" si="292"/>
        <v>1</v>
      </c>
      <c r="AK944" s="370" t="str">
        <f t="shared" si="293"/>
        <v/>
      </c>
      <c r="AN944">
        <f t="shared" si="294"/>
        <v>0</v>
      </c>
      <c r="AO944">
        <f t="shared" si="295"/>
        <v>1900</v>
      </c>
      <c r="AV944">
        <f t="shared" si="296"/>
        <v>0</v>
      </c>
      <c r="AW944">
        <f t="shared" si="297"/>
        <v>0</v>
      </c>
    </row>
    <row r="945" spans="4:49" ht="15.75" x14ac:dyDescent="0.25">
      <c r="D945" s="199"/>
      <c r="E945" s="200"/>
      <c r="F945" s="287"/>
      <c r="G945" s="201"/>
      <c r="H945" s="219"/>
      <c r="I945" s="202"/>
      <c r="J945" s="200"/>
      <c r="K945" s="200"/>
      <c r="L945" s="203"/>
      <c r="M945" s="204">
        <f ca="1">IF(ISERROR(OFFSET(Tabella!$A$1,MATCH(J945,Tabella!$A:$A,0)-1,MATCH(L945,Tabella!$A$1:$AC$1,0)-1)=TRUE),0,+OFFSET(Tabella!$A$1,MATCH(J945,Tabella!$A:$A,0)-1,MATCH(L945,Tabella!$A$1:$AC$1,0)-1))</f>
        <v>0</v>
      </c>
      <c r="N945" s="205">
        <f ca="1">IF(ISERROR(OFFSET(Ottone!$A$1,MATCH(J945,Ottone!$A:$A,0)-1,MATCH(L945,Ottone!$A$1:$Z$1,0)-1)=TRUE),0,OFFSET(Ottone!$A$1,MATCH(J945,Ottone!$A:$A,0)-1,MATCH(L945,Ottone!$A$1:$Z$1,0)-1))*IF(G945="Ottone",1,0)</f>
        <v>0</v>
      </c>
      <c r="O945" s="205">
        <f ca="1">IF(ISERROR(OFFSET(Rame!$A$1,MATCH(J945,Rame!$A:$A,0)-1,MATCH(L945,Rame!$A$1:$AA$1,0)-1)=TRUE),0,OFFSET(Rame!$A$1,MATCH(J945,Rame!$A:$A,0)-1,MATCH(L945,Rame!$A$1:$AA$1,0)-1))*IF(G945="Rame",1,0)</f>
        <v>0</v>
      </c>
      <c r="P945" s="205">
        <v>0</v>
      </c>
      <c r="Q945" s="205">
        <f t="shared" ca="1" si="287"/>
        <v>0</v>
      </c>
      <c r="R945" s="205">
        <f ca="1">+IF(ISERROR(OFFSET(Tabella!$G$1,MATCH(J945,Tabella!$G:$G,0)-1,MATCH(K945,Tabella!$G$1:$FG$1,0)-1)=TRUE),0,OFFSET(Tabella!$G$1,MATCH(J945,Tabella!$G:$G,0)-1,MATCH(K945,Tabella!$G$1:$AB$1,0)-1))</f>
        <v>0</v>
      </c>
      <c r="S945" s="205">
        <f ca="1">IF(ISERROR(OFFSET(Ottone!$F$1,MATCH(J945,Ottone!$A:$A,0)-1,MATCH(K945,Ottone!$F$1:$FF$1,0)-1)=TRUE),0,OFFSET(Ottone!$F$1,MATCH(J945,Ottone!$A:$A,0)-1,MATCH(K945,Ottone!$F$1:$FF$1,0)-1))*IF(G945="Ottone",1,0)</f>
        <v>0</v>
      </c>
      <c r="T945" s="205">
        <f ca="1">IF(ISERROR(OFFSET(Rame!$F$1,MATCH(J945,Rame!$F:$F,0)-1,MATCH(K945,Rame!$F$1:$FF$1,0)-1)=TRUE),0,OFFSET(Rame!$F$1,MATCH(J945,Rame!$F:$F,0)-1,MATCH(K945,Rame!$F$1:$FF$1,0)-1))*IF(G945="Rame",1,0)</f>
        <v>0</v>
      </c>
      <c r="U945" s="205">
        <f ca="1">IF(ISERROR(OFFSET(Bronzo!$A$1,MATCH(J945,Bronzo!$A:$A,0)-1,MATCH(K945,Bronzo!$A$1:$AA$1,0)-1)=TRUE),0,OFFSET(Bronzo!$A$1,MATCH(J945,Bronzo!$A:$A,0)-1,MATCH(K945,Bronzo!$A$1:$AA$1,0)-1))</f>
        <v>0</v>
      </c>
      <c r="V945" s="205">
        <f t="shared" ca="1" si="288"/>
        <v>0</v>
      </c>
      <c r="W945" s="204"/>
      <c r="X945" s="205">
        <v>0</v>
      </c>
      <c r="Y945" s="206">
        <f t="shared" ca="1" si="289"/>
        <v>0</v>
      </c>
      <c r="Z945" s="277">
        <f t="shared" si="290"/>
        <v>0</v>
      </c>
      <c r="AA945" s="203"/>
      <c r="AB945" s="203">
        <f t="shared" ca="1" si="291"/>
        <v>0</v>
      </c>
      <c r="AC945" s="238"/>
      <c r="AI945" s="367">
        <f t="shared" ca="1" si="286"/>
        <v>46092</v>
      </c>
      <c r="AJ945" s="367" t="b">
        <f t="shared" si="292"/>
        <v>1</v>
      </c>
      <c r="AK945" s="370" t="str">
        <f t="shared" si="293"/>
        <v/>
      </c>
      <c r="AN945">
        <f t="shared" si="294"/>
        <v>0</v>
      </c>
      <c r="AO945">
        <f t="shared" si="295"/>
        <v>1900</v>
      </c>
      <c r="AV945">
        <f t="shared" si="296"/>
        <v>0</v>
      </c>
      <c r="AW945">
        <f t="shared" si="297"/>
        <v>0</v>
      </c>
    </row>
    <row r="946" spans="4:49" ht="15.75" x14ac:dyDescent="0.25">
      <c r="D946" s="199"/>
      <c r="E946" s="200"/>
      <c r="F946" s="287"/>
      <c r="G946" s="201"/>
      <c r="H946" s="219"/>
      <c r="I946" s="202"/>
      <c r="J946" s="200"/>
      <c r="K946" s="200"/>
      <c r="L946" s="203"/>
      <c r="M946" s="204">
        <f ca="1">IF(ISERROR(OFFSET(Tabella!$A$1,MATCH(J946,Tabella!$A:$A,0)-1,MATCH(L946,Tabella!$A$1:$AC$1,0)-1)=TRUE),0,+OFFSET(Tabella!$A$1,MATCH(J946,Tabella!$A:$A,0)-1,MATCH(L946,Tabella!$A$1:$AC$1,0)-1))</f>
        <v>0</v>
      </c>
      <c r="N946" s="205">
        <f ca="1">IF(ISERROR(OFFSET(Ottone!$A$1,MATCH(J946,Ottone!$A:$A,0)-1,MATCH(L946,Ottone!$A$1:$Z$1,0)-1)=TRUE),0,OFFSET(Ottone!$A$1,MATCH(J946,Ottone!$A:$A,0)-1,MATCH(L946,Ottone!$A$1:$Z$1,0)-1))*IF(G946="Ottone",1,0)</f>
        <v>0</v>
      </c>
      <c r="O946" s="205">
        <f ca="1">IF(ISERROR(OFFSET(Rame!$A$1,MATCH(J946,Rame!$A:$A,0)-1,MATCH(L946,Rame!$A$1:$AA$1,0)-1)=TRUE),0,OFFSET(Rame!$A$1,MATCH(J946,Rame!$A:$A,0)-1,MATCH(L946,Rame!$A$1:$AA$1,0)-1))*IF(G946="Rame",1,0)</f>
        <v>0</v>
      </c>
      <c r="P946" s="205">
        <v>0</v>
      </c>
      <c r="Q946" s="205">
        <f t="shared" ca="1" si="287"/>
        <v>0</v>
      </c>
      <c r="R946" s="205">
        <f ca="1">+IF(ISERROR(OFFSET(Tabella!$G$1,MATCH(J946,Tabella!$G:$G,0)-1,MATCH(K946,Tabella!$G$1:$FG$1,0)-1)=TRUE),0,OFFSET(Tabella!$G$1,MATCH(J946,Tabella!$G:$G,0)-1,MATCH(K946,Tabella!$G$1:$AB$1,0)-1))</f>
        <v>0</v>
      </c>
      <c r="S946" s="205">
        <f ca="1">IF(ISERROR(OFFSET(Ottone!$F$1,MATCH(J946,Ottone!$A:$A,0)-1,MATCH(K946,Ottone!$F$1:$FF$1,0)-1)=TRUE),0,OFFSET(Ottone!$F$1,MATCH(J946,Ottone!$A:$A,0)-1,MATCH(K946,Ottone!$F$1:$FF$1,0)-1))*IF(G946="Ottone",1,0)</f>
        <v>0</v>
      </c>
      <c r="T946" s="205">
        <f ca="1">IF(ISERROR(OFFSET(Rame!$F$1,MATCH(J946,Rame!$F:$F,0)-1,MATCH(K946,Rame!$F$1:$FF$1,0)-1)=TRUE),0,OFFSET(Rame!$F$1,MATCH(J946,Rame!$F:$F,0)-1,MATCH(K946,Rame!$F$1:$FF$1,0)-1))*IF(G946="Rame",1,0)</f>
        <v>0</v>
      </c>
      <c r="U946" s="205">
        <f ca="1">IF(ISERROR(OFFSET(Bronzo!$A$1,MATCH(J946,Bronzo!$A:$A,0)-1,MATCH(K946,Bronzo!$A$1:$AA$1,0)-1)=TRUE),0,OFFSET(Bronzo!$A$1,MATCH(J946,Bronzo!$A:$A,0)-1,MATCH(K946,Bronzo!$A$1:$AA$1,0)-1))</f>
        <v>0</v>
      </c>
      <c r="V946" s="205">
        <f t="shared" ca="1" si="288"/>
        <v>0</v>
      </c>
      <c r="W946" s="204"/>
      <c r="X946" s="205">
        <v>0</v>
      </c>
      <c r="Y946" s="206">
        <f t="shared" ca="1" si="289"/>
        <v>0</v>
      </c>
      <c r="Z946" s="277">
        <f t="shared" si="290"/>
        <v>0</v>
      </c>
      <c r="AA946" s="203"/>
      <c r="AB946" s="203">
        <f t="shared" ca="1" si="291"/>
        <v>0</v>
      </c>
      <c r="AC946" s="238"/>
      <c r="AI946" s="367">
        <f t="shared" ca="1" si="286"/>
        <v>46092</v>
      </c>
      <c r="AJ946" s="367" t="b">
        <f t="shared" si="292"/>
        <v>1</v>
      </c>
      <c r="AK946" s="370" t="str">
        <f t="shared" si="293"/>
        <v/>
      </c>
      <c r="AN946">
        <f t="shared" si="294"/>
        <v>0</v>
      </c>
      <c r="AO946">
        <f t="shared" si="295"/>
        <v>1900</v>
      </c>
      <c r="AV946">
        <f t="shared" si="296"/>
        <v>0</v>
      </c>
      <c r="AW946">
        <f t="shared" si="297"/>
        <v>0</v>
      </c>
    </row>
    <row r="947" spans="4:49" ht="15.75" x14ac:dyDescent="0.25">
      <c r="D947" s="199"/>
      <c r="E947" s="200"/>
      <c r="F947" s="287"/>
      <c r="G947" s="201"/>
      <c r="H947" s="219"/>
      <c r="I947" s="202"/>
      <c r="J947" s="200"/>
      <c r="K947" s="200"/>
      <c r="L947" s="203"/>
      <c r="M947" s="204">
        <f ca="1">IF(ISERROR(OFFSET(Tabella!$A$1,MATCH(J947,Tabella!$A:$A,0)-1,MATCH(L947,Tabella!$A$1:$AC$1,0)-1)=TRUE),0,+OFFSET(Tabella!$A$1,MATCH(J947,Tabella!$A:$A,0)-1,MATCH(L947,Tabella!$A$1:$AC$1,0)-1))</f>
        <v>0</v>
      </c>
      <c r="N947" s="205">
        <f ca="1">IF(ISERROR(OFFSET(Ottone!$A$1,MATCH(J947,Ottone!$A:$A,0)-1,MATCH(L947,Ottone!$A$1:$Z$1,0)-1)=TRUE),0,OFFSET(Ottone!$A$1,MATCH(J947,Ottone!$A:$A,0)-1,MATCH(L947,Ottone!$A$1:$Z$1,0)-1))*IF(G947="Ottone",1,0)</f>
        <v>0</v>
      </c>
      <c r="O947" s="205">
        <f ca="1">IF(ISERROR(OFFSET(Rame!$A$1,MATCH(J947,Rame!$A:$A,0)-1,MATCH(L947,Rame!$A$1:$AA$1,0)-1)=TRUE),0,OFFSET(Rame!$A$1,MATCH(J947,Rame!$A:$A,0)-1,MATCH(L947,Rame!$A$1:$AA$1,0)-1))*IF(G947="Rame",1,0)</f>
        <v>0</v>
      </c>
      <c r="P947" s="205">
        <v>0</v>
      </c>
      <c r="Q947" s="205">
        <f t="shared" ca="1" si="287"/>
        <v>0</v>
      </c>
      <c r="R947" s="205">
        <f ca="1">+IF(ISERROR(OFFSET(Tabella!$G$1,MATCH(J947,Tabella!$G:$G,0)-1,MATCH(K947,Tabella!$G$1:$FG$1,0)-1)=TRUE),0,OFFSET(Tabella!$G$1,MATCH(J947,Tabella!$G:$G,0)-1,MATCH(K947,Tabella!$G$1:$AB$1,0)-1))</f>
        <v>0</v>
      </c>
      <c r="S947" s="205">
        <f ca="1">IF(ISERROR(OFFSET(Ottone!$F$1,MATCH(J947,Ottone!$A:$A,0)-1,MATCH(K947,Ottone!$F$1:$FF$1,0)-1)=TRUE),0,OFFSET(Ottone!$F$1,MATCH(J947,Ottone!$A:$A,0)-1,MATCH(K947,Ottone!$F$1:$FF$1,0)-1))*IF(G947="Ottone",1,0)</f>
        <v>0</v>
      </c>
      <c r="T947" s="205">
        <f ca="1">IF(ISERROR(OFFSET(Rame!$F$1,MATCH(J947,Rame!$F:$F,0)-1,MATCH(K947,Rame!$F$1:$FF$1,0)-1)=TRUE),0,OFFSET(Rame!$F$1,MATCH(J947,Rame!$F:$F,0)-1,MATCH(K947,Rame!$F$1:$FF$1,0)-1))*IF(G947="Rame",1,0)</f>
        <v>0</v>
      </c>
      <c r="U947" s="205">
        <f ca="1">IF(ISERROR(OFFSET(Bronzo!$A$1,MATCH(J947,Bronzo!$A:$A,0)-1,MATCH(K947,Bronzo!$A$1:$AA$1,0)-1)=TRUE),0,OFFSET(Bronzo!$A$1,MATCH(J947,Bronzo!$A:$A,0)-1,MATCH(K947,Bronzo!$A$1:$AA$1,0)-1))</f>
        <v>0</v>
      </c>
      <c r="V947" s="205">
        <f t="shared" ca="1" si="288"/>
        <v>0</v>
      </c>
      <c r="W947" s="204"/>
      <c r="X947" s="205">
        <v>0</v>
      </c>
      <c r="Y947" s="206">
        <f t="shared" ca="1" si="289"/>
        <v>0</v>
      </c>
      <c r="Z947" s="277">
        <f t="shared" si="290"/>
        <v>0</v>
      </c>
      <c r="AA947" s="203"/>
      <c r="AB947" s="203">
        <f t="shared" ca="1" si="291"/>
        <v>0</v>
      </c>
      <c r="AC947" s="238"/>
      <c r="AI947" s="367">
        <f t="shared" ca="1" si="286"/>
        <v>46092</v>
      </c>
      <c r="AJ947" s="367" t="b">
        <f t="shared" si="292"/>
        <v>1</v>
      </c>
      <c r="AK947" s="370" t="str">
        <f t="shared" si="293"/>
        <v/>
      </c>
      <c r="AN947">
        <f t="shared" si="294"/>
        <v>0</v>
      </c>
      <c r="AO947">
        <f t="shared" si="295"/>
        <v>1900</v>
      </c>
      <c r="AV947">
        <f t="shared" si="296"/>
        <v>0</v>
      </c>
      <c r="AW947">
        <f t="shared" si="297"/>
        <v>0</v>
      </c>
    </row>
    <row r="948" spans="4:49" ht="15.75" x14ac:dyDescent="0.25">
      <c r="D948" s="199"/>
      <c r="E948" s="200"/>
      <c r="F948" s="287"/>
      <c r="G948" s="201"/>
      <c r="H948" s="219"/>
      <c r="I948" s="202"/>
      <c r="J948" s="200"/>
      <c r="K948" s="200"/>
      <c r="L948" s="203"/>
      <c r="M948" s="204">
        <f ca="1">IF(ISERROR(OFFSET(Tabella!$A$1,MATCH(J948,Tabella!$A:$A,0)-1,MATCH(L948,Tabella!$A$1:$AC$1,0)-1)=TRUE),0,+OFFSET(Tabella!$A$1,MATCH(J948,Tabella!$A:$A,0)-1,MATCH(L948,Tabella!$A$1:$AC$1,0)-1))</f>
        <v>0</v>
      </c>
      <c r="N948" s="205">
        <f ca="1">IF(ISERROR(OFFSET(Ottone!$A$1,MATCH(J948,Ottone!$A:$A,0)-1,MATCH(L948,Ottone!$A$1:$Z$1,0)-1)=TRUE),0,OFFSET(Ottone!$A$1,MATCH(J948,Ottone!$A:$A,0)-1,MATCH(L948,Ottone!$A$1:$Z$1,0)-1))*IF(G948="Ottone",1,0)</f>
        <v>0</v>
      </c>
      <c r="O948" s="205">
        <f ca="1">IF(ISERROR(OFFSET(Rame!$A$1,MATCH(J948,Rame!$A:$A,0)-1,MATCH(L948,Rame!$A$1:$AA$1,0)-1)=TRUE),0,OFFSET(Rame!$A$1,MATCH(J948,Rame!$A:$A,0)-1,MATCH(L948,Rame!$A$1:$AA$1,0)-1))*IF(G948="Rame",1,0)</f>
        <v>0</v>
      </c>
      <c r="P948" s="205">
        <v>0</v>
      </c>
      <c r="Q948" s="205">
        <f t="shared" ca="1" si="287"/>
        <v>0</v>
      </c>
      <c r="R948" s="205">
        <f ca="1">+IF(ISERROR(OFFSET(Tabella!$G$1,MATCH(J948,Tabella!$G:$G,0)-1,MATCH(K948,Tabella!$G$1:$FG$1,0)-1)=TRUE),0,OFFSET(Tabella!$G$1,MATCH(J948,Tabella!$G:$G,0)-1,MATCH(K948,Tabella!$G$1:$AB$1,0)-1))</f>
        <v>0</v>
      </c>
      <c r="S948" s="205">
        <f ca="1">IF(ISERROR(OFFSET(Ottone!$F$1,MATCH(J948,Ottone!$A:$A,0)-1,MATCH(K948,Ottone!$F$1:$FF$1,0)-1)=TRUE),0,OFFSET(Ottone!$F$1,MATCH(J948,Ottone!$A:$A,0)-1,MATCH(K948,Ottone!$F$1:$FF$1,0)-1))*IF(G948="Ottone",1,0)</f>
        <v>0</v>
      </c>
      <c r="T948" s="205">
        <f ca="1">IF(ISERROR(OFFSET(Rame!$F$1,MATCH(J948,Rame!$F:$F,0)-1,MATCH(K948,Rame!$F$1:$FF$1,0)-1)=TRUE),0,OFFSET(Rame!$F$1,MATCH(J948,Rame!$F:$F,0)-1,MATCH(K948,Rame!$F$1:$FF$1,0)-1))*IF(G948="Rame",1,0)</f>
        <v>0</v>
      </c>
      <c r="U948" s="205">
        <f ca="1">IF(ISERROR(OFFSET(Bronzo!$A$1,MATCH(J948,Bronzo!$A:$A,0)-1,MATCH(K948,Bronzo!$A$1:$AA$1,0)-1)=TRUE),0,OFFSET(Bronzo!$A$1,MATCH(J948,Bronzo!$A:$A,0)-1,MATCH(K948,Bronzo!$A$1:$AA$1,0)-1))</f>
        <v>0</v>
      </c>
      <c r="V948" s="205">
        <f t="shared" ca="1" si="288"/>
        <v>0</v>
      </c>
      <c r="W948" s="204"/>
      <c r="X948" s="205">
        <v>0</v>
      </c>
      <c r="Y948" s="206">
        <f t="shared" ca="1" si="289"/>
        <v>0</v>
      </c>
      <c r="Z948" s="277">
        <f t="shared" si="290"/>
        <v>0</v>
      </c>
      <c r="AA948" s="203"/>
      <c r="AB948" s="203">
        <f t="shared" ca="1" si="291"/>
        <v>0</v>
      </c>
      <c r="AC948" s="238"/>
      <c r="AI948" s="367">
        <f t="shared" ca="1" si="286"/>
        <v>46092</v>
      </c>
      <c r="AJ948" s="367" t="b">
        <f t="shared" si="292"/>
        <v>1</v>
      </c>
      <c r="AK948" s="370" t="str">
        <f t="shared" si="293"/>
        <v/>
      </c>
      <c r="AN948">
        <f t="shared" si="294"/>
        <v>0</v>
      </c>
      <c r="AO948">
        <f t="shared" si="295"/>
        <v>1900</v>
      </c>
      <c r="AV948">
        <f t="shared" si="296"/>
        <v>0</v>
      </c>
      <c r="AW948">
        <f t="shared" si="297"/>
        <v>0</v>
      </c>
    </row>
    <row r="949" spans="4:49" ht="15.75" x14ac:dyDescent="0.25">
      <c r="D949" s="199"/>
      <c r="E949" s="200"/>
      <c r="F949" s="287"/>
      <c r="G949" s="201"/>
      <c r="H949" s="219"/>
      <c r="I949" s="202"/>
      <c r="J949" s="200"/>
      <c r="K949" s="200"/>
      <c r="L949" s="203"/>
      <c r="M949" s="204">
        <f ca="1">IF(ISERROR(OFFSET(Tabella!$A$1,MATCH(J949,Tabella!$A:$A,0)-1,MATCH(L949,Tabella!$A$1:$AC$1,0)-1)=TRUE),0,+OFFSET(Tabella!$A$1,MATCH(J949,Tabella!$A:$A,0)-1,MATCH(L949,Tabella!$A$1:$AC$1,0)-1))</f>
        <v>0</v>
      </c>
      <c r="N949" s="205">
        <f ca="1">IF(ISERROR(OFFSET(Ottone!$A$1,MATCH(J949,Ottone!$A:$A,0)-1,MATCH(L949,Ottone!$A$1:$Z$1,0)-1)=TRUE),0,OFFSET(Ottone!$A$1,MATCH(J949,Ottone!$A:$A,0)-1,MATCH(L949,Ottone!$A$1:$Z$1,0)-1))*IF(G949="Ottone",1,0)</f>
        <v>0</v>
      </c>
      <c r="O949" s="205">
        <f ca="1">IF(ISERROR(OFFSET(Rame!$A$1,MATCH(J949,Rame!$A:$A,0)-1,MATCH(L949,Rame!$A$1:$AA$1,0)-1)=TRUE),0,OFFSET(Rame!$A$1,MATCH(J949,Rame!$A:$A,0)-1,MATCH(L949,Rame!$A$1:$AA$1,0)-1))*IF(G949="Rame",1,0)</f>
        <v>0</v>
      </c>
      <c r="P949" s="205">
        <v>0</v>
      </c>
      <c r="Q949" s="205">
        <f t="shared" ca="1" si="287"/>
        <v>0</v>
      </c>
      <c r="R949" s="205">
        <f ca="1">+IF(ISERROR(OFFSET(Tabella!$G$1,MATCH(J949,Tabella!$G:$G,0)-1,MATCH(K949,Tabella!$G$1:$FG$1,0)-1)=TRUE),0,OFFSET(Tabella!$G$1,MATCH(J949,Tabella!$G:$G,0)-1,MATCH(K949,Tabella!$G$1:$AB$1,0)-1))</f>
        <v>0</v>
      </c>
      <c r="S949" s="205">
        <f ca="1">IF(ISERROR(OFFSET(Ottone!$F$1,MATCH(J949,Ottone!$A:$A,0)-1,MATCH(K949,Ottone!$F$1:$FF$1,0)-1)=TRUE),0,OFFSET(Ottone!$F$1,MATCH(J949,Ottone!$A:$A,0)-1,MATCH(K949,Ottone!$F$1:$FF$1,0)-1))*IF(G949="Ottone",1,0)</f>
        <v>0</v>
      </c>
      <c r="T949" s="205">
        <f ca="1">IF(ISERROR(OFFSET(Rame!$F$1,MATCH(J949,Rame!$F:$F,0)-1,MATCH(K949,Rame!$F$1:$FF$1,0)-1)=TRUE),0,OFFSET(Rame!$F$1,MATCH(J949,Rame!$F:$F,0)-1,MATCH(K949,Rame!$F$1:$FF$1,0)-1))*IF(G949="Rame",1,0)</f>
        <v>0</v>
      </c>
      <c r="U949" s="205">
        <f ca="1">IF(ISERROR(OFFSET(Bronzo!$A$1,MATCH(J949,Bronzo!$A:$A,0)-1,MATCH(K949,Bronzo!$A$1:$AA$1,0)-1)=TRUE),0,OFFSET(Bronzo!$A$1,MATCH(J949,Bronzo!$A:$A,0)-1,MATCH(K949,Bronzo!$A$1:$AA$1,0)-1))</f>
        <v>0</v>
      </c>
      <c r="V949" s="205">
        <f t="shared" ca="1" si="288"/>
        <v>0</v>
      </c>
      <c r="W949" s="204"/>
      <c r="X949" s="205">
        <v>0</v>
      </c>
      <c r="Y949" s="206">
        <f t="shared" ca="1" si="289"/>
        <v>0</v>
      </c>
      <c r="Z949" s="277">
        <f t="shared" si="290"/>
        <v>0</v>
      </c>
      <c r="AA949" s="203"/>
      <c r="AB949" s="203">
        <f t="shared" ca="1" si="291"/>
        <v>0</v>
      </c>
      <c r="AC949" s="238"/>
      <c r="AI949" s="367">
        <f t="shared" ca="1" si="286"/>
        <v>46092</v>
      </c>
      <c r="AJ949" s="367" t="b">
        <f t="shared" si="292"/>
        <v>1</v>
      </c>
      <c r="AK949" s="370" t="str">
        <f t="shared" si="293"/>
        <v/>
      </c>
      <c r="AN949">
        <f t="shared" si="294"/>
        <v>0</v>
      </c>
      <c r="AO949">
        <f t="shared" si="295"/>
        <v>1900</v>
      </c>
      <c r="AV949">
        <f t="shared" si="296"/>
        <v>0</v>
      </c>
      <c r="AW949">
        <f t="shared" si="297"/>
        <v>0</v>
      </c>
    </row>
    <row r="950" spans="4:49" ht="15.75" x14ac:dyDescent="0.25">
      <c r="D950" s="199"/>
      <c r="E950" s="200"/>
      <c r="F950" s="287"/>
      <c r="G950" s="201"/>
      <c r="H950" s="219"/>
      <c r="I950" s="202"/>
      <c r="J950" s="200"/>
      <c r="K950" s="200"/>
      <c r="L950" s="203"/>
      <c r="M950" s="204">
        <f ca="1">IF(ISERROR(OFFSET(Tabella!$A$1,MATCH(J950,Tabella!$A:$A,0)-1,MATCH(L950,Tabella!$A$1:$AC$1,0)-1)=TRUE),0,+OFFSET(Tabella!$A$1,MATCH(J950,Tabella!$A:$A,0)-1,MATCH(L950,Tabella!$A$1:$AC$1,0)-1))</f>
        <v>0</v>
      </c>
      <c r="N950" s="205">
        <f ca="1">IF(ISERROR(OFFSET(Ottone!$A$1,MATCH(J950,Ottone!$A:$A,0)-1,MATCH(L950,Ottone!$A$1:$Z$1,0)-1)=TRUE),0,OFFSET(Ottone!$A$1,MATCH(J950,Ottone!$A:$A,0)-1,MATCH(L950,Ottone!$A$1:$Z$1,0)-1))*IF(G950="Ottone",1,0)</f>
        <v>0</v>
      </c>
      <c r="O950" s="205">
        <f ca="1">IF(ISERROR(OFFSET(Rame!$A$1,MATCH(J950,Rame!$A:$A,0)-1,MATCH(L950,Rame!$A$1:$AA$1,0)-1)=TRUE),0,OFFSET(Rame!$A$1,MATCH(J950,Rame!$A:$A,0)-1,MATCH(L950,Rame!$A$1:$AA$1,0)-1))*IF(G950="Rame",1,0)</f>
        <v>0</v>
      </c>
      <c r="P950" s="205">
        <v>0</v>
      </c>
      <c r="Q950" s="205">
        <f t="shared" ca="1" si="287"/>
        <v>0</v>
      </c>
      <c r="R950" s="205">
        <f ca="1">+IF(ISERROR(OFFSET(Tabella!$G$1,MATCH(J950,Tabella!$G:$G,0)-1,MATCH(K950,Tabella!$G$1:$FG$1,0)-1)=TRUE),0,OFFSET(Tabella!$G$1,MATCH(J950,Tabella!$G:$G,0)-1,MATCH(K950,Tabella!$G$1:$AB$1,0)-1))</f>
        <v>0</v>
      </c>
      <c r="S950" s="205">
        <f ca="1">IF(ISERROR(OFFSET(Ottone!$F$1,MATCH(J950,Ottone!$A:$A,0)-1,MATCH(K950,Ottone!$F$1:$FF$1,0)-1)=TRUE),0,OFFSET(Ottone!$F$1,MATCH(J950,Ottone!$A:$A,0)-1,MATCH(K950,Ottone!$F$1:$FF$1,0)-1))*IF(G950="Ottone",1,0)</f>
        <v>0</v>
      </c>
      <c r="T950" s="205">
        <f ca="1">IF(ISERROR(OFFSET(Rame!$F$1,MATCH(J950,Rame!$F:$F,0)-1,MATCH(K950,Rame!$F$1:$FF$1,0)-1)=TRUE),0,OFFSET(Rame!$F$1,MATCH(J950,Rame!$F:$F,0)-1,MATCH(K950,Rame!$F$1:$FF$1,0)-1))*IF(G950="Rame",1,0)</f>
        <v>0</v>
      </c>
      <c r="U950" s="205">
        <f ca="1">IF(ISERROR(OFFSET(Bronzo!$A$1,MATCH(J950,Bronzo!$A:$A,0)-1,MATCH(K950,Bronzo!$A$1:$AA$1,0)-1)=TRUE),0,OFFSET(Bronzo!$A$1,MATCH(J950,Bronzo!$A:$A,0)-1,MATCH(K950,Bronzo!$A$1:$AA$1,0)-1))</f>
        <v>0</v>
      </c>
      <c r="V950" s="205">
        <f t="shared" ca="1" si="288"/>
        <v>0</v>
      </c>
      <c r="W950" s="204"/>
      <c r="X950" s="205">
        <v>0</v>
      </c>
      <c r="Y950" s="206">
        <f t="shared" ca="1" si="289"/>
        <v>0</v>
      </c>
      <c r="Z950" s="277">
        <f t="shared" si="290"/>
        <v>0</v>
      </c>
      <c r="AA950" s="203"/>
      <c r="AB950" s="203">
        <f t="shared" ca="1" si="291"/>
        <v>0</v>
      </c>
      <c r="AC950" s="238"/>
      <c r="AI950" s="367">
        <f t="shared" ca="1" si="286"/>
        <v>46092</v>
      </c>
      <c r="AJ950" s="367" t="b">
        <f t="shared" si="292"/>
        <v>1</v>
      </c>
      <c r="AK950" s="370" t="str">
        <f t="shared" si="293"/>
        <v/>
      </c>
      <c r="AN950">
        <f t="shared" si="294"/>
        <v>0</v>
      </c>
      <c r="AO950">
        <f t="shared" si="295"/>
        <v>1900</v>
      </c>
      <c r="AV950">
        <f t="shared" si="296"/>
        <v>0</v>
      </c>
      <c r="AW950">
        <f t="shared" si="297"/>
        <v>0</v>
      </c>
    </row>
    <row r="951" spans="4:49" ht="15.75" x14ac:dyDescent="0.25">
      <c r="D951" s="199"/>
      <c r="E951" s="200"/>
      <c r="F951" s="287"/>
      <c r="G951" s="201"/>
      <c r="H951" s="219"/>
      <c r="I951" s="202"/>
      <c r="J951" s="200"/>
      <c r="K951" s="200"/>
      <c r="L951" s="203"/>
      <c r="M951" s="204">
        <f ca="1">IF(ISERROR(OFFSET(Tabella!$A$1,MATCH(J951,Tabella!$A:$A,0)-1,MATCH(L951,Tabella!$A$1:$AC$1,0)-1)=TRUE),0,+OFFSET(Tabella!$A$1,MATCH(J951,Tabella!$A:$A,0)-1,MATCH(L951,Tabella!$A$1:$AC$1,0)-1))</f>
        <v>0</v>
      </c>
      <c r="N951" s="205">
        <f ca="1">IF(ISERROR(OFFSET(Ottone!$A$1,MATCH(J951,Ottone!$A:$A,0)-1,MATCH(L951,Ottone!$A$1:$Z$1,0)-1)=TRUE),0,OFFSET(Ottone!$A$1,MATCH(J951,Ottone!$A:$A,0)-1,MATCH(L951,Ottone!$A$1:$Z$1,0)-1))*IF(G951="Ottone",1,0)</f>
        <v>0</v>
      </c>
      <c r="O951" s="205">
        <f ca="1">IF(ISERROR(OFFSET(Rame!$A$1,MATCH(J951,Rame!$A:$A,0)-1,MATCH(L951,Rame!$A$1:$AA$1,0)-1)=TRUE),0,OFFSET(Rame!$A$1,MATCH(J951,Rame!$A:$A,0)-1,MATCH(L951,Rame!$A$1:$AA$1,0)-1))*IF(G951="Rame",1,0)</f>
        <v>0</v>
      </c>
      <c r="P951" s="205">
        <v>0</v>
      </c>
      <c r="Q951" s="205">
        <f t="shared" ca="1" si="287"/>
        <v>0</v>
      </c>
      <c r="R951" s="205">
        <f ca="1">+IF(ISERROR(OFFSET(Tabella!$G$1,MATCH(J951,Tabella!$G:$G,0)-1,MATCH(K951,Tabella!$G$1:$FG$1,0)-1)=TRUE),0,OFFSET(Tabella!$G$1,MATCH(J951,Tabella!$G:$G,0)-1,MATCH(K951,Tabella!$G$1:$AB$1,0)-1))</f>
        <v>0</v>
      </c>
      <c r="S951" s="205">
        <f ca="1">IF(ISERROR(OFFSET(Ottone!$F$1,MATCH(J951,Ottone!$A:$A,0)-1,MATCH(K951,Ottone!$F$1:$FF$1,0)-1)=TRUE),0,OFFSET(Ottone!$F$1,MATCH(J951,Ottone!$A:$A,0)-1,MATCH(K951,Ottone!$F$1:$FF$1,0)-1))*IF(G951="Ottone",1,0)</f>
        <v>0</v>
      </c>
      <c r="T951" s="205">
        <f ca="1">IF(ISERROR(OFFSET(Rame!$F$1,MATCH(J951,Rame!$F:$F,0)-1,MATCH(K951,Rame!$F$1:$FF$1,0)-1)=TRUE),0,OFFSET(Rame!$F$1,MATCH(J951,Rame!$F:$F,0)-1,MATCH(K951,Rame!$F$1:$FF$1,0)-1))*IF(G951="Rame",1,0)</f>
        <v>0</v>
      </c>
      <c r="U951" s="205">
        <f ca="1">IF(ISERROR(OFFSET(Bronzo!$A$1,MATCH(J951,Bronzo!$A:$A,0)-1,MATCH(K951,Bronzo!$A$1:$AA$1,0)-1)=TRUE),0,OFFSET(Bronzo!$A$1,MATCH(J951,Bronzo!$A:$A,0)-1,MATCH(K951,Bronzo!$A$1:$AA$1,0)-1))</f>
        <v>0</v>
      </c>
      <c r="V951" s="205">
        <f t="shared" ca="1" si="288"/>
        <v>0</v>
      </c>
      <c r="W951" s="204"/>
      <c r="X951" s="205">
        <v>0</v>
      </c>
      <c r="Y951" s="206">
        <f t="shared" ca="1" si="289"/>
        <v>0</v>
      </c>
      <c r="Z951" s="277">
        <f t="shared" si="290"/>
        <v>0</v>
      </c>
      <c r="AA951" s="203"/>
      <c r="AB951" s="203">
        <f t="shared" ca="1" si="291"/>
        <v>0</v>
      </c>
      <c r="AC951" s="238"/>
      <c r="AI951" s="367">
        <f t="shared" ca="1" si="286"/>
        <v>46092</v>
      </c>
      <c r="AJ951" s="367" t="b">
        <f t="shared" si="292"/>
        <v>1</v>
      </c>
      <c r="AK951" s="370" t="str">
        <f t="shared" si="293"/>
        <v/>
      </c>
      <c r="AN951">
        <f t="shared" si="294"/>
        <v>0</v>
      </c>
      <c r="AO951">
        <f t="shared" si="295"/>
        <v>1900</v>
      </c>
      <c r="AV951">
        <f t="shared" si="296"/>
        <v>0</v>
      </c>
      <c r="AW951">
        <f t="shared" si="297"/>
        <v>0</v>
      </c>
    </row>
    <row r="952" spans="4:49" ht="15.75" x14ac:dyDescent="0.25">
      <c r="D952" s="199"/>
      <c r="E952" s="200"/>
      <c r="F952" s="287"/>
      <c r="G952" s="201"/>
      <c r="H952" s="219"/>
      <c r="I952" s="202"/>
      <c r="J952" s="200"/>
      <c r="K952" s="200"/>
      <c r="L952" s="203"/>
      <c r="M952" s="204">
        <f ca="1">IF(ISERROR(OFFSET(Tabella!$A$1,MATCH(J952,Tabella!$A:$A,0)-1,MATCH(L952,Tabella!$A$1:$AC$1,0)-1)=TRUE),0,+OFFSET(Tabella!$A$1,MATCH(J952,Tabella!$A:$A,0)-1,MATCH(L952,Tabella!$A$1:$AC$1,0)-1))</f>
        <v>0</v>
      </c>
      <c r="N952" s="205">
        <f ca="1">IF(ISERROR(OFFSET(Ottone!$A$1,MATCH(J952,Ottone!$A:$A,0)-1,MATCH(L952,Ottone!$A$1:$Z$1,0)-1)=TRUE),0,OFFSET(Ottone!$A$1,MATCH(J952,Ottone!$A:$A,0)-1,MATCH(L952,Ottone!$A$1:$Z$1,0)-1))*IF(G952="Ottone",1,0)</f>
        <v>0</v>
      </c>
      <c r="O952" s="205">
        <f ca="1">IF(ISERROR(OFFSET(Rame!$A$1,MATCH(J952,Rame!$A:$A,0)-1,MATCH(L952,Rame!$A$1:$AA$1,0)-1)=TRUE),0,OFFSET(Rame!$A$1,MATCH(J952,Rame!$A:$A,0)-1,MATCH(L952,Rame!$A$1:$AA$1,0)-1))*IF(G952="Rame",1,0)</f>
        <v>0</v>
      </c>
      <c r="P952" s="205">
        <v>0</v>
      </c>
      <c r="Q952" s="205">
        <f t="shared" ca="1" si="287"/>
        <v>0</v>
      </c>
      <c r="R952" s="205">
        <f ca="1">+IF(ISERROR(OFFSET(Tabella!$G$1,MATCH(J952,Tabella!$G:$G,0)-1,MATCH(K952,Tabella!$G$1:$FG$1,0)-1)=TRUE),0,OFFSET(Tabella!$G$1,MATCH(J952,Tabella!$G:$G,0)-1,MATCH(K952,Tabella!$G$1:$AB$1,0)-1))</f>
        <v>0</v>
      </c>
      <c r="S952" s="205">
        <f ca="1">IF(ISERROR(OFFSET(Ottone!$F$1,MATCH(J952,Ottone!$A:$A,0)-1,MATCH(K952,Ottone!$F$1:$FF$1,0)-1)=TRUE),0,OFFSET(Ottone!$F$1,MATCH(J952,Ottone!$A:$A,0)-1,MATCH(K952,Ottone!$F$1:$FF$1,0)-1))*IF(G952="Ottone",1,0)</f>
        <v>0</v>
      </c>
      <c r="T952" s="205">
        <f ca="1">IF(ISERROR(OFFSET(Rame!$F$1,MATCH(J952,Rame!$F:$F,0)-1,MATCH(K952,Rame!$F$1:$FF$1,0)-1)=TRUE),0,OFFSET(Rame!$F$1,MATCH(J952,Rame!$F:$F,0)-1,MATCH(K952,Rame!$F$1:$FF$1,0)-1))*IF(G952="Rame",1,0)</f>
        <v>0</v>
      </c>
      <c r="U952" s="205">
        <f ca="1">IF(ISERROR(OFFSET(Bronzo!$A$1,MATCH(J952,Bronzo!$A:$A,0)-1,MATCH(K952,Bronzo!$A$1:$AA$1,0)-1)=TRUE),0,OFFSET(Bronzo!$A$1,MATCH(J952,Bronzo!$A:$A,0)-1,MATCH(K952,Bronzo!$A$1:$AA$1,0)-1))</f>
        <v>0</v>
      </c>
      <c r="V952" s="205">
        <f t="shared" ca="1" si="288"/>
        <v>0</v>
      </c>
      <c r="W952" s="204"/>
      <c r="X952" s="205">
        <v>0</v>
      </c>
      <c r="Y952" s="206">
        <f t="shared" ca="1" si="289"/>
        <v>0</v>
      </c>
      <c r="Z952" s="277">
        <f t="shared" si="290"/>
        <v>0</v>
      </c>
      <c r="AA952" s="203"/>
      <c r="AB952" s="203">
        <f t="shared" ca="1" si="291"/>
        <v>0</v>
      </c>
      <c r="AC952" s="238"/>
      <c r="AI952" s="367">
        <f t="shared" ca="1" si="286"/>
        <v>46092</v>
      </c>
      <c r="AJ952" s="367" t="b">
        <f t="shared" si="292"/>
        <v>1</v>
      </c>
      <c r="AK952" s="370" t="str">
        <f t="shared" si="293"/>
        <v/>
      </c>
      <c r="AN952">
        <f t="shared" si="294"/>
        <v>0</v>
      </c>
      <c r="AO952">
        <f t="shared" si="295"/>
        <v>1900</v>
      </c>
      <c r="AV952">
        <f t="shared" si="296"/>
        <v>0</v>
      </c>
      <c r="AW952">
        <f t="shared" si="297"/>
        <v>0</v>
      </c>
    </row>
    <row r="953" spans="4:49" ht="15.75" x14ac:dyDescent="0.25">
      <c r="D953" s="199"/>
      <c r="E953" s="200"/>
      <c r="F953" s="287"/>
      <c r="G953" s="201"/>
      <c r="H953" s="219"/>
      <c r="I953" s="202"/>
      <c r="J953" s="200"/>
      <c r="K953" s="200"/>
      <c r="L953" s="203"/>
      <c r="M953" s="204">
        <f ca="1">IF(ISERROR(OFFSET(Tabella!$A$1,MATCH(J953,Tabella!$A:$A,0)-1,MATCH(L953,Tabella!$A$1:$AC$1,0)-1)=TRUE),0,+OFFSET(Tabella!$A$1,MATCH(J953,Tabella!$A:$A,0)-1,MATCH(L953,Tabella!$A$1:$AC$1,0)-1))</f>
        <v>0</v>
      </c>
      <c r="N953" s="205">
        <f ca="1">IF(ISERROR(OFFSET(Ottone!$A$1,MATCH(J953,Ottone!$A:$A,0)-1,MATCH(L953,Ottone!$A$1:$Z$1,0)-1)=TRUE),0,OFFSET(Ottone!$A$1,MATCH(J953,Ottone!$A:$A,0)-1,MATCH(L953,Ottone!$A$1:$Z$1,0)-1))*IF(G953="Ottone",1,0)</f>
        <v>0</v>
      </c>
      <c r="O953" s="205">
        <f ca="1">IF(ISERROR(OFFSET(Rame!$A$1,MATCH(J953,Rame!$A:$A,0)-1,MATCH(L953,Rame!$A$1:$AA$1,0)-1)=TRUE),0,OFFSET(Rame!$A$1,MATCH(J953,Rame!$A:$A,0)-1,MATCH(L953,Rame!$A$1:$AA$1,0)-1))*IF(G953="Rame",1,0)</f>
        <v>0</v>
      </c>
      <c r="P953" s="205">
        <v>0</v>
      </c>
      <c r="Q953" s="205">
        <f t="shared" ca="1" si="287"/>
        <v>0</v>
      </c>
      <c r="R953" s="205">
        <f ca="1">+IF(ISERROR(OFFSET(Tabella!$G$1,MATCH(J953,Tabella!$G:$G,0)-1,MATCH(K953,Tabella!$G$1:$FG$1,0)-1)=TRUE),0,OFFSET(Tabella!$G$1,MATCH(J953,Tabella!$G:$G,0)-1,MATCH(K953,Tabella!$G$1:$AB$1,0)-1))</f>
        <v>0</v>
      </c>
      <c r="S953" s="205">
        <f ca="1">IF(ISERROR(OFFSET(Ottone!$F$1,MATCH(J953,Ottone!$A:$A,0)-1,MATCH(K953,Ottone!$F$1:$FF$1,0)-1)=TRUE),0,OFFSET(Ottone!$F$1,MATCH(J953,Ottone!$A:$A,0)-1,MATCH(K953,Ottone!$F$1:$FF$1,0)-1))*IF(G953="Ottone",1,0)</f>
        <v>0</v>
      </c>
      <c r="T953" s="205">
        <f ca="1">IF(ISERROR(OFFSET(Rame!$F$1,MATCH(J953,Rame!$F:$F,0)-1,MATCH(K953,Rame!$F$1:$FF$1,0)-1)=TRUE),0,OFFSET(Rame!$F$1,MATCH(J953,Rame!$F:$F,0)-1,MATCH(K953,Rame!$F$1:$FF$1,0)-1))*IF(G953="Rame",1,0)</f>
        <v>0</v>
      </c>
      <c r="U953" s="205">
        <f ca="1">IF(ISERROR(OFFSET(Bronzo!$A$1,MATCH(J953,Bronzo!$A:$A,0)-1,MATCH(K953,Bronzo!$A$1:$AA$1,0)-1)=TRUE),0,OFFSET(Bronzo!$A$1,MATCH(J953,Bronzo!$A:$A,0)-1,MATCH(K953,Bronzo!$A$1:$AA$1,0)-1))</f>
        <v>0</v>
      </c>
      <c r="V953" s="205">
        <f t="shared" ca="1" si="288"/>
        <v>0</v>
      </c>
      <c r="W953" s="204"/>
      <c r="X953" s="205">
        <v>0</v>
      </c>
      <c r="Y953" s="206">
        <f t="shared" ca="1" si="289"/>
        <v>0</v>
      </c>
      <c r="Z953" s="277">
        <f t="shared" si="290"/>
        <v>0</v>
      </c>
      <c r="AA953" s="203"/>
      <c r="AB953" s="203">
        <f t="shared" ca="1" si="291"/>
        <v>0</v>
      </c>
      <c r="AC953" s="238"/>
      <c r="AI953" s="367">
        <f t="shared" ca="1" si="286"/>
        <v>46092</v>
      </c>
      <c r="AJ953" s="367" t="b">
        <f t="shared" si="292"/>
        <v>1</v>
      </c>
      <c r="AK953" s="370" t="str">
        <f t="shared" si="293"/>
        <v/>
      </c>
      <c r="AN953">
        <f t="shared" si="294"/>
        <v>0</v>
      </c>
      <c r="AO953">
        <f t="shared" si="295"/>
        <v>1900</v>
      </c>
      <c r="AV953">
        <f t="shared" si="296"/>
        <v>0</v>
      </c>
      <c r="AW953">
        <f t="shared" si="297"/>
        <v>0</v>
      </c>
    </row>
    <row r="954" spans="4:49" ht="15.75" x14ac:dyDescent="0.25">
      <c r="D954" s="199"/>
      <c r="E954" s="200"/>
      <c r="F954" s="287"/>
      <c r="G954" s="201"/>
      <c r="H954" s="219"/>
      <c r="I954" s="202"/>
      <c r="J954" s="200"/>
      <c r="K954" s="200"/>
      <c r="L954" s="203"/>
      <c r="M954" s="204">
        <f ca="1">IF(ISERROR(OFFSET(Tabella!$A$1,MATCH(J954,Tabella!$A:$A,0)-1,MATCH(L954,Tabella!$A$1:$AC$1,0)-1)=TRUE),0,+OFFSET(Tabella!$A$1,MATCH(J954,Tabella!$A:$A,0)-1,MATCH(L954,Tabella!$A$1:$AC$1,0)-1))</f>
        <v>0</v>
      </c>
      <c r="N954" s="205">
        <f ca="1">IF(ISERROR(OFFSET(Ottone!$A$1,MATCH(J954,Ottone!$A:$A,0)-1,MATCH(L954,Ottone!$A$1:$Z$1,0)-1)=TRUE),0,OFFSET(Ottone!$A$1,MATCH(J954,Ottone!$A:$A,0)-1,MATCH(L954,Ottone!$A$1:$Z$1,0)-1))*IF(G954="Ottone",1,0)</f>
        <v>0</v>
      </c>
      <c r="O954" s="205">
        <f ca="1">IF(ISERROR(OFFSET(Rame!$A$1,MATCH(J954,Rame!$A:$A,0)-1,MATCH(L954,Rame!$A$1:$AA$1,0)-1)=TRUE),0,OFFSET(Rame!$A$1,MATCH(J954,Rame!$A:$A,0)-1,MATCH(L954,Rame!$A$1:$AA$1,0)-1))*IF(G954="Rame",1,0)</f>
        <v>0</v>
      </c>
      <c r="P954" s="205">
        <v>0</v>
      </c>
      <c r="Q954" s="205">
        <f t="shared" ca="1" si="287"/>
        <v>0</v>
      </c>
      <c r="R954" s="205">
        <f ca="1">+IF(ISERROR(OFFSET(Tabella!$G$1,MATCH(J954,Tabella!$G:$G,0)-1,MATCH(K954,Tabella!$G$1:$FG$1,0)-1)=TRUE),0,OFFSET(Tabella!$G$1,MATCH(J954,Tabella!$G:$G,0)-1,MATCH(K954,Tabella!$G$1:$AB$1,0)-1))</f>
        <v>0</v>
      </c>
      <c r="S954" s="205">
        <f ca="1">IF(ISERROR(OFFSET(Ottone!$F$1,MATCH(J954,Ottone!$A:$A,0)-1,MATCH(K954,Ottone!$F$1:$FF$1,0)-1)=TRUE),0,OFFSET(Ottone!$F$1,MATCH(J954,Ottone!$A:$A,0)-1,MATCH(K954,Ottone!$F$1:$FF$1,0)-1))*IF(G954="Ottone",1,0)</f>
        <v>0</v>
      </c>
      <c r="T954" s="205">
        <f ca="1">IF(ISERROR(OFFSET(Rame!$F$1,MATCH(J954,Rame!$F:$F,0)-1,MATCH(K954,Rame!$F$1:$FF$1,0)-1)=TRUE),0,OFFSET(Rame!$F$1,MATCH(J954,Rame!$F:$F,0)-1,MATCH(K954,Rame!$F$1:$FF$1,0)-1))*IF(G954="Rame",1,0)</f>
        <v>0</v>
      </c>
      <c r="U954" s="205">
        <f ca="1">IF(ISERROR(OFFSET(Bronzo!$A$1,MATCH(J954,Bronzo!$A:$A,0)-1,MATCH(K954,Bronzo!$A$1:$AA$1,0)-1)=TRUE),0,OFFSET(Bronzo!$A$1,MATCH(J954,Bronzo!$A:$A,0)-1,MATCH(K954,Bronzo!$A$1:$AA$1,0)-1))</f>
        <v>0</v>
      </c>
      <c r="V954" s="205">
        <f t="shared" ca="1" si="288"/>
        <v>0</v>
      </c>
      <c r="W954" s="204"/>
      <c r="X954" s="205">
        <v>0</v>
      </c>
      <c r="Y954" s="206">
        <f t="shared" ca="1" si="289"/>
        <v>0</v>
      </c>
      <c r="Z954" s="277">
        <f t="shared" si="290"/>
        <v>0</v>
      </c>
      <c r="AA954" s="203"/>
      <c r="AB954" s="203">
        <f t="shared" ca="1" si="291"/>
        <v>0</v>
      </c>
      <c r="AC954" s="238"/>
      <c r="AI954" s="367">
        <f t="shared" ca="1" si="286"/>
        <v>46092</v>
      </c>
      <c r="AJ954" s="367" t="b">
        <f t="shared" si="292"/>
        <v>1</v>
      </c>
      <c r="AK954" s="370" t="str">
        <f t="shared" si="293"/>
        <v/>
      </c>
      <c r="AN954">
        <f t="shared" si="294"/>
        <v>0</v>
      </c>
      <c r="AO954">
        <f t="shared" si="295"/>
        <v>1900</v>
      </c>
      <c r="AV954">
        <f t="shared" si="296"/>
        <v>0</v>
      </c>
      <c r="AW954">
        <f t="shared" si="297"/>
        <v>0</v>
      </c>
    </row>
    <row r="955" spans="4:49" ht="15.75" x14ac:dyDescent="0.25">
      <c r="D955" s="199"/>
      <c r="E955" s="200"/>
      <c r="F955" s="287"/>
      <c r="G955" s="201"/>
      <c r="H955" s="219"/>
      <c r="I955" s="202"/>
      <c r="J955" s="200"/>
      <c r="K955" s="200"/>
      <c r="L955" s="203"/>
      <c r="M955" s="204">
        <f ca="1">IF(ISERROR(OFFSET(Tabella!$A$1,MATCH(J955,Tabella!$A:$A,0)-1,MATCH(L955,Tabella!$A$1:$AC$1,0)-1)=TRUE),0,+OFFSET(Tabella!$A$1,MATCH(J955,Tabella!$A:$A,0)-1,MATCH(L955,Tabella!$A$1:$AC$1,0)-1))</f>
        <v>0</v>
      </c>
      <c r="N955" s="205">
        <f ca="1">IF(ISERROR(OFFSET(Ottone!$A$1,MATCH(J955,Ottone!$A:$A,0)-1,MATCH(L955,Ottone!$A$1:$Z$1,0)-1)=TRUE),0,OFFSET(Ottone!$A$1,MATCH(J955,Ottone!$A:$A,0)-1,MATCH(L955,Ottone!$A$1:$Z$1,0)-1))*IF(G955="Ottone",1,0)</f>
        <v>0</v>
      </c>
      <c r="O955" s="205">
        <f ca="1">IF(ISERROR(OFFSET(Rame!$A$1,MATCH(J955,Rame!$A:$A,0)-1,MATCH(L955,Rame!$A$1:$AA$1,0)-1)=TRUE),0,OFFSET(Rame!$A$1,MATCH(J955,Rame!$A:$A,0)-1,MATCH(L955,Rame!$A$1:$AA$1,0)-1))*IF(G955="Rame",1,0)</f>
        <v>0</v>
      </c>
      <c r="P955" s="205">
        <v>0</v>
      </c>
      <c r="Q955" s="205">
        <f t="shared" ca="1" si="287"/>
        <v>0</v>
      </c>
      <c r="R955" s="205">
        <f ca="1">+IF(ISERROR(OFFSET(Tabella!$G$1,MATCH(J955,Tabella!$G:$G,0)-1,MATCH(K955,Tabella!$G$1:$FG$1,0)-1)=TRUE),0,OFFSET(Tabella!$G$1,MATCH(J955,Tabella!$G:$G,0)-1,MATCH(K955,Tabella!$G$1:$AB$1,0)-1))</f>
        <v>0</v>
      </c>
      <c r="S955" s="205">
        <f ca="1">IF(ISERROR(OFFSET(Ottone!$F$1,MATCH(J955,Ottone!$A:$A,0)-1,MATCH(K955,Ottone!$F$1:$FF$1,0)-1)=TRUE),0,OFFSET(Ottone!$F$1,MATCH(J955,Ottone!$A:$A,0)-1,MATCH(K955,Ottone!$F$1:$FF$1,0)-1))*IF(G955="Ottone",1,0)</f>
        <v>0</v>
      </c>
      <c r="T955" s="205">
        <f ca="1">IF(ISERROR(OFFSET(Rame!$F$1,MATCH(J955,Rame!$F:$F,0)-1,MATCH(K955,Rame!$F$1:$FF$1,0)-1)=TRUE),0,OFFSET(Rame!$F$1,MATCH(J955,Rame!$F:$F,0)-1,MATCH(K955,Rame!$F$1:$FF$1,0)-1))*IF(G955="Rame",1,0)</f>
        <v>0</v>
      </c>
      <c r="U955" s="205">
        <f ca="1">IF(ISERROR(OFFSET(Bronzo!$A$1,MATCH(J955,Bronzo!$A:$A,0)-1,MATCH(K955,Bronzo!$A$1:$AA$1,0)-1)=TRUE),0,OFFSET(Bronzo!$A$1,MATCH(J955,Bronzo!$A:$A,0)-1,MATCH(K955,Bronzo!$A$1:$AA$1,0)-1))</f>
        <v>0</v>
      </c>
      <c r="V955" s="205">
        <f t="shared" ca="1" si="288"/>
        <v>0</v>
      </c>
      <c r="W955" s="204"/>
      <c r="X955" s="205">
        <v>0</v>
      </c>
      <c r="Y955" s="206">
        <f t="shared" ca="1" si="289"/>
        <v>0</v>
      </c>
      <c r="Z955" s="277">
        <f t="shared" si="290"/>
        <v>0</v>
      </c>
      <c r="AA955" s="203"/>
      <c r="AB955" s="203">
        <f t="shared" ca="1" si="291"/>
        <v>0</v>
      </c>
      <c r="AC955" s="238"/>
      <c r="AI955" s="367">
        <f t="shared" ca="1" si="286"/>
        <v>46092</v>
      </c>
      <c r="AJ955" s="367" t="b">
        <f t="shared" si="292"/>
        <v>1</v>
      </c>
      <c r="AK955" s="370" t="str">
        <f t="shared" si="293"/>
        <v/>
      </c>
      <c r="AN955">
        <f t="shared" si="294"/>
        <v>0</v>
      </c>
      <c r="AO955">
        <f t="shared" si="295"/>
        <v>1900</v>
      </c>
      <c r="AV955">
        <f t="shared" si="296"/>
        <v>0</v>
      </c>
      <c r="AW955">
        <f t="shared" si="297"/>
        <v>0</v>
      </c>
    </row>
    <row r="956" spans="4:49" ht="15.75" x14ac:dyDescent="0.25">
      <c r="D956" s="199"/>
      <c r="E956" s="200"/>
      <c r="F956" s="287"/>
      <c r="G956" s="201"/>
      <c r="H956" s="219"/>
      <c r="I956" s="202"/>
      <c r="J956" s="200"/>
      <c r="K956" s="200"/>
      <c r="L956" s="203"/>
      <c r="M956" s="204">
        <f ca="1">IF(ISERROR(OFFSET(Tabella!$A$1,MATCH(J956,Tabella!$A:$A,0)-1,MATCH(L956,Tabella!$A$1:$AC$1,0)-1)=TRUE),0,+OFFSET(Tabella!$A$1,MATCH(J956,Tabella!$A:$A,0)-1,MATCH(L956,Tabella!$A$1:$AC$1,0)-1))</f>
        <v>0</v>
      </c>
      <c r="N956" s="205">
        <f ca="1">IF(ISERROR(OFFSET(Ottone!$A$1,MATCH(J956,Ottone!$A:$A,0)-1,MATCH(L956,Ottone!$A$1:$Z$1,0)-1)=TRUE),0,OFFSET(Ottone!$A$1,MATCH(J956,Ottone!$A:$A,0)-1,MATCH(L956,Ottone!$A$1:$Z$1,0)-1))*IF(G956="Ottone",1,0)</f>
        <v>0</v>
      </c>
      <c r="O956" s="205">
        <f ca="1">IF(ISERROR(OFFSET(Rame!$A$1,MATCH(J956,Rame!$A:$A,0)-1,MATCH(L956,Rame!$A$1:$AA$1,0)-1)=TRUE),0,OFFSET(Rame!$A$1,MATCH(J956,Rame!$A:$A,0)-1,MATCH(L956,Rame!$A$1:$AA$1,0)-1))*IF(G956="Rame",1,0)</f>
        <v>0</v>
      </c>
      <c r="P956" s="205">
        <v>0</v>
      </c>
      <c r="Q956" s="205">
        <f t="shared" ca="1" si="287"/>
        <v>0</v>
      </c>
      <c r="R956" s="205">
        <f ca="1">+IF(ISERROR(OFFSET(Tabella!$G$1,MATCH(J956,Tabella!$G:$G,0)-1,MATCH(K956,Tabella!$G$1:$FG$1,0)-1)=TRUE),0,OFFSET(Tabella!$G$1,MATCH(J956,Tabella!$G:$G,0)-1,MATCH(K956,Tabella!$G$1:$AB$1,0)-1))</f>
        <v>0</v>
      </c>
      <c r="S956" s="205">
        <f ca="1">IF(ISERROR(OFFSET(Ottone!$F$1,MATCH(J956,Ottone!$A:$A,0)-1,MATCH(K956,Ottone!$F$1:$FF$1,0)-1)=TRUE),0,OFFSET(Ottone!$F$1,MATCH(J956,Ottone!$A:$A,0)-1,MATCH(K956,Ottone!$F$1:$FF$1,0)-1))*IF(G956="Ottone",1,0)</f>
        <v>0</v>
      </c>
      <c r="T956" s="205">
        <f ca="1">IF(ISERROR(OFFSET(Rame!$F$1,MATCH(J956,Rame!$F:$F,0)-1,MATCH(K956,Rame!$F$1:$FF$1,0)-1)=TRUE),0,OFFSET(Rame!$F$1,MATCH(J956,Rame!$F:$F,0)-1,MATCH(K956,Rame!$F$1:$FF$1,0)-1))*IF(G956="Rame",1,0)</f>
        <v>0</v>
      </c>
      <c r="U956" s="205">
        <f ca="1">IF(ISERROR(OFFSET(Bronzo!$A$1,MATCH(J956,Bronzo!$A:$A,0)-1,MATCH(K956,Bronzo!$A$1:$AA$1,0)-1)=TRUE),0,OFFSET(Bronzo!$A$1,MATCH(J956,Bronzo!$A:$A,0)-1,MATCH(K956,Bronzo!$A$1:$AA$1,0)-1))</f>
        <v>0</v>
      </c>
      <c r="V956" s="205">
        <f t="shared" ca="1" si="288"/>
        <v>0</v>
      </c>
      <c r="W956" s="204"/>
      <c r="X956" s="205">
        <v>0</v>
      </c>
      <c r="Y956" s="206">
        <f t="shared" ca="1" si="289"/>
        <v>0</v>
      </c>
      <c r="Z956" s="277">
        <f t="shared" si="290"/>
        <v>0</v>
      </c>
      <c r="AA956" s="203"/>
      <c r="AB956" s="203">
        <f t="shared" ca="1" si="291"/>
        <v>0</v>
      </c>
      <c r="AC956" s="238"/>
      <c r="AI956" s="367">
        <f t="shared" ca="1" si="286"/>
        <v>46092</v>
      </c>
      <c r="AJ956" s="367" t="b">
        <f t="shared" si="292"/>
        <v>1</v>
      </c>
      <c r="AK956" s="370" t="str">
        <f t="shared" si="293"/>
        <v/>
      </c>
      <c r="AN956">
        <f t="shared" si="294"/>
        <v>0</v>
      </c>
      <c r="AO956">
        <f t="shared" si="295"/>
        <v>1900</v>
      </c>
      <c r="AV956">
        <f t="shared" si="296"/>
        <v>0</v>
      </c>
      <c r="AW956">
        <f t="shared" si="297"/>
        <v>0</v>
      </c>
    </row>
    <row r="957" spans="4:49" ht="15.75" x14ac:dyDescent="0.25">
      <c r="D957" s="199"/>
      <c r="E957" s="200"/>
      <c r="F957" s="287"/>
      <c r="G957" s="201"/>
      <c r="H957" s="219"/>
      <c r="I957" s="202"/>
      <c r="J957" s="200"/>
      <c r="K957" s="200"/>
      <c r="L957" s="203"/>
      <c r="M957" s="204">
        <f ca="1">IF(ISERROR(OFFSET(Tabella!$A$1,MATCH(J957,Tabella!$A:$A,0)-1,MATCH(L957,Tabella!$A$1:$AC$1,0)-1)=TRUE),0,+OFFSET(Tabella!$A$1,MATCH(J957,Tabella!$A:$A,0)-1,MATCH(L957,Tabella!$A$1:$AC$1,0)-1))</f>
        <v>0</v>
      </c>
      <c r="N957" s="205">
        <f ca="1">IF(ISERROR(OFFSET(Ottone!$A$1,MATCH(J957,Ottone!$A:$A,0)-1,MATCH(L957,Ottone!$A$1:$Z$1,0)-1)=TRUE),0,OFFSET(Ottone!$A$1,MATCH(J957,Ottone!$A:$A,0)-1,MATCH(L957,Ottone!$A$1:$Z$1,0)-1))*IF(G957="Ottone",1,0)</f>
        <v>0</v>
      </c>
      <c r="O957" s="205">
        <f ca="1">IF(ISERROR(OFFSET(Rame!$A$1,MATCH(J957,Rame!$A:$A,0)-1,MATCH(L957,Rame!$A$1:$AA$1,0)-1)=TRUE),0,OFFSET(Rame!$A$1,MATCH(J957,Rame!$A:$A,0)-1,MATCH(L957,Rame!$A$1:$AA$1,0)-1))*IF(G957="Rame",1,0)</f>
        <v>0</v>
      </c>
      <c r="P957" s="205">
        <v>0</v>
      </c>
      <c r="Q957" s="205">
        <f t="shared" ca="1" si="287"/>
        <v>0</v>
      </c>
      <c r="R957" s="205">
        <f ca="1">+IF(ISERROR(OFFSET(Tabella!$G$1,MATCH(J957,Tabella!$G:$G,0)-1,MATCH(K957,Tabella!$G$1:$FG$1,0)-1)=TRUE),0,OFFSET(Tabella!$G$1,MATCH(J957,Tabella!$G:$G,0)-1,MATCH(K957,Tabella!$G$1:$AB$1,0)-1))</f>
        <v>0</v>
      </c>
      <c r="S957" s="205">
        <f ca="1">IF(ISERROR(OFFSET(Ottone!$F$1,MATCH(J957,Ottone!$A:$A,0)-1,MATCH(K957,Ottone!$F$1:$FF$1,0)-1)=TRUE),0,OFFSET(Ottone!$F$1,MATCH(J957,Ottone!$A:$A,0)-1,MATCH(K957,Ottone!$F$1:$FF$1,0)-1))*IF(G957="Ottone",1,0)</f>
        <v>0</v>
      </c>
      <c r="T957" s="205">
        <f ca="1">IF(ISERROR(OFFSET(Rame!$F$1,MATCH(J957,Rame!$F:$F,0)-1,MATCH(K957,Rame!$F$1:$FF$1,0)-1)=TRUE),0,OFFSET(Rame!$F$1,MATCH(J957,Rame!$F:$F,0)-1,MATCH(K957,Rame!$F$1:$FF$1,0)-1))*IF(G957="Rame",1,0)</f>
        <v>0</v>
      </c>
      <c r="U957" s="205">
        <f ca="1">IF(ISERROR(OFFSET(Bronzo!$A$1,MATCH(J957,Bronzo!$A:$A,0)-1,MATCH(K957,Bronzo!$A$1:$AA$1,0)-1)=TRUE),0,OFFSET(Bronzo!$A$1,MATCH(J957,Bronzo!$A:$A,0)-1,MATCH(K957,Bronzo!$A$1:$AA$1,0)-1))</f>
        <v>0</v>
      </c>
      <c r="V957" s="205">
        <f t="shared" ca="1" si="288"/>
        <v>0</v>
      </c>
      <c r="W957" s="204"/>
      <c r="X957" s="205">
        <v>0</v>
      </c>
      <c r="Y957" s="206">
        <f t="shared" ca="1" si="289"/>
        <v>0</v>
      </c>
      <c r="Z957" s="277">
        <f t="shared" si="290"/>
        <v>0</v>
      </c>
      <c r="AA957" s="203"/>
      <c r="AB957" s="203">
        <f t="shared" ca="1" si="291"/>
        <v>0</v>
      </c>
      <c r="AC957" s="238"/>
      <c r="AI957" s="367">
        <f t="shared" ca="1" si="286"/>
        <v>46092</v>
      </c>
      <c r="AJ957" s="367" t="b">
        <f t="shared" si="292"/>
        <v>1</v>
      </c>
      <c r="AK957" s="370" t="str">
        <f t="shared" si="293"/>
        <v/>
      </c>
      <c r="AN957">
        <f t="shared" si="294"/>
        <v>0</v>
      </c>
      <c r="AO957">
        <f t="shared" si="295"/>
        <v>1900</v>
      </c>
      <c r="AV957">
        <f t="shared" si="296"/>
        <v>0</v>
      </c>
      <c r="AW957">
        <f t="shared" si="297"/>
        <v>0</v>
      </c>
    </row>
    <row r="958" spans="4:49" ht="15.75" x14ac:dyDescent="0.25">
      <c r="D958" s="199"/>
      <c r="E958" s="200"/>
      <c r="F958" s="287"/>
      <c r="G958" s="201"/>
      <c r="H958" s="219"/>
      <c r="I958" s="202"/>
      <c r="J958" s="200"/>
      <c r="K958" s="200"/>
      <c r="L958" s="203"/>
      <c r="M958" s="204">
        <f ca="1">IF(ISERROR(OFFSET(Tabella!$A$1,MATCH(J958,Tabella!$A:$A,0)-1,MATCH(L958,Tabella!$A$1:$AC$1,0)-1)=TRUE),0,+OFFSET(Tabella!$A$1,MATCH(J958,Tabella!$A:$A,0)-1,MATCH(L958,Tabella!$A$1:$AC$1,0)-1))</f>
        <v>0</v>
      </c>
      <c r="N958" s="205">
        <f ca="1">IF(ISERROR(OFFSET(Ottone!$A$1,MATCH(J958,Ottone!$A:$A,0)-1,MATCH(L958,Ottone!$A$1:$Z$1,0)-1)=TRUE),0,OFFSET(Ottone!$A$1,MATCH(J958,Ottone!$A:$A,0)-1,MATCH(L958,Ottone!$A$1:$Z$1,0)-1))*IF(G958="Ottone",1,0)</f>
        <v>0</v>
      </c>
      <c r="O958" s="205">
        <f ca="1">IF(ISERROR(OFFSET(Rame!$A$1,MATCH(J958,Rame!$A:$A,0)-1,MATCH(L958,Rame!$A$1:$AA$1,0)-1)=TRUE),0,OFFSET(Rame!$A$1,MATCH(J958,Rame!$A:$A,0)-1,MATCH(L958,Rame!$A$1:$AA$1,0)-1))*IF(G958="Rame",1,0)</f>
        <v>0</v>
      </c>
      <c r="P958" s="205">
        <v>0</v>
      </c>
      <c r="Q958" s="205">
        <f t="shared" ca="1" si="287"/>
        <v>0</v>
      </c>
      <c r="R958" s="205">
        <f ca="1">+IF(ISERROR(OFFSET(Tabella!$G$1,MATCH(J958,Tabella!$G:$G,0)-1,MATCH(K958,Tabella!$G$1:$FG$1,0)-1)=TRUE),0,OFFSET(Tabella!$G$1,MATCH(J958,Tabella!$G:$G,0)-1,MATCH(K958,Tabella!$G$1:$AB$1,0)-1))</f>
        <v>0</v>
      </c>
      <c r="S958" s="205">
        <f ca="1">IF(ISERROR(OFFSET(Ottone!$F$1,MATCH(J958,Ottone!$A:$A,0)-1,MATCH(K958,Ottone!$F$1:$FF$1,0)-1)=TRUE),0,OFFSET(Ottone!$F$1,MATCH(J958,Ottone!$A:$A,0)-1,MATCH(K958,Ottone!$F$1:$FF$1,0)-1))*IF(G958="Ottone",1,0)</f>
        <v>0</v>
      </c>
      <c r="T958" s="205">
        <f ca="1">IF(ISERROR(OFFSET(Rame!$F$1,MATCH(J958,Rame!$F:$F,0)-1,MATCH(K958,Rame!$F$1:$FF$1,0)-1)=TRUE),0,OFFSET(Rame!$F$1,MATCH(J958,Rame!$F:$F,0)-1,MATCH(K958,Rame!$F$1:$FF$1,0)-1))*IF(G958="Rame",1,0)</f>
        <v>0</v>
      </c>
      <c r="U958" s="205">
        <f ca="1">IF(ISERROR(OFFSET(Bronzo!$A$1,MATCH(J958,Bronzo!$A:$A,0)-1,MATCH(K958,Bronzo!$A$1:$AA$1,0)-1)=TRUE),0,OFFSET(Bronzo!$A$1,MATCH(J958,Bronzo!$A:$A,0)-1,MATCH(K958,Bronzo!$A$1:$AA$1,0)-1))</f>
        <v>0</v>
      </c>
      <c r="V958" s="205">
        <f t="shared" ca="1" si="288"/>
        <v>0</v>
      </c>
      <c r="W958" s="204"/>
      <c r="X958" s="205">
        <v>0</v>
      </c>
      <c r="Y958" s="206">
        <f t="shared" ca="1" si="289"/>
        <v>0</v>
      </c>
      <c r="Z958" s="277">
        <f t="shared" si="290"/>
        <v>0</v>
      </c>
      <c r="AA958" s="203"/>
      <c r="AB958" s="203">
        <f t="shared" ca="1" si="291"/>
        <v>0</v>
      </c>
      <c r="AC958" s="238"/>
      <c r="AI958" s="367">
        <f t="shared" ca="1" si="286"/>
        <v>46092</v>
      </c>
      <c r="AJ958" s="367" t="b">
        <f t="shared" si="292"/>
        <v>1</v>
      </c>
      <c r="AK958" s="370" t="str">
        <f t="shared" si="293"/>
        <v/>
      </c>
      <c r="AN958">
        <f t="shared" si="294"/>
        <v>0</v>
      </c>
      <c r="AO958">
        <f t="shared" si="295"/>
        <v>1900</v>
      </c>
      <c r="AV958">
        <f t="shared" si="296"/>
        <v>0</v>
      </c>
      <c r="AW958">
        <f t="shared" si="297"/>
        <v>0</v>
      </c>
    </row>
    <row r="959" spans="4:49" ht="15.75" x14ac:dyDescent="0.25">
      <c r="D959" s="199"/>
      <c r="E959" s="200"/>
      <c r="F959" s="287"/>
      <c r="G959" s="201"/>
      <c r="H959" s="219"/>
      <c r="I959" s="202"/>
      <c r="J959" s="200"/>
      <c r="K959" s="200"/>
      <c r="L959" s="203"/>
      <c r="M959" s="204">
        <f ca="1">IF(ISERROR(OFFSET(Tabella!$A$1,MATCH(J959,Tabella!$A:$A,0)-1,MATCH(L959,Tabella!$A$1:$AC$1,0)-1)=TRUE),0,+OFFSET(Tabella!$A$1,MATCH(J959,Tabella!$A:$A,0)-1,MATCH(L959,Tabella!$A$1:$AC$1,0)-1))</f>
        <v>0</v>
      </c>
      <c r="N959" s="205">
        <f ca="1">IF(ISERROR(OFFSET(Ottone!$A$1,MATCH(J959,Ottone!$A:$A,0)-1,MATCH(L959,Ottone!$A$1:$Z$1,0)-1)=TRUE),0,OFFSET(Ottone!$A$1,MATCH(J959,Ottone!$A:$A,0)-1,MATCH(L959,Ottone!$A$1:$Z$1,0)-1))*IF(G959="Ottone",1,0)</f>
        <v>0</v>
      </c>
      <c r="O959" s="205">
        <f ca="1">IF(ISERROR(OFFSET(Rame!$A$1,MATCH(J959,Rame!$A:$A,0)-1,MATCH(L959,Rame!$A$1:$AA$1,0)-1)=TRUE),0,OFFSET(Rame!$A$1,MATCH(J959,Rame!$A:$A,0)-1,MATCH(L959,Rame!$A$1:$AA$1,0)-1))*IF(G959="Rame",1,0)</f>
        <v>0</v>
      </c>
      <c r="P959" s="205">
        <v>0</v>
      </c>
      <c r="Q959" s="205">
        <f t="shared" ca="1" si="287"/>
        <v>0</v>
      </c>
      <c r="R959" s="205">
        <f ca="1">+IF(ISERROR(OFFSET(Tabella!$G$1,MATCH(J959,Tabella!$G:$G,0)-1,MATCH(K959,Tabella!$G$1:$FG$1,0)-1)=TRUE),0,OFFSET(Tabella!$G$1,MATCH(J959,Tabella!$G:$G,0)-1,MATCH(K959,Tabella!$G$1:$AB$1,0)-1))</f>
        <v>0</v>
      </c>
      <c r="S959" s="205">
        <f ca="1">IF(ISERROR(OFFSET(Ottone!$F$1,MATCH(J959,Ottone!$A:$A,0)-1,MATCH(K959,Ottone!$F$1:$FF$1,0)-1)=TRUE),0,OFFSET(Ottone!$F$1,MATCH(J959,Ottone!$A:$A,0)-1,MATCH(K959,Ottone!$F$1:$FF$1,0)-1))*IF(G959="Ottone",1,0)</f>
        <v>0</v>
      </c>
      <c r="T959" s="205">
        <f ca="1">IF(ISERROR(OFFSET(Rame!$F$1,MATCH(J959,Rame!$F:$F,0)-1,MATCH(K959,Rame!$F$1:$FF$1,0)-1)=TRUE),0,OFFSET(Rame!$F$1,MATCH(J959,Rame!$F:$F,0)-1,MATCH(K959,Rame!$F$1:$FF$1,0)-1))*IF(G959="Rame",1,0)</f>
        <v>0</v>
      </c>
      <c r="U959" s="205">
        <f ca="1">IF(ISERROR(OFFSET(Bronzo!$A$1,MATCH(J959,Bronzo!$A:$A,0)-1,MATCH(K959,Bronzo!$A$1:$AA$1,0)-1)=TRUE),0,OFFSET(Bronzo!$A$1,MATCH(J959,Bronzo!$A:$A,0)-1,MATCH(K959,Bronzo!$A$1:$AA$1,0)-1))</f>
        <v>0</v>
      </c>
      <c r="V959" s="205">
        <f t="shared" ca="1" si="288"/>
        <v>0</v>
      </c>
      <c r="W959" s="204"/>
      <c r="X959" s="205">
        <v>0</v>
      </c>
      <c r="Y959" s="206">
        <f t="shared" ca="1" si="289"/>
        <v>0</v>
      </c>
      <c r="Z959" s="277">
        <f t="shared" si="290"/>
        <v>0</v>
      </c>
      <c r="AA959" s="203"/>
      <c r="AB959" s="203">
        <f t="shared" ca="1" si="291"/>
        <v>0</v>
      </c>
      <c r="AC959" s="238"/>
      <c r="AI959" s="367">
        <f t="shared" ca="1" si="286"/>
        <v>46092</v>
      </c>
      <c r="AJ959" s="367" t="b">
        <f t="shared" si="292"/>
        <v>1</v>
      </c>
      <c r="AK959" s="370" t="str">
        <f t="shared" si="293"/>
        <v/>
      </c>
      <c r="AN959">
        <f t="shared" si="294"/>
        <v>0</v>
      </c>
      <c r="AO959">
        <f t="shared" si="295"/>
        <v>1900</v>
      </c>
      <c r="AV959">
        <f t="shared" si="296"/>
        <v>0</v>
      </c>
      <c r="AW959">
        <f t="shared" si="297"/>
        <v>0</v>
      </c>
    </row>
    <row r="960" spans="4:49" ht="15.75" x14ac:dyDescent="0.25">
      <c r="D960" s="199"/>
      <c r="E960" s="200"/>
      <c r="F960" s="287"/>
      <c r="G960" s="201"/>
      <c r="H960" s="219"/>
      <c r="I960" s="202"/>
      <c r="J960" s="200"/>
      <c r="K960" s="200"/>
      <c r="L960" s="203"/>
      <c r="M960" s="204">
        <f ca="1">IF(ISERROR(OFFSET(Tabella!$A$1,MATCH(J960,Tabella!$A:$A,0)-1,MATCH(L960,Tabella!$A$1:$AC$1,0)-1)=TRUE),0,+OFFSET(Tabella!$A$1,MATCH(J960,Tabella!$A:$A,0)-1,MATCH(L960,Tabella!$A$1:$AC$1,0)-1))</f>
        <v>0</v>
      </c>
      <c r="N960" s="205">
        <f ca="1">IF(ISERROR(OFFSET(Ottone!$A$1,MATCH(J960,Ottone!$A:$A,0)-1,MATCH(L960,Ottone!$A$1:$Z$1,0)-1)=TRUE),0,OFFSET(Ottone!$A$1,MATCH(J960,Ottone!$A:$A,0)-1,MATCH(L960,Ottone!$A$1:$Z$1,0)-1))*IF(G960="Ottone",1,0)</f>
        <v>0</v>
      </c>
      <c r="O960" s="205">
        <f ca="1">IF(ISERROR(OFFSET(Rame!$A$1,MATCH(J960,Rame!$A:$A,0)-1,MATCH(L960,Rame!$A$1:$AA$1,0)-1)=TRUE),0,OFFSET(Rame!$A$1,MATCH(J960,Rame!$A:$A,0)-1,MATCH(L960,Rame!$A$1:$AA$1,0)-1))*IF(G960="Rame",1,0)</f>
        <v>0</v>
      </c>
      <c r="P960" s="205">
        <v>0</v>
      </c>
      <c r="Q960" s="205">
        <f t="shared" ca="1" si="287"/>
        <v>0</v>
      </c>
      <c r="R960" s="205">
        <f ca="1">+IF(ISERROR(OFFSET(Tabella!$G$1,MATCH(J960,Tabella!$G:$G,0)-1,MATCH(K960,Tabella!$G$1:$FG$1,0)-1)=TRUE),0,OFFSET(Tabella!$G$1,MATCH(J960,Tabella!$G:$G,0)-1,MATCH(K960,Tabella!$G$1:$AB$1,0)-1))</f>
        <v>0</v>
      </c>
      <c r="S960" s="205">
        <f ca="1">IF(ISERROR(OFFSET(Ottone!$F$1,MATCH(J960,Ottone!$A:$A,0)-1,MATCH(K960,Ottone!$F$1:$FF$1,0)-1)=TRUE),0,OFFSET(Ottone!$F$1,MATCH(J960,Ottone!$A:$A,0)-1,MATCH(K960,Ottone!$F$1:$FF$1,0)-1))*IF(G960="Ottone",1,0)</f>
        <v>0</v>
      </c>
      <c r="T960" s="205">
        <f ca="1">IF(ISERROR(OFFSET(Rame!$F$1,MATCH(J960,Rame!$F:$F,0)-1,MATCH(K960,Rame!$F$1:$FF$1,0)-1)=TRUE),0,OFFSET(Rame!$F$1,MATCH(J960,Rame!$F:$F,0)-1,MATCH(K960,Rame!$F$1:$FF$1,0)-1))*IF(G960="Rame",1,0)</f>
        <v>0</v>
      </c>
      <c r="U960" s="205">
        <f ca="1">IF(ISERROR(OFFSET(Bronzo!$A$1,MATCH(J960,Bronzo!$A:$A,0)-1,MATCH(K960,Bronzo!$A$1:$AA$1,0)-1)=TRUE),0,OFFSET(Bronzo!$A$1,MATCH(J960,Bronzo!$A:$A,0)-1,MATCH(K960,Bronzo!$A$1:$AA$1,0)-1))</f>
        <v>0</v>
      </c>
      <c r="V960" s="205">
        <f t="shared" ca="1" si="288"/>
        <v>0</v>
      </c>
      <c r="W960" s="204"/>
      <c r="X960" s="205">
        <v>0</v>
      </c>
      <c r="Y960" s="206">
        <f t="shared" ca="1" si="289"/>
        <v>0</v>
      </c>
      <c r="Z960" s="277">
        <f t="shared" si="290"/>
        <v>0</v>
      </c>
      <c r="AA960" s="203"/>
      <c r="AB960" s="203">
        <f t="shared" ca="1" si="291"/>
        <v>0</v>
      </c>
      <c r="AC960" s="238"/>
      <c r="AI960" s="367">
        <f t="shared" ref="AI960:AI1023" ca="1" si="298">TODAY()</f>
        <v>46092</v>
      </c>
      <c r="AJ960" s="367" t="b">
        <f t="shared" si="292"/>
        <v>1</v>
      </c>
      <c r="AK960" s="370" t="str">
        <f t="shared" si="293"/>
        <v/>
      </c>
      <c r="AN960">
        <f t="shared" si="294"/>
        <v>0</v>
      </c>
      <c r="AO960">
        <f t="shared" si="295"/>
        <v>1900</v>
      </c>
      <c r="AV960">
        <f t="shared" si="296"/>
        <v>0</v>
      </c>
      <c r="AW960">
        <f t="shared" si="297"/>
        <v>0</v>
      </c>
    </row>
    <row r="961" spans="4:49" ht="15.75" x14ac:dyDescent="0.25">
      <c r="D961" s="199"/>
      <c r="E961" s="200"/>
      <c r="F961" s="287"/>
      <c r="G961" s="201"/>
      <c r="H961" s="219"/>
      <c r="I961" s="202"/>
      <c r="J961" s="200"/>
      <c r="K961" s="200"/>
      <c r="L961" s="203"/>
      <c r="M961" s="204">
        <f ca="1">IF(ISERROR(OFFSET(Tabella!$A$1,MATCH(J961,Tabella!$A:$A,0)-1,MATCH(L961,Tabella!$A$1:$AC$1,0)-1)=TRUE),0,+OFFSET(Tabella!$A$1,MATCH(J961,Tabella!$A:$A,0)-1,MATCH(L961,Tabella!$A$1:$AC$1,0)-1))</f>
        <v>0</v>
      </c>
      <c r="N961" s="205">
        <f ca="1">IF(ISERROR(OFFSET(Ottone!$A$1,MATCH(J961,Ottone!$A:$A,0)-1,MATCH(L961,Ottone!$A$1:$Z$1,0)-1)=TRUE),0,OFFSET(Ottone!$A$1,MATCH(J961,Ottone!$A:$A,0)-1,MATCH(L961,Ottone!$A$1:$Z$1,0)-1))*IF(G961="Ottone",1,0)</f>
        <v>0</v>
      </c>
      <c r="O961" s="205">
        <f ca="1">IF(ISERROR(OFFSET(Rame!$A$1,MATCH(J961,Rame!$A:$A,0)-1,MATCH(L961,Rame!$A$1:$AA$1,0)-1)=TRUE),0,OFFSET(Rame!$A$1,MATCH(J961,Rame!$A:$A,0)-1,MATCH(L961,Rame!$A$1:$AA$1,0)-1))*IF(G961="Rame",1,0)</f>
        <v>0</v>
      </c>
      <c r="P961" s="205">
        <v>0</v>
      </c>
      <c r="Q961" s="205">
        <f t="shared" ca="1" si="287"/>
        <v>0</v>
      </c>
      <c r="R961" s="205">
        <f ca="1">+IF(ISERROR(OFFSET(Tabella!$G$1,MATCH(J961,Tabella!$G:$G,0)-1,MATCH(K961,Tabella!$G$1:$FG$1,0)-1)=TRUE),0,OFFSET(Tabella!$G$1,MATCH(J961,Tabella!$G:$G,0)-1,MATCH(K961,Tabella!$G$1:$AB$1,0)-1))</f>
        <v>0</v>
      </c>
      <c r="S961" s="205">
        <f ca="1">IF(ISERROR(OFFSET(Ottone!$F$1,MATCH(J961,Ottone!$A:$A,0)-1,MATCH(K961,Ottone!$F$1:$FF$1,0)-1)=TRUE),0,OFFSET(Ottone!$F$1,MATCH(J961,Ottone!$A:$A,0)-1,MATCH(K961,Ottone!$F$1:$FF$1,0)-1))*IF(G961="Ottone",1,0)</f>
        <v>0</v>
      </c>
      <c r="T961" s="205">
        <f ca="1">IF(ISERROR(OFFSET(Rame!$F$1,MATCH(J961,Rame!$F:$F,0)-1,MATCH(K961,Rame!$F$1:$FF$1,0)-1)=TRUE),0,OFFSET(Rame!$F$1,MATCH(J961,Rame!$F:$F,0)-1,MATCH(K961,Rame!$F$1:$FF$1,0)-1))*IF(G961="Rame",1,0)</f>
        <v>0</v>
      </c>
      <c r="U961" s="205">
        <f ca="1">IF(ISERROR(OFFSET(Bronzo!$A$1,MATCH(J961,Bronzo!$A:$A,0)-1,MATCH(K961,Bronzo!$A$1:$AA$1,0)-1)=TRUE),0,OFFSET(Bronzo!$A$1,MATCH(J961,Bronzo!$A:$A,0)-1,MATCH(K961,Bronzo!$A$1:$AA$1,0)-1))</f>
        <v>0</v>
      </c>
      <c r="V961" s="205">
        <f t="shared" ca="1" si="288"/>
        <v>0</v>
      </c>
      <c r="W961" s="204"/>
      <c r="X961" s="205">
        <v>0</v>
      </c>
      <c r="Y961" s="206">
        <f t="shared" ca="1" si="289"/>
        <v>0</v>
      </c>
      <c r="Z961" s="277">
        <f t="shared" si="290"/>
        <v>0</v>
      </c>
      <c r="AA961" s="203"/>
      <c r="AB961" s="203">
        <f t="shared" ca="1" si="291"/>
        <v>0</v>
      </c>
      <c r="AC961" s="238"/>
      <c r="AI961" s="367">
        <f t="shared" ca="1" si="298"/>
        <v>46092</v>
      </c>
      <c r="AJ961" s="367" t="b">
        <f t="shared" si="292"/>
        <v>1</v>
      </c>
      <c r="AK961" s="370" t="str">
        <f t="shared" si="293"/>
        <v/>
      </c>
      <c r="AN961">
        <f t="shared" si="294"/>
        <v>0</v>
      </c>
      <c r="AO961">
        <f t="shared" si="295"/>
        <v>1900</v>
      </c>
      <c r="AV961">
        <f t="shared" si="296"/>
        <v>0</v>
      </c>
      <c r="AW961">
        <f t="shared" si="297"/>
        <v>0</v>
      </c>
    </row>
    <row r="962" spans="4:49" ht="15.75" x14ac:dyDescent="0.25">
      <c r="D962" s="199"/>
      <c r="E962" s="200"/>
      <c r="F962" s="287"/>
      <c r="G962" s="201"/>
      <c r="H962" s="219"/>
      <c r="I962" s="202"/>
      <c r="J962" s="200"/>
      <c r="K962" s="200"/>
      <c r="L962" s="203"/>
      <c r="M962" s="204">
        <f ca="1">IF(ISERROR(OFFSET(Tabella!$A$1,MATCH(J962,Tabella!$A:$A,0)-1,MATCH(L962,Tabella!$A$1:$AC$1,0)-1)=TRUE),0,+OFFSET(Tabella!$A$1,MATCH(J962,Tabella!$A:$A,0)-1,MATCH(L962,Tabella!$A$1:$AC$1,0)-1))</f>
        <v>0</v>
      </c>
      <c r="N962" s="205">
        <f ca="1">IF(ISERROR(OFFSET(Ottone!$A$1,MATCH(J962,Ottone!$A:$A,0)-1,MATCH(L962,Ottone!$A$1:$Z$1,0)-1)=TRUE),0,OFFSET(Ottone!$A$1,MATCH(J962,Ottone!$A:$A,0)-1,MATCH(L962,Ottone!$A$1:$Z$1,0)-1))*IF(G962="Ottone",1,0)</f>
        <v>0</v>
      </c>
      <c r="O962" s="205">
        <f ca="1">IF(ISERROR(OFFSET(Rame!$A$1,MATCH(J962,Rame!$A:$A,0)-1,MATCH(L962,Rame!$A$1:$AA$1,0)-1)=TRUE),0,OFFSET(Rame!$A$1,MATCH(J962,Rame!$A:$A,0)-1,MATCH(L962,Rame!$A$1:$AA$1,0)-1))*IF(G962="Rame",1,0)</f>
        <v>0</v>
      </c>
      <c r="P962" s="205">
        <v>0</v>
      </c>
      <c r="Q962" s="205">
        <f t="shared" ca="1" si="287"/>
        <v>0</v>
      </c>
      <c r="R962" s="205">
        <f ca="1">+IF(ISERROR(OFFSET(Tabella!$G$1,MATCH(J962,Tabella!$G:$G,0)-1,MATCH(K962,Tabella!$G$1:$FG$1,0)-1)=TRUE),0,OFFSET(Tabella!$G$1,MATCH(J962,Tabella!$G:$G,0)-1,MATCH(K962,Tabella!$G$1:$AB$1,0)-1))</f>
        <v>0</v>
      </c>
      <c r="S962" s="205">
        <f ca="1">IF(ISERROR(OFFSET(Ottone!$F$1,MATCH(J962,Ottone!$A:$A,0)-1,MATCH(K962,Ottone!$F$1:$FF$1,0)-1)=TRUE),0,OFFSET(Ottone!$F$1,MATCH(J962,Ottone!$A:$A,0)-1,MATCH(K962,Ottone!$F$1:$FF$1,0)-1))*IF(G962="Ottone",1,0)</f>
        <v>0</v>
      </c>
      <c r="T962" s="205">
        <f ca="1">IF(ISERROR(OFFSET(Rame!$F$1,MATCH(J962,Rame!$F:$F,0)-1,MATCH(K962,Rame!$F$1:$FF$1,0)-1)=TRUE),0,OFFSET(Rame!$F$1,MATCH(J962,Rame!$F:$F,0)-1,MATCH(K962,Rame!$F$1:$FF$1,0)-1))*IF(G962="Rame",1,0)</f>
        <v>0</v>
      </c>
      <c r="U962" s="205">
        <f ca="1">IF(ISERROR(OFFSET(Bronzo!$A$1,MATCH(J962,Bronzo!$A:$A,0)-1,MATCH(K962,Bronzo!$A$1:$AA$1,0)-1)=TRUE),0,OFFSET(Bronzo!$A$1,MATCH(J962,Bronzo!$A:$A,0)-1,MATCH(K962,Bronzo!$A$1:$AA$1,0)-1))</f>
        <v>0</v>
      </c>
      <c r="V962" s="205">
        <f t="shared" ca="1" si="288"/>
        <v>0</v>
      </c>
      <c r="W962" s="204"/>
      <c r="X962" s="205">
        <v>0</v>
      </c>
      <c r="Y962" s="206">
        <f t="shared" ca="1" si="289"/>
        <v>0</v>
      </c>
      <c r="Z962" s="277">
        <f t="shared" si="290"/>
        <v>0</v>
      </c>
      <c r="AA962" s="203"/>
      <c r="AB962" s="203">
        <f t="shared" ca="1" si="291"/>
        <v>0</v>
      </c>
      <c r="AC962" s="238"/>
      <c r="AI962" s="367">
        <f t="shared" ca="1" si="298"/>
        <v>46092</v>
      </c>
      <c r="AJ962" s="367" t="b">
        <f t="shared" si="292"/>
        <v>1</v>
      </c>
      <c r="AK962" s="370" t="str">
        <f t="shared" si="293"/>
        <v/>
      </c>
      <c r="AN962">
        <f t="shared" si="294"/>
        <v>0</v>
      </c>
      <c r="AO962">
        <f t="shared" si="295"/>
        <v>1900</v>
      </c>
      <c r="AV962">
        <f t="shared" si="296"/>
        <v>0</v>
      </c>
      <c r="AW962">
        <f t="shared" si="297"/>
        <v>0</v>
      </c>
    </row>
    <row r="963" spans="4:49" ht="15.75" x14ac:dyDescent="0.25">
      <c r="D963" s="199"/>
      <c r="E963" s="200"/>
      <c r="F963" s="287"/>
      <c r="G963" s="201"/>
      <c r="H963" s="219"/>
      <c r="I963" s="202"/>
      <c r="J963" s="200"/>
      <c r="K963" s="200"/>
      <c r="L963" s="203"/>
      <c r="M963" s="204">
        <f ca="1">IF(ISERROR(OFFSET(Tabella!$A$1,MATCH(J963,Tabella!$A:$A,0)-1,MATCH(L963,Tabella!$A$1:$AC$1,0)-1)=TRUE),0,+OFFSET(Tabella!$A$1,MATCH(J963,Tabella!$A:$A,0)-1,MATCH(L963,Tabella!$A$1:$AC$1,0)-1))</f>
        <v>0</v>
      </c>
      <c r="N963" s="205">
        <f ca="1">IF(ISERROR(OFFSET(Ottone!$A$1,MATCH(J963,Ottone!$A:$A,0)-1,MATCH(L963,Ottone!$A$1:$Z$1,0)-1)=TRUE),0,OFFSET(Ottone!$A$1,MATCH(J963,Ottone!$A:$A,0)-1,MATCH(L963,Ottone!$A$1:$Z$1,0)-1))*IF(G963="Ottone",1,0)</f>
        <v>0</v>
      </c>
      <c r="O963" s="205">
        <f ca="1">IF(ISERROR(OFFSET(Rame!$A$1,MATCH(J963,Rame!$A:$A,0)-1,MATCH(L963,Rame!$A$1:$AA$1,0)-1)=TRUE),0,OFFSET(Rame!$A$1,MATCH(J963,Rame!$A:$A,0)-1,MATCH(L963,Rame!$A$1:$AA$1,0)-1))*IF(G963="Rame",1,0)</f>
        <v>0</v>
      </c>
      <c r="P963" s="205">
        <v>0</v>
      </c>
      <c r="Q963" s="205">
        <f t="shared" ca="1" si="287"/>
        <v>0</v>
      </c>
      <c r="R963" s="205">
        <f ca="1">+IF(ISERROR(OFFSET(Tabella!$G$1,MATCH(J963,Tabella!$G:$G,0)-1,MATCH(K963,Tabella!$G$1:$FG$1,0)-1)=TRUE),0,OFFSET(Tabella!$G$1,MATCH(J963,Tabella!$G:$G,0)-1,MATCH(K963,Tabella!$G$1:$AB$1,0)-1))</f>
        <v>0</v>
      </c>
      <c r="S963" s="205">
        <f ca="1">IF(ISERROR(OFFSET(Ottone!$F$1,MATCH(J963,Ottone!$A:$A,0)-1,MATCH(K963,Ottone!$F$1:$FF$1,0)-1)=TRUE),0,OFFSET(Ottone!$F$1,MATCH(J963,Ottone!$A:$A,0)-1,MATCH(K963,Ottone!$F$1:$FF$1,0)-1))*IF(G963="Ottone",1,0)</f>
        <v>0</v>
      </c>
      <c r="T963" s="205">
        <f ca="1">IF(ISERROR(OFFSET(Rame!$F$1,MATCH(J963,Rame!$F:$F,0)-1,MATCH(K963,Rame!$F$1:$FF$1,0)-1)=TRUE),0,OFFSET(Rame!$F$1,MATCH(J963,Rame!$F:$F,0)-1,MATCH(K963,Rame!$F$1:$FF$1,0)-1))*IF(G963="Rame",1,0)</f>
        <v>0</v>
      </c>
      <c r="U963" s="205">
        <f ca="1">IF(ISERROR(OFFSET(Bronzo!$A$1,MATCH(J963,Bronzo!$A:$A,0)-1,MATCH(K963,Bronzo!$A$1:$AA$1,0)-1)=TRUE),0,OFFSET(Bronzo!$A$1,MATCH(J963,Bronzo!$A:$A,0)-1,MATCH(K963,Bronzo!$A$1:$AA$1,0)-1))</f>
        <v>0</v>
      </c>
      <c r="V963" s="205">
        <f t="shared" ca="1" si="288"/>
        <v>0</v>
      </c>
      <c r="W963" s="204"/>
      <c r="X963" s="205">
        <v>0</v>
      </c>
      <c r="Y963" s="206">
        <f t="shared" ca="1" si="289"/>
        <v>0</v>
      </c>
      <c r="Z963" s="277">
        <f t="shared" si="290"/>
        <v>0</v>
      </c>
      <c r="AA963" s="203"/>
      <c r="AB963" s="203">
        <f t="shared" ca="1" si="291"/>
        <v>0</v>
      </c>
      <c r="AC963" s="238"/>
      <c r="AI963" s="367">
        <f t="shared" ca="1" si="298"/>
        <v>46092</v>
      </c>
      <c r="AJ963" s="367" t="b">
        <f t="shared" si="292"/>
        <v>1</v>
      </c>
      <c r="AK963" s="370" t="str">
        <f t="shared" si="293"/>
        <v/>
      </c>
      <c r="AN963">
        <f t="shared" si="294"/>
        <v>0</v>
      </c>
      <c r="AO963">
        <f t="shared" si="295"/>
        <v>1900</v>
      </c>
      <c r="AV963">
        <f t="shared" si="296"/>
        <v>0</v>
      </c>
      <c r="AW963">
        <f t="shared" si="297"/>
        <v>0</v>
      </c>
    </row>
    <row r="964" spans="4:49" ht="15.75" x14ac:dyDescent="0.25">
      <c r="D964" s="199"/>
      <c r="E964" s="200"/>
      <c r="F964" s="287"/>
      <c r="G964" s="201"/>
      <c r="H964" s="219"/>
      <c r="I964" s="202"/>
      <c r="J964" s="200"/>
      <c r="K964" s="200"/>
      <c r="L964" s="203"/>
      <c r="M964" s="204">
        <f ca="1">IF(ISERROR(OFFSET(Tabella!$A$1,MATCH(J964,Tabella!$A:$A,0)-1,MATCH(L964,Tabella!$A$1:$AC$1,0)-1)=TRUE),0,+OFFSET(Tabella!$A$1,MATCH(J964,Tabella!$A:$A,0)-1,MATCH(L964,Tabella!$A$1:$AC$1,0)-1))</f>
        <v>0</v>
      </c>
      <c r="N964" s="205">
        <f ca="1">IF(ISERROR(OFFSET(Ottone!$A$1,MATCH(J964,Ottone!$A:$A,0)-1,MATCH(L964,Ottone!$A$1:$Z$1,0)-1)=TRUE),0,OFFSET(Ottone!$A$1,MATCH(J964,Ottone!$A:$A,0)-1,MATCH(L964,Ottone!$A$1:$Z$1,0)-1))*IF(G964="Ottone",1,0)</f>
        <v>0</v>
      </c>
      <c r="O964" s="205">
        <f ca="1">IF(ISERROR(OFFSET(Rame!$A$1,MATCH(J964,Rame!$A:$A,0)-1,MATCH(L964,Rame!$A$1:$AA$1,0)-1)=TRUE),0,OFFSET(Rame!$A$1,MATCH(J964,Rame!$A:$A,0)-1,MATCH(L964,Rame!$A$1:$AA$1,0)-1))*IF(G964="Rame",1,0)</f>
        <v>0</v>
      </c>
      <c r="P964" s="205">
        <v>0</v>
      </c>
      <c r="Q964" s="205">
        <f t="shared" ca="1" si="287"/>
        <v>0</v>
      </c>
      <c r="R964" s="205">
        <f ca="1">+IF(ISERROR(OFFSET(Tabella!$G$1,MATCH(J964,Tabella!$G:$G,0)-1,MATCH(K964,Tabella!$G$1:$FG$1,0)-1)=TRUE),0,OFFSET(Tabella!$G$1,MATCH(J964,Tabella!$G:$G,0)-1,MATCH(K964,Tabella!$G$1:$AB$1,0)-1))</f>
        <v>0</v>
      </c>
      <c r="S964" s="205">
        <f ca="1">IF(ISERROR(OFFSET(Ottone!$F$1,MATCH(J964,Ottone!$A:$A,0)-1,MATCH(K964,Ottone!$F$1:$FF$1,0)-1)=TRUE),0,OFFSET(Ottone!$F$1,MATCH(J964,Ottone!$A:$A,0)-1,MATCH(K964,Ottone!$F$1:$FF$1,0)-1))*IF(G964="Ottone",1,0)</f>
        <v>0</v>
      </c>
      <c r="T964" s="205">
        <f ca="1">IF(ISERROR(OFFSET(Rame!$F$1,MATCH(J964,Rame!$F:$F,0)-1,MATCH(K964,Rame!$F$1:$FF$1,0)-1)=TRUE),0,OFFSET(Rame!$F$1,MATCH(J964,Rame!$F:$F,0)-1,MATCH(K964,Rame!$F$1:$FF$1,0)-1))*IF(G964="Rame",1,0)</f>
        <v>0</v>
      </c>
      <c r="U964" s="205">
        <f ca="1">IF(ISERROR(OFFSET(Bronzo!$A$1,MATCH(J964,Bronzo!$A:$A,0)-1,MATCH(K964,Bronzo!$A$1:$AA$1,0)-1)=TRUE),0,OFFSET(Bronzo!$A$1,MATCH(J964,Bronzo!$A:$A,0)-1,MATCH(K964,Bronzo!$A$1:$AA$1,0)-1))</f>
        <v>0</v>
      </c>
      <c r="V964" s="205">
        <f t="shared" ca="1" si="288"/>
        <v>0</v>
      </c>
      <c r="W964" s="204"/>
      <c r="X964" s="205">
        <v>0</v>
      </c>
      <c r="Y964" s="206">
        <f t="shared" ca="1" si="289"/>
        <v>0</v>
      </c>
      <c r="Z964" s="277">
        <f t="shared" si="290"/>
        <v>0</v>
      </c>
      <c r="AA964" s="203"/>
      <c r="AB964" s="203">
        <f t="shared" ca="1" si="291"/>
        <v>0</v>
      </c>
      <c r="AC964" s="238"/>
      <c r="AI964" s="367">
        <f t="shared" ca="1" si="298"/>
        <v>46092</v>
      </c>
      <c r="AJ964" s="367" t="b">
        <f t="shared" si="292"/>
        <v>1</v>
      </c>
      <c r="AK964" s="370" t="str">
        <f t="shared" si="293"/>
        <v/>
      </c>
      <c r="AN964">
        <f t="shared" si="294"/>
        <v>0</v>
      </c>
      <c r="AO964">
        <f t="shared" si="295"/>
        <v>1900</v>
      </c>
      <c r="AV964">
        <f t="shared" si="296"/>
        <v>0</v>
      </c>
      <c r="AW964">
        <f t="shared" si="297"/>
        <v>0</v>
      </c>
    </row>
    <row r="965" spans="4:49" ht="15.75" x14ac:dyDescent="0.25">
      <c r="D965" s="199"/>
      <c r="E965" s="200"/>
      <c r="F965" s="287"/>
      <c r="G965" s="201"/>
      <c r="H965" s="219"/>
      <c r="I965" s="202"/>
      <c r="J965" s="200"/>
      <c r="K965" s="200"/>
      <c r="L965" s="203"/>
      <c r="M965" s="204">
        <f ca="1">IF(ISERROR(OFFSET(Tabella!$A$1,MATCH(J965,Tabella!$A:$A,0)-1,MATCH(L965,Tabella!$A$1:$AC$1,0)-1)=TRUE),0,+OFFSET(Tabella!$A$1,MATCH(J965,Tabella!$A:$A,0)-1,MATCH(L965,Tabella!$A$1:$AC$1,0)-1))</f>
        <v>0</v>
      </c>
      <c r="N965" s="205">
        <f ca="1">IF(ISERROR(OFFSET(Ottone!$A$1,MATCH(J965,Ottone!$A:$A,0)-1,MATCH(L965,Ottone!$A$1:$Z$1,0)-1)=TRUE),0,OFFSET(Ottone!$A$1,MATCH(J965,Ottone!$A:$A,0)-1,MATCH(L965,Ottone!$A$1:$Z$1,0)-1))*IF(G965="Ottone",1,0)</f>
        <v>0</v>
      </c>
      <c r="O965" s="205">
        <f ca="1">IF(ISERROR(OFFSET(Rame!$A$1,MATCH(J965,Rame!$A:$A,0)-1,MATCH(L965,Rame!$A$1:$AA$1,0)-1)=TRUE),0,OFFSET(Rame!$A$1,MATCH(J965,Rame!$A:$A,0)-1,MATCH(L965,Rame!$A$1:$AA$1,0)-1))*IF(G965="Rame",1,0)</f>
        <v>0</v>
      </c>
      <c r="P965" s="205">
        <v>0</v>
      </c>
      <c r="Q965" s="205">
        <f t="shared" ca="1" si="287"/>
        <v>0</v>
      </c>
      <c r="R965" s="205">
        <f ca="1">+IF(ISERROR(OFFSET(Tabella!$G$1,MATCH(J965,Tabella!$G:$G,0)-1,MATCH(K965,Tabella!$G$1:$FG$1,0)-1)=TRUE),0,OFFSET(Tabella!$G$1,MATCH(J965,Tabella!$G:$G,0)-1,MATCH(K965,Tabella!$G$1:$AB$1,0)-1))</f>
        <v>0</v>
      </c>
      <c r="S965" s="205">
        <f ca="1">IF(ISERROR(OFFSET(Ottone!$F$1,MATCH(J965,Ottone!$A:$A,0)-1,MATCH(K965,Ottone!$F$1:$FF$1,0)-1)=TRUE),0,OFFSET(Ottone!$F$1,MATCH(J965,Ottone!$A:$A,0)-1,MATCH(K965,Ottone!$F$1:$FF$1,0)-1))*IF(G965="Ottone",1,0)</f>
        <v>0</v>
      </c>
      <c r="T965" s="205">
        <f ca="1">IF(ISERROR(OFFSET(Rame!$F$1,MATCH(J965,Rame!$F:$F,0)-1,MATCH(K965,Rame!$F$1:$FF$1,0)-1)=TRUE),0,OFFSET(Rame!$F$1,MATCH(J965,Rame!$F:$F,0)-1,MATCH(K965,Rame!$F$1:$FF$1,0)-1))*IF(G965="Rame",1,0)</f>
        <v>0</v>
      </c>
      <c r="U965" s="205">
        <f ca="1">IF(ISERROR(OFFSET(Bronzo!$A$1,MATCH(J965,Bronzo!$A:$A,0)-1,MATCH(K965,Bronzo!$A$1:$AA$1,0)-1)=TRUE),0,OFFSET(Bronzo!$A$1,MATCH(J965,Bronzo!$A:$A,0)-1,MATCH(K965,Bronzo!$A$1:$AA$1,0)-1))</f>
        <v>0</v>
      </c>
      <c r="V965" s="205">
        <f t="shared" ca="1" si="288"/>
        <v>0</v>
      </c>
      <c r="W965" s="204"/>
      <c r="X965" s="205">
        <v>0</v>
      </c>
      <c r="Y965" s="206">
        <f t="shared" ca="1" si="289"/>
        <v>0</v>
      </c>
      <c r="Z965" s="277">
        <f t="shared" si="290"/>
        <v>0</v>
      </c>
      <c r="AA965" s="203"/>
      <c r="AB965" s="203">
        <f t="shared" ca="1" si="291"/>
        <v>0</v>
      </c>
      <c r="AC965" s="238"/>
      <c r="AI965" s="367">
        <f t="shared" ca="1" si="298"/>
        <v>46092</v>
      </c>
      <c r="AJ965" s="367" t="b">
        <f t="shared" si="292"/>
        <v>1</v>
      </c>
      <c r="AK965" s="370" t="str">
        <f t="shared" si="293"/>
        <v/>
      </c>
      <c r="AN965">
        <f t="shared" si="294"/>
        <v>0</v>
      </c>
      <c r="AO965">
        <f t="shared" si="295"/>
        <v>1900</v>
      </c>
      <c r="AV965">
        <f t="shared" si="296"/>
        <v>0</v>
      </c>
      <c r="AW965">
        <f t="shared" si="297"/>
        <v>0</v>
      </c>
    </row>
    <row r="966" spans="4:49" ht="15.75" x14ac:dyDescent="0.25">
      <c r="D966" s="199"/>
      <c r="E966" s="200"/>
      <c r="F966" s="287"/>
      <c r="G966" s="201"/>
      <c r="H966" s="219"/>
      <c r="I966" s="202"/>
      <c r="J966" s="200"/>
      <c r="K966" s="200"/>
      <c r="L966" s="203"/>
      <c r="M966" s="204">
        <f ca="1">IF(ISERROR(OFFSET(Tabella!$A$1,MATCH(J966,Tabella!$A:$A,0)-1,MATCH(L966,Tabella!$A$1:$AC$1,0)-1)=TRUE),0,+OFFSET(Tabella!$A$1,MATCH(J966,Tabella!$A:$A,0)-1,MATCH(L966,Tabella!$A$1:$AC$1,0)-1))</f>
        <v>0</v>
      </c>
      <c r="N966" s="205">
        <f ca="1">IF(ISERROR(OFFSET(Ottone!$A$1,MATCH(J966,Ottone!$A:$A,0)-1,MATCH(L966,Ottone!$A$1:$Z$1,0)-1)=TRUE),0,OFFSET(Ottone!$A$1,MATCH(J966,Ottone!$A:$A,0)-1,MATCH(L966,Ottone!$A$1:$Z$1,0)-1))*IF(G966="Ottone",1,0)</f>
        <v>0</v>
      </c>
      <c r="O966" s="205">
        <f ca="1">IF(ISERROR(OFFSET(Rame!$A$1,MATCH(J966,Rame!$A:$A,0)-1,MATCH(L966,Rame!$A$1:$AA$1,0)-1)=TRUE),0,OFFSET(Rame!$A$1,MATCH(J966,Rame!$A:$A,0)-1,MATCH(L966,Rame!$A$1:$AA$1,0)-1))*IF(G966="Rame",1,0)</f>
        <v>0</v>
      </c>
      <c r="P966" s="205">
        <v>0</v>
      </c>
      <c r="Q966" s="205">
        <f t="shared" ca="1" si="287"/>
        <v>0</v>
      </c>
      <c r="R966" s="205">
        <f ca="1">+IF(ISERROR(OFFSET(Tabella!$G$1,MATCH(J966,Tabella!$G:$G,0)-1,MATCH(K966,Tabella!$G$1:$FG$1,0)-1)=TRUE),0,OFFSET(Tabella!$G$1,MATCH(J966,Tabella!$G:$G,0)-1,MATCH(K966,Tabella!$G$1:$AB$1,0)-1))</f>
        <v>0</v>
      </c>
      <c r="S966" s="205">
        <f ca="1">IF(ISERROR(OFFSET(Ottone!$F$1,MATCH(J966,Ottone!$A:$A,0)-1,MATCH(K966,Ottone!$F$1:$FF$1,0)-1)=TRUE),0,OFFSET(Ottone!$F$1,MATCH(J966,Ottone!$A:$A,0)-1,MATCH(K966,Ottone!$F$1:$FF$1,0)-1))*IF(G966="Ottone",1,0)</f>
        <v>0</v>
      </c>
      <c r="T966" s="205">
        <f ca="1">IF(ISERROR(OFFSET(Rame!$F$1,MATCH(J966,Rame!$F:$F,0)-1,MATCH(K966,Rame!$F$1:$FF$1,0)-1)=TRUE),0,OFFSET(Rame!$F$1,MATCH(J966,Rame!$F:$F,0)-1,MATCH(K966,Rame!$F$1:$FF$1,0)-1))*IF(G966="Rame",1,0)</f>
        <v>0</v>
      </c>
      <c r="U966" s="205">
        <f ca="1">IF(ISERROR(OFFSET(Bronzo!$A$1,MATCH(J966,Bronzo!$A:$A,0)-1,MATCH(K966,Bronzo!$A$1:$AA$1,0)-1)=TRUE),0,OFFSET(Bronzo!$A$1,MATCH(J966,Bronzo!$A:$A,0)-1,MATCH(K966,Bronzo!$A$1:$AA$1,0)-1))</f>
        <v>0</v>
      </c>
      <c r="V966" s="205">
        <f t="shared" ca="1" si="288"/>
        <v>0</v>
      </c>
      <c r="W966" s="204"/>
      <c r="X966" s="205">
        <v>0</v>
      </c>
      <c r="Y966" s="206">
        <f t="shared" ca="1" si="289"/>
        <v>0</v>
      </c>
      <c r="Z966" s="277">
        <f t="shared" si="290"/>
        <v>0</v>
      </c>
      <c r="AA966" s="203"/>
      <c r="AB966" s="203">
        <f t="shared" ca="1" si="291"/>
        <v>0</v>
      </c>
      <c r="AC966" s="238"/>
      <c r="AI966" s="367">
        <f t="shared" ca="1" si="298"/>
        <v>46092</v>
      </c>
      <c r="AJ966" s="367" t="b">
        <f t="shared" si="292"/>
        <v>1</v>
      </c>
      <c r="AK966" s="370" t="str">
        <f t="shared" si="293"/>
        <v/>
      </c>
      <c r="AN966">
        <f t="shared" si="294"/>
        <v>0</v>
      </c>
      <c r="AO966">
        <f t="shared" si="295"/>
        <v>1900</v>
      </c>
      <c r="AV966">
        <f t="shared" si="296"/>
        <v>0</v>
      </c>
      <c r="AW966">
        <f t="shared" si="297"/>
        <v>0</v>
      </c>
    </row>
    <row r="967" spans="4:49" ht="15.75" x14ac:dyDescent="0.25">
      <c r="D967" s="199"/>
      <c r="E967" s="200"/>
      <c r="F967" s="287"/>
      <c r="G967" s="201"/>
      <c r="H967" s="219"/>
      <c r="I967" s="202"/>
      <c r="J967" s="200"/>
      <c r="K967" s="200"/>
      <c r="L967" s="203"/>
      <c r="M967" s="204">
        <f ca="1">IF(ISERROR(OFFSET(Tabella!$A$1,MATCH(J967,Tabella!$A:$A,0)-1,MATCH(L967,Tabella!$A$1:$AC$1,0)-1)=TRUE),0,+OFFSET(Tabella!$A$1,MATCH(J967,Tabella!$A:$A,0)-1,MATCH(L967,Tabella!$A$1:$AC$1,0)-1))</f>
        <v>0</v>
      </c>
      <c r="N967" s="205">
        <f ca="1">IF(ISERROR(OFFSET(Ottone!$A$1,MATCH(J967,Ottone!$A:$A,0)-1,MATCH(L967,Ottone!$A$1:$Z$1,0)-1)=TRUE),0,OFFSET(Ottone!$A$1,MATCH(J967,Ottone!$A:$A,0)-1,MATCH(L967,Ottone!$A$1:$Z$1,0)-1))*IF(G967="Ottone",1,0)</f>
        <v>0</v>
      </c>
      <c r="O967" s="205">
        <f ca="1">IF(ISERROR(OFFSET(Rame!$A$1,MATCH(J967,Rame!$A:$A,0)-1,MATCH(L967,Rame!$A$1:$AA$1,0)-1)=TRUE),0,OFFSET(Rame!$A$1,MATCH(J967,Rame!$A:$A,0)-1,MATCH(L967,Rame!$A$1:$AA$1,0)-1))*IF(G967="Rame",1,0)</f>
        <v>0</v>
      </c>
      <c r="P967" s="205">
        <v>0</v>
      </c>
      <c r="Q967" s="205">
        <f t="shared" ca="1" si="287"/>
        <v>0</v>
      </c>
      <c r="R967" s="205">
        <f ca="1">+IF(ISERROR(OFFSET(Tabella!$G$1,MATCH(J967,Tabella!$G:$G,0)-1,MATCH(K967,Tabella!$G$1:$FG$1,0)-1)=TRUE),0,OFFSET(Tabella!$G$1,MATCH(J967,Tabella!$G:$G,0)-1,MATCH(K967,Tabella!$G$1:$AB$1,0)-1))</f>
        <v>0</v>
      </c>
      <c r="S967" s="205">
        <f ca="1">IF(ISERROR(OFFSET(Ottone!$F$1,MATCH(J967,Ottone!$A:$A,0)-1,MATCH(K967,Ottone!$F$1:$FF$1,0)-1)=TRUE),0,OFFSET(Ottone!$F$1,MATCH(J967,Ottone!$A:$A,0)-1,MATCH(K967,Ottone!$F$1:$FF$1,0)-1))*IF(G967="Ottone",1,0)</f>
        <v>0</v>
      </c>
      <c r="T967" s="205">
        <f ca="1">IF(ISERROR(OFFSET(Rame!$F$1,MATCH(J967,Rame!$F:$F,0)-1,MATCH(K967,Rame!$F$1:$FF$1,0)-1)=TRUE),0,OFFSET(Rame!$F$1,MATCH(J967,Rame!$F:$F,0)-1,MATCH(K967,Rame!$F$1:$FF$1,0)-1))*IF(G967="Rame",1,0)</f>
        <v>0</v>
      </c>
      <c r="U967" s="205">
        <f ca="1">IF(ISERROR(OFFSET(Bronzo!$A$1,MATCH(J967,Bronzo!$A:$A,0)-1,MATCH(K967,Bronzo!$A$1:$AA$1,0)-1)=TRUE),0,OFFSET(Bronzo!$A$1,MATCH(J967,Bronzo!$A:$A,0)-1,MATCH(K967,Bronzo!$A$1:$AA$1,0)-1))</f>
        <v>0</v>
      </c>
      <c r="V967" s="205">
        <f t="shared" ca="1" si="288"/>
        <v>0</v>
      </c>
      <c r="W967" s="204"/>
      <c r="X967" s="205">
        <v>0</v>
      </c>
      <c r="Y967" s="206">
        <f t="shared" ca="1" si="289"/>
        <v>0</v>
      </c>
      <c r="Z967" s="277">
        <f t="shared" si="290"/>
        <v>0</v>
      </c>
      <c r="AA967" s="203"/>
      <c r="AB967" s="203">
        <f t="shared" ca="1" si="291"/>
        <v>0</v>
      </c>
      <c r="AC967" s="238"/>
      <c r="AI967" s="367">
        <f t="shared" ca="1" si="298"/>
        <v>46092</v>
      </c>
      <c r="AJ967" s="367" t="b">
        <f t="shared" si="292"/>
        <v>1</v>
      </c>
      <c r="AK967" s="370" t="str">
        <f t="shared" si="293"/>
        <v/>
      </c>
      <c r="AN967">
        <f t="shared" si="294"/>
        <v>0</v>
      </c>
      <c r="AO967">
        <f t="shared" si="295"/>
        <v>1900</v>
      </c>
      <c r="AV967">
        <f t="shared" si="296"/>
        <v>0</v>
      </c>
      <c r="AW967">
        <f t="shared" si="297"/>
        <v>0</v>
      </c>
    </row>
    <row r="968" spans="4:49" ht="15.75" x14ac:dyDescent="0.25">
      <c r="D968" s="199"/>
      <c r="E968" s="200"/>
      <c r="F968" s="287"/>
      <c r="G968" s="201"/>
      <c r="H968" s="219"/>
      <c r="I968" s="202"/>
      <c r="J968" s="200"/>
      <c r="K968" s="200"/>
      <c r="L968" s="203"/>
      <c r="M968" s="204">
        <f ca="1">IF(ISERROR(OFFSET(Tabella!$A$1,MATCH(J968,Tabella!$A:$A,0)-1,MATCH(L968,Tabella!$A$1:$AC$1,0)-1)=TRUE),0,+OFFSET(Tabella!$A$1,MATCH(J968,Tabella!$A:$A,0)-1,MATCH(L968,Tabella!$A$1:$AC$1,0)-1))</f>
        <v>0</v>
      </c>
      <c r="N968" s="205">
        <f ca="1">IF(ISERROR(OFFSET(Ottone!$A$1,MATCH(J968,Ottone!$A:$A,0)-1,MATCH(L968,Ottone!$A$1:$Z$1,0)-1)=TRUE),0,OFFSET(Ottone!$A$1,MATCH(J968,Ottone!$A:$A,0)-1,MATCH(L968,Ottone!$A$1:$Z$1,0)-1))*IF(G968="Ottone",1,0)</f>
        <v>0</v>
      </c>
      <c r="O968" s="205">
        <f ca="1">IF(ISERROR(OFFSET(Rame!$A$1,MATCH(J968,Rame!$A:$A,0)-1,MATCH(L968,Rame!$A$1:$AA$1,0)-1)=TRUE),0,OFFSET(Rame!$A$1,MATCH(J968,Rame!$A:$A,0)-1,MATCH(L968,Rame!$A$1:$AA$1,0)-1))*IF(G968="Rame",1,0)</f>
        <v>0</v>
      </c>
      <c r="P968" s="205">
        <v>0</v>
      </c>
      <c r="Q968" s="205">
        <f t="shared" ca="1" si="287"/>
        <v>0</v>
      </c>
      <c r="R968" s="205">
        <f ca="1">+IF(ISERROR(OFFSET(Tabella!$G$1,MATCH(J968,Tabella!$G:$G,0)-1,MATCH(K968,Tabella!$G$1:$FG$1,0)-1)=TRUE),0,OFFSET(Tabella!$G$1,MATCH(J968,Tabella!$G:$G,0)-1,MATCH(K968,Tabella!$G$1:$AB$1,0)-1))</f>
        <v>0</v>
      </c>
      <c r="S968" s="205">
        <f ca="1">IF(ISERROR(OFFSET(Ottone!$F$1,MATCH(J968,Ottone!$A:$A,0)-1,MATCH(K968,Ottone!$F$1:$FF$1,0)-1)=TRUE),0,OFFSET(Ottone!$F$1,MATCH(J968,Ottone!$A:$A,0)-1,MATCH(K968,Ottone!$F$1:$FF$1,0)-1))*IF(G968="Ottone",1,0)</f>
        <v>0</v>
      </c>
      <c r="T968" s="205">
        <f ca="1">IF(ISERROR(OFFSET(Rame!$F$1,MATCH(J968,Rame!$F:$F,0)-1,MATCH(K968,Rame!$F$1:$FF$1,0)-1)=TRUE),0,OFFSET(Rame!$F$1,MATCH(J968,Rame!$F:$F,0)-1,MATCH(K968,Rame!$F$1:$FF$1,0)-1))*IF(G968="Rame",1,0)</f>
        <v>0</v>
      </c>
      <c r="U968" s="205">
        <f ca="1">IF(ISERROR(OFFSET(Bronzo!$A$1,MATCH(J968,Bronzo!$A:$A,0)-1,MATCH(K968,Bronzo!$A$1:$AA$1,0)-1)=TRUE),0,OFFSET(Bronzo!$A$1,MATCH(J968,Bronzo!$A:$A,0)-1,MATCH(K968,Bronzo!$A$1:$AA$1,0)-1))</f>
        <v>0</v>
      </c>
      <c r="V968" s="205">
        <f t="shared" ca="1" si="288"/>
        <v>0</v>
      </c>
      <c r="W968" s="204"/>
      <c r="X968" s="205">
        <v>0</v>
      </c>
      <c r="Y968" s="206">
        <f t="shared" ca="1" si="289"/>
        <v>0</v>
      </c>
      <c r="Z968" s="277">
        <f t="shared" si="290"/>
        <v>0</v>
      </c>
      <c r="AA968" s="203"/>
      <c r="AB968" s="203">
        <f t="shared" ca="1" si="291"/>
        <v>0</v>
      </c>
      <c r="AC968" s="238"/>
      <c r="AI968" s="367">
        <f t="shared" ca="1" si="298"/>
        <v>46092</v>
      </c>
      <c r="AJ968" s="367" t="b">
        <f t="shared" si="292"/>
        <v>1</v>
      </c>
      <c r="AK968" s="370" t="str">
        <f t="shared" si="293"/>
        <v/>
      </c>
      <c r="AN968">
        <f t="shared" si="294"/>
        <v>0</v>
      </c>
      <c r="AO968">
        <f t="shared" si="295"/>
        <v>1900</v>
      </c>
      <c r="AV968">
        <f t="shared" si="296"/>
        <v>0</v>
      </c>
      <c r="AW968">
        <f t="shared" si="297"/>
        <v>0</v>
      </c>
    </row>
    <row r="969" spans="4:49" ht="15.75" x14ac:dyDescent="0.25">
      <c r="D969" s="199"/>
      <c r="E969" s="200"/>
      <c r="F969" s="287"/>
      <c r="G969" s="201"/>
      <c r="H969" s="219"/>
      <c r="I969" s="202"/>
      <c r="J969" s="200"/>
      <c r="K969" s="200"/>
      <c r="L969" s="203"/>
      <c r="M969" s="204">
        <f ca="1">IF(ISERROR(OFFSET(Tabella!$A$1,MATCH(J969,Tabella!$A:$A,0)-1,MATCH(L969,Tabella!$A$1:$AC$1,0)-1)=TRUE),0,+OFFSET(Tabella!$A$1,MATCH(J969,Tabella!$A:$A,0)-1,MATCH(L969,Tabella!$A$1:$AC$1,0)-1))</f>
        <v>0</v>
      </c>
      <c r="N969" s="205">
        <f ca="1">IF(ISERROR(OFFSET(Ottone!$A$1,MATCH(J969,Ottone!$A:$A,0)-1,MATCH(L969,Ottone!$A$1:$Z$1,0)-1)=TRUE),0,OFFSET(Ottone!$A$1,MATCH(J969,Ottone!$A:$A,0)-1,MATCH(L969,Ottone!$A$1:$Z$1,0)-1))*IF(G969="Ottone",1,0)</f>
        <v>0</v>
      </c>
      <c r="O969" s="205">
        <f ca="1">IF(ISERROR(OFFSET(Rame!$A$1,MATCH(J969,Rame!$A:$A,0)-1,MATCH(L969,Rame!$A$1:$AA$1,0)-1)=TRUE),0,OFFSET(Rame!$A$1,MATCH(J969,Rame!$A:$A,0)-1,MATCH(L969,Rame!$A$1:$AA$1,0)-1))*IF(G969="Rame",1,0)</f>
        <v>0</v>
      </c>
      <c r="P969" s="205">
        <v>0</v>
      </c>
      <c r="Q969" s="205">
        <f t="shared" ca="1" si="287"/>
        <v>0</v>
      </c>
      <c r="R969" s="205">
        <f ca="1">+IF(ISERROR(OFFSET(Tabella!$G$1,MATCH(J969,Tabella!$G:$G,0)-1,MATCH(K969,Tabella!$G$1:$FG$1,0)-1)=TRUE),0,OFFSET(Tabella!$G$1,MATCH(J969,Tabella!$G:$G,0)-1,MATCH(K969,Tabella!$G$1:$AB$1,0)-1))</f>
        <v>0</v>
      </c>
      <c r="S969" s="205">
        <f ca="1">IF(ISERROR(OFFSET(Ottone!$F$1,MATCH(J969,Ottone!$A:$A,0)-1,MATCH(K969,Ottone!$F$1:$FF$1,0)-1)=TRUE),0,OFFSET(Ottone!$F$1,MATCH(J969,Ottone!$A:$A,0)-1,MATCH(K969,Ottone!$F$1:$FF$1,0)-1))*IF(G969="Ottone",1,0)</f>
        <v>0</v>
      </c>
      <c r="T969" s="205">
        <f ca="1">IF(ISERROR(OFFSET(Rame!$F$1,MATCH(J969,Rame!$F:$F,0)-1,MATCH(K969,Rame!$F$1:$FF$1,0)-1)=TRUE),0,OFFSET(Rame!$F$1,MATCH(J969,Rame!$F:$F,0)-1,MATCH(K969,Rame!$F$1:$FF$1,0)-1))*IF(G969="Rame",1,0)</f>
        <v>0</v>
      </c>
      <c r="U969" s="205">
        <f ca="1">IF(ISERROR(OFFSET(Bronzo!$A$1,MATCH(J969,Bronzo!$A:$A,0)-1,MATCH(K969,Bronzo!$A$1:$AA$1,0)-1)=TRUE),0,OFFSET(Bronzo!$A$1,MATCH(J969,Bronzo!$A:$A,0)-1,MATCH(K969,Bronzo!$A$1:$AA$1,0)-1))</f>
        <v>0</v>
      </c>
      <c r="V969" s="205">
        <f t="shared" ca="1" si="288"/>
        <v>0</v>
      </c>
      <c r="W969" s="204"/>
      <c r="X969" s="205">
        <v>0</v>
      </c>
      <c r="Y969" s="206">
        <f t="shared" ca="1" si="289"/>
        <v>0</v>
      </c>
      <c r="Z969" s="277">
        <f t="shared" si="290"/>
        <v>0</v>
      </c>
      <c r="AA969" s="203"/>
      <c r="AB969" s="203">
        <f t="shared" ca="1" si="291"/>
        <v>0</v>
      </c>
      <c r="AC969" s="238"/>
      <c r="AI969" s="367">
        <f t="shared" ca="1" si="298"/>
        <v>46092</v>
      </c>
      <c r="AJ969" s="367" t="b">
        <f t="shared" si="292"/>
        <v>1</v>
      </c>
      <c r="AK969" s="370" t="str">
        <f t="shared" si="293"/>
        <v/>
      </c>
      <c r="AN969">
        <f t="shared" si="294"/>
        <v>0</v>
      </c>
      <c r="AO969">
        <f t="shared" si="295"/>
        <v>1900</v>
      </c>
      <c r="AV969">
        <f t="shared" si="296"/>
        <v>0</v>
      </c>
      <c r="AW969">
        <f t="shared" si="297"/>
        <v>0</v>
      </c>
    </row>
    <row r="970" spans="4:49" ht="15.75" x14ac:dyDescent="0.25">
      <c r="D970" s="199"/>
      <c r="E970" s="200"/>
      <c r="F970" s="287"/>
      <c r="G970" s="201"/>
      <c r="H970" s="219"/>
      <c r="I970" s="202"/>
      <c r="J970" s="200"/>
      <c r="K970" s="200"/>
      <c r="L970" s="203"/>
      <c r="M970" s="204">
        <f ca="1">IF(ISERROR(OFFSET(Tabella!$A$1,MATCH(J970,Tabella!$A:$A,0)-1,MATCH(L970,Tabella!$A$1:$AC$1,0)-1)=TRUE),0,+OFFSET(Tabella!$A$1,MATCH(J970,Tabella!$A:$A,0)-1,MATCH(L970,Tabella!$A$1:$AC$1,0)-1))</f>
        <v>0</v>
      </c>
      <c r="N970" s="205">
        <f ca="1">IF(ISERROR(OFFSET(Ottone!$A$1,MATCH(J970,Ottone!$A:$A,0)-1,MATCH(L970,Ottone!$A$1:$Z$1,0)-1)=TRUE),0,OFFSET(Ottone!$A$1,MATCH(J970,Ottone!$A:$A,0)-1,MATCH(L970,Ottone!$A$1:$Z$1,0)-1))*IF(G970="Ottone",1,0)</f>
        <v>0</v>
      </c>
      <c r="O970" s="205">
        <f ca="1">IF(ISERROR(OFFSET(Rame!$A$1,MATCH(J970,Rame!$A:$A,0)-1,MATCH(L970,Rame!$A$1:$AA$1,0)-1)=TRUE),0,OFFSET(Rame!$A$1,MATCH(J970,Rame!$A:$A,0)-1,MATCH(L970,Rame!$A$1:$AA$1,0)-1))*IF(G970="Rame",1,0)</f>
        <v>0</v>
      </c>
      <c r="P970" s="205">
        <v>0</v>
      </c>
      <c r="Q970" s="205">
        <f t="shared" ca="1" si="287"/>
        <v>0</v>
      </c>
      <c r="R970" s="205">
        <f ca="1">+IF(ISERROR(OFFSET(Tabella!$G$1,MATCH(J970,Tabella!$G:$G,0)-1,MATCH(K970,Tabella!$G$1:$FG$1,0)-1)=TRUE),0,OFFSET(Tabella!$G$1,MATCH(J970,Tabella!$G:$G,0)-1,MATCH(K970,Tabella!$G$1:$AB$1,0)-1))</f>
        <v>0</v>
      </c>
      <c r="S970" s="205">
        <f ca="1">IF(ISERROR(OFFSET(Ottone!$F$1,MATCH(J970,Ottone!$A:$A,0)-1,MATCH(K970,Ottone!$F$1:$FF$1,0)-1)=TRUE),0,OFFSET(Ottone!$F$1,MATCH(J970,Ottone!$A:$A,0)-1,MATCH(K970,Ottone!$F$1:$FF$1,0)-1))*IF(G970="Ottone",1,0)</f>
        <v>0</v>
      </c>
      <c r="T970" s="205">
        <f ca="1">IF(ISERROR(OFFSET(Rame!$F$1,MATCH(J970,Rame!$F:$F,0)-1,MATCH(K970,Rame!$F$1:$FF$1,0)-1)=TRUE),0,OFFSET(Rame!$F$1,MATCH(J970,Rame!$F:$F,0)-1,MATCH(K970,Rame!$F$1:$FF$1,0)-1))*IF(G970="Rame",1,0)</f>
        <v>0</v>
      </c>
      <c r="U970" s="205">
        <f ca="1">IF(ISERROR(OFFSET(Bronzo!$A$1,MATCH(J970,Bronzo!$A:$A,0)-1,MATCH(K970,Bronzo!$A$1:$AA$1,0)-1)=TRUE),0,OFFSET(Bronzo!$A$1,MATCH(J970,Bronzo!$A:$A,0)-1,MATCH(K970,Bronzo!$A$1:$AA$1,0)-1))</f>
        <v>0</v>
      </c>
      <c r="V970" s="205">
        <f t="shared" ca="1" si="288"/>
        <v>0</v>
      </c>
      <c r="W970" s="204"/>
      <c r="X970" s="205">
        <v>0</v>
      </c>
      <c r="Y970" s="206">
        <f t="shared" ca="1" si="289"/>
        <v>0</v>
      </c>
      <c r="Z970" s="277">
        <f t="shared" si="290"/>
        <v>0</v>
      </c>
      <c r="AA970" s="203"/>
      <c r="AB970" s="203">
        <f t="shared" ca="1" si="291"/>
        <v>0</v>
      </c>
      <c r="AC970" s="238"/>
      <c r="AI970" s="367">
        <f t="shared" ca="1" si="298"/>
        <v>46092</v>
      </c>
      <c r="AJ970" s="367" t="b">
        <f t="shared" si="292"/>
        <v>1</v>
      </c>
      <c r="AK970" s="370" t="str">
        <f t="shared" si="293"/>
        <v/>
      </c>
      <c r="AN970">
        <f t="shared" si="294"/>
        <v>0</v>
      </c>
      <c r="AO970">
        <f t="shared" si="295"/>
        <v>1900</v>
      </c>
      <c r="AV970">
        <f t="shared" si="296"/>
        <v>0</v>
      </c>
      <c r="AW970">
        <f t="shared" si="297"/>
        <v>0</v>
      </c>
    </row>
    <row r="971" spans="4:49" ht="15.75" x14ac:dyDescent="0.25">
      <c r="D971" s="199"/>
      <c r="E971" s="200"/>
      <c r="F971" s="287"/>
      <c r="G971" s="201"/>
      <c r="H971" s="219"/>
      <c r="I971" s="202"/>
      <c r="J971" s="200"/>
      <c r="K971" s="200"/>
      <c r="L971" s="203"/>
      <c r="M971" s="204">
        <f ca="1">IF(ISERROR(OFFSET(Tabella!$A$1,MATCH(J971,Tabella!$A:$A,0)-1,MATCH(L971,Tabella!$A$1:$AC$1,0)-1)=TRUE),0,+OFFSET(Tabella!$A$1,MATCH(J971,Tabella!$A:$A,0)-1,MATCH(L971,Tabella!$A$1:$AC$1,0)-1))</f>
        <v>0</v>
      </c>
      <c r="N971" s="205">
        <f ca="1">IF(ISERROR(OFFSET(Ottone!$A$1,MATCH(J971,Ottone!$A:$A,0)-1,MATCH(L971,Ottone!$A$1:$Z$1,0)-1)=TRUE),0,OFFSET(Ottone!$A$1,MATCH(J971,Ottone!$A:$A,0)-1,MATCH(L971,Ottone!$A$1:$Z$1,0)-1))*IF(G971="Ottone",1,0)</f>
        <v>0</v>
      </c>
      <c r="O971" s="205">
        <f ca="1">IF(ISERROR(OFFSET(Rame!$A$1,MATCH(J971,Rame!$A:$A,0)-1,MATCH(L971,Rame!$A$1:$AA$1,0)-1)=TRUE),0,OFFSET(Rame!$A$1,MATCH(J971,Rame!$A:$A,0)-1,MATCH(L971,Rame!$A$1:$AA$1,0)-1))*IF(G971="Rame",1,0)</f>
        <v>0</v>
      </c>
      <c r="P971" s="205">
        <v>0</v>
      </c>
      <c r="Q971" s="205">
        <f t="shared" ca="1" si="287"/>
        <v>0</v>
      </c>
      <c r="R971" s="205">
        <f ca="1">+IF(ISERROR(OFFSET(Tabella!$G$1,MATCH(J971,Tabella!$G:$G,0)-1,MATCH(K971,Tabella!$G$1:$FG$1,0)-1)=TRUE),0,OFFSET(Tabella!$G$1,MATCH(J971,Tabella!$G:$G,0)-1,MATCH(K971,Tabella!$G$1:$AB$1,0)-1))</f>
        <v>0</v>
      </c>
      <c r="S971" s="205">
        <f ca="1">IF(ISERROR(OFFSET(Ottone!$F$1,MATCH(J971,Ottone!$A:$A,0)-1,MATCH(K971,Ottone!$F$1:$FF$1,0)-1)=TRUE),0,OFFSET(Ottone!$F$1,MATCH(J971,Ottone!$A:$A,0)-1,MATCH(K971,Ottone!$F$1:$FF$1,0)-1))*IF(G971="Ottone",1,0)</f>
        <v>0</v>
      </c>
      <c r="T971" s="205">
        <f ca="1">IF(ISERROR(OFFSET(Rame!$F$1,MATCH(J971,Rame!$F:$F,0)-1,MATCH(K971,Rame!$F$1:$FF$1,0)-1)=TRUE),0,OFFSET(Rame!$F$1,MATCH(J971,Rame!$F:$F,0)-1,MATCH(K971,Rame!$F$1:$FF$1,0)-1))*IF(G971="Rame",1,0)</f>
        <v>0</v>
      </c>
      <c r="U971" s="205">
        <f ca="1">IF(ISERROR(OFFSET(Bronzo!$A$1,MATCH(J971,Bronzo!$A:$A,0)-1,MATCH(K971,Bronzo!$A$1:$AA$1,0)-1)=TRUE),0,OFFSET(Bronzo!$A$1,MATCH(J971,Bronzo!$A:$A,0)-1,MATCH(K971,Bronzo!$A$1:$AA$1,0)-1))</f>
        <v>0</v>
      </c>
      <c r="V971" s="205">
        <f t="shared" ca="1" si="288"/>
        <v>0</v>
      </c>
      <c r="W971" s="204"/>
      <c r="X971" s="205">
        <v>0</v>
      </c>
      <c r="Y971" s="206">
        <f t="shared" ca="1" si="289"/>
        <v>0</v>
      </c>
      <c r="Z971" s="277">
        <f t="shared" si="290"/>
        <v>0</v>
      </c>
      <c r="AA971" s="203"/>
      <c r="AB971" s="203">
        <f t="shared" ca="1" si="291"/>
        <v>0</v>
      </c>
      <c r="AC971" s="238"/>
      <c r="AI971" s="367">
        <f t="shared" ca="1" si="298"/>
        <v>46092</v>
      </c>
      <c r="AJ971" s="367" t="b">
        <f t="shared" si="292"/>
        <v>1</v>
      </c>
      <c r="AK971" s="370" t="str">
        <f t="shared" si="293"/>
        <v/>
      </c>
      <c r="AN971">
        <f t="shared" si="294"/>
        <v>0</v>
      </c>
      <c r="AO971">
        <f t="shared" si="295"/>
        <v>1900</v>
      </c>
      <c r="AV971">
        <f t="shared" si="296"/>
        <v>0</v>
      </c>
      <c r="AW971">
        <f t="shared" si="297"/>
        <v>0</v>
      </c>
    </row>
    <row r="972" spans="4:49" ht="15.75" x14ac:dyDescent="0.25">
      <c r="D972" s="199"/>
      <c r="E972" s="200"/>
      <c r="F972" s="287"/>
      <c r="G972" s="201"/>
      <c r="H972" s="219"/>
      <c r="I972" s="202"/>
      <c r="J972" s="200"/>
      <c r="K972" s="200"/>
      <c r="L972" s="203"/>
      <c r="M972" s="204">
        <f ca="1">IF(ISERROR(OFFSET(Tabella!$A$1,MATCH(J972,Tabella!$A:$A,0)-1,MATCH(L972,Tabella!$A$1:$AC$1,0)-1)=TRUE),0,+OFFSET(Tabella!$A$1,MATCH(J972,Tabella!$A:$A,0)-1,MATCH(L972,Tabella!$A$1:$AC$1,0)-1))</f>
        <v>0</v>
      </c>
      <c r="N972" s="205">
        <f ca="1">IF(ISERROR(OFFSET(Ottone!$A$1,MATCH(J972,Ottone!$A:$A,0)-1,MATCH(L972,Ottone!$A$1:$Z$1,0)-1)=TRUE),0,OFFSET(Ottone!$A$1,MATCH(J972,Ottone!$A:$A,0)-1,MATCH(L972,Ottone!$A$1:$Z$1,0)-1))*IF(G972="Ottone",1,0)</f>
        <v>0</v>
      </c>
      <c r="O972" s="205">
        <f ca="1">IF(ISERROR(OFFSET(Rame!$A$1,MATCH(J972,Rame!$A:$A,0)-1,MATCH(L972,Rame!$A$1:$AA$1,0)-1)=TRUE),0,OFFSET(Rame!$A$1,MATCH(J972,Rame!$A:$A,0)-1,MATCH(L972,Rame!$A$1:$AA$1,0)-1))*IF(G972="Rame",1,0)</f>
        <v>0</v>
      </c>
      <c r="P972" s="205">
        <v>0</v>
      </c>
      <c r="Q972" s="205">
        <f t="shared" ca="1" si="287"/>
        <v>0</v>
      </c>
      <c r="R972" s="205">
        <f ca="1">+IF(ISERROR(OFFSET(Tabella!$G$1,MATCH(J972,Tabella!$G:$G,0)-1,MATCH(K972,Tabella!$G$1:$FG$1,0)-1)=TRUE),0,OFFSET(Tabella!$G$1,MATCH(J972,Tabella!$G:$G,0)-1,MATCH(K972,Tabella!$G$1:$AB$1,0)-1))</f>
        <v>0</v>
      </c>
      <c r="S972" s="205">
        <f ca="1">IF(ISERROR(OFFSET(Ottone!$F$1,MATCH(J972,Ottone!$A:$A,0)-1,MATCH(K972,Ottone!$F$1:$FF$1,0)-1)=TRUE),0,OFFSET(Ottone!$F$1,MATCH(J972,Ottone!$A:$A,0)-1,MATCH(K972,Ottone!$F$1:$FF$1,0)-1))*IF(G972="Ottone",1,0)</f>
        <v>0</v>
      </c>
      <c r="T972" s="205">
        <f ca="1">IF(ISERROR(OFFSET(Rame!$F$1,MATCH(J972,Rame!$F:$F,0)-1,MATCH(K972,Rame!$F$1:$FF$1,0)-1)=TRUE),0,OFFSET(Rame!$F$1,MATCH(J972,Rame!$F:$F,0)-1,MATCH(K972,Rame!$F$1:$FF$1,0)-1))*IF(G972="Rame",1,0)</f>
        <v>0</v>
      </c>
      <c r="U972" s="205">
        <f ca="1">IF(ISERROR(OFFSET(Bronzo!$A$1,MATCH(J972,Bronzo!$A:$A,0)-1,MATCH(K972,Bronzo!$A$1:$AA$1,0)-1)=TRUE),0,OFFSET(Bronzo!$A$1,MATCH(J972,Bronzo!$A:$A,0)-1,MATCH(K972,Bronzo!$A$1:$AA$1,0)-1))</f>
        <v>0</v>
      </c>
      <c r="V972" s="205">
        <f t="shared" ca="1" si="288"/>
        <v>0</v>
      </c>
      <c r="W972" s="204"/>
      <c r="X972" s="205">
        <v>0</v>
      </c>
      <c r="Y972" s="206">
        <f t="shared" ca="1" si="289"/>
        <v>0</v>
      </c>
      <c r="Z972" s="277">
        <f t="shared" si="290"/>
        <v>0</v>
      </c>
      <c r="AA972" s="203"/>
      <c r="AB972" s="203">
        <f t="shared" ca="1" si="291"/>
        <v>0</v>
      </c>
      <c r="AC972" s="238"/>
      <c r="AI972" s="367">
        <f t="shared" ca="1" si="298"/>
        <v>46092</v>
      </c>
      <c r="AJ972" s="367" t="b">
        <f t="shared" si="292"/>
        <v>1</v>
      </c>
      <c r="AK972" s="370" t="str">
        <f t="shared" si="293"/>
        <v/>
      </c>
      <c r="AN972">
        <f t="shared" si="294"/>
        <v>0</v>
      </c>
      <c r="AO972">
        <f t="shared" si="295"/>
        <v>1900</v>
      </c>
      <c r="AV972">
        <f t="shared" si="296"/>
        <v>0</v>
      </c>
      <c r="AW972">
        <f t="shared" si="297"/>
        <v>0</v>
      </c>
    </row>
    <row r="973" spans="4:49" ht="15.75" x14ac:dyDescent="0.25">
      <c r="D973" s="199"/>
      <c r="E973" s="200"/>
      <c r="F973" s="287"/>
      <c r="G973" s="201"/>
      <c r="H973" s="219"/>
      <c r="I973" s="202"/>
      <c r="J973" s="200"/>
      <c r="K973" s="200"/>
      <c r="L973" s="203"/>
      <c r="M973" s="204">
        <f ca="1">IF(ISERROR(OFFSET(Tabella!$A$1,MATCH(J973,Tabella!$A:$A,0)-1,MATCH(L973,Tabella!$A$1:$AC$1,0)-1)=TRUE),0,+OFFSET(Tabella!$A$1,MATCH(J973,Tabella!$A:$A,0)-1,MATCH(L973,Tabella!$A$1:$AC$1,0)-1))</f>
        <v>0</v>
      </c>
      <c r="N973" s="205">
        <f ca="1">IF(ISERROR(OFFSET(Ottone!$A$1,MATCH(J973,Ottone!$A:$A,0)-1,MATCH(L973,Ottone!$A$1:$Z$1,0)-1)=TRUE),0,OFFSET(Ottone!$A$1,MATCH(J973,Ottone!$A:$A,0)-1,MATCH(L973,Ottone!$A$1:$Z$1,0)-1))*IF(G973="Ottone",1,0)</f>
        <v>0</v>
      </c>
      <c r="O973" s="205">
        <f ca="1">IF(ISERROR(OFFSET(Rame!$A$1,MATCH(J973,Rame!$A:$A,0)-1,MATCH(L973,Rame!$A$1:$AA$1,0)-1)=TRUE),0,OFFSET(Rame!$A$1,MATCH(J973,Rame!$A:$A,0)-1,MATCH(L973,Rame!$A$1:$AA$1,0)-1))*IF(G973="Rame",1,0)</f>
        <v>0</v>
      </c>
      <c r="P973" s="205">
        <v>0</v>
      </c>
      <c r="Q973" s="205">
        <f t="shared" ca="1" si="287"/>
        <v>0</v>
      </c>
      <c r="R973" s="205">
        <f ca="1">+IF(ISERROR(OFFSET(Tabella!$G$1,MATCH(J973,Tabella!$G:$G,0)-1,MATCH(K973,Tabella!$G$1:$FG$1,0)-1)=TRUE),0,OFFSET(Tabella!$G$1,MATCH(J973,Tabella!$G:$G,0)-1,MATCH(K973,Tabella!$G$1:$AB$1,0)-1))</f>
        <v>0</v>
      </c>
      <c r="S973" s="205">
        <f ca="1">IF(ISERROR(OFFSET(Ottone!$F$1,MATCH(J973,Ottone!$A:$A,0)-1,MATCH(K973,Ottone!$F$1:$FF$1,0)-1)=TRUE),0,OFFSET(Ottone!$F$1,MATCH(J973,Ottone!$A:$A,0)-1,MATCH(K973,Ottone!$F$1:$FF$1,0)-1))*IF(G973="Ottone",1,0)</f>
        <v>0</v>
      </c>
      <c r="T973" s="205">
        <f ca="1">IF(ISERROR(OFFSET(Rame!$F$1,MATCH(J973,Rame!$F:$F,0)-1,MATCH(K973,Rame!$F$1:$FF$1,0)-1)=TRUE),0,OFFSET(Rame!$F$1,MATCH(J973,Rame!$F:$F,0)-1,MATCH(K973,Rame!$F$1:$FF$1,0)-1))*IF(G973="Rame",1,0)</f>
        <v>0</v>
      </c>
      <c r="U973" s="205">
        <f ca="1">IF(ISERROR(OFFSET(Bronzo!$A$1,MATCH(J973,Bronzo!$A:$A,0)-1,MATCH(K973,Bronzo!$A$1:$AA$1,0)-1)=TRUE),0,OFFSET(Bronzo!$A$1,MATCH(J973,Bronzo!$A:$A,0)-1,MATCH(K973,Bronzo!$A$1:$AA$1,0)-1))</f>
        <v>0</v>
      </c>
      <c r="V973" s="205">
        <f t="shared" ca="1" si="288"/>
        <v>0</v>
      </c>
      <c r="W973" s="204"/>
      <c r="X973" s="205">
        <v>0</v>
      </c>
      <c r="Y973" s="206">
        <f t="shared" ca="1" si="289"/>
        <v>0</v>
      </c>
      <c r="Z973" s="277">
        <f t="shared" si="290"/>
        <v>0</v>
      </c>
      <c r="AA973" s="203"/>
      <c r="AB973" s="203">
        <f t="shared" ca="1" si="291"/>
        <v>0</v>
      </c>
      <c r="AC973" s="238"/>
      <c r="AI973" s="367">
        <f t="shared" ca="1" si="298"/>
        <v>46092</v>
      </c>
      <c r="AJ973" s="367" t="b">
        <f t="shared" si="292"/>
        <v>1</v>
      </c>
      <c r="AK973" s="370" t="str">
        <f t="shared" si="293"/>
        <v/>
      </c>
      <c r="AN973">
        <f t="shared" si="294"/>
        <v>0</v>
      </c>
      <c r="AO973">
        <f t="shared" si="295"/>
        <v>1900</v>
      </c>
      <c r="AV973">
        <f t="shared" si="296"/>
        <v>0</v>
      </c>
      <c r="AW973">
        <f t="shared" si="297"/>
        <v>0</v>
      </c>
    </row>
    <row r="974" spans="4:49" ht="15.75" x14ac:dyDescent="0.25">
      <c r="D974" s="199"/>
      <c r="E974" s="200"/>
      <c r="F974" s="287"/>
      <c r="G974" s="201"/>
      <c r="H974" s="219"/>
      <c r="I974" s="202"/>
      <c r="J974" s="200"/>
      <c r="K974" s="200"/>
      <c r="L974" s="203"/>
      <c r="M974" s="204">
        <f ca="1">IF(ISERROR(OFFSET(Tabella!$A$1,MATCH(J974,Tabella!$A:$A,0)-1,MATCH(L974,Tabella!$A$1:$AC$1,0)-1)=TRUE),0,+OFFSET(Tabella!$A$1,MATCH(J974,Tabella!$A:$A,0)-1,MATCH(L974,Tabella!$A$1:$AC$1,0)-1))</f>
        <v>0</v>
      </c>
      <c r="N974" s="205">
        <f ca="1">IF(ISERROR(OFFSET(Ottone!$A$1,MATCH(J974,Ottone!$A:$A,0)-1,MATCH(L974,Ottone!$A$1:$Z$1,0)-1)=TRUE),0,OFFSET(Ottone!$A$1,MATCH(J974,Ottone!$A:$A,0)-1,MATCH(L974,Ottone!$A$1:$Z$1,0)-1))*IF(G974="Ottone",1,0)</f>
        <v>0</v>
      </c>
      <c r="O974" s="205">
        <f ca="1">IF(ISERROR(OFFSET(Rame!$A$1,MATCH(J974,Rame!$A:$A,0)-1,MATCH(L974,Rame!$A$1:$AA$1,0)-1)=TRUE),0,OFFSET(Rame!$A$1,MATCH(J974,Rame!$A:$A,0)-1,MATCH(L974,Rame!$A$1:$AA$1,0)-1))*IF(G974="Rame",1,0)</f>
        <v>0</v>
      </c>
      <c r="P974" s="205">
        <v>0</v>
      </c>
      <c r="Q974" s="205">
        <f t="shared" ca="1" si="287"/>
        <v>0</v>
      </c>
      <c r="R974" s="205">
        <f ca="1">+IF(ISERROR(OFFSET(Tabella!$G$1,MATCH(J974,Tabella!$G:$G,0)-1,MATCH(K974,Tabella!$G$1:$FG$1,0)-1)=TRUE),0,OFFSET(Tabella!$G$1,MATCH(J974,Tabella!$G:$G,0)-1,MATCH(K974,Tabella!$G$1:$AB$1,0)-1))</f>
        <v>0</v>
      </c>
      <c r="S974" s="205">
        <f ca="1">IF(ISERROR(OFFSET(Ottone!$F$1,MATCH(J974,Ottone!$A:$A,0)-1,MATCH(K974,Ottone!$F$1:$FF$1,0)-1)=TRUE),0,OFFSET(Ottone!$F$1,MATCH(J974,Ottone!$A:$A,0)-1,MATCH(K974,Ottone!$F$1:$FF$1,0)-1))*IF(G974="Ottone",1,0)</f>
        <v>0</v>
      </c>
      <c r="T974" s="205">
        <f ca="1">IF(ISERROR(OFFSET(Rame!$F$1,MATCH(J974,Rame!$F:$F,0)-1,MATCH(K974,Rame!$F$1:$FF$1,0)-1)=TRUE),0,OFFSET(Rame!$F$1,MATCH(J974,Rame!$F:$F,0)-1,MATCH(K974,Rame!$F$1:$FF$1,0)-1))*IF(G974="Rame",1,0)</f>
        <v>0</v>
      </c>
      <c r="U974" s="205">
        <f ca="1">IF(ISERROR(OFFSET(Bronzo!$A$1,MATCH(J974,Bronzo!$A:$A,0)-1,MATCH(K974,Bronzo!$A$1:$AA$1,0)-1)=TRUE),0,OFFSET(Bronzo!$A$1,MATCH(J974,Bronzo!$A:$A,0)-1,MATCH(K974,Bronzo!$A$1:$AA$1,0)-1))</f>
        <v>0</v>
      </c>
      <c r="V974" s="205">
        <f t="shared" ca="1" si="288"/>
        <v>0</v>
      </c>
      <c r="W974" s="204"/>
      <c r="X974" s="205">
        <v>0</v>
      </c>
      <c r="Y974" s="206">
        <f t="shared" ca="1" si="289"/>
        <v>0</v>
      </c>
      <c r="Z974" s="277">
        <f t="shared" si="290"/>
        <v>0</v>
      </c>
      <c r="AA974" s="203"/>
      <c r="AB974" s="203">
        <f t="shared" ca="1" si="291"/>
        <v>0</v>
      </c>
      <c r="AC974" s="238"/>
      <c r="AI974" s="367">
        <f t="shared" ca="1" si="298"/>
        <v>46092</v>
      </c>
      <c r="AJ974" s="367" t="b">
        <f t="shared" si="292"/>
        <v>1</v>
      </c>
      <c r="AK974" s="370" t="str">
        <f t="shared" si="293"/>
        <v/>
      </c>
      <c r="AN974">
        <f t="shared" si="294"/>
        <v>0</v>
      </c>
      <c r="AO974">
        <f t="shared" si="295"/>
        <v>1900</v>
      </c>
      <c r="AV974">
        <f t="shared" si="296"/>
        <v>0</v>
      </c>
      <c r="AW974">
        <f t="shared" si="297"/>
        <v>0</v>
      </c>
    </row>
    <row r="975" spans="4:49" ht="15.75" x14ac:dyDescent="0.25">
      <c r="D975" s="199"/>
      <c r="E975" s="200"/>
      <c r="F975" s="287"/>
      <c r="G975" s="201"/>
      <c r="H975" s="219"/>
      <c r="I975" s="202"/>
      <c r="J975" s="200"/>
      <c r="K975" s="200"/>
      <c r="L975" s="203"/>
      <c r="M975" s="204">
        <f ca="1">IF(ISERROR(OFFSET(Tabella!$A$1,MATCH(J975,Tabella!$A:$A,0)-1,MATCH(L975,Tabella!$A$1:$AC$1,0)-1)=TRUE),0,+OFFSET(Tabella!$A$1,MATCH(J975,Tabella!$A:$A,0)-1,MATCH(L975,Tabella!$A$1:$AC$1,0)-1))</f>
        <v>0</v>
      </c>
      <c r="N975" s="205">
        <f ca="1">IF(ISERROR(OFFSET(Ottone!$A$1,MATCH(J975,Ottone!$A:$A,0)-1,MATCH(L975,Ottone!$A$1:$Z$1,0)-1)=TRUE),0,OFFSET(Ottone!$A$1,MATCH(J975,Ottone!$A:$A,0)-1,MATCH(L975,Ottone!$A$1:$Z$1,0)-1))*IF(G975="Ottone",1,0)</f>
        <v>0</v>
      </c>
      <c r="O975" s="205">
        <f ca="1">IF(ISERROR(OFFSET(Rame!$A$1,MATCH(J975,Rame!$A:$A,0)-1,MATCH(L975,Rame!$A$1:$AA$1,0)-1)=TRUE),0,OFFSET(Rame!$A$1,MATCH(J975,Rame!$A:$A,0)-1,MATCH(L975,Rame!$A$1:$AA$1,0)-1))*IF(G975="Rame",1,0)</f>
        <v>0</v>
      </c>
      <c r="P975" s="205">
        <v>0</v>
      </c>
      <c r="Q975" s="205">
        <f t="shared" ref="Q975:Q1038" ca="1" si="299">SUM(M975:P975)</f>
        <v>0</v>
      </c>
      <c r="R975" s="205">
        <f ca="1">+IF(ISERROR(OFFSET(Tabella!$G$1,MATCH(J975,Tabella!$G:$G,0)-1,MATCH(K975,Tabella!$G$1:$FG$1,0)-1)=TRUE),0,OFFSET(Tabella!$G$1,MATCH(J975,Tabella!$G:$G,0)-1,MATCH(K975,Tabella!$G$1:$AB$1,0)-1))</f>
        <v>0</v>
      </c>
      <c r="S975" s="205">
        <f ca="1">IF(ISERROR(OFFSET(Ottone!$F$1,MATCH(J975,Ottone!$A:$A,0)-1,MATCH(K975,Ottone!$F$1:$FF$1,0)-1)=TRUE),0,OFFSET(Ottone!$F$1,MATCH(J975,Ottone!$A:$A,0)-1,MATCH(K975,Ottone!$F$1:$FF$1,0)-1))*IF(G975="Ottone",1,0)</f>
        <v>0</v>
      </c>
      <c r="T975" s="205">
        <f ca="1">IF(ISERROR(OFFSET(Rame!$F$1,MATCH(J975,Rame!$F:$F,0)-1,MATCH(K975,Rame!$F$1:$FF$1,0)-1)=TRUE),0,OFFSET(Rame!$F$1,MATCH(J975,Rame!$F:$F,0)-1,MATCH(K975,Rame!$F$1:$FF$1,0)-1))*IF(G975="Rame",1,0)</f>
        <v>0</v>
      </c>
      <c r="U975" s="205">
        <f ca="1">IF(ISERROR(OFFSET(Bronzo!$A$1,MATCH(J975,Bronzo!$A:$A,0)-1,MATCH(K975,Bronzo!$A$1:$AA$1,0)-1)=TRUE),0,OFFSET(Bronzo!$A$1,MATCH(J975,Bronzo!$A:$A,0)-1,MATCH(K975,Bronzo!$A$1:$AA$1,0)-1))</f>
        <v>0</v>
      </c>
      <c r="V975" s="205">
        <f t="shared" ref="V975:V1038" ca="1" si="300">SUM(R975:U975)</f>
        <v>0</v>
      </c>
      <c r="W975" s="204"/>
      <c r="X975" s="205">
        <v>0</v>
      </c>
      <c r="Y975" s="206">
        <f t="shared" ref="Y975:Y1038" ca="1" si="301">+Q975+V975+W975+X975</f>
        <v>0</v>
      </c>
      <c r="Z975" s="277">
        <f t="shared" ref="Z975:Z1038" si="302">+L975*F975</f>
        <v>0</v>
      </c>
      <c r="AA975" s="203"/>
      <c r="AB975" s="203">
        <f t="shared" ref="AB975:AB1038" ca="1" si="303">+AA975-Y975-H975</f>
        <v>0</v>
      </c>
      <c r="AC975" s="238"/>
      <c r="AI975" s="367">
        <f t="shared" ca="1" si="298"/>
        <v>46092</v>
      </c>
      <c r="AJ975" s="367" t="b">
        <f t="shared" si="292"/>
        <v>1</v>
      </c>
      <c r="AK975" s="370" t="str">
        <f t="shared" si="293"/>
        <v/>
      </c>
      <c r="AN975">
        <f t="shared" si="294"/>
        <v>0</v>
      </c>
      <c r="AO975">
        <f t="shared" si="295"/>
        <v>1900</v>
      </c>
      <c r="AV975">
        <f t="shared" si="296"/>
        <v>0</v>
      </c>
      <c r="AW975">
        <f t="shared" si="297"/>
        <v>0</v>
      </c>
    </row>
    <row r="976" spans="4:49" ht="15.75" x14ac:dyDescent="0.25">
      <c r="D976" s="199"/>
      <c r="E976" s="200"/>
      <c r="F976" s="287"/>
      <c r="G976" s="201"/>
      <c r="H976" s="219"/>
      <c r="I976" s="202"/>
      <c r="J976" s="200"/>
      <c r="K976" s="200"/>
      <c r="L976" s="203"/>
      <c r="M976" s="204">
        <f ca="1">IF(ISERROR(OFFSET(Tabella!$A$1,MATCH(J976,Tabella!$A:$A,0)-1,MATCH(L976,Tabella!$A$1:$AC$1,0)-1)=TRUE),0,+OFFSET(Tabella!$A$1,MATCH(J976,Tabella!$A:$A,0)-1,MATCH(L976,Tabella!$A$1:$AC$1,0)-1))</f>
        <v>0</v>
      </c>
      <c r="N976" s="205">
        <f ca="1">IF(ISERROR(OFFSET(Ottone!$A$1,MATCH(J976,Ottone!$A:$A,0)-1,MATCH(L976,Ottone!$A$1:$Z$1,0)-1)=TRUE),0,OFFSET(Ottone!$A$1,MATCH(J976,Ottone!$A:$A,0)-1,MATCH(L976,Ottone!$A$1:$Z$1,0)-1))*IF(G976="Ottone",1,0)</f>
        <v>0</v>
      </c>
      <c r="O976" s="205">
        <f ca="1">IF(ISERROR(OFFSET(Rame!$A$1,MATCH(J976,Rame!$A:$A,0)-1,MATCH(L976,Rame!$A$1:$AA$1,0)-1)=TRUE),0,OFFSET(Rame!$A$1,MATCH(J976,Rame!$A:$A,0)-1,MATCH(L976,Rame!$A$1:$AA$1,0)-1))*IF(G976="Rame",1,0)</f>
        <v>0</v>
      </c>
      <c r="P976" s="205">
        <v>0</v>
      </c>
      <c r="Q976" s="205">
        <f t="shared" ca="1" si="299"/>
        <v>0</v>
      </c>
      <c r="R976" s="205">
        <f ca="1">+IF(ISERROR(OFFSET(Tabella!$G$1,MATCH(J976,Tabella!$G:$G,0)-1,MATCH(K976,Tabella!$G$1:$FG$1,0)-1)=TRUE),0,OFFSET(Tabella!$G$1,MATCH(J976,Tabella!$G:$G,0)-1,MATCH(K976,Tabella!$G$1:$AB$1,0)-1))</f>
        <v>0</v>
      </c>
      <c r="S976" s="205">
        <f ca="1">IF(ISERROR(OFFSET(Ottone!$F$1,MATCH(J976,Ottone!$A:$A,0)-1,MATCH(K976,Ottone!$F$1:$FF$1,0)-1)=TRUE),0,OFFSET(Ottone!$F$1,MATCH(J976,Ottone!$A:$A,0)-1,MATCH(K976,Ottone!$F$1:$FF$1,0)-1))*IF(G976="Ottone",1,0)</f>
        <v>0</v>
      </c>
      <c r="T976" s="205">
        <f ca="1">IF(ISERROR(OFFSET(Rame!$F$1,MATCH(J976,Rame!$F:$F,0)-1,MATCH(K976,Rame!$F$1:$FF$1,0)-1)=TRUE),0,OFFSET(Rame!$F$1,MATCH(J976,Rame!$F:$F,0)-1,MATCH(K976,Rame!$F$1:$FF$1,0)-1))*IF(G976="Rame",1,0)</f>
        <v>0</v>
      </c>
      <c r="U976" s="205">
        <f ca="1">IF(ISERROR(OFFSET(Bronzo!$A$1,MATCH(J976,Bronzo!$A:$A,0)-1,MATCH(K976,Bronzo!$A$1:$AA$1,0)-1)=TRUE),0,OFFSET(Bronzo!$A$1,MATCH(J976,Bronzo!$A:$A,0)-1,MATCH(K976,Bronzo!$A$1:$AA$1,0)-1))</f>
        <v>0</v>
      </c>
      <c r="V976" s="205">
        <f t="shared" ca="1" si="300"/>
        <v>0</v>
      </c>
      <c r="W976" s="204"/>
      <c r="X976" s="205">
        <v>0</v>
      </c>
      <c r="Y976" s="206">
        <f t="shared" ca="1" si="301"/>
        <v>0</v>
      </c>
      <c r="Z976" s="277">
        <f t="shared" si="302"/>
        <v>0</v>
      </c>
      <c r="AA976" s="203"/>
      <c r="AB976" s="203">
        <f t="shared" ca="1" si="303"/>
        <v>0</v>
      </c>
      <c r="AC976" s="238"/>
      <c r="AI976" s="367">
        <f t="shared" ca="1" si="298"/>
        <v>46092</v>
      </c>
      <c r="AJ976" s="367" t="b">
        <f t="shared" si="292"/>
        <v>1</v>
      </c>
      <c r="AK976" s="370" t="str">
        <f t="shared" si="293"/>
        <v/>
      </c>
      <c r="AN976">
        <f t="shared" si="294"/>
        <v>0</v>
      </c>
      <c r="AO976">
        <f t="shared" si="295"/>
        <v>1900</v>
      </c>
      <c r="AV976">
        <f t="shared" si="296"/>
        <v>0</v>
      </c>
      <c r="AW976">
        <f t="shared" si="297"/>
        <v>0</v>
      </c>
    </row>
    <row r="977" spans="4:49" ht="15.75" x14ac:dyDescent="0.25">
      <c r="D977" s="199"/>
      <c r="E977" s="200"/>
      <c r="F977" s="287"/>
      <c r="G977" s="201"/>
      <c r="H977" s="219"/>
      <c r="I977" s="202"/>
      <c r="J977" s="200"/>
      <c r="K977" s="200"/>
      <c r="L977" s="203"/>
      <c r="M977" s="204">
        <f ca="1">IF(ISERROR(OFFSET(Tabella!$A$1,MATCH(J977,Tabella!$A:$A,0)-1,MATCH(L977,Tabella!$A$1:$AC$1,0)-1)=TRUE),0,+OFFSET(Tabella!$A$1,MATCH(J977,Tabella!$A:$A,0)-1,MATCH(L977,Tabella!$A$1:$AC$1,0)-1))</f>
        <v>0</v>
      </c>
      <c r="N977" s="205">
        <f ca="1">IF(ISERROR(OFFSET(Ottone!$A$1,MATCH(J977,Ottone!$A:$A,0)-1,MATCH(L977,Ottone!$A$1:$Z$1,0)-1)=TRUE),0,OFFSET(Ottone!$A$1,MATCH(J977,Ottone!$A:$A,0)-1,MATCH(L977,Ottone!$A$1:$Z$1,0)-1))*IF(G977="Ottone",1,0)</f>
        <v>0</v>
      </c>
      <c r="O977" s="205">
        <f ca="1">IF(ISERROR(OFFSET(Rame!$A$1,MATCH(J977,Rame!$A:$A,0)-1,MATCH(L977,Rame!$A$1:$AA$1,0)-1)=TRUE),0,OFFSET(Rame!$A$1,MATCH(J977,Rame!$A:$A,0)-1,MATCH(L977,Rame!$A$1:$AA$1,0)-1))*IF(G977="Rame",1,0)</f>
        <v>0</v>
      </c>
      <c r="P977" s="205">
        <v>0</v>
      </c>
      <c r="Q977" s="205">
        <f t="shared" ca="1" si="299"/>
        <v>0</v>
      </c>
      <c r="R977" s="205">
        <f ca="1">+IF(ISERROR(OFFSET(Tabella!$G$1,MATCH(J977,Tabella!$G:$G,0)-1,MATCH(K977,Tabella!$G$1:$FG$1,0)-1)=TRUE),0,OFFSET(Tabella!$G$1,MATCH(J977,Tabella!$G:$G,0)-1,MATCH(K977,Tabella!$G$1:$AB$1,0)-1))</f>
        <v>0</v>
      </c>
      <c r="S977" s="205">
        <f ca="1">IF(ISERROR(OFFSET(Ottone!$F$1,MATCH(J977,Ottone!$A:$A,0)-1,MATCH(K977,Ottone!$F$1:$FF$1,0)-1)=TRUE),0,OFFSET(Ottone!$F$1,MATCH(J977,Ottone!$A:$A,0)-1,MATCH(K977,Ottone!$F$1:$FF$1,0)-1))*IF(G977="Ottone",1,0)</f>
        <v>0</v>
      </c>
      <c r="T977" s="205">
        <f ca="1">IF(ISERROR(OFFSET(Rame!$F$1,MATCH(J977,Rame!$F:$F,0)-1,MATCH(K977,Rame!$F$1:$FF$1,0)-1)=TRUE),0,OFFSET(Rame!$F$1,MATCH(J977,Rame!$F:$F,0)-1,MATCH(K977,Rame!$F$1:$FF$1,0)-1))*IF(G977="Rame",1,0)</f>
        <v>0</v>
      </c>
      <c r="U977" s="205">
        <f ca="1">IF(ISERROR(OFFSET(Bronzo!$A$1,MATCH(J977,Bronzo!$A:$A,0)-1,MATCH(K977,Bronzo!$A$1:$AA$1,0)-1)=TRUE),0,OFFSET(Bronzo!$A$1,MATCH(J977,Bronzo!$A:$A,0)-1,MATCH(K977,Bronzo!$A$1:$AA$1,0)-1))</f>
        <v>0</v>
      </c>
      <c r="V977" s="205">
        <f t="shared" ca="1" si="300"/>
        <v>0</v>
      </c>
      <c r="W977" s="204"/>
      <c r="X977" s="205">
        <v>0</v>
      </c>
      <c r="Y977" s="206">
        <f t="shared" ca="1" si="301"/>
        <v>0</v>
      </c>
      <c r="Z977" s="277">
        <f t="shared" si="302"/>
        <v>0</v>
      </c>
      <c r="AA977" s="203"/>
      <c r="AB977" s="203">
        <f t="shared" ca="1" si="303"/>
        <v>0</v>
      </c>
      <c r="AC977" s="238"/>
      <c r="AI977" s="367">
        <f t="shared" ca="1" si="298"/>
        <v>46092</v>
      </c>
      <c r="AJ977" s="367" t="b">
        <f t="shared" si="292"/>
        <v>1</v>
      </c>
      <c r="AK977" s="370" t="str">
        <f t="shared" si="293"/>
        <v/>
      </c>
      <c r="AN977">
        <f t="shared" si="294"/>
        <v>0</v>
      </c>
      <c r="AO977">
        <f t="shared" si="295"/>
        <v>1900</v>
      </c>
      <c r="AV977">
        <f t="shared" si="296"/>
        <v>0</v>
      </c>
      <c r="AW977">
        <f t="shared" si="297"/>
        <v>0</v>
      </c>
    </row>
    <row r="978" spans="4:49" ht="15.75" x14ac:dyDescent="0.25">
      <c r="D978" s="199"/>
      <c r="E978" s="200"/>
      <c r="F978" s="287"/>
      <c r="G978" s="201"/>
      <c r="H978" s="219"/>
      <c r="I978" s="202"/>
      <c r="J978" s="200"/>
      <c r="K978" s="200"/>
      <c r="L978" s="203"/>
      <c r="M978" s="204">
        <f ca="1">IF(ISERROR(OFFSET(Tabella!$A$1,MATCH(J978,Tabella!$A:$A,0)-1,MATCH(L978,Tabella!$A$1:$AC$1,0)-1)=TRUE),0,+OFFSET(Tabella!$A$1,MATCH(J978,Tabella!$A:$A,0)-1,MATCH(L978,Tabella!$A$1:$AC$1,0)-1))</f>
        <v>0</v>
      </c>
      <c r="N978" s="205">
        <f ca="1">IF(ISERROR(OFFSET(Ottone!$A$1,MATCH(J978,Ottone!$A:$A,0)-1,MATCH(L978,Ottone!$A$1:$Z$1,0)-1)=TRUE),0,OFFSET(Ottone!$A$1,MATCH(J978,Ottone!$A:$A,0)-1,MATCH(L978,Ottone!$A$1:$Z$1,0)-1))*IF(G978="Ottone",1,0)</f>
        <v>0</v>
      </c>
      <c r="O978" s="205">
        <f ca="1">IF(ISERROR(OFFSET(Rame!$A$1,MATCH(J978,Rame!$A:$A,0)-1,MATCH(L978,Rame!$A$1:$AA$1,0)-1)=TRUE),0,OFFSET(Rame!$A$1,MATCH(J978,Rame!$A:$A,0)-1,MATCH(L978,Rame!$A$1:$AA$1,0)-1))*IF(G978="Rame",1,0)</f>
        <v>0</v>
      </c>
      <c r="P978" s="205">
        <v>0</v>
      </c>
      <c r="Q978" s="205">
        <f t="shared" ca="1" si="299"/>
        <v>0</v>
      </c>
      <c r="R978" s="205">
        <f ca="1">+IF(ISERROR(OFFSET(Tabella!$G$1,MATCH(J978,Tabella!$G:$G,0)-1,MATCH(K978,Tabella!$G$1:$FG$1,0)-1)=TRUE),0,OFFSET(Tabella!$G$1,MATCH(J978,Tabella!$G:$G,0)-1,MATCH(K978,Tabella!$G$1:$AB$1,0)-1))</f>
        <v>0</v>
      </c>
      <c r="S978" s="205">
        <f ca="1">IF(ISERROR(OFFSET(Ottone!$F$1,MATCH(J978,Ottone!$A:$A,0)-1,MATCH(K978,Ottone!$F$1:$FF$1,0)-1)=TRUE),0,OFFSET(Ottone!$F$1,MATCH(J978,Ottone!$A:$A,0)-1,MATCH(K978,Ottone!$F$1:$FF$1,0)-1))*IF(G978="Ottone",1,0)</f>
        <v>0</v>
      </c>
      <c r="T978" s="205">
        <f ca="1">IF(ISERROR(OFFSET(Rame!$F$1,MATCH(J978,Rame!$F:$F,0)-1,MATCH(K978,Rame!$F$1:$FF$1,0)-1)=TRUE),0,OFFSET(Rame!$F$1,MATCH(J978,Rame!$F:$F,0)-1,MATCH(K978,Rame!$F$1:$FF$1,0)-1))*IF(G978="Rame",1,0)</f>
        <v>0</v>
      </c>
      <c r="U978" s="205">
        <f ca="1">IF(ISERROR(OFFSET(Bronzo!$A$1,MATCH(J978,Bronzo!$A:$A,0)-1,MATCH(K978,Bronzo!$A$1:$AA$1,0)-1)=TRUE),0,OFFSET(Bronzo!$A$1,MATCH(J978,Bronzo!$A:$A,0)-1,MATCH(K978,Bronzo!$A$1:$AA$1,0)-1))</f>
        <v>0</v>
      </c>
      <c r="V978" s="205">
        <f t="shared" ca="1" si="300"/>
        <v>0</v>
      </c>
      <c r="W978" s="204"/>
      <c r="X978" s="205">
        <v>0</v>
      </c>
      <c r="Y978" s="206">
        <f t="shared" ca="1" si="301"/>
        <v>0</v>
      </c>
      <c r="Z978" s="277">
        <f t="shared" si="302"/>
        <v>0</v>
      </c>
      <c r="AA978" s="203"/>
      <c r="AB978" s="203">
        <f t="shared" ca="1" si="303"/>
        <v>0</v>
      </c>
      <c r="AC978" s="238"/>
      <c r="AI978" s="367">
        <f t="shared" ca="1" si="298"/>
        <v>46092</v>
      </c>
      <c r="AJ978" s="367" t="b">
        <f t="shared" si="292"/>
        <v>1</v>
      </c>
      <c r="AK978" s="370" t="str">
        <f t="shared" si="293"/>
        <v/>
      </c>
      <c r="AN978">
        <f t="shared" si="294"/>
        <v>0</v>
      </c>
      <c r="AO978">
        <f t="shared" si="295"/>
        <v>1900</v>
      </c>
      <c r="AV978">
        <f t="shared" si="296"/>
        <v>0</v>
      </c>
      <c r="AW978">
        <f t="shared" si="297"/>
        <v>0</v>
      </c>
    </row>
    <row r="979" spans="4:49" ht="15.75" x14ac:dyDescent="0.25">
      <c r="D979" s="199"/>
      <c r="E979" s="200"/>
      <c r="F979" s="287"/>
      <c r="G979" s="201"/>
      <c r="H979" s="219"/>
      <c r="I979" s="202"/>
      <c r="J979" s="200"/>
      <c r="K979" s="200"/>
      <c r="L979" s="203"/>
      <c r="M979" s="204">
        <f ca="1">IF(ISERROR(OFFSET(Tabella!$A$1,MATCH(J979,Tabella!$A:$A,0)-1,MATCH(L979,Tabella!$A$1:$AC$1,0)-1)=TRUE),0,+OFFSET(Tabella!$A$1,MATCH(J979,Tabella!$A:$A,0)-1,MATCH(L979,Tabella!$A$1:$AC$1,0)-1))</f>
        <v>0</v>
      </c>
      <c r="N979" s="205">
        <f ca="1">IF(ISERROR(OFFSET(Ottone!$A$1,MATCH(J979,Ottone!$A:$A,0)-1,MATCH(L979,Ottone!$A$1:$Z$1,0)-1)=TRUE),0,OFFSET(Ottone!$A$1,MATCH(J979,Ottone!$A:$A,0)-1,MATCH(L979,Ottone!$A$1:$Z$1,0)-1))*IF(G979="Ottone",1,0)</f>
        <v>0</v>
      </c>
      <c r="O979" s="205">
        <f ca="1">IF(ISERROR(OFFSET(Rame!$A$1,MATCH(J979,Rame!$A:$A,0)-1,MATCH(L979,Rame!$A$1:$AA$1,0)-1)=TRUE),0,OFFSET(Rame!$A$1,MATCH(J979,Rame!$A:$A,0)-1,MATCH(L979,Rame!$A$1:$AA$1,0)-1))*IF(G979="Rame",1,0)</f>
        <v>0</v>
      </c>
      <c r="P979" s="205">
        <v>0</v>
      </c>
      <c r="Q979" s="205">
        <f t="shared" ca="1" si="299"/>
        <v>0</v>
      </c>
      <c r="R979" s="205">
        <f ca="1">+IF(ISERROR(OFFSET(Tabella!$G$1,MATCH(J979,Tabella!$G:$G,0)-1,MATCH(K979,Tabella!$G$1:$FG$1,0)-1)=TRUE),0,OFFSET(Tabella!$G$1,MATCH(J979,Tabella!$G:$G,0)-1,MATCH(K979,Tabella!$G$1:$AB$1,0)-1))</f>
        <v>0</v>
      </c>
      <c r="S979" s="205">
        <f ca="1">IF(ISERROR(OFFSET(Ottone!$F$1,MATCH(J979,Ottone!$A:$A,0)-1,MATCH(K979,Ottone!$F$1:$FF$1,0)-1)=TRUE),0,OFFSET(Ottone!$F$1,MATCH(J979,Ottone!$A:$A,0)-1,MATCH(K979,Ottone!$F$1:$FF$1,0)-1))*IF(G979="Ottone",1,0)</f>
        <v>0</v>
      </c>
      <c r="T979" s="205">
        <f ca="1">IF(ISERROR(OFFSET(Rame!$F$1,MATCH(J979,Rame!$F:$F,0)-1,MATCH(K979,Rame!$F$1:$FF$1,0)-1)=TRUE),0,OFFSET(Rame!$F$1,MATCH(J979,Rame!$F:$F,0)-1,MATCH(K979,Rame!$F$1:$FF$1,0)-1))*IF(G979="Rame",1,0)</f>
        <v>0</v>
      </c>
      <c r="U979" s="205">
        <f ca="1">IF(ISERROR(OFFSET(Bronzo!$A$1,MATCH(J979,Bronzo!$A:$A,0)-1,MATCH(K979,Bronzo!$A$1:$AA$1,0)-1)=TRUE),0,OFFSET(Bronzo!$A$1,MATCH(J979,Bronzo!$A:$A,0)-1,MATCH(K979,Bronzo!$A$1:$AA$1,0)-1))</f>
        <v>0</v>
      </c>
      <c r="V979" s="205">
        <f t="shared" ca="1" si="300"/>
        <v>0</v>
      </c>
      <c r="W979" s="204"/>
      <c r="X979" s="205">
        <v>0</v>
      </c>
      <c r="Y979" s="206">
        <f t="shared" ca="1" si="301"/>
        <v>0</v>
      </c>
      <c r="Z979" s="277">
        <f t="shared" si="302"/>
        <v>0</v>
      </c>
      <c r="AA979" s="203"/>
      <c r="AB979" s="203">
        <f t="shared" ca="1" si="303"/>
        <v>0</v>
      </c>
      <c r="AC979" s="238"/>
      <c r="AI979" s="367">
        <f t="shared" ca="1" si="298"/>
        <v>46092</v>
      </c>
      <c r="AJ979" s="367" t="b">
        <f t="shared" si="292"/>
        <v>1</v>
      </c>
      <c r="AK979" s="370" t="str">
        <f t="shared" si="293"/>
        <v/>
      </c>
      <c r="AN979">
        <f t="shared" si="294"/>
        <v>0</v>
      </c>
      <c r="AO979">
        <f t="shared" si="295"/>
        <v>1900</v>
      </c>
      <c r="AV979">
        <f t="shared" si="296"/>
        <v>0</v>
      </c>
      <c r="AW979">
        <f t="shared" si="297"/>
        <v>0</v>
      </c>
    </row>
    <row r="980" spans="4:49" ht="15.75" x14ac:dyDescent="0.25">
      <c r="D980" s="199"/>
      <c r="E980" s="200"/>
      <c r="F980" s="287"/>
      <c r="G980" s="201"/>
      <c r="H980" s="219"/>
      <c r="I980" s="202"/>
      <c r="J980" s="200"/>
      <c r="K980" s="200"/>
      <c r="L980" s="203"/>
      <c r="M980" s="204">
        <f ca="1">IF(ISERROR(OFFSET(Tabella!$A$1,MATCH(J980,Tabella!$A:$A,0)-1,MATCH(L980,Tabella!$A$1:$AC$1,0)-1)=TRUE),0,+OFFSET(Tabella!$A$1,MATCH(J980,Tabella!$A:$A,0)-1,MATCH(L980,Tabella!$A$1:$AC$1,0)-1))</f>
        <v>0</v>
      </c>
      <c r="N980" s="205">
        <f ca="1">IF(ISERROR(OFFSET(Ottone!$A$1,MATCH(J980,Ottone!$A:$A,0)-1,MATCH(L980,Ottone!$A$1:$Z$1,0)-1)=TRUE),0,OFFSET(Ottone!$A$1,MATCH(J980,Ottone!$A:$A,0)-1,MATCH(L980,Ottone!$A$1:$Z$1,0)-1))*IF(G980="Ottone",1,0)</f>
        <v>0</v>
      </c>
      <c r="O980" s="205">
        <f ca="1">IF(ISERROR(OFFSET(Rame!$A$1,MATCH(J980,Rame!$A:$A,0)-1,MATCH(L980,Rame!$A$1:$AA$1,0)-1)=TRUE),0,OFFSET(Rame!$A$1,MATCH(J980,Rame!$A:$A,0)-1,MATCH(L980,Rame!$A$1:$AA$1,0)-1))*IF(G980="Rame",1,0)</f>
        <v>0</v>
      </c>
      <c r="P980" s="205">
        <v>0</v>
      </c>
      <c r="Q980" s="205">
        <f t="shared" ca="1" si="299"/>
        <v>0</v>
      </c>
      <c r="R980" s="205">
        <f ca="1">+IF(ISERROR(OFFSET(Tabella!$G$1,MATCH(J980,Tabella!$G:$G,0)-1,MATCH(K980,Tabella!$G$1:$FG$1,0)-1)=TRUE),0,OFFSET(Tabella!$G$1,MATCH(J980,Tabella!$G:$G,0)-1,MATCH(K980,Tabella!$G$1:$AB$1,0)-1))</f>
        <v>0</v>
      </c>
      <c r="S980" s="205">
        <f ca="1">IF(ISERROR(OFFSET(Ottone!$F$1,MATCH(J980,Ottone!$A:$A,0)-1,MATCH(K980,Ottone!$F$1:$FF$1,0)-1)=TRUE),0,OFFSET(Ottone!$F$1,MATCH(J980,Ottone!$A:$A,0)-1,MATCH(K980,Ottone!$F$1:$FF$1,0)-1))*IF(G980="Ottone",1,0)</f>
        <v>0</v>
      </c>
      <c r="T980" s="205">
        <f ca="1">IF(ISERROR(OFFSET(Rame!$F$1,MATCH(J980,Rame!$F:$F,0)-1,MATCH(K980,Rame!$F$1:$FF$1,0)-1)=TRUE),0,OFFSET(Rame!$F$1,MATCH(J980,Rame!$F:$F,0)-1,MATCH(K980,Rame!$F$1:$FF$1,0)-1))*IF(G980="Rame",1,0)</f>
        <v>0</v>
      </c>
      <c r="U980" s="205">
        <f ca="1">IF(ISERROR(OFFSET(Bronzo!$A$1,MATCH(J980,Bronzo!$A:$A,0)-1,MATCH(K980,Bronzo!$A$1:$AA$1,0)-1)=TRUE),0,OFFSET(Bronzo!$A$1,MATCH(J980,Bronzo!$A:$A,0)-1,MATCH(K980,Bronzo!$A$1:$AA$1,0)-1))</f>
        <v>0</v>
      </c>
      <c r="V980" s="205">
        <f t="shared" ca="1" si="300"/>
        <v>0</v>
      </c>
      <c r="W980" s="204"/>
      <c r="X980" s="205">
        <v>0</v>
      </c>
      <c r="Y980" s="206">
        <f t="shared" ca="1" si="301"/>
        <v>0</v>
      </c>
      <c r="Z980" s="277">
        <f t="shared" si="302"/>
        <v>0</v>
      </c>
      <c r="AA980" s="203"/>
      <c r="AB980" s="203">
        <f t="shared" ca="1" si="303"/>
        <v>0</v>
      </c>
      <c r="AC980" s="238"/>
      <c r="AI980" s="367">
        <f t="shared" ca="1" si="298"/>
        <v>46092</v>
      </c>
      <c r="AJ980" s="367" t="b">
        <f t="shared" si="292"/>
        <v>1</v>
      </c>
      <c r="AK980" s="370" t="str">
        <f t="shared" si="293"/>
        <v/>
      </c>
      <c r="AN980">
        <f t="shared" si="294"/>
        <v>0</v>
      </c>
      <c r="AO980">
        <f t="shared" si="295"/>
        <v>1900</v>
      </c>
      <c r="AV980">
        <f t="shared" si="296"/>
        <v>0</v>
      </c>
      <c r="AW980">
        <f t="shared" si="297"/>
        <v>0</v>
      </c>
    </row>
    <row r="981" spans="4:49" ht="15.75" x14ac:dyDescent="0.25">
      <c r="D981" s="199"/>
      <c r="E981" s="200"/>
      <c r="F981" s="287"/>
      <c r="G981" s="201"/>
      <c r="H981" s="219"/>
      <c r="I981" s="202"/>
      <c r="J981" s="200"/>
      <c r="K981" s="200"/>
      <c r="L981" s="203"/>
      <c r="M981" s="204">
        <f ca="1">IF(ISERROR(OFFSET(Tabella!$A$1,MATCH(J981,Tabella!$A:$A,0)-1,MATCH(L981,Tabella!$A$1:$AC$1,0)-1)=TRUE),0,+OFFSET(Tabella!$A$1,MATCH(J981,Tabella!$A:$A,0)-1,MATCH(L981,Tabella!$A$1:$AC$1,0)-1))</f>
        <v>0</v>
      </c>
      <c r="N981" s="205">
        <f ca="1">IF(ISERROR(OFFSET(Ottone!$A$1,MATCH(J981,Ottone!$A:$A,0)-1,MATCH(L981,Ottone!$A$1:$Z$1,0)-1)=TRUE),0,OFFSET(Ottone!$A$1,MATCH(J981,Ottone!$A:$A,0)-1,MATCH(L981,Ottone!$A$1:$Z$1,0)-1))*IF(G981="Ottone",1,0)</f>
        <v>0</v>
      </c>
      <c r="O981" s="205">
        <f ca="1">IF(ISERROR(OFFSET(Rame!$A$1,MATCH(J981,Rame!$A:$A,0)-1,MATCH(L981,Rame!$A$1:$AA$1,0)-1)=TRUE),0,OFFSET(Rame!$A$1,MATCH(J981,Rame!$A:$A,0)-1,MATCH(L981,Rame!$A$1:$AA$1,0)-1))*IF(G981="Rame",1,0)</f>
        <v>0</v>
      </c>
      <c r="P981" s="205">
        <v>0</v>
      </c>
      <c r="Q981" s="205">
        <f t="shared" ca="1" si="299"/>
        <v>0</v>
      </c>
      <c r="R981" s="205">
        <f ca="1">+IF(ISERROR(OFFSET(Tabella!$G$1,MATCH(J981,Tabella!$G:$G,0)-1,MATCH(K981,Tabella!$G$1:$FG$1,0)-1)=TRUE),0,OFFSET(Tabella!$G$1,MATCH(J981,Tabella!$G:$G,0)-1,MATCH(K981,Tabella!$G$1:$AB$1,0)-1))</f>
        <v>0</v>
      </c>
      <c r="S981" s="205">
        <f ca="1">IF(ISERROR(OFFSET(Ottone!$F$1,MATCH(J981,Ottone!$A:$A,0)-1,MATCH(K981,Ottone!$F$1:$FF$1,0)-1)=TRUE),0,OFFSET(Ottone!$F$1,MATCH(J981,Ottone!$A:$A,0)-1,MATCH(K981,Ottone!$F$1:$FF$1,0)-1))*IF(G981="Ottone",1,0)</f>
        <v>0</v>
      </c>
      <c r="T981" s="205">
        <f ca="1">IF(ISERROR(OFFSET(Rame!$F$1,MATCH(J981,Rame!$F:$F,0)-1,MATCH(K981,Rame!$F$1:$FF$1,0)-1)=TRUE),0,OFFSET(Rame!$F$1,MATCH(J981,Rame!$F:$F,0)-1,MATCH(K981,Rame!$F$1:$FF$1,0)-1))*IF(G981="Rame",1,0)</f>
        <v>0</v>
      </c>
      <c r="U981" s="205">
        <f ca="1">IF(ISERROR(OFFSET(Bronzo!$A$1,MATCH(J981,Bronzo!$A:$A,0)-1,MATCH(K981,Bronzo!$A$1:$AA$1,0)-1)=TRUE),0,OFFSET(Bronzo!$A$1,MATCH(J981,Bronzo!$A:$A,0)-1,MATCH(K981,Bronzo!$A$1:$AA$1,0)-1))</f>
        <v>0</v>
      </c>
      <c r="V981" s="205">
        <f t="shared" ca="1" si="300"/>
        <v>0</v>
      </c>
      <c r="W981" s="204"/>
      <c r="X981" s="205">
        <v>0</v>
      </c>
      <c r="Y981" s="206">
        <f t="shared" ca="1" si="301"/>
        <v>0</v>
      </c>
      <c r="Z981" s="277">
        <f t="shared" si="302"/>
        <v>0</v>
      </c>
      <c r="AA981" s="203"/>
      <c r="AB981" s="203">
        <f t="shared" ca="1" si="303"/>
        <v>0</v>
      </c>
      <c r="AC981" s="238"/>
      <c r="AI981" s="367">
        <f t="shared" ca="1" si="298"/>
        <v>46092</v>
      </c>
      <c r="AJ981" s="367" t="b">
        <f t="shared" si="292"/>
        <v>1</v>
      </c>
      <c r="AK981" s="370" t="str">
        <f t="shared" si="293"/>
        <v/>
      </c>
      <c r="AN981">
        <f t="shared" si="294"/>
        <v>0</v>
      </c>
      <c r="AO981">
        <f t="shared" si="295"/>
        <v>1900</v>
      </c>
      <c r="AV981">
        <f t="shared" si="296"/>
        <v>0</v>
      </c>
      <c r="AW981">
        <f t="shared" si="297"/>
        <v>0</v>
      </c>
    </row>
    <row r="982" spans="4:49" ht="15.75" x14ac:dyDescent="0.25">
      <c r="D982" s="199"/>
      <c r="E982" s="200"/>
      <c r="F982" s="287"/>
      <c r="G982" s="201"/>
      <c r="H982" s="219"/>
      <c r="I982" s="202"/>
      <c r="J982" s="200"/>
      <c r="K982" s="200"/>
      <c r="L982" s="203"/>
      <c r="M982" s="204">
        <f ca="1">IF(ISERROR(OFFSET(Tabella!$A$1,MATCH(J982,Tabella!$A:$A,0)-1,MATCH(L982,Tabella!$A$1:$AC$1,0)-1)=TRUE),0,+OFFSET(Tabella!$A$1,MATCH(J982,Tabella!$A:$A,0)-1,MATCH(L982,Tabella!$A$1:$AC$1,0)-1))</f>
        <v>0</v>
      </c>
      <c r="N982" s="205">
        <f ca="1">IF(ISERROR(OFFSET(Ottone!$A$1,MATCH(J982,Ottone!$A:$A,0)-1,MATCH(L982,Ottone!$A$1:$Z$1,0)-1)=TRUE),0,OFFSET(Ottone!$A$1,MATCH(J982,Ottone!$A:$A,0)-1,MATCH(L982,Ottone!$A$1:$Z$1,0)-1))*IF(G982="Ottone",1,0)</f>
        <v>0</v>
      </c>
      <c r="O982" s="205">
        <f ca="1">IF(ISERROR(OFFSET(Rame!$A$1,MATCH(J982,Rame!$A:$A,0)-1,MATCH(L982,Rame!$A$1:$AA$1,0)-1)=TRUE),0,OFFSET(Rame!$A$1,MATCH(J982,Rame!$A:$A,0)-1,MATCH(L982,Rame!$A$1:$AA$1,0)-1))*IF(G982="Rame",1,0)</f>
        <v>0</v>
      </c>
      <c r="P982" s="205">
        <v>0</v>
      </c>
      <c r="Q982" s="205">
        <f t="shared" ca="1" si="299"/>
        <v>0</v>
      </c>
      <c r="R982" s="205">
        <f ca="1">+IF(ISERROR(OFFSET(Tabella!$G$1,MATCH(J982,Tabella!$G:$G,0)-1,MATCH(K982,Tabella!$G$1:$FG$1,0)-1)=TRUE),0,OFFSET(Tabella!$G$1,MATCH(J982,Tabella!$G:$G,0)-1,MATCH(K982,Tabella!$G$1:$AB$1,0)-1))</f>
        <v>0</v>
      </c>
      <c r="S982" s="205">
        <f ca="1">IF(ISERROR(OFFSET(Ottone!$F$1,MATCH(J982,Ottone!$A:$A,0)-1,MATCH(K982,Ottone!$F$1:$FF$1,0)-1)=TRUE),0,OFFSET(Ottone!$F$1,MATCH(J982,Ottone!$A:$A,0)-1,MATCH(K982,Ottone!$F$1:$FF$1,0)-1))*IF(G982="Ottone",1,0)</f>
        <v>0</v>
      </c>
      <c r="T982" s="205">
        <f ca="1">IF(ISERROR(OFFSET(Rame!$F$1,MATCH(J982,Rame!$F:$F,0)-1,MATCH(K982,Rame!$F$1:$FF$1,0)-1)=TRUE),0,OFFSET(Rame!$F$1,MATCH(J982,Rame!$F:$F,0)-1,MATCH(K982,Rame!$F$1:$FF$1,0)-1))*IF(G982="Rame",1,0)</f>
        <v>0</v>
      </c>
      <c r="U982" s="205">
        <f ca="1">IF(ISERROR(OFFSET(Bronzo!$A$1,MATCH(J982,Bronzo!$A:$A,0)-1,MATCH(K982,Bronzo!$A$1:$AA$1,0)-1)=TRUE),0,OFFSET(Bronzo!$A$1,MATCH(J982,Bronzo!$A:$A,0)-1,MATCH(K982,Bronzo!$A$1:$AA$1,0)-1))</f>
        <v>0</v>
      </c>
      <c r="V982" s="205">
        <f t="shared" ca="1" si="300"/>
        <v>0</v>
      </c>
      <c r="W982" s="204"/>
      <c r="X982" s="205">
        <v>0</v>
      </c>
      <c r="Y982" s="206">
        <f t="shared" ca="1" si="301"/>
        <v>0</v>
      </c>
      <c r="Z982" s="277">
        <f t="shared" si="302"/>
        <v>0</v>
      </c>
      <c r="AA982" s="203"/>
      <c r="AB982" s="203">
        <f t="shared" ca="1" si="303"/>
        <v>0</v>
      </c>
      <c r="AC982" s="238"/>
      <c r="AI982" s="367">
        <f t="shared" ca="1" si="298"/>
        <v>46092</v>
      </c>
      <c r="AJ982" s="367" t="b">
        <f t="shared" si="292"/>
        <v>1</v>
      </c>
      <c r="AK982" s="370" t="str">
        <f t="shared" si="293"/>
        <v/>
      </c>
      <c r="AN982">
        <f t="shared" si="294"/>
        <v>0</v>
      </c>
      <c r="AO982">
        <f t="shared" si="295"/>
        <v>1900</v>
      </c>
      <c r="AV982">
        <f t="shared" si="296"/>
        <v>0</v>
      </c>
      <c r="AW982">
        <f t="shared" si="297"/>
        <v>0</v>
      </c>
    </row>
    <row r="983" spans="4:49" ht="15.75" x14ac:dyDescent="0.25">
      <c r="D983" s="199"/>
      <c r="E983" s="200"/>
      <c r="F983" s="287"/>
      <c r="G983" s="201"/>
      <c r="H983" s="219"/>
      <c r="I983" s="202"/>
      <c r="J983" s="200"/>
      <c r="K983" s="200"/>
      <c r="L983" s="203"/>
      <c r="M983" s="204">
        <f ca="1">IF(ISERROR(OFFSET(Tabella!$A$1,MATCH(J983,Tabella!$A:$A,0)-1,MATCH(L983,Tabella!$A$1:$AC$1,0)-1)=TRUE),0,+OFFSET(Tabella!$A$1,MATCH(J983,Tabella!$A:$A,0)-1,MATCH(L983,Tabella!$A$1:$AC$1,0)-1))</f>
        <v>0</v>
      </c>
      <c r="N983" s="205">
        <f ca="1">IF(ISERROR(OFFSET(Ottone!$A$1,MATCH(J983,Ottone!$A:$A,0)-1,MATCH(L983,Ottone!$A$1:$Z$1,0)-1)=TRUE),0,OFFSET(Ottone!$A$1,MATCH(J983,Ottone!$A:$A,0)-1,MATCH(L983,Ottone!$A$1:$Z$1,0)-1))*IF(G983="Ottone",1,0)</f>
        <v>0</v>
      </c>
      <c r="O983" s="205">
        <f ca="1">IF(ISERROR(OFFSET(Rame!$A$1,MATCH(J983,Rame!$A:$A,0)-1,MATCH(L983,Rame!$A$1:$AA$1,0)-1)=TRUE),0,OFFSET(Rame!$A$1,MATCH(J983,Rame!$A:$A,0)-1,MATCH(L983,Rame!$A$1:$AA$1,0)-1))*IF(G983="Rame",1,0)</f>
        <v>0</v>
      </c>
      <c r="P983" s="205">
        <v>0</v>
      </c>
      <c r="Q983" s="205">
        <f t="shared" ca="1" si="299"/>
        <v>0</v>
      </c>
      <c r="R983" s="205">
        <f ca="1">+IF(ISERROR(OFFSET(Tabella!$G$1,MATCH(J983,Tabella!$G:$G,0)-1,MATCH(K983,Tabella!$G$1:$FG$1,0)-1)=TRUE),0,OFFSET(Tabella!$G$1,MATCH(J983,Tabella!$G:$G,0)-1,MATCH(K983,Tabella!$G$1:$AB$1,0)-1))</f>
        <v>0</v>
      </c>
      <c r="S983" s="205">
        <f ca="1">IF(ISERROR(OFFSET(Ottone!$F$1,MATCH(J983,Ottone!$A:$A,0)-1,MATCH(K983,Ottone!$F$1:$FF$1,0)-1)=TRUE),0,OFFSET(Ottone!$F$1,MATCH(J983,Ottone!$A:$A,0)-1,MATCH(K983,Ottone!$F$1:$FF$1,0)-1))*IF(G983="Ottone",1,0)</f>
        <v>0</v>
      </c>
      <c r="T983" s="205">
        <f ca="1">IF(ISERROR(OFFSET(Rame!$F$1,MATCH(J983,Rame!$F:$F,0)-1,MATCH(K983,Rame!$F$1:$FF$1,0)-1)=TRUE),0,OFFSET(Rame!$F$1,MATCH(J983,Rame!$F:$F,0)-1,MATCH(K983,Rame!$F$1:$FF$1,0)-1))*IF(G983="Rame",1,0)</f>
        <v>0</v>
      </c>
      <c r="U983" s="205">
        <f ca="1">IF(ISERROR(OFFSET(Bronzo!$A$1,MATCH(J983,Bronzo!$A:$A,0)-1,MATCH(K983,Bronzo!$A$1:$AA$1,0)-1)=TRUE),0,OFFSET(Bronzo!$A$1,MATCH(J983,Bronzo!$A:$A,0)-1,MATCH(K983,Bronzo!$A$1:$AA$1,0)-1))</f>
        <v>0</v>
      </c>
      <c r="V983" s="205">
        <f t="shared" ca="1" si="300"/>
        <v>0</v>
      </c>
      <c r="W983" s="204"/>
      <c r="X983" s="205">
        <v>0</v>
      </c>
      <c r="Y983" s="206">
        <f t="shared" ca="1" si="301"/>
        <v>0</v>
      </c>
      <c r="Z983" s="277">
        <f t="shared" si="302"/>
        <v>0</v>
      </c>
      <c r="AA983" s="203"/>
      <c r="AB983" s="203">
        <f t="shared" ca="1" si="303"/>
        <v>0</v>
      </c>
      <c r="AC983" s="238"/>
      <c r="AI983" s="367">
        <f t="shared" ca="1" si="298"/>
        <v>46092</v>
      </c>
      <c r="AJ983" s="367" t="b">
        <f t="shared" si="292"/>
        <v>1</v>
      </c>
      <c r="AK983" s="370" t="str">
        <f t="shared" si="293"/>
        <v/>
      </c>
      <c r="AN983">
        <f t="shared" si="294"/>
        <v>0</v>
      </c>
      <c r="AO983">
        <f t="shared" si="295"/>
        <v>1900</v>
      </c>
      <c r="AV983">
        <f t="shared" si="296"/>
        <v>0</v>
      </c>
      <c r="AW983">
        <f t="shared" si="297"/>
        <v>0</v>
      </c>
    </row>
    <row r="984" spans="4:49" ht="15.75" x14ac:dyDescent="0.25">
      <c r="D984" s="199"/>
      <c r="E984" s="200"/>
      <c r="F984" s="287"/>
      <c r="G984" s="201"/>
      <c r="H984" s="219"/>
      <c r="I984" s="202"/>
      <c r="J984" s="200"/>
      <c r="K984" s="200"/>
      <c r="L984" s="203"/>
      <c r="M984" s="204">
        <f ca="1">IF(ISERROR(OFFSET(Tabella!$A$1,MATCH(J984,Tabella!$A:$A,0)-1,MATCH(L984,Tabella!$A$1:$AC$1,0)-1)=TRUE),0,+OFFSET(Tabella!$A$1,MATCH(J984,Tabella!$A:$A,0)-1,MATCH(L984,Tabella!$A$1:$AC$1,0)-1))</f>
        <v>0</v>
      </c>
      <c r="N984" s="205">
        <f ca="1">IF(ISERROR(OFFSET(Ottone!$A$1,MATCH(J984,Ottone!$A:$A,0)-1,MATCH(L984,Ottone!$A$1:$Z$1,0)-1)=TRUE),0,OFFSET(Ottone!$A$1,MATCH(J984,Ottone!$A:$A,0)-1,MATCH(L984,Ottone!$A$1:$Z$1,0)-1))*IF(G984="Ottone",1,0)</f>
        <v>0</v>
      </c>
      <c r="O984" s="205">
        <f ca="1">IF(ISERROR(OFFSET(Rame!$A$1,MATCH(J984,Rame!$A:$A,0)-1,MATCH(L984,Rame!$A$1:$AA$1,0)-1)=TRUE),0,OFFSET(Rame!$A$1,MATCH(J984,Rame!$A:$A,0)-1,MATCH(L984,Rame!$A$1:$AA$1,0)-1))*IF(G984="Rame",1,0)</f>
        <v>0</v>
      </c>
      <c r="P984" s="205">
        <v>0</v>
      </c>
      <c r="Q984" s="205">
        <f t="shared" ca="1" si="299"/>
        <v>0</v>
      </c>
      <c r="R984" s="205">
        <f ca="1">+IF(ISERROR(OFFSET(Tabella!$G$1,MATCH(J984,Tabella!$G:$G,0)-1,MATCH(K984,Tabella!$G$1:$FG$1,0)-1)=TRUE),0,OFFSET(Tabella!$G$1,MATCH(J984,Tabella!$G:$G,0)-1,MATCH(K984,Tabella!$G$1:$AB$1,0)-1))</f>
        <v>0</v>
      </c>
      <c r="S984" s="205">
        <f ca="1">IF(ISERROR(OFFSET(Ottone!$F$1,MATCH(J984,Ottone!$A:$A,0)-1,MATCH(K984,Ottone!$F$1:$FF$1,0)-1)=TRUE),0,OFFSET(Ottone!$F$1,MATCH(J984,Ottone!$A:$A,0)-1,MATCH(K984,Ottone!$F$1:$FF$1,0)-1))*IF(G984="Ottone",1,0)</f>
        <v>0</v>
      </c>
      <c r="T984" s="205">
        <f ca="1">IF(ISERROR(OFFSET(Rame!$F$1,MATCH(J984,Rame!$F:$F,0)-1,MATCH(K984,Rame!$F$1:$FF$1,0)-1)=TRUE),0,OFFSET(Rame!$F$1,MATCH(J984,Rame!$F:$F,0)-1,MATCH(K984,Rame!$F$1:$FF$1,0)-1))*IF(G984="Rame",1,0)</f>
        <v>0</v>
      </c>
      <c r="U984" s="205">
        <f ca="1">IF(ISERROR(OFFSET(Bronzo!$A$1,MATCH(J984,Bronzo!$A:$A,0)-1,MATCH(K984,Bronzo!$A$1:$AA$1,0)-1)=TRUE),0,OFFSET(Bronzo!$A$1,MATCH(J984,Bronzo!$A:$A,0)-1,MATCH(K984,Bronzo!$A$1:$AA$1,0)-1))</f>
        <v>0</v>
      </c>
      <c r="V984" s="205">
        <f t="shared" ca="1" si="300"/>
        <v>0</v>
      </c>
      <c r="W984" s="204"/>
      <c r="X984" s="205">
        <v>0</v>
      </c>
      <c r="Y984" s="206">
        <f t="shared" ca="1" si="301"/>
        <v>0</v>
      </c>
      <c r="Z984" s="277">
        <f t="shared" si="302"/>
        <v>0</v>
      </c>
      <c r="AA984" s="203"/>
      <c r="AB984" s="203">
        <f t="shared" ca="1" si="303"/>
        <v>0</v>
      </c>
      <c r="AC984" s="238"/>
      <c r="AI984" s="367">
        <f t="shared" ca="1" si="298"/>
        <v>46092</v>
      </c>
      <c r="AJ984" s="367" t="b">
        <f t="shared" si="292"/>
        <v>1</v>
      </c>
      <c r="AK984" s="370" t="str">
        <f t="shared" si="293"/>
        <v/>
      </c>
      <c r="AN984">
        <f t="shared" si="294"/>
        <v>0</v>
      </c>
      <c r="AO984">
        <f t="shared" si="295"/>
        <v>1900</v>
      </c>
      <c r="AV984">
        <f t="shared" si="296"/>
        <v>0</v>
      </c>
      <c r="AW984">
        <f t="shared" si="297"/>
        <v>0</v>
      </c>
    </row>
    <row r="985" spans="4:49" ht="15.75" x14ac:dyDescent="0.25">
      <c r="D985" s="199"/>
      <c r="E985" s="200"/>
      <c r="F985" s="287"/>
      <c r="G985" s="201"/>
      <c r="H985" s="219"/>
      <c r="I985" s="202"/>
      <c r="J985" s="200"/>
      <c r="K985" s="200"/>
      <c r="L985" s="203"/>
      <c r="M985" s="204">
        <f ca="1">IF(ISERROR(OFFSET(Tabella!$A$1,MATCH(J985,Tabella!$A:$A,0)-1,MATCH(L985,Tabella!$A$1:$AC$1,0)-1)=TRUE),0,+OFFSET(Tabella!$A$1,MATCH(J985,Tabella!$A:$A,0)-1,MATCH(L985,Tabella!$A$1:$AC$1,0)-1))</f>
        <v>0</v>
      </c>
      <c r="N985" s="205">
        <f ca="1">IF(ISERROR(OFFSET(Ottone!$A$1,MATCH(J985,Ottone!$A:$A,0)-1,MATCH(L985,Ottone!$A$1:$Z$1,0)-1)=TRUE),0,OFFSET(Ottone!$A$1,MATCH(J985,Ottone!$A:$A,0)-1,MATCH(L985,Ottone!$A$1:$Z$1,0)-1))*IF(G985="Ottone",1,0)</f>
        <v>0</v>
      </c>
      <c r="O985" s="205">
        <f ca="1">IF(ISERROR(OFFSET(Rame!$A$1,MATCH(J985,Rame!$A:$A,0)-1,MATCH(L985,Rame!$A$1:$AA$1,0)-1)=TRUE),0,OFFSET(Rame!$A$1,MATCH(J985,Rame!$A:$A,0)-1,MATCH(L985,Rame!$A$1:$AA$1,0)-1))*IF(G985="Rame",1,0)</f>
        <v>0</v>
      </c>
      <c r="P985" s="205">
        <v>0</v>
      </c>
      <c r="Q985" s="205">
        <f t="shared" ca="1" si="299"/>
        <v>0</v>
      </c>
      <c r="R985" s="205">
        <f ca="1">+IF(ISERROR(OFFSET(Tabella!$G$1,MATCH(J985,Tabella!$G:$G,0)-1,MATCH(K985,Tabella!$G$1:$FG$1,0)-1)=TRUE),0,OFFSET(Tabella!$G$1,MATCH(J985,Tabella!$G:$G,0)-1,MATCH(K985,Tabella!$G$1:$AB$1,0)-1))</f>
        <v>0</v>
      </c>
      <c r="S985" s="205">
        <f ca="1">IF(ISERROR(OFFSET(Ottone!$F$1,MATCH(J985,Ottone!$A:$A,0)-1,MATCH(K985,Ottone!$F$1:$FF$1,0)-1)=TRUE),0,OFFSET(Ottone!$F$1,MATCH(J985,Ottone!$A:$A,0)-1,MATCH(K985,Ottone!$F$1:$FF$1,0)-1))*IF(G985="Ottone",1,0)</f>
        <v>0</v>
      </c>
      <c r="T985" s="205">
        <f ca="1">IF(ISERROR(OFFSET(Rame!$F$1,MATCH(J985,Rame!$F:$F,0)-1,MATCH(K985,Rame!$F$1:$FF$1,0)-1)=TRUE),0,OFFSET(Rame!$F$1,MATCH(J985,Rame!$F:$F,0)-1,MATCH(K985,Rame!$F$1:$FF$1,0)-1))*IF(G985="Rame",1,0)</f>
        <v>0</v>
      </c>
      <c r="U985" s="205">
        <f ca="1">IF(ISERROR(OFFSET(Bronzo!$A$1,MATCH(J985,Bronzo!$A:$A,0)-1,MATCH(K985,Bronzo!$A$1:$AA$1,0)-1)=TRUE),0,OFFSET(Bronzo!$A$1,MATCH(J985,Bronzo!$A:$A,0)-1,MATCH(K985,Bronzo!$A$1:$AA$1,0)-1))</f>
        <v>0</v>
      </c>
      <c r="V985" s="205">
        <f t="shared" ca="1" si="300"/>
        <v>0</v>
      </c>
      <c r="W985" s="204"/>
      <c r="X985" s="205">
        <v>0</v>
      </c>
      <c r="Y985" s="206">
        <f t="shared" ca="1" si="301"/>
        <v>0</v>
      </c>
      <c r="Z985" s="277">
        <f t="shared" si="302"/>
        <v>0</v>
      </c>
      <c r="AA985" s="203"/>
      <c r="AB985" s="203">
        <f t="shared" ca="1" si="303"/>
        <v>0</v>
      </c>
      <c r="AC985" s="238"/>
      <c r="AI985" s="367">
        <f t="shared" ca="1" si="298"/>
        <v>46092</v>
      </c>
      <c r="AJ985" s="367" t="b">
        <f t="shared" si="292"/>
        <v>1</v>
      </c>
      <c r="AK985" s="370" t="str">
        <f t="shared" si="293"/>
        <v/>
      </c>
      <c r="AN985">
        <f t="shared" si="294"/>
        <v>0</v>
      </c>
      <c r="AO985">
        <f t="shared" si="295"/>
        <v>1900</v>
      </c>
      <c r="AV985">
        <f t="shared" si="296"/>
        <v>0</v>
      </c>
      <c r="AW985">
        <f t="shared" si="297"/>
        <v>0</v>
      </c>
    </row>
    <row r="986" spans="4:49" ht="15.75" x14ac:dyDescent="0.25">
      <c r="D986" s="199"/>
      <c r="E986" s="200"/>
      <c r="F986" s="287"/>
      <c r="G986" s="201"/>
      <c r="H986" s="219"/>
      <c r="I986" s="202"/>
      <c r="J986" s="200"/>
      <c r="K986" s="200"/>
      <c r="L986" s="203"/>
      <c r="M986" s="204">
        <f ca="1">IF(ISERROR(OFFSET(Tabella!$A$1,MATCH(J986,Tabella!$A:$A,0)-1,MATCH(L986,Tabella!$A$1:$AC$1,0)-1)=TRUE),0,+OFFSET(Tabella!$A$1,MATCH(J986,Tabella!$A:$A,0)-1,MATCH(L986,Tabella!$A$1:$AC$1,0)-1))</f>
        <v>0</v>
      </c>
      <c r="N986" s="205">
        <f ca="1">IF(ISERROR(OFFSET(Ottone!$A$1,MATCH(J986,Ottone!$A:$A,0)-1,MATCH(L986,Ottone!$A$1:$Z$1,0)-1)=TRUE),0,OFFSET(Ottone!$A$1,MATCH(J986,Ottone!$A:$A,0)-1,MATCH(L986,Ottone!$A$1:$Z$1,0)-1))*IF(G986="Ottone",1,0)</f>
        <v>0</v>
      </c>
      <c r="O986" s="205">
        <f ca="1">IF(ISERROR(OFFSET(Rame!$A$1,MATCH(J986,Rame!$A:$A,0)-1,MATCH(L986,Rame!$A$1:$AA$1,0)-1)=TRUE),0,OFFSET(Rame!$A$1,MATCH(J986,Rame!$A:$A,0)-1,MATCH(L986,Rame!$A$1:$AA$1,0)-1))*IF(G986="Rame",1,0)</f>
        <v>0</v>
      </c>
      <c r="P986" s="205">
        <v>0</v>
      </c>
      <c r="Q986" s="205">
        <f t="shared" ca="1" si="299"/>
        <v>0</v>
      </c>
      <c r="R986" s="205">
        <f ca="1">+IF(ISERROR(OFFSET(Tabella!$G$1,MATCH(J986,Tabella!$G:$G,0)-1,MATCH(K986,Tabella!$G$1:$FG$1,0)-1)=TRUE),0,OFFSET(Tabella!$G$1,MATCH(J986,Tabella!$G:$G,0)-1,MATCH(K986,Tabella!$G$1:$AB$1,0)-1))</f>
        <v>0</v>
      </c>
      <c r="S986" s="205">
        <f ca="1">IF(ISERROR(OFFSET(Ottone!$F$1,MATCH(J986,Ottone!$A:$A,0)-1,MATCH(K986,Ottone!$F$1:$FF$1,0)-1)=TRUE),0,OFFSET(Ottone!$F$1,MATCH(J986,Ottone!$A:$A,0)-1,MATCH(K986,Ottone!$F$1:$FF$1,0)-1))*IF(G986="Ottone",1,0)</f>
        <v>0</v>
      </c>
      <c r="T986" s="205">
        <f ca="1">IF(ISERROR(OFFSET(Rame!$F$1,MATCH(J986,Rame!$F:$F,0)-1,MATCH(K986,Rame!$F$1:$FF$1,0)-1)=TRUE),0,OFFSET(Rame!$F$1,MATCH(J986,Rame!$F:$F,0)-1,MATCH(K986,Rame!$F$1:$FF$1,0)-1))*IF(G986="Rame",1,0)</f>
        <v>0</v>
      </c>
      <c r="U986" s="205">
        <f ca="1">IF(ISERROR(OFFSET(Bronzo!$A$1,MATCH(J986,Bronzo!$A:$A,0)-1,MATCH(K986,Bronzo!$A$1:$AA$1,0)-1)=TRUE),0,OFFSET(Bronzo!$A$1,MATCH(J986,Bronzo!$A:$A,0)-1,MATCH(K986,Bronzo!$A$1:$AA$1,0)-1))</f>
        <v>0</v>
      </c>
      <c r="V986" s="205">
        <f t="shared" ca="1" si="300"/>
        <v>0</v>
      </c>
      <c r="W986" s="204"/>
      <c r="X986" s="205">
        <v>0</v>
      </c>
      <c r="Y986" s="206">
        <f t="shared" ca="1" si="301"/>
        <v>0</v>
      </c>
      <c r="Z986" s="277">
        <f t="shared" si="302"/>
        <v>0</v>
      </c>
      <c r="AA986" s="203"/>
      <c r="AB986" s="203">
        <f t="shared" ca="1" si="303"/>
        <v>0</v>
      </c>
      <c r="AC986" s="238"/>
      <c r="AI986" s="367">
        <f t="shared" ca="1" si="298"/>
        <v>46092</v>
      </c>
      <c r="AJ986" s="367" t="b">
        <f t="shared" si="292"/>
        <v>1</v>
      </c>
      <c r="AK986" s="370" t="str">
        <f t="shared" si="293"/>
        <v/>
      </c>
      <c r="AN986">
        <f t="shared" si="294"/>
        <v>0</v>
      </c>
      <c r="AO986">
        <f t="shared" si="295"/>
        <v>1900</v>
      </c>
      <c r="AV986">
        <f t="shared" si="296"/>
        <v>0</v>
      </c>
      <c r="AW986">
        <f t="shared" si="297"/>
        <v>0</v>
      </c>
    </row>
    <row r="987" spans="4:49" ht="15.75" x14ac:dyDescent="0.25">
      <c r="D987" s="199"/>
      <c r="E987" s="200"/>
      <c r="F987" s="287"/>
      <c r="G987" s="201"/>
      <c r="H987" s="219"/>
      <c r="I987" s="202"/>
      <c r="J987" s="200"/>
      <c r="K987" s="200"/>
      <c r="L987" s="203"/>
      <c r="M987" s="204">
        <f ca="1">IF(ISERROR(OFFSET(Tabella!$A$1,MATCH(J987,Tabella!$A:$A,0)-1,MATCH(L987,Tabella!$A$1:$AC$1,0)-1)=TRUE),0,+OFFSET(Tabella!$A$1,MATCH(J987,Tabella!$A:$A,0)-1,MATCH(L987,Tabella!$A$1:$AC$1,0)-1))</f>
        <v>0</v>
      </c>
      <c r="N987" s="205">
        <f ca="1">IF(ISERROR(OFFSET(Ottone!$A$1,MATCH(J987,Ottone!$A:$A,0)-1,MATCH(L987,Ottone!$A$1:$Z$1,0)-1)=TRUE),0,OFFSET(Ottone!$A$1,MATCH(J987,Ottone!$A:$A,0)-1,MATCH(L987,Ottone!$A$1:$Z$1,0)-1))*IF(G987="Ottone",1,0)</f>
        <v>0</v>
      </c>
      <c r="O987" s="205">
        <f ca="1">IF(ISERROR(OFFSET(Rame!$A$1,MATCH(J987,Rame!$A:$A,0)-1,MATCH(L987,Rame!$A$1:$AA$1,0)-1)=TRUE),0,OFFSET(Rame!$A$1,MATCH(J987,Rame!$A:$A,0)-1,MATCH(L987,Rame!$A$1:$AA$1,0)-1))*IF(G987="Rame",1,0)</f>
        <v>0</v>
      </c>
      <c r="P987" s="205">
        <v>0</v>
      </c>
      <c r="Q987" s="205">
        <f t="shared" ca="1" si="299"/>
        <v>0</v>
      </c>
      <c r="R987" s="205">
        <f ca="1">+IF(ISERROR(OFFSET(Tabella!$G$1,MATCH(J987,Tabella!$G:$G,0)-1,MATCH(K987,Tabella!$G$1:$FG$1,0)-1)=TRUE),0,OFFSET(Tabella!$G$1,MATCH(J987,Tabella!$G:$G,0)-1,MATCH(K987,Tabella!$G$1:$AB$1,0)-1))</f>
        <v>0</v>
      </c>
      <c r="S987" s="205">
        <f ca="1">IF(ISERROR(OFFSET(Ottone!$F$1,MATCH(J987,Ottone!$A:$A,0)-1,MATCH(K987,Ottone!$F$1:$FF$1,0)-1)=TRUE),0,OFFSET(Ottone!$F$1,MATCH(J987,Ottone!$A:$A,0)-1,MATCH(K987,Ottone!$F$1:$FF$1,0)-1))*IF(G987="Ottone",1,0)</f>
        <v>0</v>
      </c>
      <c r="T987" s="205">
        <f ca="1">IF(ISERROR(OFFSET(Rame!$F$1,MATCH(J987,Rame!$F:$F,0)-1,MATCH(K987,Rame!$F$1:$FF$1,0)-1)=TRUE),0,OFFSET(Rame!$F$1,MATCH(J987,Rame!$F:$F,0)-1,MATCH(K987,Rame!$F$1:$FF$1,0)-1))*IF(G987="Rame",1,0)</f>
        <v>0</v>
      </c>
      <c r="U987" s="205">
        <f ca="1">IF(ISERROR(OFFSET(Bronzo!$A$1,MATCH(J987,Bronzo!$A:$A,0)-1,MATCH(K987,Bronzo!$A$1:$AA$1,0)-1)=TRUE),0,OFFSET(Bronzo!$A$1,MATCH(J987,Bronzo!$A:$A,0)-1,MATCH(K987,Bronzo!$A$1:$AA$1,0)-1))</f>
        <v>0</v>
      </c>
      <c r="V987" s="205">
        <f t="shared" ca="1" si="300"/>
        <v>0</v>
      </c>
      <c r="W987" s="204"/>
      <c r="X987" s="205">
        <v>0</v>
      </c>
      <c r="Y987" s="206">
        <f t="shared" ca="1" si="301"/>
        <v>0</v>
      </c>
      <c r="Z987" s="277">
        <f t="shared" si="302"/>
        <v>0</v>
      </c>
      <c r="AA987" s="203"/>
      <c r="AB987" s="203">
        <f t="shared" ca="1" si="303"/>
        <v>0</v>
      </c>
      <c r="AC987" s="238"/>
      <c r="AI987" s="367">
        <f t="shared" ca="1" si="298"/>
        <v>46092</v>
      </c>
      <c r="AJ987" s="367" t="b">
        <f t="shared" si="292"/>
        <v>1</v>
      </c>
      <c r="AK987" s="370" t="str">
        <f t="shared" si="293"/>
        <v/>
      </c>
      <c r="AN987">
        <f t="shared" si="294"/>
        <v>0</v>
      </c>
      <c r="AO987">
        <f t="shared" si="295"/>
        <v>1900</v>
      </c>
      <c r="AV987">
        <f t="shared" si="296"/>
        <v>0</v>
      </c>
      <c r="AW987">
        <f t="shared" si="297"/>
        <v>0</v>
      </c>
    </row>
    <row r="988" spans="4:49" ht="15.75" x14ac:dyDescent="0.25">
      <c r="D988" s="199"/>
      <c r="E988" s="200"/>
      <c r="F988" s="287"/>
      <c r="G988" s="201"/>
      <c r="H988" s="219"/>
      <c r="I988" s="202"/>
      <c r="J988" s="200"/>
      <c r="K988" s="200"/>
      <c r="L988" s="203"/>
      <c r="M988" s="204">
        <f ca="1">IF(ISERROR(OFFSET(Tabella!$A$1,MATCH(J988,Tabella!$A:$A,0)-1,MATCH(L988,Tabella!$A$1:$AC$1,0)-1)=TRUE),0,+OFFSET(Tabella!$A$1,MATCH(J988,Tabella!$A:$A,0)-1,MATCH(L988,Tabella!$A$1:$AC$1,0)-1))</f>
        <v>0</v>
      </c>
      <c r="N988" s="205">
        <f ca="1">IF(ISERROR(OFFSET(Ottone!$A$1,MATCH(J988,Ottone!$A:$A,0)-1,MATCH(L988,Ottone!$A$1:$Z$1,0)-1)=TRUE),0,OFFSET(Ottone!$A$1,MATCH(J988,Ottone!$A:$A,0)-1,MATCH(L988,Ottone!$A$1:$Z$1,0)-1))*IF(G988="Ottone",1,0)</f>
        <v>0</v>
      </c>
      <c r="O988" s="205">
        <f ca="1">IF(ISERROR(OFFSET(Rame!$A$1,MATCH(J988,Rame!$A:$A,0)-1,MATCH(L988,Rame!$A$1:$AA$1,0)-1)=TRUE),0,OFFSET(Rame!$A$1,MATCH(J988,Rame!$A:$A,0)-1,MATCH(L988,Rame!$A$1:$AA$1,0)-1))*IF(G988="Rame",1,0)</f>
        <v>0</v>
      </c>
      <c r="P988" s="205">
        <v>0</v>
      </c>
      <c r="Q988" s="205">
        <f t="shared" ca="1" si="299"/>
        <v>0</v>
      </c>
      <c r="R988" s="205">
        <f ca="1">+IF(ISERROR(OFFSET(Tabella!$G$1,MATCH(J988,Tabella!$G:$G,0)-1,MATCH(K988,Tabella!$G$1:$FG$1,0)-1)=TRUE),0,OFFSET(Tabella!$G$1,MATCH(J988,Tabella!$G:$G,0)-1,MATCH(K988,Tabella!$G$1:$AB$1,0)-1))</f>
        <v>0</v>
      </c>
      <c r="S988" s="205">
        <f ca="1">IF(ISERROR(OFFSET(Ottone!$F$1,MATCH(J988,Ottone!$A:$A,0)-1,MATCH(K988,Ottone!$F$1:$FF$1,0)-1)=TRUE),0,OFFSET(Ottone!$F$1,MATCH(J988,Ottone!$A:$A,0)-1,MATCH(K988,Ottone!$F$1:$FF$1,0)-1))*IF(G988="Ottone",1,0)</f>
        <v>0</v>
      </c>
      <c r="T988" s="205">
        <f ca="1">IF(ISERROR(OFFSET(Rame!$F$1,MATCH(J988,Rame!$F:$F,0)-1,MATCH(K988,Rame!$F$1:$FF$1,0)-1)=TRUE),0,OFFSET(Rame!$F$1,MATCH(J988,Rame!$F:$F,0)-1,MATCH(K988,Rame!$F$1:$FF$1,0)-1))*IF(G988="Rame",1,0)</f>
        <v>0</v>
      </c>
      <c r="U988" s="205">
        <f ca="1">IF(ISERROR(OFFSET(Bronzo!$A$1,MATCH(J988,Bronzo!$A:$A,0)-1,MATCH(K988,Bronzo!$A$1:$AA$1,0)-1)=TRUE),0,OFFSET(Bronzo!$A$1,MATCH(J988,Bronzo!$A:$A,0)-1,MATCH(K988,Bronzo!$A$1:$AA$1,0)-1))</f>
        <v>0</v>
      </c>
      <c r="V988" s="205">
        <f t="shared" ca="1" si="300"/>
        <v>0</v>
      </c>
      <c r="W988" s="204"/>
      <c r="X988" s="205">
        <v>0</v>
      </c>
      <c r="Y988" s="206">
        <f t="shared" ca="1" si="301"/>
        <v>0</v>
      </c>
      <c r="Z988" s="277">
        <f t="shared" si="302"/>
        <v>0</v>
      </c>
      <c r="AA988" s="203"/>
      <c r="AB988" s="203">
        <f t="shared" ca="1" si="303"/>
        <v>0</v>
      </c>
      <c r="AC988" s="238"/>
      <c r="AI988" s="367">
        <f t="shared" ca="1" si="298"/>
        <v>46092</v>
      </c>
      <c r="AJ988" s="367" t="b">
        <f t="shared" si="292"/>
        <v>1</v>
      </c>
      <c r="AK988" s="370" t="str">
        <f t="shared" si="293"/>
        <v/>
      </c>
      <c r="AN988">
        <f t="shared" si="294"/>
        <v>0</v>
      </c>
      <c r="AO988">
        <f t="shared" si="295"/>
        <v>1900</v>
      </c>
      <c r="AV988">
        <f t="shared" si="296"/>
        <v>0</v>
      </c>
      <c r="AW988">
        <f t="shared" si="297"/>
        <v>0</v>
      </c>
    </row>
    <row r="989" spans="4:49" ht="15.75" x14ac:dyDescent="0.25">
      <c r="D989" s="199"/>
      <c r="E989" s="200"/>
      <c r="F989" s="287"/>
      <c r="G989" s="201"/>
      <c r="H989" s="219"/>
      <c r="I989" s="202"/>
      <c r="J989" s="200"/>
      <c r="K989" s="200"/>
      <c r="L989" s="203"/>
      <c r="M989" s="204">
        <f ca="1">IF(ISERROR(OFFSET(Tabella!$A$1,MATCH(J989,Tabella!$A:$A,0)-1,MATCH(L989,Tabella!$A$1:$AC$1,0)-1)=TRUE),0,+OFFSET(Tabella!$A$1,MATCH(J989,Tabella!$A:$A,0)-1,MATCH(L989,Tabella!$A$1:$AC$1,0)-1))</f>
        <v>0</v>
      </c>
      <c r="N989" s="205">
        <f ca="1">IF(ISERROR(OFFSET(Ottone!$A$1,MATCH(J989,Ottone!$A:$A,0)-1,MATCH(L989,Ottone!$A$1:$Z$1,0)-1)=TRUE),0,OFFSET(Ottone!$A$1,MATCH(J989,Ottone!$A:$A,0)-1,MATCH(L989,Ottone!$A$1:$Z$1,0)-1))*IF(G989="Ottone",1,0)</f>
        <v>0</v>
      </c>
      <c r="O989" s="205">
        <f ca="1">IF(ISERROR(OFFSET(Rame!$A$1,MATCH(J989,Rame!$A:$A,0)-1,MATCH(L989,Rame!$A$1:$AA$1,0)-1)=TRUE),0,OFFSET(Rame!$A$1,MATCH(J989,Rame!$A:$A,0)-1,MATCH(L989,Rame!$A$1:$AA$1,0)-1))*IF(G989="Rame",1,0)</f>
        <v>0</v>
      </c>
      <c r="P989" s="205">
        <v>0</v>
      </c>
      <c r="Q989" s="205">
        <f t="shared" ca="1" si="299"/>
        <v>0</v>
      </c>
      <c r="R989" s="205">
        <f ca="1">+IF(ISERROR(OFFSET(Tabella!$G$1,MATCH(J989,Tabella!$G:$G,0)-1,MATCH(K989,Tabella!$G$1:$FG$1,0)-1)=TRUE),0,OFFSET(Tabella!$G$1,MATCH(J989,Tabella!$G:$G,0)-1,MATCH(K989,Tabella!$G$1:$AB$1,0)-1))</f>
        <v>0</v>
      </c>
      <c r="S989" s="205">
        <f ca="1">IF(ISERROR(OFFSET(Ottone!$F$1,MATCH(J989,Ottone!$A:$A,0)-1,MATCH(K989,Ottone!$F$1:$FF$1,0)-1)=TRUE),0,OFFSET(Ottone!$F$1,MATCH(J989,Ottone!$A:$A,0)-1,MATCH(K989,Ottone!$F$1:$FF$1,0)-1))*IF(G989="Ottone",1,0)</f>
        <v>0</v>
      </c>
      <c r="T989" s="205">
        <f ca="1">IF(ISERROR(OFFSET(Rame!$F$1,MATCH(J989,Rame!$F:$F,0)-1,MATCH(K989,Rame!$F$1:$FF$1,0)-1)=TRUE),0,OFFSET(Rame!$F$1,MATCH(J989,Rame!$F:$F,0)-1,MATCH(K989,Rame!$F$1:$FF$1,0)-1))*IF(G989="Rame",1,0)</f>
        <v>0</v>
      </c>
      <c r="U989" s="205">
        <f ca="1">IF(ISERROR(OFFSET(Bronzo!$A$1,MATCH(J989,Bronzo!$A:$A,0)-1,MATCH(K989,Bronzo!$A$1:$AA$1,0)-1)=TRUE),0,OFFSET(Bronzo!$A$1,MATCH(J989,Bronzo!$A:$A,0)-1,MATCH(K989,Bronzo!$A$1:$AA$1,0)-1))</f>
        <v>0</v>
      </c>
      <c r="V989" s="205">
        <f t="shared" ca="1" si="300"/>
        <v>0</v>
      </c>
      <c r="W989" s="204"/>
      <c r="X989" s="205">
        <v>0</v>
      </c>
      <c r="Y989" s="206">
        <f t="shared" ca="1" si="301"/>
        <v>0</v>
      </c>
      <c r="Z989" s="277">
        <f t="shared" si="302"/>
        <v>0</v>
      </c>
      <c r="AA989" s="203"/>
      <c r="AB989" s="203">
        <f t="shared" ca="1" si="303"/>
        <v>0</v>
      </c>
      <c r="AC989" s="238"/>
      <c r="AI989" s="367">
        <f t="shared" ca="1" si="298"/>
        <v>46092</v>
      </c>
      <c r="AJ989" s="367" t="b">
        <f t="shared" si="292"/>
        <v>1</v>
      </c>
      <c r="AK989" s="370" t="str">
        <f t="shared" si="293"/>
        <v/>
      </c>
      <c r="AN989">
        <f t="shared" si="294"/>
        <v>0</v>
      </c>
      <c r="AO989">
        <f t="shared" si="295"/>
        <v>1900</v>
      </c>
      <c r="AV989">
        <f t="shared" si="296"/>
        <v>0</v>
      </c>
      <c r="AW989">
        <f t="shared" si="297"/>
        <v>0</v>
      </c>
    </row>
    <row r="990" spans="4:49" ht="15.75" x14ac:dyDescent="0.25">
      <c r="D990" s="199"/>
      <c r="E990" s="200"/>
      <c r="F990" s="287"/>
      <c r="G990" s="201"/>
      <c r="H990" s="219"/>
      <c r="I990" s="202"/>
      <c r="J990" s="200"/>
      <c r="K990" s="200"/>
      <c r="L990" s="203"/>
      <c r="M990" s="204">
        <f ca="1">IF(ISERROR(OFFSET(Tabella!$A$1,MATCH(J990,Tabella!$A:$A,0)-1,MATCH(L990,Tabella!$A$1:$AC$1,0)-1)=TRUE),0,+OFFSET(Tabella!$A$1,MATCH(J990,Tabella!$A:$A,0)-1,MATCH(L990,Tabella!$A$1:$AC$1,0)-1))</f>
        <v>0</v>
      </c>
      <c r="N990" s="205">
        <f ca="1">IF(ISERROR(OFFSET(Ottone!$A$1,MATCH(J990,Ottone!$A:$A,0)-1,MATCH(L990,Ottone!$A$1:$Z$1,0)-1)=TRUE),0,OFFSET(Ottone!$A$1,MATCH(J990,Ottone!$A:$A,0)-1,MATCH(L990,Ottone!$A$1:$Z$1,0)-1))*IF(G990="Ottone",1,0)</f>
        <v>0</v>
      </c>
      <c r="O990" s="205">
        <f ca="1">IF(ISERROR(OFFSET(Rame!$A$1,MATCH(J990,Rame!$A:$A,0)-1,MATCH(L990,Rame!$A$1:$AA$1,0)-1)=TRUE),0,OFFSET(Rame!$A$1,MATCH(J990,Rame!$A:$A,0)-1,MATCH(L990,Rame!$A$1:$AA$1,0)-1))*IF(G990="Rame",1,0)</f>
        <v>0</v>
      </c>
      <c r="P990" s="205">
        <v>0</v>
      </c>
      <c r="Q990" s="205">
        <f t="shared" ca="1" si="299"/>
        <v>0</v>
      </c>
      <c r="R990" s="205">
        <f ca="1">+IF(ISERROR(OFFSET(Tabella!$G$1,MATCH(J990,Tabella!$G:$G,0)-1,MATCH(K990,Tabella!$G$1:$FG$1,0)-1)=TRUE),0,OFFSET(Tabella!$G$1,MATCH(J990,Tabella!$G:$G,0)-1,MATCH(K990,Tabella!$G$1:$AB$1,0)-1))</f>
        <v>0</v>
      </c>
      <c r="S990" s="205">
        <f ca="1">IF(ISERROR(OFFSET(Ottone!$F$1,MATCH(J990,Ottone!$A:$A,0)-1,MATCH(K990,Ottone!$F$1:$FF$1,0)-1)=TRUE),0,OFFSET(Ottone!$F$1,MATCH(J990,Ottone!$A:$A,0)-1,MATCH(K990,Ottone!$F$1:$FF$1,0)-1))*IF(G990="Ottone",1,0)</f>
        <v>0</v>
      </c>
      <c r="T990" s="205">
        <f ca="1">IF(ISERROR(OFFSET(Rame!$F$1,MATCH(J990,Rame!$F:$F,0)-1,MATCH(K990,Rame!$F$1:$FF$1,0)-1)=TRUE),0,OFFSET(Rame!$F$1,MATCH(J990,Rame!$F:$F,0)-1,MATCH(K990,Rame!$F$1:$FF$1,0)-1))*IF(G990="Rame",1,0)</f>
        <v>0</v>
      </c>
      <c r="U990" s="205">
        <f ca="1">IF(ISERROR(OFFSET(Bronzo!$A$1,MATCH(J990,Bronzo!$A:$A,0)-1,MATCH(K990,Bronzo!$A$1:$AA$1,0)-1)=TRUE),0,OFFSET(Bronzo!$A$1,MATCH(J990,Bronzo!$A:$A,0)-1,MATCH(K990,Bronzo!$A$1:$AA$1,0)-1))</f>
        <v>0</v>
      </c>
      <c r="V990" s="205">
        <f t="shared" ca="1" si="300"/>
        <v>0</v>
      </c>
      <c r="W990" s="204"/>
      <c r="X990" s="205">
        <v>0</v>
      </c>
      <c r="Y990" s="206">
        <f t="shared" ca="1" si="301"/>
        <v>0</v>
      </c>
      <c r="Z990" s="277">
        <f t="shared" si="302"/>
        <v>0</v>
      </c>
      <c r="AA990" s="203"/>
      <c r="AB990" s="203">
        <f t="shared" ca="1" si="303"/>
        <v>0</v>
      </c>
      <c r="AC990" s="238"/>
      <c r="AI990" s="367">
        <f t="shared" ca="1" si="298"/>
        <v>46092</v>
      </c>
      <c r="AJ990" s="367" t="b">
        <f t="shared" si="292"/>
        <v>1</v>
      </c>
      <c r="AK990" s="370" t="str">
        <f t="shared" si="293"/>
        <v/>
      </c>
      <c r="AN990">
        <f t="shared" si="294"/>
        <v>0</v>
      </c>
      <c r="AO990">
        <f t="shared" si="295"/>
        <v>1900</v>
      </c>
      <c r="AV990">
        <f t="shared" si="296"/>
        <v>0</v>
      </c>
      <c r="AW990">
        <f t="shared" si="297"/>
        <v>0</v>
      </c>
    </row>
    <row r="991" spans="4:49" ht="15.75" x14ac:dyDescent="0.25">
      <c r="D991" s="199"/>
      <c r="E991" s="200"/>
      <c r="F991" s="287"/>
      <c r="G991" s="201"/>
      <c r="H991" s="219"/>
      <c r="I991" s="202"/>
      <c r="J991" s="200"/>
      <c r="K991" s="200"/>
      <c r="L991" s="203"/>
      <c r="M991" s="204">
        <f ca="1">IF(ISERROR(OFFSET(Tabella!$A$1,MATCH(J991,Tabella!$A:$A,0)-1,MATCH(L991,Tabella!$A$1:$AC$1,0)-1)=TRUE),0,+OFFSET(Tabella!$A$1,MATCH(J991,Tabella!$A:$A,0)-1,MATCH(L991,Tabella!$A$1:$AC$1,0)-1))</f>
        <v>0</v>
      </c>
      <c r="N991" s="205">
        <f ca="1">IF(ISERROR(OFFSET(Ottone!$A$1,MATCH(J991,Ottone!$A:$A,0)-1,MATCH(L991,Ottone!$A$1:$Z$1,0)-1)=TRUE),0,OFFSET(Ottone!$A$1,MATCH(J991,Ottone!$A:$A,0)-1,MATCH(L991,Ottone!$A$1:$Z$1,0)-1))*IF(G991="Ottone",1,0)</f>
        <v>0</v>
      </c>
      <c r="O991" s="205">
        <f ca="1">IF(ISERROR(OFFSET(Rame!$A$1,MATCH(J991,Rame!$A:$A,0)-1,MATCH(L991,Rame!$A$1:$AA$1,0)-1)=TRUE),0,OFFSET(Rame!$A$1,MATCH(J991,Rame!$A:$A,0)-1,MATCH(L991,Rame!$A$1:$AA$1,0)-1))*IF(G991="Rame",1,0)</f>
        <v>0</v>
      </c>
      <c r="P991" s="205">
        <v>0</v>
      </c>
      <c r="Q991" s="205">
        <f t="shared" ca="1" si="299"/>
        <v>0</v>
      </c>
      <c r="R991" s="205">
        <f ca="1">+IF(ISERROR(OFFSET(Tabella!$G$1,MATCH(J991,Tabella!$G:$G,0)-1,MATCH(K991,Tabella!$G$1:$FG$1,0)-1)=TRUE),0,OFFSET(Tabella!$G$1,MATCH(J991,Tabella!$G:$G,0)-1,MATCH(K991,Tabella!$G$1:$AB$1,0)-1))</f>
        <v>0</v>
      </c>
      <c r="S991" s="205">
        <f ca="1">IF(ISERROR(OFFSET(Ottone!$F$1,MATCH(J991,Ottone!$A:$A,0)-1,MATCH(K991,Ottone!$F$1:$FF$1,0)-1)=TRUE),0,OFFSET(Ottone!$F$1,MATCH(J991,Ottone!$A:$A,0)-1,MATCH(K991,Ottone!$F$1:$FF$1,0)-1))*IF(G991="Ottone",1,0)</f>
        <v>0</v>
      </c>
      <c r="T991" s="205">
        <f ca="1">IF(ISERROR(OFFSET(Rame!$F$1,MATCH(J991,Rame!$F:$F,0)-1,MATCH(K991,Rame!$F$1:$FF$1,0)-1)=TRUE),0,OFFSET(Rame!$F$1,MATCH(J991,Rame!$F:$F,0)-1,MATCH(K991,Rame!$F$1:$FF$1,0)-1))*IF(G991="Rame",1,0)</f>
        <v>0</v>
      </c>
      <c r="U991" s="205">
        <f ca="1">IF(ISERROR(OFFSET(Bronzo!$A$1,MATCH(J991,Bronzo!$A:$A,0)-1,MATCH(K991,Bronzo!$A$1:$AA$1,0)-1)=TRUE),0,OFFSET(Bronzo!$A$1,MATCH(J991,Bronzo!$A:$A,0)-1,MATCH(K991,Bronzo!$A$1:$AA$1,0)-1))</f>
        <v>0</v>
      </c>
      <c r="V991" s="205">
        <f t="shared" ca="1" si="300"/>
        <v>0</v>
      </c>
      <c r="W991" s="204"/>
      <c r="X991" s="205">
        <v>0</v>
      </c>
      <c r="Y991" s="206">
        <f t="shared" ca="1" si="301"/>
        <v>0</v>
      </c>
      <c r="Z991" s="277">
        <f t="shared" si="302"/>
        <v>0</v>
      </c>
      <c r="AA991" s="203"/>
      <c r="AB991" s="203">
        <f t="shared" ca="1" si="303"/>
        <v>0</v>
      </c>
      <c r="AC991" s="238"/>
      <c r="AI991" s="367">
        <f t="shared" ca="1" si="298"/>
        <v>46092</v>
      </c>
      <c r="AJ991" s="367" t="b">
        <f t="shared" si="292"/>
        <v>1</v>
      </c>
      <c r="AK991" s="370" t="str">
        <f t="shared" si="293"/>
        <v/>
      </c>
      <c r="AN991">
        <f t="shared" si="294"/>
        <v>0</v>
      </c>
      <c r="AO991">
        <f t="shared" si="295"/>
        <v>1900</v>
      </c>
      <c r="AV991">
        <f t="shared" si="296"/>
        <v>0</v>
      </c>
      <c r="AW991">
        <f t="shared" si="297"/>
        <v>0</v>
      </c>
    </row>
    <row r="992" spans="4:49" ht="15.75" x14ac:dyDescent="0.25">
      <c r="D992" s="199"/>
      <c r="E992" s="200"/>
      <c r="F992" s="287"/>
      <c r="G992" s="201"/>
      <c r="H992" s="219"/>
      <c r="I992" s="202"/>
      <c r="J992" s="200"/>
      <c r="K992" s="200"/>
      <c r="L992" s="203"/>
      <c r="M992" s="204">
        <f ca="1">IF(ISERROR(OFFSET(Tabella!$A$1,MATCH(J992,Tabella!$A:$A,0)-1,MATCH(L992,Tabella!$A$1:$AC$1,0)-1)=TRUE),0,+OFFSET(Tabella!$A$1,MATCH(J992,Tabella!$A:$A,0)-1,MATCH(L992,Tabella!$A$1:$AC$1,0)-1))</f>
        <v>0</v>
      </c>
      <c r="N992" s="205">
        <f ca="1">IF(ISERROR(OFFSET(Ottone!$A$1,MATCH(J992,Ottone!$A:$A,0)-1,MATCH(L992,Ottone!$A$1:$Z$1,0)-1)=TRUE),0,OFFSET(Ottone!$A$1,MATCH(J992,Ottone!$A:$A,0)-1,MATCH(L992,Ottone!$A$1:$Z$1,0)-1))*IF(G992="Ottone",1,0)</f>
        <v>0</v>
      </c>
      <c r="O992" s="205">
        <f ca="1">IF(ISERROR(OFFSET(Rame!$A$1,MATCH(J992,Rame!$A:$A,0)-1,MATCH(L992,Rame!$A$1:$AA$1,0)-1)=TRUE),0,OFFSET(Rame!$A$1,MATCH(J992,Rame!$A:$A,0)-1,MATCH(L992,Rame!$A$1:$AA$1,0)-1))*IF(G992="Rame",1,0)</f>
        <v>0</v>
      </c>
      <c r="P992" s="205">
        <v>0</v>
      </c>
      <c r="Q992" s="205">
        <f t="shared" ca="1" si="299"/>
        <v>0</v>
      </c>
      <c r="R992" s="205">
        <f ca="1">+IF(ISERROR(OFFSET(Tabella!$G$1,MATCH(J992,Tabella!$G:$G,0)-1,MATCH(K992,Tabella!$G$1:$FG$1,0)-1)=TRUE),0,OFFSET(Tabella!$G$1,MATCH(J992,Tabella!$G:$G,0)-1,MATCH(K992,Tabella!$G$1:$AB$1,0)-1))</f>
        <v>0</v>
      </c>
      <c r="S992" s="205">
        <f ca="1">IF(ISERROR(OFFSET(Ottone!$F$1,MATCH(J992,Ottone!$A:$A,0)-1,MATCH(K992,Ottone!$F$1:$FF$1,0)-1)=TRUE),0,OFFSET(Ottone!$F$1,MATCH(J992,Ottone!$A:$A,0)-1,MATCH(K992,Ottone!$F$1:$FF$1,0)-1))*IF(G992="Ottone",1,0)</f>
        <v>0</v>
      </c>
      <c r="T992" s="205">
        <f ca="1">IF(ISERROR(OFFSET(Rame!$F$1,MATCH(J992,Rame!$F:$F,0)-1,MATCH(K992,Rame!$F$1:$FF$1,0)-1)=TRUE),0,OFFSET(Rame!$F$1,MATCH(J992,Rame!$F:$F,0)-1,MATCH(K992,Rame!$F$1:$FF$1,0)-1))*IF(G992="Rame",1,0)</f>
        <v>0</v>
      </c>
      <c r="U992" s="205">
        <f ca="1">IF(ISERROR(OFFSET(Bronzo!$A$1,MATCH(J992,Bronzo!$A:$A,0)-1,MATCH(K992,Bronzo!$A$1:$AA$1,0)-1)=TRUE),0,OFFSET(Bronzo!$A$1,MATCH(J992,Bronzo!$A:$A,0)-1,MATCH(K992,Bronzo!$A$1:$AA$1,0)-1))</f>
        <v>0</v>
      </c>
      <c r="V992" s="205">
        <f t="shared" ca="1" si="300"/>
        <v>0</v>
      </c>
      <c r="W992" s="204"/>
      <c r="X992" s="205">
        <v>0</v>
      </c>
      <c r="Y992" s="206">
        <f t="shared" ca="1" si="301"/>
        <v>0</v>
      </c>
      <c r="Z992" s="277">
        <f t="shared" si="302"/>
        <v>0</v>
      </c>
      <c r="AA992" s="203"/>
      <c r="AB992" s="203">
        <f t="shared" ca="1" si="303"/>
        <v>0</v>
      </c>
      <c r="AC992" s="238"/>
      <c r="AI992" s="367">
        <f t="shared" ca="1" si="298"/>
        <v>46092</v>
      </c>
      <c r="AJ992" s="367" t="b">
        <f t="shared" ref="AJ992:AJ1055" si="304">ISBLANK(AC992)</f>
        <v>1</v>
      </c>
      <c r="AK992" s="370" t="str">
        <f t="shared" ref="AK992:AK1055" si="305">IF(AJ992=FALSE,_xlfn.DAYS(AC992,AI992),"")</f>
        <v/>
      </c>
      <c r="AN992">
        <f t="shared" ref="AN992:AN1055" si="306">WEEKNUM(AC992)</f>
        <v>0</v>
      </c>
      <c r="AO992">
        <f t="shared" ref="AO992:AO1055" si="307">YEAR(AC992)</f>
        <v>1900</v>
      </c>
      <c r="AV992">
        <f t="shared" si="296"/>
        <v>0</v>
      </c>
      <c r="AW992">
        <f t="shared" si="297"/>
        <v>0</v>
      </c>
    </row>
    <row r="993" spans="4:49" ht="15.75" x14ac:dyDescent="0.25">
      <c r="D993" s="199"/>
      <c r="E993" s="200"/>
      <c r="F993" s="287"/>
      <c r="G993" s="201"/>
      <c r="H993" s="219"/>
      <c r="I993" s="202"/>
      <c r="J993" s="200"/>
      <c r="K993" s="200"/>
      <c r="L993" s="203"/>
      <c r="M993" s="204">
        <f ca="1">IF(ISERROR(OFFSET(Tabella!$A$1,MATCH(J993,Tabella!$A:$A,0)-1,MATCH(L993,Tabella!$A$1:$AC$1,0)-1)=TRUE),0,+OFFSET(Tabella!$A$1,MATCH(J993,Tabella!$A:$A,0)-1,MATCH(L993,Tabella!$A$1:$AC$1,0)-1))</f>
        <v>0</v>
      </c>
      <c r="N993" s="205">
        <f ca="1">IF(ISERROR(OFFSET(Ottone!$A$1,MATCH(J993,Ottone!$A:$A,0)-1,MATCH(L993,Ottone!$A$1:$Z$1,0)-1)=TRUE),0,OFFSET(Ottone!$A$1,MATCH(J993,Ottone!$A:$A,0)-1,MATCH(L993,Ottone!$A$1:$Z$1,0)-1))*IF(G993="Ottone",1,0)</f>
        <v>0</v>
      </c>
      <c r="O993" s="205">
        <f ca="1">IF(ISERROR(OFFSET(Rame!$A$1,MATCH(J993,Rame!$A:$A,0)-1,MATCH(L993,Rame!$A$1:$AA$1,0)-1)=TRUE),0,OFFSET(Rame!$A$1,MATCH(J993,Rame!$A:$A,0)-1,MATCH(L993,Rame!$A$1:$AA$1,0)-1))*IF(G993="Rame",1,0)</f>
        <v>0</v>
      </c>
      <c r="P993" s="205">
        <v>0</v>
      </c>
      <c r="Q993" s="205">
        <f t="shared" ca="1" si="299"/>
        <v>0</v>
      </c>
      <c r="R993" s="205">
        <f ca="1">+IF(ISERROR(OFFSET(Tabella!$G$1,MATCH(J993,Tabella!$G:$G,0)-1,MATCH(K993,Tabella!$G$1:$FG$1,0)-1)=TRUE),0,OFFSET(Tabella!$G$1,MATCH(J993,Tabella!$G:$G,0)-1,MATCH(K993,Tabella!$G$1:$AB$1,0)-1))</f>
        <v>0</v>
      </c>
      <c r="S993" s="205">
        <f ca="1">IF(ISERROR(OFFSET(Ottone!$F$1,MATCH(J993,Ottone!$A:$A,0)-1,MATCH(K993,Ottone!$F$1:$FF$1,0)-1)=TRUE),0,OFFSET(Ottone!$F$1,MATCH(J993,Ottone!$A:$A,0)-1,MATCH(K993,Ottone!$F$1:$FF$1,0)-1))*IF(G993="Ottone",1,0)</f>
        <v>0</v>
      </c>
      <c r="T993" s="205">
        <f ca="1">IF(ISERROR(OFFSET(Rame!$F$1,MATCH(J993,Rame!$F:$F,0)-1,MATCH(K993,Rame!$F$1:$FF$1,0)-1)=TRUE),0,OFFSET(Rame!$F$1,MATCH(J993,Rame!$F:$F,0)-1,MATCH(K993,Rame!$F$1:$FF$1,0)-1))*IF(G993="Rame",1,0)</f>
        <v>0</v>
      </c>
      <c r="U993" s="205">
        <f ca="1">IF(ISERROR(OFFSET(Bronzo!$A$1,MATCH(J993,Bronzo!$A:$A,0)-1,MATCH(K993,Bronzo!$A$1:$AA$1,0)-1)=TRUE),0,OFFSET(Bronzo!$A$1,MATCH(J993,Bronzo!$A:$A,0)-1,MATCH(K993,Bronzo!$A$1:$AA$1,0)-1))</f>
        <v>0</v>
      </c>
      <c r="V993" s="205">
        <f t="shared" ca="1" si="300"/>
        <v>0</v>
      </c>
      <c r="W993" s="204"/>
      <c r="X993" s="205">
        <v>0</v>
      </c>
      <c r="Y993" s="206">
        <f t="shared" ca="1" si="301"/>
        <v>0</v>
      </c>
      <c r="Z993" s="277">
        <f t="shared" si="302"/>
        <v>0</v>
      </c>
      <c r="AA993" s="203"/>
      <c r="AB993" s="203">
        <f t="shared" ca="1" si="303"/>
        <v>0</v>
      </c>
      <c r="AC993" s="238"/>
      <c r="AI993" s="367">
        <f t="shared" ca="1" si="298"/>
        <v>46092</v>
      </c>
      <c r="AJ993" s="367" t="b">
        <f t="shared" si="304"/>
        <v>1</v>
      </c>
      <c r="AK993" s="370" t="str">
        <f t="shared" si="305"/>
        <v/>
      </c>
      <c r="AN993">
        <f t="shared" si="306"/>
        <v>0</v>
      </c>
      <c r="AO993">
        <f t="shared" si="307"/>
        <v>1900</v>
      </c>
      <c r="AV993">
        <f t="shared" si="296"/>
        <v>0</v>
      </c>
      <c r="AW993">
        <f t="shared" si="297"/>
        <v>0</v>
      </c>
    </row>
    <row r="994" spans="4:49" ht="15.75" x14ac:dyDescent="0.25">
      <c r="D994" s="199"/>
      <c r="E994" s="200"/>
      <c r="F994" s="287"/>
      <c r="G994" s="201"/>
      <c r="H994" s="219"/>
      <c r="I994" s="202"/>
      <c r="J994" s="200"/>
      <c r="K994" s="200"/>
      <c r="L994" s="203"/>
      <c r="M994" s="204">
        <f ca="1">IF(ISERROR(OFFSET(Tabella!$A$1,MATCH(J994,Tabella!$A:$A,0)-1,MATCH(L994,Tabella!$A$1:$AC$1,0)-1)=TRUE),0,+OFFSET(Tabella!$A$1,MATCH(J994,Tabella!$A:$A,0)-1,MATCH(L994,Tabella!$A$1:$AC$1,0)-1))</f>
        <v>0</v>
      </c>
      <c r="N994" s="205">
        <f ca="1">IF(ISERROR(OFFSET(Ottone!$A$1,MATCH(J994,Ottone!$A:$A,0)-1,MATCH(L994,Ottone!$A$1:$Z$1,0)-1)=TRUE),0,OFFSET(Ottone!$A$1,MATCH(J994,Ottone!$A:$A,0)-1,MATCH(L994,Ottone!$A$1:$Z$1,0)-1))*IF(G994="Ottone",1,0)</f>
        <v>0</v>
      </c>
      <c r="O994" s="205">
        <f ca="1">IF(ISERROR(OFFSET(Rame!$A$1,MATCH(J994,Rame!$A:$A,0)-1,MATCH(L994,Rame!$A$1:$AA$1,0)-1)=TRUE),0,OFFSET(Rame!$A$1,MATCH(J994,Rame!$A:$A,0)-1,MATCH(L994,Rame!$A$1:$AA$1,0)-1))*IF(G994="Rame",1,0)</f>
        <v>0</v>
      </c>
      <c r="P994" s="205">
        <v>0</v>
      </c>
      <c r="Q994" s="205">
        <f t="shared" ca="1" si="299"/>
        <v>0</v>
      </c>
      <c r="R994" s="205">
        <f ca="1">+IF(ISERROR(OFFSET(Tabella!$G$1,MATCH(J994,Tabella!$G:$G,0)-1,MATCH(K994,Tabella!$G$1:$FG$1,0)-1)=TRUE),0,OFFSET(Tabella!$G$1,MATCH(J994,Tabella!$G:$G,0)-1,MATCH(K994,Tabella!$G$1:$AB$1,0)-1))</f>
        <v>0</v>
      </c>
      <c r="S994" s="205">
        <f ca="1">IF(ISERROR(OFFSET(Ottone!$F$1,MATCH(J994,Ottone!$A:$A,0)-1,MATCH(K994,Ottone!$F$1:$FF$1,0)-1)=TRUE),0,OFFSET(Ottone!$F$1,MATCH(J994,Ottone!$A:$A,0)-1,MATCH(K994,Ottone!$F$1:$FF$1,0)-1))*IF(G994="Ottone",1,0)</f>
        <v>0</v>
      </c>
      <c r="T994" s="205">
        <f ca="1">IF(ISERROR(OFFSET(Rame!$F$1,MATCH(J994,Rame!$F:$F,0)-1,MATCH(K994,Rame!$F$1:$FF$1,0)-1)=TRUE),0,OFFSET(Rame!$F$1,MATCH(J994,Rame!$F:$F,0)-1,MATCH(K994,Rame!$F$1:$FF$1,0)-1))*IF(G994="Rame",1,0)</f>
        <v>0</v>
      </c>
      <c r="U994" s="205">
        <f ca="1">IF(ISERROR(OFFSET(Bronzo!$A$1,MATCH(J994,Bronzo!$A:$A,0)-1,MATCH(K994,Bronzo!$A$1:$AA$1,0)-1)=TRUE),0,OFFSET(Bronzo!$A$1,MATCH(J994,Bronzo!$A:$A,0)-1,MATCH(K994,Bronzo!$A$1:$AA$1,0)-1))</f>
        <v>0</v>
      </c>
      <c r="V994" s="205">
        <f t="shared" ca="1" si="300"/>
        <v>0</v>
      </c>
      <c r="W994" s="204"/>
      <c r="X994" s="205">
        <v>0</v>
      </c>
      <c r="Y994" s="206">
        <f t="shared" ca="1" si="301"/>
        <v>0</v>
      </c>
      <c r="Z994" s="277">
        <f t="shared" si="302"/>
        <v>0</v>
      </c>
      <c r="AA994" s="203"/>
      <c r="AB994" s="203">
        <f t="shared" ca="1" si="303"/>
        <v>0</v>
      </c>
      <c r="AC994" s="238"/>
      <c r="AI994" s="367">
        <f t="shared" ca="1" si="298"/>
        <v>46092</v>
      </c>
      <c r="AJ994" s="367" t="b">
        <f t="shared" si="304"/>
        <v>1</v>
      </c>
      <c r="AK994" s="370" t="str">
        <f t="shared" si="305"/>
        <v/>
      </c>
      <c r="AN994">
        <f t="shared" si="306"/>
        <v>0</v>
      </c>
      <c r="AO994">
        <f t="shared" si="307"/>
        <v>1900</v>
      </c>
      <c r="AV994">
        <f t="shared" si="296"/>
        <v>0</v>
      </c>
      <c r="AW994">
        <f t="shared" si="297"/>
        <v>0</v>
      </c>
    </row>
    <row r="995" spans="4:49" ht="15.75" x14ac:dyDescent="0.25">
      <c r="D995" s="199"/>
      <c r="E995" s="200"/>
      <c r="F995" s="287"/>
      <c r="G995" s="201"/>
      <c r="H995" s="219"/>
      <c r="I995" s="202"/>
      <c r="J995" s="200"/>
      <c r="K995" s="200"/>
      <c r="L995" s="203"/>
      <c r="M995" s="204">
        <f ca="1">IF(ISERROR(OFFSET(Tabella!$A$1,MATCH(J995,Tabella!$A:$A,0)-1,MATCH(L995,Tabella!$A$1:$AC$1,0)-1)=TRUE),0,+OFFSET(Tabella!$A$1,MATCH(J995,Tabella!$A:$A,0)-1,MATCH(L995,Tabella!$A$1:$AC$1,0)-1))</f>
        <v>0</v>
      </c>
      <c r="N995" s="205">
        <f ca="1">IF(ISERROR(OFFSET(Ottone!$A$1,MATCH(J995,Ottone!$A:$A,0)-1,MATCH(L995,Ottone!$A$1:$Z$1,0)-1)=TRUE),0,OFFSET(Ottone!$A$1,MATCH(J995,Ottone!$A:$A,0)-1,MATCH(L995,Ottone!$A$1:$Z$1,0)-1))*IF(G995="Ottone",1,0)</f>
        <v>0</v>
      </c>
      <c r="O995" s="205">
        <f ca="1">IF(ISERROR(OFFSET(Rame!$A$1,MATCH(J995,Rame!$A:$A,0)-1,MATCH(L995,Rame!$A$1:$AA$1,0)-1)=TRUE),0,OFFSET(Rame!$A$1,MATCH(J995,Rame!$A:$A,0)-1,MATCH(L995,Rame!$A$1:$AA$1,0)-1))*IF(G995="Rame",1,0)</f>
        <v>0</v>
      </c>
      <c r="P995" s="205">
        <v>0</v>
      </c>
      <c r="Q995" s="205">
        <f t="shared" ca="1" si="299"/>
        <v>0</v>
      </c>
      <c r="R995" s="205">
        <f ca="1">+IF(ISERROR(OFFSET(Tabella!$G$1,MATCH(J995,Tabella!$G:$G,0)-1,MATCH(K995,Tabella!$G$1:$FG$1,0)-1)=TRUE),0,OFFSET(Tabella!$G$1,MATCH(J995,Tabella!$G:$G,0)-1,MATCH(K995,Tabella!$G$1:$AB$1,0)-1))</f>
        <v>0</v>
      </c>
      <c r="S995" s="205">
        <f ca="1">IF(ISERROR(OFFSET(Ottone!$F$1,MATCH(J995,Ottone!$A:$A,0)-1,MATCH(K995,Ottone!$F$1:$FF$1,0)-1)=TRUE),0,OFFSET(Ottone!$F$1,MATCH(J995,Ottone!$A:$A,0)-1,MATCH(K995,Ottone!$F$1:$FF$1,0)-1))*IF(G995="Ottone",1,0)</f>
        <v>0</v>
      </c>
      <c r="T995" s="205">
        <f ca="1">IF(ISERROR(OFFSET(Rame!$F$1,MATCH(J995,Rame!$F:$F,0)-1,MATCH(K995,Rame!$F$1:$FF$1,0)-1)=TRUE),0,OFFSET(Rame!$F$1,MATCH(J995,Rame!$F:$F,0)-1,MATCH(K995,Rame!$F$1:$FF$1,0)-1))*IF(G995="Rame",1,0)</f>
        <v>0</v>
      </c>
      <c r="U995" s="205">
        <f ca="1">IF(ISERROR(OFFSET(Bronzo!$A$1,MATCH(J995,Bronzo!$A:$A,0)-1,MATCH(K995,Bronzo!$A$1:$AA$1,0)-1)=TRUE),0,OFFSET(Bronzo!$A$1,MATCH(J995,Bronzo!$A:$A,0)-1,MATCH(K995,Bronzo!$A$1:$AA$1,0)-1))</f>
        <v>0</v>
      </c>
      <c r="V995" s="205">
        <f t="shared" ca="1" si="300"/>
        <v>0</v>
      </c>
      <c r="W995" s="204"/>
      <c r="X995" s="205">
        <v>0</v>
      </c>
      <c r="Y995" s="206">
        <f t="shared" ca="1" si="301"/>
        <v>0</v>
      </c>
      <c r="Z995" s="277">
        <f t="shared" si="302"/>
        <v>0</v>
      </c>
      <c r="AA995" s="203"/>
      <c r="AB995" s="203">
        <f t="shared" ca="1" si="303"/>
        <v>0</v>
      </c>
      <c r="AC995" s="238"/>
      <c r="AI995" s="367">
        <f t="shared" ca="1" si="298"/>
        <v>46092</v>
      </c>
      <c r="AJ995" s="367" t="b">
        <f t="shared" si="304"/>
        <v>1</v>
      </c>
      <c r="AK995" s="370" t="str">
        <f t="shared" si="305"/>
        <v/>
      </c>
      <c r="AN995">
        <f t="shared" si="306"/>
        <v>0</v>
      </c>
      <c r="AO995">
        <f t="shared" si="307"/>
        <v>1900</v>
      </c>
      <c r="AV995">
        <f t="shared" si="296"/>
        <v>0</v>
      </c>
      <c r="AW995">
        <f t="shared" si="297"/>
        <v>0</v>
      </c>
    </row>
    <row r="996" spans="4:49" ht="15.75" x14ac:dyDescent="0.25">
      <c r="D996" s="199"/>
      <c r="E996" s="200"/>
      <c r="F996" s="287"/>
      <c r="G996" s="201"/>
      <c r="H996" s="219"/>
      <c r="I996" s="202"/>
      <c r="J996" s="200"/>
      <c r="K996" s="200"/>
      <c r="L996" s="203"/>
      <c r="M996" s="204">
        <f ca="1">IF(ISERROR(OFFSET(Tabella!$A$1,MATCH(J996,Tabella!$A:$A,0)-1,MATCH(L996,Tabella!$A$1:$AC$1,0)-1)=TRUE),0,+OFFSET(Tabella!$A$1,MATCH(J996,Tabella!$A:$A,0)-1,MATCH(L996,Tabella!$A$1:$AC$1,0)-1))</f>
        <v>0</v>
      </c>
      <c r="N996" s="205">
        <f ca="1">IF(ISERROR(OFFSET(Ottone!$A$1,MATCH(J996,Ottone!$A:$A,0)-1,MATCH(L996,Ottone!$A$1:$Z$1,0)-1)=TRUE),0,OFFSET(Ottone!$A$1,MATCH(J996,Ottone!$A:$A,0)-1,MATCH(L996,Ottone!$A$1:$Z$1,0)-1))*IF(G996="Ottone",1,0)</f>
        <v>0</v>
      </c>
      <c r="O996" s="205">
        <f ca="1">IF(ISERROR(OFFSET(Rame!$A$1,MATCH(J996,Rame!$A:$A,0)-1,MATCH(L996,Rame!$A$1:$AA$1,0)-1)=TRUE),0,OFFSET(Rame!$A$1,MATCH(J996,Rame!$A:$A,0)-1,MATCH(L996,Rame!$A$1:$AA$1,0)-1))*IF(G996="Rame",1,0)</f>
        <v>0</v>
      </c>
      <c r="P996" s="205">
        <v>0</v>
      </c>
      <c r="Q996" s="205">
        <f t="shared" ca="1" si="299"/>
        <v>0</v>
      </c>
      <c r="R996" s="205">
        <f ca="1">+IF(ISERROR(OFFSET(Tabella!$G$1,MATCH(J996,Tabella!$G:$G,0)-1,MATCH(K996,Tabella!$G$1:$FG$1,0)-1)=TRUE),0,OFFSET(Tabella!$G$1,MATCH(J996,Tabella!$G:$G,0)-1,MATCH(K996,Tabella!$G$1:$AB$1,0)-1))</f>
        <v>0</v>
      </c>
      <c r="S996" s="205">
        <f ca="1">IF(ISERROR(OFFSET(Ottone!$F$1,MATCH(J996,Ottone!$A:$A,0)-1,MATCH(K996,Ottone!$F$1:$FF$1,0)-1)=TRUE),0,OFFSET(Ottone!$F$1,MATCH(J996,Ottone!$A:$A,0)-1,MATCH(K996,Ottone!$F$1:$FF$1,0)-1))*IF(G996="Ottone",1,0)</f>
        <v>0</v>
      </c>
      <c r="T996" s="205">
        <f ca="1">IF(ISERROR(OFFSET(Rame!$F$1,MATCH(J996,Rame!$F:$F,0)-1,MATCH(K996,Rame!$F$1:$FF$1,0)-1)=TRUE),0,OFFSET(Rame!$F$1,MATCH(J996,Rame!$F:$F,0)-1,MATCH(K996,Rame!$F$1:$FF$1,0)-1))*IF(G996="Rame",1,0)</f>
        <v>0</v>
      </c>
      <c r="U996" s="205">
        <f ca="1">IF(ISERROR(OFFSET(Bronzo!$A$1,MATCH(J996,Bronzo!$A:$A,0)-1,MATCH(K996,Bronzo!$A$1:$AA$1,0)-1)=TRUE),0,OFFSET(Bronzo!$A$1,MATCH(J996,Bronzo!$A:$A,0)-1,MATCH(K996,Bronzo!$A$1:$AA$1,0)-1))</f>
        <v>0</v>
      </c>
      <c r="V996" s="205">
        <f t="shared" ca="1" si="300"/>
        <v>0</v>
      </c>
      <c r="W996" s="204"/>
      <c r="X996" s="205">
        <v>0</v>
      </c>
      <c r="Y996" s="206">
        <f t="shared" ca="1" si="301"/>
        <v>0</v>
      </c>
      <c r="Z996" s="277">
        <f t="shared" si="302"/>
        <v>0</v>
      </c>
      <c r="AA996" s="203"/>
      <c r="AB996" s="203">
        <f t="shared" ca="1" si="303"/>
        <v>0</v>
      </c>
      <c r="AC996" s="238"/>
      <c r="AI996" s="367">
        <f t="shared" ca="1" si="298"/>
        <v>46092</v>
      </c>
      <c r="AJ996" s="367" t="b">
        <f t="shared" si="304"/>
        <v>1</v>
      </c>
      <c r="AK996" s="370" t="str">
        <f t="shared" si="305"/>
        <v/>
      </c>
      <c r="AN996">
        <f t="shared" si="306"/>
        <v>0</v>
      </c>
      <c r="AO996">
        <f t="shared" si="307"/>
        <v>1900</v>
      </c>
      <c r="AV996">
        <f t="shared" si="296"/>
        <v>0</v>
      </c>
      <c r="AW996">
        <f t="shared" si="297"/>
        <v>0</v>
      </c>
    </row>
    <row r="997" spans="4:49" ht="15.75" x14ac:dyDescent="0.25">
      <c r="D997" s="199"/>
      <c r="E997" s="200"/>
      <c r="F997" s="287"/>
      <c r="G997" s="201"/>
      <c r="H997" s="219"/>
      <c r="I997" s="202"/>
      <c r="J997" s="200"/>
      <c r="K997" s="200"/>
      <c r="L997" s="203"/>
      <c r="M997" s="204">
        <f ca="1">IF(ISERROR(OFFSET(Tabella!$A$1,MATCH(J997,Tabella!$A:$A,0)-1,MATCH(L997,Tabella!$A$1:$AC$1,0)-1)=TRUE),0,+OFFSET(Tabella!$A$1,MATCH(J997,Tabella!$A:$A,0)-1,MATCH(L997,Tabella!$A$1:$AC$1,0)-1))</f>
        <v>0</v>
      </c>
      <c r="N997" s="205">
        <f ca="1">IF(ISERROR(OFFSET(Ottone!$A$1,MATCH(J997,Ottone!$A:$A,0)-1,MATCH(L997,Ottone!$A$1:$Z$1,0)-1)=TRUE),0,OFFSET(Ottone!$A$1,MATCH(J997,Ottone!$A:$A,0)-1,MATCH(L997,Ottone!$A$1:$Z$1,0)-1))*IF(G997="Ottone",1,0)</f>
        <v>0</v>
      </c>
      <c r="O997" s="205">
        <f ca="1">IF(ISERROR(OFFSET(Rame!$A$1,MATCH(J997,Rame!$A:$A,0)-1,MATCH(L997,Rame!$A$1:$AA$1,0)-1)=TRUE),0,OFFSET(Rame!$A$1,MATCH(J997,Rame!$A:$A,0)-1,MATCH(L997,Rame!$A$1:$AA$1,0)-1))*IF(G997="Rame",1,0)</f>
        <v>0</v>
      </c>
      <c r="P997" s="205">
        <v>0</v>
      </c>
      <c r="Q997" s="205">
        <f t="shared" ca="1" si="299"/>
        <v>0</v>
      </c>
      <c r="R997" s="205">
        <f ca="1">+IF(ISERROR(OFFSET(Tabella!$G$1,MATCH(J997,Tabella!$G:$G,0)-1,MATCH(K997,Tabella!$G$1:$FG$1,0)-1)=TRUE),0,OFFSET(Tabella!$G$1,MATCH(J997,Tabella!$G:$G,0)-1,MATCH(K997,Tabella!$G$1:$AB$1,0)-1))</f>
        <v>0</v>
      </c>
      <c r="S997" s="205">
        <f ca="1">IF(ISERROR(OFFSET(Ottone!$F$1,MATCH(J997,Ottone!$A:$A,0)-1,MATCH(K997,Ottone!$F$1:$FF$1,0)-1)=TRUE),0,OFFSET(Ottone!$F$1,MATCH(J997,Ottone!$A:$A,0)-1,MATCH(K997,Ottone!$F$1:$FF$1,0)-1))*IF(G997="Ottone",1,0)</f>
        <v>0</v>
      </c>
      <c r="T997" s="205">
        <f ca="1">IF(ISERROR(OFFSET(Rame!$F$1,MATCH(J997,Rame!$F:$F,0)-1,MATCH(K997,Rame!$F$1:$FF$1,0)-1)=TRUE),0,OFFSET(Rame!$F$1,MATCH(J997,Rame!$F:$F,0)-1,MATCH(K997,Rame!$F$1:$FF$1,0)-1))*IF(G997="Rame",1,0)</f>
        <v>0</v>
      </c>
      <c r="U997" s="205">
        <f ca="1">IF(ISERROR(OFFSET(Bronzo!$A$1,MATCH(J997,Bronzo!$A:$A,0)-1,MATCH(K997,Bronzo!$A$1:$AA$1,0)-1)=TRUE),0,OFFSET(Bronzo!$A$1,MATCH(J997,Bronzo!$A:$A,0)-1,MATCH(K997,Bronzo!$A$1:$AA$1,0)-1))</f>
        <v>0</v>
      </c>
      <c r="V997" s="205">
        <f t="shared" ca="1" si="300"/>
        <v>0</v>
      </c>
      <c r="W997" s="204"/>
      <c r="X997" s="205">
        <v>0</v>
      </c>
      <c r="Y997" s="206">
        <f t="shared" ca="1" si="301"/>
        <v>0</v>
      </c>
      <c r="Z997" s="277">
        <f t="shared" si="302"/>
        <v>0</v>
      </c>
      <c r="AA997" s="203"/>
      <c r="AB997" s="203">
        <f t="shared" ca="1" si="303"/>
        <v>0</v>
      </c>
      <c r="AC997" s="238"/>
      <c r="AI997" s="367">
        <f t="shared" ca="1" si="298"/>
        <v>46092</v>
      </c>
      <c r="AJ997" s="367" t="b">
        <f t="shared" si="304"/>
        <v>1</v>
      </c>
      <c r="AK997" s="370" t="str">
        <f t="shared" si="305"/>
        <v/>
      </c>
      <c r="AN997">
        <f t="shared" si="306"/>
        <v>0</v>
      </c>
      <c r="AO997">
        <f t="shared" si="307"/>
        <v>1900</v>
      </c>
      <c r="AV997">
        <f t="shared" ref="AV997:AV1060" si="308">IF(AC997="",0,MONTH(AC997))</f>
        <v>0</v>
      </c>
      <c r="AW997">
        <f t="shared" ref="AW997:AW1060" si="309">IF(AC997="",0,YEAR(AC997))</f>
        <v>0</v>
      </c>
    </row>
    <row r="998" spans="4:49" ht="15.75" x14ac:dyDescent="0.25">
      <c r="D998" s="199"/>
      <c r="E998" s="200"/>
      <c r="F998" s="287"/>
      <c r="G998" s="201"/>
      <c r="H998" s="219"/>
      <c r="I998" s="202"/>
      <c r="J998" s="200"/>
      <c r="K998" s="200"/>
      <c r="L998" s="203"/>
      <c r="M998" s="204">
        <f ca="1">IF(ISERROR(OFFSET(Tabella!$A$1,MATCH(J998,Tabella!$A:$A,0)-1,MATCH(L998,Tabella!$A$1:$AC$1,0)-1)=TRUE),0,+OFFSET(Tabella!$A$1,MATCH(J998,Tabella!$A:$A,0)-1,MATCH(L998,Tabella!$A$1:$AC$1,0)-1))</f>
        <v>0</v>
      </c>
      <c r="N998" s="205">
        <f ca="1">IF(ISERROR(OFFSET(Ottone!$A$1,MATCH(J998,Ottone!$A:$A,0)-1,MATCH(L998,Ottone!$A$1:$Z$1,0)-1)=TRUE),0,OFFSET(Ottone!$A$1,MATCH(J998,Ottone!$A:$A,0)-1,MATCH(L998,Ottone!$A$1:$Z$1,0)-1))*IF(G998="Ottone",1,0)</f>
        <v>0</v>
      </c>
      <c r="O998" s="205">
        <f ca="1">IF(ISERROR(OFFSET(Rame!$A$1,MATCH(J998,Rame!$A:$A,0)-1,MATCH(L998,Rame!$A$1:$AA$1,0)-1)=TRUE),0,OFFSET(Rame!$A$1,MATCH(J998,Rame!$A:$A,0)-1,MATCH(L998,Rame!$A$1:$AA$1,0)-1))*IF(G998="Rame",1,0)</f>
        <v>0</v>
      </c>
      <c r="P998" s="205">
        <v>0</v>
      </c>
      <c r="Q998" s="205">
        <f t="shared" ca="1" si="299"/>
        <v>0</v>
      </c>
      <c r="R998" s="205">
        <f ca="1">+IF(ISERROR(OFFSET(Tabella!$G$1,MATCH(J998,Tabella!$G:$G,0)-1,MATCH(K998,Tabella!$G$1:$FG$1,0)-1)=TRUE),0,OFFSET(Tabella!$G$1,MATCH(J998,Tabella!$G:$G,0)-1,MATCH(K998,Tabella!$G$1:$AB$1,0)-1))</f>
        <v>0</v>
      </c>
      <c r="S998" s="205">
        <f ca="1">IF(ISERROR(OFFSET(Ottone!$F$1,MATCH(J998,Ottone!$A:$A,0)-1,MATCH(K998,Ottone!$F$1:$FF$1,0)-1)=TRUE),0,OFFSET(Ottone!$F$1,MATCH(J998,Ottone!$A:$A,0)-1,MATCH(K998,Ottone!$F$1:$FF$1,0)-1))*IF(G998="Ottone",1,0)</f>
        <v>0</v>
      </c>
      <c r="T998" s="205">
        <f ca="1">IF(ISERROR(OFFSET(Rame!$F$1,MATCH(J998,Rame!$F:$F,0)-1,MATCH(K998,Rame!$F$1:$FF$1,0)-1)=TRUE),0,OFFSET(Rame!$F$1,MATCH(J998,Rame!$F:$F,0)-1,MATCH(K998,Rame!$F$1:$FF$1,0)-1))*IF(G998="Rame",1,0)</f>
        <v>0</v>
      </c>
      <c r="U998" s="205">
        <f ca="1">IF(ISERROR(OFFSET(Bronzo!$A$1,MATCH(J998,Bronzo!$A:$A,0)-1,MATCH(K998,Bronzo!$A$1:$AA$1,0)-1)=TRUE),0,OFFSET(Bronzo!$A$1,MATCH(J998,Bronzo!$A:$A,0)-1,MATCH(K998,Bronzo!$A$1:$AA$1,0)-1))</f>
        <v>0</v>
      </c>
      <c r="V998" s="205">
        <f t="shared" ca="1" si="300"/>
        <v>0</v>
      </c>
      <c r="W998" s="204"/>
      <c r="X998" s="205">
        <v>0</v>
      </c>
      <c r="Y998" s="206">
        <f t="shared" ca="1" si="301"/>
        <v>0</v>
      </c>
      <c r="Z998" s="277">
        <f t="shared" si="302"/>
        <v>0</v>
      </c>
      <c r="AA998" s="203"/>
      <c r="AB998" s="203">
        <f t="shared" ca="1" si="303"/>
        <v>0</v>
      </c>
      <c r="AC998" s="238"/>
      <c r="AI998" s="367">
        <f t="shared" ca="1" si="298"/>
        <v>46092</v>
      </c>
      <c r="AJ998" s="367" t="b">
        <f t="shared" si="304"/>
        <v>1</v>
      </c>
      <c r="AK998" s="370" t="str">
        <f t="shared" si="305"/>
        <v/>
      </c>
      <c r="AN998">
        <f t="shared" si="306"/>
        <v>0</v>
      </c>
      <c r="AO998">
        <f t="shared" si="307"/>
        <v>1900</v>
      </c>
      <c r="AV998">
        <f t="shared" si="308"/>
        <v>0</v>
      </c>
      <c r="AW998">
        <f t="shared" si="309"/>
        <v>0</v>
      </c>
    </row>
    <row r="999" spans="4:49" ht="15.75" x14ac:dyDescent="0.25">
      <c r="D999" s="199"/>
      <c r="E999" s="200"/>
      <c r="F999" s="287"/>
      <c r="G999" s="201"/>
      <c r="H999" s="219"/>
      <c r="I999" s="202"/>
      <c r="J999" s="200"/>
      <c r="K999" s="200"/>
      <c r="L999" s="203"/>
      <c r="M999" s="204">
        <f ca="1">IF(ISERROR(OFFSET(Tabella!$A$1,MATCH(J999,Tabella!$A:$A,0)-1,MATCH(L999,Tabella!$A$1:$AC$1,0)-1)=TRUE),0,+OFFSET(Tabella!$A$1,MATCH(J999,Tabella!$A:$A,0)-1,MATCH(L999,Tabella!$A$1:$AC$1,0)-1))</f>
        <v>0</v>
      </c>
      <c r="N999" s="205">
        <f ca="1">IF(ISERROR(OFFSET(Ottone!$A$1,MATCH(J999,Ottone!$A:$A,0)-1,MATCH(L999,Ottone!$A$1:$Z$1,0)-1)=TRUE),0,OFFSET(Ottone!$A$1,MATCH(J999,Ottone!$A:$A,0)-1,MATCH(L999,Ottone!$A$1:$Z$1,0)-1))*IF(G999="Ottone",1,0)</f>
        <v>0</v>
      </c>
      <c r="O999" s="205">
        <f ca="1">IF(ISERROR(OFFSET(Rame!$A$1,MATCH(J999,Rame!$A:$A,0)-1,MATCH(L999,Rame!$A$1:$AA$1,0)-1)=TRUE),0,OFFSET(Rame!$A$1,MATCH(J999,Rame!$A:$A,0)-1,MATCH(L999,Rame!$A$1:$AA$1,0)-1))*IF(G999="Rame",1,0)</f>
        <v>0</v>
      </c>
      <c r="P999" s="205">
        <v>0</v>
      </c>
      <c r="Q999" s="205">
        <f t="shared" ca="1" si="299"/>
        <v>0</v>
      </c>
      <c r="R999" s="205">
        <f ca="1">+IF(ISERROR(OFFSET(Tabella!$G$1,MATCH(J999,Tabella!$G:$G,0)-1,MATCH(K999,Tabella!$G$1:$FG$1,0)-1)=TRUE),0,OFFSET(Tabella!$G$1,MATCH(J999,Tabella!$G:$G,0)-1,MATCH(K999,Tabella!$G$1:$AB$1,0)-1))</f>
        <v>0</v>
      </c>
      <c r="S999" s="205">
        <f ca="1">IF(ISERROR(OFFSET(Ottone!$F$1,MATCH(J999,Ottone!$A:$A,0)-1,MATCH(K999,Ottone!$F$1:$FF$1,0)-1)=TRUE),0,OFFSET(Ottone!$F$1,MATCH(J999,Ottone!$A:$A,0)-1,MATCH(K999,Ottone!$F$1:$FF$1,0)-1))*IF(G999="Ottone",1,0)</f>
        <v>0</v>
      </c>
      <c r="T999" s="205">
        <f ca="1">IF(ISERROR(OFFSET(Rame!$F$1,MATCH(J999,Rame!$F:$F,0)-1,MATCH(K999,Rame!$F$1:$FF$1,0)-1)=TRUE),0,OFFSET(Rame!$F$1,MATCH(J999,Rame!$F:$F,0)-1,MATCH(K999,Rame!$F$1:$FF$1,0)-1))*IF(G999="Rame",1,0)</f>
        <v>0</v>
      </c>
      <c r="U999" s="205">
        <f ca="1">IF(ISERROR(OFFSET(Bronzo!$A$1,MATCH(J999,Bronzo!$A:$A,0)-1,MATCH(K999,Bronzo!$A$1:$AA$1,0)-1)=TRUE),0,OFFSET(Bronzo!$A$1,MATCH(J999,Bronzo!$A:$A,0)-1,MATCH(K999,Bronzo!$A$1:$AA$1,0)-1))</f>
        <v>0</v>
      </c>
      <c r="V999" s="205">
        <f t="shared" ca="1" si="300"/>
        <v>0</v>
      </c>
      <c r="W999" s="204"/>
      <c r="X999" s="205">
        <v>0</v>
      </c>
      <c r="Y999" s="206">
        <f t="shared" ca="1" si="301"/>
        <v>0</v>
      </c>
      <c r="Z999" s="277">
        <f t="shared" si="302"/>
        <v>0</v>
      </c>
      <c r="AA999" s="203"/>
      <c r="AB999" s="203">
        <f t="shared" ca="1" si="303"/>
        <v>0</v>
      </c>
      <c r="AC999" s="238"/>
      <c r="AI999" s="367">
        <f t="shared" ca="1" si="298"/>
        <v>46092</v>
      </c>
      <c r="AJ999" s="367" t="b">
        <f t="shared" si="304"/>
        <v>1</v>
      </c>
      <c r="AK999" s="370" t="str">
        <f t="shared" si="305"/>
        <v/>
      </c>
      <c r="AN999">
        <f t="shared" si="306"/>
        <v>0</v>
      </c>
      <c r="AO999">
        <f t="shared" si="307"/>
        <v>1900</v>
      </c>
      <c r="AV999">
        <f t="shared" si="308"/>
        <v>0</v>
      </c>
      <c r="AW999">
        <f t="shared" si="309"/>
        <v>0</v>
      </c>
    </row>
    <row r="1000" spans="4:49" ht="15.75" x14ac:dyDescent="0.25">
      <c r="D1000" s="199"/>
      <c r="E1000" s="200"/>
      <c r="F1000" s="287"/>
      <c r="G1000" s="201"/>
      <c r="H1000" s="219"/>
      <c r="I1000" s="202"/>
      <c r="J1000" s="200"/>
      <c r="K1000" s="200"/>
      <c r="L1000" s="203"/>
      <c r="M1000" s="204">
        <f ca="1">IF(ISERROR(OFFSET(Tabella!$A$1,MATCH(J1000,Tabella!$A:$A,0)-1,MATCH(L1000,Tabella!$A$1:$AC$1,0)-1)=TRUE),0,+OFFSET(Tabella!$A$1,MATCH(J1000,Tabella!$A:$A,0)-1,MATCH(L1000,Tabella!$A$1:$AC$1,0)-1))</f>
        <v>0</v>
      </c>
      <c r="N1000" s="205">
        <f ca="1">IF(ISERROR(OFFSET(Ottone!$A$1,MATCH(J1000,Ottone!$A:$A,0)-1,MATCH(L1000,Ottone!$A$1:$Z$1,0)-1)=TRUE),0,OFFSET(Ottone!$A$1,MATCH(J1000,Ottone!$A:$A,0)-1,MATCH(L1000,Ottone!$A$1:$Z$1,0)-1))*IF(G1000="Ottone",1,0)</f>
        <v>0</v>
      </c>
      <c r="O1000" s="205">
        <f ca="1">IF(ISERROR(OFFSET(Rame!$A$1,MATCH(J1000,Rame!$A:$A,0)-1,MATCH(L1000,Rame!$A$1:$AA$1,0)-1)=TRUE),0,OFFSET(Rame!$A$1,MATCH(J1000,Rame!$A:$A,0)-1,MATCH(L1000,Rame!$A$1:$AA$1,0)-1))*IF(G1000="Rame",1,0)</f>
        <v>0</v>
      </c>
      <c r="P1000" s="205">
        <v>0</v>
      </c>
      <c r="Q1000" s="205">
        <f t="shared" ca="1" si="299"/>
        <v>0</v>
      </c>
      <c r="R1000" s="205">
        <f ca="1">+IF(ISERROR(OFFSET(Tabella!$G$1,MATCH(J1000,Tabella!$G:$G,0)-1,MATCH(K1000,Tabella!$G$1:$FG$1,0)-1)=TRUE),0,OFFSET(Tabella!$G$1,MATCH(J1000,Tabella!$G:$G,0)-1,MATCH(K1000,Tabella!$G$1:$AB$1,0)-1))</f>
        <v>0</v>
      </c>
      <c r="S1000" s="205">
        <f ca="1">IF(ISERROR(OFFSET(Ottone!$F$1,MATCH(J1000,Ottone!$A:$A,0)-1,MATCH(K1000,Ottone!$F$1:$FF$1,0)-1)=TRUE),0,OFFSET(Ottone!$F$1,MATCH(J1000,Ottone!$A:$A,0)-1,MATCH(K1000,Ottone!$F$1:$FF$1,0)-1))*IF(G1000="Ottone",1,0)</f>
        <v>0</v>
      </c>
      <c r="T1000" s="205">
        <f ca="1">IF(ISERROR(OFFSET(Rame!$F$1,MATCH(J1000,Rame!$F:$F,0)-1,MATCH(K1000,Rame!$F$1:$FF$1,0)-1)=TRUE),0,OFFSET(Rame!$F$1,MATCH(J1000,Rame!$F:$F,0)-1,MATCH(K1000,Rame!$F$1:$FF$1,0)-1))*IF(G1000="Rame",1,0)</f>
        <v>0</v>
      </c>
      <c r="U1000" s="205">
        <f ca="1">IF(ISERROR(OFFSET(Bronzo!$A$1,MATCH(J1000,Bronzo!$A:$A,0)-1,MATCH(K1000,Bronzo!$A$1:$AA$1,0)-1)=TRUE),0,OFFSET(Bronzo!$A$1,MATCH(J1000,Bronzo!$A:$A,0)-1,MATCH(K1000,Bronzo!$A$1:$AA$1,0)-1))</f>
        <v>0</v>
      </c>
      <c r="V1000" s="205">
        <f t="shared" ca="1" si="300"/>
        <v>0</v>
      </c>
      <c r="W1000" s="204"/>
      <c r="X1000" s="205">
        <v>0</v>
      </c>
      <c r="Y1000" s="206">
        <f t="shared" ca="1" si="301"/>
        <v>0</v>
      </c>
      <c r="Z1000" s="277">
        <f t="shared" si="302"/>
        <v>0</v>
      </c>
      <c r="AA1000" s="203"/>
      <c r="AB1000" s="203">
        <f t="shared" ca="1" si="303"/>
        <v>0</v>
      </c>
      <c r="AC1000" s="238"/>
      <c r="AI1000" s="367">
        <f t="shared" ca="1" si="298"/>
        <v>46092</v>
      </c>
      <c r="AJ1000" s="367" t="b">
        <f t="shared" si="304"/>
        <v>1</v>
      </c>
      <c r="AK1000" s="370" t="str">
        <f t="shared" si="305"/>
        <v/>
      </c>
      <c r="AN1000">
        <f t="shared" si="306"/>
        <v>0</v>
      </c>
      <c r="AO1000">
        <f t="shared" si="307"/>
        <v>1900</v>
      </c>
      <c r="AV1000">
        <f t="shared" si="308"/>
        <v>0</v>
      </c>
      <c r="AW1000">
        <f t="shared" si="309"/>
        <v>0</v>
      </c>
    </row>
    <row r="1001" spans="4:49" ht="15.75" x14ac:dyDescent="0.25">
      <c r="D1001" s="199"/>
      <c r="E1001" s="200"/>
      <c r="F1001" s="287"/>
      <c r="G1001" s="201"/>
      <c r="H1001" s="219"/>
      <c r="I1001" s="202"/>
      <c r="J1001" s="200"/>
      <c r="K1001" s="200"/>
      <c r="L1001" s="203"/>
      <c r="M1001" s="204">
        <f ca="1">IF(ISERROR(OFFSET(Tabella!$A$1,MATCH(J1001,Tabella!$A:$A,0)-1,MATCH(L1001,Tabella!$A$1:$AC$1,0)-1)=TRUE),0,+OFFSET(Tabella!$A$1,MATCH(J1001,Tabella!$A:$A,0)-1,MATCH(L1001,Tabella!$A$1:$AC$1,0)-1))</f>
        <v>0</v>
      </c>
      <c r="N1001" s="205">
        <f ca="1">IF(ISERROR(OFFSET(Ottone!$A$1,MATCH(J1001,Ottone!$A:$A,0)-1,MATCH(L1001,Ottone!$A$1:$Z$1,0)-1)=TRUE),0,OFFSET(Ottone!$A$1,MATCH(J1001,Ottone!$A:$A,0)-1,MATCH(L1001,Ottone!$A$1:$Z$1,0)-1))*IF(G1001="Ottone",1,0)</f>
        <v>0</v>
      </c>
      <c r="O1001" s="205">
        <f ca="1">IF(ISERROR(OFFSET(Rame!$A$1,MATCH(J1001,Rame!$A:$A,0)-1,MATCH(L1001,Rame!$A$1:$AA$1,0)-1)=TRUE),0,OFFSET(Rame!$A$1,MATCH(J1001,Rame!$A:$A,0)-1,MATCH(L1001,Rame!$A$1:$AA$1,0)-1))*IF(G1001="Rame",1,0)</f>
        <v>0</v>
      </c>
      <c r="P1001" s="205">
        <v>0</v>
      </c>
      <c r="Q1001" s="205">
        <f t="shared" ca="1" si="299"/>
        <v>0</v>
      </c>
      <c r="R1001" s="205">
        <f ca="1">+IF(ISERROR(OFFSET(Tabella!$G$1,MATCH(J1001,Tabella!$G:$G,0)-1,MATCH(K1001,Tabella!$G$1:$FG$1,0)-1)=TRUE),0,OFFSET(Tabella!$G$1,MATCH(J1001,Tabella!$G:$G,0)-1,MATCH(K1001,Tabella!$G$1:$AB$1,0)-1))</f>
        <v>0</v>
      </c>
      <c r="S1001" s="205">
        <f ca="1">IF(ISERROR(OFFSET(Ottone!$F$1,MATCH(J1001,Ottone!$A:$A,0)-1,MATCH(K1001,Ottone!$F$1:$FF$1,0)-1)=TRUE),0,OFFSET(Ottone!$F$1,MATCH(J1001,Ottone!$A:$A,0)-1,MATCH(K1001,Ottone!$F$1:$FF$1,0)-1))*IF(G1001="Ottone",1,0)</f>
        <v>0</v>
      </c>
      <c r="T1001" s="205">
        <f ca="1">IF(ISERROR(OFFSET(Rame!$F$1,MATCH(J1001,Rame!$F:$F,0)-1,MATCH(K1001,Rame!$F$1:$FF$1,0)-1)=TRUE),0,OFFSET(Rame!$F$1,MATCH(J1001,Rame!$F:$F,0)-1,MATCH(K1001,Rame!$F$1:$FF$1,0)-1))*IF(G1001="Rame",1,0)</f>
        <v>0</v>
      </c>
      <c r="U1001" s="205">
        <f ca="1">IF(ISERROR(OFFSET(Bronzo!$A$1,MATCH(J1001,Bronzo!$A:$A,0)-1,MATCH(K1001,Bronzo!$A$1:$AA$1,0)-1)=TRUE),0,OFFSET(Bronzo!$A$1,MATCH(J1001,Bronzo!$A:$A,0)-1,MATCH(K1001,Bronzo!$A$1:$AA$1,0)-1))</f>
        <v>0</v>
      </c>
      <c r="V1001" s="205">
        <f t="shared" ca="1" si="300"/>
        <v>0</v>
      </c>
      <c r="W1001" s="204"/>
      <c r="X1001" s="205">
        <v>0</v>
      </c>
      <c r="Y1001" s="206">
        <f t="shared" ca="1" si="301"/>
        <v>0</v>
      </c>
      <c r="Z1001" s="277">
        <f t="shared" si="302"/>
        <v>0</v>
      </c>
      <c r="AA1001" s="203"/>
      <c r="AB1001" s="203">
        <f t="shared" ca="1" si="303"/>
        <v>0</v>
      </c>
      <c r="AC1001" s="238"/>
      <c r="AI1001" s="367">
        <f t="shared" ca="1" si="298"/>
        <v>46092</v>
      </c>
      <c r="AJ1001" s="367" t="b">
        <f t="shared" si="304"/>
        <v>1</v>
      </c>
      <c r="AK1001" s="370" t="str">
        <f t="shared" si="305"/>
        <v/>
      </c>
      <c r="AN1001">
        <f t="shared" si="306"/>
        <v>0</v>
      </c>
      <c r="AO1001">
        <f t="shared" si="307"/>
        <v>1900</v>
      </c>
      <c r="AV1001">
        <f t="shared" si="308"/>
        <v>0</v>
      </c>
      <c r="AW1001">
        <f t="shared" si="309"/>
        <v>0</v>
      </c>
    </row>
    <row r="1002" spans="4:49" ht="15.75" x14ac:dyDescent="0.25">
      <c r="D1002" s="199"/>
      <c r="E1002" s="200"/>
      <c r="F1002" s="287"/>
      <c r="G1002" s="201"/>
      <c r="H1002" s="219"/>
      <c r="I1002" s="202"/>
      <c r="J1002" s="200"/>
      <c r="K1002" s="200"/>
      <c r="L1002" s="203"/>
      <c r="M1002" s="204">
        <f ca="1">IF(ISERROR(OFFSET(Tabella!$A$1,MATCH(J1002,Tabella!$A:$A,0)-1,MATCH(L1002,Tabella!$A$1:$AC$1,0)-1)=TRUE),0,+OFFSET(Tabella!$A$1,MATCH(J1002,Tabella!$A:$A,0)-1,MATCH(L1002,Tabella!$A$1:$AC$1,0)-1))</f>
        <v>0</v>
      </c>
      <c r="N1002" s="205">
        <f ca="1">IF(ISERROR(OFFSET(Ottone!$A$1,MATCH(J1002,Ottone!$A:$A,0)-1,MATCH(L1002,Ottone!$A$1:$Z$1,0)-1)=TRUE),0,OFFSET(Ottone!$A$1,MATCH(J1002,Ottone!$A:$A,0)-1,MATCH(L1002,Ottone!$A$1:$Z$1,0)-1))*IF(G1002="Ottone",1,0)</f>
        <v>0</v>
      </c>
      <c r="O1002" s="205">
        <f ca="1">IF(ISERROR(OFFSET(Rame!$A$1,MATCH(J1002,Rame!$A:$A,0)-1,MATCH(L1002,Rame!$A$1:$AA$1,0)-1)=TRUE),0,OFFSET(Rame!$A$1,MATCH(J1002,Rame!$A:$A,0)-1,MATCH(L1002,Rame!$A$1:$AA$1,0)-1))*IF(G1002="Rame",1,0)</f>
        <v>0</v>
      </c>
      <c r="P1002" s="205">
        <v>0</v>
      </c>
      <c r="Q1002" s="205">
        <f t="shared" ca="1" si="299"/>
        <v>0</v>
      </c>
      <c r="R1002" s="205">
        <f ca="1">+IF(ISERROR(OFFSET(Tabella!$G$1,MATCH(J1002,Tabella!$G:$G,0)-1,MATCH(K1002,Tabella!$G$1:$FG$1,0)-1)=TRUE),0,OFFSET(Tabella!$G$1,MATCH(J1002,Tabella!$G:$G,0)-1,MATCH(K1002,Tabella!$G$1:$AB$1,0)-1))</f>
        <v>0</v>
      </c>
      <c r="S1002" s="205">
        <f ca="1">IF(ISERROR(OFFSET(Ottone!$F$1,MATCH(J1002,Ottone!$A:$A,0)-1,MATCH(K1002,Ottone!$F$1:$FF$1,0)-1)=TRUE),0,OFFSET(Ottone!$F$1,MATCH(J1002,Ottone!$A:$A,0)-1,MATCH(K1002,Ottone!$F$1:$FF$1,0)-1))*IF(G1002="Ottone",1,0)</f>
        <v>0</v>
      </c>
      <c r="T1002" s="205">
        <f ca="1">IF(ISERROR(OFFSET(Rame!$F$1,MATCH(J1002,Rame!$F:$F,0)-1,MATCH(K1002,Rame!$F$1:$FF$1,0)-1)=TRUE),0,OFFSET(Rame!$F$1,MATCH(J1002,Rame!$F:$F,0)-1,MATCH(K1002,Rame!$F$1:$FF$1,0)-1))*IF(G1002="Rame",1,0)</f>
        <v>0</v>
      </c>
      <c r="U1002" s="205">
        <f ca="1">IF(ISERROR(OFFSET(Bronzo!$A$1,MATCH(J1002,Bronzo!$A:$A,0)-1,MATCH(K1002,Bronzo!$A$1:$AA$1,0)-1)=TRUE),0,OFFSET(Bronzo!$A$1,MATCH(J1002,Bronzo!$A:$A,0)-1,MATCH(K1002,Bronzo!$A$1:$AA$1,0)-1))</f>
        <v>0</v>
      </c>
      <c r="V1002" s="205">
        <f t="shared" ca="1" si="300"/>
        <v>0</v>
      </c>
      <c r="W1002" s="204"/>
      <c r="X1002" s="205">
        <v>0</v>
      </c>
      <c r="Y1002" s="206">
        <f t="shared" ca="1" si="301"/>
        <v>0</v>
      </c>
      <c r="Z1002" s="277">
        <f t="shared" si="302"/>
        <v>0</v>
      </c>
      <c r="AA1002" s="203"/>
      <c r="AB1002" s="203">
        <f t="shared" ca="1" si="303"/>
        <v>0</v>
      </c>
      <c r="AC1002" s="238"/>
      <c r="AI1002" s="367">
        <f t="shared" ca="1" si="298"/>
        <v>46092</v>
      </c>
      <c r="AJ1002" s="367" t="b">
        <f t="shared" si="304"/>
        <v>1</v>
      </c>
      <c r="AK1002" s="370" t="str">
        <f t="shared" si="305"/>
        <v/>
      </c>
      <c r="AN1002">
        <f t="shared" si="306"/>
        <v>0</v>
      </c>
      <c r="AO1002">
        <f t="shared" si="307"/>
        <v>1900</v>
      </c>
      <c r="AV1002">
        <f t="shared" si="308"/>
        <v>0</v>
      </c>
      <c r="AW1002">
        <f t="shared" si="309"/>
        <v>0</v>
      </c>
    </row>
    <row r="1003" spans="4:49" ht="15.75" x14ac:dyDescent="0.25">
      <c r="D1003" s="199"/>
      <c r="E1003" s="200"/>
      <c r="F1003" s="287"/>
      <c r="G1003" s="201"/>
      <c r="H1003" s="219"/>
      <c r="I1003" s="202"/>
      <c r="J1003" s="200"/>
      <c r="K1003" s="200"/>
      <c r="L1003" s="203"/>
      <c r="M1003" s="204">
        <f ca="1">IF(ISERROR(OFFSET(Tabella!$A$1,MATCH(J1003,Tabella!$A:$A,0)-1,MATCH(L1003,Tabella!$A$1:$AC$1,0)-1)=TRUE),0,+OFFSET(Tabella!$A$1,MATCH(J1003,Tabella!$A:$A,0)-1,MATCH(L1003,Tabella!$A$1:$AC$1,0)-1))</f>
        <v>0</v>
      </c>
      <c r="N1003" s="205">
        <f ca="1">IF(ISERROR(OFFSET(Ottone!$A$1,MATCH(J1003,Ottone!$A:$A,0)-1,MATCH(L1003,Ottone!$A$1:$Z$1,0)-1)=TRUE),0,OFFSET(Ottone!$A$1,MATCH(J1003,Ottone!$A:$A,0)-1,MATCH(L1003,Ottone!$A$1:$Z$1,0)-1))*IF(G1003="Ottone",1,0)</f>
        <v>0</v>
      </c>
      <c r="O1003" s="205">
        <f ca="1">IF(ISERROR(OFFSET(Rame!$A$1,MATCH(J1003,Rame!$A:$A,0)-1,MATCH(L1003,Rame!$A$1:$AA$1,0)-1)=TRUE),0,OFFSET(Rame!$A$1,MATCH(J1003,Rame!$A:$A,0)-1,MATCH(L1003,Rame!$A$1:$AA$1,0)-1))*IF(G1003="Rame",1,0)</f>
        <v>0</v>
      </c>
      <c r="P1003" s="205">
        <v>0</v>
      </c>
      <c r="Q1003" s="205">
        <f t="shared" ca="1" si="299"/>
        <v>0</v>
      </c>
      <c r="R1003" s="205">
        <f ca="1">+IF(ISERROR(OFFSET(Tabella!$G$1,MATCH(J1003,Tabella!$G:$G,0)-1,MATCH(K1003,Tabella!$G$1:$FG$1,0)-1)=TRUE),0,OFFSET(Tabella!$G$1,MATCH(J1003,Tabella!$G:$G,0)-1,MATCH(K1003,Tabella!$G$1:$AB$1,0)-1))</f>
        <v>0</v>
      </c>
      <c r="S1003" s="205">
        <f ca="1">IF(ISERROR(OFFSET(Ottone!$F$1,MATCH(J1003,Ottone!$A:$A,0)-1,MATCH(K1003,Ottone!$F$1:$FF$1,0)-1)=TRUE),0,OFFSET(Ottone!$F$1,MATCH(J1003,Ottone!$A:$A,0)-1,MATCH(K1003,Ottone!$F$1:$FF$1,0)-1))*IF(G1003="Ottone",1,0)</f>
        <v>0</v>
      </c>
      <c r="T1003" s="205">
        <f ca="1">IF(ISERROR(OFFSET(Rame!$F$1,MATCH(J1003,Rame!$F:$F,0)-1,MATCH(K1003,Rame!$F$1:$FF$1,0)-1)=TRUE),0,OFFSET(Rame!$F$1,MATCH(J1003,Rame!$F:$F,0)-1,MATCH(K1003,Rame!$F$1:$FF$1,0)-1))*IF(G1003="Rame",1,0)</f>
        <v>0</v>
      </c>
      <c r="U1003" s="205">
        <f ca="1">IF(ISERROR(OFFSET(Bronzo!$A$1,MATCH(J1003,Bronzo!$A:$A,0)-1,MATCH(K1003,Bronzo!$A$1:$AA$1,0)-1)=TRUE),0,OFFSET(Bronzo!$A$1,MATCH(J1003,Bronzo!$A:$A,0)-1,MATCH(K1003,Bronzo!$A$1:$AA$1,0)-1))</f>
        <v>0</v>
      </c>
      <c r="V1003" s="205">
        <f t="shared" ca="1" si="300"/>
        <v>0</v>
      </c>
      <c r="W1003" s="204"/>
      <c r="X1003" s="205">
        <v>0</v>
      </c>
      <c r="Y1003" s="206">
        <f t="shared" ca="1" si="301"/>
        <v>0</v>
      </c>
      <c r="Z1003" s="277">
        <f t="shared" si="302"/>
        <v>0</v>
      </c>
      <c r="AA1003" s="203"/>
      <c r="AB1003" s="203">
        <f t="shared" ca="1" si="303"/>
        <v>0</v>
      </c>
      <c r="AC1003" s="238"/>
      <c r="AI1003" s="367">
        <f t="shared" ca="1" si="298"/>
        <v>46092</v>
      </c>
      <c r="AJ1003" s="367" t="b">
        <f t="shared" si="304"/>
        <v>1</v>
      </c>
      <c r="AK1003" s="370" t="str">
        <f t="shared" si="305"/>
        <v/>
      </c>
      <c r="AN1003">
        <f t="shared" si="306"/>
        <v>0</v>
      </c>
      <c r="AO1003">
        <f t="shared" si="307"/>
        <v>1900</v>
      </c>
      <c r="AV1003">
        <f t="shared" si="308"/>
        <v>0</v>
      </c>
      <c r="AW1003">
        <f t="shared" si="309"/>
        <v>0</v>
      </c>
    </row>
    <row r="1004" spans="4:49" ht="15.75" x14ac:dyDescent="0.25">
      <c r="D1004" s="199"/>
      <c r="E1004" s="200"/>
      <c r="F1004" s="287"/>
      <c r="G1004" s="201"/>
      <c r="H1004" s="219"/>
      <c r="I1004" s="202"/>
      <c r="J1004" s="200"/>
      <c r="K1004" s="200"/>
      <c r="L1004" s="203"/>
      <c r="M1004" s="204">
        <f ca="1">IF(ISERROR(OFFSET(Tabella!$A$1,MATCH(J1004,Tabella!$A:$A,0)-1,MATCH(L1004,Tabella!$A$1:$AC$1,0)-1)=TRUE),0,+OFFSET(Tabella!$A$1,MATCH(J1004,Tabella!$A:$A,0)-1,MATCH(L1004,Tabella!$A$1:$AC$1,0)-1))</f>
        <v>0</v>
      </c>
      <c r="N1004" s="205">
        <f ca="1">IF(ISERROR(OFFSET(Ottone!$A$1,MATCH(J1004,Ottone!$A:$A,0)-1,MATCH(L1004,Ottone!$A$1:$Z$1,0)-1)=TRUE),0,OFFSET(Ottone!$A$1,MATCH(J1004,Ottone!$A:$A,0)-1,MATCH(L1004,Ottone!$A$1:$Z$1,0)-1))*IF(G1004="Ottone",1,0)</f>
        <v>0</v>
      </c>
      <c r="O1004" s="205">
        <f ca="1">IF(ISERROR(OFFSET(Rame!$A$1,MATCH(J1004,Rame!$A:$A,0)-1,MATCH(L1004,Rame!$A$1:$AA$1,0)-1)=TRUE),0,OFFSET(Rame!$A$1,MATCH(J1004,Rame!$A:$A,0)-1,MATCH(L1004,Rame!$A$1:$AA$1,0)-1))*IF(G1004="Rame",1,0)</f>
        <v>0</v>
      </c>
      <c r="P1004" s="205">
        <v>0</v>
      </c>
      <c r="Q1004" s="205">
        <f t="shared" ca="1" si="299"/>
        <v>0</v>
      </c>
      <c r="R1004" s="205">
        <f ca="1">+IF(ISERROR(OFFSET(Tabella!$G$1,MATCH(J1004,Tabella!$G:$G,0)-1,MATCH(K1004,Tabella!$G$1:$FG$1,0)-1)=TRUE),0,OFFSET(Tabella!$G$1,MATCH(J1004,Tabella!$G:$G,0)-1,MATCH(K1004,Tabella!$G$1:$AB$1,0)-1))</f>
        <v>0</v>
      </c>
      <c r="S1004" s="205">
        <f ca="1">IF(ISERROR(OFFSET(Ottone!$F$1,MATCH(J1004,Ottone!$A:$A,0)-1,MATCH(K1004,Ottone!$F$1:$FF$1,0)-1)=TRUE),0,OFFSET(Ottone!$F$1,MATCH(J1004,Ottone!$A:$A,0)-1,MATCH(K1004,Ottone!$F$1:$FF$1,0)-1))*IF(G1004="Ottone",1,0)</f>
        <v>0</v>
      </c>
      <c r="T1004" s="205">
        <f ca="1">IF(ISERROR(OFFSET(Rame!$F$1,MATCH(J1004,Rame!$F:$F,0)-1,MATCH(K1004,Rame!$F$1:$FF$1,0)-1)=TRUE),0,OFFSET(Rame!$F$1,MATCH(J1004,Rame!$F:$F,0)-1,MATCH(K1004,Rame!$F$1:$FF$1,0)-1))*IF(G1004="Rame",1,0)</f>
        <v>0</v>
      </c>
      <c r="U1004" s="205">
        <f ca="1">IF(ISERROR(OFFSET(Bronzo!$A$1,MATCH(J1004,Bronzo!$A:$A,0)-1,MATCH(K1004,Bronzo!$A$1:$AA$1,0)-1)=TRUE),0,OFFSET(Bronzo!$A$1,MATCH(J1004,Bronzo!$A:$A,0)-1,MATCH(K1004,Bronzo!$A$1:$AA$1,0)-1))</f>
        <v>0</v>
      </c>
      <c r="V1004" s="205">
        <f t="shared" ca="1" si="300"/>
        <v>0</v>
      </c>
      <c r="W1004" s="204"/>
      <c r="X1004" s="205">
        <v>0</v>
      </c>
      <c r="Y1004" s="206">
        <f t="shared" ca="1" si="301"/>
        <v>0</v>
      </c>
      <c r="Z1004" s="277">
        <f t="shared" si="302"/>
        <v>0</v>
      </c>
      <c r="AA1004" s="203"/>
      <c r="AB1004" s="203">
        <f t="shared" ca="1" si="303"/>
        <v>0</v>
      </c>
      <c r="AC1004" s="238"/>
      <c r="AI1004" s="367">
        <f t="shared" ca="1" si="298"/>
        <v>46092</v>
      </c>
      <c r="AJ1004" s="367" t="b">
        <f t="shared" si="304"/>
        <v>1</v>
      </c>
      <c r="AK1004" s="370" t="str">
        <f t="shared" si="305"/>
        <v/>
      </c>
      <c r="AN1004">
        <f t="shared" si="306"/>
        <v>0</v>
      </c>
      <c r="AO1004">
        <f t="shared" si="307"/>
        <v>1900</v>
      </c>
      <c r="AV1004">
        <f t="shared" si="308"/>
        <v>0</v>
      </c>
      <c r="AW1004">
        <f t="shared" si="309"/>
        <v>0</v>
      </c>
    </row>
    <row r="1005" spans="4:49" ht="15.75" x14ac:dyDescent="0.25">
      <c r="D1005" s="199"/>
      <c r="E1005" s="200"/>
      <c r="F1005" s="287"/>
      <c r="G1005" s="201"/>
      <c r="H1005" s="219"/>
      <c r="I1005" s="202"/>
      <c r="J1005" s="200"/>
      <c r="K1005" s="200"/>
      <c r="L1005" s="203"/>
      <c r="M1005" s="204">
        <f ca="1">IF(ISERROR(OFFSET(Tabella!$A$1,MATCH(J1005,Tabella!$A:$A,0)-1,MATCH(L1005,Tabella!$A$1:$AC$1,0)-1)=TRUE),0,+OFFSET(Tabella!$A$1,MATCH(J1005,Tabella!$A:$A,0)-1,MATCH(L1005,Tabella!$A$1:$AC$1,0)-1))</f>
        <v>0</v>
      </c>
      <c r="N1005" s="205">
        <f ca="1">IF(ISERROR(OFFSET(Ottone!$A$1,MATCH(J1005,Ottone!$A:$A,0)-1,MATCH(L1005,Ottone!$A$1:$Z$1,0)-1)=TRUE),0,OFFSET(Ottone!$A$1,MATCH(J1005,Ottone!$A:$A,0)-1,MATCH(L1005,Ottone!$A$1:$Z$1,0)-1))*IF(G1005="Ottone",1,0)</f>
        <v>0</v>
      </c>
      <c r="O1005" s="205">
        <f ca="1">IF(ISERROR(OFFSET(Rame!$A$1,MATCH(J1005,Rame!$A:$A,0)-1,MATCH(L1005,Rame!$A$1:$AA$1,0)-1)=TRUE),0,OFFSET(Rame!$A$1,MATCH(J1005,Rame!$A:$A,0)-1,MATCH(L1005,Rame!$A$1:$AA$1,0)-1))*IF(G1005="Rame",1,0)</f>
        <v>0</v>
      </c>
      <c r="P1005" s="205">
        <v>0</v>
      </c>
      <c r="Q1005" s="205">
        <f t="shared" ca="1" si="299"/>
        <v>0</v>
      </c>
      <c r="R1005" s="205">
        <f ca="1">+IF(ISERROR(OFFSET(Tabella!$G$1,MATCH(J1005,Tabella!$G:$G,0)-1,MATCH(K1005,Tabella!$G$1:$FG$1,0)-1)=TRUE),0,OFFSET(Tabella!$G$1,MATCH(J1005,Tabella!$G:$G,0)-1,MATCH(K1005,Tabella!$G$1:$AB$1,0)-1))</f>
        <v>0</v>
      </c>
      <c r="S1005" s="205">
        <f ca="1">IF(ISERROR(OFFSET(Ottone!$F$1,MATCH(J1005,Ottone!$A:$A,0)-1,MATCH(K1005,Ottone!$F$1:$FF$1,0)-1)=TRUE),0,OFFSET(Ottone!$F$1,MATCH(J1005,Ottone!$A:$A,0)-1,MATCH(K1005,Ottone!$F$1:$FF$1,0)-1))*IF(G1005="Ottone",1,0)</f>
        <v>0</v>
      </c>
      <c r="T1005" s="205">
        <f ca="1">IF(ISERROR(OFFSET(Rame!$F$1,MATCH(J1005,Rame!$F:$F,0)-1,MATCH(K1005,Rame!$F$1:$FF$1,0)-1)=TRUE),0,OFFSET(Rame!$F$1,MATCH(J1005,Rame!$F:$F,0)-1,MATCH(K1005,Rame!$F$1:$FF$1,0)-1))*IF(G1005="Rame",1,0)</f>
        <v>0</v>
      </c>
      <c r="U1005" s="205">
        <f ca="1">IF(ISERROR(OFFSET(Bronzo!$A$1,MATCH(J1005,Bronzo!$A:$A,0)-1,MATCH(K1005,Bronzo!$A$1:$AA$1,0)-1)=TRUE),0,OFFSET(Bronzo!$A$1,MATCH(J1005,Bronzo!$A:$A,0)-1,MATCH(K1005,Bronzo!$A$1:$AA$1,0)-1))</f>
        <v>0</v>
      </c>
      <c r="V1005" s="205">
        <f t="shared" ca="1" si="300"/>
        <v>0</v>
      </c>
      <c r="W1005" s="204"/>
      <c r="X1005" s="205">
        <v>0</v>
      </c>
      <c r="Y1005" s="206">
        <f t="shared" ca="1" si="301"/>
        <v>0</v>
      </c>
      <c r="Z1005" s="277">
        <f t="shared" si="302"/>
        <v>0</v>
      </c>
      <c r="AA1005" s="203"/>
      <c r="AB1005" s="203">
        <f t="shared" ca="1" si="303"/>
        <v>0</v>
      </c>
      <c r="AC1005" s="238"/>
      <c r="AI1005" s="367">
        <f t="shared" ca="1" si="298"/>
        <v>46092</v>
      </c>
      <c r="AJ1005" s="367" t="b">
        <f t="shared" si="304"/>
        <v>1</v>
      </c>
      <c r="AK1005" s="370" t="str">
        <f t="shared" si="305"/>
        <v/>
      </c>
      <c r="AN1005">
        <f t="shared" si="306"/>
        <v>0</v>
      </c>
      <c r="AO1005">
        <f t="shared" si="307"/>
        <v>1900</v>
      </c>
      <c r="AV1005">
        <f t="shared" si="308"/>
        <v>0</v>
      </c>
      <c r="AW1005">
        <f t="shared" si="309"/>
        <v>0</v>
      </c>
    </row>
    <row r="1006" spans="4:49" ht="15.75" x14ac:dyDescent="0.25">
      <c r="D1006" s="199"/>
      <c r="E1006" s="200"/>
      <c r="F1006" s="287"/>
      <c r="G1006" s="201"/>
      <c r="H1006" s="219"/>
      <c r="I1006" s="202"/>
      <c r="J1006" s="200"/>
      <c r="K1006" s="200"/>
      <c r="L1006" s="203"/>
      <c r="M1006" s="204">
        <f ca="1">IF(ISERROR(OFFSET(Tabella!$A$1,MATCH(J1006,Tabella!$A:$A,0)-1,MATCH(L1006,Tabella!$A$1:$AC$1,0)-1)=TRUE),0,+OFFSET(Tabella!$A$1,MATCH(J1006,Tabella!$A:$A,0)-1,MATCH(L1006,Tabella!$A$1:$AC$1,0)-1))</f>
        <v>0</v>
      </c>
      <c r="N1006" s="205">
        <f ca="1">IF(ISERROR(OFFSET(Ottone!$A$1,MATCH(J1006,Ottone!$A:$A,0)-1,MATCH(L1006,Ottone!$A$1:$Z$1,0)-1)=TRUE),0,OFFSET(Ottone!$A$1,MATCH(J1006,Ottone!$A:$A,0)-1,MATCH(L1006,Ottone!$A$1:$Z$1,0)-1))*IF(G1006="Ottone",1,0)</f>
        <v>0</v>
      </c>
      <c r="O1006" s="205">
        <f ca="1">IF(ISERROR(OFFSET(Rame!$A$1,MATCH(J1006,Rame!$A:$A,0)-1,MATCH(L1006,Rame!$A$1:$AA$1,0)-1)=TRUE),0,OFFSET(Rame!$A$1,MATCH(J1006,Rame!$A:$A,0)-1,MATCH(L1006,Rame!$A$1:$AA$1,0)-1))*IF(G1006="Rame",1,0)</f>
        <v>0</v>
      </c>
      <c r="P1006" s="205">
        <v>0</v>
      </c>
      <c r="Q1006" s="205">
        <f t="shared" ca="1" si="299"/>
        <v>0</v>
      </c>
      <c r="R1006" s="205">
        <f ca="1">+IF(ISERROR(OFFSET(Tabella!$G$1,MATCH(J1006,Tabella!$G:$G,0)-1,MATCH(K1006,Tabella!$G$1:$FG$1,0)-1)=TRUE),0,OFFSET(Tabella!$G$1,MATCH(J1006,Tabella!$G:$G,0)-1,MATCH(K1006,Tabella!$G$1:$AB$1,0)-1))</f>
        <v>0</v>
      </c>
      <c r="S1006" s="205">
        <f ca="1">IF(ISERROR(OFFSET(Ottone!$F$1,MATCH(J1006,Ottone!$A:$A,0)-1,MATCH(K1006,Ottone!$F$1:$FF$1,0)-1)=TRUE),0,OFFSET(Ottone!$F$1,MATCH(J1006,Ottone!$A:$A,0)-1,MATCH(K1006,Ottone!$F$1:$FF$1,0)-1))*IF(G1006="Ottone",1,0)</f>
        <v>0</v>
      </c>
      <c r="T1006" s="205">
        <f ca="1">IF(ISERROR(OFFSET(Rame!$F$1,MATCH(J1006,Rame!$F:$F,0)-1,MATCH(K1006,Rame!$F$1:$FF$1,0)-1)=TRUE),0,OFFSET(Rame!$F$1,MATCH(J1006,Rame!$F:$F,0)-1,MATCH(K1006,Rame!$F$1:$FF$1,0)-1))*IF(G1006="Rame",1,0)</f>
        <v>0</v>
      </c>
      <c r="U1006" s="205">
        <f ca="1">IF(ISERROR(OFFSET(Bronzo!$A$1,MATCH(J1006,Bronzo!$A:$A,0)-1,MATCH(K1006,Bronzo!$A$1:$AA$1,0)-1)=TRUE),0,OFFSET(Bronzo!$A$1,MATCH(J1006,Bronzo!$A:$A,0)-1,MATCH(K1006,Bronzo!$A$1:$AA$1,0)-1))</f>
        <v>0</v>
      </c>
      <c r="V1006" s="205">
        <f t="shared" ca="1" si="300"/>
        <v>0</v>
      </c>
      <c r="W1006" s="204"/>
      <c r="X1006" s="205">
        <v>0</v>
      </c>
      <c r="Y1006" s="206">
        <f t="shared" ca="1" si="301"/>
        <v>0</v>
      </c>
      <c r="Z1006" s="277">
        <f t="shared" si="302"/>
        <v>0</v>
      </c>
      <c r="AA1006" s="203"/>
      <c r="AB1006" s="203">
        <f t="shared" ca="1" si="303"/>
        <v>0</v>
      </c>
      <c r="AC1006" s="238"/>
      <c r="AI1006" s="367">
        <f t="shared" ca="1" si="298"/>
        <v>46092</v>
      </c>
      <c r="AJ1006" s="367" t="b">
        <f t="shared" si="304"/>
        <v>1</v>
      </c>
      <c r="AK1006" s="370" t="str">
        <f t="shared" si="305"/>
        <v/>
      </c>
      <c r="AN1006">
        <f t="shared" si="306"/>
        <v>0</v>
      </c>
      <c r="AO1006">
        <f t="shared" si="307"/>
        <v>1900</v>
      </c>
      <c r="AV1006">
        <f t="shared" si="308"/>
        <v>0</v>
      </c>
      <c r="AW1006">
        <f t="shared" si="309"/>
        <v>0</v>
      </c>
    </row>
    <row r="1007" spans="4:49" ht="15.75" x14ac:dyDescent="0.25">
      <c r="D1007" s="199"/>
      <c r="E1007" s="200"/>
      <c r="F1007" s="287"/>
      <c r="G1007" s="201"/>
      <c r="H1007" s="219"/>
      <c r="I1007" s="202"/>
      <c r="J1007" s="200"/>
      <c r="K1007" s="200"/>
      <c r="L1007" s="203"/>
      <c r="M1007" s="204">
        <f ca="1">IF(ISERROR(OFFSET(Tabella!$A$1,MATCH(J1007,Tabella!$A:$A,0)-1,MATCH(L1007,Tabella!$A$1:$AC$1,0)-1)=TRUE),0,+OFFSET(Tabella!$A$1,MATCH(J1007,Tabella!$A:$A,0)-1,MATCH(L1007,Tabella!$A$1:$AC$1,0)-1))</f>
        <v>0</v>
      </c>
      <c r="N1007" s="205">
        <f ca="1">IF(ISERROR(OFFSET(Ottone!$A$1,MATCH(J1007,Ottone!$A:$A,0)-1,MATCH(L1007,Ottone!$A$1:$Z$1,0)-1)=TRUE),0,OFFSET(Ottone!$A$1,MATCH(J1007,Ottone!$A:$A,0)-1,MATCH(L1007,Ottone!$A$1:$Z$1,0)-1))*IF(G1007="Ottone",1,0)</f>
        <v>0</v>
      </c>
      <c r="O1007" s="205">
        <f ca="1">IF(ISERROR(OFFSET(Rame!$A$1,MATCH(J1007,Rame!$A:$A,0)-1,MATCH(L1007,Rame!$A$1:$AA$1,0)-1)=TRUE),0,OFFSET(Rame!$A$1,MATCH(J1007,Rame!$A:$A,0)-1,MATCH(L1007,Rame!$A$1:$AA$1,0)-1))*IF(G1007="Rame",1,0)</f>
        <v>0</v>
      </c>
      <c r="P1007" s="205">
        <v>0</v>
      </c>
      <c r="Q1007" s="205">
        <f t="shared" ca="1" si="299"/>
        <v>0</v>
      </c>
      <c r="R1007" s="205">
        <f ca="1">+IF(ISERROR(OFFSET(Tabella!$G$1,MATCH(J1007,Tabella!$G:$G,0)-1,MATCH(K1007,Tabella!$G$1:$FG$1,0)-1)=TRUE),0,OFFSET(Tabella!$G$1,MATCH(J1007,Tabella!$G:$G,0)-1,MATCH(K1007,Tabella!$G$1:$AB$1,0)-1))</f>
        <v>0</v>
      </c>
      <c r="S1007" s="205">
        <f ca="1">IF(ISERROR(OFFSET(Ottone!$F$1,MATCH(J1007,Ottone!$A:$A,0)-1,MATCH(K1007,Ottone!$F$1:$FF$1,0)-1)=TRUE),0,OFFSET(Ottone!$F$1,MATCH(J1007,Ottone!$A:$A,0)-1,MATCH(K1007,Ottone!$F$1:$FF$1,0)-1))*IF(G1007="Ottone",1,0)</f>
        <v>0</v>
      </c>
      <c r="T1007" s="205">
        <f ca="1">IF(ISERROR(OFFSET(Rame!$F$1,MATCH(J1007,Rame!$F:$F,0)-1,MATCH(K1007,Rame!$F$1:$FF$1,0)-1)=TRUE),0,OFFSET(Rame!$F$1,MATCH(J1007,Rame!$F:$F,0)-1,MATCH(K1007,Rame!$F$1:$FF$1,0)-1))*IF(G1007="Rame",1,0)</f>
        <v>0</v>
      </c>
      <c r="U1007" s="205">
        <f ca="1">IF(ISERROR(OFFSET(Bronzo!$A$1,MATCH(J1007,Bronzo!$A:$A,0)-1,MATCH(K1007,Bronzo!$A$1:$AA$1,0)-1)=TRUE),0,OFFSET(Bronzo!$A$1,MATCH(J1007,Bronzo!$A:$A,0)-1,MATCH(K1007,Bronzo!$A$1:$AA$1,0)-1))</f>
        <v>0</v>
      </c>
      <c r="V1007" s="205">
        <f t="shared" ca="1" si="300"/>
        <v>0</v>
      </c>
      <c r="W1007" s="204"/>
      <c r="X1007" s="205">
        <v>0</v>
      </c>
      <c r="Y1007" s="206">
        <f t="shared" ca="1" si="301"/>
        <v>0</v>
      </c>
      <c r="Z1007" s="277">
        <f t="shared" si="302"/>
        <v>0</v>
      </c>
      <c r="AA1007" s="203"/>
      <c r="AB1007" s="203">
        <f t="shared" ca="1" si="303"/>
        <v>0</v>
      </c>
      <c r="AC1007" s="238"/>
      <c r="AI1007" s="367">
        <f t="shared" ca="1" si="298"/>
        <v>46092</v>
      </c>
      <c r="AJ1007" s="367" t="b">
        <f t="shared" si="304"/>
        <v>1</v>
      </c>
      <c r="AK1007" s="370" t="str">
        <f t="shared" si="305"/>
        <v/>
      </c>
      <c r="AN1007">
        <f t="shared" si="306"/>
        <v>0</v>
      </c>
      <c r="AO1007">
        <f t="shared" si="307"/>
        <v>1900</v>
      </c>
      <c r="AV1007">
        <f t="shared" si="308"/>
        <v>0</v>
      </c>
      <c r="AW1007">
        <f t="shared" si="309"/>
        <v>0</v>
      </c>
    </row>
    <row r="1008" spans="4:49" ht="15.75" x14ac:dyDescent="0.25">
      <c r="D1008" s="199"/>
      <c r="E1008" s="200"/>
      <c r="F1008" s="287"/>
      <c r="G1008" s="201"/>
      <c r="H1008" s="219"/>
      <c r="I1008" s="202"/>
      <c r="J1008" s="200"/>
      <c r="K1008" s="200"/>
      <c r="L1008" s="203"/>
      <c r="M1008" s="204">
        <f ca="1">IF(ISERROR(OFFSET(Tabella!$A$1,MATCH(J1008,Tabella!$A:$A,0)-1,MATCH(L1008,Tabella!$A$1:$AC$1,0)-1)=TRUE),0,+OFFSET(Tabella!$A$1,MATCH(J1008,Tabella!$A:$A,0)-1,MATCH(L1008,Tabella!$A$1:$AC$1,0)-1))</f>
        <v>0</v>
      </c>
      <c r="N1008" s="205">
        <f ca="1">IF(ISERROR(OFFSET(Ottone!$A$1,MATCH(J1008,Ottone!$A:$A,0)-1,MATCH(L1008,Ottone!$A$1:$Z$1,0)-1)=TRUE),0,OFFSET(Ottone!$A$1,MATCH(J1008,Ottone!$A:$A,0)-1,MATCH(L1008,Ottone!$A$1:$Z$1,0)-1))*IF(G1008="Ottone",1,0)</f>
        <v>0</v>
      </c>
      <c r="O1008" s="205">
        <f ca="1">IF(ISERROR(OFFSET(Rame!$A$1,MATCH(J1008,Rame!$A:$A,0)-1,MATCH(L1008,Rame!$A$1:$AA$1,0)-1)=TRUE),0,OFFSET(Rame!$A$1,MATCH(J1008,Rame!$A:$A,0)-1,MATCH(L1008,Rame!$A$1:$AA$1,0)-1))*IF(G1008="Rame",1,0)</f>
        <v>0</v>
      </c>
      <c r="P1008" s="205">
        <v>0</v>
      </c>
      <c r="Q1008" s="205">
        <f t="shared" ca="1" si="299"/>
        <v>0</v>
      </c>
      <c r="R1008" s="205">
        <f ca="1">+IF(ISERROR(OFFSET(Tabella!$G$1,MATCH(J1008,Tabella!$G:$G,0)-1,MATCH(K1008,Tabella!$G$1:$FG$1,0)-1)=TRUE),0,OFFSET(Tabella!$G$1,MATCH(J1008,Tabella!$G:$G,0)-1,MATCH(K1008,Tabella!$G$1:$AB$1,0)-1))</f>
        <v>0</v>
      </c>
      <c r="S1008" s="205">
        <f ca="1">IF(ISERROR(OFFSET(Ottone!$F$1,MATCH(J1008,Ottone!$A:$A,0)-1,MATCH(K1008,Ottone!$F$1:$FF$1,0)-1)=TRUE),0,OFFSET(Ottone!$F$1,MATCH(J1008,Ottone!$A:$A,0)-1,MATCH(K1008,Ottone!$F$1:$FF$1,0)-1))*IF(G1008="Ottone",1,0)</f>
        <v>0</v>
      </c>
      <c r="T1008" s="205">
        <f ca="1">IF(ISERROR(OFFSET(Rame!$F$1,MATCH(J1008,Rame!$F:$F,0)-1,MATCH(K1008,Rame!$F$1:$FF$1,0)-1)=TRUE),0,OFFSET(Rame!$F$1,MATCH(J1008,Rame!$F:$F,0)-1,MATCH(K1008,Rame!$F$1:$FF$1,0)-1))*IF(G1008="Rame",1,0)</f>
        <v>0</v>
      </c>
      <c r="U1008" s="205">
        <f ca="1">IF(ISERROR(OFFSET(Bronzo!$A$1,MATCH(J1008,Bronzo!$A:$A,0)-1,MATCH(K1008,Bronzo!$A$1:$AA$1,0)-1)=TRUE),0,OFFSET(Bronzo!$A$1,MATCH(J1008,Bronzo!$A:$A,0)-1,MATCH(K1008,Bronzo!$A$1:$AA$1,0)-1))</f>
        <v>0</v>
      </c>
      <c r="V1008" s="205">
        <f t="shared" ca="1" si="300"/>
        <v>0</v>
      </c>
      <c r="W1008" s="204"/>
      <c r="X1008" s="205">
        <v>0</v>
      </c>
      <c r="Y1008" s="206">
        <f t="shared" ca="1" si="301"/>
        <v>0</v>
      </c>
      <c r="Z1008" s="277">
        <f t="shared" si="302"/>
        <v>0</v>
      </c>
      <c r="AA1008" s="203"/>
      <c r="AB1008" s="203">
        <f t="shared" ca="1" si="303"/>
        <v>0</v>
      </c>
      <c r="AC1008" s="238"/>
      <c r="AI1008" s="367">
        <f t="shared" ca="1" si="298"/>
        <v>46092</v>
      </c>
      <c r="AJ1008" s="367" t="b">
        <f t="shared" si="304"/>
        <v>1</v>
      </c>
      <c r="AK1008" s="370" t="str">
        <f t="shared" si="305"/>
        <v/>
      </c>
      <c r="AN1008">
        <f t="shared" si="306"/>
        <v>0</v>
      </c>
      <c r="AO1008">
        <f t="shared" si="307"/>
        <v>1900</v>
      </c>
      <c r="AV1008">
        <f t="shared" si="308"/>
        <v>0</v>
      </c>
      <c r="AW1008">
        <f t="shared" si="309"/>
        <v>0</v>
      </c>
    </row>
    <row r="1009" spans="4:49" ht="15.75" x14ac:dyDescent="0.25">
      <c r="D1009" s="199"/>
      <c r="E1009" s="200"/>
      <c r="F1009" s="287"/>
      <c r="G1009" s="201"/>
      <c r="H1009" s="219"/>
      <c r="I1009" s="202"/>
      <c r="J1009" s="200"/>
      <c r="K1009" s="200"/>
      <c r="L1009" s="203"/>
      <c r="M1009" s="204">
        <f ca="1">IF(ISERROR(OFFSET(Tabella!$A$1,MATCH(J1009,Tabella!$A:$A,0)-1,MATCH(L1009,Tabella!$A$1:$AC$1,0)-1)=TRUE),0,+OFFSET(Tabella!$A$1,MATCH(J1009,Tabella!$A:$A,0)-1,MATCH(L1009,Tabella!$A$1:$AC$1,0)-1))</f>
        <v>0</v>
      </c>
      <c r="N1009" s="205">
        <f ca="1">IF(ISERROR(OFFSET(Ottone!$A$1,MATCH(J1009,Ottone!$A:$A,0)-1,MATCH(L1009,Ottone!$A$1:$Z$1,0)-1)=TRUE),0,OFFSET(Ottone!$A$1,MATCH(J1009,Ottone!$A:$A,0)-1,MATCH(L1009,Ottone!$A$1:$Z$1,0)-1))*IF(G1009="Ottone",1,0)</f>
        <v>0</v>
      </c>
      <c r="O1009" s="205">
        <f ca="1">IF(ISERROR(OFFSET(Rame!$A$1,MATCH(J1009,Rame!$A:$A,0)-1,MATCH(L1009,Rame!$A$1:$AA$1,0)-1)=TRUE),0,OFFSET(Rame!$A$1,MATCH(J1009,Rame!$A:$A,0)-1,MATCH(L1009,Rame!$A$1:$AA$1,0)-1))*IF(G1009="Rame",1,0)</f>
        <v>0</v>
      </c>
      <c r="P1009" s="205">
        <v>0</v>
      </c>
      <c r="Q1009" s="205">
        <f t="shared" ca="1" si="299"/>
        <v>0</v>
      </c>
      <c r="R1009" s="205">
        <f ca="1">+IF(ISERROR(OFFSET(Tabella!$G$1,MATCH(J1009,Tabella!$G:$G,0)-1,MATCH(K1009,Tabella!$G$1:$FG$1,0)-1)=TRUE),0,OFFSET(Tabella!$G$1,MATCH(J1009,Tabella!$G:$G,0)-1,MATCH(K1009,Tabella!$G$1:$AB$1,0)-1))</f>
        <v>0</v>
      </c>
      <c r="S1009" s="205">
        <f ca="1">IF(ISERROR(OFFSET(Ottone!$F$1,MATCH(J1009,Ottone!$A:$A,0)-1,MATCH(K1009,Ottone!$F$1:$FF$1,0)-1)=TRUE),0,OFFSET(Ottone!$F$1,MATCH(J1009,Ottone!$A:$A,0)-1,MATCH(K1009,Ottone!$F$1:$FF$1,0)-1))*IF(G1009="Ottone",1,0)</f>
        <v>0</v>
      </c>
      <c r="T1009" s="205">
        <f ca="1">IF(ISERROR(OFFSET(Rame!$F$1,MATCH(J1009,Rame!$F:$F,0)-1,MATCH(K1009,Rame!$F$1:$FF$1,0)-1)=TRUE),0,OFFSET(Rame!$F$1,MATCH(J1009,Rame!$F:$F,0)-1,MATCH(K1009,Rame!$F$1:$FF$1,0)-1))*IF(G1009="Rame",1,0)</f>
        <v>0</v>
      </c>
      <c r="U1009" s="205">
        <f ca="1">IF(ISERROR(OFFSET(Bronzo!$A$1,MATCH(J1009,Bronzo!$A:$A,0)-1,MATCH(K1009,Bronzo!$A$1:$AA$1,0)-1)=TRUE),0,OFFSET(Bronzo!$A$1,MATCH(J1009,Bronzo!$A:$A,0)-1,MATCH(K1009,Bronzo!$A$1:$AA$1,0)-1))</f>
        <v>0</v>
      </c>
      <c r="V1009" s="205">
        <f t="shared" ca="1" si="300"/>
        <v>0</v>
      </c>
      <c r="W1009" s="204"/>
      <c r="X1009" s="205">
        <v>0</v>
      </c>
      <c r="Y1009" s="206">
        <f t="shared" ca="1" si="301"/>
        <v>0</v>
      </c>
      <c r="Z1009" s="277">
        <f t="shared" si="302"/>
        <v>0</v>
      </c>
      <c r="AA1009" s="203"/>
      <c r="AB1009" s="203">
        <f t="shared" ca="1" si="303"/>
        <v>0</v>
      </c>
      <c r="AC1009" s="238"/>
      <c r="AI1009" s="367">
        <f t="shared" ca="1" si="298"/>
        <v>46092</v>
      </c>
      <c r="AJ1009" s="367" t="b">
        <f t="shared" si="304"/>
        <v>1</v>
      </c>
      <c r="AK1009" s="370" t="str">
        <f t="shared" si="305"/>
        <v/>
      </c>
      <c r="AN1009">
        <f t="shared" si="306"/>
        <v>0</v>
      </c>
      <c r="AO1009">
        <f t="shared" si="307"/>
        <v>1900</v>
      </c>
      <c r="AV1009">
        <f t="shared" si="308"/>
        <v>0</v>
      </c>
      <c r="AW1009">
        <f t="shared" si="309"/>
        <v>0</v>
      </c>
    </row>
    <row r="1010" spans="4:49" ht="15.75" x14ac:dyDescent="0.25">
      <c r="D1010" s="199"/>
      <c r="E1010" s="200"/>
      <c r="F1010" s="287"/>
      <c r="G1010" s="201"/>
      <c r="H1010" s="219"/>
      <c r="I1010" s="202"/>
      <c r="J1010" s="200"/>
      <c r="K1010" s="200"/>
      <c r="L1010" s="203"/>
      <c r="M1010" s="204">
        <f ca="1">IF(ISERROR(OFFSET(Tabella!$A$1,MATCH(J1010,Tabella!$A:$A,0)-1,MATCH(L1010,Tabella!$A$1:$AC$1,0)-1)=TRUE),0,+OFFSET(Tabella!$A$1,MATCH(J1010,Tabella!$A:$A,0)-1,MATCH(L1010,Tabella!$A$1:$AC$1,0)-1))</f>
        <v>0</v>
      </c>
      <c r="N1010" s="205">
        <f ca="1">IF(ISERROR(OFFSET(Ottone!$A$1,MATCH(J1010,Ottone!$A:$A,0)-1,MATCH(L1010,Ottone!$A$1:$Z$1,0)-1)=TRUE),0,OFFSET(Ottone!$A$1,MATCH(J1010,Ottone!$A:$A,0)-1,MATCH(L1010,Ottone!$A$1:$Z$1,0)-1))*IF(G1010="Ottone",1,0)</f>
        <v>0</v>
      </c>
      <c r="O1010" s="205">
        <f ca="1">IF(ISERROR(OFFSET(Rame!$A$1,MATCH(J1010,Rame!$A:$A,0)-1,MATCH(L1010,Rame!$A$1:$AA$1,0)-1)=TRUE),0,OFFSET(Rame!$A$1,MATCH(J1010,Rame!$A:$A,0)-1,MATCH(L1010,Rame!$A$1:$AA$1,0)-1))*IF(G1010="Rame",1,0)</f>
        <v>0</v>
      </c>
      <c r="P1010" s="205">
        <v>0</v>
      </c>
      <c r="Q1010" s="205">
        <f t="shared" ca="1" si="299"/>
        <v>0</v>
      </c>
      <c r="R1010" s="205">
        <f ca="1">+IF(ISERROR(OFFSET(Tabella!$G$1,MATCH(J1010,Tabella!$G:$G,0)-1,MATCH(K1010,Tabella!$G$1:$FG$1,0)-1)=TRUE),0,OFFSET(Tabella!$G$1,MATCH(J1010,Tabella!$G:$G,0)-1,MATCH(K1010,Tabella!$G$1:$AB$1,0)-1))</f>
        <v>0</v>
      </c>
      <c r="S1010" s="205">
        <f ca="1">IF(ISERROR(OFFSET(Ottone!$F$1,MATCH(J1010,Ottone!$A:$A,0)-1,MATCH(K1010,Ottone!$F$1:$FF$1,0)-1)=TRUE),0,OFFSET(Ottone!$F$1,MATCH(J1010,Ottone!$A:$A,0)-1,MATCH(K1010,Ottone!$F$1:$FF$1,0)-1))*IF(G1010="Ottone",1,0)</f>
        <v>0</v>
      </c>
      <c r="T1010" s="205">
        <f ca="1">IF(ISERROR(OFFSET(Rame!$F$1,MATCH(J1010,Rame!$F:$F,0)-1,MATCH(K1010,Rame!$F$1:$FF$1,0)-1)=TRUE),0,OFFSET(Rame!$F$1,MATCH(J1010,Rame!$F:$F,0)-1,MATCH(K1010,Rame!$F$1:$FF$1,0)-1))*IF(G1010="Rame",1,0)</f>
        <v>0</v>
      </c>
      <c r="U1010" s="205">
        <f ca="1">IF(ISERROR(OFFSET(Bronzo!$A$1,MATCH(J1010,Bronzo!$A:$A,0)-1,MATCH(K1010,Bronzo!$A$1:$AA$1,0)-1)=TRUE),0,OFFSET(Bronzo!$A$1,MATCH(J1010,Bronzo!$A:$A,0)-1,MATCH(K1010,Bronzo!$A$1:$AA$1,0)-1))</f>
        <v>0</v>
      </c>
      <c r="V1010" s="205">
        <f t="shared" ca="1" si="300"/>
        <v>0</v>
      </c>
      <c r="W1010" s="204"/>
      <c r="X1010" s="205">
        <v>0</v>
      </c>
      <c r="Y1010" s="206">
        <f t="shared" ca="1" si="301"/>
        <v>0</v>
      </c>
      <c r="Z1010" s="277">
        <f t="shared" si="302"/>
        <v>0</v>
      </c>
      <c r="AA1010" s="203"/>
      <c r="AB1010" s="203">
        <f t="shared" ca="1" si="303"/>
        <v>0</v>
      </c>
      <c r="AC1010" s="238"/>
      <c r="AI1010" s="367">
        <f t="shared" ca="1" si="298"/>
        <v>46092</v>
      </c>
      <c r="AJ1010" s="367" t="b">
        <f t="shared" si="304"/>
        <v>1</v>
      </c>
      <c r="AK1010" s="370" t="str">
        <f t="shared" si="305"/>
        <v/>
      </c>
      <c r="AN1010">
        <f t="shared" si="306"/>
        <v>0</v>
      </c>
      <c r="AO1010">
        <f t="shared" si="307"/>
        <v>1900</v>
      </c>
      <c r="AV1010">
        <f t="shared" si="308"/>
        <v>0</v>
      </c>
      <c r="AW1010">
        <f t="shared" si="309"/>
        <v>0</v>
      </c>
    </row>
    <row r="1011" spans="4:49" ht="15.75" x14ac:dyDescent="0.25">
      <c r="D1011" s="199"/>
      <c r="E1011" s="200"/>
      <c r="F1011" s="287"/>
      <c r="G1011" s="201"/>
      <c r="H1011" s="219"/>
      <c r="I1011" s="202"/>
      <c r="J1011" s="200"/>
      <c r="K1011" s="200"/>
      <c r="L1011" s="203"/>
      <c r="M1011" s="204">
        <f ca="1">IF(ISERROR(OFFSET(Tabella!$A$1,MATCH(J1011,Tabella!$A:$A,0)-1,MATCH(L1011,Tabella!$A$1:$AC$1,0)-1)=TRUE),0,+OFFSET(Tabella!$A$1,MATCH(J1011,Tabella!$A:$A,0)-1,MATCH(L1011,Tabella!$A$1:$AC$1,0)-1))</f>
        <v>0</v>
      </c>
      <c r="N1011" s="205">
        <f ca="1">IF(ISERROR(OFFSET(Ottone!$A$1,MATCH(J1011,Ottone!$A:$A,0)-1,MATCH(L1011,Ottone!$A$1:$Z$1,0)-1)=TRUE),0,OFFSET(Ottone!$A$1,MATCH(J1011,Ottone!$A:$A,0)-1,MATCH(L1011,Ottone!$A$1:$Z$1,0)-1))*IF(G1011="Ottone",1,0)</f>
        <v>0</v>
      </c>
      <c r="O1011" s="205">
        <f ca="1">IF(ISERROR(OFFSET(Rame!$A$1,MATCH(J1011,Rame!$A:$A,0)-1,MATCH(L1011,Rame!$A$1:$AA$1,0)-1)=TRUE),0,OFFSET(Rame!$A$1,MATCH(J1011,Rame!$A:$A,0)-1,MATCH(L1011,Rame!$A$1:$AA$1,0)-1))*IF(G1011="Rame",1,0)</f>
        <v>0</v>
      </c>
      <c r="P1011" s="205">
        <v>0</v>
      </c>
      <c r="Q1011" s="205">
        <f t="shared" ca="1" si="299"/>
        <v>0</v>
      </c>
      <c r="R1011" s="205">
        <f ca="1">+IF(ISERROR(OFFSET(Tabella!$G$1,MATCH(J1011,Tabella!$G:$G,0)-1,MATCH(K1011,Tabella!$G$1:$FG$1,0)-1)=TRUE),0,OFFSET(Tabella!$G$1,MATCH(J1011,Tabella!$G:$G,0)-1,MATCH(K1011,Tabella!$G$1:$AB$1,0)-1))</f>
        <v>0</v>
      </c>
      <c r="S1011" s="205">
        <f ca="1">IF(ISERROR(OFFSET(Ottone!$F$1,MATCH(J1011,Ottone!$A:$A,0)-1,MATCH(K1011,Ottone!$F$1:$FF$1,0)-1)=TRUE),0,OFFSET(Ottone!$F$1,MATCH(J1011,Ottone!$A:$A,0)-1,MATCH(K1011,Ottone!$F$1:$FF$1,0)-1))*IF(G1011="Ottone",1,0)</f>
        <v>0</v>
      </c>
      <c r="T1011" s="205">
        <f ca="1">IF(ISERROR(OFFSET(Rame!$F$1,MATCH(J1011,Rame!$F:$F,0)-1,MATCH(K1011,Rame!$F$1:$FF$1,0)-1)=TRUE),0,OFFSET(Rame!$F$1,MATCH(J1011,Rame!$F:$F,0)-1,MATCH(K1011,Rame!$F$1:$FF$1,0)-1))*IF(G1011="Rame",1,0)</f>
        <v>0</v>
      </c>
      <c r="U1011" s="205">
        <f ca="1">IF(ISERROR(OFFSET(Bronzo!$A$1,MATCH(J1011,Bronzo!$A:$A,0)-1,MATCH(K1011,Bronzo!$A$1:$AA$1,0)-1)=TRUE),0,OFFSET(Bronzo!$A$1,MATCH(J1011,Bronzo!$A:$A,0)-1,MATCH(K1011,Bronzo!$A$1:$AA$1,0)-1))</f>
        <v>0</v>
      </c>
      <c r="V1011" s="205">
        <f t="shared" ca="1" si="300"/>
        <v>0</v>
      </c>
      <c r="W1011" s="204"/>
      <c r="X1011" s="205">
        <v>0</v>
      </c>
      <c r="Y1011" s="206">
        <f t="shared" ca="1" si="301"/>
        <v>0</v>
      </c>
      <c r="Z1011" s="277">
        <f t="shared" si="302"/>
        <v>0</v>
      </c>
      <c r="AA1011" s="203"/>
      <c r="AB1011" s="203">
        <f t="shared" ca="1" si="303"/>
        <v>0</v>
      </c>
      <c r="AC1011" s="238"/>
      <c r="AI1011" s="367">
        <f t="shared" ca="1" si="298"/>
        <v>46092</v>
      </c>
      <c r="AJ1011" s="367" t="b">
        <f t="shared" si="304"/>
        <v>1</v>
      </c>
      <c r="AK1011" s="370" t="str">
        <f t="shared" si="305"/>
        <v/>
      </c>
      <c r="AN1011">
        <f t="shared" si="306"/>
        <v>0</v>
      </c>
      <c r="AO1011">
        <f t="shared" si="307"/>
        <v>1900</v>
      </c>
      <c r="AV1011">
        <f t="shared" si="308"/>
        <v>0</v>
      </c>
      <c r="AW1011">
        <f t="shared" si="309"/>
        <v>0</v>
      </c>
    </row>
    <row r="1012" spans="4:49" ht="15.75" x14ac:dyDescent="0.25">
      <c r="D1012" s="199"/>
      <c r="E1012" s="200"/>
      <c r="F1012" s="287"/>
      <c r="G1012" s="201"/>
      <c r="H1012" s="219"/>
      <c r="I1012" s="202"/>
      <c r="J1012" s="200"/>
      <c r="K1012" s="200"/>
      <c r="L1012" s="203"/>
      <c r="M1012" s="204">
        <f ca="1">IF(ISERROR(OFFSET(Tabella!$A$1,MATCH(J1012,Tabella!$A:$A,0)-1,MATCH(L1012,Tabella!$A$1:$AC$1,0)-1)=TRUE),0,+OFFSET(Tabella!$A$1,MATCH(J1012,Tabella!$A:$A,0)-1,MATCH(L1012,Tabella!$A$1:$AC$1,0)-1))</f>
        <v>0</v>
      </c>
      <c r="N1012" s="205">
        <f ca="1">IF(ISERROR(OFFSET(Ottone!$A$1,MATCH(J1012,Ottone!$A:$A,0)-1,MATCH(L1012,Ottone!$A$1:$Z$1,0)-1)=TRUE),0,OFFSET(Ottone!$A$1,MATCH(J1012,Ottone!$A:$A,0)-1,MATCH(L1012,Ottone!$A$1:$Z$1,0)-1))*IF(G1012="Ottone",1,0)</f>
        <v>0</v>
      </c>
      <c r="O1012" s="205">
        <f ca="1">IF(ISERROR(OFFSET(Rame!$A$1,MATCH(J1012,Rame!$A:$A,0)-1,MATCH(L1012,Rame!$A$1:$AA$1,0)-1)=TRUE),0,OFFSET(Rame!$A$1,MATCH(J1012,Rame!$A:$A,0)-1,MATCH(L1012,Rame!$A$1:$AA$1,0)-1))*IF(G1012="Rame",1,0)</f>
        <v>0</v>
      </c>
      <c r="P1012" s="205">
        <v>0</v>
      </c>
      <c r="Q1012" s="205">
        <f t="shared" ca="1" si="299"/>
        <v>0</v>
      </c>
      <c r="R1012" s="205">
        <f ca="1">+IF(ISERROR(OFFSET(Tabella!$G$1,MATCH(J1012,Tabella!$G:$G,0)-1,MATCH(K1012,Tabella!$G$1:$FG$1,0)-1)=TRUE),0,OFFSET(Tabella!$G$1,MATCH(J1012,Tabella!$G:$G,0)-1,MATCH(K1012,Tabella!$G$1:$AB$1,0)-1))</f>
        <v>0</v>
      </c>
      <c r="S1012" s="205">
        <f ca="1">IF(ISERROR(OFFSET(Ottone!$F$1,MATCH(J1012,Ottone!$A:$A,0)-1,MATCH(K1012,Ottone!$F$1:$FF$1,0)-1)=TRUE),0,OFFSET(Ottone!$F$1,MATCH(J1012,Ottone!$A:$A,0)-1,MATCH(K1012,Ottone!$F$1:$FF$1,0)-1))*IF(G1012="Ottone",1,0)</f>
        <v>0</v>
      </c>
      <c r="T1012" s="205">
        <f ca="1">IF(ISERROR(OFFSET(Rame!$F$1,MATCH(J1012,Rame!$F:$F,0)-1,MATCH(K1012,Rame!$F$1:$FF$1,0)-1)=TRUE),0,OFFSET(Rame!$F$1,MATCH(J1012,Rame!$F:$F,0)-1,MATCH(K1012,Rame!$F$1:$FF$1,0)-1))*IF(G1012="Rame",1,0)</f>
        <v>0</v>
      </c>
      <c r="U1012" s="205">
        <f ca="1">IF(ISERROR(OFFSET(Bronzo!$A$1,MATCH(J1012,Bronzo!$A:$A,0)-1,MATCH(K1012,Bronzo!$A$1:$AA$1,0)-1)=TRUE),0,OFFSET(Bronzo!$A$1,MATCH(J1012,Bronzo!$A:$A,0)-1,MATCH(K1012,Bronzo!$A$1:$AA$1,0)-1))</f>
        <v>0</v>
      </c>
      <c r="V1012" s="205">
        <f t="shared" ca="1" si="300"/>
        <v>0</v>
      </c>
      <c r="W1012" s="204"/>
      <c r="X1012" s="205">
        <v>0</v>
      </c>
      <c r="Y1012" s="206">
        <f t="shared" ca="1" si="301"/>
        <v>0</v>
      </c>
      <c r="Z1012" s="277">
        <f t="shared" si="302"/>
        <v>0</v>
      </c>
      <c r="AA1012" s="203"/>
      <c r="AB1012" s="203">
        <f t="shared" ca="1" si="303"/>
        <v>0</v>
      </c>
      <c r="AC1012" s="238"/>
      <c r="AI1012" s="367">
        <f t="shared" ca="1" si="298"/>
        <v>46092</v>
      </c>
      <c r="AJ1012" s="367" t="b">
        <f t="shared" si="304"/>
        <v>1</v>
      </c>
      <c r="AK1012" s="370" t="str">
        <f t="shared" si="305"/>
        <v/>
      </c>
      <c r="AN1012">
        <f t="shared" si="306"/>
        <v>0</v>
      </c>
      <c r="AO1012">
        <f t="shared" si="307"/>
        <v>1900</v>
      </c>
      <c r="AV1012">
        <f t="shared" si="308"/>
        <v>0</v>
      </c>
      <c r="AW1012">
        <f t="shared" si="309"/>
        <v>0</v>
      </c>
    </row>
    <row r="1013" spans="4:49" ht="15.75" x14ac:dyDescent="0.25">
      <c r="D1013" s="199"/>
      <c r="E1013" s="200"/>
      <c r="F1013" s="287"/>
      <c r="G1013" s="201"/>
      <c r="H1013" s="219"/>
      <c r="I1013" s="202"/>
      <c r="J1013" s="200"/>
      <c r="K1013" s="200"/>
      <c r="L1013" s="203"/>
      <c r="M1013" s="204">
        <f ca="1">IF(ISERROR(OFFSET(Tabella!$A$1,MATCH(J1013,Tabella!$A:$A,0)-1,MATCH(L1013,Tabella!$A$1:$AC$1,0)-1)=TRUE),0,+OFFSET(Tabella!$A$1,MATCH(J1013,Tabella!$A:$A,0)-1,MATCH(L1013,Tabella!$A$1:$AC$1,0)-1))</f>
        <v>0</v>
      </c>
      <c r="N1013" s="205">
        <f ca="1">IF(ISERROR(OFFSET(Ottone!$A$1,MATCH(J1013,Ottone!$A:$A,0)-1,MATCH(L1013,Ottone!$A$1:$Z$1,0)-1)=TRUE),0,OFFSET(Ottone!$A$1,MATCH(J1013,Ottone!$A:$A,0)-1,MATCH(L1013,Ottone!$A$1:$Z$1,0)-1))*IF(G1013="Ottone",1,0)</f>
        <v>0</v>
      </c>
      <c r="O1013" s="205">
        <f ca="1">IF(ISERROR(OFFSET(Rame!$A$1,MATCH(J1013,Rame!$A:$A,0)-1,MATCH(L1013,Rame!$A$1:$AA$1,0)-1)=TRUE),0,OFFSET(Rame!$A$1,MATCH(J1013,Rame!$A:$A,0)-1,MATCH(L1013,Rame!$A$1:$AA$1,0)-1))*IF(G1013="Rame",1,0)</f>
        <v>0</v>
      </c>
      <c r="P1013" s="205">
        <v>0</v>
      </c>
      <c r="Q1013" s="205">
        <f t="shared" ca="1" si="299"/>
        <v>0</v>
      </c>
      <c r="R1013" s="205">
        <f ca="1">+IF(ISERROR(OFFSET(Tabella!$G$1,MATCH(J1013,Tabella!$G:$G,0)-1,MATCH(K1013,Tabella!$G$1:$FG$1,0)-1)=TRUE),0,OFFSET(Tabella!$G$1,MATCH(J1013,Tabella!$G:$G,0)-1,MATCH(K1013,Tabella!$G$1:$AB$1,0)-1))</f>
        <v>0</v>
      </c>
      <c r="S1013" s="205">
        <f ca="1">IF(ISERROR(OFFSET(Ottone!$F$1,MATCH(J1013,Ottone!$A:$A,0)-1,MATCH(K1013,Ottone!$F$1:$FF$1,0)-1)=TRUE),0,OFFSET(Ottone!$F$1,MATCH(J1013,Ottone!$A:$A,0)-1,MATCH(K1013,Ottone!$F$1:$FF$1,0)-1))*IF(G1013="Ottone",1,0)</f>
        <v>0</v>
      </c>
      <c r="T1013" s="205">
        <f ca="1">IF(ISERROR(OFFSET(Rame!$F$1,MATCH(J1013,Rame!$F:$F,0)-1,MATCH(K1013,Rame!$F$1:$FF$1,0)-1)=TRUE),0,OFFSET(Rame!$F$1,MATCH(J1013,Rame!$F:$F,0)-1,MATCH(K1013,Rame!$F$1:$FF$1,0)-1))*IF(G1013="Rame",1,0)</f>
        <v>0</v>
      </c>
      <c r="U1013" s="205">
        <f ca="1">IF(ISERROR(OFFSET(Bronzo!$A$1,MATCH(J1013,Bronzo!$A:$A,0)-1,MATCH(K1013,Bronzo!$A$1:$AA$1,0)-1)=TRUE),0,OFFSET(Bronzo!$A$1,MATCH(J1013,Bronzo!$A:$A,0)-1,MATCH(K1013,Bronzo!$A$1:$AA$1,0)-1))</f>
        <v>0</v>
      </c>
      <c r="V1013" s="205">
        <f t="shared" ca="1" si="300"/>
        <v>0</v>
      </c>
      <c r="W1013" s="204"/>
      <c r="X1013" s="205">
        <v>0</v>
      </c>
      <c r="Y1013" s="206">
        <f t="shared" ca="1" si="301"/>
        <v>0</v>
      </c>
      <c r="Z1013" s="277">
        <f t="shared" si="302"/>
        <v>0</v>
      </c>
      <c r="AA1013" s="203"/>
      <c r="AB1013" s="203">
        <f t="shared" ca="1" si="303"/>
        <v>0</v>
      </c>
      <c r="AC1013" s="238"/>
      <c r="AI1013" s="367">
        <f t="shared" ca="1" si="298"/>
        <v>46092</v>
      </c>
      <c r="AJ1013" s="367" t="b">
        <f t="shared" si="304"/>
        <v>1</v>
      </c>
      <c r="AK1013" s="370" t="str">
        <f t="shared" si="305"/>
        <v/>
      </c>
      <c r="AN1013">
        <f t="shared" si="306"/>
        <v>0</v>
      </c>
      <c r="AO1013">
        <f t="shared" si="307"/>
        <v>1900</v>
      </c>
      <c r="AV1013">
        <f t="shared" si="308"/>
        <v>0</v>
      </c>
      <c r="AW1013">
        <f t="shared" si="309"/>
        <v>0</v>
      </c>
    </row>
    <row r="1014" spans="4:49" ht="15.75" x14ac:dyDescent="0.25">
      <c r="D1014" s="199"/>
      <c r="E1014" s="200"/>
      <c r="F1014" s="287"/>
      <c r="G1014" s="201"/>
      <c r="H1014" s="219"/>
      <c r="I1014" s="202"/>
      <c r="J1014" s="200"/>
      <c r="K1014" s="200"/>
      <c r="L1014" s="203"/>
      <c r="M1014" s="204">
        <f ca="1">IF(ISERROR(OFFSET(Tabella!$A$1,MATCH(J1014,Tabella!$A:$A,0)-1,MATCH(L1014,Tabella!$A$1:$AC$1,0)-1)=TRUE),0,+OFFSET(Tabella!$A$1,MATCH(J1014,Tabella!$A:$A,0)-1,MATCH(L1014,Tabella!$A$1:$AC$1,0)-1))</f>
        <v>0</v>
      </c>
      <c r="N1014" s="205">
        <f ca="1">IF(ISERROR(OFFSET(Ottone!$A$1,MATCH(J1014,Ottone!$A:$A,0)-1,MATCH(L1014,Ottone!$A$1:$Z$1,0)-1)=TRUE),0,OFFSET(Ottone!$A$1,MATCH(J1014,Ottone!$A:$A,0)-1,MATCH(L1014,Ottone!$A$1:$Z$1,0)-1))*IF(G1014="Ottone",1,0)</f>
        <v>0</v>
      </c>
      <c r="O1014" s="205">
        <f ca="1">IF(ISERROR(OFFSET(Rame!$A$1,MATCH(J1014,Rame!$A:$A,0)-1,MATCH(L1014,Rame!$A$1:$AA$1,0)-1)=TRUE),0,OFFSET(Rame!$A$1,MATCH(J1014,Rame!$A:$A,0)-1,MATCH(L1014,Rame!$A$1:$AA$1,0)-1))*IF(G1014="Rame",1,0)</f>
        <v>0</v>
      </c>
      <c r="P1014" s="205">
        <v>0</v>
      </c>
      <c r="Q1014" s="205">
        <f t="shared" ca="1" si="299"/>
        <v>0</v>
      </c>
      <c r="R1014" s="205">
        <f ca="1">+IF(ISERROR(OFFSET(Tabella!$G$1,MATCH(J1014,Tabella!$G:$G,0)-1,MATCH(K1014,Tabella!$G$1:$FG$1,0)-1)=TRUE),0,OFFSET(Tabella!$G$1,MATCH(J1014,Tabella!$G:$G,0)-1,MATCH(K1014,Tabella!$G$1:$AB$1,0)-1))</f>
        <v>0</v>
      </c>
      <c r="S1014" s="205">
        <f ca="1">IF(ISERROR(OFFSET(Ottone!$F$1,MATCH(J1014,Ottone!$A:$A,0)-1,MATCH(K1014,Ottone!$F$1:$FF$1,0)-1)=TRUE),0,OFFSET(Ottone!$F$1,MATCH(J1014,Ottone!$A:$A,0)-1,MATCH(K1014,Ottone!$F$1:$FF$1,0)-1))*IF(G1014="Ottone",1,0)</f>
        <v>0</v>
      </c>
      <c r="T1014" s="205">
        <f ca="1">IF(ISERROR(OFFSET(Rame!$F$1,MATCH(J1014,Rame!$F:$F,0)-1,MATCH(K1014,Rame!$F$1:$FF$1,0)-1)=TRUE),0,OFFSET(Rame!$F$1,MATCH(J1014,Rame!$F:$F,0)-1,MATCH(K1014,Rame!$F$1:$FF$1,0)-1))*IF(G1014="Rame",1,0)</f>
        <v>0</v>
      </c>
      <c r="U1014" s="205">
        <f ca="1">IF(ISERROR(OFFSET(Bronzo!$A$1,MATCH(J1014,Bronzo!$A:$A,0)-1,MATCH(K1014,Bronzo!$A$1:$AA$1,0)-1)=TRUE),0,OFFSET(Bronzo!$A$1,MATCH(J1014,Bronzo!$A:$A,0)-1,MATCH(K1014,Bronzo!$A$1:$AA$1,0)-1))</f>
        <v>0</v>
      </c>
      <c r="V1014" s="205">
        <f t="shared" ca="1" si="300"/>
        <v>0</v>
      </c>
      <c r="W1014" s="204"/>
      <c r="X1014" s="205">
        <v>0</v>
      </c>
      <c r="Y1014" s="206">
        <f t="shared" ca="1" si="301"/>
        <v>0</v>
      </c>
      <c r="Z1014" s="277">
        <f t="shared" si="302"/>
        <v>0</v>
      </c>
      <c r="AA1014" s="203"/>
      <c r="AB1014" s="203">
        <f t="shared" ca="1" si="303"/>
        <v>0</v>
      </c>
      <c r="AC1014" s="238"/>
      <c r="AI1014" s="367">
        <f t="shared" ca="1" si="298"/>
        <v>46092</v>
      </c>
      <c r="AJ1014" s="367" t="b">
        <f t="shared" si="304"/>
        <v>1</v>
      </c>
      <c r="AK1014" s="370" t="str">
        <f t="shared" si="305"/>
        <v/>
      </c>
      <c r="AN1014">
        <f t="shared" si="306"/>
        <v>0</v>
      </c>
      <c r="AO1014">
        <f t="shared" si="307"/>
        <v>1900</v>
      </c>
      <c r="AV1014">
        <f t="shared" si="308"/>
        <v>0</v>
      </c>
      <c r="AW1014">
        <f t="shared" si="309"/>
        <v>0</v>
      </c>
    </row>
    <row r="1015" spans="4:49" ht="15.75" x14ac:dyDescent="0.25">
      <c r="D1015" s="199"/>
      <c r="E1015" s="200"/>
      <c r="F1015" s="287"/>
      <c r="G1015" s="201"/>
      <c r="H1015" s="219"/>
      <c r="I1015" s="202"/>
      <c r="J1015" s="200"/>
      <c r="K1015" s="200"/>
      <c r="L1015" s="203"/>
      <c r="M1015" s="204">
        <f ca="1">IF(ISERROR(OFFSET(Tabella!$A$1,MATCH(J1015,Tabella!$A:$A,0)-1,MATCH(L1015,Tabella!$A$1:$AC$1,0)-1)=TRUE),0,+OFFSET(Tabella!$A$1,MATCH(J1015,Tabella!$A:$A,0)-1,MATCH(L1015,Tabella!$A$1:$AC$1,0)-1))</f>
        <v>0</v>
      </c>
      <c r="N1015" s="205">
        <f ca="1">IF(ISERROR(OFFSET(Ottone!$A$1,MATCH(J1015,Ottone!$A:$A,0)-1,MATCH(L1015,Ottone!$A$1:$Z$1,0)-1)=TRUE),0,OFFSET(Ottone!$A$1,MATCH(J1015,Ottone!$A:$A,0)-1,MATCH(L1015,Ottone!$A$1:$Z$1,0)-1))*IF(G1015="Ottone",1,0)</f>
        <v>0</v>
      </c>
      <c r="O1015" s="205">
        <f ca="1">IF(ISERROR(OFFSET(Rame!$A$1,MATCH(J1015,Rame!$A:$A,0)-1,MATCH(L1015,Rame!$A$1:$AA$1,0)-1)=TRUE),0,OFFSET(Rame!$A$1,MATCH(J1015,Rame!$A:$A,0)-1,MATCH(L1015,Rame!$A$1:$AA$1,0)-1))*IF(G1015="Rame",1,0)</f>
        <v>0</v>
      </c>
      <c r="P1015" s="205">
        <v>0</v>
      </c>
      <c r="Q1015" s="205">
        <f t="shared" ca="1" si="299"/>
        <v>0</v>
      </c>
      <c r="R1015" s="205">
        <f ca="1">+IF(ISERROR(OFFSET(Tabella!$G$1,MATCH(J1015,Tabella!$G:$G,0)-1,MATCH(K1015,Tabella!$G$1:$FG$1,0)-1)=TRUE),0,OFFSET(Tabella!$G$1,MATCH(J1015,Tabella!$G:$G,0)-1,MATCH(K1015,Tabella!$G$1:$AB$1,0)-1))</f>
        <v>0</v>
      </c>
      <c r="S1015" s="205">
        <f ca="1">IF(ISERROR(OFFSET(Ottone!$F$1,MATCH(J1015,Ottone!$A:$A,0)-1,MATCH(K1015,Ottone!$F$1:$FF$1,0)-1)=TRUE),0,OFFSET(Ottone!$F$1,MATCH(J1015,Ottone!$A:$A,0)-1,MATCH(K1015,Ottone!$F$1:$FF$1,0)-1))*IF(G1015="Ottone",1,0)</f>
        <v>0</v>
      </c>
      <c r="T1015" s="205">
        <f ca="1">IF(ISERROR(OFFSET(Rame!$F$1,MATCH(J1015,Rame!$F:$F,0)-1,MATCH(K1015,Rame!$F$1:$FF$1,0)-1)=TRUE),0,OFFSET(Rame!$F$1,MATCH(J1015,Rame!$F:$F,0)-1,MATCH(K1015,Rame!$F$1:$FF$1,0)-1))*IF(G1015="Rame",1,0)</f>
        <v>0</v>
      </c>
      <c r="U1015" s="205">
        <f ca="1">IF(ISERROR(OFFSET(Bronzo!$A$1,MATCH(J1015,Bronzo!$A:$A,0)-1,MATCH(K1015,Bronzo!$A$1:$AA$1,0)-1)=TRUE),0,OFFSET(Bronzo!$A$1,MATCH(J1015,Bronzo!$A:$A,0)-1,MATCH(K1015,Bronzo!$A$1:$AA$1,0)-1))</f>
        <v>0</v>
      </c>
      <c r="V1015" s="205">
        <f t="shared" ca="1" si="300"/>
        <v>0</v>
      </c>
      <c r="W1015" s="204"/>
      <c r="X1015" s="205">
        <v>0</v>
      </c>
      <c r="Y1015" s="206">
        <f t="shared" ca="1" si="301"/>
        <v>0</v>
      </c>
      <c r="Z1015" s="277">
        <f t="shared" si="302"/>
        <v>0</v>
      </c>
      <c r="AA1015" s="203"/>
      <c r="AB1015" s="203">
        <f t="shared" ca="1" si="303"/>
        <v>0</v>
      </c>
      <c r="AC1015" s="238"/>
      <c r="AI1015" s="367">
        <f t="shared" ca="1" si="298"/>
        <v>46092</v>
      </c>
      <c r="AJ1015" s="367" t="b">
        <f t="shared" si="304"/>
        <v>1</v>
      </c>
      <c r="AK1015" s="370" t="str">
        <f t="shared" si="305"/>
        <v/>
      </c>
      <c r="AN1015">
        <f t="shared" si="306"/>
        <v>0</v>
      </c>
      <c r="AO1015">
        <f t="shared" si="307"/>
        <v>1900</v>
      </c>
      <c r="AV1015">
        <f t="shared" si="308"/>
        <v>0</v>
      </c>
      <c r="AW1015">
        <f t="shared" si="309"/>
        <v>0</v>
      </c>
    </row>
    <row r="1016" spans="4:49" ht="15.75" x14ac:dyDescent="0.25">
      <c r="D1016" s="199"/>
      <c r="E1016" s="200"/>
      <c r="F1016" s="287"/>
      <c r="G1016" s="201"/>
      <c r="H1016" s="219"/>
      <c r="I1016" s="202"/>
      <c r="J1016" s="200"/>
      <c r="K1016" s="200"/>
      <c r="L1016" s="203"/>
      <c r="M1016" s="204">
        <f ca="1">IF(ISERROR(OFFSET(Tabella!$A$1,MATCH(J1016,Tabella!$A:$A,0)-1,MATCH(L1016,Tabella!$A$1:$AC$1,0)-1)=TRUE),0,+OFFSET(Tabella!$A$1,MATCH(J1016,Tabella!$A:$A,0)-1,MATCH(L1016,Tabella!$A$1:$AC$1,0)-1))</f>
        <v>0</v>
      </c>
      <c r="N1016" s="205">
        <f ca="1">IF(ISERROR(OFFSET(Ottone!$A$1,MATCH(J1016,Ottone!$A:$A,0)-1,MATCH(L1016,Ottone!$A$1:$Z$1,0)-1)=TRUE),0,OFFSET(Ottone!$A$1,MATCH(J1016,Ottone!$A:$A,0)-1,MATCH(L1016,Ottone!$A$1:$Z$1,0)-1))*IF(G1016="Ottone",1,0)</f>
        <v>0</v>
      </c>
      <c r="O1016" s="205">
        <f ca="1">IF(ISERROR(OFFSET(Rame!$A$1,MATCH(J1016,Rame!$A:$A,0)-1,MATCH(L1016,Rame!$A$1:$AA$1,0)-1)=TRUE),0,OFFSET(Rame!$A$1,MATCH(J1016,Rame!$A:$A,0)-1,MATCH(L1016,Rame!$A$1:$AA$1,0)-1))*IF(G1016="Rame",1,0)</f>
        <v>0</v>
      </c>
      <c r="P1016" s="205">
        <v>0</v>
      </c>
      <c r="Q1016" s="205">
        <f t="shared" ca="1" si="299"/>
        <v>0</v>
      </c>
      <c r="R1016" s="205">
        <f ca="1">+IF(ISERROR(OFFSET(Tabella!$G$1,MATCH(J1016,Tabella!$G:$G,0)-1,MATCH(K1016,Tabella!$G$1:$FG$1,0)-1)=TRUE),0,OFFSET(Tabella!$G$1,MATCH(J1016,Tabella!$G:$G,0)-1,MATCH(K1016,Tabella!$G$1:$AB$1,0)-1))</f>
        <v>0</v>
      </c>
      <c r="S1016" s="205">
        <f ca="1">IF(ISERROR(OFFSET(Ottone!$F$1,MATCH(J1016,Ottone!$A:$A,0)-1,MATCH(K1016,Ottone!$F$1:$FF$1,0)-1)=TRUE),0,OFFSET(Ottone!$F$1,MATCH(J1016,Ottone!$A:$A,0)-1,MATCH(K1016,Ottone!$F$1:$FF$1,0)-1))*IF(G1016="Ottone",1,0)</f>
        <v>0</v>
      </c>
      <c r="T1016" s="205">
        <f ca="1">IF(ISERROR(OFFSET(Rame!$F$1,MATCH(J1016,Rame!$F:$F,0)-1,MATCH(K1016,Rame!$F$1:$FF$1,0)-1)=TRUE),0,OFFSET(Rame!$F$1,MATCH(J1016,Rame!$F:$F,0)-1,MATCH(K1016,Rame!$F$1:$FF$1,0)-1))*IF(G1016="Rame",1,0)</f>
        <v>0</v>
      </c>
      <c r="U1016" s="205">
        <f ca="1">IF(ISERROR(OFFSET(Bronzo!$A$1,MATCH(J1016,Bronzo!$A:$A,0)-1,MATCH(K1016,Bronzo!$A$1:$AA$1,0)-1)=TRUE),0,OFFSET(Bronzo!$A$1,MATCH(J1016,Bronzo!$A:$A,0)-1,MATCH(K1016,Bronzo!$A$1:$AA$1,0)-1))</f>
        <v>0</v>
      </c>
      <c r="V1016" s="205">
        <f t="shared" ca="1" si="300"/>
        <v>0</v>
      </c>
      <c r="W1016" s="204"/>
      <c r="X1016" s="205">
        <v>0</v>
      </c>
      <c r="Y1016" s="206">
        <f t="shared" ca="1" si="301"/>
        <v>0</v>
      </c>
      <c r="Z1016" s="277">
        <f t="shared" si="302"/>
        <v>0</v>
      </c>
      <c r="AA1016" s="203"/>
      <c r="AB1016" s="203">
        <f t="shared" ca="1" si="303"/>
        <v>0</v>
      </c>
      <c r="AC1016" s="238"/>
      <c r="AI1016" s="367">
        <f t="shared" ca="1" si="298"/>
        <v>46092</v>
      </c>
      <c r="AJ1016" s="367" t="b">
        <f t="shared" si="304"/>
        <v>1</v>
      </c>
      <c r="AK1016" s="370" t="str">
        <f t="shared" si="305"/>
        <v/>
      </c>
      <c r="AN1016">
        <f t="shared" si="306"/>
        <v>0</v>
      </c>
      <c r="AO1016">
        <f t="shared" si="307"/>
        <v>1900</v>
      </c>
      <c r="AV1016">
        <f t="shared" si="308"/>
        <v>0</v>
      </c>
      <c r="AW1016">
        <f t="shared" si="309"/>
        <v>0</v>
      </c>
    </row>
    <row r="1017" spans="4:49" ht="15.75" x14ac:dyDescent="0.25">
      <c r="D1017" s="199"/>
      <c r="E1017" s="200"/>
      <c r="F1017" s="287"/>
      <c r="G1017" s="201"/>
      <c r="H1017" s="219"/>
      <c r="I1017" s="202"/>
      <c r="J1017" s="200"/>
      <c r="K1017" s="200"/>
      <c r="L1017" s="203"/>
      <c r="M1017" s="204">
        <f ca="1">IF(ISERROR(OFFSET(Tabella!$A$1,MATCH(J1017,Tabella!$A:$A,0)-1,MATCH(L1017,Tabella!$A$1:$AC$1,0)-1)=TRUE),0,+OFFSET(Tabella!$A$1,MATCH(J1017,Tabella!$A:$A,0)-1,MATCH(L1017,Tabella!$A$1:$AC$1,0)-1))</f>
        <v>0</v>
      </c>
      <c r="N1017" s="205">
        <f ca="1">IF(ISERROR(OFFSET(Ottone!$A$1,MATCH(J1017,Ottone!$A:$A,0)-1,MATCH(L1017,Ottone!$A$1:$Z$1,0)-1)=TRUE),0,OFFSET(Ottone!$A$1,MATCH(J1017,Ottone!$A:$A,0)-1,MATCH(L1017,Ottone!$A$1:$Z$1,0)-1))*IF(G1017="Ottone",1,0)</f>
        <v>0</v>
      </c>
      <c r="O1017" s="205">
        <f ca="1">IF(ISERROR(OFFSET(Rame!$A$1,MATCH(J1017,Rame!$A:$A,0)-1,MATCH(L1017,Rame!$A$1:$AA$1,0)-1)=TRUE),0,OFFSET(Rame!$A$1,MATCH(J1017,Rame!$A:$A,0)-1,MATCH(L1017,Rame!$A$1:$AA$1,0)-1))*IF(G1017="Rame",1,0)</f>
        <v>0</v>
      </c>
      <c r="P1017" s="205">
        <v>0</v>
      </c>
      <c r="Q1017" s="205">
        <f t="shared" ca="1" si="299"/>
        <v>0</v>
      </c>
      <c r="R1017" s="205">
        <f ca="1">+IF(ISERROR(OFFSET(Tabella!$G$1,MATCH(J1017,Tabella!$G:$G,0)-1,MATCH(K1017,Tabella!$G$1:$FG$1,0)-1)=TRUE),0,OFFSET(Tabella!$G$1,MATCH(J1017,Tabella!$G:$G,0)-1,MATCH(K1017,Tabella!$G$1:$AB$1,0)-1))</f>
        <v>0</v>
      </c>
      <c r="S1017" s="205">
        <f ca="1">IF(ISERROR(OFFSET(Ottone!$F$1,MATCH(J1017,Ottone!$A:$A,0)-1,MATCH(K1017,Ottone!$F$1:$FF$1,0)-1)=TRUE),0,OFFSET(Ottone!$F$1,MATCH(J1017,Ottone!$A:$A,0)-1,MATCH(K1017,Ottone!$F$1:$FF$1,0)-1))*IF(G1017="Ottone",1,0)</f>
        <v>0</v>
      </c>
      <c r="T1017" s="205">
        <f ca="1">IF(ISERROR(OFFSET(Rame!$F$1,MATCH(J1017,Rame!$F:$F,0)-1,MATCH(K1017,Rame!$F$1:$FF$1,0)-1)=TRUE),0,OFFSET(Rame!$F$1,MATCH(J1017,Rame!$F:$F,0)-1,MATCH(K1017,Rame!$F$1:$FF$1,0)-1))*IF(G1017="Rame",1,0)</f>
        <v>0</v>
      </c>
      <c r="U1017" s="205">
        <f ca="1">IF(ISERROR(OFFSET(Bronzo!$A$1,MATCH(J1017,Bronzo!$A:$A,0)-1,MATCH(K1017,Bronzo!$A$1:$AA$1,0)-1)=TRUE),0,OFFSET(Bronzo!$A$1,MATCH(J1017,Bronzo!$A:$A,0)-1,MATCH(K1017,Bronzo!$A$1:$AA$1,0)-1))</f>
        <v>0</v>
      </c>
      <c r="V1017" s="205">
        <f t="shared" ca="1" si="300"/>
        <v>0</v>
      </c>
      <c r="W1017" s="204"/>
      <c r="X1017" s="205">
        <v>0</v>
      </c>
      <c r="Y1017" s="206">
        <f t="shared" ca="1" si="301"/>
        <v>0</v>
      </c>
      <c r="Z1017" s="277">
        <f t="shared" si="302"/>
        <v>0</v>
      </c>
      <c r="AA1017" s="203"/>
      <c r="AB1017" s="203">
        <f t="shared" ca="1" si="303"/>
        <v>0</v>
      </c>
      <c r="AC1017" s="238"/>
      <c r="AI1017" s="367">
        <f t="shared" ca="1" si="298"/>
        <v>46092</v>
      </c>
      <c r="AJ1017" s="367" t="b">
        <f t="shared" si="304"/>
        <v>1</v>
      </c>
      <c r="AK1017" s="370" t="str">
        <f t="shared" si="305"/>
        <v/>
      </c>
      <c r="AN1017">
        <f t="shared" si="306"/>
        <v>0</v>
      </c>
      <c r="AO1017">
        <f t="shared" si="307"/>
        <v>1900</v>
      </c>
      <c r="AV1017">
        <f t="shared" si="308"/>
        <v>0</v>
      </c>
      <c r="AW1017">
        <f t="shared" si="309"/>
        <v>0</v>
      </c>
    </row>
    <row r="1018" spans="4:49" ht="15.75" x14ac:dyDescent="0.25">
      <c r="D1018" s="199"/>
      <c r="E1018" s="200"/>
      <c r="F1018" s="287"/>
      <c r="G1018" s="201"/>
      <c r="H1018" s="219"/>
      <c r="I1018" s="202"/>
      <c r="J1018" s="200"/>
      <c r="K1018" s="200"/>
      <c r="L1018" s="203"/>
      <c r="M1018" s="204">
        <f ca="1">IF(ISERROR(OFFSET(Tabella!$A$1,MATCH(J1018,Tabella!$A:$A,0)-1,MATCH(L1018,Tabella!$A$1:$AC$1,0)-1)=TRUE),0,+OFFSET(Tabella!$A$1,MATCH(J1018,Tabella!$A:$A,0)-1,MATCH(L1018,Tabella!$A$1:$AC$1,0)-1))</f>
        <v>0</v>
      </c>
      <c r="N1018" s="205">
        <f ca="1">IF(ISERROR(OFFSET(Ottone!$A$1,MATCH(J1018,Ottone!$A:$A,0)-1,MATCH(L1018,Ottone!$A$1:$Z$1,0)-1)=TRUE),0,OFFSET(Ottone!$A$1,MATCH(J1018,Ottone!$A:$A,0)-1,MATCH(L1018,Ottone!$A$1:$Z$1,0)-1))*IF(G1018="Ottone",1,0)</f>
        <v>0</v>
      </c>
      <c r="O1018" s="205">
        <f ca="1">IF(ISERROR(OFFSET(Rame!$A$1,MATCH(J1018,Rame!$A:$A,0)-1,MATCH(L1018,Rame!$A$1:$AA$1,0)-1)=TRUE),0,OFFSET(Rame!$A$1,MATCH(J1018,Rame!$A:$A,0)-1,MATCH(L1018,Rame!$A$1:$AA$1,0)-1))*IF(G1018="Rame",1,0)</f>
        <v>0</v>
      </c>
      <c r="P1018" s="205">
        <v>0</v>
      </c>
      <c r="Q1018" s="205">
        <f t="shared" ca="1" si="299"/>
        <v>0</v>
      </c>
      <c r="R1018" s="205">
        <f ca="1">+IF(ISERROR(OFFSET(Tabella!$G$1,MATCH(J1018,Tabella!$G:$G,0)-1,MATCH(K1018,Tabella!$G$1:$FG$1,0)-1)=TRUE),0,OFFSET(Tabella!$G$1,MATCH(J1018,Tabella!$G:$G,0)-1,MATCH(K1018,Tabella!$G$1:$AB$1,0)-1))</f>
        <v>0</v>
      </c>
      <c r="S1018" s="205">
        <f ca="1">IF(ISERROR(OFFSET(Ottone!$F$1,MATCH(J1018,Ottone!$A:$A,0)-1,MATCH(K1018,Ottone!$F$1:$FF$1,0)-1)=TRUE),0,OFFSET(Ottone!$F$1,MATCH(J1018,Ottone!$A:$A,0)-1,MATCH(K1018,Ottone!$F$1:$FF$1,0)-1))*IF(G1018="Ottone",1,0)</f>
        <v>0</v>
      </c>
      <c r="T1018" s="205">
        <f ca="1">IF(ISERROR(OFFSET(Rame!$F$1,MATCH(J1018,Rame!$F:$F,0)-1,MATCH(K1018,Rame!$F$1:$FF$1,0)-1)=TRUE),0,OFFSET(Rame!$F$1,MATCH(J1018,Rame!$F:$F,0)-1,MATCH(K1018,Rame!$F$1:$FF$1,0)-1))*IF(G1018="Rame",1,0)</f>
        <v>0</v>
      </c>
      <c r="U1018" s="205">
        <f ca="1">IF(ISERROR(OFFSET(Bronzo!$A$1,MATCH(J1018,Bronzo!$A:$A,0)-1,MATCH(K1018,Bronzo!$A$1:$AA$1,0)-1)=TRUE),0,OFFSET(Bronzo!$A$1,MATCH(J1018,Bronzo!$A:$A,0)-1,MATCH(K1018,Bronzo!$A$1:$AA$1,0)-1))</f>
        <v>0</v>
      </c>
      <c r="V1018" s="205">
        <f t="shared" ca="1" si="300"/>
        <v>0</v>
      </c>
      <c r="W1018" s="204"/>
      <c r="X1018" s="205">
        <v>0</v>
      </c>
      <c r="Y1018" s="206">
        <f t="shared" ca="1" si="301"/>
        <v>0</v>
      </c>
      <c r="Z1018" s="277">
        <f t="shared" si="302"/>
        <v>0</v>
      </c>
      <c r="AA1018" s="203"/>
      <c r="AB1018" s="203">
        <f t="shared" ca="1" si="303"/>
        <v>0</v>
      </c>
      <c r="AC1018" s="238"/>
      <c r="AI1018" s="367">
        <f t="shared" ca="1" si="298"/>
        <v>46092</v>
      </c>
      <c r="AJ1018" s="367" t="b">
        <f t="shared" si="304"/>
        <v>1</v>
      </c>
      <c r="AK1018" s="370" t="str">
        <f t="shared" si="305"/>
        <v/>
      </c>
      <c r="AN1018">
        <f t="shared" si="306"/>
        <v>0</v>
      </c>
      <c r="AO1018">
        <f t="shared" si="307"/>
        <v>1900</v>
      </c>
      <c r="AV1018">
        <f t="shared" si="308"/>
        <v>0</v>
      </c>
      <c r="AW1018">
        <f t="shared" si="309"/>
        <v>0</v>
      </c>
    </row>
    <row r="1019" spans="4:49" ht="15.75" x14ac:dyDescent="0.25">
      <c r="D1019" s="199"/>
      <c r="E1019" s="200"/>
      <c r="F1019" s="287"/>
      <c r="G1019" s="201"/>
      <c r="H1019" s="219"/>
      <c r="I1019" s="202"/>
      <c r="J1019" s="200"/>
      <c r="K1019" s="200"/>
      <c r="L1019" s="203"/>
      <c r="M1019" s="204">
        <f ca="1">IF(ISERROR(OFFSET(Tabella!$A$1,MATCH(J1019,Tabella!$A:$A,0)-1,MATCH(L1019,Tabella!$A$1:$AC$1,0)-1)=TRUE),0,+OFFSET(Tabella!$A$1,MATCH(J1019,Tabella!$A:$A,0)-1,MATCH(L1019,Tabella!$A$1:$AC$1,0)-1))</f>
        <v>0</v>
      </c>
      <c r="N1019" s="205">
        <f ca="1">IF(ISERROR(OFFSET(Ottone!$A$1,MATCH(J1019,Ottone!$A:$A,0)-1,MATCH(L1019,Ottone!$A$1:$Z$1,0)-1)=TRUE),0,OFFSET(Ottone!$A$1,MATCH(J1019,Ottone!$A:$A,0)-1,MATCH(L1019,Ottone!$A$1:$Z$1,0)-1))*IF(G1019="Ottone",1,0)</f>
        <v>0</v>
      </c>
      <c r="O1019" s="205">
        <f ca="1">IF(ISERROR(OFFSET(Rame!$A$1,MATCH(J1019,Rame!$A:$A,0)-1,MATCH(L1019,Rame!$A$1:$AA$1,0)-1)=TRUE),0,OFFSET(Rame!$A$1,MATCH(J1019,Rame!$A:$A,0)-1,MATCH(L1019,Rame!$A$1:$AA$1,0)-1))*IF(G1019="Rame",1,0)</f>
        <v>0</v>
      </c>
      <c r="P1019" s="205">
        <v>0</v>
      </c>
      <c r="Q1019" s="205">
        <f t="shared" ca="1" si="299"/>
        <v>0</v>
      </c>
      <c r="R1019" s="205">
        <f ca="1">+IF(ISERROR(OFFSET(Tabella!$G$1,MATCH(J1019,Tabella!$G:$G,0)-1,MATCH(K1019,Tabella!$G$1:$FG$1,0)-1)=TRUE),0,OFFSET(Tabella!$G$1,MATCH(J1019,Tabella!$G:$G,0)-1,MATCH(K1019,Tabella!$G$1:$AB$1,0)-1))</f>
        <v>0</v>
      </c>
      <c r="S1019" s="205">
        <f ca="1">IF(ISERROR(OFFSET(Ottone!$F$1,MATCH(J1019,Ottone!$A:$A,0)-1,MATCH(K1019,Ottone!$F$1:$FF$1,0)-1)=TRUE),0,OFFSET(Ottone!$F$1,MATCH(J1019,Ottone!$A:$A,0)-1,MATCH(K1019,Ottone!$F$1:$FF$1,0)-1))*IF(G1019="Ottone",1,0)</f>
        <v>0</v>
      </c>
      <c r="T1019" s="205">
        <f ca="1">IF(ISERROR(OFFSET(Rame!$F$1,MATCH(J1019,Rame!$F:$F,0)-1,MATCH(K1019,Rame!$F$1:$FF$1,0)-1)=TRUE),0,OFFSET(Rame!$F$1,MATCH(J1019,Rame!$F:$F,0)-1,MATCH(K1019,Rame!$F$1:$FF$1,0)-1))*IF(G1019="Rame",1,0)</f>
        <v>0</v>
      </c>
      <c r="U1019" s="205">
        <f ca="1">IF(ISERROR(OFFSET(Bronzo!$A$1,MATCH(J1019,Bronzo!$A:$A,0)-1,MATCH(K1019,Bronzo!$A$1:$AA$1,0)-1)=TRUE),0,OFFSET(Bronzo!$A$1,MATCH(J1019,Bronzo!$A:$A,0)-1,MATCH(K1019,Bronzo!$A$1:$AA$1,0)-1))</f>
        <v>0</v>
      </c>
      <c r="V1019" s="205">
        <f t="shared" ca="1" si="300"/>
        <v>0</v>
      </c>
      <c r="W1019" s="204"/>
      <c r="X1019" s="205">
        <v>0</v>
      </c>
      <c r="Y1019" s="206">
        <f t="shared" ca="1" si="301"/>
        <v>0</v>
      </c>
      <c r="Z1019" s="277">
        <f t="shared" si="302"/>
        <v>0</v>
      </c>
      <c r="AA1019" s="203"/>
      <c r="AB1019" s="203">
        <f t="shared" ca="1" si="303"/>
        <v>0</v>
      </c>
      <c r="AC1019" s="238"/>
      <c r="AI1019" s="367">
        <f t="shared" ca="1" si="298"/>
        <v>46092</v>
      </c>
      <c r="AJ1019" s="367" t="b">
        <f t="shared" si="304"/>
        <v>1</v>
      </c>
      <c r="AK1019" s="370" t="str">
        <f t="shared" si="305"/>
        <v/>
      </c>
      <c r="AN1019">
        <f t="shared" si="306"/>
        <v>0</v>
      </c>
      <c r="AO1019">
        <f t="shared" si="307"/>
        <v>1900</v>
      </c>
      <c r="AV1019">
        <f t="shared" si="308"/>
        <v>0</v>
      </c>
      <c r="AW1019">
        <f t="shared" si="309"/>
        <v>0</v>
      </c>
    </row>
    <row r="1020" spans="4:49" ht="15.75" x14ac:dyDescent="0.25">
      <c r="D1020" s="199"/>
      <c r="E1020" s="200"/>
      <c r="F1020" s="287"/>
      <c r="G1020" s="201"/>
      <c r="H1020" s="219"/>
      <c r="I1020" s="202"/>
      <c r="J1020" s="200"/>
      <c r="K1020" s="200"/>
      <c r="L1020" s="203"/>
      <c r="M1020" s="204">
        <f ca="1">IF(ISERROR(OFFSET(Tabella!$A$1,MATCH(J1020,Tabella!$A:$A,0)-1,MATCH(L1020,Tabella!$A$1:$AC$1,0)-1)=TRUE),0,+OFFSET(Tabella!$A$1,MATCH(J1020,Tabella!$A:$A,0)-1,MATCH(L1020,Tabella!$A$1:$AC$1,0)-1))</f>
        <v>0</v>
      </c>
      <c r="N1020" s="205">
        <f ca="1">IF(ISERROR(OFFSET(Ottone!$A$1,MATCH(J1020,Ottone!$A:$A,0)-1,MATCH(L1020,Ottone!$A$1:$Z$1,0)-1)=TRUE),0,OFFSET(Ottone!$A$1,MATCH(J1020,Ottone!$A:$A,0)-1,MATCH(L1020,Ottone!$A$1:$Z$1,0)-1))*IF(G1020="Ottone",1,0)</f>
        <v>0</v>
      </c>
      <c r="O1020" s="205">
        <f ca="1">IF(ISERROR(OFFSET(Rame!$A$1,MATCH(J1020,Rame!$A:$A,0)-1,MATCH(L1020,Rame!$A$1:$AA$1,0)-1)=TRUE),0,OFFSET(Rame!$A$1,MATCH(J1020,Rame!$A:$A,0)-1,MATCH(L1020,Rame!$A$1:$AA$1,0)-1))*IF(G1020="Rame",1,0)</f>
        <v>0</v>
      </c>
      <c r="P1020" s="205">
        <v>0</v>
      </c>
      <c r="Q1020" s="205">
        <f t="shared" ca="1" si="299"/>
        <v>0</v>
      </c>
      <c r="R1020" s="205">
        <f ca="1">+IF(ISERROR(OFFSET(Tabella!$G$1,MATCH(J1020,Tabella!$G:$G,0)-1,MATCH(K1020,Tabella!$G$1:$FG$1,0)-1)=TRUE),0,OFFSET(Tabella!$G$1,MATCH(J1020,Tabella!$G:$G,0)-1,MATCH(K1020,Tabella!$G$1:$AB$1,0)-1))</f>
        <v>0</v>
      </c>
      <c r="S1020" s="205">
        <f ca="1">IF(ISERROR(OFFSET(Ottone!$F$1,MATCH(J1020,Ottone!$A:$A,0)-1,MATCH(K1020,Ottone!$F$1:$FF$1,0)-1)=TRUE),0,OFFSET(Ottone!$F$1,MATCH(J1020,Ottone!$A:$A,0)-1,MATCH(K1020,Ottone!$F$1:$FF$1,0)-1))*IF(G1020="Ottone",1,0)</f>
        <v>0</v>
      </c>
      <c r="T1020" s="205">
        <f ca="1">IF(ISERROR(OFFSET(Rame!$F$1,MATCH(J1020,Rame!$F:$F,0)-1,MATCH(K1020,Rame!$F$1:$FF$1,0)-1)=TRUE),0,OFFSET(Rame!$F$1,MATCH(J1020,Rame!$F:$F,0)-1,MATCH(K1020,Rame!$F$1:$FF$1,0)-1))*IF(G1020="Rame",1,0)</f>
        <v>0</v>
      </c>
      <c r="U1020" s="205">
        <f ca="1">IF(ISERROR(OFFSET(Bronzo!$A$1,MATCH(J1020,Bronzo!$A:$A,0)-1,MATCH(K1020,Bronzo!$A$1:$AA$1,0)-1)=TRUE),0,OFFSET(Bronzo!$A$1,MATCH(J1020,Bronzo!$A:$A,0)-1,MATCH(K1020,Bronzo!$A$1:$AA$1,0)-1))</f>
        <v>0</v>
      </c>
      <c r="V1020" s="205">
        <f t="shared" ca="1" si="300"/>
        <v>0</v>
      </c>
      <c r="W1020" s="204"/>
      <c r="X1020" s="205">
        <v>0</v>
      </c>
      <c r="Y1020" s="206">
        <f t="shared" ca="1" si="301"/>
        <v>0</v>
      </c>
      <c r="Z1020" s="277">
        <f t="shared" si="302"/>
        <v>0</v>
      </c>
      <c r="AA1020" s="203"/>
      <c r="AB1020" s="203">
        <f t="shared" ca="1" si="303"/>
        <v>0</v>
      </c>
      <c r="AC1020" s="238"/>
      <c r="AI1020" s="367">
        <f t="shared" ca="1" si="298"/>
        <v>46092</v>
      </c>
      <c r="AJ1020" s="367" t="b">
        <f t="shared" si="304"/>
        <v>1</v>
      </c>
      <c r="AK1020" s="370" t="str">
        <f t="shared" si="305"/>
        <v/>
      </c>
      <c r="AN1020">
        <f t="shared" si="306"/>
        <v>0</v>
      </c>
      <c r="AO1020">
        <f t="shared" si="307"/>
        <v>1900</v>
      </c>
      <c r="AV1020">
        <f t="shared" si="308"/>
        <v>0</v>
      </c>
      <c r="AW1020">
        <f t="shared" si="309"/>
        <v>0</v>
      </c>
    </row>
    <row r="1021" spans="4:49" ht="15.75" x14ac:dyDescent="0.25">
      <c r="D1021" s="199"/>
      <c r="E1021" s="200"/>
      <c r="F1021" s="287"/>
      <c r="G1021" s="201"/>
      <c r="H1021" s="219"/>
      <c r="I1021" s="202"/>
      <c r="J1021" s="200"/>
      <c r="K1021" s="200"/>
      <c r="L1021" s="203"/>
      <c r="M1021" s="204">
        <f ca="1">IF(ISERROR(OFFSET(Tabella!$A$1,MATCH(J1021,Tabella!$A:$A,0)-1,MATCH(L1021,Tabella!$A$1:$AC$1,0)-1)=TRUE),0,+OFFSET(Tabella!$A$1,MATCH(J1021,Tabella!$A:$A,0)-1,MATCH(L1021,Tabella!$A$1:$AC$1,0)-1))</f>
        <v>0</v>
      </c>
      <c r="N1021" s="205">
        <f ca="1">IF(ISERROR(OFFSET(Ottone!$A$1,MATCH(J1021,Ottone!$A:$A,0)-1,MATCH(L1021,Ottone!$A$1:$Z$1,0)-1)=TRUE),0,OFFSET(Ottone!$A$1,MATCH(J1021,Ottone!$A:$A,0)-1,MATCH(L1021,Ottone!$A$1:$Z$1,0)-1))*IF(G1021="Ottone",1,0)</f>
        <v>0</v>
      </c>
      <c r="O1021" s="205">
        <f ca="1">IF(ISERROR(OFFSET(Rame!$A$1,MATCH(J1021,Rame!$A:$A,0)-1,MATCH(L1021,Rame!$A$1:$AA$1,0)-1)=TRUE),0,OFFSET(Rame!$A$1,MATCH(J1021,Rame!$A:$A,0)-1,MATCH(L1021,Rame!$A$1:$AA$1,0)-1))*IF(G1021="Rame",1,0)</f>
        <v>0</v>
      </c>
      <c r="P1021" s="205">
        <v>0</v>
      </c>
      <c r="Q1021" s="205">
        <f t="shared" ca="1" si="299"/>
        <v>0</v>
      </c>
      <c r="R1021" s="205">
        <f ca="1">+IF(ISERROR(OFFSET(Tabella!$G$1,MATCH(J1021,Tabella!$G:$G,0)-1,MATCH(K1021,Tabella!$G$1:$FG$1,0)-1)=TRUE),0,OFFSET(Tabella!$G$1,MATCH(J1021,Tabella!$G:$G,0)-1,MATCH(K1021,Tabella!$G$1:$AB$1,0)-1))</f>
        <v>0</v>
      </c>
      <c r="S1021" s="205">
        <f ca="1">IF(ISERROR(OFFSET(Ottone!$F$1,MATCH(J1021,Ottone!$A:$A,0)-1,MATCH(K1021,Ottone!$F$1:$FF$1,0)-1)=TRUE),0,OFFSET(Ottone!$F$1,MATCH(J1021,Ottone!$A:$A,0)-1,MATCH(K1021,Ottone!$F$1:$FF$1,0)-1))*IF(G1021="Ottone",1,0)</f>
        <v>0</v>
      </c>
      <c r="T1021" s="205">
        <f ca="1">IF(ISERROR(OFFSET(Rame!$F$1,MATCH(J1021,Rame!$F:$F,0)-1,MATCH(K1021,Rame!$F$1:$FF$1,0)-1)=TRUE),0,OFFSET(Rame!$F$1,MATCH(J1021,Rame!$F:$F,0)-1,MATCH(K1021,Rame!$F$1:$FF$1,0)-1))*IF(G1021="Rame",1,0)</f>
        <v>0</v>
      </c>
      <c r="U1021" s="205">
        <f ca="1">IF(ISERROR(OFFSET(Bronzo!$A$1,MATCH(J1021,Bronzo!$A:$A,0)-1,MATCH(K1021,Bronzo!$A$1:$AA$1,0)-1)=TRUE),0,OFFSET(Bronzo!$A$1,MATCH(J1021,Bronzo!$A:$A,0)-1,MATCH(K1021,Bronzo!$A$1:$AA$1,0)-1))</f>
        <v>0</v>
      </c>
      <c r="V1021" s="205">
        <f t="shared" ca="1" si="300"/>
        <v>0</v>
      </c>
      <c r="W1021" s="204"/>
      <c r="X1021" s="205">
        <v>0</v>
      </c>
      <c r="Y1021" s="206">
        <f t="shared" ca="1" si="301"/>
        <v>0</v>
      </c>
      <c r="Z1021" s="277">
        <f t="shared" si="302"/>
        <v>0</v>
      </c>
      <c r="AA1021" s="203"/>
      <c r="AB1021" s="203">
        <f t="shared" ca="1" si="303"/>
        <v>0</v>
      </c>
      <c r="AC1021" s="238"/>
      <c r="AI1021" s="367">
        <f t="shared" ca="1" si="298"/>
        <v>46092</v>
      </c>
      <c r="AJ1021" s="367" t="b">
        <f t="shared" si="304"/>
        <v>1</v>
      </c>
      <c r="AK1021" s="370" t="str">
        <f t="shared" si="305"/>
        <v/>
      </c>
      <c r="AN1021">
        <f t="shared" si="306"/>
        <v>0</v>
      </c>
      <c r="AO1021">
        <f t="shared" si="307"/>
        <v>1900</v>
      </c>
      <c r="AV1021">
        <f t="shared" si="308"/>
        <v>0</v>
      </c>
      <c r="AW1021">
        <f t="shared" si="309"/>
        <v>0</v>
      </c>
    </row>
    <row r="1022" spans="4:49" ht="15.75" x14ac:dyDescent="0.25">
      <c r="D1022" s="199"/>
      <c r="E1022" s="200"/>
      <c r="F1022" s="287"/>
      <c r="G1022" s="201"/>
      <c r="H1022" s="219"/>
      <c r="I1022" s="202"/>
      <c r="J1022" s="200"/>
      <c r="K1022" s="200"/>
      <c r="L1022" s="203"/>
      <c r="M1022" s="204">
        <f ca="1">IF(ISERROR(OFFSET(Tabella!$A$1,MATCH(J1022,Tabella!$A:$A,0)-1,MATCH(L1022,Tabella!$A$1:$AC$1,0)-1)=TRUE),0,+OFFSET(Tabella!$A$1,MATCH(J1022,Tabella!$A:$A,0)-1,MATCH(L1022,Tabella!$A$1:$AC$1,0)-1))</f>
        <v>0</v>
      </c>
      <c r="N1022" s="205">
        <f ca="1">IF(ISERROR(OFFSET(Ottone!$A$1,MATCH(J1022,Ottone!$A:$A,0)-1,MATCH(L1022,Ottone!$A$1:$Z$1,0)-1)=TRUE),0,OFFSET(Ottone!$A$1,MATCH(J1022,Ottone!$A:$A,0)-1,MATCH(L1022,Ottone!$A$1:$Z$1,0)-1))*IF(G1022="Ottone",1,0)</f>
        <v>0</v>
      </c>
      <c r="O1022" s="205">
        <f ca="1">IF(ISERROR(OFFSET(Rame!$A$1,MATCH(J1022,Rame!$A:$A,0)-1,MATCH(L1022,Rame!$A$1:$AA$1,0)-1)=TRUE),0,OFFSET(Rame!$A$1,MATCH(J1022,Rame!$A:$A,0)-1,MATCH(L1022,Rame!$A$1:$AA$1,0)-1))*IF(G1022="Rame",1,0)</f>
        <v>0</v>
      </c>
      <c r="P1022" s="205">
        <v>0</v>
      </c>
      <c r="Q1022" s="205">
        <f t="shared" ca="1" si="299"/>
        <v>0</v>
      </c>
      <c r="R1022" s="205">
        <f ca="1">+IF(ISERROR(OFFSET(Tabella!$G$1,MATCH(J1022,Tabella!$G:$G,0)-1,MATCH(K1022,Tabella!$G$1:$FG$1,0)-1)=TRUE),0,OFFSET(Tabella!$G$1,MATCH(J1022,Tabella!$G:$G,0)-1,MATCH(K1022,Tabella!$G$1:$AB$1,0)-1))</f>
        <v>0</v>
      </c>
      <c r="S1022" s="205">
        <f ca="1">IF(ISERROR(OFFSET(Ottone!$F$1,MATCH(J1022,Ottone!$A:$A,0)-1,MATCH(K1022,Ottone!$F$1:$FF$1,0)-1)=TRUE),0,OFFSET(Ottone!$F$1,MATCH(J1022,Ottone!$A:$A,0)-1,MATCH(K1022,Ottone!$F$1:$FF$1,0)-1))*IF(G1022="Ottone",1,0)</f>
        <v>0</v>
      </c>
      <c r="T1022" s="205">
        <f ca="1">IF(ISERROR(OFFSET(Rame!$F$1,MATCH(J1022,Rame!$F:$F,0)-1,MATCH(K1022,Rame!$F$1:$FF$1,0)-1)=TRUE),0,OFFSET(Rame!$F$1,MATCH(J1022,Rame!$F:$F,0)-1,MATCH(K1022,Rame!$F$1:$FF$1,0)-1))*IF(G1022="Rame",1,0)</f>
        <v>0</v>
      </c>
      <c r="U1022" s="205">
        <f ca="1">IF(ISERROR(OFFSET(Bronzo!$A$1,MATCH(J1022,Bronzo!$A:$A,0)-1,MATCH(K1022,Bronzo!$A$1:$AA$1,0)-1)=TRUE),0,OFFSET(Bronzo!$A$1,MATCH(J1022,Bronzo!$A:$A,0)-1,MATCH(K1022,Bronzo!$A$1:$AA$1,0)-1))</f>
        <v>0</v>
      </c>
      <c r="V1022" s="205">
        <f t="shared" ca="1" si="300"/>
        <v>0</v>
      </c>
      <c r="W1022" s="204"/>
      <c r="X1022" s="205">
        <v>0</v>
      </c>
      <c r="Y1022" s="206">
        <f t="shared" ca="1" si="301"/>
        <v>0</v>
      </c>
      <c r="Z1022" s="277">
        <f t="shared" si="302"/>
        <v>0</v>
      </c>
      <c r="AA1022" s="203"/>
      <c r="AB1022" s="203">
        <f t="shared" ca="1" si="303"/>
        <v>0</v>
      </c>
      <c r="AC1022" s="238"/>
      <c r="AI1022" s="367">
        <f t="shared" ca="1" si="298"/>
        <v>46092</v>
      </c>
      <c r="AJ1022" s="367" t="b">
        <f t="shared" si="304"/>
        <v>1</v>
      </c>
      <c r="AK1022" s="370" t="str">
        <f t="shared" si="305"/>
        <v/>
      </c>
      <c r="AN1022">
        <f t="shared" si="306"/>
        <v>0</v>
      </c>
      <c r="AO1022">
        <f t="shared" si="307"/>
        <v>1900</v>
      </c>
      <c r="AV1022">
        <f t="shared" si="308"/>
        <v>0</v>
      </c>
      <c r="AW1022">
        <f t="shared" si="309"/>
        <v>0</v>
      </c>
    </row>
    <row r="1023" spans="4:49" ht="15.75" x14ac:dyDescent="0.25">
      <c r="D1023" s="199"/>
      <c r="E1023" s="200"/>
      <c r="F1023" s="287"/>
      <c r="G1023" s="201"/>
      <c r="H1023" s="219"/>
      <c r="I1023" s="202"/>
      <c r="J1023" s="200"/>
      <c r="K1023" s="200"/>
      <c r="L1023" s="203"/>
      <c r="M1023" s="204">
        <f ca="1">IF(ISERROR(OFFSET(Tabella!$A$1,MATCH(J1023,Tabella!$A:$A,0)-1,MATCH(L1023,Tabella!$A$1:$AC$1,0)-1)=TRUE),0,+OFFSET(Tabella!$A$1,MATCH(J1023,Tabella!$A:$A,0)-1,MATCH(L1023,Tabella!$A$1:$AC$1,0)-1))</f>
        <v>0</v>
      </c>
      <c r="N1023" s="205">
        <f ca="1">IF(ISERROR(OFFSET(Ottone!$A$1,MATCH(J1023,Ottone!$A:$A,0)-1,MATCH(L1023,Ottone!$A$1:$Z$1,0)-1)=TRUE),0,OFFSET(Ottone!$A$1,MATCH(J1023,Ottone!$A:$A,0)-1,MATCH(L1023,Ottone!$A$1:$Z$1,0)-1))*IF(G1023="Ottone",1,0)</f>
        <v>0</v>
      </c>
      <c r="O1023" s="205">
        <f ca="1">IF(ISERROR(OFFSET(Rame!$A$1,MATCH(J1023,Rame!$A:$A,0)-1,MATCH(L1023,Rame!$A$1:$AA$1,0)-1)=TRUE),0,OFFSET(Rame!$A$1,MATCH(J1023,Rame!$A:$A,0)-1,MATCH(L1023,Rame!$A$1:$AA$1,0)-1))*IF(G1023="Rame",1,0)</f>
        <v>0</v>
      </c>
      <c r="P1023" s="205">
        <v>0</v>
      </c>
      <c r="Q1023" s="205">
        <f t="shared" ca="1" si="299"/>
        <v>0</v>
      </c>
      <c r="R1023" s="205">
        <f ca="1">+IF(ISERROR(OFFSET(Tabella!$G$1,MATCH(J1023,Tabella!$G:$G,0)-1,MATCH(K1023,Tabella!$G$1:$FG$1,0)-1)=TRUE),0,OFFSET(Tabella!$G$1,MATCH(J1023,Tabella!$G:$G,0)-1,MATCH(K1023,Tabella!$G$1:$AB$1,0)-1))</f>
        <v>0</v>
      </c>
      <c r="S1023" s="205">
        <f ca="1">IF(ISERROR(OFFSET(Ottone!$F$1,MATCH(J1023,Ottone!$A:$A,0)-1,MATCH(K1023,Ottone!$F$1:$FF$1,0)-1)=TRUE),0,OFFSET(Ottone!$F$1,MATCH(J1023,Ottone!$A:$A,0)-1,MATCH(K1023,Ottone!$F$1:$FF$1,0)-1))*IF(G1023="Ottone",1,0)</f>
        <v>0</v>
      </c>
      <c r="T1023" s="205">
        <f ca="1">IF(ISERROR(OFFSET(Rame!$F$1,MATCH(J1023,Rame!$F:$F,0)-1,MATCH(K1023,Rame!$F$1:$FF$1,0)-1)=TRUE),0,OFFSET(Rame!$F$1,MATCH(J1023,Rame!$F:$F,0)-1,MATCH(K1023,Rame!$F$1:$FF$1,0)-1))*IF(G1023="Rame",1,0)</f>
        <v>0</v>
      </c>
      <c r="U1023" s="205">
        <f ca="1">IF(ISERROR(OFFSET(Bronzo!$A$1,MATCH(J1023,Bronzo!$A:$A,0)-1,MATCH(K1023,Bronzo!$A$1:$AA$1,0)-1)=TRUE),0,OFFSET(Bronzo!$A$1,MATCH(J1023,Bronzo!$A:$A,0)-1,MATCH(K1023,Bronzo!$A$1:$AA$1,0)-1))</f>
        <v>0</v>
      </c>
      <c r="V1023" s="205">
        <f t="shared" ca="1" si="300"/>
        <v>0</v>
      </c>
      <c r="W1023" s="204"/>
      <c r="X1023" s="205">
        <v>0</v>
      </c>
      <c r="Y1023" s="206">
        <f t="shared" ca="1" si="301"/>
        <v>0</v>
      </c>
      <c r="Z1023" s="277">
        <f t="shared" si="302"/>
        <v>0</v>
      </c>
      <c r="AA1023" s="203"/>
      <c r="AB1023" s="203">
        <f t="shared" ca="1" si="303"/>
        <v>0</v>
      </c>
      <c r="AC1023" s="238"/>
      <c r="AI1023" s="367">
        <f t="shared" ca="1" si="298"/>
        <v>46092</v>
      </c>
      <c r="AJ1023" s="367" t="b">
        <f t="shared" si="304"/>
        <v>1</v>
      </c>
      <c r="AK1023" s="370" t="str">
        <f t="shared" si="305"/>
        <v/>
      </c>
      <c r="AN1023">
        <f t="shared" si="306"/>
        <v>0</v>
      </c>
      <c r="AO1023">
        <f t="shared" si="307"/>
        <v>1900</v>
      </c>
      <c r="AV1023">
        <f t="shared" si="308"/>
        <v>0</v>
      </c>
      <c r="AW1023">
        <f t="shared" si="309"/>
        <v>0</v>
      </c>
    </row>
    <row r="1024" spans="4:49" ht="15.75" x14ac:dyDescent="0.25">
      <c r="D1024" s="199"/>
      <c r="E1024" s="200"/>
      <c r="F1024" s="287"/>
      <c r="G1024" s="201"/>
      <c r="H1024" s="219"/>
      <c r="I1024" s="202"/>
      <c r="J1024" s="200"/>
      <c r="K1024" s="200"/>
      <c r="L1024" s="203"/>
      <c r="M1024" s="204">
        <f ca="1">IF(ISERROR(OFFSET(Tabella!$A$1,MATCH(J1024,Tabella!$A:$A,0)-1,MATCH(L1024,Tabella!$A$1:$AC$1,0)-1)=TRUE),0,+OFFSET(Tabella!$A$1,MATCH(J1024,Tabella!$A:$A,0)-1,MATCH(L1024,Tabella!$A$1:$AC$1,0)-1))</f>
        <v>0</v>
      </c>
      <c r="N1024" s="205">
        <f ca="1">IF(ISERROR(OFFSET(Ottone!$A$1,MATCH(J1024,Ottone!$A:$A,0)-1,MATCH(L1024,Ottone!$A$1:$Z$1,0)-1)=TRUE),0,OFFSET(Ottone!$A$1,MATCH(J1024,Ottone!$A:$A,0)-1,MATCH(L1024,Ottone!$A$1:$Z$1,0)-1))*IF(G1024="Ottone",1,0)</f>
        <v>0</v>
      </c>
      <c r="O1024" s="205">
        <f ca="1">IF(ISERROR(OFFSET(Rame!$A$1,MATCH(J1024,Rame!$A:$A,0)-1,MATCH(L1024,Rame!$A$1:$AA$1,0)-1)=TRUE),0,OFFSET(Rame!$A$1,MATCH(J1024,Rame!$A:$A,0)-1,MATCH(L1024,Rame!$A$1:$AA$1,0)-1))*IF(G1024="Rame",1,0)</f>
        <v>0</v>
      </c>
      <c r="P1024" s="205">
        <v>0</v>
      </c>
      <c r="Q1024" s="205">
        <f t="shared" ca="1" si="299"/>
        <v>0</v>
      </c>
      <c r="R1024" s="205">
        <f ca="1">+IF(ISERROR(OFFSET(Tabella!$G$1,MATCH(J1024,Tabella!$G:$G,0)-1,MATCH(K1024,Tabella!$G$1:$FG$1,0)-1)=TRUE),0,OFFSET(Tabella!$G$1,MATCH(J1024,Tabella!$G:$G,0)-1,MATCH(K1024,Tabella!$G$1:$AB$1,0)-1))</f>
        <v>0</v>
      </c>
      <c r="S1024" s="205">
        <f ca="1">IF(ISERROR(OFFSET(Ottone!$F$1,MATCH(J1024,Ottone!$A:$A,0)-1,MATCH(K1024,Ottone!$F$1:$FF$1,0)-1)=TRUE),0,OFFSET(Ottone!$F$1,MATCH(J1024,Ottone!$A:$A,0)-1,MATCH(K1024,Ottone!$F$1:$FF$1,0)-1))*IF(G1024="Ottone",1,0)</f>
        <v>0</v>
      </c>
      <c r="T1024" s="205">
        <f ca="1">IF(ISERROR(OFFSET(Rame!$F$1,MATCH(J1024,Rame!$F:$F,0)-1,MATCH(K1024,Rame!$F$1:$FF$1,0)-1)=TRUE),0,OFFSET(Rame!$F$1,MATCH(J1024,Rame!$F:$F,0)-1,MATCH(K1024,Rame!$F$1:$FF$1,0)-1))*IF(G1024="Rame",1,0)</f>
        <v>0</v>
      </c>
      <c r="U1024" s="205">
        <f ca="1">IF(ISERROR(OFFSET(Bronzo!$A$1,MATCH(J1024,Bronzo!$A:$A,0)-1,MATCH(K1024,Bronzo!$A$1:$AA$1,0)-1)=TRUE),0,OFFSET(Bronzo!$A$1,MATCH(J1024,Bronzo!$A:$A,0)-1,MATCH(K1024,Bronzo!$A$1:$AA$1,0)-1))</f>
        <v>0</v>
      </c>
      <c r="V1024" s="205">
        <f t="shared" ca="1" si="300"/>
        <v>0</v>
      </c>
      <c r="W1024" s="204"/>
      <c r="X1024" s="205">
        <v>0</v>
      </c>
      <c r="Y1024" s="206">
        <f t="shared" ca="1" si="301"/>
        <v>0</v>
      </c>
      <c r="Z1024" s="277">
        <f t="shared" si="302"/>
        <v>0</v>
      </c>
      <c r="AA1024" s="203"/>
      <c r="AB1024" s="203">
        <f t="shared" ca="1" si="303"/>
        <v>0</v>
      </c>
      <c r="AC1024" s="238"/>
      <c r="AI1024" s="367">
        <f t="shared" ref="AI1024:AI1087" ca="1" si="310">TODAY()</f>
        <v>46092</v>
      </c>
      <c r="AJ1024" s="367" t="b">
        <f t="shared" si="304"/>
        <v>1</v>
      </c>
      <c r="AK1024" s="370" t="str">
        <f t="shared" si="305"/>
        <v/>
      </c>
      <c r="AN1024">
        <f t="shared" si="306"/>
        <v>0</v>
      </c>
      <c r="AO1024">
        <f t="shared" si="307"/>
        <v>1900</v>
      </c>
      <c r="AV1024">
        <f t="shared" si="308"/>
        <v>0</v>
      </c>
      <c r="AW1024">
        <f t="shared" si="309"/>
        <v>0</v>
      </c>
    </row>
    <row r="1025" spans="4:49" ht="15.75" x14ac:dyDescent="0.25">
      <c r="D1025" s="199"/>
      <c r="E1025" s="200"/>
      <c r="F1025" s="287"/>
      <c r="G1025" s="201"/>
      <c r="H1025" s="219"/>
      <c r="I1025" s="202"/>
      <c r="J1025" s="200"/>
      <c r="K1025" s="200"/>
      <c r="L1025" s="203"/>
      <c r="M1025" s="204">
        <f ca="1">IF(ISERROR(OFFSET(Tabella!$A$1,MATCH(J1025,Tabella!$A:$A,0)-1,MATCH(L1025,Tabella!$A$1:$AC$1,0)-1)=TRUE),0,+OFFSET(Tabella!$A$1,MATCH(J1025,Tabella!$A:$A,0)-1,MATCH(L1025,Tabella!$A$1:$AC$1,0)-1))</f>
        <v>0</v>
      </c>
      <c r="N1025" s="205">
        <f ca="1">IF(ISERROR(OFFSET(Ottone!$A$1,MATCH(J1025,Ottone!$A:$A,0)-1,MATCH(L1025,Ottone!$A$1:$Z$1,0)-1)=TRUE),0,OFFSET(Ottone!$A$1,MATCH(J1025,Ottone!$A:$A,0)-1,MATCH(L1025,Ottone!$A$1:$Z$1,0)-1))*IF(G1025="Ottone",1,0)</f>
        <v>0</v>
      </c>
      <c r="O1025" s="205">
        <f ca="1">IF(ISERROR(OFFSET(Rame!$A$1,MATCH(J1025,Rame!$A:$A,0)-1,MATCH(L1025,Rame!$A$1:$AA$1,0)-1)=TRUE),0,OFFSET(Rame!$A$1,MATCH(J1025,Rame!$A:$A,0)-1,MATCH(L1025,Rame!$A$1:$AA$1,0)-1))*IF(G1025="Rame",1,0)</f>
        <v>0</v>
      </c>
      <c r="P1025" s="205">
        <v>0</v>
      </c>
      <c r="Q1025" s="205">
        <f t="shared" ca="1" si="299"/>
        <v>0</v>
      </c>
      <c r="R1025" s="205">
        <f ca="1">+IF(ISERROR(OFFSET(Tabella!$G$1,MATCH(J1025,Tabella!$G:$G,0)-1,MATCH(K1025,Tabella!$G$1:$FG$1,0)-1)=TRUE),0,OFFSET(Tabella!$G$1,MATCH(J1025,Tabella!$G:$G,0)-1,MATCH(K1025,Tabella!$G$1:$AB$1,0)-1))</f>
        <v>0</v>
      </c>
      <c r="S1025" s="205">
        <f ca="1">IF(ISERROR(OFFSET(Ottone!$F$1,MATCH(J1025,Ottone!$A:$A,0)-1,MATCH(K1025,Ottone!$F$1:$FF$1,0)-1)=TRUE),0,OFFSET(Ottone!$F$1,MATCH(J1025,Ottone!$A:$A,0)-1,MATCH(K1025,Ottone!$F$1:$FF$1,0)-1))*IF(G1025="Ottone",1,0)</f>
        <v>0</v>
      </c>
      <c r="T1025" s="205">
        <f ca="1">IF(ISERROR(OFFSET(Rame!$F$1,MATCH(J1025,Rame!$F:$F,0)-1,MATCH(K1025,Rame!$F$1:$FF$1,0)-1)=TRUE),0,OFFSET(Rame!$F$1,MATCH(J1025,Rame!$F:$F,0)-1,MATCH(K1025,Rame!$F$1:$FF$1,0)-1))*IF(G1025="Rame",1,0)</f>
        <v>0</v>
      </c>
      <c r="U1025" s="205">
        <f ca="1">IF(ISERROR(OFFSET(Bronzo!$A$1,MATCH(J1025,Bronzo!$A:$A,0)-1,MATCH(K1025,Bronzo!$A$1:$AA$1,0)-1)=TRUE),0,OFFSET(Bronzo!$A$1,MATCH(J1025,Bronzo!$A:$A,0)-1,MATCH(K1025,Bronzo!$A$1:$AA$1,0)-1))</f>
        <v>0</v>
      </c>
      <c r="V1025" s="205">
        <f t="shared" ca="1" si="300"/>
        <v>0</v>
      </c>
      <c r="W1025" s="204"/>
      <c r="X1025" s="205">
        <v>0</v>
      </c>
      <c r="Y1025" s="206">
        <f t="shared" ca="1" si="301"/>
        <v>0</v>
      </c>
      <c r="Z1025" s="277">
        <f t="shared" si="302"/>
        <v>0</v>
      </c>
      <c r="AA1025" s="203"/>
      <c r="AB1025" s="203">
        <f t="shared" ca="1" si="303"/>
        <v>0</v>
      </c>
      <c r="AC1025" s="238"/>
      <c r="AI1025" s="367">
        <f t="shared" ca="1" si="310"/>
        <v>46092</v>
      </c>
      <c r="AJ1025" s="367" t="b">
        <f t="shared" si="304"/>
        <v>1</v>
      </c>
      <c r="AK1025" s="370" t="str">
        <f t="shared" si="305"/>
        <v/>
      </c>
      <c r="AN1025">
        <f t="shared" si="306"/>
        <v>0</v>
      </c>
      <c r="AO1025">
        <f t="shared" si="307"/>
        <v>1900</v>
      </c>
      <c r="AV1025">
        <f t="shared" si="308"/>
        <v>0</v>
      </c>
      <c r="AW1025">
        <f t="shared" si="309"/>
        <v>0</v>
      </c>
    </row>
    <row r="1026" spans="4:49" ht="15.75" x14ac:dyDescent="0.25">
      <c r="D1026" s="199"/>
      <c r="E1026" s="200"/>
      <c r="F1026" s="287"/>
      <c r="G1026" s="201"/>
      <c r="H1026" s="219"/>
      <c r="I1026" s="202"/>
      <c r="J1026" s="200"/>
      <c r="K1026" s="200"/>
      <c r="L1026" s="203"/>
      <c r="M1026" s="204">
        <f ca="1">IF(ISERROR(OFFSET(Tabella!$A$1,MATCH(J1026,Tabella!$A:$A,0)-1,MATCH(L1026,Tabella!$A$1:$AC$1,0)-1)=TRUE),0,+OFFSET(Tabella!$A$1,MATCH(J1026,Tabella!$A:$A,0)-1,MATCH(L1026,Tabella!$A$1:$AC$1,0)-1))</f>
        <v>0</v>
      </c>
      <c r="N1026" s="205">
        <f ca="1">IF(ISERROR(OFFSET(Ottone!$A$1,MATCH(J1026,Ottone!$A:$A,0)-1,MATCH(L1026,Ottone!$A$1:$Z$1,0)-1)=TRUE),0,OFFSET(Ottone!$A$1,MATCH(J1026,Ottone!$A:$A,0)-1,MATCH(L1026,Ottone!$A$1:$Z$1,0)-1))*IF(G1026="Ottone",1,0)</f>
        <v>0</v>
      </c>
      <c r="O1026" s="205">
        <f ca="1">IF(ISERROR(OFFSET(Rame!$A$1,MATCH(J1026,Rame!$A:$A,0)-1,MATCH(L1026,Rame!$A$1:$AA$1,0)-1)=TRUE),0,OFFSET(Rame!$A$1,MATCH(J1026,Rame!$A:$A,0)-1,MATCH(L1026,Rame!$A$1:$AA$1,0)-1))*IF(G1026="Rame",1,0)</f>
        <v>0</v>
      </c>
      <c r="P1026" s="205">
        <v>0</v>
      </c>
      <c r="Q1026" s="205">
        <f t="shared" ca="1" si="299"/>
        <v>0</v>
      </c>
      <c r="R1026" s="205">
        <f ca="1">+IF(ISERROR(OFFSET(Tabella!$G$1,MATCH(J1026,Tabella!$G:$G,0)-1,MATCH(K1026,Tabella!$G$1:$FG$1,0)-1)=TRUE),0,OFFSET(Tabella!$G$1,MATCH(J1026,Tabella!$G:$G,0)-1,MATCH(K1026,Tabella!$G$1:$AB$1,0)-1))</f>
        <v>0</v>
      </c>
      <c r="S1026" s="205">
        <f ca="1">IF(ISERROR(OFFSET(Ottone!$F$1,MATCH(J1026,Ottone!$A:$A,0)-1,MATCH(K1026,Ottone!$F$1:$FF$1,0)-1)=TRUE),0,OFFSET(Ottone!$F$1,MATCH(J1026,Ottone!$A:$A,0)-1,MATCH(K1026,Ottone!$F$1:$FF$1,0)-1))*IF(G1026="Ottone",1,0)</f>
        <v>0</v>
      </c>
      <c r="T1026" s="205">
        <f ca="1">IF(ISERROR(OFFSET(Rame!$F$1,MATCH(J1026,Rame!$F:$F,0)-1,MATCH(K1026,Rame!$F$1:$FF$1,0)-1)=TRUE),0,OFFSET(Rame!$F$1,MATCH(J1026,Rame!$F:$F,0)-1,MATCH(K1026,Rame!$F$1:$FF$1,0)-1))*IF(G1026="Rame",1,0)</f>
        <v>0</v>
      </c>
      <c r="U1026" s="205">
        <f ca="1">IF(ISERROR(OFFSET(Bronzo!$A$1,MATCH(J1026,Bronzo!$A:$A,0)-1,MATCH(K1026,Bronzo!$A$1:$AA$1,0)-1)=TRUE),0,OFFSET(Bronzo!$A$1,MATCH(J1026,Bronzo!$A:$A,0)-1,MATCH(K1026,Bronzo!$A$1:$AA$1,0)-1))</f>
        <v>0</v>
      </c>
      <c r="V1026" s="205">
        <f t="shared" ca="1" si="300"/>
        <v>0</v>
      </c>
      <c r="W1026" s="204"/>
      <c r="X1026" s="205">
        <v>0</v>
      </c>
      <c r="Y1026" s="206">
        <f t="shared" ca="1" si="301"/>
        <v>0</v>
      </c>
      <c r="Z1026" s="277">
        <f t="shared" si="302"/>
        <v>0</v>
      </c>
      <c r="AA1026" s="203"/>
      <c r="AB1026" s="203">
        <f t="shared" ca="1" si="303"/>
        <v>0</v>
      </c>
      <c r="AC1026" s="238"/>
      <c r="AI1026" s="367">
        <f t="shared" ca="1" si="310"/>
        <v>46092</v>
      </c>
      <c r="AJ1026" s="367" t="b">
        <f t="shared" si="304"/>
        <v>1</v>
      </c>
      <c r="AK1026" s="370" t="str">
        <f t="shared" si="305"/>
        <v/>
      </c>
      <c r="AN1026">
        <f t="shared" si="306"/>
        <v>0</v>
      </c>
      <c r="AO1026">
        <f t="shared" si="307"/>
        <v>1900</v>
      </c>
      <c r="AV1026">
        <f t="shared" si="308"/>
        <v>0</v>
      </c>
      <c r="AW1026">
        <f t="shared" si="309"/>
        <v>0</v>
      </c>
    </row>
    <row r="1027" spans="4:49" ht="15.75" x14ac:dyDescent="0.25">
      <c r="D1027" s="199"/>
      <c r="E1027" s="200"/>
      <c r="F1027" s="287"/>
      <c r="G1027" s="201"/>
      <c r="H1027" s="219"/>
      <c r="I1027" s="202"/>
      <c r="J1027" s="200"/>
      <c r="K1027" s="200"/>
      <c r="L1027" s="203"/>
      <c r="M1027" s="204">
        <f ca="1">IF(ISERROR(OFFSET(Tabella!$A$1,MATCH(J1027,Tabella!$A:$A,0)-1,MATCH(L1027,Tabella!$A$1:$AC$1,0)-1)=TRUE),0,+OFFSET(Tabella!$A$1,MATCH(J1027,Tabella!$A:$A,0)-1,MATCH(L1027,Tabella!$A$1:$AC$1,0)-1))</f>
        <v>0</v>
      </c>
      <c r="N1027" s="205">
        <f ca="1">IF(ISERROR(OFFSET(Ottone!$A$1,MATCH(J1027,Ottone!$A:$A,0)-1,MATCH(L1027,Ottone!$A$1:$Z$1,0)-1)=TRUE),0,OFFSET(Ottone!$A$1,MATCH(J1027,Ottone!$A:$A,0)-1,MATCH(L1027,Ottone!$A$1:$Z$1,0)-1))*IF(G1027="Ottone",1,0)</f>
        <v>0</v>
      </c>
      <c r="O1027" s="205">
        <f ca="1">IF(ISERROR(OFFSET(Rame!$A$1,MATCH(J1027,Rame!$A:$A,0)-1,MATCH(L1027,Rame!$A$1:$AA$1,0)-1)=TRUE),0,OFFSET(Rame!$A$1,MATCH(J1027,Rame!$A:$A,0)-1,MATCH(L1027,Rame!$A$1:$AA$1,0)-1))*IF(G1027="Rame",1,0)</f>
        <v>0</v>
      </c>
      <c r="P1027" s="205">
        <v>0</v>
      </c>
      <c r="Q1027" s="205">
        <f t="shared" ca="1" si="299"/>
        <v>0</v>
      </c>
      <c r="R1027" s="205">
        <f ca="1">+IF(ISERROR(OFFSET(Tabella!$G$1,MATCH(J1027,Tabella!$G:$G,0)-1,MATCH(K1027,Tabella!$G$1:$FG$1,0)-1)=TRUE),0,OFFSET(Tabella!$G$1,MATCH(J1027,Tabella!$G:$G,0)-1,MATCH(K1027,Tabella!$G$1:$AB$1,0)-1))</f>
        <v>0</v>
      </c>
      <c r="S1027" s="205">
        <f ca="1">IF(ISERROR(OFFSET(Ottone!$F$1,MATCH(J1027,Ottone!$A:$A,0)-1,MATCH(K1027,Ottone!$F$1:$FF$1,0)-1)=TRUE),0,OFFSET(Ottone!$F$1,MATCH(J1027,Ottone!$A:$A,0)-1,MATCH(K1027,Ottone!$F$1:$FF$1,0)-1))*IF(G1027="Ottone",1,0)</f>
        <v>0</v>
      </c>
      <c r="T1027" s="205">
        <f ca="1">IF(ISERROR(OFFSET(Rame!$F$1,MATCH(J1027,Rame!$F:$F,0)-1,MATCH(K1027,Rame!$F$1:$FF$1,0)-1)=TRUE),0,OFFSET(Rame!$F$1,MATCH(J1027,Rame!$F:$F,0)-1,MATCH(K1027,Rame!$F$1:$FF$1,0)-1))*IF(G1027="Rame",1,0)</f>
        <v>0</v>
      </c>
      <c r="U1027" s="205">
        <f ca="1">IF(ISERROR(OFFSET(Bronzo!$A$1,MATCH(J1027,Bronzo!$A:$A,0)-1,MATCH(K1027,Bronzo!$A$1:$AA$1,0)-1)=TRUE),0,OFFSET(Bronzo!$A$1,MATCH(J1027,Bronzo!$A:$A,0)-1,MATCH(K1027,Bronzo!$A$1:$AA$1,0)-1))</f>
        <v>0</v>
      </c>
      <c r="V1027" s="205">
        <f t="shared" ca="1" si="300"/>
        <v>0</v>
      </c>
      <c r="W1027" s="204"/>
      <c r="X1027" s="205">
        <v>0</v>
      </c>
      <c r="Y1027" s="206">
        <f t="shared" ca="1" si="301"/>
        <v>0</v>
      </c>
      <c r="Z1027" s="277">
        <f t="shared" si="302"/>
        <v>0</v>
      </c>
      <c r="AA1027" s="203"/>
      <c r="AB1027" s="203">
        <f t="shared" ca="1" si="303"/>
        <v>0</v>
      </c>
      <c r="AC1027" s="238"/>
      <c r="AI1027" s="367">
        <f t="shared" ca="1" si="310"/>
        <v>46092</v>
      </c>
      <c r="AJ1027" s="367" t="b">
        <f t="shared" si="304"/>
        <v>1</v>
      </c>
      <c r="AK1027" s="370" t="str">
        <f t="shared" si="305"/>
        <v/>
      </c>
      <c r="AN1027">
        <f t="shared" si="306"/>
        <v>0</v>
      </c>
      <c r="AO1027">
        <f t="shared" si="307"/>
        <v>1900</v>
      </c>
      <c r="AV1027">
        <f t="shared" si="308"/>
        <v>0</v>
      </c>
      <c r="AW1027">
        <f t="shared" si="309"/>
        <v>0</v>
      </c>
    </row>
    <row r="1028" spans="4:49" ht="15.75" x14ac:dyDescent="0.25">
      <c r="D1028" s="199"/>
      <c r="E1028" s="200"/>
      <c r="F1028" s="287"/>
      <c r="G1028" s="201"/>
      <c r="H1028" s="219"/>
      <c r="I1028" s="202"/>
      <c r="J1028" s="200"/>
      <c r="K1028" s="200"/>
      <c r="L1028" s="203"/>
      <c r="M1028" s="204">
        <f ca="1">IF(ISERROR(OFFSET(Tabella!$A$1,MATCH(J1028,Tabella!$A:$A,0)-1,MATCH(L1028,Tabella!$A$1:$AC$1,0)-1)=TRUE),0,+OFFSET(Tabella!$A$1,MATCH(J1028,Tabella!$A:$A,0)-1,MATCH(L1028,Tabella!$A$1:$AC$1,0)-1))</f>
        <v>0</v>
      </c>
      <c r="N1028" s="205">
        <f ca="1">IF(ISERROR(OFFSET(Ottone!$A$1,MATCH(J1028,Ottone!$A:$A,0)-1,MATCH(L1028,Ottone!$A$1:$Z$1,0)-1)=TRUE),0,OFFSET(Ottone!$A$1,MATCH(J1028,Ottone!$A:$A,0)-1,MATCH(L1028,Ottone!$A$1:$Z$1,0)-1))*IF(G1028="Ottone",1,0)</f>
        <v>0</v>
      </c>
      <c r="O1028" s="205">
        <f ca="1">IF(ISERROR(OFFSET(Rame!$A$1,MATCH(J1028,Rame!$A:$A,0)-1,MATCH(L1028,Rame!$A$1:$AA$1,0)-1)=TRUE),0,OFFSET(Rame!$A$1,MATCH(J1028,Rame!$A:$A,0)-1,MATCH(L1028,Rame!$A$1:$AA$1,0)-1))*IF(G1028="Rame",1,0)</f>
        <v>0</v>
      </c>
      <c r="P1028" s="205">
        <v>0</v>
      </c>
      <c r="Q1028" s="205">
        <f t="shared" ca="1" si="299"/>
        <v>0</v>
      </c>
      <c r="R1028" s="205">
        <f ca="1">+IF(ISERROR(OFFSET(Tabella!$G$1,MATCH(J1028,Tabella!$G:$G,0)-1,MATCH(K1028,Tabella!$G$1:$FG$1,0)-1)=TRUE),0,OFFSET(Tabella!$G$1,MATCH(J1028,Tabella!$G:$G,0)-1,MATCH(K1028,Tabella!$G$1:$AB$1,0)-1))</f>
        <v>0</v>
      </c>
      <c r="S1028" s="205">
        <f ca="1">IF(ISERROR(OFFSET(Ottone!$F$1,MATCH(J1028,Ottone!$A:$A,0)-1,MATCH(K1028,Ottone!$F$1:$FF$1,0)-1)=TRUE),0,OFFSET(Ottone!$F$1,MATCH(J1028,Ottone!$A:$A,0)-1,MATCH(K1028,Ottone!$F$1:$FF$1,0)-1))*IF(G1028="Ottone",1,0)</f>
        <v>0</v>
      </c>
      <c r="T1028" s="205">
        <f ca="1">IF(ISERROR(OFFSET(Rame!$F$1,MATCH(J1028,Rame!$F:$F,0)-1,MATCH(K1028,Rame!$F$1:$FF$1,0)-1)=TRUE),0,OFFSET(Rame!$F$1,MATCH(J1028,Rame!$F:$F,0)-1,MATCH(K1028,Rame!$F$1:$FF$1,0)-1))*IF(G1028="Rame",1,0)</f>
        <v>0</v>
      </c>
      <c r="U1028" s="205">
        <f ca="1">IF(ISERROR(OFFSET(Bronzo!$A$1,MATCH(J1028,Bronzo!$A:$A,0)-1,MATCH(K1028,Bronzo!$A$1:$AA$1,0)-1)=TRUE),0,OFFSET(Bronzo!$A$1,MATCH(J1028,Bronzo!$A:$A,0)-1,MATCH(K1028,Bronzo!$A$1:$AA$1,0)-1))</f>
        <v>0</v>
      </c>
      <c r="V1028" s="205">
        <f t="shared" ca="1" si="300"/>
        <v>0</v>
      </c>
      <c r="W1028" s="204"/>
      <c r="X1028" s="205">
        <v>0</v>
      </c>
      <c r="Y1028" s="206">
        <f t="shared" ca="1" si="301"/>
        <v>0</v>
      </c>
      <c r="Z1028" s="277">
        <f t="shared" si="302"/>
        <v>0</v>
      </c>
      <c r="AA1028" s="203"/>
      <c r="AB1028" s="203">
        <f t="shared" ca="1" si="303"/>
        <v>0</v>
      </c>
      <c r="AC1028" s="238"/>
      <c r="AI1028" s="367">
        <f t="shared" ca="1" si="310"/>
        <v>46092</v>
      </c>
      <c r="AJ1028" s="367" t="b">
        <f t="shared" si="304"/>
        <v>1</v>
      </c>
      <c r="AK1028" s="370" t="str">
        <f t="shared" si="305"/>
        <v/>
      </c>
      <c r="AN1028">
        <f t="shared" si="306"/>
        <v>0</v>
      </c>
      <c r="AO1028">
        <f t="shared" si="307"/>
        <v>1900</v>
      </c>
      <c r="AV1028">
        <f t="shared" si="308"/>
        <v>0</v>
      </c>
      <c r="AW1028">
        <f t="shared" si="309"/>
        <v>0</v>
      </c>
    </row>
    <row r="1029" spans="4:49" ht="15.75" x14ac:dyDescent="0.25">
      <c r="D1029" s="199"/>
      <c r="E1029" s="200"/>
      <c r="F1029" s="287"/>
      <c r="G1029" s="201"/>
      <c r="H1029" s="219"/>
      <c r="I1029" s="202"/>
      <c r="J1029" s="200"/>
      <c r="K1029" s="200"/>
      <c r="L1029" s="203"/>
      <c r="M1029" s="204">
        <f ca="1">IF(ISERROR(OFFSET(Tabella!$A$1,MATCH(J1029,Tabella!$A:$A,0)-1,MATCH(L1029,Tabella!$A$1:$AC$1,0)-1)=TRUE),0,+OFFSET(Tabella!$A$1,MATCH(J1029,Tabella!$A:$A,0)-1,MATCH(L1029,Tabella!$A$1:$AC$1,0)-1))</f>
        <v>0</v>
      </c>
      <c r="N1029" s="205">
        <f ca="1">IF(ISERROR(OFFSET(Ottone!$A$1,MATCH(J1029,Ottone!$A:$A,0)-1,MATCH(L1029,Ottone!$A$1:$Z$1,0)-1)=TRUE),0,OFFSET(Ottone!$A$1,MATCH(J1029,Ottone!$A:$A,0)-1,MATCH(L1029,Ottone!$A$1:$Z$1,0)-1))*IF(G1029="Ottone",1,0)</f>
        <v>0</v>
      </c>
      <c r="O1029" s="205">
        <f ca="1">IF(ISERROR(OFFSET(Rame!$A$1,MATCH(J1029,Rame!$A:$A,0)-1,MATCH(L1029,Rame!$A$1:$AA$1,0)-1)=TRUE),0,OFFSET(Rame!$A$1,MATCH(J1029,Rame!$A:$A,0)-1,MATCH(L1029,Rame!$A$1:$AA$1,0)-1))*IF(G1029="Rame",1,0)</f>
        <v>0</v>
      </c>
      <c r="P1029" s="205">
        <v>0</v>
      </c>
      <c r="Q1029" s="205">
        <f t="shared" ca="1" si="299"/>
        <v>0</v>
      </c>
      <c r="R1029" s="205">
        <f ca="1">+IF(ISERROR(OFFSET(Tabella!$G$1,MATCH(J1029,Tabella!$G:$G,0)-1,MATCH(K1029,Tabella!$G$1:$FG$1,0)-1)=TRUE),0,OFFSET(Tabella!$G$1,MATCH(J1029,Tabella!$G:$G,0)-1,MATCH(K1029,Tabella!$G$1:$AB$1,0)-1))</f>
        <v>0</v>
      </c>
      <c r="S1029" s="205">
        <f ca="1">IF(ISERROR(OFFSET(Ottone!$F$1,MATCH(J1029,Ottone!$A:$A,0)-1,MATCH(K1029,Ottone!$F$1:$FF$1,0)-1)=TRUE),0,OFFSET(Ottone!$F$1,MATCH(J1029,Ottone!$A:$A,0)-1,MATCH(K1029,Ottone!$F$1:$FF$1,0)-1))*IF(G1029="Ottone",1,0)</f>
        <v>0</v>
      </c>
      <c r="T1029" s="205">
        <f ca="1">IF(ISERROR(OFFSET(Rame!$F$1,MATCH(J1029,Rame!$F:$F,0)-1,MATCH(K1029,Rame!$F$1:$FF$1,0)-1)=TRUE),0,OFFSET(Rame!$F$1,MATCH(J1029,Rame!$F:$F,0)-1,MATCH(K1029,Rame!$F$1:$FF$1,0)-1))*IF(G1029="Rame",1,0)</f>
        <v>0</v>
      </c>
      <c r="U1029" s="205">
        <f ca="1">IF(ISERROR(OFFSET(Bronzo!$A$1,MATCH(J1029,Bronzo!$A:$A,0)-1,MATCH(K1029,Bronzo!$A$1:$AA$1,0)-1)=TRUE),0,OFFSET(Bronzo!$A$1,MATCH(J1029,Bronzo!$A:$A,0)-1,MATCH(K1029,Bronzo!$A$1:$AA$1,0)-1))</f>
        <v>0</v>
      </c>
      <c r="V1029" s="205">
        <f t="shared" ca="1" si="300"/>
        <v>0</v>
      </c>
      <c r="W1029" s="204"/>
      <c r="X1029" s="205">
        <v>0</v>
      </c>
      <c r="Y1029" s="206">
        <f t="shared" ca="1" si="301"/>
        <v>0</v>
      </c>
      <c r="Z1029" s="277">
        <f t="shared" si="302"/>
        <v>0</v>
      </c>
      <c r="AA1029" s="203"/>
      <c r="AB1029" s="203">
        <f t="shared" ca="1" si="303"/>
        <v>0</v>
      </c>
      <c r="AC1029" s="238"/>
      <c r="AI1029" s="367">
        <f t="shared" ca="1" si="310"/>
        <v>46092</v>
      </c>
      <c r="AJ1029" s="367" t="b">
        <f t="shared" si="304"/>
        <v>1</v>
      </c>
      <c r="AK1029" s="370" t="str">
        <f t="shared" si="305"/>
        <v/>
      </c>
      <c r="AN1029">
        <f t="shared" si="306"/>
        <v>0</v>
      </c>
      <c r="AO1029">
        <f t="shared" si="307"/>
        <v>1900</v>
      </c>
      <c r="AV1029">
        <f t="shared" si="308"/>
        <v>0</v>
      </c>
      <c r="AW1029">
        <f t="shared" si="309"/>
        <v>0</v>
      </c>
    </row>
    <row r="1030" spans="4:49" ht="15.75" x14ac:dyDescent="0.25">
      <c r="D1030" s="199"/>
      <c r="E1030" s="200"/>
      <c r="F1030" s="287"/>
      <c r="G1030" s="201"/>
      <c r="H1030" s="219"/>
      <c r="I1030" s="202"/>
      <c r="J1030" s="200"/>
      <c r="K1030" s="200"/>
      <c r="L1030" s="203"/>
      <c r="M1030" s="204">
        <f ca="1">IF(ISERROR(OFFSET(Tabella!$A$1,MATCH(J1030,Tabella!$A:$A,0)-1,MATCH(L1030,Tabella!$A$1:$AC$1,0)-1)=TRUE),0,+OFFSET(Tabella!$A$1,MATCH(J1030,Tabella!$A:$A,0)-1,MATCH(L1030,Tabella!$A$1:$AC$1,0)-1))</f>
        <v>0</v>
      </c>
      <c r="N1030" s="205">
        <f ca="1">IF(ISERROR(OFFSET(Ottone!$A$1,MATCH(J1030,Ottone!$A:$A,0)-1,MATCH(L1030,Ottone!$A$1:$Z$1,0)-1)=TRUE),0,OFFSET(Ottone!$A$1,MATCH(J1030,Ottone!$A:$A,0)-1,MATCH(L1030,Ottone!$A$1:$Z$1,0)-1))*IF(G1030="Ottone",1,0)</f>
        <v>0</v>
      </c>
      <c r="O1030" s="205">
        <f ca="1">IF(ISERROR(OFFSET(Rame!$A$1,MATCH(J1030,Rame!$A:$A,0)-1,MATCH(L1030,Rame!$A$1:$AA$1,0)-1)=TRUE),0,OFFSET(Rame!$A$1,MATCH(J1030,Rame!$A:$A,0)-1,MATCH(L1030,Rame!$A$1:$AA$1,0)-1))*IF(G1030="Rame",1,0)</f>
        <v>0</v>
      </c>
      <c r="P1030" s="205">
        <v>0</v>
      </c>
      <c r="Q1030" s="205">
        <f t="shared" ca="1" si="299"/>
        <v>0</v>
      </c>
      <c r="R1030" s="205">
        <f ca="1">+IF(ISERROR(OFFSET(Tabella!$G$1,MATCH(J1030,Tabella!$G:$G,0)-1,MATCH(K1030,Tabella!$G$1:$FG$1,0)-1)=TRUE),0,OFFSET(Tabella!$G$1,MATCH(J1030,Tabella!$G:$G,0)-1,MATCH(K1030,Tabella!$G$1:$AB$1,0)-1))</f>
        <v>0</v>
      </c>
      <c r="S1030" s="205">
        <f ca="1">IF(ISERROR(OFFSET(Ottone!$F$1,MATCH(J1030,Ottone!$A:$A,0)-1,MATCH(K1030,Ottone!$F$1:$FF$1,0)-1)=TRUE),0,OFFSET(Ottone!$F$1,MATCH(J1030,Ottone!$A:$A,0)-1,MATCH(K1030,Ottone!$F$1:$FF$1,0)-1))*IF(G1030="Ottone",1,0)</f>
        <v>0</v>
      </c>
      <c r="T1030" s="205">
        <f ca="1">IF(ISERROR(OFFSET(Rame!$F$1,MATCH(J1030,Rame!$F:$F,0)-1,MATCH(K1030,Rame!$F$1:$FF$1,0)-1)=TRUE),0,OFFSET(Rame!$F$1,MATCH(J1030,Rame!$F:$F,0)-1,MATCH(K1030,Rame!$F$1:$FF$1,0)-1))*IF(G1030="Rame",1,0)</f>
        <v>0</v>
      </c>
      <c r="U1030" s="205">
        <f ca="1">IF(ISERROR(OFFSET(Bronzo!$A$1,MATCH(J1030,Bronzo!$A:$A,0)-1,MATCH(K1030,Bronzo!$A$1:$AA$1,0)-1)=TRUE),0,OFFSET(Bronzo!$A$1,MATCH(J1030,Bronzo!$A:$A,0)-1,MATCH(K1030,Bronzo!$A$1:$AA$1,0)-1))</f>
        <v>0</v>
      </c>
      <c r="V1030" s="205">
        <f t="shared" ca="1" si="300"/>
        <v>0</v>
      </c>
      <c r="W1030" s="204"/>
      <c r="X1030" s="205">
        <v>0</v>
      </c>
      <c r="Y1030" s="206">
        <f t="shared" ca="1" si="301"/>
        <v>0</v>
      </c>
      <c r="Z1030" s="277">
        <f t="shared" si="302"/>
        <v>0</v>
      </c>
      <c r="AA1030" s="203"/>
      <c r="AB1030" s="203">
        <f t="shared" ca="1" si="303"/>
        <v>0</v>
      </c>
      <c r="AC1030" s="238"/>
      <c r="AI1030" s="367">
        <f t="shared" ca="1" si="310"/>
        <v>46092</v>
      </c>
      <c r="AJ1030" s="367" t="b">
        <f t="shared" si="304"/>
        <v>1</v>
      </c>
      <c r="AK1030" s="370" t="str">
        <f t="shared" si="305"/>
        <v/>
      </c>
      <c r="AN1030">
        <f t="shared" si="306"/>
        <v>0</v>
      </c>
      <c r="AO1030">
        <f t="shared" si="307"/>
        <v>1900</v>
      </c>
      <c r="AV1030">
        <f t="shared" si="308"/>
        <v>0</v>
      </c>
      <c r="AW1030">
        <f t="shared" si="309"/>
        <v>0</v>
      </c>
    </row>
    <row r="1031" spans="4:49" ht="15.75" x14ac:dyDescent="0.25">
      <c r="D1031" s="199"/>
      <c r="E1031" s="200"/>
      <c r="F1031" s="287"/>
      <c r="G1031" s="201"/>
      <c r="H1031" s="219"/>
      <c r="I1031" s="202"/>
      <c r="J1031" s="200"/>
      <c r="K1031" s="200"/>
      <c r="L1031" s="203"/>
      <c r="M1031" s="204">
        <f ca="1">IF(ISERROR(OFFSET(Tabella!$A$1,MATCH(J1031,Tabella!$A:$A,0)-1,MATCH(L1031,Tabella!$A$1:$AC$1,0)-1)=TRUE),0,+OFFSET(Tabella!$A$1,MATCH(J1031,Tabella!$A:$A,0)-1,MATCH(L1031,Tabella!$A$1:$AC$1,0)-1))</f>
        <v>0</v>
      </c>
      <c r="N1031" s="205">
        <f ca="1">IF(ISERROR(OFFSET(Ottone!$A$1,MATCH(J1031,Ottone!$A:$A,0)-1,MATCH(L1031,Ottone!$A$1:$Z$1,0)-1)=TRUE),0,OFFSET(Ottone!$A$1,MATCH(J1031,Ottone!$A:$A,0)-1,MATCH(L1031,Ottone!$A$1:$Z$1,0)-1))*IF(G1031="Ottone",1,0)</f>
        <v>0</v>
      </c>
      <c r="O1031" s="205">
        <f ca="1">IF(ISERROR(OFFSET(Rame!$A$1,MATCH(J1031,Rame!$A:$A,0)-1,MATCH(L1031,Rame!$A$1:$AA$1,0)-1)=TRUE),0,OFFSET(Rame!$A$1,MATCH(J1031,Rame!$A:$A,0)-1,MATCH(L1031,Rame!$A$1:$AA$1,0)-1))*IF(G1031="Rame",1,0)</f>
        <v>0</v>
      </c>
      <c r="P1031" s="205">
        <v>0</v>
      </c>
      <c r="Q1031" s="205">
        <f t="shared" ca="1" si="299"/>
        <v>0</v>
      </c>
      <c r="R1031" s="205">
        <f ca="1">+IF(ISERROR(OFFSET(Tabella!$G$1,MATCH(J1031,Tabella!$G:$G,0)-1,MATCH(K1031,Tabella!$G$1:$FG$1,0)-1)=TRUE),0,OFFSET(Tabella!$G$1,MATCH(J1031,Tabella!$G:$G,0)-1,MATCH(K1031,Tabella!$G$1:$AB$1,0)-1))</f>
        <v>0</v>
      </c>
      <c r="S1031" s="205">
        <f ca="1">IF(ISERROR(OFFSET(Ottone!$F$1,MATCH(J1031,Ottone!$A:$A,0)-1,MATCH(K1031,Ottone!$F$1:$FF$1,0)-1)=TRUE),0,OFFSET(Ottone!$F$1,MATCH(J1031,Ottone!$A:$A,0)-1,MATCH(K1031,Ottone!$F$1:$FF$1,0)-1))*IF(G1031="Ottone",1,0)</f>
        <v>0</v>
      </c>
      <c r="T1031" s="205">
        <f ca="1">IF(ISERROR(OFFSET(Rame!$F$1,MATCH(J1031,Rame!$F:$F,0)-1,MATCH(K1031,Rame!$F$1:$FF$1,0)-1)=TRUE),0,OFFSET(Rame!$F$1,MATCH(J1031,Rame!$F:$F,0)-1,MATCH(K1031,Rame!$F$1:$FF$1,0)-1))*IF(G1031="Rame",1,0)</f>
        <v>0</v>
      </c>
      <c r="U1031" s="205">
        <f ca="1">IF(ISERROR(OFFSET(Bronzo!$A$1,MATCH(J1031,Bronzo!$A:$A,0)-1,MATCH(K1031,Bronzo!$A$1:$AA$1,0)-1)=TRUE),0,OFFSET(Bronzo!$A$1,MATCH(J1031,Bronzo!$A:$A,0)-1,MATCH(K1031,Bronzo!$A$1:$AA$1,0)-1))</f>
        <v>0</v>
      </c>
      <c r="V1031" s="205">
        <f t="shared" ca="1" si="300"/>
        <v>0</v>
      </c>
      <c r="W1031" s="204"/>
      <c r="X1031" s="205">
        <v>0</v>
      </c>
      <c r="Y1031" s="206">
        <f t="shared" ca="1" si="301"/>
        <v>0</v>
      </c>
      <c r="Z1031" s="277">
        <f t="shared" si="302"/>
        <v>0</v>
      </c>
      <c r="AA1031" s="203"/>
      <c r="AB1031" s="203">
        <f t="shared" ca="1" si="303"/>
        <v>0</v>
      </c>
      <c r="AC1031" s="238"/>
      <c r="AI1031" s="367">
        <f t="shared" ca="1" si="310"/>
        <v>46092</v>
      </c>
      <c r="AJ1031" s="367" t="b">
        <f t="shared" si="304"/>
        <v>1</v>
      </c>
      <c r="AK1031" s="370" t="str">
        <f t="shared" si="305"/>
        <v/>
      </c>
      <c r="AN1031">
        <f t="shared" si="306"/>
        <v>0</v>
      </c>
      <c r="AO1031">
        <f t="shared" si="307"/>
        <v>1900</v>
      </c>
      <c r="AV1031">
        <f t="shared" si="308"/>
        <v>0</v>
      </c>
      <c r="AW1031">
        <f t="shared" si="309"/>
        <v>0</v>
      </c>
    </row>
    <row r="1032" spans="4:49" ht="15.75" x14ac:dyDescent="0.25">
      <c r="D1032" s="199"/>
      <c r="E1032" s="200"/>
      <c r="F1032" s="287"/>
      <c r="G1032" s="201"/>
      <c r="H1032" s="219"/>
      <c r="I1032" s="202"/>
      <c r="J1032" s="200"/>
      <c r="K1032" s="200"/>
      <c r="L1032" s="203"/>
      <c r="M1032" s="204">
        <f ca="1">IF(ISERROR(OFFSET(Tabella!$A$1,MATCH(J1032,Tabella!$A:$A,0)-1,MATCH(L1032,Tabella!$A$1:$AC$1,0)-1)=TRUE),0,+OFFSET(Tabella!$A$1,MATCH(J1032,Tabella!$A:$A,0)-1,MATCH(L1032,Tabella!$A$1:$AC$1,0)-1))</f>
        <v>0</v>
      </c>
      <c r="N1032" s="205">
        <f ca="1">IF(ISERROR(OFFSET(Ottone!$A$1,MATCH(J1032,Ottone!$A:$A,0)-1,MATCH(L1032,Ottone!$A$1:$Z$1,0)-1)=TRUE),0,OFFSET(Ottone!$A$1,MATCH(J1032,Ottone!$A:$A,0)-1,MATCH(L1032,Ottone!$A$1:$Z$1,0)-1))*IF(G1032="Ottone",1,0)</f>
        <v>0</v>
      </c>
      <c r="O1032" s="205">
        <f ca="1">IF(ISERROR(OFFSET(Rame!$A$1,MATCH(J1032,Rame!$A:$A,0)-1,MATCH(L1032,Rame!$A$1:$AA$1,0)-1)=TRUE),0,OFFSET(Rame!$A$1,MATCH(J1032,Rame!$A:$A,0)-1,MATCH(L1032,Rame!$A$1:$AA$1,0)-1))*IF(G1032="Rame",1,0)</f>
        <v>0</v>
      </c>
      <c r="P1032" s="205">
        <v>0</v>
      </c>
      <c r="Q1032" s="205">
        <f t="shared" ca="1" si="299"/>
        <v>0</v>
      </c>
      <c r="R1032" s="205">
        <f ca="1">+IF(ISERROR(OFFSET(Tabella!$G$1,MATCH(J1032,Tabella!$G:$G,0)-1,MATCH(K1032,Tabella!$G$1:$FG$1,0)-1)=TRUE),0,OFFSET(Tabella!$G$1,MATCH(J1032,Tabella!$G:$G,0)-1,MATCH(K1032,Tabella!$G$1:$AB$1,0)-1))</f>
        <v>0</v>
      </c>
      <c r="S1032" s="205">
        <f ca="1">IF(ISERROR(OFFSET(Ottone!$F$1,MATCH(J1032,Ottone!$A:$A,0)-1,MATCH(K1032,Ottone!$F$1:$FF$1,0)-1)=TRUE),0,OFFSET(Ottone!$F$1,MATCH(J1032,Ottone!$A:$A,0)-1,MATCH(K1032,Ottone!$F$1:$FF$1,0)-1))*IF(G1032="Ottone",1,0)</f>
        <v>0</v>
      </c>
      <c r="T1032" s="205">
        <f ca="1">IF(ISERROR(OFFSET(Rame!$F$1,MATCH(J1032,Rame!$F:$F,0)-1,MATCH(K1032,Rame!$F$1:$FF$1,0)-1)=TRUE),0,OFFSET(Rame!$F$1,MATCH(J1032,Rame!$F:$F,0)-1,MATCH(K1032,Rame!$F$1:$FF$1,0)-1))*IF(G1032="Rame",1,0)</f>
        <v>0</v>
      </c>
      <c r="U1032" s="205">
        <f ca="1">IF(ISERROR(OFFSET(Bronzo!$A$1,MATCH(J1032,Bronzo!$A:$A,0)-1,MATCH(K1032,Bronzo!$A$1:$AA$1,0)-1)=TRUE),0,OFFSET(Bronzo!$A$1,MATCH(J1032,Bronzo!$A:$A,0)-1,MATCH(K1032,Bronzo!$A$1:$AA$1,0)-1))</f>
        <v>0</v>
      </c>
      <c r="V1032" s="205">
        <f t="shared" ca="1" si="300"/>
        <v>0</v>
      </c>
      <c r="W1032" s="204"/>
      <c r="X1032" s="205">
        <v>0</v>
      </c>
      <c r="Y1032" s="206">
        <f t="shared" ca="1" si="301"/>
        <v>0</v>
      </c>
      <c r="Z1032" s="277">
        <f t="shared" si="302"/>
        <v>0</v>
      </c>
      <c r="AA1032" s="203"/>
      <c r="AB1032" s="203">
        <f t="shared" ca="1" si="303"/>
        <v>0</v>
      </c>
      <c r="AC1032" s="238"/>
      <c r="AI1032" s="367">
        <f t="shared" ca="1" si="310"/>
        <v>46092</v>
      </c>
      <c r="AJ1032" s="367" t="b">
        <f t="shared" si="304"/>
        <v>1</v>
      </c>
      <c r="AK1032" s="370" t="str">
        <f t="shared" si="305"/>
        <v/>
      </c>
      <c r="AN1032">
        <f t="shared" si="306"/>
        <v>0</v>
      </c>
      <c r="AO1032">
        <f t="shared" si="307"/>
        <v>1900</v>
      </c>
      <c r="AV1032">
        <f t="shared" si="308"/>
        <v>0</v>
      </c>
      <c r="AW1032">
        <f t="shared" si="309"/>
        <v>0</v>
      </c>
    </row>
    <row r="1033" spans="4:49" ht="15.75" x14ac:dyDescent="0.25">
      <c r="D1033" s="199"/>
      <c r="E1033" s="200"/>
      <c r="F1033" s="287"/>
      <c r="G1033" s="201"/>
      <c r="H1033" s="219"/>
      <c r="I1033" s="202"/>
      <c r="J1033" s="200"/>
      <c r="K1033" s="200"/>
      <c r="L1033" s="203"/>
      <c r="M1033" s="204">
        <f ca="1">IF(ISERROR(OFFSET(Tabella!$A$1,MATCH(J1033,Tabella!$A:$A,0)-1,MATCH(L1033,Tabella!$A$1:$AC$1,0)-1)=TRUE),0,+OFFSET(Tabella!$A$1,MATCH(J1033,Tabella!$A:$A,0)-1,MATCH(L1033,Tabella!$A$1:$AC$1,0)-1))</f>
        <v>0</v>
      </c>
      <c r="N1033" s="205">
        <f ca="1">IF(ISERROR(OFFSET(Ottone!$A$1,MATCH(J1033,Ottone!$A:$A,0)-1,MATCH(L1033,Ottone!$A$1:$Z$1,0)-1)=TRUE),0,OFFSET(Ottone!$A$1,MATCH(J1033,Ottone!$A:$A,0)-1,MATCH(L1033,Ottone!$A$1:$Z$1,0)-1))*IF(G1033="Ottone",1,0)</f>
        <v>0</v>
      </c>
      <c r="O1033" s="205">
        <f ca="1">IF(ISERROR(OFFSET(Rame!$A$1,MATCH(J1033,Rame!$A:$A,0)-1,MATCH(L1033,Rame!$A$1:$AA$1,0)-1)=TRUE),0,OFFSET(Rame!$A$1,MATCH(J1033,Rame!$A:$A,0)-1,MATCH(L1033,Rame!$A$1:$AA$1,0)-1))*IF(G1033="Rame",1,0)</f>
        <v>0</v>
      </c>
      <c r="P1033" s="205">
        <v>0</v>
      </c>
      <c r="Q1033" s="205">
        <f t="shared" ca="1" si="299"/>
        <v>0</v>
      </c>
      <c r="R1033" s="205">
        <f ca="1">+IF(ISERROR(OFFSET(Tabella!$G$1,MATCH(J1033,Tabella!$G:$G,0)-1,MATCH(K1033,Tabella!$G$1:$FG$1,0)-1)=TRUE),0,OFFSET(Tabella!$G$1,MATCH(J1033,Tabella!$G:$G,0)-1,MATCH(K1033,Tabella!$G$1:$AB$1,0)-1))</f>
        <v>0</v>
      </c>
      <c r="S1033" s="205">
        <f ca="1">IF(ISERROR(OFFSET(Ottone!$F$1,MATCH(J1033,Ottone!$A:$A,0)-1,MATCH(K1033,Ottone!$F$1:$FF$1,0)-1)=TRUE),0,OFFSET(Ottone!$F$1,MATCH(J1033,Ottone!$A:$A,0)-1,MATCH(K1033,Ottone!$F$1:$FF$1,0)-1))*IF(G1033="Ottone",1,0)</f>
        <v>0</v>
      </c>
      <c r="T1033" s="205">
        <f ca="1">IF(ISERROR(OFFSET(Rame!$F$1,MATCH(J1033,Rame!$F:$F,0)-1,MATCH(K1033,Rame!$F$1:$FF$1,0)-1)=TRUE),0,OFFSET(Rame!$F$1,MATCH(J1033,Rame!$F:$F,0)-1,MATCH(K1033,Rame!$F$1:$FF$1,0)-1))*IF(G1033="Rame",1,0)</f>
        <v>0</v>
      </c>
      <c r="U1033" s="205">
        <f ca="1">IF(ISERROR(OFFSET(Bronzo!$A$1,MATCH(J1033,Bronzo!$A:$A,0)-1,MATCH(K1033,Bronzo!$A$1:$AA$1,0)-1)=TRUE),0,OFFSET(Bronzo!$A$1,MATCH(J1033,Bronzo!$A:$A,0)-1,MATCH(K1033,Bronzo!$A$1:$AA$1,0)-1))</f>
        <v>0</v>
      </c>
      <c r="V1033" s="205">
        <f t="shared" ca="1" si="300"/>
        <v>0</v>
      </c>
      <c r="W1033" s="204"/>
      <c r="X1033" s="205">
        <v>0</v>
      </c>
      <c r="Y1033" s="206">
        <f t="shared" ca="1" si="301"/>
        <v>0</v>
      </c>
      <c r="Z1033" s="277">
        <f t="shared" si="302"/>
        <v>0</v>
      </c>
      <c r="AA1033" s="203"/>
      <c r="AB1033" s="203">
        <f t="shared" ca="1" si="303"/>
        <v>0</v>
      </c>
      <c r="AC1033" s="238"/>
      <c r="AI1033" s="367">
        <f t="shared" ca="1" si="310"/>
        <v>46092</v>
      </c>
      <c r="AJ1033" s="367" t="b">
        <f t="shared" si="304"/>
        <v>1</v>
      </c>
      <c r="AK1033" s="370" t="str">
        <f t="shared" si="305"/>
        <v/>
      </c>
      <c r="AN1033">
        <f t="shared" si="306"/>
        <v>0</v>
      </c>
      <c r="AO1033">
        <f t="shared" si="307"/>
        <v>1900</v>
      </c>
      <c r="AV1033">
        <f t="shared" si="308"/>
        <v>0</v>
      </c>
      <c r="AW1033">
        <f t="shared" si="309"/>
        <v>0</v>
      </c>
    </row>
    <row r="1034" spans="4:49" ht="15.75" x14ac:dyDescent="0.25">
      <c r="D1034" s="199"/>
      <c r="E1034" s="200"/>
      <c r="F1034" s="287"/>
      <c r="G1034" s="201"/>
      <c r="H1034" s="219"/>
      <c r="I1034" s="202"/>
      <c r="J1034" s="200"/>
      <c r="K1034" s="200"/>
      <c r="L1034" s="203"/>
      <c r="M1034" s="204">
        <f ca="1">IF(ISERROR(OFFSET(Tabella!$A$1,MATCH(J1034,Tabella!$A:$A,0)-1,MATCH(L1034,Tabella!$A$1:$AC$1,0)-1)=TRUE),0,+OFFSET(Tabella!$A$1,MATCH(J1034,Tabella!$A:$A,0)-1,MATCH(L1034,Tabella!$A$1:$AC$1,0)-1))</f>
        <v>0</v>
      </c>
      <c r="N1034" s="205">
        <f ca="1">IF(ISERROR(OFFSET(Ottone!$A$1,MATCH(J1034,Ottone!$A:$A,0)-1,MATCH(L1034,Ottone!$A$1:$Z$1,0)-1)=TRUE),0,OFFSET(Ottone!$A$1,MATCH(J1034,Ottone!$A:$A,0)-1,MATCH(L1034,Ottone!$A$1:$Z$1,0)-1))*IF(G1034="Ottone",1,0)</f>
        <v>0</v>
      </c>
      <c r="O1034" s="205">
        <f ca="1">IF(ISERROR(OFFSET(Rame!$A$1,MATCH(J1034,Rame!$A:$A,0)-1,MATCH(L1034,Rame!$A$1:$AA$1,0)-1)=TRUE),0,OFFSET(Rame!$A$1,MATCH(J1034,Rame!$A:$A,0)-1,MATCH(L1034,Rame!$A$1:$AA$1,0)-1))*IF(G1034="Rame",1,0)</f>
        <v>0</v>
      </c>
      <c r="P1034" s="205">
        <v>0</v>
      </c>
      <c r="Q1034" s="205">
        <f t="shared" ca="1" si="299"/>
        <v>0</v>
      </c>
      <c r="R1034" s="205">
        <f ca="1">+IF(ISERROR(OFFSET(Tabella!$G$1,MATCH(J1034,Tabella!$G:$G,0)-1,MATCH(K1034,Tabella!$G$1:$FG$1,0)-1)=TRUE),0,OFFSET(Tabella!$G$1,MATCH(J1034,Tabella!$G:$G,0)-1,MATCH(K1034,Tabella!$G$1:$AB$1,0)-1))</f>
        <v>0</v>
      </c>
      <c r="S1034" s="205">
        <f ca="1">IF(ISERROR(OFFSET(Ottone!$F$1,MATCH(J1034,Ottone!$A:$A,0)-1,MATCH(K1034,Ottone!$F$1:$FF$1,0)-1)=TRUE),0,OFFSET(Ottone!$F$1,MATCH(J1034,Ottone!$A:$A,0)-1,MATCH(K1034,Ottone!$F$1:$FF$1,0)-1))*IF(G1034="Ottone",1,0)</f>
        <v>0</v>
      </c>
      <c r="T1034" s="205">
        <f ca="1">IF(ISERROR(OFFSET(Rame!$F$1,MATCH(J1034,Rame!$F:$F,0)-1,MATCH(K1034,Rame!$F$1:$FF$1,0)-1)=TRUE),0,OFFSET(Rame!$F$1,MATCH(J1034,Rame!$F:$F,0)-1,MATCH(K1034,Rame!$F$1:$FF$1,0)-1))*IF(G1034="Rame",1,0)</f>
        <v>0</v>
      </c>
      <c r="U1034" s="205">
        <f ca="1">IF(ISERROR(OFFSET(Bronzo!$A$1,MATCH(J1034,Bronzo!$A:$A,0)-1,MATCH(K1034,Bronzo!$A$1:$AA$1,0)-1)=TRUE),0,OFFSET(Bronzo!$A$1,MATCH(J1034,Bronzo!$A:$A,0)-1,MATCH(K1034,Bronzo!$A$1:$AA$1,0)-1))</f>
        <v>0</v>
      </c>
      <c r="V1034" s="205">
        <f t="shared" ca="1" si="300"/>
        <v>0</v>
      </c>
      <c r="W1034" s="204"/>
      <c r="X1034" s="205">
        <v>0</v>
      </c>
      <c r="Y1034" s="206">
        <f t="shared" ca="1" si="301"/>
        <v>0</v>
      </c>
      <c r="Z1034" s="277">
        <f t="shared" si="302"/>
        <v>0</v>
      </c>
      <c r="AA1034" s="203"/>
      <c r="AB1034" s="203">
        <f t="shared" ca="1" si="303"/>
        <v>0</v>
      </c>
      <c r="AC1034" s="238"/>
      <c r="AI1034" s="367">
        <f t="shared" ca="1" si="310"/>
        <v>46092</v>
      </c>
      <c r="AJ1034" s="367" t="b">
        <f t="shared" si="304"/>
        <v>1</v>
      </c>
      <c r="AK1034" s="370" t="str">
        <f t="shared" si="305"/>
        <v/>
      </c>
      <c r="AN1034">
        <f t="shared" si="306"/>
        <v>0</v>
      </c>
      <c r="AO1034">
        <f t="shared" si="307"/>
        <v>1900</v>
      </c>
      <c r="AV1034">
        <f t="shared" si="308"/>
        <v>0</v>
      </c>
      <c r="AW1034">
        <f t="shared" si="309"/>
        <v>0</v>
      </c>
    </row>
    <row r="1035" spans="4:49" ht="15.75" x14ac:dyDescent="0.25">
      <c r="D1035" s="199"/>
      <c r="E1035" s="200"/>
      <c r="F1035" s="287"/>
      <c r="G1035" s="201"/>
      <c r="H1035" s="219"/>
      <c r="I1035" s="202"/>
      <c r="J1035" s="200"/>
      <c r="K1035" s="200"/>
      <c r="L1035" s="203"/>
      <c r="M1035" s="204">
        <f ca="1">IF(ISERROR(OFFSET(Tabella!$A$1,MATCH(J1035,Tabella!$A:$A,0)-1,MATCH(L1035,Tabella!$A$1:$AC$1,0)-1)=TRUE),0,+OFFSET(Tabella!$A$1,MATCH(J1035,Tabella!$A:$A,0)-1,MATCH(L1035,Tabella!$A$1:$AC$1,0)-1))</f>
        <v>0</v>
      </c>
      <c r="N1035" s="205">
        <f ca="1">IF(ISERROR(OFFSET(Ottone!$A$1,MATCH(J1035,Ottone!$A:$A,0)-1,MATCH(L1035,Ottone!$A$1:$Z$1,0)-1)=TRUE),0,OFFSET(Ottone!$A$1,MATCH(J1035,Ottone!$A:$A,0)-1,MATCH(L1035,Ottone!$A$1:$Z$1,0)-1))*IF(G1035="Ottone",1,0)</f>
        <v>0</v>
      </c>
      <c r="O1035" s="205">
        <f ca="1">IF(ISERROR(OFFSET(Rame!$A$1,MATCH(J1035,Rame!$A:$A,0)-1,MATCH(L1035,Rame!$A$1:$AA$1,0)-1)=TRUE),0,OFFSET(Rame!$A$1,MATCH(J1035,Rame!$A:$A,0)-1,MATCH(L1035,Rame!$A$1:$AA$1,0)-1))*IF(G1035="Rame",1,0)</f>
        <v>0</v>
      </c>
      <c r="P1035" s="205">
        <v>0</v>
      </c>
      <c r="Q1035" s="205">
        <f t="shared" ca="1" si="299"/>
        <v>0</v>
      </c>
      <c r="R1035" s="205">
        <f ca="1">+IF(ISERROR(OFFSET(Tabella!$G$1,MATCH(J1035,Tabella!$G:$G,0)-1,MATCH(K1035,Tabella!$G$1:$FG$1,0)-1)=TRUE),0,OFFSET(Tabella!$G$1,MATCH(J1035,Tabella!$G:$G,0)-1,MATCH(K1035,Tabella!$G$1:$AB$1,0)-1))</f>
        <v>0</v>
      </c>
      <c r="S1035" s="205">
        <f ca="1">IF(ISERROR(OFFSET(Ottone!$F$1,MATCH(J1035,Ottone!$A:$A,0)-1,MATCH(K1035,Ottone!$F$1:$FF$1,0)-1)=TRUE),0,OFFSET(Ottone!$F$1,MATCH(J1035,Ottone!$A:$A,0)-1,MATCH(K1035,Ottone!$F$1:$FF$1,0)-1))*IF(G1035="Ottone",1,0)</f>
        <v>0</v>
      </c>
      <c r="T1035" s="205">
        <f ca="1">IF(ISERROR(OFFSET(Rame!$F$1,MATCH(J1035,Rame!$F:$F,0)-1,MATCH(K1035,Rame!$F$1:$FF$1,0)-1)=TRUE),0,OFFSET(Rame!$F$1,MATCH(J1035,Rame!$F:$F,0)-1,MATCH(K1035,Rame!$F$1:$FF$1,0)-1))*IF(G1035="Rame",1,0)</f>
        <v>0</v>
      </c>
      <c r="U1035" s="205">
        <f ca="1">IF(ISERROR(OFFSET(Bronzo!$A$1,MATCH(J1035,Bronzo!$A:$A,0)-1,MATCH(K1035,Bronzo!$A$1:$AA$1,0)-1)=TRUE),0,OFFSET(Bronzo!$A$1,MATCH(J1035,Bronzo!$A:$A,0)-1,MATCH(K1035,Bronzo!$A$1:$AA$1,0)-1))</f>
        <v>0</v>
      </c>
      <c r="V1035" s="205">
        <f t="shared" ca="1" si="300"/>
        <v>0</v>
      </c>
      <c r="W1035" s="204"/>
      <c r="X1035" s="205">
        <v>0</v>
      </c>
      <c r="Y1035" s="206">
        <f t="shared" ca="1" si="301"/>
        <v>0</v>
      </c>
      <c r="Z1035" s="277">
        <f t="shared" si="302"/>
        <v>0</v>
      </c>
      <c r="AA1035" s="203"/>
      <c r="AB1035" s="203">
        <f t="shared" ca="1" si="303"/>
        <v>0</v>
      </c>
      <c r="AC1035" s="238"/>
      <c r="AI1035" s="367">
        <f t="shared" ca="1" si="310"/>
        <v>46092</v>
      </c>
      <c r="AJ1035" s="367" t="b">
        <f t="shared" si="304"/>
        <v>1</v>
      </c>
      <c r="AK1035" s="370" t="str">
        <f t="shared" si="305"/>
        <v/>
      </c>
      <c r="AN1035">
        <f t="shared" si="306"/>
        <v>0</v>
      </c>
      <c r="AO1035">
        <f t="shared" si="307"/>
        <v>1900</v>
      </c>
      <c r="AV1035">
        <f t="shared" si="308"/>
        <v>0</v>
      </c>
      <c r="AW1035">
        <f t="shared" si="309"/>
        <v>0</v>
      </c>
    </row>
    <row r="1036" spans="4:49" ht="15.75" x14ac:dyDescent="0.25">
      <c r="D1036" s="199"/>
      <c r="E1036" s="200"/>
      <c r="F1036" s="287"/>
      <c r="G1036" s="201"/>
      <c r="H1036" s="219"/>
      <c r="I1036" s="202"/>
      <c r="J1036" s="200"/>
      <c r="K1036" s="200"/>
      <c r="L1036" s="203"/>
      <c r="M1036" s="204">
        <f ca="1">IF(ISERROR(OFFSET(Tabella!$A$1,MATCH(J1036,Tabella!$A:$A,0)-1,MATCH(L1036,Tabella!$A$1:$AC$1,0)-1)=TRUE),0,+OFFSET(Tabella!$A$1,MATCH(J1036,Tabella!$A:$A,0)-1,MATCH(L1036,Tabella!$A$1:$AC$1,0)-1))</f>
        <v>0</v>
      </c>
      <c r="N1036" s="205">
        <f ca="1">IF(ISERROR(OFFSET(Ottone!$A$1,MATCH(J1036,Ottone!$A:$A,0)-1,MATCH(L1036,Ottone!$A$1:$Z$1,0)-1)=TRUE),0,OFFSET(Ottone!$A$1,MATCH(J1036,Ottone!$A:$A,0)-1,MATCH(L1036,Ottone!$A$1:$Z$1,0)-1))*IF(G1036="Ottone",1,0)</f>
        <v>0</v>
      </c>
      <c r="O1036" s="205">
        <f ca="1">IF(ISERROR(OFFSET(Rame!$A$1,MATCH(J1036,Rame!$A:$A,0)-1,MATCH(L1036,Rame!$A$1:$AA$1,0)-1)=TRUE),0,OFFSET(Rame!$A$1,MATCH(J1036,Rame!$A:$A,0)-1,MATCH(L1036,Rame!$A$1:$AA$1,0)-1))*IF(G1036="Rame",1,0)</f>
        <v>0</v>
      </c>
      <c r="P1036" s="205">
        <v>0</v>
      </c>
      <c r="Q1036" s="205">
        <f t="shared" ca="1" si="299"/>
        <v>0</v>
      </c>
      <c r="R1036" s="205">
        <f ca="1">+IF(ISERROR(OFFSET(Tabella!$G$1,MATCH(J1036,Tabella!$G:$G,0)-1,MATCH(K1036,Tabella!$G$1:$FG$1,0)-1)=TRUE),0,OFFSET(Tabella!$G$1,MATCH(J1036,Tabella!$G:$G,0)-1,MATCH(K1036,Tabella!$G$1:$AB$1,0)-1))</f>
        <v>0</v>
      </c>
      <c r="S1036" s="205">
        <f ca="1">IF(ISERROR(OFFSET(Ottone!$F$1,MATCH(J1036,Ottone!$A:$A,0)-1,MATCH(K1036,Ottone!$F$1:$FF$1,0)-1)=TRUE),0,OFFSET(Ottone!$F$1,MATCH(J1036,Ottone!$A:$A,0)-1,MATCH(K1036,Ottone!$F$1:$FF$1,0)-1))*IF(G1036="Ottone",1,0)</f>
        <v>0</v>
      </c>
      <c r="T1036" s="205">
        <f ca="1">IF(ISERROR(OFFSET(Rame!$F$1,MATCH(J1036,Rame!$F:$F,0)-1,MATCH(K1036,Rame!$F$1:$FF$1,0)-1)=TRUE),0,OFFSET(Rame!$F$1,MATCH(J1036,Rame!$F:$F,0)-1,MATCH(K1036,Rame!$F$1:$FF$1,0)-1))*IF(G1036="Rame",1,0)</f>
        <v>0</v>
      </c>
      <c r="U1036" s="205">
        <f ca="1">IF(ISERROR(OFFSET(Bronzo!$A$1,MATCH(J1036,Bronzo!$A:$A,0)-1,MATCH(K1036,Bronzo!$A$1:$AA$1,0)-1)=TRUE),0,OFFSET(Bronzo!$A$1,MATCH(J1036,Bronzo!$A:$A,0)-1,MATCH(K1036,Bronzo!$A$1:$AA$1,0)-1))</f>
        <v>0</v>
      </c>
      <c r="V1036" s="205">
        <f t="shared" ca="1" si="300"/>
        <v>0</v>
      </c>
      <c r="W1036" s="204"/>
      <c r="X1036" s="205">
        <v>0</v>
      </c>
      <c r="Y1036" s="206">
        <f t="shared" ca="1" si="301"/>
        <v>0</v>
      </c>
      <c r="Z1036" s="277">
        <f t="shared" si="302"/>
        <v>0</v>
      </c>
      <c r="AA1036" s="203"/>
      <c r="AB1036" s="203">
        <f t="shared" ca="1" si="303"/>
        <v>0</v>
      </c>
      <c r="AC1036" s="238"/>
      <c r="AI1036" s="367">
        <f t="shared" ca="1" si="310"/>
        <v>46092</v>
      </c>
      <c r="AJ1036" s="367" t="b">
        <f t="shared" si="304"/>
        <v>1</v>
      </c>
      <c r="AK1036" s="370" t="str">
        <f t="shared" si="305"/>
        <v/>
      </c>
      <c r="AN1036">
        <f t="shared" si="306"/>
        <v>0</v>
      </c>
      <c r="AO1036">
        <f t="shared" si="307"/>
        <v>1900</v>
      </c>
      <c r="AV1036">
        <f t="shared" si="308"/>
        <v>0</v>
      </c>
      <c r="AW1036">
        <f t="shared" si="309"/>
        <v>0</v>
      </c>
    </row>
    <row r="1037" spans="4:49" ht="15.75" x14ac:dyDescent="0.25">
      <c r="D1037" s="199"/>
      <c r="E1037" s="200"/>
      <c r="F1037" s="287"/>
      <c r="G1037" s="201"/>
      <c r="H1037" s="219"/>
      <c r="I1037" s="202"/>
      <c r="J1037" s="200"/>
      <c r="K1037" s="200"/>
      <c r="L1037" s="203"/>
      <c r="M1037" s="204">
        <f ca="1">IF(ISERROR(OFFSET(Tabella!$A$1,MATCH(J1037,Tabella!$A:$A,0)-1,MATCH(L1037,Tabella!$A$1:$AC$1,0)-1)=TRUE),0,+OFFSET(Tabella!$A$1,MATCH(J1037,Tabella!$A:$A,0)-1,MATCH(L1037,Tabella!$A$1:$AC$1,0)-1))</f>
        <v>0</v>
      </c>
      <c r="N1037" s="205">
        <f ca="1">IF(ISERROR(OFFSET(Ottone!$A$1,MATCH(J1037,Ottone!$A:$A,0)-1,MATCH(L1037,Ottone!$A$1:$Z$1,0)-1)=TRUE),0,OFFSET(Ottone!$A$1,MATCH(J1037,Ottone!$A:$A,0)-1,MATCH(L1037,Ottone!$A$1:$Z$1,0)-1))*IF(G1037="Ottone",1,0)</f>
        <v>0</v>
      </c>
      <c r="O1037" s="205">
        <f ca="1">IF(ISERROR(OFFSET(Rame!$A$1,MATCH(J1037,Rame!$A:$A,0)-1,MATCH(L1037,Rame!$A$1:$AA$1,0)-1)=TRUE),0,OFFSET(Rame!$A$1,MATCH(J1037,Rame!$A:$A,0)-1,MATCH(L1037,Rame!$A$1:$AA$1,0)-1))*IF(G1037="Rame",1,0)</f>
        <v>0</v>
      </c>
      <c r="P1037" s="205">
        <v>0</v>
      </c>
      <c r="Q1037" s="205">
        <f t="shared" ca="1" si="299"/>
        <v>0</v>
      </c>
      <c r="R1037" s="205">
        <f ca="1">+IF(ISERROR(OFFSET(Tabella!$G$1,MATCH(J1037,Tabella!$G:$G,0)-1,MATCH(K1037,Tabella!$G$1:$FG$1,0)-1)=TRUE),0,OFFSET(Tabella!$G$1,MATCH(J1037,Tabella!$G:$G,0)-1,MATCH(K1037,Tabella!$G$1:$AB$1,0)-1))</f>
        <v>0</v>
      </c>
      <c r="S1037" s="205">
        <f ca="1">IF(ISERROR(OFFSET(Ottone!$F$1,MATCH(J1037,Ottone!$A:$A,0)-1,MATCH(K1037,Ottone!$F$1:$FF$1,0)-1)=TRUE),0,OFFSET(Ottone!$F$1,MATCH(J1037,Ottone!$A:$A,0)-1,MATCH(K1037,Ottone!$F$1:$FF$1,0)-1))*IF(G1037="Ottone",1,0)</f>
        <v>0</v>
      </c>
      <c r="T1037" s="205">
        <f ca="1">IF(ISERROR(OFFSET(Rame!$F$1,MATCH(J1037,Rame!$F:$F,0)-1,MATCH(K1037,Rame!$F$1:$FF$1,0)-1)=TRUE),0,OFFSET(Rame!$F$1,MATCH(J1037,Rame!$F:$F,0)-1,MATCH(K1037,Rame!$F$1:$FF$1,0)-1))*IF(G1037="Rame",1,0)</f>
        <v>0</v>
      </c>
      <c r="U1037" s="205">
        <f ca="1">IF(ISERROR(OFFSET(Bronzo!$A$1,MATCH(J1037,Bronzo!$A:$A,0)-1,MATCH(K1037,Bronzo!$A$1:$AA$1,0)-1)=TRUE),0,OFFSET(Bronzo!$A$1,MATCH(J1037,Bronzo!$A:$A,0)-1,MATCH(K1037,Bronzo!$A$1:$AA$1,0)-1))</f>
        <v>0</v>
      </c>
      <c r="V1037" s="205">
        <f t="shared" ca="1" si="300"/>
        <v>0</v>
      </c>
      <c r="W1037" s="204"/>
      <c r="X1037" s="205">
        <v>0</v>
      </c>
      <c r="Y1037" s="206">
        <f t="shared" ca="1" si="301"/>
        <v>0</v>
      </c>
      <c r="Z1037" s="277">
        <f t="shared" si="302"/>
        <v>0</v>
      </c>
      <c r="AA1037" s="203"/>
      <c r="AB1037" s="203">
        <f t="shared" ca="1" si="303"/>
        <v>0</v>
      </c>
      <c r="AC1037" s="238"/>
      <c r="AI1037" s="367">
        <f t="shared" ca="1" si="310"/>
        <v>46092</v>
      </c>
      <c r="AJ1037" s="367" t="b">
        <f t="shared" si="304"/>
        <v>1</v>
      </c>
      <c r="AK1037" s="370" t="str">
        <f t="shared" si="305"/>
        <v/>
      </c>
      <c r="AN1037">
        <f t="shared" si="306"/>
        <v>0</v>
      </c>
      <c r="AO1037">
        <f t="shared" si="307"/>
        <v>1900</v>
      </c>
      <c r="AV1037">
        <f t="shared" si="308"/>
        <v>0</v>
      </c>
      <c r="AW1037">
        <f t="shared" si="309"/>
        <v>0</v>
      </c>
    </row>
    <row r="1038" spans="4:49" ht="15.75" x14ac:dyDescent="0.25">
      <c r="D1038" s="199"/>
      <c r="E1038" s="200"/>
      <c r="F1038" s="287"/>
      <c r="G1038" s="201"/>
      <c r="H1038" s="219"/>
      <c r="I1038" s="202"/>
      <c r="J1038" s="200"/>
      <c r="K1038" s="200"/>
      <c r="L1038" s="203"/>
      <c r="M1038" s="204">
        <f ca="1">IF(ISERROR(OFFSET(Tabella!$A$1,MATCH(J1038,Tabella!$A:$A,0)-1,MATCH(L1038,Tabella!$A$1:$AC$1,0)-1)=TRUE),0,+OFFSET(Tabella!$A$1,MATCH(J1038,Tabella!$A:$A,0)-1,MATCH(L1038,Tabella!$A$1:$AC$1,0)-1))</f>
        <v>0</v>
      </c>
      <c r="N1038" s="205">
        <f ca="1">IF(ISERROR(OFFSET(Ottone!$A$1,MATCH(J1038,Ottone!$A:$A,0)-1,MATCH(L1038,Ottone!$A$1:$Z$1,0)-1)=TRUE),0,OFFSET(Ottone!$A$1,MATCH(J1038,Ottone!$A:$A,0)-1,MATCH(L1038,Ottone!$A$1:$Z$1,0)-1))*IF(G1038="Ottone",1,0)</f>
        <v>0</v>
      </c>
      <c r="O1038" s="205">
        <f ca="1">IF(ISERROR(OFFSET(Rame!$A$1,MATCH(J1038,Rame!$A:$A,0)-1,MATCH(L1038,Rame!$A$1:$AA$1,0)-1)=TRUE),0,OFFSET(Rame!$A$1,MATCH(J1038,Rame!$A:$A,0)-1,MATCH(L1038,Rame!$A$1:$AA$1,0)-1))*IF(G1038="Rame",1,0)</f>
        <v>0</v>
      </c>
      <c r="P1038" s="205">
        <v>0</v>
      </c>
      <c r="Q1038" s="205">
        <f t="shared" ca="1" si="299"/>
        <v>0</v>
      </c>
      <c r="R1038" s="205">
        <f ca="1">+IF(ISERROR(OFFSET(Tabella!$G$1,MATCH(J1038,Tabella!$G:$G,0)-1,MATCH(K1038,Tabella!$G$1:$FG$1,0)-1)=TRUE),0,OFFSET(Tabella!$G$1,MATCH(J1038,Tabella!$G:$G,0)-1,MATCH(K1038,Tabella!$G$1:$AB$1,0)-1))</f>
        <v>0</v>
      </c>
      <c r="S1038" s="205">
        <f ca="1">IF(ISERROR(OFFSET(Ottone!$F$1,MATCH(J1038,Ottone!$A:$A,0)-1,MATCH(K1038,Ottone!$F$1:$FF$1,0)-1)=TRUE),0,OFFSET(Ottone!$F$1,MATCH(J1038,Ottone!$A:$A,0)-1,MATCH(K1038,Ottone!$F$1:$FF$1,0)-1))*IF(G1038="Ottone",1,0)</f>
        <v>0</v>
      </c>
      <c r="T1038" s="205">
        <f ca="1">IF(ISERROR(OFFSET(Rame!$F$1,MATCH(J1038,Rame!$F:$F,0)-1,MATCH(K1038,Rame!$F$1:$FF$1,0)-1)=TRUE),0,OFFSET(Rame!$F$1,MATCH(J1038,Rame!$F:$F,0)-1,MATCH(K1038,Rame!$F$1:$FF$1,0)-1))*IF(G1038="Rame",1,0)</f>
        <v>0</v>
      </c>
      <c r="U1038" s="205">
        <f ca="1">IF(ISERROR(OFFSET(Bronzo!$A$1,MATCH(J1038,Bronzo!$A:$A,0)-1,MATCH(K1038,Bronzo!$A$1:$AA$1,0)-1)=TRUE),0,OFFSET(Bronzo!$A$1,MATCH(J1038,Bronzo!$A:$A,0)-1,MATCH(K1038,Bronzo!$A$1:$AA$1,0)-1))</f>
        <v>0</v>
      </c>
      <c r="V1038" s="205">
        <f t="shared" ca="1" si="300"/>
        <v>0</v>
      </c>
      <c r="W1038" s="204"/>
      <c r="X1038" s="205">
        <v>0</v>
      </c>
      <c r="Y1038" s="206">
        <f t="shared" ca="1" si="301"/>
        <v>0</v>
      </c>
      <c r="Z1038" s="277">
        <f t="shared" si="302"/>
        <v>0</v>
      </c>
      <c r="AA1038" s="203"/>
      <c r="AB1038" s="203">
        <f t="shared" ca="1" si="303"/>
        <v>0</v>
      </c>
      <c r="AC1038" s="238"/>
      <c r="AI1038" s="367">
        <f t="shared" ca="1" si="310"/>
        <v>46092</v>
      </c>
      <c r="AJ1038" s="367" t="b">
        <f t="shared" si="304"/>
        <v>1</v>
      </c>
      <c r="AK1038" s="370" t="str">
        <f t="shared" si="305"/>
        <v/>
      </c>
      <c r="AN1038">
        <f t="shared" si="306"/>
        <v>0</v>
      </c>
      <c r="AO1038">
        <f t="shared" si="307"/>
        <v>1900</v>
      </c>
      <c r="AV1038">
        <f t="shared" si="308"/>
        <v>0</v>
      </c>
      <c r="AW1038">
        <f t="shared" si="309"/>
        <v>0</v>
      </c>
    </row>
    <row r="1039" spans="4:49" ht="15.75" x14ac:dyDescent="0.25">
      <c r="D1039" s="199"/>
      <c r="E1039" s="200"/>
      <c r="F1039" s="287"/>
      <c r="G1039" s="201"/>
      <c r="H1039" s="219"/>
      <c r="I1039" s="202"/>
      <c r="J1039" s="200"/>
      <c r="K1039" s="200"/>
      <c r="L1039" s="203"/>
      <c r="M1039" s="204">
        <f ca="1">IF(ISERROR(OFFSET(Tabella!$A$1,MATCH(J1039,Tabella!$A:$A,0)-1,MATCH(L1039,Tabella!$A$1:$AC$1,0)-1)=TRUE),0,+OFFSET(Tabella!$A$1,MATCH(J1039,Tabella!$A:$A,0)-1,MATCH(L1039,Tabella!$A$1:$AC$1,0)-1))</f>
        <v>0</v>
      </c>
      <c r="N1039" s="205">
        <f ca="1">IF(ISERROR(OFFSET(Ottone!$A$1,MATCH(J1039,Ottone!$A:$A,0)-1,MATCH(L1039,Ottone!$A$1:$Z$1,0)-1)=TRUE),0,OFFSET(Ottone!$A$1,MATCH(J1039,Ottone!$A:$A,0)-1,MATCH(L1039,Ottone!$A$1:$Z$1,0)-1))*IF(G1039="Ottone",1,0)</f>
        <v>0</v>
      </c>
      <c r="O1039" s="205">
        <f ca="1">IF(ISERROR(OFFSET(Rame!$A$1,MATCH(J1039,Rame!$A:$A,0)-1,MATCH(L1039,Rame!$A$1:$AA$1,0)-1)=TRUE),0,OFFSET(Rame!$A$1,MATCH(J1039,Rame!$A:$A,0)-1,MATCH(L1039,Rame!$A$1:$AA$1,0)-1))*IF(G1039="Rame",1,0)</f>
        <v>0</v>
      </c>
      <c r="P1039" s="205">
        <v>0</v>
      </c>
      <c r="Q1039" s="205">
        <f t="shared" ref="Q1039:Q1102" ca="1" si="311">SUM(M1039:P1039)</f>
        <v>0</v>
      </c>
      <c r="R1039" s="205">
        <f ca="1">+IF(ISERROR(OFFSET(Tabella!$G$1,MATCH(J1039,Tabella!$G:$G,0)-1,MATCH(K1039,Tabella!$G$1:$FG$1,0)-1)=TRUE),0,OFFSET(Tabella!$G$1,MATCH(J1039,Tabella!$G:$G,0)-1,MATCH(K1039,Tabella!$G$1:$AB$1,0)-1))</f>
        <v>0</v>
      </c>
      <c r="S1039" s="205">
        <f ca="1">IF(ISERROR(OFFSET(Ottone!$F$1,MATCH(J1039,Ottone!$A:$A,0)-1,MATCH(K1039,Ottone!$F$1:$FF$1,0)-1)=TRUE),0,OFFSET(Ottone!$F$1,MATCH(J1039,Ottone!$A:$A,0)-1,MATCH(K1039,Ottone!$F$1:$FF$1,0)-1))*IF(G1039="Ottone",1,0)</f>
        <v>0</v>
      </c>
      <c r="T1039" s="205">
        <f ca="1">IF(ISERROR(OFFSET(Rame!$F$1,MATCH(J1039,Rame!$F:$F,0)-1,MATCH(K1039,Rame!$F$1:$FF$1,0)-1)=TRUE),0,OFFSET(Rame!$F$1,MATCH(J1039,Rame!$F:$F,0)-1,MATCH(K1039,Rame!$F$1:$FF$1,0)-1))*IF(G1039="Rame",1,0)</f>
        <v>0</v>
      </c>
      <c r="U1039" s="205">
        <f ca="1">IF(ISERROR(OFFSET(Bronzo!$A$1,MATCH(J1039,Bronzo!$A:$A,0)-1,MATCH(K1039,Bronzo!$A$1:$AA$1,0)-1)=TRUE),0,OFFSET(Bronzo!$A$1,MATCH(J1039,Bronzo!$A:$A,0)-1,MATCH(K1039,Bronzo!$A$1:$AA$1,0)-1))</f>
        <v>0</v>
      </c>
      <c r="V1039" s="205">
        <f t="shared" ref="V1039:V1102" ca="1" si="312">SUM(R1039:U1039)</f>
        <v>0</v>
      </c>
      <c r="W1039" s="204"/>
      <c r="X1039" s="205">
        <v>0</v>
      </c>
      <c r="Y1039" s="206">
        <f t="shared" ref="Y1039:Y1102" ca="1" si="313">+Q1039+V1039+W1039+X1039</f>
        <v>0</v>
      </c>
      <c r="Z1039" s="277">
        <f t="shared" ref="Z1039:Z1102" si="314">+L1039*F1039</f>
        <v>0</v>
      </c>
      <c r="AA1039" s="203"/>
      <c r="AB1039" s="203">
        <f t="shared" ref="AB1039:AB1102" ca="1" si="315">+AA1039-Y1039-H1039</f>
        <v>0</v>
      </c>
      <c r="AC1039" s="238"/>
      <c r="AI1039" s="367">
        <f t="shared" ca="1" si="310"/>
        <v>46092</v>
      </c>
      <c r="AJ1039" s="367" t="b">
        <f t="shared" si="304"/>
        <v>1</v>
      </c>
      <c r="AK1039" s="370" t="str">
        <f t="shared" si="305"/>
        <v/>
      </c>
      <c r="AN1039">
        <f t="shared" si="306"/>
        <v>0</v>
      </c>
      <c r="AO1039">
        <f t="shared" si="307"/>
        <v>1900</v>
      </c>
      <c r="AV1039">
        <f t="shared" si="308"/>
        <v>0</v>
      </c>
      <c r="AW1039">
        <f t="shared" si="309"/>
        <v>0</v>
      </c>
    </row>
    <row r="1040" spans="4:49" ht="15.75" x14ac:dyDescent="0.25">
      <c r="D1040" s="199"/>
      <c r="E1040" s="200"/>
      <c r="F1040" s="287"/>
      <c r="G1040" s="201"/>
      <c r="H1040" s="219"/>
      <c r="I1040" s="202"/>
      <c r="J1040" s="200"/>
      <c r="K1040" s="200"/>
      <c r="L1040" s="203"/>
      <c r="M1040" s="204">
        <f ca="1">IF(ISERROR(OFFSET(Tabella!$A$1,MATCH(J1040,Tabella!$A:$A,0)-1,MATCH(L1040,Tabella!$A$1:$AC$1,0)-1)=TRUE),0,+OFFSET(Tabella!$A$1,MATCH(J1040,Tabella!$A:$A,0)-1,MATCH(L1040,Tabella!$A$1:$AC$1,0)-1))</f>
        <v>0</v>
      </c>
      <c r="N1040" s="205">
        <f ca="1">IF(ISERROR(OFFSET(Ottone!$A$1,MATCH(J1040,Ottone!$A:$A,0)-1,MATCH(L1040,Ottone!$A$1:$Z$1,0)-1)=TRUE),0,OFFSET(Ottone!$A$1,MATCH(J1040,Ottone!$A:$A,0)-1,MATCH(L1040,Ottone!$A$1:$Z$1,0)-1))*IF(G1040="Ottone",1,0)</f>
        <v>0</v>
      </c>
      <c r="O1040" s="205">
        <f ca="1">IF(ISERROR(OFFSET(Rame!$A$1,MATCH(J1040,Rame!$A:$A,0)-1,MATCH(L1040,Rame!$A$1:$AA$1,0)-1)=TRUE),0,OFFSET(Rame!$A$1,MATCH(J1040,Rame!$A:$A,0)-1,MATCH(L1040,Rame!$A$1:$AA$1,0)-1))*IF(G1040="Rame",1,0)</f>
        <v>0</v>
      </c>
      <c r="P1040" s="205">
        <v>0</v>
      </c>
      <c r="Q1040" s="205">
        <f t="shared" ca="1" si="311"/>
        <v>0</v>
      </c>
      <c r="R1040" s="205">
        <f ca="1">+IF(ISERROR(OFFSET(Tabella!$G$1,MATCH(J1040,Tabella!$G:$G,0)-1,MATCH(K1040,Tabella!$G$1:$FG$1,0)-1)=TRUE),0,OFFSET(Tabella!$G$1,MATCH(J1040,Tabella!$G:$G,0)-1,MATCH(K1040,Tabella!$G$1:$AB$1,0)-1))</f>
        <v>0</v>
      </c>
      <c r="S1040" s="205">
        <f ca="1">IF(ISERROR(OFFSET(Ottone!$F$1,MATCH(J1040,Ottone!$A:$A,0)-1,MATCH(K1040,Ottone!$F$1:$FF$1,0)-1)=TRUE),0,OFFSET(Ottone!$F$1,MATCH(J1040,Ottone!$A:$A,0)-1,MATCH(K1040,Ottone!$F$1:$FF$1,0)-1))*IF(G1040="Ottone",1,0)</f>
        <v>0</v>
      </c>
      <c r="T1040" s="205">
        <f ca="1">IF(ISERROR(OFFSET(Rame!$F$1,MATCH(J1040,Rame!$F:$F,0)-1,MATCH(K1040,Rame!$F$1:$FF$1,0)-1)=TRUE),0,OFFSET(Rame!$F$1,MATCH(J1040,Rame!$F:$F,0)-1,MATCH(K1040,Rame!$F$1:$FF$1,0)-1))*IF(G1040="Rame",1,0)</f>
        <v>0</v>
      </c>
      <c r="U1040" s="205">
        <f ca="1">IF(ISERROR(OFFSET(Bronzo!$A$1,MATCH(J1040,Bronzo!$A:$A,0)-1,MATCH(K1040,Bronzo!$A$1:$AA$1,0)-1)=TRUE),0,OFFSET(Bronzo!$A$1,MATCH(J1040,Bronzo!$A:$A,0)-1,MATCH(K1040,Bronzo!$A$1:$AA$1,0)-1))</f>
        <v>0</v>
      </c>
      <c r="V1040" s="205">
        <f t="shared" ca="1" si="312"/>
        <v>0</v>
      </c>
      <c r="W1040" s="204"/>
      <c r="X1040" s="205">
        <v>0</v>
      </c>
      <c r="Y1040" s="206">
        <f t="shared" ca="1" si="313"/>
        <v>0</v>
      </c>
      <c r="Z1040" s="277">
        <f t="shared" si="314"/>
        <v>0</v>
      </c>
      <c r="AA1040" s="203"/>
      <c r="AB1040" s="203">
        <f t="shared" ca="1" si="315"/>
        <v>0</v>
      </c>
      <c r="AC1040" s="238"/>
      <c r="AI1040" s="367">
        <f t="shared" ca="1" si="310"/>
        <v>46092</v>
      </c>
      <c r="AJ1040" s="367" t="b">
        <f t="shared" si="304"/>
        <v>1</v>
      </c>
      <c r="AK1040" s="370" t="str">
        <f t="shared" si="305"/>
        <v/>
      </c>
      <c r="AN1040">
        <f t="shared" si="306"/>
        <v>0</v>
      </c>
      <c r="AO1040">
        <f t="shared" si="307"/>
        <v>1900</v>
      </c>
      <c r="AV1040">
        <f t="shared" si="308"/>
        <v>0</v>
      </c>
      <c r="AW1040">
        <f t="shared" si="309"/>
        <v>0</v>
      </c>
    </row>
    <row r="1041" spans="4:49" ht="15.75" x14ac:dyDescent="0.25">
      <c r="D1041" s="199"/>
      <c r="E1041" s="200"/>
      <c r="F1041" s="287"/>
      <c r="G1041" s="201"/>
      <c r="H1041" s="219"/>
      <c r="I1041" s="202"/>
      <c r="J1041" s="200"/>
      <c r="K1041" s="200"/>
      <c r="L1041" s="203"/>
      <c r="M1041" s="204">
        <f ca="1">IF(ISERROR(OFFSET(Tabella!$A$1,MATCH(J1041,Tabella!$A:$A,0)-1,MATCH(L1041,Tabella!$A$1:$AC$1,0)-1)=TRUE),0,+OFFSET(Tabella!$A$1,MATCH(J1041,Tabella!$A:$A,0)-1,MATCH(L1041,Tabella!$A$1:$AC$1,0)-1))</f>
        <v>0</v>
      </c>
      <c r="N1041" s="205">
        <f ca="1">IF(ISERROR(OFFSET(Ottone!$A$1,MATCH(J1041,Ottone!$A:$A,0)-1,MATCH(L1041,Ottone!$A$1:$Z$1,0)-1)=TRUE),0,OFFSET(Ottone!$A$1,MATCH(J1041,Ottone!$A:$A,0)-1,MATCH(L1041,Ottone!$A$1:$Z$1,0)-1))*IF(G1041="Ottone",1,0)</f>
        <v>0</v>
      </c>
      <c r="O1041" s="205">
        <f ca="1">IF(ISERROR(OFFSET(Rame!$A$1,MATCH(J1041,Rame!$A:$A,0)-1,MATCH(L1041,Rame!$A$1:$AA$1,0)-1)=TRUE),0,OFFSET(Rame!$A$1,MATCH(J1041,Rame!$A:$A,0)-1,MATCH(L1041,Rame!$A$1:$AA$1,0)-1))*IF(G1041="Rame",1,0)</f>
        <v>0</v>
      </c>
      <c r="P1041" s="205">
        <v>0</v>
      </c>
      <c r="Q1041" s="205">
        <f t="shared" ca="1" si="311"/>
        <v>0</v>
      </c>
      <c r="R1041" s="205">
        <f ca="1">+IF(ISERROR(OFFSET(Tabella!$G$1,MATCH(J1041,Tabella!$G:$G,0)-1,MATCH(K1041,Tabella!$G$1:$FG$1,0)-1)=TRUE),0,OFFSET(Tabella!$G$1,MATCH(J1041,Tabella!$G:$G,0)-1,MATCH(K1041,Tabella!$G$1:$AB$1,0)-1))</f>
        <v>0</v>
      </c>
      <c r="S1041" s="205">
        <f ca="1">IF(ISERROR(OFFSET(Ottone!$F$1,MATCH(J1041,Ottone!$A:$A,0)-1,MATCH(K1041,Ottone!$F$1:$FF$1,0)-1)=TRUE),0,OFFSET(Ottone!$F$1,MATCH(J1041,Ottone!$A:$A,0)-1,MATCH(K1041,Ottone!$F$1:$FF$1,0)-1))*IF(G1041="Ottone",1,0)</f>
        <v>0</v>
      </c>
      <c r="T1041" s="205">
        <f ca="1">IF(ISERROR(OFFSET(Rame!$F$1,MATCH(J1041,Rame!$F:$F,0)-1,MATCH(K1041,Rame!$F$1:$FF$1,0)-1)=TRUE),0,OFFSET(Rame!$F$1,MATCH(J1041,Rame!$F:$F,0)-1,MATCH(K1041,Rame!$F$1:$FF$1,0)-1))*IF(G1041="Rame",1,0)</f>
        <v>0</v>
      </c>
      <c r="U1041" s="205">
        <f ca="1">IF(ISERROR(OFFSET(Bronzo!$A$1,MATCH(J1041,Bronzo!$A:$A,0)-1,MATCH(K1041,Bronzo!$A$1:$AA$1,0)-1)=TRUE),0,OFFSET(Bronzo!$A$1,MATCH(J1041,Bronzo!$A:$A,0)-1,MATCH(K1041,Bronzo!$A$1:$AA$1,0)-1))</f>
        <v>0</v>
      </c>
      <c r="V1041" s="205">
        <f t="shared" ca="1" si="312"/>
        <v>0</v>
      </c>
      <c r="W1041" s="204"/>
      <c r="X1041" s="205">
        <v>0</v>
      </c>
      <c r="Y1041" s="206">
        <f t="shared" ca="1" si="313"/>
        <v>0</v>
      </c>
      <c r="Z1041" s="277">
        <f t="shared" si="314"/>
        <v>0</v>
      </c>
      <c r="AA1041" s="203"/>
      <c r="AB1041" s="203">
        <f t="shared" ca="1" si="315"/>
        <v>0</v>
      </c>
      <c r="AC1041" s="238"/>
      <c r="AI1041" s="367">
        <f t="shared" ca="1" si="310"/>
        <v>46092</v>
      </c>
      <c r="AJ1041" s="367" t="b">
        <f t="shared" si="304"/>
        <v>1</v>
      </c>
      <c r="AK1041" s="370" t="str">
        <f t="shared" si="305"/>
        <v/>
      </c>
      <c r="AN1041">
        <f t="shared" si="306"/>
        <v>0</v>
      </c>
      <c r="AO1041">
        <f t="shared" si="307"/>
        <v>1900</v>
      </c>
      <c r="AV1041">
        <f t="shared" si="308"/>
        <v>0</v>
      </c>
      <c r="AW1041">
        <f t="shared" si="309"/>
        <v>0</v>
      </c>
    </row>
    <row r="1042" spans="4:49" ht="15.75" x14ac:dyDescent="0.25">
      <c r="D1042" s="199"/>
      <c r="E1042" s="200"/>
      <c r="F1042" s="287"/>
      <c r="G1042" s="201"/>
      <c r="H1042" s="219"/>
      <c r="I1042" s="202"/>
      <c r="J1042" s="200"/>
      <c r="K1042" s="200"/>
      <c r="L1042" s="203"/>
      <c r="M1042" s="204">
        <f ca="1">IF(ISERROR(OFFSET(Tabella!$A$1,MATCH(J1042,Tabella!$A:$A,0)-1,MATCH(L1042,Tabella!$A$1:$AC$1,0)-1)=TRUE),0,+OFFSET(Tabella!$A$1,MATCH(J1042,Tabella!$A:$A,0)-1,MATCH(L1042,Tabella!$A$1:$AC$1,0)-1))</f>
        <v>0</v>
      </c>
      <c r="N1042" s="205">
        <f ca="1">IF(ISERROR(OFFSET(Ottone!$A$1,MATCH(J1042,Ottone!$A:$A,0)-1,MATCH(L1042,Ottone!$A$1:$Z$1,0)-1)=TRUE),0,OFFSET(Ottone!$A$1,MATCH(J1042,Ottone!$A:$A,0)-1,MATCH(L1042,Ottone!$A$1:$Z$1,0)-1))*IF(G1042="Ottone",1,0)</f>
        <v>0</v>
      </c>
      <c r="O1042" s="205">
        <f ca="1">IF(ISERROR(OFFSET(Rame!$A$1,MATCH(J1042,Rame!$A:$A,0)-1,MATCH(L1042,Rame!$A$1:$AA$1,0)-1)=TRUE),0,OFFSET(Rame!$A$1,MATCH(J1042,Rame!$A:$A,0)-1,MATCH(L1042,Rame!$A$1:$AA$1,0)-1))*IF(G1042="Rame",1,0)</f>
        <v>0</v>
      </c>
      <c r="P1042" s="205">
        <v>0</v>
      </c>
      <c r="Q1042" s="205">
        <f t="shared" ca="1" si="311"/>
        <v>0</v>
      </c>
      <c r="R1042" s="205">
        <f ca="1">+IF(ISERROR(OFFSET(Tabella!$G$1,MATCH(J1042,Tabella!$G:$G,0)-1,MATCH(K1042,Tabella!$G$1:$FG$1,0)-1)=TRUE),0,OFFSET(Tabella!$G$1,MATCH(J1042,Tabella!$G:$G,0)-1,MATCH(K1042,Tabella!$G$1:$AB$1,0)-1))</f>
        <v>0</v>
      </c>
      <c r="S1042" s="205">
        <f ca="1">IF(ISERROR(OFFSET(Ottone!$F$1,MATCH(J1042,Ottone!$A:$A,0)-1,MATCH(K1042,Ottone!$F$1:$FF$1,0)-1)=TRUE),0,OFFSET(Ottone!$F$1,MATCH(J1042,Ottone!$A:$A,0)-1,MATCH(K1042,Ottone!$F$1:$FF$1,0)-1))*IF(G1042="Ottone",1,0)</f>
        <v>0</v>
      </c>
      <c r="T1042" s="205">
        <f ca="1">IF(ISERROR(OFFSET(Rame!$F$1,MATCH(J1042,Rame!$F:$F,0)-1,MATCH(K1042,Rame!$F$1:$FF$1,0)-1)=TRUE),0,OFFSET(Rame!$F$1,MATCH(J1042,Rame!$F:$F,0)-1,MATCH(K1042,Rame!$F$1:$FF$1,0)-1))*IF(G1042="Rame",1,0)</f>
        <v>0</v>
      </c>
      <c r="U1042" s="205">
        <f ca="1">IF(ISERROR(OFFSET(Bronzo!$A$1,MATCH(J1042,Bronzo!$A:$A,0)-1,MATCH(K1042,Bronzo!$A$1:$AA$1,0)-1)=TRUE),0,OFFSET(Bronzo!$A$1,MATCH(J1042,Bronzo!$A:$A,0)-1,MATCH(K1042,Bronzo!$A$1:$AA$1,0)-1))</f>
        <v>0</v>
      </c>
      <c r="V1042" s="205">
        <f t="shared" ca="1" si="312"/>
        <v>0</v>
      </c>
      <c r="W1042" s="204"/>
      <c r="X1042" s="205">
        <v>0</v>
      </c>
      <c r="Y1042" s="206">
        <f t="shared" ca="1" si="313"/>
        <v>0</v>
      </c>
      <c r="Z1042" s="277">
        <f t="shared" si="314"/>
        <v>0</v>
      </c>
      <c r="AA1042" s="203"/>
      <c r="AB1042" s="203">
        <f t="shared" ca="1" si="315"/>
        <v>0</v>
      </c>
      <c r="AC1042" s="238"/>
      <c r="AI1042" s="367">
        <f t="shared" ca="1" si="310"/>
        <v>46092</v>
      </c>
      <c r="AJ1042" s="367" t="b">
        <f t="shared" si="304"/>
        <v>1</v>
      </c>
      <c r="AK1042" s="370" t="str">
        <f t="shared" si="305"/>
        <v/>
      </c>
      <c r="AN1042">
        <f t="shared" si="306"/>
        <v>0</v>
      </c>
      <c r="AO1042">
        <f t="shared" si="307"/>
        <v>1900</v>
      </c>
      <c r="AV1042">
        <f t="shared" si="308"/>
        <v>0</v>
      </c>
      <c r="AW1042">
        <f t="shared" si="309"/>
        <v>0</v>
      </c>
    </row>
    <row r="1043" spans="4:49" ht="15.75" x14ac:dyDescent="0.25">
      <c r="D1043" s="199"/>
      <c r="E1043" s="200"/>
      <c r="F1043" s="287"/>
      <c r="G1043" s="201"/>
      <c r="H1043" s="219"/>
      <c r="I1043" s="202"/>
      <c r="J1043" s="200"/>
      <c r="K1043" s="200"/>
      <c r="L1043" s="203"/>
      <c r="M1043" s="204">
        <f ca="1">IF(ISERROR(OFFSET(Tabella!$A$1,MATCH(J1043,Tabella!$A:$A,0)-1,MATCH(L1043,Tabella!$A$1:$AC$1,0)-1)=TRUE),0,+OFFSET(Tabella!$A$1,MATCH(J1043,Tabella!$A:$A,0)-1,MATCH(L1043,Tabella!$A$1:$AC$1,0)-1))</f>
        <v>0</v>
      </c>
      <c r="N1043" s="205">
        <f ca="1">IF(ISERROR(OFFSET(Ottone!$A$1,MATCH(J1043,Ottone!$A:$A,0)-1,MATCH(L1043,Ottone!$A$1:$Z$1,0)-1)=TRUE),0,OFFSET(Ottone!$A$1,MATCH(J1043,Ottone!$A:$A,0)-1,MATCH(L1043,Ottone!$A$1:$Z$1,0)-1))*IF(G1043="Ottone",1,0)</f>
        <v>0</v>
      </c>
      <c r="O1043" s="205">
        <f ca="1">IF(ISERROR(OFFSET(Rame!$A$1,MATCH(J1043,Rame!$A:$A,0)-1,MATCH(L1043,Rame!$A$1:$AA$1,0)-1)=TRUE),0,OFFSET(Rame!$A$1,MATCH(J1043,Rame!$A:$A,0)-1,MATCH(L1043,Rame!$A$1:$AA$1,0)-1))*IF(G1043="Rame",1,0)</f>
        <v>0</v>
      </c>
      <c r="P1043" s="205">
        <v>0</v>
      </c>
      <c r="Q1043" s="205">
        <f t="shared" ca="1" si="311"/>
        <v>0</v>
      </c>
      <c r="R1043" s="205">
        <f ca="1">+IF(ISERROR(OFFSET(Tabella!$G$1,MATCH(J1043,Tabella!$G:$G,0)-1,MATCH(K1043,Tabella!$G$1:$FG$1,0)-1)=TRUE),0,OFFSET(Tabella!$G$1,MATCH(J1043,Tabella!$G:$G,0)-1,MATCH(K1043,Tabella!$G$1:$AB$1,0)-1))</f>
        <v>0</v>
      </c>
      <c r="S1043" s="205">
        <f ca="1">IF(ISERROR(OFFSET(Ottone!$F$1,MATCH(J1043,Ottone!$A:$A,0)-1,MATCH(K1043,Ottone!$F$1:$FF$1,0)-1)=TRUE),0,OFFSET(Ottone!$F$1,MATCH(J1043,Ottone!$A:$A,0)-1,MATCH(K1043,Ottone!$F$1:$FF$1,0)-1))*IF(G1043="Ottone",1,0)</f>
        <v>0</v>
      </c>
      <c r="T1043" s="205">
        <f ca="1">IF(ISERROR(OFFSET(Rame!$F$1,MATCH(J1043,Rame!$F:$F,0)-1,MATCH(K1043,Rame!$F$1:$FF$1,0)-1)=TRUE),0,OFFSET(Rame!$F$1,MATCH(J1043,Rame!$F:$F,0)-1,MATCH(K1043,Rame!$F$1:$FF$1,0)-1))*IF(G1043="Rame",1,0)</f>
        <v>0</v>
      </c>
      <c r="U1043" s="205">
        <f ca="1">IF(ISERROR(OFFSET(Bronzo!$A$1,MATCH(J1043,Bronzo!$A:$A,0)-1,MATCH(K1043,Bronzo!$A$1:$AA$1,0)-1)=TRUE),0,OFFSET(Bronzo!$A$1,MATCH(J1043,Bronzo!$A:$A,0)-1,MATCH(K1043,Bronzo!$A$1:$AA$1,0)-1))</f>
        <v>0</v>
      </c>
      <c r="V1043" s="205">
        <f t="shared" ca="1" si="312"/>
        <v>0</v>
      </c>
      <c r="W1043" s="204"/>
      <c r="X1043" s="205">
        <v>0</v>
      </c>
      <c r="Y1043" s="206">
        <f t="shared" ca="1" si="313"/>
        <v>0</v>
      </c>
      <c r="Z1043" s="277">
        <f t="shared" si="314"/>
        <v>0</v>
      </c>
      <c r="AA1043" s="203"/>
      <c r="AB1043" s="203">
        <f t="shared" ca="1" si="315"/>
        <v>0</v>
      </c>
      <c r="AC1043" s="238"/>
      <c r="AI1043" s="367">
        <f t="shared" ca="1" si="310"/>
        <v>46092</v>
      </c>
      <c r="AJ1043" s="367" t="b">
        <f t="shared" si="304"/>
        <v>1</v>
      </c>
      <c r="AK1043" s="370" t="str">
        <f t="shared" si="305"/>
        <v/>
      </c>
      <c r="AN1043">
        <f t="shared" si="306"/>
        <v>0</v>
      </c>
      <c r="AO1043">
        <f t="shared" si="307"/>
        <v>1900</v>
      </c>
      <c r="AV1043">
        <f t="shared" si="308"/>
        <v>0</v>
      </c>
      <c r="AW1043">
        <f t="shared" si="309"/>
        <v>0</v>
      </c>
    </row>
    <row r="1044" spans="4:49" ht="15.75" x14ac:dyDescent="0.25">
      <c r="D1044" s="199"/>
      <c r="E1044" s="200"/>
      <c r="F1044" s="287"/>
      <c r="G1044" s="201"/>
      <c r="H1044" s="219"/>
      <c r="I1044" s="202"/>
      <c r="J1044" s="200"/>
      <c r="K1044" s="200"/>
      <c r="L1044" s="203"/>
      <c r="M1044" s="204">
        <f ca="1">IF(ISERROR(OFFSET(Tabella!$A$1,MATCH(J1044,Tabella!$A:$A,0)-1,MATCH(L1044,Tabella!$A$1:$AC$1,0)-1)=TRUE),0,+OFFSET(Tabella!$A$1,MATCH(J1044,Tabella!$A:$A,0)-1,MATCH(L1044,Tabella!$A$1:$AC$1,0)-1))</f>
        <v>0</v>
      </c>
      <c r="N1044" s="205">
        <f ca="1">IF(ISERROR(OFFSET(Ottone!$A$1,MATCH(J1044,Ottone!$A:$A,0)-1,MATCH(L1044,Ottone!$A$1:$Z$1,0)-1)=TRUE),0,OFFSET(Ottone!$A$1,MATCH(J1044,Ottone!$A:$A,0)-1,MATCH(L1044,Ottone!$A$1:$Z$1,0)-1))*IF(G1044="Ottone",1,0)</f>
        <v>0</v>
      </c>
      <c r="O1044" s="205">
        <f ca="1">IF(ISERROR(OFFSET(Rame!$A$1,MATCH(J1044,Rame!$A:$A,0)-1,MATCH(L1044,Rame!$A$1:$AA$1,0)-1)=TRUE),0,OFFSET(Rame!$A$1,MATCH(J1044,Rame!$A:$A,0)-1,MATCH(L1044,Rame!$A$1:$AA$1,0)-1))*IF(G1044="Rame",1,0)</f>
        <v>0</v>
      </c>
      <c r="P1044" s="205">
        <v>0</v>
      </c>
      <c r="Q1044" s="205">
        <f t="shared" ca="1" si="311"/>
        <v>0</v>
      </c>
      <c r="R1044" s="205">
        <f ca="1">+IF(ISERROR(OFFSET(Tabella!$G$1,MATCH(J1044,Tabella!$G:$G,0)-1,MATCH(K1044,Tabella!$G$1:$FG$1,0)-1)=TRUE),0,OFFSET(Tabella!$G$1,MATCH(J1044,Tabella!$G:$G,0)-1,MATCH(K1044,Tabella!$G$1:$AB$1,0)-1))</f>
        <v>0</v>
      </c>
      <c r="S1044" s="205">
        <f ca="1">IF(ISERROR(OFFSET(Ottone!$F$1,MATCH(J1044,Ottone!$A:$A,0)-1,MATCH(K1044,Ottone!$F$1:$FF$1,0)-1)=TRUE),0,OFFSET(Ottone!$F$1,MATCH(J1044,Ottone!$A:$A,0)-1,MATCH(K1044,Ottone!$F$1:$FF$1,0)-1))*IF(G1044="Ottone",1,0)</f>
        <v>0</v>
      </c>
      <c r="T1044" s="205">
        <f ca="1">IF(ISERROR(OFFSET(Rame!$F$1,MATCH(J1044,Rame!$F:$F,0)-1,MATCH(K1044,Rame!$F$1:$FF$1,0)-1)=TRUE),0,OFFSET(Rame!$F$1,MATCH(J1044,Rame!$F:$F,0)-1,MATCH(K1044,Rame!$F$1:$FF$1,0)-1))*IF(G1044="Rame",1,0)</f>
        <v>0</v>
      </c>
      <c r="U1044" s="205">
        <f ca="1">IF(ISERROR(OFFSET(Bronzo!$A$1,MATCH(J1044,Bronzo!$A:$A,0)-1,MATCH(K1044,Bronzo!$A$1:$AA$1,0)-1)=TRUE),0,OFFSET(Bronzo!$A$1,MATCH(J1044,Bronzo!$A:$A,0)-1,MATCH(K1044,Bronzo!$A$1:$AA$1,0)-1))</f>
        <v>0</v>
      </c>
      <c r="V1044" s="205">
        <f t="shared" ca="1" si="312"/>
        <v>0</v>
      </c>
      <c r="W1044" s="204"/>
      <c r="X1044" s="205">
        <v>0</v>
      </c>
      <c r="Y1044" s="206">
        <f t="shared" ca="1" si="313"/>
        <v>0</v>
      </c>
      <c r="Z1044" s="277">
        <f t="shared" si="314"/>
        <v>0</v>
      </c>
      <c r="AA1044" s="203"/>
      <c r="AB1044" s="203">
        <f t="shared" ca="1" si="315"/>
        <v>0</v>
      </c>
      <c r="AC1044" s="238"/>
      <c r="AI1044" s="367">
        <f t="shared" ca="1" si="310"/>
        <v>46092</v>
      </c>
      <c r="AJ1044" s="367" t="b">
        <f t="shared" si="304"/>
        <v>1</v>
      </c>
      <c r="AK1044" s="370" t="str">
        <f t="shared" si="305"/>
        <v/>
      </c>
      <c r="AN1044">
        <f t="shared" si="306"/>
        <v>0</v>
      </c>
      <c r="AO1044">
        <f t="shared" si="307"/>
        <v>1900</v>
      </c>
      <c r="AV1044">
        <f t="shared" si="308"/>
        <v>0</v>
      </c>
      <c r="AW1044">
        <f t="shared" si="309"/>
        <v>0</v>
      </c>
    </row>
    <row r="1045" spans="4:49" ht="15.75" x14ac:dyDescent="0.25">
      <c r="D1045" s="199"/>
      <c r="E1045" s="200"/>
      <c r="F1045" s="287"/>
      <c r="G1045" s="201"/>
      <c r="H1045" s="219"/>
      <c r="I1045" s="202"/>
      <c r="J1045" s="200"/>
      <c r="K1045" s="200"/>
      <c r="L1045" s="203"/>
      <c r="M1045" s="204">
        <f ca="1">IF(ISERROR(OFFSET(Tabella!$A$1,MATCH(J1045,Tabella!$A:$A,0)-1,MATCH(L1045,Tabella!$A$1:$AC$1,0)-1)=TRUE),0,+OFFSET(Tabella!$A$1,MATCH(J1045,Tabella!$A:$A,0)-1,MATCH(L1045,Tabella!$A$1:$AC$1,0)-1))</f>
        <v>0</v>
      </c>
      <c r="N1045" s="205">
        <f ca="1">IF(ISERROR(OFFSET(Ottone!$A$1,MATCH(J1045,Ottone!$A:$A,0)-1,MATCH(L1045,Ottone!$A$1:$Z$1,0)-1)=TRUE),0,OFFSET(Ottone!$A$1,MATCH(J1045,Ottone!$A:$A,0)-1,MATCH(L1045,Ottone!$A$1:$Z$1,0)-1))*IF(G1045="Ottone",1,0)</f>
        <v>0</v>
      </c>
      <c r="O1045" s="205">
        <f ca="1">IF(ISERROR(OFFSET(Rame!$A$1,MATCH(J1045,Rame!$A:$A,0)-1,MATCH(L1045,Rame!$A$1:$AA$1,0)-1)=TRUE),0,OFFSET(Rame!$A$1,MATCH(J1045,Rame!$A:$A,0)-1,MATCH(L1045,Rame!$A$1:$AA$1,0)-1))*IF(G1045="Rame",1,0)</f>
        <v>0</v>
      </c>
      <c r="P1045" s="205">
        <v>0</v>
      </c>
      <c r="Q1045" s="205">
        <f t="shared" ca="1" si="311"/>
        <v>0</v>
      </c>
      <c r="R1045" s="205">
        <f ca="1">+IF(ISERROR(OFFSET(Tabella!$G$1,MATCH(J1045,Tabella!$G:$G,0)-1,MATCH(K1045,Tabella!$G$1:$FG$1,0)-1)=TRUE),0,OFFSET(Tabella!$G$1,MATCH(J1045,Tabella!$G:$G,0)-1,MATCH(K1045,Tabella!$G$1:$AB$1,0)-1))</f>
        <v>0</v>
      </c>
      <c r="S1045" s="205">
        <f ca="1">IF(ISERROR(OFFSET(Ottone!$F$1,MATCH(J1045,Ottone!$A:$A,0)-1,MATCH(K1045,Ottone!$F$1:$FF$1,0)-1)=TRUE),0,OFFSET(Ottone!$F$1,MATCH(J1045,Ottone!$A:$A,0)-1,MATCH(K1045,Ottone!$F$1:$FF$1,0)-1))*IF(G1045="Ottone",1,0)</f>
        <v>0</v>
      </c>
      <c r="T1045" s="205">
        <f ca="1">IF(ISERROR(OFFSET(Rame!$F$1,MATCH(J1045,Rame!$F:$F,0)-1,MATCH(K1045,Rame!$F$1:$FF$1,0)-1)=TRUE),0,OFFSET(Rame!$F$1,MATCH(J1045,Rame!$F:$F,0)-1,MATCH(K1045,Rame!$F$1:$FF$1,0)-1))*IF(G1045="Rame",1,0)</f>
        <v>0</v>
      </c>
      <c r="U1045" s="205">
        <f ca="1">IF(ISERROR(OFFSET(Bronzo!$A$1,MATCH(J1045,Bronzo!$A:$A,0)-1,MATCH(K1045,Bronzo!$A$1:$AA$1,0)-1)=TRUE),0,OFFSET(Bronzo!$A$1,MATCH(J1045,Bronzo!$A:$A,0)-1,MATCH(K1045,Bronzo!$A$1:$AA$1,0)-1))</f>
        <v>0</v>
      </c>
      <c r="V1045" s="205">
        <f t="shared" ca="1" si="312"/>
        <v>0</v>
      </c>
      <c r="W1045" s="204"/>
      <c r="X1045" s="205">
        <v>0</v>
      </c>
      <c r="Y1045" s="206">
        <f t="shared" ca="1" si="313"/>
        <v>0</v>
      </c>
      <c r="Z1045" s="277">
        <f t="shared" si="314"/>
        <v>0</v>
      </c>
      <c r="AA1045" s="203"/>
      <c r="AB1045" s="203">
        <f t="shared" ca="1" si="315"/>
        <v>0</v>
      </c>
      <c r="AC1045" s="238"/>
      <c r="AI1045" s="367">
        <f t="shared" ca="1" si="310"/>
        <v>46092</v>
      </c>
      <c r="AJ1045" s="367" t="b">
        <f t="shared" si="304"/>
        <v>1</v>
      </c>
      <c r="AK1045" s="370" t="str">
        <f t="shared" si="305"/>
        <v/>
      </c>
      <c r="AN1045">
        <f t="shared" si="306"/>
        <v>0</v>
      </c>
      <c r="AO1045">
        <f t="shared" si="307"/>
        <v>1900</v>
      </c>
      <c r="AV1045">
        <f t="shared" si="308"/>
        <v>0</v>
      </c>
      <c r="AW1045">
        <f t="shared" si="309"/>
        <v>0</v>
      </c>
    </row>
    <row r="1046" spans="4:49" ht="15.75" x14ac:dyDescent="0.25">
      <c r="D1046" s="199"/>
      <c r="E1046" s="200"/>
      <c r="F1046" s="287"/>
      <c r="G1046" s="201"/>
      <c r="H1046" s="219"/>
      <c r="I1046" s="202"/>
      <c r="J1046" s="200"/>
      <c r="K1046" s="200"/>
      <c r="L1046" s="203"/>
      <c r="M1046" s="204">
        <f ca="1">IF(ISERROR(OFFSET(Tabella!$A$1,MATCH(J1046,Tabella!$A:$A,0)-1,MATCH(L1046,Tabella!$A$1:$AC$1,0)-1)=TRUE),0,+OFFSET(Tabella!$A$1,MATCH(J1046,Tabella!$A:$A,0)-1,MATCH(L1046,Tabella!$A$1:$AC$1,0)-1))</f>
        <v>0</v>
      </c>
      <c r="N1046" s="205">
        <f ca="1">IF(ISERROR(OFFSET(Ottone!$A$1,MATCH(J1046,Ottone!$A:$A,0)-1,MATCH(L1046,Ottone!$A$1:$Z$1,0)-1)=TRUE),0,OFFSET(Ottone!$A$1,MATCH(J1046,Ottone!$A:$A,0)-1,MATCH(L1046,Ottone!$A$1:$Z$1,0)-1))*IF(G1046="Ottone",1,0)</f>
        <v>0</v>
      </c>
      <c r="O1046" s="205">
        <f ca="1">IF(ISERROR(OFFSET(Rame!$A$1,MATCH(J1046,Rame!$A:$A,0)-1,MATCH(L1046,Rame!$A$1:$AA$1,0)-1)=TRUE),0,OFFSET(Rame!$A$1,MATCH(J1046,Rame!$A:$A,0)-1,MATCH(L1046,Rame!$A$1:$AA$1,0)-1))*IF(G1046="Rame",1,0)</f>
        <v>0</v>
      </c>
      <c r="P1046" s="205">
        <v>0</v>
      </c>
      <c r="Q1046" s="205">
        <f t="shared" ca="1" si="311"/>
        <v>0</v>
      </c>
      <c r="R1046" s="205">
        <f ca="1">+IF(ISERROR(OFFSET(Tabella!$G$1,MATCH(J1046,Tabella!$G:$G,0)-1,MATCH(K1046,Tabella!$G$1:$FG$1,0)-1)=TRUE),0,OFFSET(Tabella!$G$1,MATCH(J1046,Tabella!$G:$G,0)-1,MATCH(K1046,Tabella!$G$1:$AB$1,0)-1))</f>
        <v>0</v>
      </c>
      <c r="S1046" s="205">
        <f ca="1">IF(ISERROR(OFFSET(Ottone!$F$1,MATCH(J1046,Ottone!$A:$A,0)-1,MATCH(K1046,Ottone!$F$1:$FF$1,0)-1)=TRUE),0,OFFSET(Ottone!$F$1,MATCH(J1046,Ottone!$A:$A,0)-1,MATCH(K1046,Ottone!$F$1:$FF$1,0)-1))*IF(G1046="Ottone",1,0)</f>
        <v>0</v>
      </c>
      <c r="T1046" s="205">
        <f ca="1">IF(ISERROR(OFFSET(Rame!$F$1,MATCH(J1046,Rame!$F:$F,0)-1,MATCH(K1046,Rame!$F$1:$FF$1,0)-1)=TRUE),0,OFFSET(Rame!$F$1,MATCH(J1046,Rame!$F:$F,0)-1,MATCH(K1046,Rame!$F$1:$FF$1,0)-1))*IF(G1046="Rame",1,0)</f>
        <v>0</v>
      </c>
      <c r="U1046" s="205">
        <f ca="1">IF(ISERROR(OFFSET(Bronzo!$A$1,MATCH(J1046,Bronzo!$A:$A,0)-1,MATCH(K1046,Bronzo!$A$1:$AA$1,0)-1)=TRUE),0,OFFSET(Bronzo!$A$1,MATCH(J1046,Bronzo!$A:$A,0)-1,MATCH(K1046,Bronzo!$A$1:$AA$1,0)-1))</f>
        <v>0</v>
      </c>
      <c r="V1046" s="205">
        <f t="shared" ca="1" si="312"/>
        <v>0</v>
      </c>
      <c r="W1046" s="204"/>
      <c r="X1046" s="205">
        <v>0</v>
      </c>
      <c r="Y1046" s="206">
        <f t="shared" ca="1" si="313"/>
        <v>0</v>
      </c>
      <c r="Z1046" s="277">
        <f t="shared" si="314"/>
        <v>0</v>
      </c>
      <c r="AA1046" s="203"/>
      <c r="AB1046" s="203">
        <f t="shared" ca="1" si="315"/>
        <v>0</v>
      </c>
      <c r="AC1046" s="238"/>
      <c r="AI1046" s="367">
        <f t="shared" ca="1" si="310"/>
        <v>46092</v>
      </c>
      <c r="AJ1046" s="367" t="b">
        <f t="shared" si="304"/>
        <v>1</v>
      </c>
      <c r="AK1046" s="370" t="str">
        <f t="shared" si="305"/>
        <v/>
      </c>
      <c r="AN1046">
        <f t="shared" si="306"/>
        <v>0</v>
      </c>
      <c r="AO1046">
        <f t="shared" si="307"/>
        <v>1900</v>
      </c>
      <c r="AV1046">
        <f t="shared" si="308"/>
        <v>0</v>
      </c>
      <c r="AW1046">
        <f t="shared" si="309"/>
        <v>0</v>
      </c>
    </row>
    <row r="1047" spans="4:49" ht="15.75" x14ac:dyDescent="0.25">
      <c r="D1047" s="199"/>
      <c r="E1047" s="200"/>
      <c r="F1047" s="287"/>
      <c r="G1047" s="201"/>
      <c r="H1047" s="219"/>
      <c r="I1047" s="202"/>
      <c r="J1047" s="200"/>
      <c r="K1047" s="200"/>
      <c r="L1047" s="203"/>
      <c r="M1047" s="204">
        <f ca="1">IF(ISERROR(OFFSET(Tabella!$A$1,MATCH(J1047,Tabella!$A:$A,0)-1,MATCH(L1047,Tabella!$A$1:$AC$1,0)-1)=TRUE),0,+OFFSET(Tabella!$A$1,MATCH(J1047,Tabella!$A:$A,0)-1,MATCH(L1047,Tabella!$A$1:$AC$1,0)-1))</f>
        <v>0</v>
      </c>
      <c r="N1047" s="205">
        <f ca="1">IF(ISERROR(OFFSET(Ottone!$A$1,MATCH(J1047,Ottone!$A:$A,0)-1,MATCH(L1047,Ottone!$A$1:$Z$1,0)-1)=TRUE),0,OFFSET(Ottone!$A$1,MATCH(J1047,Ottone!$A:$A,0)-1,MATCH(L1047,Ottone!$A$1:$Z$1,0)-1))*IF(G1047="Ottone",1,0)</f>
        <v>0</v>
      </c>
      <c r="O1047" s="205">
        <f ca="1">IF(ISERROR(OFFSET(Rame!$A$1,MATCH(J1047,Rame!$A:$A,0)-1,MATCH(L1047,Rame!$A$1:$AA$1,0)-1)=TRUE),0,OFFSET(Rame!$A$1,MATCH(J1047,Rame!$A:$A,0)-1,MATCH(L1047,Rame!$A$1:$AA$1,0)-1))*IF(G1047="Rame",1,0)</f>
        <v>0</v>
      </c>
      <c r="P1047" s="205">
        <v>0</v>
      </c>
      <c r="Q1047" s="205">
        <f t="shared" ca="1" si="311"/>
        <v>0</v>
      </c>
      <c r="R1047" s="205">
        <f ca="1">+IF(ISERROR(OFFSET(Tabella!$G$1,MATCH(J1047,Tabella!$G:$G,0)-1,MATCH(K1047,Tabella!$G$1:$FG$1,0)-1)=TRUE),0,OFFSET(Tabella!$G$1,MATCH(J1047,Tabella!$G:$G,0)-1,MATCH(K1047,Tabella!$G$1:$AB$1,0)-1))</f>
        <v>0</v>
      </c>
      <c r="S1047" s="205">
        <f ca="1">IF(ISERROR(OFFSET(Ottone!$F$1,MATCH(J1047,Ottone!$A:$A,0)-1,MATCH(K1047,Ottone!$F$1:$FF$1,0)-1)=TRUE),0,OFFSET(Ottone!$F$1,MATCH(J1047,Ottone!$A:$A,0)-1,MATCH(K1047,Ottone!$F$1:$FF$1,0)-1))*IF(G1047="Ottone",1,0)</f>
        <v>0</v>
      </c>
      <c r="T1047" s="205">
        <f ca="1">IF(ISERROR(OFFSET(Rame!$F$1,MATCH(J1047,Rame!$F:$F,0)-1,MATCH(K1047,Rame!$F$1:$FF$1,0)-1)=TRUE),0,OFFSET(Rame!$F$1,MATCH(J1047,Rame!$F:$F,0)-1,MATCH(K1047,Rame!$F$1:$FF$1,0)-1))*IF(G1047="Rame",1,0)</f>
        <v>0</v>
      </c>
      <c r="U1047" s="205">
        <f ca="1">IF(ISERROR(OFFSET(Bronzo!$A$1,MATCH(J1047,Bronzo!$A:$A,0)-1,MATCH(K1047,Bronzo!$A$1:$AA$1,0)-1)=TRUE),0,OFFSET(Bronzo!$A$1,MATCH(J1047,Bronzo!$A:$A,0)-1,MATCH(K1047,Bronzo!$A$1:$AA$1,0)-1))</f>
        <v>0</v>
      </c>
      <c r="V1047" s="205">
        <f t="shared" ca="1" si="312"/>
        <v>0</v>
      </c>
      <c r="W1047" s="204"/>
      <c r="X1047" s="205">
        <v>0</v>
      </c>
      <c r="Y1047" s="206">
        <f t="shared" ca="1" si="313"/>
        <v>0</v>
      </c>
      <c r="Z1047" s="277">
        <f t="shared" si="314"/>
        <v>0</v>
      </c>
      <c r="AA1047" s="203"/>
      <c r="AB1047" s="203">
        <f t="shared" ca="1" si="315"/>
        <v>0</v>
      </c>
      <c r="AC1047" s="238"/>
      <c r="AI1047" s="367">
        <f t="shared" ca="1" si="310"/>
        <v>46092</v>
      </c>
      <c r="AJ1047" s="367" t="b">
        <f t="shared" si="304"/>
        <v>1</v>
      </c>
      <c r="AK1047" s="370" t="str">
        <f t="shared" si="305"/>
        <v/>
      </c>
      <c r="AN1047">
        <f t="shared" si="306"/>
        <v>0</v>
      </c>
      <c r="AO1047">
        <f t="shared" si="307"/>
        <v>1900</v>
      </c>
      <c r="AV1047">
        <f t="shared" si="308"/>
        <v>0</v>
      </c>
      <c r="AW1047">
        <f t="shared" si="309"/>
        <v>0</v>
      </c>
    </row>
    <row r="1048" spans="4:49" ht="15.75" x14ac:dyDescent="0.25">
      <c r="D1048" s="199"/>
      <c r="E1048" s="200"/>
      <c r="F1048" s="287"/>
      <c r="G1048" s="201"/>
      <c r="H1048" s="219"/>
      <c r="I1048" s="202"/>
      <c r="J1048" s="200"/>
      <c r="K1048" s="200"/>
      <c r="L1048" s="203"/>
      <c r="M1048" s="204">
        <f ca="1">IF(ISERROR(OFFSET(Tabella!$A$1,MATCH(J1048,Tabella!$A:$A,0)-1,MATCH(L1048,Tabella!$A$1:$AC$1,0)-1)=TRUE),0,+OFFSET(Tabella!$A$1,MATCH(J1048,Tabella!$A:$A,0)-1,MATCH(L1048,Tabella!$A$1:$AC$1,0)-1))</f>
        <v>0</v>
      </c>
      <c r="N1048" s="205">
        <f ca="1">IF(ISERROR(OFFSET(Ottone!$A$1,MATCH(J1048,Ottone!$A:$A,0)-1,MATCH(L1048,Ottone!$A$1:$Z$1,0)-1)=TRUE),0,OFFSET(Ottone!$A$1,MATCH(J1048,Ottone!$A:$A,0)-1,MATCH(L1048,Ottone!$A$1:$Z$1,0)-1))*IF(G1048="Ottone",1,0)</f>
        <v>0</v>
      </c>
      <c r="O1048" s="205">
        <f ca="1">IF(ISERROR(OFFSET(Rame!$A$1,MATCH(J1048,Rame!$A:$A,0)-1,MATCH(L1048,Rame!$A$1:$AA$1,0)-1)=TRUE),0,OFFSET(Rame!$A$1,MATCH(J1048,Rame!$A:$A,0)-1,MATCH(L1048,Rame!$A$1:$AA$1,0)-1))*IF(G1048="Rame",1,0)</f>
        <v>0</v>
      </c>
      <c r="P1048" s="205">
        <v>0</v>
      </c>
      <c r="Q1048" s="205">
        <f t="shared" ca="1" si="311"/>
        <v>0</v>
      </c>
      <c r="R1048" s="205">
        <f ca="1">+IF(ISERROR(OFFSET(Tabella!$G$1,MATCH(J1048,Tabella!$G:$G,0)-1,MATCH(K1048,Tabella!$G$1:$FG$1,0)-1)=TRUE),0,OFFSET(Tabella!$G$1,MATCH(J1048,Tabella!$G:$G,0)-1,MATCH(K1048,Tabella!$G$1:$AB$1,0)-1))</f>
        <v>0</v>
      </c>
      <c r="S1048" s="205">
        <f ca="1">IF(ISERROR(OFFSET(Ottone!$F$1,MATCH(J1048,Ottone!$A:$A,0)-1,MATCH(K1048,Ottone!$F$1:$FF$1,0)-1)=TRUE),0,OFFSET(Ottone!$F$1,MATCH(J1048,Ottone!$A:$A,0)-1,MATCH(K1048,Ottone!$F$1:$FF$1,0)-1))*IF(G1048="Ottone",1,0)</f>
        <v>0</v>
      </c>
      <c r="T1048" s="205">
        <f ca="1">IF(ISERROR(OFFSET(Rame!$F$1,MATCH(J1048,Rame!$F:$F,0)-1,MATCH(K1048,Rame!$F$1:$FF$1,0)-1)=TRUE),0,OFFSET(Rame!$F$1,MATCH(J1048,Rame!$F:$F,0)-1,MATCH(K1048,Rame!$F$1:$FF$1,0)-1))*IF(G1048="Rame",1,0)</f>
        <v>0</v>
      </c>
      <c r="U1048" s="205">
        <f ca="1">IF(ISERROR(OFFSET(Bronzo!$A$1,MATCH(J1048,Bronzo!$A:$A,0)-1,MATCH(K1048,Bronzo!$A$1:$AA$1,0)-1)=TRUE),0,OFFSET(Bronzo!$A$1,MATCH(J1048,Bronzo!$A:$A,0)-1,MATCH(K1048,Bronzo!$A$1:$AA$1,0)-1))</f>
        <v>0</v>
      </c>
      <c r="V1048" s="205">
        <f t="shared" ca="1" si="312"/>
        <v>0</v>
      </c>
      <c r="W1048" s="204"/>
      <c r="X1048" s="205">
        <v>0</v>
      </c>
      <c r="Y1048" s="206">
        <f t="shared" ca="1" si="313"/>
        <v>0</v>
      </c>
      <c r="Z1048" s="277">
        <f t="shared" si="314"/>
        <v>0</v>
      </c>
      <c r="AA1048" s="203"/>
      <c r="AB1048" s="203">
        <f t="shared" ca="1" si="315"/>
        <v>0</v>
      </c>
      <c r="AC1048" s="238"/>
      <c r="AI1048" s="367">
        <f t="shared" ca="1" si="310"/>
        <v>46092</v>
      </c>
      <c r="AJ1048" s="367" t="b">
        <f t="shared" si="304"/>
        <v>1</v>
      </c>
      <c r="AK1048" s="370" t="str">
        <f t="shared" si="305"/>
        <v/>
      </c>
      <c r="AN1048">
        <f t="shared" si="306"/>
        <v>0</v>
      </c>
      <c r="AO1048">
        <f t="shared" si="307"/>
        <v>1900</v>
      </c>
      <c r="AV1048">
        <f t="shared" si="308"/>
        <v>0</v>
      </c>
      <c r="AW1048">
        <f t="shared" si="309"/>
        <v>0</v>
      </c>
    </row>
    <row r="1049" spans="4:49" ht="15.75" x14ac:dyDescent="0.25">
      <c r="D1049" s="199"/>
      <c r="E1049" s="200"/>
      <c r="F1049" s="287"/>
      <c r="G1049" s="201"/>
      <c r="H1049" s="219"/>
      <c r="I1049" s="202"/>
      <c r="J1049" s="200"/>
      <c r="K1049" s="200"/>
      <c r="L1049" s="203"/>
      <c r="M1049" s="204">
        <f ca="1">IF(ISERROR(OFFSET(Tabella!$A$1,MATCH(J1049,Tabella!$A:$A,0)-1,MATCH(L1049,Tabella!$A$1:$AC$1,0)-1)=TRUE),0,+OFFSET(Tabella!$A$1,MATCH(J1049,Tabella!$A:$A,0)-1,MATCH(L1049,Tabella!$A$1:$AC$1,0)-1))</f>
        <v>0</v>
      </c>
      <c r="N1049" s="205">
        <f ca="1">IF(ISERROR(OFFSET(Ottone!$A$1,MATCH(J1049,Ottone!$A:$A,0)-1,MATCH(L1049,Ottone!$A$1:$Z$1,0)-1)=TRUE),0,OFFSET(Ottone!$A$1,MATCH(J1049,Ottone!$A:$A,0)-1,MATCH(L1049,Ottone!$A$1:$Z$1,0)-1))*IF(G1049="Ottone",1,0)</f>
        <v>0</v>
      </c>
      <c r="O1049" s="205">
        <f ca="1">IF(ISERROR(OFFSET(Rame!$A$1,MATCH(J1049,Rame!$A:$A,0)-1,MATCH(L1049,Rame!$A$1:$AA$1,0)-1)=TRUE),0,OFFSET(Rame!$A$1,MATCH(J1049,Rame!$A:$A,0)-1,MATCH(L1049,Rame!$A$1:$AA$1,0)-1))*IF(G1049="Rame",1,0)</f>
        <v>0</v>
      </c>
      <c r="P1049" s="205">
        <v>0</v>
      </c>
      <c r="Q1049" s="205">
        <f t="shared" ca="1" si="311"/>
        <v>0</v>
      </c>
      <c r="R1049" s="205">
        <f ca="1">+IF(ISERROR(OFFSET(Tabella!$G$1,MATCH(J1049,Tabella!$G:$G,0)-1,MATCH(K1049,Tabella!$G$1:$FG$1,0)-1)=TRUE),0,OFFSET(Tabella!$G$1,MATCH(J1049,Tabella!$G:$G,0)-1,MATCH(K1049,Tabella!$G$1:$AB$1,0)-1))</f>
        <v>0</v>
      </c>
      <c r="S1049" s="205">
        <f ca="1">IF(ISERROR(OFFSET(Ottone!$F$1,MATCH(J1049,Ottone!$A:$A,0)-1,MATCH(K1049,Ottone!$F$1:$FF$1,0)-1)=TRUE),0,OFFSET(Ottone!$F$1,MATCH(J1049,Ottone!$A:$A,0)-1,MATCH(K1049,Ottone!$F$1:$FF$1,0)-1))*IF(G1049="Ottone",1,0)</f>
        <v>0</v>
      </c>
      <c r="T1049" s="205">
        <f ca="1">IF(ISERROR(OFFSET(Rame!$F$1,MATCH(J1049,Rame!$F:$F,0)-1,MATCH(K1049,Rame!$F$1:$FF$1,0)-1)=TRUE),0,OFFSET(Rame!$F$1,MATCH(J1049,Rame!$F:$F,0)-1,MATCH(K1049,Rame!$F$1:$FF$1,0)-1))*IF(G1049="Rame",1,0)</f>
        <v>0</v>
      </c>
      <c r="U1049" s="205">
        <f ca="1">IF(ISERROR(OFFSET(Bronzo!$A$1,MATCH(J1049,Bronzo!$A:$A,0)-1,MATCH(K1049,Bronzo!$A$1:$AA$1,0)-1)=TRUE),0,OFFSET(Bronzo!$A$1,MATCH(J1049,Bronzo!$A:$A,0)-1,MATCH(K1049,Bronzo!$A$1:$AA$1,0)-1))</f>
        <v>0</v>
      </c>
      <c r="V1049" s="205">
        <f t="shared" ca="1" si="312"/>
        <v>0</v>
      </c>
      <c r="W1049" s="204"/>
      <c r="X1049" s="205">
        <v>0</v>
      </c>
      <c r="Y1049" s="206">
        <f t="shared" ca="1" si="313"/>
        <v>0</v>
      </c>
      <c r="Z1049" s="277">
        <f t="shared" si="314"/>
        <v>0</v>
      </c>
      <c r="AA1049" s="203"/>
      <c r="AB1049" s="203">
        <f t="shared" ca="1" si="315"/>
        <v>0</v>
      </c>
      <c r="AC1049" s="238"/>
      <c r="AI1049" s="367">
        <f t="shared" ca="1" si="310"/>
        <v>46092</v>
      </c>
      <c r="AJ1049" s="367" t="b">
        <f t="shared" si="304"/>
        <v>1</v>
      </c>
      <c r="AK1049" s="370" t="str">
        <f t="shared" si="305"/>
        <v/>
      </c>
      <c r="AN1049">
        <f t="shared" si="306"/>
        <v>0</v>
      </c>
      <c r="AO1049">
        <f t="shared" si="307"/>
        <v>1900</v>
      </c>
      <c r="AV1049">
        <f t="shared" si="308"/>
        <v>0</v>
      </c>
      <c r="AW1049">
        <f t="shared" si="309"/>
        <v>0</v>
      </c>
    </row>
    <row r="1050" spans="4:49" ht="15.75" x14ac:dyDescent="0.25">
      <c r="D1050" s="199"/>
      <c r="E1050" s="200"/>
      <c r="F1050" s="287"/>
      <c r="G1050" s="201"/>
      <c r="H1050" s="219"/>
      <c r="I1050" s="202"/>
      <c r="J1050" s="200"/>
      <c r="K1050" s="200"/>
      <c r="L1050" s="203"/>
      <c r="M1050" s="204">
        <f ca="1">IF(ISERROR(OFFSET(Tabella!$A$1,MATCH(J1050,Tabella!$A:$A,0)-1,MATCH(L1050,Tabella!$A$1:$AC$1,0)-1)=TRUE),0,+OFFSET(Tabella!$A$1,MATCH(J1050,Tabella!$A:$A,0)-1,MATCH(L1050,Tabella!$A$1:$AC$1,0)-1))</f>
        <v>0</v>
      </c>
      <c r="N1050" s="205">
        <f ca="1">IF(ISERROR(OFFSET(Ottone!$A$1,MATCH(J1050,Ottone!$A:$A,0)-1,MATCH(L1050,Ottone!$A$1:$Z$1,0)-1)=TRUE),0,OFFSET(Ottone!$A$1,MATCH(J1050,Ottone!$A:$A,0)-1,MATCH(L1050,Ottone!$A$1:$Z$1,0)-1))*IF(G1050="Ottone",1,0)</f>
        <v>0</v>
      </c>
      <c r="O1050" s="205">
        <f ca="1">IF(ISERROR(OFFSET(Rame!$A$1,MATCH(J1050,Rame!$A:$A,0)-1,MATCH(L1050,Rame!$A$1:$AA$1,0)-1)=TRUE),0,OFFSET(Rame!$A$1,MATCH(J1050,Rame!$A:$A,0)-1,MATCH(L1050,Rame!$A$1:$AA$1,0)-1))*IF(G1050="Rame",1,0)</f>
        <v>0</v>
      </c>
      <c r="P1050" s="205">
        <v>0</v>
      </c>
      <c r="Q1050" s="205">
        <f t="shared" ca="1" si="311"/>
        <v>0</v>
      </c>
      <c r="R1050" s="205">
        <f ca="1">+IF(ISERROR(OFFSET(Tabella!$G$1,MATCH(J1050,Tabella!$G:$G,0)-1,MATCH(K1050,Tabella!$G$1:$FG$1,0)-1)=TRUE),0,OFFSET(Tabella!$G$1,MATCH(J1050,Tabella!$G:$G,0)-1,MATCH(K1050,Tabella!$G$1:$AB$1,0)-1))</f>
        <v>0</v>
      </c>
      <c r="S1050" s="205">
        <f ca="1">IF(ISERROR(OFFSET(Ottone!$F$1,MATCH(J1050,Ottone!$A:$A,0)-1,MATCH(K1050,Ottone!$F$1:$FF$1,0)-1)=TRUE),0,OFFSET(Ottone!$F$1,MATCH(J1050,Ottone!$A:$A,0)-1,MATCH(K1050,Ottone!$F$1:$FF$1,0)-1))*IF(G1050="Ottone",1,0)</f>
        <v>0</v>
      </c>
      <c r="T1050" s="205">
        <f ca="1">IF(ISERROR(OFFSET(Rame!$F$1,MATCH(J1050,Rame!$F:$F,0)-1,MATCH(K1050,Rame!$F$1:$FF$1,0)-1)=TRUE),0,OFFSET(Rame!$F$1,MATCH(J1050,Rame!$F:$F,0)-1,MATCH(K1050,Rame!$F$1:$FF$1,0)-1))*IF(G1050="Rame",1,0)</f>
        <v>0</v>
      </c>
      <c r="U1050" s="205">
        <f ca="1">IF(ISERROR(OFFSET(Bronzo!$A$1,MATCH(J1050,Bronzo!$A:$A,0)-1,MATCH(K1050,Bronzo!$A$1:$AA$1,0)-1)=TRUE),0,OFFSET(Bronzo!$A$1,MATCH(J1050,Bronzo!$A:$A,0)-1,MATCH(K1050,Bronzo!$A$1:$AA$1,0)-1))</f>
        <v>0</v>
      </c>
      <c r="V1050" s="205">
        <f t="shared" ca="1" si="312"/>
        <v>0</v>
      </c>
      <c r="W1050" s="204"/>
      <c r="X1050" s="205">
        <v>0</v>
      </c>
      <c r="Y1050" s="206">
        <f t="shared" ca="1" si="313"/>
        <v>0</v>
      </c>
      <c r="Z1050" s="277">
        <f t="shared" si="314"/>
        <v>0</v>
      </c>
      <c r="AA1050" s="203"/>
      <c r="AB1050" s="203">
        <f t="shared" ca="1" si="315"/>
        <v>0</v>
      </c>
      <c r="AC1050" s="238"/>
      <c r="AI1050" s="367">
        <f t="shared" ca="1" si="310"/>
        <v>46092</v>
      </c>
      <c r="AJ1050" s="367" t="b">
        <f t="shared" si="304"/>
        <v>1</v>
      </c>
      <c r="AK1050" s="370" t="str">
        <f t="shared" si="305"/>
        <v/>
      </c>
      <c r="AN1050">
        <f t="shared" si="306"/>
        <v>0</v>
      </c>
      <c r="AO1050">
        <f t="shared" si="307"/>
        <v>1900</v>
      </c>
      <c r="AV1050">
        <f t="shared" si="308"/>
        <v>0</v>
      </c>
      <c r="AW1050">
        <f t="shared" si="309"/>
        <v>0</v>
      </c>
    </row>
    <row r="1051" spans="4:49" ht="15.75" x14ac:dyDescent="0.25">
      <c r="D1051" s="199"/>
      <c r="E1051" s="200"/>
      <c r="F1051" s="287"/>
      <c r="G1051" s="201"/>
      <c r="H1051" s="219"/>
      <c r="I1051" s="202"/>
      <c r="J1051" s="200"/>
      <c r="K1051" s="200"/>
      <c r="L1051" s="203"/>
      <c r="M1051" s="204">
        <f ca="1">IF(ISERROR(OFFSET(Tabella!$A$1,MATCH(J1051,Tabella!$A:$A,0)-1,MATCH(L1051,Tabella!$A$1:$AC$1,0)-1)=TRUE),0,+OFFSET(Tabella!$A$1,MATCH(J1051,Tabella!$A:$A,0)-1,MATCH(L1051,Tabella!$A$1:$AC$1,0)-1))</f>
        <v>0</v>
      </c>
      <c r="N1051" s="205">
        <f ca="1">IF(ISERROR(OFFSET(Ottone!$A$1,MATCH(J1051,Ottone!$A:$A,0)-1,MATCH(L1051,Ottone!$A$1:$Z$1,0)-1)=TRUE),0,OFFSET(Ottone!$A$1,MATCH(J1051,Ottone!$A:$A,0)-1,MATCH(L1051,Ottone!$A$1:$Z$1,0)-1))*IF(G1051="Ottone",1,0)</f>
        <v>0</v>
      </c>
      <c r="O1051" s="205">
        <f ca="1">IF(ISERROR(OFFSET(Rame!$A$1,MATCH(J1051,Rame!$A:$A,0)-1,MATCH(L1051,Rame!$A$1:$AA$1,0)-1)=TRUE),0,OFFSET(Rame!$A$1,MATCH(J1051,Rame!$A:$A,0)-1,MATCH(L1051,Rame!$A$1:$AA$1,0)-1))*IF(G1051="Rame",1,0)</f>
        <v>0</v>
      </c>
      <c r="P1051" s="205">
        <v>0</v>
      </c>
      <c r="Q1051" s="205">
        <f t="shared" ca="1" si="311"/>
        <v>0</v>
      </c>
      <c r="R1051" s="205">
        <f ca="1">+IF(ISERROR(OFFSET(Tabella!$G$1,MATCH(J1051,Tabella!$G:$G,0)-1,MATCH(K1051,Tabella!$G$1:$FG$1,0)-1)=TRUE),0,OFFSET(Tabella!$G$1,MATCH(J1051,Tabella!$G:$G,0)-1,MATCH(K1051,Tabella!$G$1:$AB$1,0)-1))</f>
        <v>0</v>
      </c>
      <c r="S1051" s="205">
        <f ca="1">IF(ISERROR(OFFSET(Ottone!$F$1,MATCH(J1051,Ottone!$A:$A,0)-1,MATCH(K1051,Ottone!$F$1:$FF$1,0)-1)=TRUE),0,OFFSET(Ottone!$F$1,MATCH(J1051,Ottone!$A:$A,0)-1,MATCH(K1051,Ottone!$F$1:$FF$1,0)-1))*IF(G1051="Ottone",1,0)</f>
        <v>0</v>
      </c>
      <c r="T1051" s="205">
        <f ca="1">IF(ISERROR(OFFSET(Rame!$F$1,MATCH(J1051,Rame!$F:$F,0)-1,MATCH(K1051,Rame!$F$1:$FF$1,0)-1)=TRUE),0,OFFSET(Rame!$F$1,MATCH(J1051,Rame!$F:$F,0)-1,MATCH(K1051,Rame!$F$1:$FF$1,0)-1))*IF(G1051="Rame",1,0)</f>
        <v>0</v>
      </c>
      <c r="U1051" s="205">
        <f ca="1">IF(ISERROR(OFFSET(Bronzo!$A$1,MATCH(J1051,Bronzo!$A:$A,0)-1,MATCH(K1051,Bronzo!$A$1:$AA$1,0)-1)=TRUE),0,OFFSET(Bronzo!$A$1,MATCH(J1051,Bronzo!$A:$A,0)-1,MATCH(K1051,Bronzo!$A$1:$AA$1,0)-1))</f>
        <v>0</v>
      </c>
      <c r="V1051" s="205">
        <f t="shared" ca="1" si="312"/>
        <v>0</v>
      </c>
      <c r="W1051" s="204"/>
      <c r="X1051" s="205">
        <v>0</v>
      </c>
      <c r="Y1051" s="206">
        <f t="shared" ca="1" si="313"/>
        <v>0</v>
      </c>
      <c r="Z1051" s="277">
        <f t="shared" si="314"/>
        <v>0</v>
      </c>
      <c r="AA1051" s="203"/>
      <c r="AB1051" s="203">
        <f t="shared" ca="1" si="315"/>
        <v>0</v>
      </c>
      <c r="AC1051" s="238"/>
      <c r="AI1051" s="367">
        <f t="shared" ca="1" si="310"/>
        <v>46092</v>
      </c>
      <c r="AJ1051" s="367" t="b">
        <f t="shared" si="304"/>
        <v>1</v>
      </c>
      <c r="AK1051" s="370" t="str">
        <f t="shared" si="305"/>
        <v/>
      </c>
      <c r="AN1051">
        <f t="shared" si="306"/>
        <v>0</v>
      </c>
      <c r="AO1051">
        <f t="shared" si="307"/>
        <v>1900</v>
      </c>
      <c r="AV1051">
        <f t="shared" si="308"/>
        <v>0</v>
      </c>
      <c r="AW1051">
        <f t="shared" si="309"/>
        <v>0</v>
      </c>
    </row>
    <row r="1052" spans="4:49" ht="15.75" x14ac:dyDescent="0.25">
      <c r="D1052" s="199"/>
      <c r="E1052" s="200"/>
      <c r="F1052" s="287"/>
      <c r="G1052" s="201"/>
      <c r="H1052" s="219"/>
      <c r="I1052" s="202"/>
      <c r="J1052" s="200"/>
      <c r="K1052" s="200"/>
      <c r="L1052" s="203"/>
      <c r="M1052" s="204">
        <f ca="1">IF(ISERROR(OFFSET(Tabella!$A$1,MATCH(J1052,Tabella!$A:$A,0)-1,MATCH(L1052,Tabella!$A$1:$AC$1,0)-1)=TRUE),0,+OFFSET(Tabella!$A$1,MATCH(J1052,Tabella!$A:$A,0)-1,MATCH(L1052,Tabella!$A$1:$AC$1,0)-1))</f>
        <v>0</v>
      </c>
      <c r="N1052" s="205">
        <f ca="1">IF(ISERROR(OFFSET(Ottone!$A$1,MATCH(J1052,Ottone!$A:$A,0)-1,MATCH(L1052,Ottone!$A$1:$Z$1,0)-1)=TRUE),0,OFFSET(Ottone!$A$1,MATCH(J1052,Ottone!$A:$A,0)-1,MATCH(L1052,Ottone!$A$1:$Z$1,0)-1))*IF(G1052="Ottone",1,0)</f>
        <v>0</v>
      </c>
      <c r="O1052" s="205">
        <f ca="1">IF(ISERROR(OFFSET(Rame!$A$1,MATCH(J1052,Rame!$A:$A,0)-1,MATCH(L1052,Rame!$A$1:$AA$1,0)-1)=TRUE),0,OFFSET(Rame!$A$1,MATCH(J1052,Rame!$A:$A,0)-1,MATCH(L1052,Rame!$A$1:$AA$1,0)-1))*IF(G1052="Rame",1,0)</f>
        <v>0</v>
      </c>
      <c r="P1052" s="205">
        <v>0</v>
      </c>
      <c r="Q1052" s="205">
        <f t="shared" ca="1" si="311"/>
        <v>0</v>
      </c>
      <c r="R1052" s="205">
        <f ca="1">+IF(ISERROR(OFFSET(Tabella!$G$1,MATCH(J1052,Tabella!$G:$G,0)-1,MATCH(K1052,Tabella!$G$1:$FG$1,0)-1)=TRUE),0,OFFSET(Tabella!$G$1,MATCH(J1052,Tabella!$G:$G,0)-1,MATCH(K1052,Tabella!$G$1:$AB$1,0)-1))</f>
        <v>0</v>
      </c>
      <c r="S1052" s="205">
        <f ca="1">IF(ISERROR(OFFSET(Ottone!$F$1,MATCH(J1052,Ottone!$A:$A,0)-1,MATCH(K1052,Ottone!$F$1:$FF$1,0)-1)=TRUE),0,OFFSET(Ottone!$F$1,MATCH(J1052,Ottone!$A:$A,0)-1,MATCH(K1052,Ottone!$F$1:$FF$1,0)-1))*IF(G1052="Ottone",1,0)</f>
        <v>0</v>
      </c>
      <c r="T1052" s="205">
        <f ca="1">IF(ISERROR(OFFSET(Rame!$F$1,MATCH(J1052,Rame!$F:$F,0)-1,MATCH(K1052,Rame!$F$1:$FF$1,0)-1)=TRUE),0,OFFSET(Rame!$F$1,MATCH(J1052,Rame!$F:$F,0)-1,MATCH(K1052,Rame!$F$1:$FF$1,0)-1))*IF(G1052="Rame",1,0)</f>
        <v>0</v>
      </c>
      <c r="U1052" s="205">
        <f ca="1">IF(ISERROR(OFFSET(Bronzo!$A$1,MATCH(J1052,Bronzo!$A:$A,0)-1,MATCH(K1052,Bronzo!$A$1:$AA$1,0)-1)=TRUE),0,OFFSET(Bronzo!$A$1,MATCH(J1052,Bronzo!$A:$A,0)-1,MATCH(K1052,Bronzo!$A$1:$AA$1,0)-1))</f>
        <v>0</v>
      </c>
      <c r="V1052" s="205">
        <f t="shared" ca="1" si="312"/>
        <v>0</v>
      </c>
      <c r="W1052" s="204"/>
      <c r="X1052" s="205">
        <v>0</v>
      </c>
      <c r="Y1052" s="206">
        <f t="shared" ca="1" si="313"/>
        <v>0</v>
      </c>
      <c r="Z1052" s="277">
        <f t="shared" si="314"/>
        <v>0</v>
      </c>
      <c r="AA1052" s="203"/>
      <c r="AB1052" s="203">
        <f t="shared" ca="1" si="315"/>
        <v>0</v>
      </c>
      <c r="AC1052" s="238"/>
      <c r="AI1052" s="367">
        <f t="shared" ca="1" si="310"/>
        <v>46092</v>
      </c>
      <c r="AJ1052" s="367" t="b">
        <f t="shared" si="304"/>
        <v>1</v>
      </c>
      <c r="AK1052" s="370" t="str">
        <f t="shared" si="305"/>
        <v/>
      </c>
      <c r="AN1052">
        <f t="shared" si="306"/>
        <v>0</v>
      </c>
      <c r="AO1052">
        <f t="shared" si="307"/>
        <v>1900</v>
      </c>
      <c r="AV1052">
        <f t="shared" si="308"/>
        <v>0</v>
      </c>
      <c r="AW1052">
        <f t="shared" si="309"/>
        <v>0</v>
      </c>
    </row>
    <row r="1053" spans="4:49" ht="15.75" x14ac:dyDescent="0.25">
      <c r="D1053" s="199"/>
      <c r="E1053" s="200"/>
      <c r="F1053" s="287"/>
      <c r="G1053" s="201"/>
      <c r="H1053" s="219"/>
      <c r="I1053" s="202"/>
      <c r="J1053" s="200"/>
      <c r="K1053" s="200"/>
      <c r="L1053" s="203"/>
      <c r="M1053" s="204">
        <f ca="1">IF(ISERROR(OFFSET(Tabella!$A$1,MATCH(J1053,Tabella!$A:$A,0)-1,MATCH(L1053,Tabella!$A$1:$AC$1,0)-1)=TRUE),0,+OFFSET(Tabella!$A$1,MATCH(J1053,Tabella!$A:$A,0)-1,MATCH(L1053,Tabella!$A$1:$AC$1,0)-1))</f>
        <v>0</v>
      </c>
      <c r="N1053" s="205">
        <f ca="1">IF(ISERROR(OFFSET(Ottone!$A$1,MATCH(J1053,Ottone!$A:$A,0)-1,MATCH(L1053,Ottone!$A$1:$Z$1,0)-1)=TRUE),0,OFFSET(Ottone!$A$1,MATCH(J1053,Ottone!$A:$A,0)-1,MATCH(L1053,Ottone!$A$1:$Z$1,0)-1))*IF(G1053="Ottone",1,0)</f>
        <v>0</v>
      </c>
      <c r="O1053" s="205">
        <f ca="1">IF(ISERROR(OFFSET(Rame!$A$1,MATCH(J1053,Rame!$A:$A,0)-1,MATCH(L1053,Rame!$A$1:$AA$1,0)-1)=TRUE),0,OFFSET(Rame!$A$1,MATCH(J1053,Rame!$A:$A,0)-1,MATCH(L1053,Rame!$A$1:$AA$1,0)-1))*IF(G1053="Rame",1,0)</f>
        <v>0</v>
      </c>
      <c r="P1053" s="205">
        <v>0</v>
      </c>
      <c r="Q1053" s="205">
        <f t="shared" ca="1" si="311"/>
        <v>0</v>
      </c>
      <c r="R1053" s="205">
        <f ca="1">+IF(ISERROR(OFFSET(Tabella!$G$1,MATCH(J1053,Tabella!$G:$G,0)-1,MATCH(K1053,Tabella!$G$1:$FG$1,0)-1)=TRUE),0,OFFSET(Tabella!$G$1,MATCH(J1053,Tabella!$G:$G,0)-1,MATCH(K1053,Tabella!$G$1:$AB$1,0)-1))</f>
        <v>0</v>
      </c>
      <c r="S1053" s="205">
        <f ca="1">IF(ISERROR(OFFSET(Ottone!$F$1,MATCH(J1053,Ottone!$A:$A,0)-1,MATCH(K1053,Ottone!$F$1:$FF$1,0)-1)=TRUE),0,OFFSET(Ottone!$F$1,MATCH(J1053,Ottone!$A:$A,0)-1,MATCH(K1053,Ottone!$F$1:$FF$1,0)-1))*IF(G1053="Ottone",1,0)</f>
        <v>0</v>
      </c>
      <c r="T1053" s="205">
        <f ca="1">IF(ISERROR(OFFSET(Rame!$F$1,MATCH(J1053,Rame!$F:$F,0)-1,MATCH(K1053,Rame!$F$1:$FF$1,0)-1)=TRUE),0,OFFSET(Rame!$F$1,MATCH(J1053,Rame!$F:$F,0)-1,MATCH(K1053,Rame!$F$1:$FF$1,0)-1))*IF(G1053="Rame",1,0)</f>
        <v>0</v>
      </c>
      <c r="U1053" s="205">
        <f ca="1">IF(ISERROR(OFFSET(Bronzo!$A$1,MATCH(J1053,Bronzo!$A:$A,0)-1,MATCH(K1053,Bronzo!$A$1:$AA$1,0)-1)=TRUE),0,OFFSET(Bronzo!$A$1,MATCH(J1053,Bronzo!$A:$A,0)-1,MATCH(K1053,Bronzo!$A$1:$AA$1,0)-1))</f>
        <v>0</v>
      </c>
      <c r="V1053" s="205">
        <f t="shared" ca="1" si="312"/>
        <v>0</v>
      </c>
      <c r="W1053" s="204"/>
      <c r="X1053" s="205">
        <v>0</v>
      </c>
      <c r="Y1053" s="206">
        <f t="shared" ca="1" si="313"/>
        <v>0</v>
      </c>
      <c r="Z1053" s="277">
        <f t="shared" si="314"/>
        <v>0</v>
      </c>
      <c r="AA1053" s="203"/>
      <c r="AB1053" s="203">
        <f t="shared" ca="1" si="315"/>
        <v>0</v>
      </c>
      <c r="AC1053" s="238"/>
      <c r="AI1053" s="367">
        <f t="shared" ca="1" si="310"/>
        <v>46092</v>
      </c>
      <c r="AJ1053" s="367" t="b">
        <f t="shared" si="304"/>
        <v>1</v>
      </c>
      <c r="AK1053" s="370" t="str">
        <f t="shared" si="305"/>
        <v/>
      </c>
      <c r="AN1053">
        <f t="shared" si="306"/>
        <v>0</v>
      </c>
      <c r="AO1053">
        <f t="shared" si="307"/>
        <v>1900</v>
      </c>
      <c r="AV1053">
        <f t="shared" si="308"/>
        <v>0</v>
      </c>
      <c r="AW1053">
        <f t="shared" si="309"/>
        <v>0</v>
      </c>
    </row>
    <row r="1054" spans="4:49" ht="15.75" x14ac:dyDescent="0.25">
      <c r="D1054" s="199"/>
      <c r="E1054" s="200"/>
      <c r="F1054" s="287"/>
      <c r="G1054" s="201"/>
      <c r="H1054" s="219"/>
      <c r="I1054" s="202"/>
      <c r="J1054" s="200"/>
      <c r="K1054" s="200"/>
      <c r="L1054" s="203"/>
      <c r="M1054" s="204">
        <f ca="1">IF(ISERROR(OFFSET(Tabella!$A$1,MATCH(J1054,Tabella!$A:$A,0)-1,MATCH(L1054,Tabella!$A$1:$AC$1,0)-1)=TRUE),0,+OFFSET(Tabella!$A$1,MATCH(J1054,Tabella!$A:$A,0)-1,MATCH(L1054,Tabella!$A$1:$AC$1,0)-1))</f>
        <v>0</v>
      </c>
      <c r="N1054" s="205">
        <f ca="1">IF(ISERROR(OFFSET(Ottone!$A$1,MATCH(J1054,Ottone!$A:$A,0)-1,MATCH(L1054,Ottone!$A$1:$Z$1,0)-1)=TRUE),0,OFFSET(Ottone!$A$1,MATCH(J1054,Ottone!$A:$A,0)-1,MATCH(L1054,Ottone!$A$1:$Z$1,0)-1))*IF(G1054="Ottone",1,0)</f>
        <v>0</v>
      </c>
      <c r="O1054" s="205">
        <f ca="1">IF(ISERROR(OFFSET(Rame!$A$1,MATCH(J1054,Rame!$A:$A,0)-1,MATCH(L1054,Rame!$A$1:$AA$1,0)-1)=TRUE),0,OFFSET(Rame!$A$1,MATCH(J1054,Rame!$A:$A,0)-1,MATCH(L1054,Rame!$A$1:$AA$1,0)-1))*IF(G1054="Rame",1,0)</f>
        <v>0</v>
      </c>
      <c r="P1054" s="205">
        <v>0</v>
      </c>
      <c r="Q1054" s="205">
        <f t="shared" ca="1" si="311"/>
        <v>0</v>
      </c>
      <c r="R1054" s="205">
        <f ca="1">+IF(ISERROR(OFFSET(Tabella!$G$1,MATCH(J1054,Tabella!$G:$G,0)-1,MATCH(K1054,Tabella!$G$1:$FG$1,0)-1)=TRUE),0,OFFSET(Tabella!$G$1,MATCH(J1054,Tabella!$G:$G,0)-1,MATCH(K1054,Tabella!$G$1:$AB$1,0)-1))</f>
        <v>0</v>
      </c>
      <c r="S1054" s="205">
        <f ca="1">IF(ISERROR(OFFSET(Ottone!$F$1,MATCH(J1054,Ottone!$A:$A,0)-1,MATCH(K1054,Ottone!$F$1:$FF$1,0)-1)=TRUE),0,OFFSET(Ottone!$F$1,MATCH(J1054,Ottone!$A:$A,0)-1,MATCH(K1054,Ottone!$F$1:$FF$1,0)-1))*IF(G1054="Ottone",1,0)</f>
        <v>0</v>
      </c>
      <c r="T1054" s="205">
        <f ca="1">IF(ISERROR(OFFSET(Rame!$F$1,MATCH(J1054,Rame!$F:$F,0)-1,MATCH(K1054,Rame!$F$1:$FF$1,0)-1)=TRUE),0,OFFSET(Rame!$F$1,MATCH(J1054,Rame!$F:$F,0)-1,MATCH(K1054,Rame!$F$1:$FF$1,0)-1))*IF(G1054="Rame",1,0)</f>
        <v>0</v>
      </c>
      <c r="U1054" s="205">
        <f ca="1">IF(ISERROR(OFFSET(Bronzo!$A$1,MATCH(J1054,Bronzo!$A:$A,0)-1,MATCH(K1054,Bronzo!$A$1:$AA$1,0)-1)=TRUE),0,OFFSET(Bronzo!$A$1,MATCH(J1054,Bronzo!$A:$A,0)-1,MATCH(K1054,Bronzo!$A$1:$AA$1,0)-1))</f>
        <v>0</v>
      </c>
      <c r="V1054" s="205">
        <f t="shared" ca="1" si="312"/>
        <v>0</v>
      </c>
      <c r="W1054" s="204"/>
      <c r="X1054" s="205">
        <v>0</v>
      </c>
      <c r="Y1054" s="206">
        <f t="shared" ca="1" si="313"/>
        <v>0</v>
      </c>
      <c r="Z1054" s="277">
        <f t="shared" si="314"/>
        <v>0</v>
      </c>
      <c r="AA1054" s="203"/>
      <c r="AB1054" s="203">
        <f t="shared" ca="1" si="315"/>
        <v>0</v>
      </c>
      <c r="AC1054" s="238"/>
      <c r="AI1054" s="367">
        <f t="shared" ca="1" si="310"/>
        <v>46092</v>
      </c>
      <c r="AJ1054" s="367" t="b">
        <f t="shared" si="304"/>
        <v>1</v>
      </c>
      <c r="AK1054" s="370" t="str">
        <f t="shared" si="305"/>
        <v/>
      </c>
      <c r="AN1054">
        <f t="shared" si="306"/>
        <v>0</v>
      </c>
      <c r="AO1054">
        <f t="shared" si="307"/>
        <v>1900</v>
      </c>
      <c r="AV1054">
        <f t="shared" si="308"/>
        <v>0</v>
      </c>
      <c r="AW1054">
        <f t="shared" si="309"/>
        <v>0</v>
      </c>
    </row>
    <row r="1055" spans="4:49" ht="15.75" x14ac:dyDescent="0.25">
      <c r="D1055" s="199"/>
      <c r="E1055" s="200"/>
      <c r="F1055" s="287"/>
      <c r="G1055" s="201"/>
      <c r="H1055" s="219"/>
      <c r="I1055" s="202"/>
      <c r="J1055" s="200"/>
      <c r="K1055" s="200"/>
      <c r="L1055" s="203"/>
      <c r="M1055" s="204">
        <f ca="1">IF(ISERROR(OFFSET(Tabella!$A$1,MATCH(J1055,Tabella!$A:$A,0)-1,MATCH(L1055,Tabella!$A$1:$AC$1,0)-1)=TRUE),0,+OFFSET(Tabella!$A$1,MATCH(J1055,Tabella!$A:$A,0)-1,MATCH(L1055,Tabella!$A$1:$AC$1,0)-1))</f>
        <v>0</v>
      </c>
      <c r="N1055" s="205">
        <f ca="1">IF(ISERROR(OFFSET(Ottone!$A$1,MATCH(J1055,Ottone!$A:$A,0)-1,MATCH(L1055,Ottone!$A$1:$Z$1,0)-1)=TRUE),0,OFFSET(Ottone!$A$1,MATCH(J1055,Ottone!$A:$A,0)-1,MATCH(L1055,Ottone!$A$1:$Z$1,0)-1))*IF(G1055="Ottone",1,0)</f>
        <v>0</v>
      </c>
      <c r="O1055" s="205">
        <f ca="1">IF(ISERROR(OFFSET(Rame!$A$1,MATCH(J1055,Rame!$A:$A,0)-1,MATCH(L1055,Rame!$A$1:$AA$1,0)-1)=TRUE),0,OFFSET(Rame!$A$1,MATCH(J1055,Rame!$A:$A,0)-1,MATCH(L1055,Rame!$A$1:$AA$1,0)-1))*IF(G1055="Rame",1,0)</f>
        <v>0</v>
      </c>
      <c r="P1055" s="205">
        <v>0</v>
      </c>
      <c r="Q1055" s="205">
        <f t="shared" ca="1" si="311"/>
        <v>0</v>
      </c>
      <c r="R1055" s="205">
        <f ca="1">+IF(ISERROR(OFFSET(Tabella!$G$1,MATCH(J1055,Tabella!$G:$G,0)-1,MATCH(K1055,Tabella!$G$1:$FG$1,0)-1)=TRUE),0,OFFSET(Tabella!$G$1,MATCH(J1055,Tabella!$G:$G,0)-1,MATCH(K1055,Tabella!$G$1:$AB$1,0)-1))</f>
        <v>0</v>
      </c>
      <c r="S1055" s="205">
        <f ca="1">IF(ISERROR(OFFSET(Ottone!$F$1,MATCH(J1055,Ottone!$A:$A,0)-1,MATCH(K1055,Ottone!$F$1:$FF$1,0)-1)=TRUE),0,OFFSET(Ottone!$F$1,MATCH(J1055,Ottone!$A:$A,0)-1,MATCH(K1055,Ottone!$F$1:$FF$1,0)-1))*IF(G1055="Ottone",1,0)</f>
        <v>0</v>
      </c>
      <c r="T1055" s="205">
        <f ca="1">IF(ISERROR(OFFSET(Rame!$F$1,MATCH(J1055,Rame!$F:$F,0)-1,MATCH(K1055,Rame!$F$1:$FF$1,0)-1)=TRUE),0,OFFSET(Rame!$F$1,MATCH(J1055,Rame!$F:$F,0)-1,MATCH(K1055,Rame!$F$1:$FF$1,0)-1))*IF(G1055="Rame",1,0)</f>
        <v>0</v>
      </c>
      <c r="U1055" s="205">
        <f ca="1">IF(ISERROR(OFFSET(Bronzo!$A$1,MATCH(J1055,Bronzo!$A:$A,0)-1,MATCH(K1055,Bronzo!$A$1:$AA$1,0)-1)=TRUE),0,OFFSET(Bronzo!$A$1,MATCH(J1055,Bronzo!$A:$A,0)-1,MATCH(K1055,Bronzo!$A$1:$AA$1,0)-1))</f>
        <v>0</v>
      </c>
      <c r="V1055" s="205">
        <f t="shared" ca="1" si="312"/>
        <v>0</v>
      </c>
      <c r="W1055" s="204"/>
      <c r="X1055" s="205">
        <v>0</v>
      </c>
      <c r="Y1055" s="206">
        <f t="shared" ca="1" si="313"/>
        <v>0</v>
      </c>
      <c r="Z1055" s="277">
        <f t="shared" si="314"/>
        <v>0</v>
      </c>
      <c r="AA1055" s="203"/>
      <c r="AB1055" s="203">
        <f t="shared" ca="1" si="315"/>
        <v>0</v>
      </c>
      <c r="AC1055" s="238"/>
      <c r="AI1055" s="367">
        <f t="shared" ca="1" si="310"/>
        <v>46092</v>
      </c>
      <c r="AJ1055" s="367" t="b">
        <f t="shared" si="304"/>
        <v>1</v>
      </c>
      <c r="AK1055" s="370" t="str">
        <f t="shared" si="305"/>
        <v/>
      </c>
      <c r="AN1055">
        <f t="shared" si="306"/>
        <v>0</v>
      </c>
      <c r="AO1055">
        <f t="shared" si="307"/>
        <v>1900</v>
      </c>
      <c r="AV1055">
        <f t="shared" si="308"/>
        <v>0</v>
      </c>
      <c r="AW1055">
        <f t="shared" si="309"/>
        <v>0</v>
      </c>
    </row>
    <row r="1056" spans="4:49" ht="15.75" x14ac:dyDescent="0.25">
      <c r="D1056" s="199"/>
      <c r="E1056" s="200"/>
      <c r="F1056" s="287"/>
      <c r="G1056" s="201"/>
      <c r="H1056" s="219"/>
      <c r="I1056" s="202"/>
      <c r="J1056" s="200"/>
      <c r="K1056" s="200"/>
      <c r="L1056" s="203"/>
      <c r="M1056" s="204">
        <f ca="1">IF(ISERROR(OFFSET(Tabella!$A$1,MATCH(J1056,Tabella!$A:$A,0)-1,MATCH(L1056,Tabella!$A$1:$AC$1,0)-1)=TRUE),0,+OFFSET(Tabella!$A$1,MATCH(J1056,Tabella!$A:$A,0)-1,MATCH(L1056,Tabella!$A$1:$AC$1,0)-1))</f>
        <v>0</v>
      </c>
      <c r="N1056" s="205">
        <f ca="1">IF(ISERROR(OFFSET(Ottone!$A$1,MATCH(J1056,Ottone!$A:$A,0)-1,MATCH(L1056,Ottone!$A$1:$Z$1,0)-1)=TRUE),0,OFFSET(Ottone!$A$1,MATCH(J1056,Ottone!$A:$A,0)-1,MATCH(L1056,Ottone!$A$1:$Z$1,0)-1))*IF(G1056="Ottone",1,0)</f>
        <v>0</v>
      </c>
      <c r="O1056" s="205">
        <f ca="1">IF(ISERROR(OFFSET(Rame!$A$1,MATCH(J1056,Rame!$A:$A,0)-1,MATCH(L1056,Rame!$A$1:$AA$1,0)-1)=TRUE),0,OFFSET(Rame!$A$1,MATCH(J1056,Rame!$A:$A,0)-1,MATCH(L1056,Rame!$A$1:$AA$1,0)-1))*IF(G1056="Rame",1,0)</f>
        <v>0</v>
      </c>
      <c r="P1056" s="205">
        <v>0</v>
      </c>
      <c r="Q1056" s="205">
        <f t="shared" ca="1" si="311"/>
        <v>0</v>
      </c>
      <c r="R1056" s="205">
        <f ca="1">+IF(ISERROR(OFFSET(Tabella!$G$1,MATCH(J1056,Tabella!$G:$G,0)-1,MATCH(K1056,Tabella!$G$1:$FG$1,0)-1)=TRUE),0,OFFSET(Tabella!$G$1,MATCH(J1056,Tabella!$G:$G,0)-1,MATCH(K1056,Tabella!$G$1:$AB$1,0)-1))</f>
        <v>0</v>
      </c>
      <c r="S1056" s="205">
        <f ca="1">IF(ISERROR(OFFSET(Ottone!$F$1,MATCH(J1056,Ottone!$A:$A,0)-1,MATCH(K1056,Ottone!$F$1:$FF$1,0)-1)=TRUE),0,OFFSET(Ottone!$F$1,MATCH(J1056,Ottone!$A:$A,0)-1,MATCH(K1056,Ottone!$F$1:$FF$1,0)-1))*IF(G1056="Ottone",1,0)</f>
        <v>0</v>
      </c>
      <c r="T1056" s="205">
        <f ca="1">IF(ISERROR(OFFSET(Rame!$F$1,MATCH(J1056,Rame!$F:$F,0)-1,MATCH(K1056,Rame!$F$1:$FF$1,0)-1)=TRUE),0,OFFSET(Rame!$F$1,MATCH(J1056,Rame!$F:$F,0)-1,MATCH(K1056,Rame!$F$1:$FF$1,0)-1))*IF(G1056="Rame",1,0)</f>
        <v>0</v>
      </c>
      <c r="U1056" s="205">
        <f ca="1">IF(ISERROR(OFFSET(Bronzo!$A$1,MATCH(J1056,Bronzo!$A:$A,0)-1,MATCH(K1056,Bronzo!$A$1:$AA$1,0)-1)=TRUE),0,OFFSET(Bronzo!$A$1,MATCH(J1056,Bronzo!$A:$A,0)-1,MATCH(K1056,Bronzo!$A$1:$AA$1,0)-1))</f>
        <v>0</v>
      </c>
      <c r="V1056" s="205">
        <f t="shared" ca="1" si="312"/>
        <v>0</v>
      </c>
      <c r="W1056" s="204"/>
      <c r="X1056" s="205">
        <v>0</v>
      </c>
      <c r="Y1056" s="206">
        <f t="shared" ca="1" si="313"/>
        <v>0</v>
      </c>
      <c r="Z1056" s="277">
        <f t="shared" si="314"/>
        <v>0</v>
      </c>
      <c r="AA1056" s="203"/>
      <c r="AB1056" s="203">
        <f t="shared" ca="1" si="315"/>
        <v>0</v>
      </c>
      <c r="AC1056" s="238"/>
      <c r="AI1056" s="367">
        <f t="shared" ca="1" si="310"/>
        <v>46092</v>
      </c>
      <c r="AJ1056" s="367" t="b">
        <f t="shared" ref="AJ1056:AJ1119" si="316">ISBLANK(AC1056)</f>
        <v>1</v>
      </c>
      <c r="AK1056" s="370" t="str">
        <f t="shared" ref="AK1056:AK1119" si="317">IF(AJ1056=FALSE,_xlfn.DAYS(AC1056,AI1056),"")</f>
        <v/>
      </c>
      <c r="AN1056">
        <f t="shared" ref="AN1056:AN1119" si="318">WEEKNUM(AC1056)</f>
        <v>0</v>
      </c>
      <c r="AO1056">
        <f t="shared" ref="AO1056:AO1119" si="319">YEAR(AC1056)</f>
        <v>1900</v>
      </c>
      <c r="AV1056">
        <f t="shared" si="308"/>
        <v>0</v>
      </c>
      <c r="AW1056">
        <f t="shared" si="309"/>
        <v>0</v>
      </c>
    </row>
    <row r="1057" spans="4:49" ht="15.75" x14ac:dyDescent="0.25">
      <c r="D1057" s="199"/>
      <c r="E1057" s="200"/>
      <c r="F1057" s="287"/>
      <c r="G1057" s="201"/>
      <c r="H1057" s="219"/>
      <c r="I1057" s="202"/>
      <c r="J1057" s="200"/>
      <c r="K1057" s="200"/>
      <c r="L1057" s="203"/>
      <c r="M1057" s="204">
        <f ca="1">IF(ISERROR(OFFSET(Tabella!$A$1,MATCH(J1057,Tabella!$A:$A,0)-1,MATCH(L1057,Tabella!$A$1:$AC$1,0)-1)=TRUE),0,+OFFSET(Tabella!$A$1,MATCH(J1057,Tabella!$A:$A,0)-1,MATCH(L1057,Tabella!$A$1:$AC$1,0)-1))</f>
        <v>0</v>
      </c>
      <c r="N1057" s="205">
        <f ca="1">IF(ISERROR(OFFSET(Ottone!$A$1,MATCH(J1057,Ottone!$A:$A,0)-1,MATCH(L1057,Ottone!$A$1:$Z$1,0)-1)=TRUE),0,OFFSET(Ottone!$A$1,MATCH(J1057,Ottone!$A:$A,0)-1,MATCH(L1057,Ottone!$A$1:$Z$1,0)-1))*IF(G1057="Ottone",1,0)</f>
        <v>0</v>
      </c>
      <c r="O1057" s="205">
        <f ca="1">IF(ISERROR(OFFSET(Rame!$A$1,MATCH(J1057,Rame!$A:$A,0)-1,MATCH(L1057,Rame!$A$1:$AA$1,0)-1)=TRUE),0,OFFSET(Rame!$A$1,MATCH(J1057,Rame!$A:$A,0)-1,MATCH(L1057,Rame!$A$1:$AA$1,0)-1))*IF(G1057="Rame",1,0)</f>
        <v>0</v>
      </c>
      <c r="P1057" s="205">
        <v>0</v>
      </c>
      <c r="Q1057" s="205">
        <f t="shared" ca="1" si="311"/>
        <v>0</v>
      </c>
      <c r="R1057" s="205">
        <f ca="1">+IF(ISERROR(OFFSET(Tabella!$G$1,MATCH(J1057,Tabella!$G:$G,0)-1,MATCH(K1057,Tabella!$G$1:$FG$1,0)-1)=TRUE),0,OFFSET(Tabella!$G$1,MATCH(J1057,Tabella!$G:$G,0)-1,MATCH(K1057,Tabella!$G$1:$AB$1,0)-1))</f>
        <v>0</v>
      </c>
      <c r="S1057" s="205">
        <f ca="1">IF(ISERROR(OFFSET(Ottone!$F$1,MATCH(J1057,Ottone!$A:$A,0)-1,MATCH(K1057,Ottone!$F$1:$FF$1,0)-1)=TRUE),0,OFFSET(Ottone!$F$1,MATCH(J1057,Ottone!$A:$A,0)-1,MATCH(K1057,Ottone!$F$1:$FF$1,0)-1))*IF(G1057="Ottone",1,0)</f>
        <v>0</v>
      </c>
      <c r="T1057" s="205">
        <f ca="1">IF(ISERROR(OFFSET(Rame!$F$1,MATCH(J1057,Rame!$F:$F,0)-1,MATCH(K1057,Rame!$F$1:$FF$1,0)-1)=TRUE),0,OFFSET(Rame!$F$1,MATCH(J1057,Rame!$F:$F,0)-1,MATCH(K1057,Rame!$F$1:$FF$1,0)-1))*IF(G1057="Rame",1,0)</f>
        <v>0</v>
      </c>
      <c r="U1057" s="205">
        <f ca="1">IF(ISERROR(OFFSET(Bronzo!$A$1,MATCH(J1057,Bronzo!$A:$A,0)-1,MATCH(K1057,Bronzo!$A$1:$AA$1,0)-1)=TRUE),0,OFFSET(Bronzo!$A$1,MATCH(J1057,Bronzo!$A:$A,0)-1,MATCH(K1057,Bronzo!$A$1:$AA$1,0)-1))</f>
        <v>0</v>
      </c>
      <c r="V1057" s="205">
        <f t="shared" ca="1" si="312"/>
        <v>0</v>
      </c>
      <c r="W1057" s="204"/>
      <c r="X1057" s="205">
        <v>0</v>
      </c>
      <c r="Y1057" s="206">
        <f t="shared" ca="1" si="313"/>
        <v>0</v>
      </c>
      <c r="Z1057" s="277">
        <f t="shared" si="314"/>
        <v>0</v>
      </c>
      <c r="AA1057" s="203"/>
      <c r="AB1057" s="203">
        <f t="shared" ca="1" si="315"/>
        <v>0</v>
      </c>
      <c r="AC1057" s="238"/>
      <c r="AI1057" s="367">
        <f t="shared" ca="1" si="310"/>
        <v>46092</v>
      </c>
      <c r="AJ1057" s="367" t="b">
        <f t="shared" si="316"/>
        <v>1</v>
      </c>
      <c r="AK1057" s="370" t="str">
        <f t="shared" si="317"/>
        <v/>
      </c>
      <c r="AN1057">
        <f t="shared" si="318"/>
        <v>0</v>
      </c>
      <c r="AO1057">
        <f t="shared" si="319"/>
        <v>1900</v>
      </c>
      <c r="AV1057">
        <f t="shared" si="308"/>
        <v>0</v>
      </c>
      <c r="AW1057">
        <f t="shared" si="309"/>
        <v>0</v>
      </c>
    </row>
    <row r="1058" spans="4:49" ht="15.75" x14ac:dyDescent="0.25">
      <c r="D1058" s="199"/>
      <c r="E1058" s="200"/>
      <c r="F1058" s="287"/>
      <c r="G1058" s="201"/>
      <c r="H1058" s="219"/>
      <c r="I1058" s="202"/>
      <c r="J1058" s="200"/>
      <c r="K1058" s="200"/>
      <c r="L1058" s="203"/>
      <c r="M1058" s="204">
        <f ca="1">IF(ISERROR(OFFSET(Tabella!$A$1,MATCH(J1058,Tabella!$A:$A,0)-1,MATCH(L1058,Tabella!$A$1:$AC$1,0)-1)=TRUE),0,+OFFSET(Tabella!$A$1,MATCH(J1058,Tabella!$A:$A,0)-1,MATCH(L1058,Tabella!$A$1:$AC$1,0)-1))</f>
        <v>0</v>
      </c>
      <c r="N1058" s="205">
        <f ca="1">IF(ISERROR(OFFSET(Ottone!$A$1,MATCH(J1058,Ottone!$A:$A,0)-1,MATCH(L1058,Ottone!$A$1:$Z$1,0)-1)=TRUE),0,OFFSET(Ottone!$A$1,MATCH(J1058,Ottone!$A:$A,0)-1,MATCH(L1058,Ottone!$A$1:$Z$1,0)-1))*IF(G1058="Ottone",1,0)</f>
        <v>0</v>
      </c>
      <c r="O1058" s="205">
        <f ca="1">IF(ISERROR(OFFSET(Rame!$A$1,MATCH(J1058,Rame!$A:$A,0)-1,MATCH(L1058,Rame!$A$1:$AA$1,0)-1)=TRUE),0,OFFSET(Rame!$A$1,MATCH(J1058,Rame!$A:$A,0)-1,MATCH(L1058,Rame!$A$1:$AA$1,0)-1))*IF(G1058="Rame",1,0)</f>
        <v>0</v>
      </c>
      <c r="P1058" s="205">
        <v>0</v>
      </c>
      <c r="Q1058" s="205">
        <f t="shared" ca="1" si="311"/>
        <v>0</v>
      </c>
      <c r="R1058" s="205">
        <f ca="1">+IF(ISERROR(OFFSET(Tabella!$G$1,MATCH(J1058,Tabella!$G:$G,0)-1,MATCH(K1058,Tabella!$G$1:$FG$1,0)-1)=TRUE),0,OFFSET(Tabella!$G$1,MATCH(J1058,Tabella!$G:$G,0)-1,MATCH(K1058,Tabella!$G$1:$AB$1,0)-1))</f>
        <v>0</v>
      </c>
      <c r="S1058" s="205">
        <f ca="1">IF(ISERROR(OFFSET(Ottone!$F$1,MATCH(J1058,Ottone!$A:$A,0)-1,MATCH(K1058,Ottone!$F$1:$FF$1,0)-1)=TRUE),0,OFFSET(Ottone!$F$1,MATCH(J1058,Ottone!$A:$A,0)-1,MATCH(K1058,Ottone!$F$1:$FF$1,0)-1))*IF(G1058="Ottone",1,0)</f>
        <v>0</v>
      </c>
      <c r="T1058" s="205">
        <f ca="1">IF(ISERROR(OFFSET(Rame!$F$1,MATCH(J1058,Rame!$F:$F,0)-1,MATCH(K1058,Rame!$F$1:$FF$1,0)-1)=TRUE),0,OFFSET(Rame!$F$1,MATCH(J1058,Rame!$F:$F,0)-1,MATCH(K1058,Rame!$F$1:$FF$1,0)-1))*IF(G1058="Rame",1,0)</f>
        <v>0</v>
      </c>
      <c r="U1058" s="205">
        <f ca="1">IF(ISERROR(OFFSET(Bronzo!$A$1,MATCH(J1058,Bronzo!$A:$A,0)-1,MATCH(K1058,Bronzo!$A$1:$AA$1,0)-1)=TRUE),0,OFFSET(Bronzo!$A$1,MATCH(J1058,Bronzo!$A:$A,0)-1,MATCH(K1058,Bronzo!$A$1:$AA$1,0)-1))</f>
        <v>0</v>
      </c>
      <c r="V1058" s="205">
        <f t="shared" ca="1" si="312"/>
        <v>0</v>
      </c>
      <c r="W1058" s="204"/>
      <c r="X1058" s="205">
        <v>0</v>
      </c>
      <c r="Y1058" s="206">
        <f t="shared" ca="1" si="313"/>
        <v>0</v>
      </c>
      <c r="Z1058" s="277">
        <f t="shared" si="314"/>
        <v>0</v>
      </c>
      <c r="AA1058" s="203"/>
      <c r="AB1058" s="203">
        <f t="shared" ca="1" si="315"/>
        <v>0</v>
      </c>
      <c r="AC1058" s="238"/>
      <c r="AI1058" s="367">
        <f t="shared" ca="1" si="310"/>
        <v>46092</v>
      </c>
      <c r="AJ1058" s="367" t="b">
        <f t="shared" si="316"/>
        <v>1</v>
      </c>
      <c r="AK1058" s="370" t="str">
        <f t="shared" si="317"/>
        <v/>
      </c>
      <c r="AN1058">
        <f t="shared" si="318"/>
        <v>0</v>
      </c>
      <c r="AO1058">
        <f t="shared" si="319"/>
        <v>1900</v>
      </c>
      <c r="AV1058">
        <f t="shared" si="308"/>
        <v>0</v>
      </c>
      <c r="AW1058">
        <f t="shared" si="309"/>
        <v>0</v>
      </c>
    </row>
    <row r="1059" spans="4:49" ht="15.75" x14ac:dyDescent="0.25">
      <c r="D1059" s="199"/>
      <c r="E1059" s="200"/>
      <c r="F1059" s="287"/>
      <c r="G1059" s="201"/>
      <c r="H1059" s="219"/>
      <c r="I1059" s="202"/>
      <c r="J1059" s="200"/>
      <c r="K1059" s="200"/>
      <c r="L1059" s="203"/>
      <c r="M1059" s="204">
        <f ca="1">IF(ISERROR(OFFSET(Tabella!$A$1,MATCH(J1059,Tabella!$A:$A,0)-1,MATCH(L1059,Tabella!$A$1:$AC$1,0)-1)=TRUE),0,+OFFSET(Tabella!$A$1,MATCH(J1059,Tabella!$A:$A,0)-1,MATCH(L1059,Tabella!$A$1:$AC$1,0)-1))</f>
        <v>0</v>
      </c>
      <c r="N1059" s="205">
        <f ca="1">IF(ISERROR(OFFSET(Ottone!$A$1,MATCH(J1059,Ottone!$A:$A,0)-1,MATCH(L1059,Ottone!$A$1:$Z$1,0)-1)=TRUE),0,OFFSET(Ottone!$A$1,MATCH(J1059,Ottone!$A:$A,0)-1,MATCH(L1059,Ottone!$A$1:$Z$1,0)-1))*IF(G1059="Ottone",1,0)</f>
        <v>0</v>
      </c>
      <c r="O1059" s="205">
        <f ca="1">IF(ISERROR(OFFSET(Rame!$A$1,MATCH(J1059,Rame!$A:$A,0)-1,MATCH(L1059,Rame!$A$1:$AA$1,0)-1)=TRUE),0,OFFSET(Rame!$A$1,MATCH(J1059,Rame!$A:$A,0)-1,MATCH(L1059,Rame!$A$1:$AA$1,0)-1))*IF(G1059="Rame",1,0)</f>
        <v>0</v>
      </c>
      <c r="P1059" s="205">
        <v>0</v>
      </c>
      <c r="Q1059" s="205">
        <f t="shared" ca="1" si="311"/>
        <v>0</v>
      </c>
      <c r="R1059" s="205">
        <f ca="1">+IF(ISERROR(OFFSET(Tabella!$G$1,MATCH(J1059,Tabella!$G:$G,0)-1,MATCH(K1059,Tabella!$G$1:$FG$1,0)-1)=TRUE),0,OFFSET(Tabella!$G$1,MATCH(J1059,Tabella!$G:$G,0)-1,MATCH(K1059,Tabella!$G$1:$AB$1,0)-1))</f>
        <v>0</v>
      </c>
      <c r="S1059" s="205">
        <f ca="1">IF(ISERROR(OFFSET(Ottone!$F$1,MATCH(J1059,Ottone!$A:$A,0)-1,MATCH(K1059,Ottone!$F$1:$FF$1,0)-1)=TRUE),0,OFFSET(Ottone!$F$1,MATCH(J1059,Ottone!$A:$A,0)-1,MATCH(K1059,Ottone!$F$1:$FF$1,0)-1))*IF(G1059="Ottone",1,0)</f>
        <v>0</v>
      </c>
      <c r="T1059" s="205">
        <f ca="1">IF(ISERROR(OFFSET(Rame!$F$1,MATCH(J1059,Rame!$F:$F,0)-1,MATCH(K1059,Rame!$F$1:$FF$1,0)-1)=TRUE),0,OFFSET(Rame!$F$1,MATCH(J1059,Rame!$F:$F,0)-1,MATCH(K1059,Rame!$F$1:$FF$1,0)-1))*IF(G1059="Rame",1,0)</f>
        <v>0</v>
      </c>
      <c r="U1059" s="205">
        <f ca="1">IF(ISERROR(OFFSET(Bronzo!$A$1,MATCH(J1059,Bronzo!$A:$A,0)-1,MATCH(K1059,Bronzo!$A$1:$AA$1,0)-1)=TRUE),0,OFFSET(Bronzo!$A$1,MATCH(J1059,Bronzo!$A:$A,0)-1,MATCH(K1059,Bronzo!$A$1:$AA$1,0)-1))</f>
        <v>0</v>
      </c>
      <c r="V1059" s="205">
        <f t="shared" ca="1" si="312"/>
        <v>0</v>
      </c>
      <c r="W1059" s="204"/>
      <c r="X1059" s="205">
        <v>0</v>
      </c>
      <c r="Y1059" s="206">
        <f t="shared" ca="1" si="313"/>
        <v>0</v>
      </c>
      <c r="Z1059" s="277">
        <f t="shared" si="314"/>
        <v>0</v>
      </c>
      <c r="AA1059" s="203"/>
      <c r="AB1059" s="203">
        <f t="shared" ca="1" si="315"/>
        <v>0</v>
      </c>
      <c r="AC1059" s="238"/>
      <c r="AI1059" s="367">
        <f t="shared" ca="1" si="310"/>
        <v>46092</v>
      </c>
      <c r="AJ1059" s="367" t="b">
        <f t="shared" si="316"/>
        <v>1</v>
      </c>
      <c r="AK1059" s="370" t="str">
        <f t="shared" si="317"/>
        <v/>
      </c>
      <c r="AN1059">
        <f t="shared" si="318"/>
        <v>0</v>
      </c>
      <c r="AO1059">
        <f t="shared" si="319"/>
        <v>1900</v>
      </c>
      <c r="AV1059">
        <f t="shared" si="308"/>
        <v>0</v>
      </c>
      <c r="AW1059">
        <f t="shared" si="309"/>
        <v>0</v>
      </c>
    </row>
    <row r="1060" spans="4:49" ht="15.75" x14ac:dyDescent="0.25">
      <c r="D1060" s="199"/>
      <c r="E1060" s="200"/>
      <c r="F1060" s="287"/>
      <c r="G1060" s="201"/>
      <c r="H1060" s="219"/>
      <c r="I1060" s="202"/>
      <c r="J1060" s="200"/>
      <c r="K1060" s="200"/>
      <c r="L1060" s="203"/>
      <c r="M1060" s="204">
        <f ca="1">IF(ISERROR(OFFSET(Tabella!$A$1,MATCH(J1060,Tabella!$A:$A,0)-1,MATCH(L1060,Tabella!$A$1:$AC$1,0)-1)=TRUE),0,+OFFSET(Tabella!$A$1,MATCH(J1060,Tabella!$A:$A,0)-1,MATCH(L1060,Tabella!$A$1:$AC$1,0)-1))</f>
        <v>0</v>
      </c>
      <c r="N1060" s="205">
        <f ca="1">IF(ISERROR(OFFSET(Ottone!$A$1,MATCH(J1060,Ottone!$A:$A,0)-1,MATCH(L1060,Ottone!$A$1:$Z$1,0)-1)=TRUE),0,OFFSET(Ottone!$A$1,MATCH(J1060,Ottone!$A:$A,0)-1,MATCH(L1060,Ottone!$A$1:$Z$1,0)-1))*IF(G1060="Ottone",1,0)</f>
        <v>0</v>
      </c>
      <c r="O1060" s="205">
        <f ca="1">IF(ISERROR(OFFSET(Rame!$A$1,MATCH(J1060,Rame!$A:$A,0)-1,MATCH(L1060,Rame!$A$1:$AA$1,0)-1)=TRUE),0,OFFSET(Rame!$A$1,MATCH(J1060,Rame!$A:$A,0)-1,MATCH(L1060,Rame!$A$1:$AA$1,0)-1))*IF(G1060="Rame",1,0)</f>
        <v>0</v>
      </c>
      <c r="P1060" s="205">
        <v>0</v>
      </c>
      <c r="Q1060" s="205">
        <f t="shared" ca="1" si="311"/>
        <v>0</v>
      </c>
      <c r="R1060" s="205">
        <f ca="1">+IF(ISERROR(OFFSET(Tabella!$G$1,MATCH(J1060,Tabella!$G:$G,0)-1,MATCH(K1060,Tabella!$G$1:$FG$1,0)-1)=TRUE),0,OFFSET(Tabella!$G$1,MATCH(J1060,Tabella!$G:$G,0)-1,MATCH(K1060,Tabella!$G$1:$AB$1,0)-1))</f>
        <v>0</v>
      </c>
      <c r="S1060" s="205">
        <f ca="1">IF(ISERROR(OFFSET(Ottone!$F$1,MATCH(J1060,Ottone!$A:$A,0)-1,MATCH(K1060,Ottone!$F$1:$FF$1,0)-1)=TRUE),0,OFFSET(Ottone!$F$1,MATCH(J1060,Ottone!$A:$A,0)-1,MATCH(K1060,Ottone!$F$1:$FF$1,0)-1))*IF(G1060="Ottone",1,0)</f>
        <v>0</v>
      </c>
      <c r="T1060" s="205">
        <f ca="1">IF(ISERROR(OFFSET(Rame!$F$1,MATCH(J1060,Rame!$F:$F,0)-1,MATCH(K1060,Rame!$F$1:$FF$1,0)-1)=TRUE),0,OFFSET(Rame!$F$1,MATCH(J1060,Rame!$F:$F,0)-1,MATCH(K1060,Rame!$F$1:$FF$1,0)-1))*IF(G1060="Rame",1,0)</f>
        <v>0</v>
      </c>
      <c r="U1060" s="205">
        <f ca="1">IF(ISERROR(OFFSET(Bronzo!$A$1,MATCH(J1060,Bronzo!$A:$A,0)-1,MATCH(K1060,Bronzo!$A$1:$AA$1,0)-1)=TRUE),0,OFFSET(Bronzo!$A$1,MATCH(J1060,Bronzo!$A:$A,0)-1,MATCH(K1060,Bronzo!$A$1:$AA$1,0)-1))</f>
        <v>0</v>
      </c>
      <c r="V1060" s="205">
        <f t="shared" ca="1" si="312"/>
        <v>0</v>
      </c>
      <c r="W1060" s="204"/>
      <c r="X1060" s="205">
        <v>0</v>
      </c>
      <c r="Y1060" s="206">
        <f t="shared" ca="1" si="313"/>
        <v>0</v>
      </c>
      <c r="Z1060" s="277">
        <f t="shared" si="314"/>
        <v>0</v>
      </c>
      <c r="AA1060" s="203"/>
      <c r="AB1060" s="203">
        <f t="shared" ca="1" si="315"/>
        <v>0</v>
      </c>
      <c r="AC1060" s="238"/>
      <c r="AI1060" s="367">
        <f t="shared" ca="1" si="310"/>
        <v>46092</v>
      </c>
      <c r="AJ1060" s="367" t="b">
        <f t="shared" si="316"/>
        <v>1</v>
      </c>
      <c r="AK1060" s="370" t="str">
        <f t="shared" si="317"/>
        <v/>
      </c>
      <c r="AN1060">
        <f t="shared" si="318"/>
        <v>0</v>
      </c>
      <c r="AO1060">
        <f t="shared" si="319"/>
        <v>1900</v>
      </c>
      <c r="AV1060">
        <f t="shared" si="308"/>
        <v>0</v>
      </c>
      <c r="AW1060">
        <f t="shared" si="309"/>
        <v>0</v>
      </c>
    </row>
    <row r="1061" spans="4:49" ht="15.75" x14ac:dyDescent="0.25">
      <c r="D1061" s="199"/>
      <c r="E1061" s="200"/>
      <c r="F1061" s="287"/>
      <c r="G1061" s="201"/>
      <c r="H1061" s="219"/>
      <c r="I1061" s="202"/>
      <c r="J1061" s="200"/>
      <c r="K1061" s="200"/>
      <c r="L1061" s="203"/>
      <c r="M1061" s="204">
        <f ca="1">IF(ISERROR(OFFSET(Tabella!$A$1,MATCH(J1061,Tabella!$A:$A,0)-1,MATCH(L1061,Tabella!$A$1:$AC$1,0)-1)=TRUE),0,+OFFSET(Tabella!$A$1,MATCH(J1061,Tabella!$A:$A,0)-1,MATCH(L1061,Tabella!$A$1:$AC$1,0)-1))</f>
        <v>0</v>
      </c>
      <c r="N1061" s="205">
        <f ca="1">IF(ISERROR(OFFSET(Ottone!$A$1,MATCH(J1061,Ottone!$A:$A,0)-1,MATCH(L1061,Ottone!$A$1:$Z$1,0)-1)=TRUE),0,OFFSET(Ottone!$A$1,MATCH(J1061,Ottone!$A:$A,0)-1,MATCH(L1061,Ottone!$A$1:$Z$1,0)-1))*IF(G1061="Ottone",1,0)</f>
        <v>0</v>
      </c>
      <c r="O1061" s="205">
        <f ca="1">IF(ISERROR(OFFSET(Rame!$A$1,MATCH(J1061,Rame!$A:$A,0)-1,MATCH(L1061,Rame!$A$1:$AA$1,0)-1)=TRUE),0,OFFSET(Rame!$A$1,MATCH(J1061,Rame!$A:$A,0)-1,MATCH(L1061,Rame!$A$1:$AA$1,0)-1))*IF(G1061="Rame",1,0)</f>
        <v>0</v>
      </c>
      <c r="P1061" s="205">
        <v>0</v>
      </c>
      <c r="Q1061" s="205">
        <f t="shared" ca="1" si="311"/>
        <v>0</v>
      </c>
      <c r="R1061" s="205">
        <f ca="1">+IF(ISERROR(OFFSET(Tabella!$G$1,MATCH(J1061,Tabella!$G:$G,0)-1,MATCH(K1061,Tabella!$G$1:$FG$1,0)-1)=TRUE),0,OFFSET(Tabella!$G$1,MATCH(J1061,Tabella!$G:$G,0)-1,MATCH(K1061,Tabella!$G$1:$AB$1,0)-1))</f>
        <v>0</v>
      </c>
      <c r="S1061" s="205">
        <f ca="1">IF(ISERROR(OFFSET(Ottone!$F$1,MATCH(J1061,Ottone!$A:$A,0)-1,MATCH(K1061,Ottone!$F$1:$FF$1,0)-1)=TRUE),0,OFFSET(Ottone!$F$1,MATCH(J1061,Ottone!$A:$A,0)-1,MATCH(K1061,Ottone!$F$1:$FF$1,0)-1))*IF(G1061="Ottone",1,0)</f>
        <v>0</v>
      </c>
      <c r="T1061" s="205">
        <f ca="1">IF(ISERROR(OFFSET(Rame!$F$1,MATCH(J1061,Rame!$F:$F,0)-1,MATCH(K1061,Rame!$F$1:$FF$1,0)-1)=TRUE),0,OFFSET(Rame!$F$1,MATCH(J1061,Rame!$F:$F,0)-1,MATCH(K1061,Rame!$F$1:$FF$1,0)-1))*IF(G1061="Rame",1,0)</f>
        <v>0</v>
      </c>
      <c r="U1061" s="205">
        <f ca="1">IF(ISERROR(OFFSET(Bronzo!$A$1,MATCH(J1061,Bronzo!$A:$A,0)-1,MATCH(K1061,Bronzo!$A$1:$AA$1,0)-1)=TRUE),0,OFFSET(Bronzo!$A$1,MATCH(J1061,Bronzo!$A:$A,0)-1,MATCH(K1061,Bronzo!$A$1:$AA$1,0)-1))</f>
        <v>0</v>
      </c>
      <c r="V1061" s="205">
        <f t="shared" ca="1" si="312"/>
        <v>0</v>
      </c>
      <c r="W1061" s="204"/>
      <c r="X1061" s="205">
        <v>0</v>
      </c>
      <c r="Y1061" s="206">
        <f t="shared" ca="1" si="313"/>
        <v>0</v>
      </c>
      <c r="Z1061" s="277">
        <f t="shared" si="314"/>
        <v>0</v>
      </c>
      <c r="AA1061" s="203"/>
      <c r="AB1061" s="203">
        <f t="shared" ca="1" si="315"/>
        <v>0</v>
      </c>
      <c r="AC1061" s="238"/>
      <c r="AI1061" s="367">
        <f t="shared" ca="1" si="310"/>
        <v>46092</v>
      </c>
      <c r="AJ1061" s="367" t="b">
        <f t="shared" si="316"/>
        <v>1</v>
      </c>
      <c r="AK1061" s="370" t="str">
        <f t="shared" si="317"/>
        <v/>
      </c>
      <c r="AN1061">
        <f t="shared" si="318"/>
        <v>0</v>
      </c>
      <c r="AO1061">
        <f t="shared" si="319"/>
        <v>1900</v>
      </c>
      <c r="AV1061">
        <f t="shared" ref="AV1061:AV1124" si="320">IF(AC1061="",0,MONTH(AC1061))</f>
        <v>0</v>
      </c>
      <c r="AW1061">
        <f t="shared" ref="AW1061:AW1124" si="321">IF(AC1061="",0,YEAR(AC1061))</f>
        <v>0</v>
      </c>
    </row>
    <row r="1062" spans="4:49" ht="15.75" x14ac:dyDescent="0.25">
      <c r="D1062" s="199"/>
      <c r="E1062" s="200"/>
      <c r="F1062" s="287"/>
      <c r="G1062" s="201"/>
      <c r="H1062" s="219"/>
      <c r="I1062" s="202"/>
      <c r="J1062" s="200"/>
      <c r="K1062" s="200"/>
      <c r="L1062" s="203"/>
      <c r="M1062" s="204">
        <f ca="1">IF(ISERROR(OFFSET(Tabella!$A$1,MATCH(J1062,Tabella!$A:$A,0)-1,MATCH(L1062,Tabella!$A$1:$AC$1,0)-1)=TRUE),0,+OFFSET(Tabella!$A$1,MATCH(J1062,Tabella!$A:$A,0)-1,MATCH(L1062,Tabella!$A$1:$AC$1,0)-1))</f>
        <v>0</v>
      </c>
      <c r="N1062" s="205">
        <f ca="1">IF(ISERROR(OFFSET(Ottone!$A$1,MATCH(J1062,Ottone!$A:$A,0)-1,MATCH(L1062,Ottone!$A$1:$Z$1,0)-1)=TRUE),0,OFFSET(Ottone!$A$1,MATCH(J1062,Ottone!$A:$A,0)-1,MATCH(L1062,Ottone!$A$1:$Z$1,0)-1))*IF(G1062="Ottone",1,0)</f>
        <v>0</v>
      </c>
      <c r="O1062" s="205">
        <f ca="1">IF(ISERROR(OFFSET(Rame!$A$1,MATCH(J1062,Rame!$A:$A,0)-1,MATCH(L1062,Rame!$A$1:$AA$1,0)-1)=TRUE),0,OFFSET(Rame!$A$1,MATCH(J1062,Rame!$A:$A,0)-1,MATCH(L1062,Rame!$A$1:$AA$1,0)-1))*IF(G1062="Rame",1,0)</f>
        <v>0</v>
      </c>
      <c r="P1062" s="205">
        <v>0</v>
      </c>
      <c r="Q1062" s="205">
        <f t="shared" ca="1" si="311"/>
        <v>0</v>
      </c>
      <c r="R1062" s="205">
        <f ca="1">+IF(ISERROR(OFFSET(Tabella!$G$1,MATCH(J1062,Tabella!$G:$G,0)-1,MATCH(K1062,Tabella!$G$1:$FG$1,0)-1)=TRUE),0,OFFSET(Tabella!$G$1,MATCH(J1062,Tabella!$G:$G,0)-1,MATCH(K1062,Tabella!$G$1:$AB$1,0)-1))</f>
        <v>0</v>
      </c>
      <c r="S1062" s="205">
        <f ca="1">IF(ISERROR(OFFSET(Ottone!$F$1,MATCH(J1062,Ottone!$A:$A,0)-1,MATCH(K1062,Ottone!$F$1:$FF$1,0)-1)=TRUE),0,OFFSET(Ottone!$F$1,MATCH(J1062,Ottone!$A:$A,0)-1,MATCH(K1062,Ottone!$F$1:$FF$1,0)-1))*IF(G1062="Ottone",1,0)</f>
        <v>0</v>
      </c>
      <c r="T1062" s="205">
        <f ca="1">IF(ISERROR(OFFSET(Rame!$F$1,MATCH(J1062,Rame!$F:$F,0)-1,MATCH(K1062,Rame!$F$1:$FF$1,0)-1)=TRUE),0,OFFSET(Rame!$F$1,MATCH(J1062,Rame!$F:$F,0)-1,MATCH(K1062,Rame!$F$1:$FF$1,0)-1))*IF(G1062="Rame",1,0)</f>
        <v>0</v>
      </c>
      <c r="U1062" s="205">
        <f ca="1">IF(ISERROR(OFFSET(Bronzo!$A$1,MATCH(J1062,Bronzo!$A:$A,0)-1,MATCH(K1062,Bronzo!$A$1:$AA$1,0)-1)=TRUE),0,OFFSET(Bronzo!$A$1,MATCH(J1062,Bronzo!$A:$A,0)-1,MATCH(K1062,Bronzo!$A$1:$AA$1,0)-1))</f>
        <v>0</v>
      </c>
      <c r="V1062" s="205">
        <f t="shared" ca="1" si="312"/>
        <v>0</v>
      </c>
      <c r="W1062" s="204"/>
      <c r="X1062" s="205">
        <v>0</v>
      </c>
      <c r="Y1062" s="206">
        <f t="shared" ca="1" si="313"/>
        <v>0</v>
      </c>
      <c r="Z1062" s="277">
        <f t="shared" si="314"/>
        <v>0</v>
      </c>
      <c r="AA1062" s="203"/>
      <c r="AB1062" s="203">
        <f t="shared" ca="1" si="315"/>
        <v>0</v>
      </c>
      <c r="AC1062" s="238"/>
      <c r="AI1062" s="367">
        <f t="shared" ca="1" si="310"/>
        <v>46092</v>
      </c>
      <c r="AJ1062" s="367" t="b">
        <f t="shared" si="316"/>
        <v>1</v>
      </c>
      <c r="AK1062" s="370" t="str">
        <f t="shared" si="317"/>
        <v/>
      </c>
      <c r="AN1062">
        <f t="shared" si="318"/>
        <v>0</v>
      </c>
      <c r="AO1062">
        <f t="shared" si="319"/>
        <v>1900</v>
      </c>
      <c r="AV1062">
        <f t="shared" si="320"/>
        <v>0</v>
      </c>
      <c r="AW1062">
        <f t="shared" si="321"/>
        <v>0</v>
      </c>
    </row>
    <row r="1063" spans="4:49" ht="15.75" x14ac:dyDescent="0.25">
      <c r="D1063" s="199"/>
      <c r="E1063" s="200"/>
      <c r="F1063" s="287"/>
      <c r="G1063" s="201"/>
      <c r="H1063" s="219"/>
      <c r="I1063" s="202"/>
      <c r="J1063" s="200"/>
      <c r="K1063" s="200"/>
      <c r="L1063" s="203"/>
      <c r="M1063" s="204">
        <f ca="1">IF(ISERROR(OFFSET(Tabella!$A$1,MATCH(J1063,Tabella!$A:$A,0)-1,MATCH(L1063,Tabella!$A$1:$AC$1,0)-1)=TRUE),0,+OFFSET(Tabella!$A$1,MATCH(J1063,Tabella!$A:$A,0)-1,MATCH(L1063,Tabella!$A$1:$AC$1,0)-1))</f>
        <v>0</v>
      </c>
      <c r="N1063" s="205">
        <f ca="1">IF(ISERROR(OFFSET(Ottone!$A$1,MATCH(J1063,Ottone!$A:$A,0)-1,MATCH(L1063,Ottone!$A$1:$Z$1,0)-1)=TRUE),0,OFFSET(Ottone!$A$1,MATCH(J1063,Ottone!$A:$A,0)-1,MATCH(L1063,Ottone!$A$1:$Z$1,0)-1))*IF(G1063="Ottone",1,0)</f>
        <v>0</v>
      </c>
      <c r="O1063" s="205">
        <f ca="1">IF(ISERROR(OFFSET(Rame!$A$1,MATCH(J1063,Rame!$A:$A,0)-1,MATCH(L1063,Rame!$A$1:$AA$1,0)-1)=TRUE),0,OFFSET(Rame!$A$1,MATCH(J1063,Rame!$A:$A,0)-1,MATCH(L1063,Rame!$A$1:$AA$1,0)-1))*IF(G1063="Rame",1,0)</f>
        <v>0</v>
      </c>
      <c r="P1063" s="205">
        <v>0</v>
      </c>
      <c r="Q1063" s="205">
        <f t="shared" ca="1" si="311"/>
        <v>0</v>
      </c>
      <c r="R1063" s="205">
        <f ca="1">+IF(ISERROR(OFFSET(Tabella!$G$1,MATCH(J1063,Tabella!$G:$G,0)-1,MATCH(K1063,Tabella!$G$1:$FG$1,0)-1)=TRUE),0,OFFSET(Tabella!$G$1,MATCH(J1063,Tabella!$G:$G,0)-1,MATCH(K1063,Tabella!$G$1:$AB$1,0)-1))</f>
        <v>0</v>
      </c>
      <c r="S1063" s="205">
        <f ca="1">IF(ISERROR(OFFSET(Ottone!$F$1,MATCH(J1063,Ottone!$A:$A,0)-1,MATCH(K1063,Ottone!$F$1:$FF$1,0)-1)=TRUE),0,OFFSET(Ottone!$F$1,MATCH(J1063,Ottone!$A:$A,0)-1,MATCH(K1063,Ottone!$F$1:$FF$1,0)-1))*IF(G1063="Ottone",1,0)</f>
        <v>0</v>
      </c>
      <c r="T1063" s="205">
        <f ca="1">IF(ISERROR(OFFSET(Rame!$F$1,MATCH(J1063,Rame!$F:$F,0)-1,MATCH(K1063,Rame!$F$1:$FF$1,0)-1)=TRUE),0,OFFSET(Rame!$F$1,MATCH(J1063,Rame!$F:$F,0)-1,MATCH(K1063,Rame!$F$1:$FF$1,0)-1))*IF(G1063="Rame",1,0)</f>
        <v>0</v>
      </c>
      <c r="U1063" s="205">
        <f ca="1">IF(ISERROR(OFFSET(Bronzo!$A$1,MATCH(J1063,Bronzo!$A:$A,0)-1,MATCH(K1063,Bronzo!$A$1:$AA$1,0)-1)=TRUE),0,OFFSET(Bronzo!$A$1,MATCH(J1063,Bronzo!$A:$A,0)-1,MATCH(K1063,Bronzo!$A$1:$AA$1,0)-1))</f>
        <v>0</v>
      </c>
      <c r="V1063" s="205">
        <f t="shared" ca="1" si="312"/>
        <v>0</v>
      </c>
      <c r="W1063" s="204"/>
      <c r="X1063" s="205">
        <v>0</v>
      </c>
      <c r="Y1063" s="206">
        <f t="shared" ca="1" si="313"/>
        <v>0</v>
      </c>
      <c r="Z1063" s="277">
        <f t="shared" si="314"/>
        <v>0</v>
      </c>
      <c r="AA1063" s="203"/>
      <c r="AB1063" s="203">
        <f t="shared" ca="1" si="315"/>
        <v>0</v>
      </c>
      <c r="AC1063" s="238"/>
      <c r="AI1063" s="367">
        <f t="shared" ca="1" si="310"/>
        <v>46092</v>
      </c>
      <c r="AJ1063" s="367" t="b">
        <f t="shared" si="316"/>
        <v>1</v>
      </c>
      <c r="AK1063" s="370" t="str">
        <f t="shared" si="317"/>
        <v/>
      </c>
      <c r="AN1063">
        <f t="shared" si="318"/>
        <v>0</v>
      </c>
      <c r="AO1063">
        <f t="shared" si="319"/>
        <v>1900</v>
      </c>
      <c r="AV1063">
        <f t="shared" si="320"/>
        <v>0</v>
      </c>
      <c r="AW1063">
        <f t="shared" si="321"/>
        <v>0</v>
      </c>
    </row>
    <row r="1064" spans="4:49" ht="15.75" x14ac:dyDescent="0.25">
      <c r="D1064" s="199"/>
      <c r="E1064" s="200"/>
      <c r="F1064" s="287"/>
      <c r="G1064" s="201"/>
      <c r="H1064" s="219"/>
      <c r="I1064" s="202"/>
      <c r="J1064" s="200"/>
      <c r="K1064" s="200"/>
      <c r="L1064" s="203"/>
      <c r="M1064" s="204">
        <f ca="1">IF(ISERROR(OFFSET(Tabella!$A$1,MATCH(J1064,Tabella!$A:$A,0)-1,MATCH(L1064,Tabella!$A$1:$AC$1,0)-1)=TRUE),0,+OFFSET(Tabella!$A$1,MATCH(J1064,Tabella!$A:$A,0)-1,MATCH(L1064,Tabella!$A$1:$AC$1,0)-1))</f>
        <v>0</v>
      </c>
      <c r="N1064" s="205">
        <f ca="1">IF(ISERROR(OFFSET(Ottone!$A$1,MATCH(J1064,Ottone!$A:$A,0)-1,MATCH(L1064,Ottone!$A$1:$Z$1,0)-1)=TRUE),0,OFFSET(Ottone!$A$1,MATCH(J1064,Ottone!$A:$A,0)-1,MATCH(L1064,Ottone!$A$1:$Z$1,0)-1))*IF(G1064="Ottone",1,0)</f>
        <v>0</v>
      </c>
      <c r="O1064" s="205">
        <f ca="1">IF(ISERROR(OFFSET(Rame!$A$1,MATCH(J1064,Rame!$A:$A,0)-1,MATCH(L1064,Rame!$A$1:$AA$1,0)-1)=TRUE),0,OFFSET(Rame!$A$1,MATCH(J1064,Rame!$A:$A,0)-1,MATCH(L1064,Rame!$A$1:$AA$1,0)-1))*IF(G1064="Rame",1,0)</f>
        <v>0</v>
      </c>
      <c r="P1064" s="205">
        <v>0</v>
      </c>
      <c r="Q1064" s="205">
        <f t="shared" ca="1" si="311"/>
        <v>0</v>
      </c>
      <c r="R1064" s="205">
        <f ca="1">+IF(ISERROR(OFFSET(Tabella!$G$1,MATCH(J1064,Tabella!$G:$G,0)-1,MATCH(K1064,Tabella!$G$1:$FG$1,0)-1)=TRUE),0,OFFSET(Tabella!$G$1,MATCH(J1064,Tabella!$G:$G,0)-1,MATCH(K1064,Tabella!$G$1:$AB$1,0)-1))</f>
        <v>0</v>
      </c>
      <c r="S1064" s="205">
        <f ca="1">IF(ISERROR(OFFSET(Ottone!$F$1,MATCH(J1064,Ottone!$A:$A,0)-1,MATCH(K1064,Ottone!$F$1:$FF$1,0)-1)=TRUE),0,OFFSET(Ottone!$F$1,MATCH(J1064,Ottone!$A:$A,0)-1,MATCH(K1064,Ottone!$F$1:$FF$1,0)-1))*IF(G1064="Ottone",1,0)</f>
        <v>0</v>
      </c>
      <c r="T1064" s="205">
        <f ca="1">IF(ISERROR(OFFSET(Rame!$F$1,MATCH(J1064,Rame!$F:$F,0)-1,MATCH(K1064,Rame!$F$1:$FF$1,0)-1)=TRUE),0,OFFSET(Rame!$F$1,MATCH(J1064,Rame!$F:$F,0)-1,MATCH(K1064,Rame!$F$1:$FF$1,0)-1))*IF(G1064="Rame",1,0)</f>
        <v>0</v>
      </c>
      <c r="U1064" s="205">
        <f ca="1">IF(ISERROR(OFFSET(Bronzo!$A$1,MATCH(J1064,Bronzo!$A:$A,0)-1,MATCH(K1064,Bronzo!$A$1:$AA$1,0)-1)=TRUE),0,OFFSET(Bronzo!$A$1,MATCH(J1064,Bronzo!$A:$A,0)-1,MATCH(K1064,Bronzo!$A$1:$AA$1,0)-1))</f>
        <v>0</v>
      </c>
      <c r="V1064" s="205">
        <f t="shared" ca="1" si="312"/>
        <v>0</v>
      </c>
      <c r="W1064" s="204"/>
      <c r="X1064" s="205">
        <v>0</v>
      </c>
      <c r="Y1064" s="206">
        <f t="shared" ca="1" si="313"/>
        <v>0</v>
      </c>
      <c r="Z1064" s="277">
        <f t="shared" si="314"/>
        <v>0</v>
      </c>
      <c r="AA1064" s="203"/>
      <c r="AB1064" s="203">
        <f t="shared" ca="1" si="315"/>
        <v>0</v>
      </c>
      <c r="AC1064" s="238"/>
      <c r="AI1064" s="367">
        <f t="shared" ca="1" si="310"/>
        <v>46092</v>
      </c>
      <c r="AJ1064" s="367" t="b">
        <f t="shared" si="316"/>
        <v>1</v>
      </c>
      <c r="AK1064" s="370" t="str">
        <f t="shared" si="317"/>
        <v/>
      </c>
      <c r="AN1064">
        <f t="shared" si="318"/>
        <v>0</v>
      </c>
      <c r="AO1064">
        <f t="shared" si="319"/>
        <v>1900</v>
      </c>
      <c r="AV1064">
        <f t="shared" si="320"/>
        <v>0</v>
      </c>
      <c r="AW1064">
        <f t="shared" si="321"/>
        <v>0</v>
      </c>
    </row>
    <row r="1065" spans="4:49" ht="15.75" x14ac:dyDescent="0.25">
      <c r="D1065" s="199"/>
      <c r="E1065" s="200"/>
      <c r="F1065" s="287"/>
      <c r="G1065" s="201"/>
      <c r="H1065" s="219"/>
      <c r="I1065" s="202"/>
      <c r="J1065" s="200"/>
      <c r="K1065" s="200"/>
      <c r="L1065" s="203"/>
      <c r="M1065" s="204">
        <f ca="1">IF(ISERROR(OFFSET(Tabella!$A$1,MATCH(J1065,Tabella!$A:$A,0)-1,MATCH(L1065,Tabella!$A$1:$AC$1,0)-1)=TRUE),0,+OFFSET(Tabella!$A$1,MATCH(J1065,Tabella!$A:$A,0)-1,MATCH(L1065,Tabella!$A$1:$AC$1,0)-1))</f>
        <v>0</v>
      </c>
      <c r="N1065" s="205">
        <f ca="1">IF(ISERROR(OFFSET(Ottone!$A$1,MATCH(J1065,Ottone!$A:$A,0)-1,MATCH(L1065,Ottone!$A$1:$Z$1,0)-1)=TRUE),0,OFFSET(Ottone!$A$1,MATCH(J1065,Ottone!$A:$A,0)-1,MATCH(L1065,Ottone!$A$1:$Z$1,0)-1))*IF(G1065="Ottone",1,0)</f>
        <v>0</v>
      </c>
      <c r="O1065" s="205">
        <f ca="1">IF(ISERROR(OFFSET(Rame!$A$1,MATCH(J1065,Rame!$A:$A,0)-1,MATCH(L1065,Rame!$A$1:$AA$1,0)-1)=TRUE),0,OFFSET(Rame!$A$1,MATCH(J1065,Rame!$A:$A,0)-1,MATCH(L1065,Rame!$A$1:$AA$1,0)-1))*IF(G1065="Rame",1,0)</f>
        <v>0</v>
      </c>
      <c r="P1065" s="205">
        <v>0</v>
      </c>
      <c r="Q1065" s="205">
        <f t="shared" ca="1" si="311"/>
        <v>0</v>
      </c>
      <c r="R1065" s="205">
        <f ca="1">+IF(ISERROR(OFFSET(Tabella!$G$1,MATCH(J1065,Tabella!$G:$G,0)-1,MATCH(K1065,Tabella!$G$1:$FG$1,0)-1)=TRUE),0,OFFSET(Tabella!$G$1,MATCH(J1065,Tabella!$G:$G,0)-1,MATCH(K1065,Tabella!$G$1:$AB$1,0)-1))</f>
        <v>0</v>
      </c>
      <c r="S1065" s="205">
        <f ca="1">IF(ISERROR(OFFSET(Ottone!$F$1,MATCH(J1065,Ottone!$A:$A,0)-1,MATCH(K1065,Ottone!$F$1:$FF$1,0)-1)=TRUE),0,OFFSET(Ottone!$F$1,MATCH(J1065,Ottone!$A:$A,0)-1,MATCH(K1065,Ottone!$F$1:$FF$1,0)-1))*IF(G1065="Ottone",1,0)</f>
        <v>0</v>
      </c>
      <c r="T1065" s="205">
        <f ca="1">IF(ISERROR(OFFSET(Rame!$F$1,MATCH(J1065,Rame!$F:$F,0)-1,MATCH(K1065,Rame!$F$1:$FF$1,0)-1)=TRUE),0,OFFSET(Rame!$F$1,MATCH(J1065,Rame!$F:$F,0)-1,MATCH(K1065,Rame!$F$1:$FF$1,0)-1))*IF(G1065="Rame",1,0)</f>
        <v>0</v>
      </c>
      <c r="U1065" s="205">
        <f ca="1">IF(ISERROR(OFFSET(Bronzo!$A$1,MATCH(J1065,Bronzo!$A:$A,0)-1,MATCH(K1065,Bronzo!$A$1:$AA$1,0)-1)=TRUE),0,OFFSET(Bronzo!$A$1,MATCH(J1065,Bronzo!$A:$A,0)-1,MATCH(K1065,Bronzo!$A$1:$AA$1,0)-1))</f>
        <v>0</v>
      </c>
      <c r="V1065" s="205">
        <f t="shared" ca="1" si="312"/>
        <v>0</v>
      </c>
      <c r="W1065" s="204"/>
      <c r="X1065" s="205">
        <v>0</v>
      </c>
      <c r="Y1065" s="206">
        <f t="shared" ca="1" si="313"/>
        <v>0</v>
      </c>
      <c r="Z1065" s="277">
        <f t="shared" si="314"/>
        <v>0</v>
      </c>
      <c r="AA1065" s="203"/>
      <c r="AB1065" s="203">
        <f t="shared" ca="1" si="315"/>
        <v>0</v>
      </c>
      <c r="AC1065" s="238"/>
      <c r="AI1065" s="367">
        <f t="shared" ca="1" si="310"/>
        <v>46092</v>
      </c>
      <c r="AJ1065" s="367" t="b">
        <f t="shared" si="316"/>
        <v>1</v>
      </c>
      <c r="AK1065" s="370" t="str">
        <f t="shared" si="317"/>
        <v/>
      </c>
      <c r="AN1065">
        <f t="shared" si="318"/>
        <v>0</v>
      </c>
      <c r="AO1065">
        <f t="shared" si="319"/>
        <v>1900</v>
      </c>
      <c r="AV1065">
        <f t="shared" si="320"/>
        <v>0</v>
      </c>
      <c r="AW1065">
        <f t="shared" si="321"/>
        <v>0</v>
      </c>
    </row>
    <row r="1066" spans="4:49" ht="15.75" x14ac:dyDescent="0.25">
      <c r="D1066" s="199"/>
      <c r="E1066" s="200"/>
      <c r="F1066" s="287"/>
      <c r="G1066" s="201"/>
      <c r="H1066" s="219"/>
      <c r="I1066" s="202"/>
      <c r="J1066" s="200"/>
      <c r="K1066" s="200"/>
      <c r="L1066" s="203"/>
      <c r="M1066" s="204">
        <f ca="1">IF(ISERROR(OFFSET(Tabella!$A$1,MATCH(J1066,Tabella!$A:$A,0)-1,MATCH(L1066,Tabella!$A$1:$AC$1,0)-1)=TRUE),0,+OFFSET(Tabella!$A$1,MATCH(J1066,Tabella!$A:$A,0)-1,MATCH(L1066,Tabella!$A$1:$AC$1,0)-1))</f>
        <v>0</v>
      </c>
      <c r="N1066" s="205">
        <f ca="1">IF(ISERROR(OFFSET(Ottone!$A$1,MATCH(J1066,Ottone!$A:$A,0)-1,MATCH(L1066,Ottone!$A$1:$Z$1,0)-1)=TRUE),0,OFFSET(Ottone!$A$1,MATCH(J1066,Ottone!$A:$A,0)-1,MATCH(L1066,Ottone!$A$1:$Z$1,0)-1))*IF(G1066="Ottone",1,0)</f>
        <v>0</v>
      </c>
      <c r="O1066" s="205">
        <f ca="1">IF(ISERROR(OFFSET(Rame!$A$1,MATCH(J1066,Rame!$A:$A,0)-1,MATCH(L1066,Rame!$A$1:$AA$1,0)-1)=TRUE),0,OFFSET(Rame!$A$1,MATCH(J1066,Rame!$A:$A,0)-1,MATCH(L1066,Rame!$A$1:$AA$1,0)-1))*IF(G1066="Rame",1,0)</f>
        <v>0</v>
      </c>
      <c r="P1066" s="205">
        <v>0</v>
      </c>
      <c r="Q1066" s="205">
        <f t="shared" ca="1" si="311"/>
        <v>0</v>
      </c>
      <c r="R1066" s="205">
        <f ca="1">+IF(ISERROR(OFFSET(Tabella!$G$1,MATCH(J1066,Tabella!$G:$G,0)-1,MATCH(K1066,Tabella!$G$1:$FG$1,0)-1)=TRUE),0,OFFSET(Tabella!$G$1,MATCH(J1066,Tabella!$G:$G,0)-1,MATCH(K1066,Tabella!$G$1:$AB$1,0)-1))</f>
        <v>0</v>
      </c>
      <c r="S1066" s="205">
        <f ca="1">IF(ISERROR(OFFSET(Ottone!$F$1,MATCH(J1066,Ottone!$A:$A,0)-1,MATCH(K1066,Ottone!$F$1:$FF$1,0)-1)=TRUE),0,OFFSET(Ottone!$F$1,MATCH(J1066,Ottone!$A:$A,0)-1,MATCH(K1066,Ottone!$F$1:$FF$1,0)-1))*IF(G1066="Ottone",1,0)</f>
        <v>0</v>
      </c>
      <c r="T1066" s="205">
        <f ca="1">IF(ISERROR(OFFSET(Rame!$F$1,MATCH(J1066,Rame!$F:$F,0)-1,MATCH(K1066,Rame!$F$1:$FF$1,0)-1)=TRUE),0,OFFSET(Rame!$F$1,MATCH(J1066,Rame!$F:$F,0)-1,MATCH(K1066,Rame!$F$1:$FF$1,0)-1))*IF(G1066="Rame",1,0)</f>
        <v>0</v>
      </c>
      <c r="U1066" s="205">
        <f ca="1">IF(ISERROR(OFFSET(Bronzo!$A$1,MATCH(J1066,Bronzo!$A:$A,0)-1,MATCH(K1066,Bronzo!$A$1:$AA$1,0)-1)=TRUE),0,OFFSET(Bronzo!$A$1,MATCH(J1066,Bronzo!$A:$A,0)-1,MATCH(K1066,Bronzo!$A$1:$AA$1,0)-1))</f>
        <v>0</v>
      </c>
      <c r="V1066" s="205">
        <f t="shared" ca="1" si="312"/>
        <v>0</v>
      </c>
      <c r="W1066" s="204"/>
      <c r="X1066" s="205">
        <v>0</v>
      </c>
      <c r="Y1066" s="206">
        <f t="shared" ca="1" si="313"/>
        <v>0</v>
      </c>
      <c r="Z1066" s="277">
        <f t="shared" si="314"/>
        <v>0</v>
      </c>
      <c r="AA1066" s="203"/>
      <c r="AB1066" s="203">
        <f t="shared" ca="1" si="315"/>
        <v>0</v>
      </c>
      <c r="AC1066" s="238"/>
      <c r="AI1066" s="367">
        <f t="shared" ca="1" si="310"/>
        <v>46092</v>
      </c>
      <c r="AJ1066" s="367" t="b">
        <f t="shared" si="316"/>
        <v>1</v>
      </c>
      <c r="AK1066" s="370" t="str">
        <f t="shared" si="317"/>
        <v/>
      </c>
      <c r="AN1066">
        <f t="shared" si="318"/>
        <v>0</v>
      </c>
      <c r="AO1066">
        <f t="shared" si="319"/>
        <v>1900</v>
      </c>
      <c r="AV1066">
        <f t="shared" si="320"/>
        <v>0</v>
      </c>
      <c r="AW1066">
        <f t="shared" si="321"/>
        <v>0</v>
      </c>
    </row>
    <row r="1067" spans="4:49" ht="15.75" x14ac:dyDescent="0.25">
      <c r="D1067" s="199"/>
      <c r="E1067" s="200"/>
      <c r="F1067" s="287"/>
      <c r="G1067" s="201"/>
      <c r="H1067" s="219"/>
      <c r="I1067" s="202"/>
      <c r="J1067" s="200"/>
      <c r="K1067" s="200"/>
      <c r="L1067" s="203"/>
      <c r="M1067" s="204">
        <f ca="1">IF(ISERROR(OFFSET(Tabella!$A$1,MATCH(J1067,Tabella!$A:$A,0)-1,MATCH(L1067,Tabella!$A$1:$AC$1,0)-1)=TRUE),0,+OFFSET(Tabella!$A$1,MATCH(J1067,Tabella!$A:$A,0)-1,MATCH(L1067,Tabella!$A$1:$AC$1,0)-1))</f>
        <v>0</v>
      </c>
      <c r="N1067" s="205">
        <f ca="1">IF(ISERROR(OFFSET(Ottone!$A$1,MATCH(J1067,Ottone!$A:$A,0)-1,MATCH(L1067,Ottone!$A$1:$Z$1,0)-1)=TRUE),0,OFFSET(Ottone!$A$1,MATCH(J1067,Ottone!$A:$A,0)-1,MATCH(L1067,Ottone!$A$1:$Z$1,0)-1))*IF(G1067="Ottone",1,0)</f>
        <v>0</v>
      </c>
      <c r="O1067" s="205">
        <f ca="1">IF(ISERROR(OFFSET(Rame!$A$1,MATCH(J1067,Rame!$A:$A,0)-1,MATCH(L1067,Rame!$A$1:$AA$1,0)-1)=TRUE),0,OFFSET(Rame!$A$1,MATCH(J1067,Rame!$A:$A,0)-1,MATCH(L1067,Rame!$A$1:$AA$1,0)-1))*IF(G1067="Rame",1,0)</f>
        <v>0</v>
      </c>
      <c r="P1067" s="205">
        <v>0</v>
      </c>
      <c r="Q1067" s="205">
        <f t="shared" ca="1" si="311"/>
        <v>0</v>
      </c>
      <c r="R1067" s="205">
        <f ca="1">+IF(ISERROR(OFFSET(Tabella!$G$1,MATCH(J1067,Tabella!$G:$G,0)-1,MATCH(K1067,Tabella!$G$1:$FG$1,0)-1)=TRUE),0,OFFSET(Tabella!$G$1,MATCH(J1067,Tabella!$G:$G,0)-1,MATCH(K1067,Tabella!$G$1:$AB$1,0)-1))</f>
        <v>0</v>
      </c>
      <c r="S1067" s="205">
        <f ca="1">IF(ISERROR(OFFSET(Ottone!$F$1,MATCH(J1067,Ottone!$A:$A,0)-1,MATCH(K1067,Ottone!$F$1:$FF$1,0)-1)=TRUE),0,OFFSET(Ottone!$F$1,MATCH(J1067,Ottone!$A:$A,0)-1,MATCH(K1067,Ottone!$F$1:$FF$1,0)-1))*IF(G1067="Ottone",1,0)</f>
        <v>0</v>
      </c>
      <c r="T1067" s="205">
        <f ca="1">IF(ISERROR(OFFSET(Rame!$F$1,MATCH(J1067,Rame!$F:$F,0)-1,MATCH(K1067,Rame!$F$1:$FF$1,0)-1)=TRUE),0,OFFSET(Rame!$F$1,MATCH(J1067,Rame!$F:$F,0)-1,MATCH(K1067,Rame!$F$1:$FF$1,0)-1))*IF(G1067="Rame",1,0)</f>
        <v>0</v>
      </c>
      <c r="U1067" s="205">
        <f ca="1">IF(ISERROR(OFFSET(Bronzo!$A$1,MATCH(J1067,Bronzo!$A:$A,0)-1,MATCH(K1067,Bronzo!$A$1:$AA$1,0)-1)=TRUE),0,OFFSET(Bronzo!$A$1,MATCH(J1067,Bronzo!$A:$A,0)-1,MATCH(K1067,Bronzo!$A$1:$AA$1,0)-1))</f>
        <v>0</v>
      </c>
      <c r="V1067" s="205">
        <f t="shared" ca="1" si="312"/>
        <v>0</v>
      </c>
      <c r="W1067" s="204"/>
      <c r="X1067" s="205">
        <v>0</v>
      </c>
      <c r="Y1067" s="206">
        <f t="shared" ca="1" si="313"/>
        <v>0</v>
      </c>
      <c r="Z1067" s="277">
        <f t="shared" si="314"/>
        <v>0</v>
      </c>
      <c r="AA1067" s="203"/>
      <c r="AB1067" s="203">
        <f t="shared" ca="1" si="315"/>
        <v>0</v>
      </c>
      <c r="AC1067" s="238"/>
      <c r="AI1067" s="367">
        <f t="shared" ca="1" si="310"/>
        <v>46092</v>
      </c>
      <c r="AJ1067" s="367" t="b">
        <f t="shared" si="316"/>
        <v>1</v>
      </c>
      <c r="AK1067" s="370" t="str">
        <f t="shared" si="317"/>
        <v/>
      </c>
      <c r="AN1067">
        <f t="shared" si="318"/>
        <v>0</v>
      </c>
      <c r="AO1067">
        <f t="shared" si="319"/>
        <v>1900</v>
      </c>
      <c r="AV1067">
        <f t="shared" si="320"/>
        <v>0</v>
      </c>
      <c r="AW1067">
        <f t="shared" si="321"/>
        <v>0</v>
      </c>
    </row>
    <row r="1068" spans="4:49" ht="15.75" x14ac:dyDescent="0.25">
      <c r="D1068" s="199"/>
      <c r="E1068" s="200"/>
      <c r="F1068" s="287"/>
      <c r="G1068" s="201"/>
      <c r="H1068" s="219"/>
      <c r="I1068" s="202"/>
      <c r="J1068" s="200"/>
      <c r="K1068" s="200"/>
      <c r="L1068" s="203"/>
      <c r="M1068" s="204">
        <f ca="1">IF(ISERROR(OFFSET(Tabella!$A$1,MATCH(J1068,Tabella!$A:$A,0)-1,MATCH(L1068,Tabella!$A$1:$AC$1,0)-1)=TRUE),0,+OFFSET(Tabella!$A$1,MATCH(J1068,Tabella!$A:$A,0)-1,MATCH(L1068,Tabella!$A$1:$AC$1,0)-1))</f>
        <v>0</v>
      </c>
      <c r="N1068" s="205">
        <f ca="1">IF(ISERROR(OFFSET(Ottone!$A$1,MATCH(J1068,Ottone!$A:$A,0)-1,MATCH(L1068,Ottone!$A$1:$Z$1,0)-1)=TRUE),0,OFFSET(Ottone!$A$1,MATCH(J1068,Ottone!$A:$A,0)-1,MATCH(L1068,Ottone!$A$1:$Z$1,0)-1))*IF(G1068="Ottone",1,0)</f>
        <v>0</v>
      </c>
      <c r="O1068" s="205">
        <f ca="1">IF(ISERROR(OFFSET(Rame!$A$1,MATCH(J1068,Rame!$A:$A,0)-1,MATCH(L1068,Rame!$A$1:$AA$1,0)-1)=TRUE),0,OFFSET(Rame!$A$1,MATCH(J1068,Rame!$A:$A,0)-1,MATCH(L1068,Rame!$A$1:$AA$1,0)-1))*IF(G1068="Rame",1,0)</f>
        <v>0</v>
      </c>
      <c r="P1068" s="205">
        <v>0</v>
      </c>
      <c r="Q1068" s="205">
        <f t="shared" ca="1" si="311"/>
        <v>0</v>
      </c>
      <c r="R1068" s="205">
        <f ca="1">+IF(ISERROR(OFFSET(Tabella!$G$1,MATCH(J1068,Tabella!$G:$G,0)-1,MATCH(K1068,Tabella!$G$1:$FG$1,0)-1)=TRUE),0,OFFSET(Tabella!$G$1,MATCH(J1068,Tabella!$G:$G,0)-1,MATCH(K1068,Tabella!$G$1:$AB$1,0)-1))</f>
        <v>0</v>
      </c>
      <c r="S1068" s="205">
        <f ca="1">IF(ISERROR(OFFSET(Ottone!$F$1,MATCH(J1068,Ottone!$A:$A,0)-1,MATCH(K1068,Ottone!$F$1:$FF$1,0)-1)=TRUE),0,OFFSET(Ottone!$F$1,MATCH(J1068,Ottone!$A:$A,0)-1,MATCH(K1068,Ottone!$F$1:$FF$1,0)-1))*IF(G1068="Ottone",1,0)</f>
        <v>0</v>
      </c>
      <c r="T1068" s="205">
        <f ca="1">IF(ISERROR(OFFSET(Rame!$F$1,MATCH(J1068,Rame!$F:$F,0)-1,MATCH(K1068,Rame!$F$1:$FF$1,0)-1)=TRUE),0,OFFSET(Rame!$F$1,MATCH(J1068,Rame!$F:$F,0)-1,MATCH(K1068,Rame!$F$1:$FF$1,0)-1))*IF(G1068="Rame",1,0)</f>
        <v>0</v>
      </c>
      <c r="U1068" s="205">
        <f ca="1">IF(ISERROR(OFFSET(Bronzo!$A$1,MATCH(J1068,Bronzo!$A:$A,0)-1,MATCH(K1068,Bronzo!$A$1:$AA$1,0)-1)=TRUE),0,OFFSET(Bronzo!$A$1,MATCH(J1068,Bronzo!$A:$A,0)-1,MATCH(K1068,Bronzo!$A$1:$AA$1,0)-1))</f>
        <v>0</v>
      </c>
      <c r="V1068" s="205">
        <f t="shared" ca="1" si="312"/>
        <v>0</v>
      </c>
      <c r="W1068" s="204"/>
      <c r="X1068" s="205">
        <v>0</v>
      </c>
      <c r="Y1068" s="206">
        <f t="shared" ca="1" si="313"/>
        <v>0</v>
      </c>
      <c r="Z1068" s="277">
        <f t="shared" si="314"/>
        <v>0</v>
      </c>
      <c r="AA1068" s="203"/>
      <c r="AB1068" s="203">
        <f t="shared" ca="1" si="315"/>
        <v>0</v>
      </c>
      <c r="AC1068" s="238"/>
      <c r="AI1068" s="367">
        <f t="shared" ca="1" si="310"/>
        <v>46092</v>
      </c>
      <c r="AJ1068" s="367" t="b">
        <f t="shared" si="316"/>
        <v>1</v>
      </c>
      <c r="AK1068" s="370" t="str">
        <f t="shared" si="317"/>
        <v/>
      </c>
      <c r="AN1068">
        <f t="shared" si="318"/>
        <v>0</v>
      </c>
      <c r="AO1068">
        <f t="shared" si="319"/>
        <v>1900</v>
      </c>
      <c r="AV1068">
        <f t="shared" si="320"/>
        <v>0</v>
      </c>
      <c r="AW1068">
        <f t="shared" si="321"/>
        <v>0</v>
      </c>
    </row>
    <row r="1069" spans="4:49" ht="15.75" x14ac:dyDescent="0.25">
      <c r="D1069" s="199"/>
      <c r="E1069" s="200"/>
      <c r="F1069" s="287"/>
      <c r="G1069" s="201"/>
      <c r="H1069" s="219"/>
      <c r="I1069" s="202"/>
      <c r="J1069" s="200"/>
      <c r="K1069" s="200"/>
      <c r="L1069" s="203"/>
      <c r="M1069" s="204">
        <f ca="1">IF(ISERROR(OFFSET(Tabella!$A$1,MATCH(J1069,Tabella!$A:$A,0)-1,MATCH(L1069,Tabella!$A$1:$AC$1,0)-1)=TRUE),0,+OFFSET(Tabella!$A$1,MATCH(J1069,Tabella!$A:$A,0)-1,MATCH(L1069,Tabella!$A$1:$AC$1,0)-1))</f>
        <v>0</v>
      </c>
      <c r="N1069" s="205">
        <f ca="1">IF(ISERROR(OFFSET(Ottone!$A$1,MATCH(J1069,Ottone!$A:$A,0)-1,MATCH(L1069,Ottone!$A$1:$Z$1,0)-1)=TRUE),0,OFFSET(Ottone!$A$1,MATCH(J1069,Ottone!$A:$A,0)-1,MATCH(L1069,Ottone!$A$1:$Z$1,0)-1))*IF(G1069="Ottone",1,0)</f>
        <v>0</v>
      </c>
      <c r="O1069" s="205">
        <f ca="1">IF(ISERROR(OFFSET(Rame!$A$1,MATCH(J1069,Rame!$A:$A,0)-1,MATCH(L1069,Rame!$A$1:$AA$1,0)-1)=TRUE),0,OFFSET(Rame!$A$1,MATCH(J1069,Rame!$A:$A,0)-1,MATCH(L1069,Rame!$A$1:$AA$1,0)-1))*IF(G1069="Rame",1,0)</f>
        <v>0</v>
      </c>
      <c r="P1069" s="205">
        <v>0</v>
      </c>
      <c r="Q1069" s="205">
        <f t="shared" ca="1" si="311"/>
        <v>0</v>
      </c>
      <c r="R1069" s="205">
        <f ca="1">+IF(ISERROR(OFFSET(Tabella!$G$1,MATCH(J1069,Tabella!$G:$G,0)-1,MATCH(K1069,Tabella!$G$1:$FG$1,0)-1)=TRUE),0,OFFSET(Tabella!$G$1,MATCH(J1069,Tabella!$G:$G,0)-1,MATCH(K1069,Tabella!$G$1:$AB$1,0)-1))</f>
        <v>0</v>
      </c>
      <c r="S1069" s="205">
        <f ca="1">IF(ISERROR(OFFSET(Ottone!$F$1,MATCH(J1069,Ottone!$A:$A,0)-1,MATCH(K1069,Ottone!$F$1:$FF$1,0)-1)=TRUE),0,OFFSET(Ottone!$F$1,MATCH(J1069,Ottone!$A:$A,0)-1,MATCH(K1069,Ottone!$F$1:$FF$1,0)-1))*IF(G1069="Ottone",1,0)</f>
        <v>0</v>
      </c>
      <c r="T1069" s="205">
        <f ca="1">IF(ISERROR(OFFSET(Rame!$F$1,MATCH(J1069,Rame!$F:$F,0)-1,MATCH(K1069,Rame!$F$1:$FF$1,0)-1)=TRUE),0,OFFSET(Rame!$F$1,MATCH(J1069,Rame!$F:$F,0)-1,MATCH(K1069,Rame!$F$1:$FF$1,0)-1))*IF(G1069="Rame",1,0)</f>
        <v>0</v>
      </c>
      <c r="U1069" s="205">
        <f ca="1">IF(ISERROR(OFFSET(Bronzo!$A$1,MATCH(J1069,Bronzo!$A:$A,0)-1,MATCH(K1069,Bronzo!$A$1:$AA$1,0)-1)=TRUE),0,OFFSET(Bronzo!$A$1,MATCH(J1069,Bronzo!$A:$A,0)-1,MATCH(K1069,Bronzo!$A$1:$AA$1,0)-1))</f>
        <v>0</v>
      </c>
      <c r="V1069" s="205">
        <f t="shared" ca="1" si="312"/>
        <v>0</v>
      </c>
      <c r="W1069" s="204"/>
      <c r="X1069" s="205">
        <v>0</v>
      </c>
      <c r="Y1069" s="206">
        <f t="shared" ca="1" si="313"/>
        <v>0</v>
      </c>
      <c r="Z1069" s="277">
        <f t="shared" si="314"/>
        <v>0</v>
      </c>
      <c r="AA1069" s="203"/>
      <c r="AB1069" s="203">
        <f t="shared" ca="1" si="315"/>
        <v>0</v>
      </c>
      <c r="AC1069" s="238"/>
      <c r="AI1069" s="367">
        <f t="shared" ca="1" si="310"/>
        <v>46092</v>
      </c>
      <c r="AJ1069" s="367" t="b">
        <f t="shared" si="316"/>
        <v>1</v>
      </c>
      <c r="AK1069" s="370" t="str">
        <f t="shared" si="317"/>
        <v/>
      </c>
      <c r="AN1069">
        <f t="shared" si="318"/>
        <v>0</v>
      </c>
      <c r="AO1069">
        <f t="shared" si="319"/>
        <v>1900</v>
      </c>
      <c r="AV1069">
        <f t="shared" si="320"/>
        <v>0</v>
      </c>
      <c r="AW1069">
        <f t="shared" si="321"/>
        <v>0</v>
      </c>
    </row>
    <row r="1070" spans="4:49" ht="15.75" x14ac:dyDescent="0.25">
      <c r="D1070" s="199"/>
      <c r="E1070" s="200"/>
      <c r="F1070" s="287"/>
      <c r="G1070" s="201"/>
      <c r="H1070" s="219"/>
      <c r="I1070" s="202"/>
      <c r="J1070" s="200"/>
      <c r="K1070" s="200"/>
      <c r="L1070" s="203"/>
      <c r="M1070" s="204">
        <f ca="1">IF(ISERROR(OFFSET(Tabella!$A$1,MATCH(J1070,Tabella!$A:$A,0)-1,MATCH(L1070,Tabella!$A$1:$AC$1,0)-1)=TRUE),0,+OFFSET(Tabella!$A$1,MATCH(J1070,Tabella!$A:$A,0)-1,MATCH(L1070,Tabella!$A$1:$AC$1,0)-1))</f>
        <v>0</v>
      </c>
      <c r="N1070" s="205">
        <f ca="1">IF(ISERROR(OFFSET(Ottone!$A$1,MATCH(J1070,Ottone!$A:$A,0)-1,MATCH(L1070,Ottone!$A$1:$Z$1,0)-1)=TRUE),0,OFFSET(Ottone!$A$1,MATCH(J1070,Ottone!$A:$A,0)-1,MATCH(L1070,Ottone!$A$1:$Z$1,0)-1))*IF(G1070="Ottone",1,0)</f>
        <v>0</v>
      </c>
      <c r="O1070" s="205">
        <f ca="1">IF(ISERROR(OFFSET(Rame!$A$1,MATCH(J1070,Rame!$A:$A,0)-1,MATCH(L1070,Rame!$A$1:$AA$1,0)-1)=TRUE),0,OFFSET(Rame!$A$1,MATCH(J1070,Rame!$A:$A,0)-1,MATCH(L1070,Rame!$A$1:$AA$1,0)-1))*IF(G1070="Rame",1,0)</f>
        <v>0</v>
      </c>
      <c r="P1070" s="205">
        <v>0</v>
      </c>
      <c r="Q1070" s="205">
        <f t="shared" ca="1" si="311"/>
        <v>0</v>
      </c>
      <c r="R1070" s="205">
        <f ca="1">+IF(ISERROR(OFFSET(Tabella!$G$1,MATCH(J1070,Tabella!$G:$G,0)-1,MATCH(K1070,Tabella!$G$1:$FG$1,0)-1)=TRUE),0,OFFSET(Tabella!$G$1,MATCH(J1070,Tabella!$G:$G,0)-1,MATCH(K1070,Tabella!$G$1:$AB$1,0)-1))</f>
        <v>0</v>
      </c>
      <c r="S1070" s="205">
        <f ca="1">IF(ISERROR(OFFSET(Ottone!$F$1,MATCH(J1070,Ottone!$A:$A,0)-1,MATCH(K1070,Ottone!$F$1:$FF$1,0)-1)=TRUE),0,OFFSET(Ottone!$F$1,MATCH(J1070,Ottone!$A:$A,0)-1,MATCH(K1070,Ottone!$F$1:$FF$1,0)-1))*IF(G1070="Ottone",1,0)</f>
        <v>0</v>
      </c>
      <c r="T1070" s="205">
        <f ca="1">IF(ISERROR(OFFSET(Rame!$F$1,MATCH(J1070,Rame!$F:$F,0)-1,MATCH(K1070,Rame!$F$1:$FF$1,0)-1)=TRUE),0,OFFSET(Rame!$F$1,MATCH(J1070,Rame!$F:$F,0)-1,MATCH(K1070,Rame!$F$1:$FF$1,0)-1))*IF(G1070="Rame",1,0)</f>
        <v>0</v>
      </c>
      <c r="U1070" s="205">
        <f ca="1">IF(ISERROR(OFFSET(Bronzo!$A$1,MATCH(J1070,Bronzo!$A:$A,0)-1,MATCH(K1070,Bronzo!$A$1:$AA$1,0)-1)=TRUE),0,OFFSET(Bronzo!$A$1,MATCH(J1070,Bronzo!$A:$A,0)-1,MATCH(K1070,Bronzo!$A$1:$AA$1,0)-1))</f>
        <v>0</v>
      </c>
      <c r="V1070" s="205">
        <f t="shared" ca="1" si="312"/>
        <v>0</v>
      </c>
      <c r="W1070" s="204"/>
      <c r="X1070" s="205">
        <v>0</v>
      </c>
      <c r="Y1070" s="206">
        <f t="shared" ca="1" si="313"/>
        <v>0</v>
      </c>
      <c r="Z1070" s="277">
        <f t="shared" si="314"/>
        <v>0</v>
      </c>
      <c r="AA1070" s="203"/>
      <c r="AB1070" s="203">
        <f t="shared" ca="1" si="315"/>
        <v>0</v>
      </c>
      <c r="AC1070" s="238"/>
      <c r="AI1070" s="367">
        <f t="shared" ca="1" si="310"/>
        <v>46092</v>
      </c>
      <c r="AJ1070" s="367" t="b">
        <f t="shared" si="316"/>
        <v>1</v>
      </c>
      <c r="AK1070" s="370" t="str">
        <f t="shared" si="317"/>
        <v/>
      </c>
      <c r="AN1070">
        <f t="shared" si="318"/>
        <v>0</v>
      </c>
      <c r="AO1070">
        <f t="shared" si="319"/>
        <v>1900</v>
      </c>
      <c r="AV1070">
        <f t="shared" si="320"/>
        <v>0</v>
      </c>
      <c r="AW1070">
        <f t="shared" si="321"/>
        <v>0</v>
      </c>
    </row>
    <row r="1071" spans="4:49" ht="15.75" x14ac:dyDescent="0.25">
      <c r="D1071" s="199"/>
      <c r="E1071" s="200"/>
      <c r="F1071" s="287"/>
      <c r="G1071" s="201"/>
      <c r="H1071" s="219"/>
      <c r="I1071" s="202"/>
      <c r="J1071" s="200"/>
      <c r="K1071" s="200"/>
      <c r="L1071" s="203"/>
      <c r="M1071" s="204">
        <f ca="1">IF(ISERROR(OFFSET(Tabella!$A$1,MATCH(J1071,Tabella!$A:$A,0)-1,MATCH(L1071,Tabella!$A$1:$AC$1,0)-1)=TRUE),0,+OFFSET(Tabella!$A$1,MATCH(J1071,Tabella!$A:$A,0)-1,MATCH(L1071,Tabella!$A$1:$AC$1,0)-1))</f>
        <v>0</v>
      </c>
      <c r="N1071" s="205">
        <f ca="1">IF(ISERROR(OFFSET(Ottone!$A$1,MATCH(J1071,Ottone!$A:$A,0)-1,MATCH(L1071,Ottone!$A$1:$Z$1,0)-1)=TRUE),0,OFFSET(Ottone!$A$1,MATCH(J1071,Ottone!$A:$A,0)-1,MATCH(L1071,Ottone!$A$1:$Z$1,0)-1))*IF(G1071="Ottone",1,0)</f>
        <v>0</v>
      </c>
      <c r="O1071" s="205">
        <f ca="1">IF(ISERROR(OFFSET(Rame!$A$1,MATCH(J1071,Rame!$A:$A,0)-1,MATCH(L1071,Rame!$A$1:$AA$1,0)-1)=TRUE),0,OFFSET(Rame!$A$1,MATCH(J1071,Rame!$A:$A,0)-1,MATCH(L1071,Rame!$A$1:$AA$1,0)-1))*IF(G1071="Rame",1,0)</f>
        <v>0</v>
      </c>
      <c r="P1071" s="205">
        <v>0</v>
      </c>
      <c r="Q1071" s="205">
        <f t="shared" ca="1" si="311"/>
        <v>0</v>
      </c>
      <c r="R1071" s="205">
        <f ca="1">+IF(ISERROR(OFFSET(Tabella!$G$1,MATCH(J1071,Tabella!$G:$G,0)-1,MATCH(K1071,Tabella!$G$1:$FG$1,0)-1)=TRUE),0,OFFSET(Tabella!$G$1,MATCH(J1071,Tabella!$G:$G,0)-1,MATCH(K1071,Tabella!$G$1:$AB$1,0)-1))</f>
        <v>0</v>
      </c>
      <c r="S1071" s="205">
        <f ca="1">IF(ISERROR(OFFSET(Ottone!$F$1,MATCH(J1071,Ottone!$A:$A,0)-1,MATCH(K1071,Ottone!$F$1:$FF$1,0)-1)=TRUE),0,OFFSET(Ottone!$F$1,MATCH(J1071,Ottone!$A:$A,0)-1,MATCH(K1071,Ottone!$F$1:$FF$1,0)-1))*IF(G1071="Ottone",1,0)</f>
        <v>0</v>
      </c>
      <c r="T1071" s="205">
        <f ca="1">IF(ISERROR(OFFSET(Rame!$F$1,MATCH(J1071,Rame!$F:$F,0)-1,MATCH(K1071,Rame!$F$1:$FF$1,0)-1)=TRUE),0,OFFSET(Rame!$F$1,MATCH(J1071,Rame!$F:$F,0)-1,MATCH(K1071,Rame!$F$1:$FF$1,0)-1))*IF(G1071="Rame",1,0)</f>
        <v>0</v>
      </c>
      <c r="U1071" s="205">
        <f ca="1">IF(ISERROR(OFFSET(Bronzo!$A$1,MATCH(J1071,Bronzo!$A:$A,0)-1,MATCH(K1071,Bronzo!$A$1:$AA$1,0)-1)=TRUE),0,OFFSET(Bronzo!$A$1,MATCH(J1071,Bronzo!$A:$A,0)-1,MATCH(K1071,Bronzo!$A$1:$AA$1,0)-1))</f>
        <v>0</v>
      </c>
      <c r="V1071" s="205">
        <f t="shared" ca="1" si="312"/>
        <v>0</v>
      </c>
      <c r="W1071" s="204"/>
      <c r="X1071" s="205">
        <v>0</v>
      </c>
      <c r="Y1071" s="206">
        <f t="shared" ca="1" si="313"/>
        <v>0</v>
      </c>
      <c r="Z1071" s="277">
        <f t="shared" si="314"/>
        <v>0</v>
      </c>
      <c r="AA1071" s="203"/>
      <c r="AB1071" s="203">
        <f t="shared" ca="1" si="315"/>
        <v>0</v>
      </c>
      <c r="AC1071" s="238"/>
      <c r="AI1071" s="367">
        <f t="shared" ca="1" si="310"/>
        <v>46092</v>
      </c>
      <c r="AJ1071" s="367" t="b">
        <f t="shared" si="316"/>
        <v>1</v>
      </c>
      <c r="AK1071" s="370" t="str">
        <f t="shared" si="317"/>
        <v/>
      </c>
      <c r="AN1071">
        <f t="shared" si="318"/>
        <v>0</v>
      </c>
      <c r="AO1071">
        <f t="shared" si="319"/>
        <v>1900</v>
      </c>
      <c r="AV1071">
        <f t="shared" si="320"/>
        <v>0</v>
      </c>
      <c r="AW1071">
        <f t="shared" si="321"/>
        <v>0</v>
      </c>
    </row>
    <row r="1072" spans="4:49" ht="15.75" x14ac:dyDescent="0.25">
      <c r="D1072" s="199"/>
      <c r="E1072" s="200"/>
      <c r="F1072" s="287"/>
      <c r="G1072" s="201"/>
      <c r="H1072" s="219"/>
      <c r="I1072" s="202"/>
      <c r="J1072" s="200"/>
      <c r="K1072" s="200"/>
      <c r="L1072" s="203"/>
      <c r="M1072" s="204">
        <f ca="1">IF(ISERROR(OFFSET(Tabella!$A$1,MATCH(J1072,Tabella!$A:$A,0)-1,MATCH(L1072,Tabella!$A$1:$AC$1,0)-1)=TRUE),0,+OFFSET(Tabella!$A$1,MATCH(J1072,Tabella!$A:$A,0)-1,MATCH(L1072,Tabella!$A$1:$AC$1,0)-1))</f>
        <v>0</v>
      </c>
      <c r="N1072" s="205">
        <f ca="1">IF(ISERROR(OFFSET(Ottone!$A$1,MATCH(J1072,Ottone!$A:$A,0)-1,MATCH(L1072,Ottone!$A$1:$Z$1,0)-1)=TRUE),0,OFFSET(Ottone!$A$1,MATCH(J1072,Ottone!$A:$A,0)-1,MATCH(L1072,Ottone!$A$1:$Z$1,0)-1))*IF(G1072="Ottone",1,0)</f>
        <v>0</v>
      </c>
      <c r="O1072" s="205">
        <f ca="1">IF(ISERROR(OFFSET(Rame!$A$1,MATCH(J1072,Rame!$A:$A,0)-1,MATCH(L1072,Rame!$A$1:$AA$1,0)-1)=TRUE),0,OFFSET(Rame!$A$1,MATCH(J1072,Rame!$A:$A,0)-1,MATCH(L1072,Rame!$A$1:$AA$1,0)-1))*IF(G1072="Rame",1,0)</f>
        <v>0</v>
      </c>
      <c r="P1072" s="205">
        <v>0</v>
      </c>
      <c r="Q1072" s="205">
        <f t="shared" ca="1" si="311"/>
        <v>0</v>
      </c>
      <c r="R1072" s="205">
        <f ca="1">+IF(ISERROR(OFFSET(Tabella!$G$1,MATCH(J1072,Tabella!$G:$G,0)-1,MATCH(K1072,Tabella!$G$1:$FG$1,0)-1)=TRUE),0,OFFSET(Tabella!$G$1,MATCH(J1072,Tabella!$G:$G,0)-1,MATCH(K1072,Tabella!$G$1:$AB$1,0)-1))</f>
        <v>0</v>
      </c>
      <c r="S1072" s="205">
        <f ca="1">IF(ISERROR(OFFSET(Ottone!$F$1,MATCH(J1072,Ottone!$A:$A,0)-1,MATCH(K1072,Ottone!$F$1:$FF$1,0)-1)=TRUE),0,OFFSET(Ottone!$F$1,MATCH(J1072,Ottone!$A:$A,0)-1,MATCH(K1072,Ottone!$F$1:$FF$1,0)-1))*IF(G1072="Ottone",1,0)</f>
        <v>0</v>
      </c>
      <c r="T1072" s="205">
        <f ca="1">IF(ISERROR(OFFSET(Rame!$F$1,MATCH(J1072,Rame!$F:$F,0)-1,MATCH(K1072,Rame!$F$1:$FF$1,0)-1)=TRUE),0,OFFSET(Rame!$F$1,MATCH(J1072,Rame!$F:$F,0)-1,MATCH(K1072,Rame!$F$1:$FF$1,0)-1))*IF(G1072="Rame",1,0)</f>
        <v>0</v>
      </c>
      <c r="U1072" s="205">
        <f ca="1">IF(ISERROR(OFFSET(Bronzo!$A$1,MATCH(J1072,Bronzo!$A:$A,0)-1,MATCH(K1072,Bronzo!$A$1:$AA$1,0)-1)=TRUE),0,OFFSET(Bronzo!$A$1,MATCH(J1072,Bronzo!$A:$A,0)-1,MATCH(K1072,Bronzo!$A$1:$AA$1,0)-1))</f>
        <v>0</v>
      </c>
      <c r="V1072" s="205">
        <f t="shared" ca="1" si="312"/>
        <v>0</v>
      </c>
      <c r="W1072" s="204"/>
      <c r="X1072" s="205">
        <v>0</v>
      </c>
      <c r="Y1072" s="206">
        <f t="shared" ca="1" si="313"/>
        <v>0</v>
      </c>
      <c r="Z1072" s="277">
        <f t="shared" si="314"/>
        <v>0</v>
      </c>
      <c r="AA1072" s="203"/>
      <c r="AB1072" s="203">
        <f t="shared" ca="1" si="315"/>
        <v>0</v>
      </c>
      <c r="AC1072" s="238"/>
      <c r="AI1072" s="367">
        <f t="shared" ca="1" si="310"/>
        <v>46092</v>
      </c>
      <c r="AJ1072" s="367" t="b">
        <f t="shared" si="316"/>
        <v>1</v>
      </c>
      <c r="AK1072" s="370" t="str">
        <f t="shared" si="317"/>
        <v/>
      </c>
      <c r="AN1072">
        <f t="shared" si="318"/>
        <v>0</v>
      </c>
      <c r="AO1072">
        <f t="shared" si="319"/>
        <v>1900</v>
      </c>
      <c r="AV1072">
        <f t="shared" si="320"/>
        <v>0</v>
      </c>
      <c r="AW1072">
        <f t="shared" si="321"/>
        <v>0</v>
      </c>
    </row>
    <row r="1073" spans="4:49" ht="15.75" x14ac:dyDescent="0.25">
      <c r="D1073" s="199"/>
      <c r="E1073" s="200"/>
      <c r="F1073" s="287"/>
      <c r="G1073" s="201"/>
      <c r="H1073" s="219"/>
      <c r="I1073" s="202"/>
      <c r="J1073" s="200"/>
      <c r="K1073" s="200"/>
      <c r="L1073" s="203"/>
      <c r="M1073" s="204">
        <f ca="1">IF(ISERROR(OFFSET(Tabella!$A$1,MATCH(J1073,Tabella!$A:$A,0)-1,MATCH(L1073,Tabella!$A$1:$AC$1,0)-1)=TRUE),0,+OFFSET(Tabella!$A$1,MATCH(J1073,Tabella!$A:$A,0)-1,MATCH(L1073,Tabella!$A$1:$AC$1,0)-1))</f>
        <v>0</v>
      </c>
      <c r="N1073" s="205">
        <f ca="1">IF(ISERROR(OFFSET(Ottone!$A$1,MATCH(J1073,Ottone!$A:$A,0)-1,MATCH(L1073,Ottone!$A$1:$Z$1,0)-1)=TRUE),0,OFFSET(Ottone!$A$1,MATCH(J1073,Ottone!$A:$A,0)-1,MATCH(L1073,Ottone!$A$1:$Z$1,0)-1))*IF(G1073="Ottone",1,0)</f>
        <v>0</v>
      </c>
      <c r="O1073" s="205">
        <f ca="1">IF(ISERROR(OFFSET(Rame!$A$1,MATCH(J1073,Rame!$A:$A,0)-1,MATCH(L1073,Rame!$A$1:$AA$1,0)-1)=TRUE),0,OFFSET(Rame!$A$1,MATCH(J1073,Rame!$A:$A,0)-1,MATCH(L1073,Rame!$A$1:$AA$1,0)-1))*IF(G1073="Rame",1,0)</f>
        <v>0</v>
      </c>
      <c r="P1073" s="205">
        <v>0</v>
      </c>
      <c r="Q1073" s="205">
        <f t="shared" ca="1" si="311"/>
        <v>0</v>
      </c>
      <c r="R1073" s="205">
        <f ca="1">+IF(ISERROR(OFFSET(Tabella!$G$1,MATCH(J1073,Tabella!$G:$G,0)-1,MATCH(K1073,Tabella!$G$1:$FG$1,0)-1)=TRUE),0,OFFSET(Tabella!$G$1,MATCH(J1073,Tabella!$G:$G,0)-1,MATCH(K1073,Tabella!$G$1:$AB$1,0)-1))</f>
        <v>0</v>
      </c>
      <c r="S1073" s="205">
        <f ca="1">IF(ISERROR(OFFSET(Ottone!$F$1,MATCH(J1073,Ottone!$A:$A,0)-1,MATCH(K1073,Ottone!$F$1:$FF$1,0)-1)=TRUE),0,OFFSET(Ottone!$F$1,MATCH(J1073,Ottone!$A:$A,0)-1,MATCH(K1073,Ottone!$F$1:$FF$1,0)-1))*IF(G1073="Ottone",1,0)</f>
        <v>0</v>
      </c>
      <c r="T1073" s="205">
        <f ca="1">IF(ISERROR(OFFSET(Rame!$F$1,MATCH(J1073,Rame!$F:$F,0)-1,MATCH(K1073,Rame!$F$1:$FF$1,0)-1)=TRUE),0,OFFSET(Rame!$F$1,MATCH(J1073,Rame!$F:$F,0)-1,MATCH(K1073,Rame!$F$1:$FF$1,0)-1))*IF(G1073="Rame",1,0)</f>
        <v>0</v>
      </c>
      <c r="U1073" s="205">
        <f ca="1">IF(ISERROR(OFFSET(Bronzo!$A$1,MATCH(J1073,Bronzo!$A:$A,0)-1,MATCH(K1073,Bronzo!$A$1:$AA$1,0)-1)=TRUE),0,OFFSET(Bronzo!$A$1,MATCH(J1073,Bronzo!$A:$A,0)-1,MATCH(K1073,Bronzo!$A$1:$AA$1,0)-1))</f>
        <v>0</v>
      </c>
      <c r="V1073" s="205">
        <f t="shared" ca="1" si="312"/>
        <v>0</v>
      </c>
      <c r="W1073" s="204"/>
      <c r="X1073" s="205">
        <v>0</v>
      </c>
      <c r="Y1073" s="206">
        <f t="shared" ca="1" si="313"/>
        <v>0</v>
      </c>
      <c r="Z1073" s="277">
        <f t="shared" si="314"/>
        <v>0</v>
      </c>
      <c r="AA1073" s="203"/>
      <c r="AB1073" s="203">
        <f t="shared" ca="1" si="315"/>
        <v>0</v>
      </c>
      <c r="AC1073" s="238"/>
      <c r="AI1073" s="367">
        <f t="shared" ca="1" si="310"/>
        <v>46092</v>
      </c>
      <c r="AJ1073" s="367" t="b">
        <f t="shared" si="316"/>
        <v>1</v>
      </c>
      <c r="AK1073" s="370" t="str">
        <f t="shared" si="317"/>
        <v/>
      </c>
      <c r="AN1073">
        <f t="shared" si="318"/>
        <v>0</v>
      </c>
      <c r="AO1073">
        <f t="shared" si="319"/>
        <v>1900</v>
      </c>
      <c r="AV1073">
        <f t="shared" si="320"/>
        <v>0</v>
      </c>
      <c r="AW1073">
        <f t="shared" si="321"/>
        <v>0</v>
      </c>
    </row>
    <row r="1074" spans="4:49" ht="15.75" x14ac:dyDescent="0.25">
      <c r="D1074" s="199"/>
      <c r="E1074" s="200"/>
      <c r="F1074" s="287"/>
      <c r="G1074" s="201"/>
      <c r="H1074" s="219"/>
      <c r="I1074" s="202"/>
      <c r="J1074" s="200"/>
      <c r="K1074" s="200"/>
      <c r="L1074" s="203"/>
      <c r="M1074" s="204">
        <f ca="1">IF(ISERROR(OFFSET(Tabella!$A$1,MATCH(J1074,Tabella!$A:$A,0)-1,MATCH(L1074,Tabella!$A$1:$AC$1,0)-1)=TRUE),0,+OFFSET(Tabella!$A$1,MATCH(J1074,Tabella!$A:$A,0)-1,MATCH(L1074,Tabella!$A$1:$AC$1,0)-1))</f>
        <v>0</v>
      </c>
      <c r="N1074" s="205">
        <f ca="1">IF(ISERROR(OFFSET(Ottone!$A$1,MATCH(J1074,Ottone!$A:$A,0)-1,MATCH(L1074,Ottone!$A$1:$Z$1,0)-1)=TRUE),0,OFFSET(Ottone!$A$1,MATCH(J1074,Ottone!$A:$A,0)-1,MATCH(L1074,Ottone!$A$1:$Z$1,0)-1))*IF(G1074="Ottone",1,0)</f>
        <v>0</v>
      </c>
      <c r="O1074" s="205">
        <f ca="1">IF(ISERROR(OFFSET(Rame!$A$1,MATCH(J1074,Rame!$A:$A,0)-1,MATCH(L1074,Rame!$A$1:$AA$1,0)-1)=TRUE),0,OFFSET(Rame!$A$1,MATCH(J1074,Rame!$A:$A,0)-1,MATCH(L1074,Rame!$A$1:$AA$1,0)-1))*IF(G1074="Rame",1,0)</f>
        <v>0</v>
      </c>
      <c r="P1074" s="205">
        <v>0</v>
      </c>
      <c r="Q1074" s="205">
        <f t="shared" ca="1" si="311"/>
        <v>0</v>
      </c>
      <c r="R1074" s="205">
        <f ca="1">+IF(ISERROR(OFFSET(Tabella!$G$1,MATCH(J1074,Tabella!$G:$G,0)-1,MATCH(K1074,Tabella!$G$1:$FG$1,0)-1)=TRUE),0,OFFSET(Tabella!$G$1,MATCH(J1074,Tabella!$G:$G,0)-1,MATCH(K1074,Tabella!$G$1:$AB$1,0)-1))</f>
        <v>0</v>
      </c>
      <c r="S1074" s="205">
        <f ca="1">IF(ISERROR(OFFSET(Ottone!$F$1,MATCH(J1074,Ottone!$A:$A,0)-1,MATCH(K1074,Ottone!$F$1:$FF$1,0)-1)=TRUE),0,OFFSET(Ottone!$F$1,MATCH(J1074,Ottone!$A:$A,0)-1,MATCH(K1074,Ottone!$F$1:$FF$1,0)-1))*IF(G1074="Ottone",1,0)</f>
        <v>0</v>
      </c>
      <c r="T1074" s="205">
        <f ca="1">IF(ISERROR(OFFSET(Rame!$F$1,MATCH(J1074,Rame!$F:$F,0)-1,MATCH(K1074,Rame!$F$1:$FF$1,0)-1)=TRUE),0,OFFSET(Rame!$F$1,MATCH(J1074,Rame!$F:$F,0)-1,MATCH(K1074,Rame!$F$1:$FF$1,0)-1))*IF(G1074="Rame",1,0)</f>
        <v>0</v>
      </c>
      <c r="U1074" s="205">
        <f ca="1">IF(ISERROR(OFFSET(Bronzo!$A$1,MATCH(J1074,Bronzo!$A:$A,0)-1,MATCH(K1074,Bronzo!$A$1:$AA$1,0)-1)=TRUE),0,OFFSET(Bronzo!$A$1,MATCH(J1074,Bronzo!$A:$A,0)-1,MATCH(K1074,Bronzo!$A$1:$AA$1,0)-1))</f>
        <v>0</v>
      </c>
      <c r="V1074" s="205">
        <f t="shared" ca="1" si="312"/>
        <v>0</v>
      </c>
      <c r="W1074" s="204"/>
      <c r="X1074" s="205">
        <v>0</v>
      </c>
      <c r="Y1074" s="206">
        <f t="shared" ca="1" si="313"/>
        <v>0</v>
      </c>
      <c r="Z1074" s="277">
        <f t="shared" si="314"/>
        <v>0</v>
      </c>
      <c r="AA1074" s="203"/>
      <c r="AB1074" s="203">
        <f t="shared" ca="1" si="315"/>
        <v>0</v>
      </c>
      <c r="AC1074" s="238"/>
      <c r="AI1074" s="367">
        <f t="shared" ca="1" si="310"/>
        <v>46092</v>
      </c>
      <c r="AJ1074" s="367" t="b">
        <f t="shared" si="316"/>
        <v>1</v>
      </c>
      <c r="AK1074" s="370" t="str">
        <f t="shared" si="317"/>
        <v/>
      </c>
      <c r="AN1074">
        <f t="shared" si="318"/>
        <v>0</v>
      </c>
      <c r="AO1074">
        <f t="shared" si="319"/>
        <v>1900</v>
      </c>
      <c r="AV1074">
        <f t="shared" si="320"/>
        <v>0</v>
      </c>
      <c r="AW1074">
        <f t="shared" si="321"/>
        <v>0</v>
      </c>
    </row>
    <row r="1075" spans="4:49" ht="15.75" x14ac:dyDescent="0.25">
      <c r="D1075" s="199"/>
      <c r="E1075" s="200"/>
      <c r="F1075" s="287"/>
      <c r="G1075" s="201"/>
      <c r="H1075" s="219"/>
      <c r="I1075" s="202"/>
      <c r="J1075" s="200"/>
      <c r="K1075" s="200"/>
      <c r="L1075" s="203"/>
      <c r="M1075" s="204">
        <f ca="1">IF(ISERROR(OFFSET(Tabella!$A$1,MATCH(J1075,Tabella!$A:$A,0)-1,MATCH(L1075,Tabella!$A$1:$AC$1,0)-1)=TRUE),0,+OFFSET(Tabella!$A$1,MATCH(J1075,Tabella!$A:$A,0)-1,MATCH(L1075,Tabella!$A$1:$AC$1,0)-1))</f>
        <v>0</v>
      </c>
      <c r="N1075" s="205">
        <f ca="1">IF(ISERROR(OFFSET(Ottone!$A$1,MATCH(J1075,Ottone!$A:$A,0)-1,MATCH(L1075,Ottone!$A$1:$Z$1,0)-1)=TRUE),0,OFFSET(Ottone!$A$1,MATCH(J1075,Ottone!$A:$A,0)-1,MATCH(L1075,Ottone!$A$1:$Z$1,0)-1))*IF(G1075="Ottone",1,0)</f>
        <v>0</v>
      </c>
      <c r="O1075" s="205">
        <f ca="1">IF(ISERROR(OFFSET(Rame!$A$1,MATCH(J1075,Rame!$A:$A,0)-1,MATCH(L1075,Rame!$A$1:$AA$1,0)-1)=TRUE),0,OFFSET(Rame!$A$1,MATCH(J1075,Rame!$A:$A,0)-1,MATCH(L1075,Rame!$A$1:$AA$1,0)-1))*IF(G1075="Rame",1,0)</f>
        <v>0</v>
      </c>
      <c r="P1075" s="205">
        <v>0</v>
      </c>
      <c r="Q1075" s="205">
        <f t="shared" ca="1" si="311"/>
        <v>0</v>
      </c>
      <c r="R1075" s="205">
        <f ca="1">+IF(ISERROR(OFFSET(Tabella!$G$1,MATCH(J1075,Tabella!$G:$G,0)-1,MATCH(K1075,Tabella!$G$1:$FG$1,0)-1)=TRUE),0,OFFSET(Tabella!$G$1,MATCH(J1075,Tabella!$G:$G,0)-1,MATCH(K1075,Tabella!$G$1:$AB$1,0)-1))</f>
        <v>0</v>
      </c>
      <c r="S1075" s="205">
        <f ca="1">IF(ISERROR(OFFSET(Ottone!$F$1,MATCH(J1075,Ottone!$A:$A,0)-1,MATCH(K1075,Ottone!$F$1:$FF$1,0)-1)=TRUE),0,OFFSET(Ottone!$F$1,MATCH(J1075,Ottone!$A:$A,0)-1,MATCH(K1075,Ottone!$F$1:$FF$1,0)-1))*IF(G1075="Ottone",1,0)</f>
        <v>0</v>
      </c>
      <c r="T1075" s="205">
        <f ca="1">IF(ISERROR(OFFSET(Rame!$F$1,MATCH(J1075,Rame!$F:$F,0)-1,MATCH(K1075,Rame!$F$1:$FF$1,0)-1)=TRUE),0,OFFSET(Rame!$F$1,MATCH(J1075,Rame!$F:$F,0)-1,MATCH(K1075,Rame!$F$1:$FF$1,0)-1))*IF(G1075="Rame",1,0)</f>
        <v>0</v>
      </c>
      <c r="U1075" s="205">
        <f ca="1">IF(ISERROR(OFFSET(Bronzo!$A$1,MATCH(J1075,Bronzo!$A:$A,0)-1,MATCH(K1075,Bronzo!$A$1:$AA$1,0)-1)=TRUE),0,OFFSET(Bronzo!$A$1,MATCH(J1075,Bronzo!$A:$A,0)-1,MATCH(K1075,Bronzo!$A$1:$AA$1,0)-1))</f>
        <v>0</v>
      </c>
      <c r="V1075" s="205">
        <f t="shared" ca="1" si="312"/>
        <v>0</v>
      </c>
      <c r="W1075" s="204"/>
      <c r="X1075" s="205">
        <v>0</v>
      </c>
      <c r="Y1075" s="206">
        <f t="shared" ca="1" si="313"/>
        <v>0</v>
      </c>
      <c r="Z1075" s="277">
        <f t="shared" si="314"/>
        <v>0</v>
      </c>
      <c r="AA1075" s="203"/>
      <c r="AB1075" s="203">
        <f t="shared" ca="1" si="315"/>
        <v>0</v>
      </c>
      <c r="AC1075" s="238"/>
      <c r="AI1075" s="367">
        <f t="shared" ca="1" si="310"/>
        <v>46092</v>
      </c>
      <c r="AJ1075" s="367" t="b">
        <f t="shared" si="316"/>
        <v>1</v>
      </c>
      <c r="AK1075" s="370" t="str">
        <f t="shared" si="317"/>
        <v/>
      </c>
      <c r="AN1075">
        <f t="shared" si="318"/>
        <v>0</v>
      </c>
      <c r="AO1075">
        <f t="shared" si="319"/>
        <v>1900</v>
      </c>
      <c r="AV1075">
        <f t="shared" si="320"/>
        <v>0</v>
      </c>
      <c r="AW1075">
        <f t="shared" si="321"/>
        <v>0</v>
      </c>
    </row>
    <row r="1076" spans="4:49" ht="15.75" x14ac:dyDescent="0.25">
      <c r="D1076" s="199"/>
      <c r="E1076" s="200"/>
      <c r="F1076" s="287"/>
      <c r="G1076" s="201"/>
      <c r="H1076" s="219"/>
      <c r="I1076" s="202"/>
      <c r="J1076" s="200"/>
      <c r="K1076" s="200"/>
      <c r="L1076" s="203"/>
      <c r="M1076" s="204">
        <f ca="1">IF(ISERROR(OFFSET(Tabella!$A$1,MATCH(J1076,Tabella!$A:$A,0)-1,MATCH(L1076,Tabella!$A$1:$AC$1,0)-1)=TRUE),0,+OFFSET(Tabella!$A$1,MATCH(J1076,Tabella!$A:$A,0)-1,MATCH(L1076,Tabella!$A$1:$AC$1,0)-1))</f>
        <v>0</v>
      </c>
      <c r="N1076" s="205">
        <f ca="1">IF(ISERROR(OFFSET(Ottone!$A$1,MATCH(J1076,Ottone!$A:$A,0)-1,MATCH(L1076,Ottone!$A$1:$Z$1,0)-1)=TRUE),0,OFFSET(Ottone!$A$1,MATCH(J1076,Ottone!$A:$A,0)-1,MATCH(L1076,Ottone!$A$1:$Z$1,0)-1))*IF(G1076="Ottone",1,0)</f>
        <v>0</v>
      </c>
      <c r="O1076" s="205">
        <f ca="1">IF(ISERROR(OFFSET(Rame!$A$1,MATCH(J1076,Rame!$A:$A,0)-1,MATCH(L1076,Rame!$A$1:$AA$1,0)-1)=TRUE),0,OFFSET(Rame!$A$1,MATCH(J1076,Rame!$A:$A,0)-1,MATCH(L1076,Rame!$A$1:$AA$1,0)-1))*IF(G1076="Rame",1,0)</f>
        <v>0</v>
      </c>
      <c r="P1076" s="205">
        <v>0</v>
      </c>
      <c r="Q1076" s="205">
        <f t="shared" ca="1" si="311"/>
        <v>0</v>
      </c>
      <c r="R1076" s="205">
        <f ca="1">+IF(ISERROR(OFFSET(Tabella!$G$1,MATCH(J1076,Tabella!$G:$G,0)-1,MATCH(K1076,Tabella!$G$1:$FG$1,0)-1)=TRUE),0,OFFSET(Tabella!$G$1,MATCH(J1076,Tabella!$G:$G,0)-1,MATCH(K1076,Tabella!$G$1:$AB$1,0)-1))</f>
        <v>0</v>
      </c>
      <c r="S1076" s="205">
        <f ca="1">IF(ISERROR(OFFSET(Ottone!$F$1,MATCH(J1076,Ottone!$A:$A,0)-1,MATCH(K1076,Ottone!$F$1:$FF$1,0)-1)=TRUE),0,OFFSET(Ottone!$F$1,MATCH(J1076,Ottone!$A:$A,0)-1,MATCH(K1076,Ottone!$F$1:$FF$1,0)-1))*IF(G1076="Ottone",1,0)</f>
        <v>0</v>
      </c>
      <c r="T1076" s="205">
        <f ca="1">IF(ISERROR(OFFSET(Rame!$F$1,MATCH(J1076,Rame!$F:$F,0)-1,MATCH(K1076,Rame!$F$1:$FF$1,0)-1)=TRUE),0,OFFSET(Rame!$F$1,MATCH(J1076,Rame!$F:$F,0)-1,MATCH(K1076,Rame!$F$1:$FF$1,0)-1))*IF(G1076="Rame",1,0)</f>
        <v>0</v>
      </c>
      <c r="U1076" s="205">
        <f ca="1">IF(ISERROR(OFFSET(Bronzo!$A$1,MATCH(J1076,Bronzo!$A:$A,0)-1,MATCH(K1076,Bronzo!$A$1:$AA$1,0)-1)=TRUE),0,OFFSET(Bronzo!$A$1,MATCH(J1076,Bronzo!$A:$A,0)-1,MATCH(K1076,Bronzo!$A$1:$AA$1,0)-1))</f>
        <v>0</v>
      </c>
      <c r="V1076" s="205">
        <f t="shared" ca="1" si="312"/>
        <v>0</v>
      </c>
      <c r="W1076" s="204"/>
      <c r="X1076" s="205">
        <v>0</v>
      </c>
      <c r="Y1076" s="206">
        <f t="shared" ca="1" si="313"/>
        <v>0</v>
      </c>
      <c r="Z1076" s="277">
        <f t="shared" si="314"/>
        <v>0</v>
      </c>
      <c r="AA1076" s="203"/>
      <c r="AB1076" s="203">
        <f t="shared" ca="1" si="315"/>
        <v>0</v>
      </c>
      <c r="AC1076" s="238"/>
      <c r="AI1076" s="367">
        <f t="shared" ca="1" si="310"/>
        <v>46092</v>
      </c>
      <c r="AJ1076" s="367" t="b">
        <f t="shared" si="316"/>
        <v>1</v>
      </c>
      <c r="AK1076" s="370" t="str">
        <f t="shared" si="317"/>
        <v/>
      </c>
      <c r="AN1076">
        <f t="shared" si="318"/>
        <v>0</v>
      </c>
      <c r="AO1076">
        <f t="shared" si="319"/>
        <v>1900</v>
      </c>
      <c r="AV1076">
        <f t="shared" si="320"/>
        <v>0</v>
      </c>
      <c r="AW1076">
        <f t="shared" si="321"/>
        <v>0</v>
      </c>
    </row>
    <row r="1077" spans="4:49" ht="15.75" x14ac:dyDescent="0.25">
      <c r="D1077" s="199"/>
      <c r="E1077" s="200"/>
      <c r="F1077" s="287"/>
      <c r="G1077" s="201"/>
      <c r="H1077" s="219"/>
      <c r="I1077" s="202"/>
      <c r="J1077" s="200"/>
      <c r="K1077" s="200"/>
      <c r="L1077" s="203"/>
      <c r="M1077" s="204">
        <f ca="1">IF(ISERROR(OFFSET(Tabella!$A$1,MATCH(J1077,Tabella!$A:$A,0)-1,MATCH(L1077,Tabella!$A$1:$AC$1,0)-1)=TRUE),0,+OFFSET(Tabella!$A$1,MATCH(J1077,Tabella!$A:$A,0)-1,MATCH(L1077,Tabella!$A$1:$AC$1,0)-1))</f>
        <v>0</v>
      </c>
      <c r="N1077" s="205">
        <f ca="1">IF(ISERROR(OFFSET(Ottone!$A$1,MATCH(J1077,Ottone!$A:$A,0)-1,MATCH(L1077,Ottone!$A$1:$Z$1,0)-1)=TRUE),0,OFFSET(Ottone!$A$1,MATCH(J1077,Ottone!$A:$A,0)-1,MATCH(L1077,Ottone!$A$1:$Z$1,0)-1))*IF(G1077="Ottone",1,0)</f>
        <v>0</v>
      </c>
      <c r="O1077" s="205">
        <f ca="1">IF(ISERROR(OFFSET(Rame!$A$1,MATCH(J1077,Rame!$A:$A,0)-1,MATCH(L1077,Rame!$A$1:$AA$1,0)-1)=TRUE),0,OFFSET(Rame!$A$1,MATCH(J1077,Rame!$A:$A,0)-1,MATCH(L1077,Rame!$A$1:$AA$1,0)-1))*IF(G1077="Rame",1,0)</f>
        <v>0</v>
      </c>
      <c r="P1077" s="205">
        <v>0</v>
      </c>
      <c r="Q1077" s="205">
        <f t="shared" ca="1" si="311"/>
        <v>0</v>
      </c>
      <c r="R1077" s="205">
        <f ca="1">+IF(ISERROR(OFFSET(Tabella!$G$1,MATCH(J1077,Tabella!$G:$G,0)-1,MATCH(K1077,Tabella!$G$1:$FG$1,0)-1)=TRUE),0,OFFSET(Tabella!$G$1,MATCH(J1077,Tabella!$G:$G,0)-1,MATCH(K1077,Tabella!$G$1:$AB$1,0)-1))</f>
        <v>0</v>
      </c>
      <c r="S1077" s="205">
        <f ca="1">IF(ISERROR(OFFSET(Ottone!$F$1,MATCH(J1077,Ottone!$A:$A,0)-1,MATCH(K1077,Ottone!$F$1:$FF$1,0)-1)=TRUE),0,OFFSET(Ottone!$F$1,MATCH(J1077,Ottone!$A:$A,0)-1,MATCH(K1077,Ottone!$F$1:$FF$1,0)-1))*IF(G1077="Ottone",1,0)</f>
        <v>0</v>
      </c>
      <c r="T1077" s="205">
        <f ca="1">IF(ISERROR(OFFSET(Rame!$F$1,MATCH(J1077,Rame!$F:$F,0)-1,MATCH(K1077,Rame!$F$1:$FF$1,0)-1)=TRUE),0,OFFSET(Rame!$F$1,MATCH(J1077,Rame!$F:$F,0)-1,MATCH(K1077,Rame!$F$1:$FF$1,0)-1))*IF(G1077="Rame",1,0)</f>
        <v>0</v>
      </c>
      <c r="U1077" s="205">
        <f ca="1">IF(ISERROR(OFFSET(Bronzo!$A$1,MATCH(J1077,Bronzo!$A:$A,0)-1,MATCH(K1077,Bronzo!$A$1:$AA$1,0)-1)=TRUE),0,OFFSET(Bronzo!$A$1,MATCH(J1077,Bronzo!$A:$A,0)-1,MATCH(K1077,Bronzo!$A$1:$AA$1,0)-1))</f>
        <v>0</v>
      </c>
      <c r="V1077" s="205">
        <f t="shared" ca="1" si="312"/>
        <v>0</v>
      </c>
      <c r="W1077" s="204"/>
      <c r="X1077" s="205">
        <v>0</v>
      </c>
      <c r="Y1077" s="206">
        <f t="shared" ca="1" si="313"/>
        <v>0</v>
      </c>
      <c r="Z1077" s="277">
        <f t="shared" si="314"/>
        <v>0</v>
      </c>
      <c r="AA1077" s="203"/>
      <c r="AB1077" s="203">
        <f t="shared" ca="1" si="315"/>
        <v>0</v>
      </c>
      <c r="AC1077" s="238"/>
      <c r="AI1077" s="367">
        <f t="shared" ca="1" si="310"/>
        <v>46092</v>
      </c>
      <c r="AJ1077" s="367" t="b">
        <f t="shared" si="316"/>
        <v>1</v>
      </c>
      <c r="AK1077" s="370" t="str">
        <f t="shared" si="317"/>
        <v/>
      </c>
      <c r="AN1077">
        <f t="shared" si="318"/>
        <v>0</v>
      </c>
      <c r="AO1077">
        <f t="shared" si="319"/>
        <v>1900</v>
      </c>
      <c r="AV1077">
        <f t="shared" si="320"/>
        <v>0</v>
      </c>
      <c r="AW1077">
        <f t="shared" si="321"/>
        <v>0</v>
      </c>
    </row>
    <row r="1078" spans="4:49" ht="15.75" x14ac:dyDescent="0.25">
      <c r="D1078" s="199"/>
      <c r="E1078" s="200"/>
      <c r="F1078" s="287"/>
      <c r="G1078" s="201"/>
      <c r="H1078" s="219"/>
      <c r="I1078" s="202"/>
      <c r="J1078" s="200"/>
      <c r="K1078" s="200"/>
      <c r="L1078" s="203"/>
      <c r="M1078" s="204">
        <f ca="1">IF(ISERROR(OFFSET(Tabella!$A$1,MATCH(J1078,Tabella!$A:$A,0)-1,MATCH(L1078,Tabella!$A$1:$AC$1,0)-1)=TRUE),0,+OFFSET(Tabella!$A$1,MATCH(J1078,Tabella!$A:$A,0)-1,MATCH(L1078,Tabella!$A$1:$AC$1,0)-1))</f>
        <v>0</v>
      </c>
      <c r="N1078" s="205">
        <f ca="1">IF(ISERROR(OFFSET(Ottone!$A$1,MATCH(J1078,Ottone!$A:$A,0)-1,MATCH(L1078,Ottone!$A$1:$Z$1,0)-1)=TRUE),0,OFFSET(Ottone!$A$1,MATCH(J1078,Ottone!$A:$A,0)-1,MATCH(L1078,Ottone!$A$1:$Z$1,0)-1))*IF(G1078="Ottone",1,0)</f>
        <v>0</v>
      </c>
      <c r="O1078" s="205">
        <f ca="1">IF(ISERROR(OFFSET(Rame!$A$1,MATCH(J1078,Rame!$A:$A,0)-1,MATCH(L1078,Rame!$A$1:$AA$1,0)-1)=TRUE),0,OFFSET(Rame!$A$1,MATCH(J1078,Rame!$A:$A,0)-1,MATCH(L1078,Rame!$A$1:$AA$1,0)-1))*IF(G1078="Rame",1,0)</f>
        <v>0</v>
      </c>
      <c r="P1078" s="205">
        <v>0</v>
      </c>
      <c r="Q1078" s="205">
        <f t="shared" ca="1" si="311"/>
        <v>0</v>
      </c>
      <c r="R1078" s="205">
        <f ca="1">+IF(ISERROR(OFFSET(Tabella!$G$1,MATCH(J1078,Tabella!$G:$G,0)-1,MATCH(K1078,Tabella!$G$1:$FG$1,0)-1)=TRUE),0,OFFSET(Tabella!$G$1,MATCH(J1078,Tabella!$G:$G,0)-1,MATCH(K1078,Tabella!$G$1:$AB$1,0)-1))</f>
        <v>0</v>
      </c>
      <c r="S1078" s="205">
        <f ca="1">IF(ISERROR(OFFSET(Ottone!$F$1,MATCH(J1078,Ottone!$A:$A,0)-1,MATCH(K1078,Ottone!$F$1:$FF$1,0)-1)=TRUE),0,OFFSET(Ottone!$F$1,MATCH(J1078,Ottone!$A:$A,0)-1,MATCH(K1078,Ottone!$F$1:$FF$1,0)-1))*IF(G1078="Ottone",1,0)</f>
        <v>0</v>
      </c>
      <c r="T1078" s="205">
        <f ca="1">IF(ISERROR(OFFSET(Rame!$F$1,MATCH(J1078,Rame!$F:$F,0)-1,MATCH(K1078,Rame!$F$1:$FF$1,0)-1)=TRUE),0,OFFSET(Rame!$F$1,MATCH(J1078,Rame!$F:$F,0)-1,MATCH(K1078,Rame!$F$1:$FF$1,0)-1))*IF(G1078="Rame",1,0)</f>
        <v>0</v>
      </c>
      <c r="U1078" s="205">
        <f ca="1">IF(ISERROR(OFFSET(Bronzo!$A$1,MATCH(J1078,Bronzo!$A:$A,0)-1,MATCH(K1078,Bronzo!$A$1:$AA$1,0)-1)=TRUE),0,OFFSET(Bronzo!$A$1,MATCH(J1078,Bronzo!$A:$A,0)-1,MATCH(K1078,Bronzo!$A$1:$AA$1,0)-1))</f>
        <v>0</v>
      </c>
      <c r="V1078" s="205">
        <f t="shared" ca="1" si="312"/>
        <v>0</v>
      </c>
      <c r="W1078" s="204"/>
      <c r="X1078" s="205">
        <v>0</v>
      </c>
      <c r="Y1078" s="206">
        <f t="shared" ca="1" si="313"/>
        <v>0</v>
      </c>
      <c r="Z1078" s="277">
        <f t="shared" si="314"/>
        <v>0</v>
      </c>
      <c r="AA1078" s="203"/>
      <c r="AB1078" s="203">
        <f t="shared" ca="1" si="315"/>
        <v>0</v>
      </c>
      <c r="AC1078" s="238"/>
      <c r="AI1078" s="367">
        <f t="shared" ca="1" si="310"/>
        <v>46092</v>
      </c>
      <c r="AJ1078" s="367" t="b">
        <f t="shared" si="316"/>
        <v>1</v>
      </c>
      <c r="AK1078" s="370" t="str">
        <f t="shared" si="317"/>
        <v/>
      </c>
      <c r="AN1078">
        <f t="shared" si="318"/>
        <v>0</v>
      </c>
      <c r="AO1078">
        <f t="shared" si="319"/>
        <v>1900</v>
      </c>
      <c r="AV1078">
        <f t="shared" si="320"/>
        <v>0</v>
      </c>
      <c r="AW1078">
        <f t="shared" si="321"/>
        <v>0</v>
      </c>
    </row>
    <row r="1079" spans="4:49" ht="15.75" x14ac:dyDescent="0.25">
      <c r="D1079" s="199"/>
      <c r="E1079" s="200"/>
      <c r="F1079" s="287"/>
      <c r="G1079" s="201"/>
      <c r="H1079" s="219"/>
      <c r="I1079" s="202"/>
      <c r="J1079" s="200"/>
      <c r="K1079" s="200"/>
      <c r="L1079" s="203"/>
      <c r="M1079" s="204">
        <f ca="1">IF(ISERROR(OFFSET(Tabella!$A$1,MATCH(J1079,Tabella!$A:$A,0)-1,MATCH(L1079,Tabella!$A$1:$AC$1,0)-1)=TRUE),0,+OFFSET(Tabella!$A$1,MATCH(J1079,Tabella!$A:$A,0)-1,MATCH(L1079,Tabella!$A$1:$AC$1,0)-1))</f>
        <v>0</v>
      </c>
      <c r="N1079" s="205">
        <f ca="1">IF(ISERROR(OFFSET(Ottone!$A$1,MATCH(J1079,Ottone!$A:$A,0)-1,MATCH(L1079,Ottone!$A$1:$Z$1,0)-1)=TRUE),0,OFFSET(Ottone!$A$1,MATCH(J1079,Ottone!$A:$A,0)-1,MATCH(L1079,Ottone!$A$1:$Z$1,0)-1))*IF(G1079="Ottone",1,0)</f>
        <v>0</v>
      </c>
      <c r="O1079" s="205">
        <f ca="1">IF(ISERROR(OFFSET(Rame!$A$1,MATCH(J1079,Rame!$A:$A,0)-1,MATCH(L1079,Rame!$A$1:$AA$1,0)-1)=TRUE),0,OFFSET(Rame!$A$1,MATCH(J1079,Rame!$A:$A,0)-1,MATCH(L1079,Rame!$A$1:$AA$1,0)-1))*IF(G1079="Rame",1,0)</f>
        <v>0</v>
      </c>
      <c r="P1079" s="205">
        <v>0</v>
      </c>
      <c r="Q1079" s="205">
        <f t="shared" ca="1" si="311"/>
        <v>0</v>
      </c>
      <c r="R1079" s="205">
        <f ca="1">+IF(ISERROR(OFFSET(Tabella!$G$1,MATCH(J1079,Tabella!$G:$G,0)-1,MATCH(K1079,Tabella!$G$1:$FG$1,0)-1)=TRUE),0,OFFSET(Tabella!$G$1,MATCH(J1079,Tabella!$G:$G,0)-1,MATCH(K1079,Tabella!$G$1:$AB$1,0)-1))</f>
        <v>0</v>
      </c>
      <c r="S1079" s="205">
        <f ca="1">IF(ISERROR(OFFSET(Ottone!$F$1,MATCH(J1079,Ottone!$A:$A,0)-1,MATCH(K1079,Ottone!$F$1:$FF$1,0)-1)=TRUE),0,OFFSET(Ottone!$F$1,MATCH(J1079,Ottone!$A:$A,0)-1,MATCH(K1079,Ottone!$F$1:$FF$1,0)-1))*IF(G1079="Ottone",1,0)</f>
        <v>0</v>
      </c>
      <c r="T1079" s="205">
        <f ca="1">IF(ISERROR(OFFSET(Rame!$F$1,MATCH(J1079,Rame!$F:$F,0)-1,MATCH(K1079,Rame!$F$1:$FF$1,0)-1)=TRUE),0,OFFSET(Rame!$F$1,MATCH(J1079,Rame!$F:$F,0)-1,MATCH(K1079,Rame!$F$1:$FF$1,0)-1))*IF(G1079="Rame",1,0)</f>
        <v>0</v>
      </c>
      <c r="U1079" s="205">
        <f ca="1">IF(ISERROR(OFFSET(Bronzo!$A$1,MATCH(J1079,Bronzo!$A:$A,0)-1,MATCH(K1079,Bronzo!$A$1:$AA$1,0)-1)=TRUE),0,OFFSET(Bronzo!$A$1,MATCH(J1079,Bronzo!$A:$A,0)-1,MATCH(K1079,Bronzo!$A$1:$AA$1,0)-1))</f>
        <v>0</v>
      </c>
      <c r="V1079" s="205">
        <f t="shared" ca="1" si="312"/>
        <v>0</v>
      </c>
      <c r="W1079" s="204"/>
      <c r="X1079" s="205">
        <v>0</v>
      </c>
      <c r="Y1079" s="206">
        <f t="shared" ca="1" si="313"/>
        <v>0</v>
      </c>
      <c r="Z1079" s="277">
        <f t="shared" si="314"/>
        <v>0</v>
      </c>
      <c r="AA1079" s="203"/>
      <c r="AB1079" s="203">
        <f t="shared" ca="1" si="315"/>
        <v>0</v>
      </c>
      <c r="AC1079" s="238"/>
      <c r="AI1079" s="367">
        <f t="shared" ca="1" si="310"/>
        <v>46092</v>
      </c>
      <c r="AJ1079" s="367" t="b">
        <f t="shared" si="316"/>
        <v>1</v>
      </c>
      <c r="AK1079" s="370" t="str">
        <f t="shared" si="317"/>
        <v/>
      </c>
      <c r="AN1079">
        <f t="shared" si="318"/>
        <v>0</v>
      </c>
      <c r="AO1079">
        <f t="shared" si="319"/>
        <v>1900</v>
      </c>
      <c r="AV1079">
        <f t="shared" si="320"/>
        <v>0</v>
      </c>
      <c r="AW1079">
        <f t="shared" si="321"/>
        <v>0</v>
      </c>
    </row>
    <row r="1080" spans="4:49" ht="15.75" x14ac:dyDescent="0.25">
      <c r="D1080" s="199"/>
      <c r="E1080" s="200"/>
      <c r="F1080" s="287"/>
      <c r="G1080" s="201"/>
      <c r="H1080" s="219"/>
      <c r="I1080" s="202"/>
      <c r="J1080" s="200"/>
      <c r="K1080" s="200"/>
      <c r="L1080" s="203"/>
      <c r="M1080" s="204">
        <f ca="1">IF(ISERROR(OFFSET(Tabella!$A$1,MATCH(J1080,Tabella!$A:$A,0)-1,MATCH(L1080,Tabella!$A$1:$AC$1,0)-1)=TRUE),0,+OFFSET(Tabella!$A$1,MATCH(J1080,Tabella!$A:$A,0)-1,MATCH(L1080,Tabella!$A$1:$AC$1,0)-1))</f>
        <v>0</v>
      </c>
      <c r="N1080" s="205">
        <f ca="1">IF(ISERROR(OFFSET(Ottone!$A$1,MATCH(J1080,Ottone!$A:$A,0)-1,MATCH(L1080,Ottone!$A$1:$Z$1,0)-1)=TRUE),0,OFFSET(Ottone!$A$1,MATCH(J1080,Ottone!$A:$A,0)-1,MATCH(L1080,Ottone!$A$1:$Z$1,0)-1))*IF(G1080="Ottone",1,0)</f>
        <v>0</v>
      </c>
      <c r="O1080" s="205">
        <f ca="1">IF(ISERROR(OFFSET(Rame!$A$1,MATCH(J1080,Rame!$A:$A,0)-1,MATCH(L1080,Rame!$A$1:$AA$1,0)-1)=TRUE),0,OFFSET(Rame!$A$1,MATCH(J1080,Rame!$A:$A,0)-1,MATCH(L1080,Rame!$A$1:$AA$1,0)-1))*IF(G1080="Rame",1,0)</f>
        <v>0</v>
      </c>
      <c r="P1080" s="205">
        <v>0</v>
      </c>
      <c r="Q1080" s="205">
        <f t="shared" ca="1" si="311"/>
        <v>0</v>
      </c>
      <c r="R1080" s="205">
        <f ca="1">+IF(ISERROR(OFFSET(Tabella!$G$1,MATCH(J1080,Tabella!$G:$G,0)-1,MATCH(K1080,Tabella!$G$1:$FG$1,0)-1)=TRUE),0,OFFSET(Tabella!$G$1,MATCH(J1080,Tabella!$G:$G,0)-1,MATCH(K1080,Tabella!$G$1:$AB$1,0)-1))</f>
        <v>0</v>
      </c>
      <c r="S1080" s="205">
        <f ca="1">IF(ISERROR(OFFSET(Ottone!$F$1,MATCH(J1080,Ottone!$A:$A,0)-1,MATCH(K1080,Ottone!$F$1:$FF$1,0)-1)=TRUE),0,OFFSET(Ottone!$F$1,MATCH(J1080,Ottone!$A:$A,0)-1,MATCH(K1080,Ottone!$F$1:$FF$1,0)-1))*IF(G1080="Ottone",1,0)</f>
        <v>0</v>
      </c>
      <c r="T1080" s="205">
        <f ca="1">IF(ISERROR(OFFSET(Rame!$F$1,MATCH(J1080,Rame!$F:$F,0)-1,MATCH(K1080,Rame!$F$1:$FF$1,0)-1)=TRUE),0,OFFSET(Rame!$F$1,MATCH(J1080,Rame!$F:$F,0)-1,MATCH(K1080,Rame!$F$1:$FF$1,0)-1))*IF(G1080="Rame",1,0)</f>
        <v>0</v>
      </c>
      <c r="U1080" s="205">
        <f ca="1">IF(ISERROR(OFFSET(Bronzo!$A$1,MATCH(J1080,Bronzo!$A:$A,0)-1,MATCH(K1080,Bronzo!$A$1:$AA$1,0)-1)=TRUE),0,OFFSET(Bronzo!$A$1,MATCH(J1080,Bronzo!$A:$A,0)-1,MATCH(K1080,Bronzo!$A$1:$AA$1,0)-1))</f>
        <v>0</v>
      </c>
      <c r="V1080" s="205">
        <f t="shared" ca="1" si="312"/>
        <v>0</v>
      </c>
      <c r="W1080" s="204"/>
      <c r="X1080" s="205">
        <v>0</v>
      </c>
      <c r="Y1080" s="206">
        <f t="shared" ca="1" si="313"/>
        <v>0</v>
      </c>
      <c r="Z1080" s="277">
        <f t="shared" si="314"/>
        <v>0</v>
      </c>
      <c r="AA1080" s="203"/>
      <c r="AB1080" s="203">
        <f t="shared" ca="1" si="315"/>
        <v>0</v>
      </c>
      <c r="AC1080" s="238"/>
      <c r="AI1080" s="367">
        <f t="shared" ca="1" si="310"/>
        <v>46092</v>
      </c>
      <c r="AJ1080" s="367" t="b">
        <f t="shared" si="316"/>
        <v>1</v>
      </c>
      <c r="AK1080" s="370" t="str">
        <f t="shared" si="317"/>
        <v/>
      </c>
      <c r="AN1080">
        <f t="shared" si="318"/>
        <v>0</v>
      </c>
      <c r="AO1080">
        <f t="shared" si="319"/>
        <v>1900</v>
      </c>
      <c r="AV1080">
        <f t="shared" si="320"/>
        <v>0</v>
      </c>
      <c r="AW1080">
        <f t="shared" si="321"/>
        <v>0</v>
      </c>
    </row>
    <row r="1081" spans="4:49" ht="15.75" x14ac:dyDescent="0.25">
      <c r="D1081" s="199"/>
      <c r="E1081" s="200"/>
      <c r="F1081" s="287"/>
      <c r="G1081" s="201"/>
      <c r="H1081" s="219"/>
      <c r="I1081" s="202"/>
      <c r="J1081" s="200"/>
      <c r="K1081" s="200"/>
      <c r="L1081" s="203"/>
      <c r="M1081" s="204">
        <f ca="1">IF(ISERROR(OFFSET(Tabella!$A$1,MATCH(J1081,Tabella!$A:$A,0)-1,MATCH(L1081,Tabella!$A$1:$AC$1,0)-1)=TRUE),0,+OFFSET(Tabella!$A$1,MATCH(J1081,Tabella!$A:$A,0)-1,MATCH(L1081,Tabella!$A$1:$AC$1,0)-1))</f>
        <v>0</v>
      </c>
      <c r="N1081" s="205">
        <f ca="1">IF(ISERROR(OFFSET(Ottone!$A$1,MATCH(J1081,Ottone!$A:$A,0)-1,MATCH(L1081,Ottone!$A$1:$Z$1,0)-1)=TRUE),0,OFFSET(Ottone!$A$1,MATCH(J1081,Ottone!$A:$A,0)-1,MATCH(L1081,Ottone!$A$1:$Z$1,0)-1))*IF(G1081="Ottone",1,0)</f>
        <v>0</v>
      </c>
      <c r="O1081" s="205">
        <f ca="1">IF(ISERROR(OFFSET(Rame!$A$1,MATCH(J1081,Rame!$A:$A,0)-1,MATCH(L1081,Rame!$A$1:$AA$1,0)-1)=TRUE),0,OFFSET(Rame!$A$1,MATCH(J1081,Rame!$A:$A,0)-1,MATCH(L1081,Rame!$A$1:$AA$1,0)-1))*IF(G1081="Rame",1,0)</f>
        <v>0</v>
      </c>
      <c r="P1081" s="205">
        <v>0</v>
      </c>
      <c r="Q1081" s="205">
        <f t="shared" ca="1" si="311"/>
        <v>0</v>
      </c>
      <c r="R1081" s="205">
        <f ca="1">+IF(ISERROR(OFFSET(Tabella!$G$1,MATCH(J1081,Tabella!$G:$G,0)-1,MATCH(K1081,Tabella!$G$1:$FG$1,0)-1)=TRUE),0,OFFSET(Tabella!$G$1,MATCH(J1081,Tabella!$G:$G,0)-1,MATCH(K1081,Tabella!$G$1:$AB$1,0)-1))</f>
        <v>0</v>
      </c>
      <c r="S1081" s="205">
        <f ca="1">IF(ISERROR(OFFSET(Ottone!$F$1,MATCH(J1081,Ottone!$A:$A,0)-1,MATCH(K1081,Ottone!$F$1:$FF$1,0)-1)=TRUE),0,OFFSET(Ottone!$F$1,MATCH(J1081,Ottone!$A:$A,0)-1,MATCH(K1081,Ottone!$F$1:$FF$1,0)-1))*IF(G1081="Ottone",1,0)</f>
        <v>0</v>
      </c>
      <c r="T1081" s="205">
        <f ca="1">IF(ISERROR(OFFSET(Rame!$F$1,MATCH(J1081,Rame!$F:$F,0)-1,MATCH(K1081,Rame!$F$1:$FF$1,0)-1)=TRUE),0,OFFSET(Rame!$F$1,MATCH(J1081,Rame!$F:$F,0)-1,MATCH(K1081,Rame!$F$1:$FF$1,0)-1))*IF(G1081="Rame",1,0)</f>
        <v>0</v>
      </c>
      <c r="U1081" s="205">
        <f ca="1">IF(ISERROR(OFFSET(Bronzo!$A$1,MATCH(J1081,Bronzo!$A:$A,0)-1,MATCH(K1081,Bronzo!$A$1:$AA$1,0)-1)=TRUE),0,OFFSET(Bronzo!$A$1,MATCH(J1081,Bronzo!$A:$A,0)-1,MATCH(K1081,Bronzo!$A$1:$AA$1,0)-1))</f>
        <v>0</v>
      </c>
      <c r="V1081" s="205">
        <f t="shared" ca="1" si="312"/>
        <v>0</v>
      </c>
      <c r="W1081" s="204"/>
      <c r="X1081" s="205">
        <v>0</v>
      </c>
      <c r="Y1081" s="206">
        <f t="shared" ca="1" si="313"/>
        <v>0</v>
      </c>
      <c r="Z1081" s="277">
        <f t="shared" si="314"/>
        <v>0</v>
      </c>
      <c r="AA1081" s="203"/>
      <c r="AB1081" s="203">
        <f t="shared" ca="1" si="315"/>
        <v>0</v>
      </c>
      <c r="AC1081" s="238"/>
      <c r="AI1081" s="367">
        <f t="shared" ca="1" si="310"/>
        <v>46092</v>
      </c>
      <c r="AJ1081" s="367" t="b">
        <f t="shared" si="316"/>
        <v>1</v>
      </c>
      <c r="AK1081" s="370" t="str">
        <f t="shared" si="317"/>
        <v/>
      </c>
      <c r="AN1081">
        <f t="shared" si="318"/>
        <v>0</v>
      </c>
      <c r="AO1081">
        <f t="shared" si="319"/>
        <v>1900</v>
      </c>
      <c r="AV1081">
        <f t="shared" si="320"/>
        <v>0</v>
      </c>
      <c r="AW1081">
        <f t="shared" si="321"/>
        <v>0</v>
      </c>
    </row>
    <row r="1082" spans="4:49" ht="15.75" x14ac:dyDescent="0.25">
      <c r="D1082" s="199"/>
      <c r="E1082" s="200"/>
      <c r="F1082" s="287"/>
      <c r="G1082" s="201"/>
      <c r="H1082" s="219"/>
      <c r="I1082" s="202"/>
      <c r="J1082" s="200"/>
      <c r="K1082" s="200"/>
      <c r="L1082" s="203"/>
      <c r="M1082" s="204">
        <f ca="1">IF(ISERROR(OFFSET(Tabella!$A$1,MATCH(J1082,Tabella!$A:$A,0)-1,MATCH(L1082,Tabella!$A$1:$AC$1,0)-1)=TRUE),0,+OFFSET(Tabella!$A$1,MATCH(J1082,Tabella!$A:$A,0)-1,MATCH(L1082,Tabella!$A$1:$AC$1,0)-1))</f>
        <v>0</v>
      </c>
      <c r="N1082" s="205">
        <f ca="1">IF(ISERROR(OFFSET(Ottone!$A$1,MATCH(J1082,Ottone!$A:$A,0)-1,MATCH(L1082,Ottone!$A$1:$Z$1,0)-1)=TRUE),0,OFFSET(Ottone!$A$1,MATCH(J1082,Ottone!$A:$A,0)-1,MATCH(L1082,Ottone!$A$1:$Z$1,0)-1))*IF(G1082="Ottone",1,0)</f>
        <v>0</v>
      </c>
      <c r="O1082" s="205">
        <f ca="1">IF(ISERROR(OFFSET(Rame!$A$1,MATCH(J1082,Rame!$A:$A,0)-1,MATCH(L1082,Rame!$A$1:$AA$1,0)-1)=TRUE),0,OFFSET(Rame!$A$1,MATCH(J1082,Rame!$A:$A,0)-1,MATCH(L1082,Rame!$A$1:$AA$1,0)-1))*IF(G1082="Rame",1,0)</f>
        <v>0</v>
      </c>
      <c r="P1082" s="205">
        <v>0</v>
      </c>
      <c r="Q1082" s="205">
        <f t="shared" ca="1" si="311"/>
        <v>0</v>
      </c>
      <c r="R1082" s="205">
        <f ca="1">+IF(ISERROR(OFFSET(Tabella!$G$1,MATCH(J1082,Tabella!$G:$G,0)-1,MATCH(K1082,Tabella!$G$1:$FG$1,0)-1)=TRUE),0,OFFSET(Tabella!$G$1,MATCH(J1082,Tabella!$G:$G,0)-1,MATCH(K1082,Tabella!$G$1:$AB$1,0)-1))</f>
        <v>0</v>
      </c>
      <c r="S1082" s="205">
        <f ca="1">IF(ISERROR(OFFSET(Ottone!$F$1,MATCH(J1082,Ottone!$A:$A,0)-1,MATCH(K1082,Ottone!$F$1:$FF$1,0)-1)=TRUE),0,OFFSET(Ottone!$F$1,MATCH(J1082,Ottone!$A:$A,0)-1,MATCH(K1082,Ottone!$F$1:$FF$1,0)-1))*IF(G1082="Ottone",1,0)</f>
        <v>0</v>
      </c>
      <c r="T1082" s="205">
        <f ca="1">IF(ISERROR(OFFSET(Rame!$F$1,MATCH(J1082,Rame!$F:$F,0)-1,MATCH(K1082,Rame!$F$1:$FF$1,0)-1)=TRUE),0,OFFSET(Rame!$F$1,MATCH(J1082,Rame!$F:$F,0)-1,MATCH(K1082,Rame!$F$1:$FF$1,0)-1))*IF(G1082="Rame",1,0)</f>
        <v>0</v>
      </c>
      <c r="U1082" s="205">
        <f ca="1">IF(ISERROR(OFFSET(Bronzo!$A$1,MATCH(J1082,Bronzo!$A:$A,0)-1,MATCH(K1082,Bronzo!$A$1:$AA$1,0)-1)=TRUE),0,OFFSET(Bronzo!$A$1,MATCH(J1082,Bronzo!$A:$A,0)-1,MATCH(K1082,Bronzo!$A$1:$AA$1,0)-1))</f>
        <v>0</v>
      </c>
      <c r="V1082" s="205">
        <f t="shared" ca="1" si="312"/>
        <v>0</v>
      </c>
      <c r="W1082" s="204"/>
      <c r="X1082" s="205">
        <v>0</v>
      </c>
      <c r="Y1082" s="206">
        <f t="shared" ca="1" si="313"/>
        <v>0</v>
      </c>
      <c r="Z1082" s="277">
        <f t="shared" si="314"/>
        <v>0</v>
      </c>
      <c r="AA1082" s="203"/>
      <c r="AB1082" s="203">
        <f t="shared" ca="1" si="315"/>
        <v>0</v>
      </c>
      <c r="AC1082" s="238"/>
      <c r="AI1082" s="367">
        <f t="shared" ca="1" si="310"/>
        <v>46092</v>
      </c>
      <c r="AJ1082" s="367" t="b">
        <f t="shared" si="316"/>
        <v>1</v>
      </c>
      <c r="AK1082" s="370" t="str">
        <f t="shared" si="317"/>
        <v/>
      </c>
      <c r="AN1082">
        <f t="shared" si="318"/>
        <v>0</v>
      </c>
      <c r="AO1082">
        <f t="shared" si="319"/>
        <v>1900</v>
      </c>
      <c r="AV1082">
        <f t="shared" si="320"/>
        <v>0</v>
      </c>
      <c r="AW1082">
        <f t="shared" si="321"/>
        <v>0</v>
      </c>
    </row>
    <row r="1083" spans="4:49" ht="15.75" x14ac:dyDescent="0.25">
      <c r="D1083" s="199"/>
      <c r="E1083" s="200"/>
      <c r="F1083" s="287"/>
      <c r="G1083" s="201"/>
      <c r="H1083" s="219"/>
      <c r="I1083" s="202"/>
      <c r="J1083" s="200"/>
      <c r="K1083" s="200"/>
      <c r="L1083" s="203"/>
      <c r="M1083" s="204">
        <f ca="1">IF(ISERROR(OFFSET(Tabella!$A$1,MATCH(J1083,Tabella!$A:$A,0)-1,MATCH(L1083,Tabella!$A$1:$AC$1,0)-1)=TRUE),0,+OFFSET(Tabella!$A$1,MATCH(J1083,Tabella!$A:$A,0)-1,MATCH(L1083,Tabella!$A$1:$AC$1,0)-1))</f>
        <v>0</v>
      </c>
      <c r="N1083" s="205">
        <f ca="1">IF(ISERROR(OFFSET(Ottone!$A$1,MATCH(J1083,Ottone!$A:$A,0)-1,MATCH(L1083,Ottone!$A$1:$Z$1,0)-1)=TRUE),0,OFFSET(Ottone!$A$1,MATCH(J1083,Ottone!$A:$A,0)-1,MATCH(L1083,Ottone!$A$1:$Z$1,0)-1))*IF(G1083="Ottone",1,0)</f>
        <v>0</v>
      </c>
      <c r="O1083" s="205">
        <f ca="1">IF(ISERROR(OFFSET(Rame!$A$1,MATCH(J1083,Rame!$A:$A,0)-1,MATCH(L1083,Rame!$A$1:$AA$1,0)-1)=TRUE),0,OFFSET(Rame!$A$1,MATCH(J1083,Rame!$A:$A,0)-1,MATCH(L1083,Rame!$A$1:$AA$1,0)-1))*IF(G1083="Rame",1,0)</f>
        <v>0</v>
      </c>
      <c r="P1083" s="205">
        <v>0</v>
      </c>
      <c r="Q1083" s="205">
        <f t="shared" ca="1" si="311"/>
        <v>0</v>
      </c>
      <c r="R1083" s="205">
        <f ca="1">+IF(ISERROR(OFFSET(Tabella!$G$1,MATCH(J1083,Tabella!$G:$G,0)-1,MATCH(K1083,Tabella!$G$1:$FG$1,0)-1)=TRUE),0,OFFSET(Tabella!$G$1,MATCH(J1083,Tabella!$G:$G,0)-1,MATCH(K1083,Tabella!$G$1:$AB$1,0)-1))</f>
        <v>0</v>
      </c>
      <c r="S1083" s="205">
        <f ca="1">IF(ISERROR(OFFSET(Ottone!$F$1,MATCH(J1083,Ottone!$A:$A,0)-1,MATCH(K1083,Ottone!$F$1:$FF$1,0)-1)=TRUE),0,OFFSET(Ottone!$F$1,MATCH(J1083,Ottone!$A:$A,0)-1,MATCH(K1083,Ottone!$F$1:$FF$1,0)-1))*IF(G1083="Ottone",1,0)</f>
        <v>0</v>
      </c>
      <c r="T1083" s="205">
        <f ca="1">IF(ISERROR(OFFSET(Rame!$F$1,MATCH(J1083,Rame!$F:$F,0)-1,MATCH(K1083,Rame!$F$1:$FF$1,0)-1)=TRUE),0,OFFSET(Rame!$F$1,MATCH(J1083,Rame!$F:$F,0)-1,MATCH(K1083,Rame!$F$1:$FF$1,0)-1))*IF(G1083="Rame",1,0)</f>
        <v>0</v>
      </c>
      <c r="U1083" s="205">
        <f ca="1">IF(ISERROR(OFFSET(Bronzo!$A$1,MATCH(J1083,Bronzo!$A:$A,0)-1,MATCH(K1083,Bronzo!$A$1:$AA$1,0)-1)=TRUE),0,OFFSET(Bronzo!$A$1,MATCH(J1083,Bronzo!$A:$A,0)-1,MATCH(K1083,Bronzo!$A$1:$AA$1,0)-1))</f>
        <v>0</v>
      </c>
      <c r="V1083" s="205">
        <f t="shared" ca="1" si="312"/>
        <v>0</v>
      </c>
      <c r="W1083" s="204"/>
      <c r="X1083" s="205">
        <v>0</v>
      </c>
      <c r="Y1083" s="206">
        <f t="shared" ca="1" si="313"/>
        <v>0</v>
      </c>
      <c r="Z1083" s="277">
        <f t="shared" si="314"/>
        <v>0</v>
      </c>
      <c r="AA1083" s="203"/>
      <c r="AB1083" s="203">
        <f t="shared" ca="1" si="315"/>
        <v>0</v>
      </c>
      <c r="AC1083" s="238"/>
      <c r="AI1083" s="367">
        <f t="shared" ca="1" si="310"/>
        <v>46092</v>
      </c>
      <c r="AJ1083" s="367" t="b">
        <f t="shared" si="316"/>
        <v>1</v>
      </c>
      <c r="AK1083" s="370" t="str">
        <f t="shared" si="317"/>
        <v/>
      </c>
      <c r="AN1083">
        <f t="shared" si="318"/>
        <v>0</v>
      </c>
      <c r="AO1083">
        <f t="shared" si="319"/>
        <v>1900</v>
      </c>
      <c r="AV1083">
        <f t="shared" si="320"/>
        <v>0</v>
      </c>
      <c r="AW1083">
        <f t="shared" si="321"/>
        <v>0</v>
      </c>
    </row>
    <row r="1084" spans="4:49" ht="15.75" x14ac:dyDescent="0.25">
      <c r="D1084" s="199"/>
      <c r="E1084" s="200"/>
      <c r="F1084" s="287"/>
      <c r="G1084" s="201"/>
      <c r="H1084" s="219"/>
      <c r="I1084" s="202"/>
      <c r="J1084" s="200"/>
      <c r="K1084" s="200"/>
      <c r="L1084" s="203"/>
      <c r="M1084" s="204">
        <f ca="1">IF(ISERROR(OFFSET(Tabella!$A$1,MATCH(J1084,Tabella!$A:$A,0)-1,MATCH(L1084,Tabella!$A$1:$AC$1,0)-1)=TRUE),0,+OFFSET(Tabella!$A$1,MATCH(J1084,Tabella!$A:$A,0)-1,MATCH(L1084,Tabella!$A$1:$AC$1,0)-1))</f>
        <v>0</v>
      </c>
      <c r="N1084" s="205">
        <f ca="1">IF(ISERROR(OFFSET(Ottone!$A$1,MATCH(J1084,Ottone!$A:$A,0)-1,MATCH(L1084,Ottone!$A$1:$Z$1,0)-1)=TRUE),0,OFFSET(Ottone!$A$1,MATCH(J1084,Ottone!$A:$A,0)-1,MATCH(L1084,Ottone!$A$1:$Z$1,0)-1))*IF(G1084="Ottone",1,0)</f>
        <v>0</v>
      </c>
      <c r="O1084" s="205">
        <f ca="1">IF(ISERROR(OFFSET(Rame!$A$1,MATCH(J1084,Rame!$A:$A,0)-1,MATCH(L1084,Rame!$A$1:$AA$1,0)-1)=TRUE),0,OFFSET(Rame!$A$1,MATCH(J1084,Rame!$A:$A,0)-1,MATCH(L1084,Rame!$A$1:$AA$1,0)-1))*IF(G1084="Rame",1,0)</f>
        <v>0</v>
      </c>
      <c r="P1084" s="205">
        <v>0</v>
      </c>
      <c r="Q1084" s="205">
        <f t="shared" ca="1" si="311"/>
        <v>0</v>
      </c>
      <c r="R1084" s="205">
        <f ca="1">+IF(ISERROR(OFFSET(Tabella!$G$1,MATCH(J1084,Tabella!$G:$G,0)-1,MATCH(K1084,Tabella!$G$1:$FG$1,0)-1)=TRUE),0,OFFSET(Tabella!$G$1,MATCH(J1084,Tabella!$G:$G,0)-1,MATCH(K1084,Tabella!$G$1:$AB$1,0)-1))</f>
        <v>0</v>
      </c>
      <c r="S1084" s="205">
        <f ca="1">IF(ISERROR(OFFSET(Ottone!$F$1,MATCH(J1084,Ottone!$A:$A,0)-1,MATCH(K1084,Ottone!$F$1:$FF$1,0)-1)=TRUE),0,OFFSET(Ottone!$F$1,MATCH(J1084,Ottone!$A:$A,0)-1,MATCH(K1084,Ottone!$F$1:$FF$1,0)-1))*IF(G1084="Ottone",1,0)</f>
        <v>0</v>
      </c>
      <c r="T1084" s="205">
        <f ca="1">IF(ISERROR(OFFSET(Rame!$F$1,MATCH(J1084,Rame!$F:$F,0)-1,MATCH(K1084,Rame!$F$1:$FF$1,0)-1)=TRUE),0,OFFSET(Rame!$F$1,MATCH(J1084,Rame!$F:$F,0)-1,MATCH(K1084,Rame!$F$1:$FF$1,0)-1))*IF(G1084="Rame",1,0)</f>
        <v>0</v>
      </c>
      <c r="U1084" s="205">
        <f ca="1">IF(ISERROR(OFFSET(Bronzo!$A$1,MATCH(J1084,Bronzo!$A:$A,0)-1,MATCH(K1084,Bronzo!$A$1:$AA$1,0)-1)=TRUE),0,OFFSET(Bronzo!$A$1,MATCH(J1084,Bronzo!$A:$A,0)-1,MATCH(K1084,Bronzo!$A$1:$AA$1,0)-1))</f>
        <v>0</v>
      </c>
      <c r="V1084" s="205">
        <f t="shared" ca="1" si="312"/>
        <v>0</v>
      </c>
      <c r="W1084" s="204"/>
      <c r="X1084" s="205">
        <v>0</v>
      </c>
      <c r="Y1084" s="206">
        <f t="shared" ca="1" si="313"/>
        <v>0</v>
      </c>
      <c r="Z1084" s="277">
        <f t="shared" si="314"/>
        <v>0</v>
      </c>
      <c r="AA1084" s="203"/>
      <c r="AB1084" s="203">
        <f t="shared" ca="1" si="315"/>
        <v>0</v>
      </c>
      <c r="AC1084" s="238"/>
      <c r="AI1084" s="367">
        <f t="shared" ca="1" si="310"/>
        <v>46092</v>
      </c>
      <c r="AJ1084" s="367" t="b">
        <f t="shared" si="316"/>
        <v>1</v>
      </c>
      <c r="AK1084" s="370" t="str">
        <f t="shared" si="317"/>
        <v/>
      </c>
      <c r="AN1084">
        <f t="shared" si="318"/>
        <v>0</v>
      </c>
      <c r="AO1084">
        <f t="shared" si="319"/>
        <v>1900</v>
      </c>
      <c r="AV1084">
        <f t="shared" si="320"/>
        <v>0</v>
      </c>
      <c r="AW1084">
        <f t="shared" si="321"/>
        <v>0</v>
      </c>
    </row>
    <row r="1085" spans="4:49" ht="15.75" x14ac:dyDescent="0.25">
      <c r="D1085" s="199"/>
      <c r="E1085" s="200"/>
      <c r="F1085" s="287"/>
      <c r="G1085" s="201"/>
      <c r="H1085" s="219"/>
      <c r="I1085" s="202"/>
      <c r="J1085" s="200"/>
      <c r="K1085" s="200"/>
      <c r="L1085" s="203"/>
      <c r="M1085" s="204">
        <f ca="1">IF(ISERROR(OFFSET(Tabella!$A$1,MATCH(J1085,Tabella!$A:$A,0)-1,MATCH(L1085,Tabella!$A$1:$AC$1,0)-1)=TRUE),0,+OFFSET(Tabella!$A$1,MATCH(J1085,Tabella!$A:$A,0)-1,MATCH(L1085,Tabella!$A$1:$AC$1,0)-1))</f>
        <v>0</v>
      </c>
      <c r="N1085" s="205">
        <f ca="1">IF(ISERROR(OFFSET(Ottone!$A$1,MATCH(J1085,Ottone!$A:$A,0)-1,MATCH(L1085,Ottone!$A$1:$Z$1,0)-1)=TRUE),0,OFFSET(Ottone!$A$1,MATCH(J1085,Ottone!$A:$A,0)-1,MATCH(L1085,Ottone!$A$1:$Z$1,0)-1))*IF(G1085="Ottone",1,0)</f>
        <v>0</v>
      </c>
      <c r="O1085" s="205">
        <f ca="1">IF(ISERROR(OFFSET(Rame!$A$1,MATCH(J1085,Rame!$A:$A,0)-1,MATCH(L1085,Rame!$A$1:$AA$1,0)-1)=TRUE),0,OFFSET(Rame!$A$1,MATCH(J1085,Rame!$A:$A,0)-1,MATCH(L1085,Rame!$A$1:$AA$1,0)-1))*IF(G1085="Rame",1,0)</f>
        <v>0</v>
      </c>
      <c r="P1085" s="205">
        <v>0</v>
      </c>
      <c r="Q1085" s="205">
        <f t="shared" ca="1" si="311"/>
        <v>0</v>
      </c>
      <c r="R1085" s="205">
        <f ca="1">+IF(ISERROR(OFFSET(Tabella!$G$1,MATCH(J1085,Tabella!$G:$G,0)-1,MATCH(K1085,Tabella!$G$1:$FG$1,0)-1)=TRUE),0,OFFSET(Tabella!$G$1,MATCH(J1085,Tabella!$G:$G,0)-1,MATCH(K1085,Tabella!$G$1:$AB$1,0)-1))</f>
        <v>0</v>
      </c>
      <c r="S1085" s="205">
        <f ca="1">IF(ISERROR(OFFSET(Ottone!$F$1,MATCH(J1085,Ottone!$A:$A,0)-1,MATCH(K1085,Ottone!$F$1:$FF$1,0)-1)=TRUE),0,OFFSET(Ottone!$F$1,MATCH(J1085,Ottone!$A:$A,0)-1,MATCH(K1085,Ottone!$F$1:$FF$1,0)-1))*IF(G1085="Ottone",1,0)</f>
        <v>0</v>
      </c>
      <c r="T1085" s="205">
        <f ca="1">IF(ISERROR(OFFSET(Rame!$F$1,MATCH(J1085,Rame!$F:$F,0)-1,MATCH(K1085,Rame!$F$1:$FF$1,0)-1)=TRUE),0,OFFSET(Rame!$F$1,MATCH(J1085,Rame!$F:$F,0)-1,MATCH(K1085,Rame!$F$1:$FF$1,0)-1))*IF(G1085="Rame",1,0)</f>
        <v>0</v>
      </c>
      <c r="U1085" s="205">
        <f ca="1">IF(ISERROR(OFFSET(Bronzo!$A$1,MATCH(J1085,Bronzo!$A:$A,0)-1,MATCH(K1085,Bronzo!$A$1:$AA$1,0)-1)=TRUE),0,OFFSET(Bronzo!$A$1,MATCH(J1085,Bronzo!$A:$A,0)-1,MATCH(K1085,Bronzo!$A$1:$AA$1,0)-1))</f>
        <v>0</v>
      </c>
      <c r="V1085" s="205">
        <f t="shared" ca="1" si="312"/>
        <v>0</v>
      </c>
      <c r="W1085" s="204"/>
      <c r="X1085" s="205">
        <v>0</v>
      </c>
      <c r="Y1085" s="206">
        <f t="shared" ca="1" si="313"/>
        <v>0</v>
      </c>
      <c r="Z1085" s="277">
        <f t="shared" si="314"/>
        <v>0</v>
      </c>
      <c r="AA1085" s="203"/>
      <c r="AB1085" s="203">
        <f t="shared" ca="1" si="315"/>
        <v>0</v>
      </c>
      <c r="AC1085" s="238"/>
      <c r="AI1085" s="367">
        <f t="shared" ca="1" si="310"/>
        <v>46092</v>
      </c>
      <c r="AJ1085" s="367" t="b">
        <f t="shared" si="316"/>
        <v>1</v>
      </c>
      <c r="AK1085" s="370" t="str">
        <f t="shared" si="317"/>
        <v/>
      </c>
      <c r="AN1085">
        <f t="shared" si="318"/>
        <v>0</v>
      </c>
      <c r="AO1085">
        <f t="shared" si="319"/>
        <v>1900</v>
      </c>
      <c r="AV1085">
        <f t="shared" si="320"/>
        <v>0</v>
      </c>
      <c r="AW1085">
        <f t="shared" si="321"/>
        <v>0</v>
      </c>
    </row>
    <row r="1086" spans="4:49" ht="15.75" x14ac:dyDescent="0.25">
      <c r="D1086" s="199"/>
      <c r="E1086" s="200"/>
      <c r="F1086" s="287"/>
      <c r="G1086" s="201"/>
      <c r="H1086" s="219"/>
      <c r="I1086" s="202"/>
      <c r="J1086" s="200"/>
      <c r="K1086" s="200"/>
      <c r="L1086" s="203"/>
      <c r="M1086" s="204">
        <f ca="1">IF(ISERROR(OFFSET(Tabella!$A$1,MATCH(J1086,Tabella!$A:$A,0)-1,MATCH(L1086,Tabella!$A$1:$AC$1,0)-1)=TRUE),0,+OFFSET(Tabella!$A$1,MATCH(J1086,Tabella!$A:$A,0)-1,MATCH(L1086,Tabella!$A$1:$AC$1,0)-1))</f>
        <v>0</v>
      </c>
      <c r="N1086" s="205">
        <f ca="1">IF(ISERROR(OFFSET(Ottone!$A$1,MATCH(J1086,Ottone!$A:$A,0)-1,MATCH(L1086,Ottone!$A$1:$Z$1,0)-1)=TRUE),0,OFFSET(Ottone!$A$1,MATCH(J1086,Ottone!$A:$A,0)-1,MATCH(L1086,Ottone!$A$1:$Z$1,0)-1))*IF(G1086="Ottone",1,0)</f>
        <v>0</v>
      </c>
      <c r="O1086" s="205">
        <f ca="1">IF(ISERROR(OFFSET(Rame!$A$1,MATCH(J1086,Rame!$A:$A,0)-1,MATCH(L1086,Rame!$A$1:$AA$1,0)-1)=TRUE),0,OFFSET(Rame!$A$1,MATCH(J1086,Rame!$A:$A,0)-1,MATCH(L1086,Rame!$A$1:$AA$1,0)-1))*IF(G1086="Rame",1,0)</f>
        <v>0</v>
      </c>
      <c r="P1086" s="205">
        <v>0</v>
      </c>
      <c r="Q1086" s="205">
        <f t="shared" ca="1" si="311"/>
        <v>0</v>
      </c>
      <c r="R1086" s="205">
        <f ca="1">+IF(ISERROR(OFFSET(Tabella!$G$1,MATCH(J1086,Tabella!$G:$G,0)-1,MATCH(K1086,Tabella!$G$1:$FG$1,0)-1)=TRUE),0,OFFSET(Tabella!$G$1,MATCH(J1086,Tabella!$G:$G,0)-1,MATCH(K1086,Tabella!$G$1:$AB$1,0)-1))</f>
        <v>0</v>
      </c>
      <c r="S1086" s="205">
        <f ca="1">IF(ISERROR(OFFSET(Ottone!$F$1,MATCH(J1086,Ottone!$A:$A,0)-1,MATCH(K1086,Ottone!$F$1:$FF$1,0)-1)=TRUE),0,OFFSET(Ottone!$F$1,MATCH(J1086,Ottone!$A:$A,0)-1,MATCH(K1086,Ottone!$F$1:$FF$1,0)-1))*IF(G1086="Ottone",1,0)</f>
        <v>0</v>
      </c>
      <c r="T1086" s="205">
        <f ca="1">IF(ISERROR(OFFSET(Rame!$F$1,MATCH(J1086,Rame!$F:$F,0)-1,MATCH(K1086,Rame!$F$1:$FF$1,0)-1)=TRUE),0,OFFSET(Rame!$F$1,MATCH(J1086,Rame!$F:$F,0)-1,MATCH(K1086,Rame!$F$1:$FF$1,0)-1))*IF(G1086="Rame",1,0)</f>
        <v>0</v>
      </c>
      <c r="U1086" s="205">
        <f ca="1">IF(ISERROR(OFFSET(Bronzo!$A$1,MATCH(J1086,Bronzo!$A:$A,0)-1,MATCH(K1086,Bronzo!$A$1:$AA$1,0)-1)=TRUE),0,OFFSET(Bronzo!$A$1,MATCH(J1086,Bronzo!$A:$A,0)-1,MATCH(K1086,Bronzo!$A$1:$AA$1,0)-1))</f>
        <v>0</v>
      </c>
      <c r="V1086" s="205">
        <f t="shared" ca="1" si="312"/>
        <v>0</v>
      </c>
      <c r="W1086" s="204"/>
      <c r="X1086" s="205">
        <v>0</v>
      </c>
      <c r="Y1086" s="206">
        <f t="shared" ca="1" si="313"/>
        <v>0</v>
      </c>
      <c r="Z1086" s="277">
        <f t="shared" si="314"/>
        <v>0</v>
      </c>
      <c r="AA1086" s="203"/>
      <c r="AB1086" s="203">
        <f t="shared" ca="1" si="315"/>
        <v>0</v>
      </c>
      <c r="AC1086" s="238"/>
      <c r="AI1086" s="367">
        <f t="shared" ca="1" si="310"/>
        <v>46092</v>
      </c>
      <c r="AJ1086" s="367" t="b">
        <f t="shared" si="316"/>
        <v>1</v>
      </c>
      <c r="AK1086" s="370" t="str">
        <f t="shared" si="317"/>
        <v/>
      </c>
      <c r="AN1086">
        <f t="shared" si="318"/>
        <v>0</v>
      </c>
      <c r="AO1086">
        <f t="shared" si="319"/>
        <v>1900</v>
      </c>
      <c r="AV1086">
        <f t="shared" si="320"/>
        <v>0</v>
      </c>
      <c r="AW1086">
        <f t="shared" si="321"/>
        <v>0</v>
      </c>
    </row>
    <row r="1087" spans="4:49" ht="15.75" x14ac:dyDescent="0.25">
      <c r="D1087" s="199"/>
      <c r="E1087" s="200"/>
      <c r="F1087" s="287"/>
      <c r="G1087" s="201"/>
      <c r="H1087" s="219"/>
      <c r="I1087" s="202"/>
      <c r="J1087" s="200"/>
      <c r="K1087" s="200"/>
      <c r="L1087" s="203"/>
      <c r="M1087" s="204">
        <f ca="1">IF(ISERROR(OFFSET(Tabella!$A$1,MATCH(J1087,Tabella!$A:$A,0)-1,MATCH(L1087,Tabella!$A$1:$AC$1,0)-1)=TRUE),0,+OFFSET(Tabella!$A$1,MATCH(J1087,Tabella!$A:$A,0)-1,MATCH(L1087,Tabella!$A$1:$AC$1,0)-1))</f>
        <v>0</v>
      </c>
      <c r="N1087" s="205">
        <f ca="1">IF(ISERROR(OFFSET(Ottone!$A$1,MATCH(J1087,Ottone!$A:$A,0)-1,MATCH(L1087,Ottone!$A$1:$Z$1,0)-1)=TRUE),0,OFFSET(Ottone!$A$1,MATCH(J1087,Ottone!$A:$A,0)-1,MATCH(L1087,Ottone!$A$1:$Z$1,0)-1))*IF(G1087="Ottone",1,0)</f>
        <v>0</v>
      </c>
      <c r="O1087" s="205">
        <f ca="1">IF(ISERROR(OFFSET(Rame!$A$1,MATCH(J1087,Rame!$A:$A,0)-1,MATCH(L1087,Rame!$A$1:$AA$1,0)-1)=TRUE),0,OFFSET(Rame!$A$1,MATCH(J1087,Rame!$A:$A,0)-1,MATCH(L1087,Rame!$A$1:$AA$1,0)-1))*IF(G1087="Rame",1,0)</f>
        <v>0</v>
      </c>
      <c r="P1087" s="205">
        <v>0</v>
      </c>
      <c r="Q1087" s="205">
        <f t="shared" ca="1" si="311"/>
        <v>0</v>
      </c>
      <c r="R1087" s="205">
        <f ca="1">+IF(ISERROR(OFFSET(Tabella!$G$1,MATCH(J1087,Tabella!$G:$G,0)-1,MATCH(K1087,Tabella!$G$1:$FG$1,0)-1)=TRUE),0,OFFSET(Tabella!$G$1,MATCH(J1087,Tabella!$G:$G,0)-1,MATCH(K1087,Tabella!$G$1:$AB$1,0)-1))</f>
        <v>0</v>
      </c>
      <c r="S1087" s="205">
        <f ca="1">IF(ISERROR(OFFSET(Ottone!$F$1,MATCH(J1087,Ottone!$A:$A,0)-1,MATCH(K1087,Ottone!$F$1:$FF$1,0)-1)=TRUE),0,OFFSET(Ottone!$F$1,MATCH(J1087,Ottone!$A:$A,0)-1,MATCH(K1087,Ottone!$F$1:$FF$1,0)-1))*IF(G1087="Ottone",1,0)</f>
        <v>0</v>
      </c>
      <c r="T1087" s="205">
        <f ca="1">IF(ISERROR(OFFSET(Rame!$F$1,MATCH(J1087,Rame!$F:$F,0)-1,MATCH(K1087,Rame!$F$1:$FF$1,0)-1)=TRUE),0,OFFSET(Rame!$F$1,MATCH(J1087,Rame!$F:$F,0)-1,MATCH(K1087,Rame!$F$1:$FF$1,0)-1))*IF(G1087="Rame",1,0)</f>
        <v>0</v>
      </c>
      <c r="U1087" s="205">
        <f ca="1">IF(ISERROR(OFFSET(Bronzo!$A$1,MATCH(J1087,Bronzo!$A:$A,0)-1,MATCH(K1087,Bronzo!$A$1:$AA$1,0)-1)=TRUE),0,OFFSET(Bronzo!$A$1,MATCH(J1087,Bronzo!$A:$A,0)-1,MATCH(K1087,Bronzo!$A$1:$AA$1,0)-1))</f>
        <v>0</v>
      </c>
      <c r="V1087" s="205">
        <f t="shared" ca="1" si="312"/>
        <v>0</v>
      </c>
      <c r="W1087" s="204"/>
      <c r="X1087" s="205">
        <v>0</v>
      </c>
      <c r="Y1087" s="206">
        <f t="shared" ca="1" si="313"/>
        <v>0</v>
      </c>
      <c r="Z1087" s="277">
        <f t="shared" si="314"/>
        <v>0</v>
      </c>
      <c r="AA1087" s="203"/>
      <c r="AB1087" s="203">
        <f t="shared" ca="1" si="315"/>
        <v>0</v>
      </c>
      <c r="AC1087" s="238"/>
      <c r="AI1087" s="367">
        <f t="shared" ca="1" si="310"/>
        <v>46092</v>
      </c>
      <c r="AJ1087" s="367" t="b">
        <f t="shared" si="316"/>
        <v>1</v>
      </c>
      <c r="AK1087" s="370" t="str">
        <f t="shared" si="317"/>
        <v/>
      </c>
      <c r="AN1087">
        <f t="shared" si="318"/>
        <v>0</v>
      </c>
      <c r="AO1087">
        <f t="shared" si="319"/>
        <v>1900</v>
      </c>
      <c r="AV1087">
        <f t="shared" si="320"/>
        <v>0</v>
      </c>
      <c r="AW1087">
        <f t="shared" si="321"/>
        <v>0</v>
      </c>
    </row>
    <row r="1088" spans="4:49" ht="15.75" x14ac:dyDescent="0.25">
      <c r="D1088" s="199"/>
      <c r="E1088" s="200"/>
      <c r="F1088" s="287"/>
      <c r="G1088" s="201"/>
      <c r="H1088" s="219"/>
      <c r="I1088" s="202"/>
      <c r="J1088" s="200"/>
      <c r="K1088" s="200"/>
      <c r="L1088" s="203"/>
      <c r="M1088" s="204">
        <f ca="1">IF(ISERROR(OFFSET(Tabella!$A$1,MATCH(J1088,Tabella!$A:$A,0)-1,MATCH(L1088,Tabella!$A$1:$AC$1,0)-1)=TRUE),0,+OFFSET(Tabella!$A$1,MATCH(J1088,Tabella!$A:$A,0)-1,MATCH(L1088,Tabella!$A$1:$AC$1,0)-1))</f>
        <v>0</v>
      </c>
      <c r="N1088" s="205">
        <f ca="1">IF(ISERROR(OFFSET(Ottone!$A$1,MATCH(J1088,Ottone!$A:$A,0)-1,MATCH(L1088,Ottone!$A$1:$Z$1,0)-1)=TRUE),0,OFFSET(Ottone!$A$1,MATCH(J1088,Ottone!$A:$A,0)-1,MATCH(L1088,Ottone!$A$1:$Z$1,0)-1))*IF(G1088="Ottone",1,0)</f>
        <v>0</v>
      </c>
      <c r="O1088" s="205">
        <f ca="1">IF(ISERROR(OFFSET(Rame!$A$1,MATCH(J1088,Rame!$A:$A,0)-1,MATCH(L1088,Rame!$A$1:$AA$1,0)-1)=TRUE),0,OFFSET(Rame!$A$1,MATCH(J1088,Rame!$A:$A,0)-1,MATCH(L1088,Rame!$A$1:$AA$1,0)-1))*IF(G1088="Rame",1,0)</f>
        <v>0</v>
      </c>
      <c r="P1088" s="205">
        <v>0</v>
      </c>
      <c r="Q1088" s="205">
        <f t="shared" ca="1" si="311"/>
        <v>0</v>
      </c>
      <c r="R1088" s="205">
        <f ca="1">+IF(ISERROR(OFFSET(Tabella!$G$1,MATCH(J1088,Tabella!$G:$G,0)-1,MATCH(K1088,Tabella!$G$1:$FG$1,0)-1)=TRUE),0,OFFSET(Tabella!$G$1,MATCH(J1088,Tabella!$G:$G,0)-1,MATCH(K1088,Tabella!$G$1:$AB$1,0)-1))</f>
        <v>0</v>
      </c>
      <c r="S1088" s="205">
        <f ca="1">IF(ISERROR(OFFSET(Ottone!$F$1,MATCH(J1088,Ottone!$A:$A,0)-1,MATCH(K1088,Ottone!$F$1:$FF$1,0)-1)=TRUE),0,OFFSET(Ottone!$F$1,MATCH(J1088,Ottone!$A:$A,0)-1,MATCH(K1088,Ottone!$F$1:$FF$1,0)-1))*IF(G1088="Ottone",1,0)</f>
        <v>0</v>
      </c>
      <c r="T1088" s="205">
        <f ca="1">IF(ISERROR(OFFSET(Rame!$F$1,MATCH(J1088,Rame!$F:$F,0)-1,MATCH(K1088,Rame!$F$1:$FF$1,0)-1)=TRUE),0,OFFSET(Rame!$F$1,MATCH(J1088,Rame!$F:$F,0)-1,MATCH(K1088,Rame!$F$1:$FF$1,0)-1))*IF(G1088="Rame",1,0)</f>
        <v>0</v>
      </c>
      <c r="U1088" s="205">
        <f ca="1">IF(ISERROR(OFFSET(Bronzo!$A$1,MATCH(J1088,Bronzo!$A:$A,0)-1,MATCH(K1088,Bronzo!$A$1:$AA$1,0)-1)=TRUE),0,OFFSET(Bronzo!$A$1,MATCH(J1088,Bronzo!$A:$A,0)-1,MATCH(K1088,Bronzo!$A$1:$AA$1,0)-1))</f>
        <v>0</v>
      </c>
      <c r="V1088" s="205">
        <f t="shared" ca="1" si="312"/>
        <v>0</v>
      </c>
      <c r="W1088" s="204"/>
      <c r="X1088" s="205">
        <v>0</v>
      </c>
      <c r="Y1088" s="206">
        <f t="shared" ca="1" si="313"/>
        <v>0</v>
      </c>
      <c r="Z1088" s="277">
        <f t="shared" si="314"/>
        <v>0</v>
      </c>
      <c r="AA1088" s="203"/>
      <c r="AB1088" s="203">
        <f t="shared" ca="1" si="315"/>
        <v>0</v>
      </c>
      <c r="AC1088" s="238"/>
      <c r="AI1088" s="367">
        <f t="shared" ref="AI1088:AI1151" ca="1" si="322">TODAY()</f>
        <v>46092</v>
      </c>
      <c r="AJ1088" s="367" t="b">
        <f t="shared" si="316"/>
        <v>1</v>
      </c>
      <c r="AK1088" s="370" t="str">
        <f t="shared" si="317"/>
        <v/>
      </c>
      <c r="AN1088">
        <f t="shared" si="318"/>
        <v>0</v>
      </c>
      <c r="AO1088">
        <f t="shared" si="319"/>
        <v>1900</v>
      </c>
      <c r="AV1088">
        <f t="shared" si="320"/>
        <v>0</v>
      </c>
      <c r="AW1088">
        <f t="shared" si="321"/>
        <v>0</v>
      </c>
    </row>
    <row r="1089" spans="4:49" ht="15.75" x14ac:dyDescent="0.25">
      <c r="D1089" s="199"/>
      <c r="E1089" s="200"/>
      <c r="F1089" s="287"/>
      <c r="G1089" s="201"/>
      <c r="H1089" s="219"/>
      <c r="I1089" s="202"/>
      <c r="J1089" s="200"/>
      <c r="K1089" s="200"/>
      <c r="L1089" s="203"/>
      <c r="M1089" s="204">
        <f ca="1">IF(ISERROR(OFFSET(Tabella!$A$1,MATCH(J1089,Tabella!$A:$A,0)-1,MATCH(L1089,Tabella!$A$1:$AC$1,0)-1)=TRUE),0,+OFFSET(Tabella!$A$1,MATCH(J1089,Tabella!$A:$A,0)-1,MATCH(L1089,Tabella!$A$1:$AC$1,0)-1))</f>
        <v>0</v>
      </c>
      <c r="N1089" s="205">
        <f ca="1">IF(ISERROR(OFFSET(Ottone!$A$1,MATCH(J1089,Ottone!$A:$A,0)-1,MATCH(L1089,Ottone!$A$1:$Z$1,0)-1)=TRUE),0,OFFSET(Ottone!$A$1,MATCH(J1089,Ottone!$A:$A,0)-1,MATCH(L1089,Ottone!$A$1:$Z$1,0)-1))*IF(G1089="Ottone",1,0)</f>
        <v>0</v>
      </c>
      <c r="O1089" s="205">
        <f ca="1">IF(ISERROR(OFFSET(Rame!$A$1,MATCH(J1089,Rame!$A:$A,0)-1,MATCH(L1089,Rame!$A$1:$AA$1,0)-1)=TRUE),0,OFFSET(Rame!$A$1,MATCH(J1089,Rame!$A:$A,0)-1,MATCH(L1089,Rame!$A$1:$AA$1,0)-1))*IF(G1089="Rame",1,0)</f>
        <v>0</v>
      </c>
      <c r="P1089" s="205">
        <v>0</v>
      </c>
      <c r="Q1089" s="205">
        <f t="shared" ca="1" si="311"/>
        <v>0</v>
      </c>
      <c r="R1089" s="205">
        <f ca="1">+IF(ISERROR(OFFSET(Tabella!$G$1,MATCH(J1089,Tabella!$G:$G,0)-1,MATCH(K1089,Tabella!$G$1:$FG$1,0)-1)=TRUE),0,OFFSET(Tabella!$G$1,MATCH(J1089,Tabella!$G:$G,0)-1,MATCH(K1089,Tabella!$G$1:$AB$1,0)-1))</f>
        <v>0</v>
      </c>
      <c r="S1089" s="205">
        <f ca="1">IF(ISERROR(OFFSET(Ottone!$F$1,MATCH(J1089,Ottone!$A:$A,0)-1,MATCH(K1089,Ottone!$F$1:$FF$1,0)-1)=TRUE),0,OFFSET(Ottone!$F$1,MATCH(J1089,Ottone!$A:$A,0)-1,MATCH(K1089,Ottone!$F$1:$FF$1,0)-1))*IF(G1089="Ottone",1,0)</f>
        <v>0</v>
      </c>
      <c r="T1089" s="205">
        <f ca="1">IF(ISERROR(OFFSET(Rame!$F$1,MATCH(J1089,Rame!$F:$F,0)-1,MATCH(K1089,Rame!$F$1:$FF$1,0)-1)=TRUE),0,OFFSET(Rame!$F$1,MATCH(J1089,Rame!$F:$F,0)-1,MATCH(K1089,Rame!$F$1:$FF$1,0)-1))*IF(G1089="Rame",1,0)</f>
        <v>0</v>
      </c>
      <c r="U1089" s="205">
        <f ca="1">IF(ISERROR(OFFSET(Bronzo!$A$1,MATCH(J1089,Bronzo!$A:$A,0)-1,MATCH(K1089,Bronzo!$A$1:$AA$1,0)-1)=TRUE),0,OFFSET(Bronzo!$A$1,MATCH(J1089,Bronzo!$A:$A,0)-1,MATCH(K1089,Bronzo!$A$1:$AA$1,0)-1))</f>
        <v>0</v>
      </c>
      <c r="V1089" s="205">
        <f t="shared" ca="1" si="312"/>
        <v>0</v>
      </c>
      <c r="W1089" s="204"/>
      <c r="X1089" s="205">
        <v>0</v>
      </c>
      <c r="Y1089" s="206">
        <f t="shared" ca="1" si="313"/>
        <v>0</v>
      </c>
      <c r="Z1089" s="277">
        <f t="shared" si="314"/>
        <v>0</v>
      </c>
      <c r="AA1089" s="203"/>
      <c r="AB1089" s="203">
        <f t="shared" ca="1" si="315"/>
        <v>0</v>
      </c>
      <c r="AC1089" s="238"/>
      <c r="AI1089" s="367">
        <f t="shared" ca="1" si="322"/>
        <v>46092</v>
      </c>
      <c r="AJ1089" s="367" t="b">
        <f t="shared" si="316"/>
        <v>1</v>
      </c>
      <c r="AK1089" s="370" t="str">
        <f t="shared" si="317"/>
        <v/>
      </c>
      <c r="AN1089">
        <f t="shared" si="318"/>
        <v>0</v>
      </c>
      <c r="AO1089">
        <f t="shared" si="319"/>
        <v>1900</v>
      </c>
      <c r="AV1089">
        <f t="shared" si="320"/>
        <v>0</v>
      </c>
      <c r="AW1089">
        <f t="shared" si="321"/>
        <v>0</v>
      </c>
    </row>
    <row r="1090" spans="4:49" ht="15.75" x14ac:dyDescent="0.25">
      <c r="D1090" s="199"/>
      <c r="E1090" s="200"/>
      <c r="F1090" s="287"/>
      <c r="G1090" s="201"/>
      <c r="H1090" s="219"/>
      <c r="I1090" s="202"/>
      <c r="J1090" s="200"/>
      <c r="K1090" s="200"/>
      <c r="L1090" s="203"/>
      <c r="M1090" s="204">
        <f ca="1">IF(ISERROR(OFFSET(Tabella!$A$1,MATCH(J1090,Tabella!$A:$A,0)-1,MATCH(L1090,Tabella!$A$1:$AC$1,0)-1)=TRUE),0,+OFFSET(Tabella!$A$1,MATCH(J1090,Tabella!$A:$A,0)-1,MATCH(L1090,Tabella!$A$1:$AC$1,0)-1))</f>
        <v>0</v>
      </c>
      <c r="N1090" s="205">
        <f ca="1">IF(ISERROR(OFFSET(Ottone!$A$1,MATCH(J1090,Ottone!$A:$A,0)-1,MATCH(L1090,Ottone!$A$1:$Z$1,0)-1)=TRUE),0,OFFSET(Ottone!$A$1,MATCH(J1090,Ottone!$A:$A,0)-1,MATCH(L1090,Ottone!$A$1:$Z$1,0)-1))*IF(G1090="Ottone",1,0)</f>
        <v>0</v>
      </c>
      <c r="O1090" s="205">
        <f ca="1">IF(ISERROR(OFFSET(Rame!$A$1,MATCH(J1090,Rame!$A:$A,0)-1,MATCH(L1090,Rame!$A$1:$AA$1,0)-1)=TRUE),0,OFFSET(Rame!$A$1,MATCH(J1090,Rame!$A:$A,0)-1,MATCH(L1090,Rame!$A$1:$AA$1,0)-1))*IF(G1090="Rame",1,0)</f>
        <v>0</v>
      </c>
      <c r="P1090" s="205">
        <v>0</v>
      </c>
      <c r="Q1090" s="205">
        <f t="shared" ca="1" si="311"/>
        <v>0</v>
      </c>
      <c r="R1090" s="205">
        <f ca="1">+IF(ISERROR(OFFSET(Tabella!$G$1,MATCH(J1090,Tabella!$G:$G,0)-1,MATCH(K1090,Tabella!$G$1:$FG$1,0)-1)=TRUE),0,OFFSET(Tabella!$G$1,MATCH(J1090,Tabella!$G:$G,0)-1,MATCH(K1090,Tabella!$G$1:$AB$1,0)-1))</f>
        <v>0</v>
      </c>
      <c r="S1090" s="205">
        <f ca="1">IF(ISERROR(OFFSET(Ottone!$F$1,MATCH(J1090,Ottone!$A:$A,0)-1,MATCH(K1090,Ottone!$F$1:$FF$1,0)-1)=TRUE),0,OFFSET(Ottone!$F$1,MATCH(J1090,Ottone!$A:$A,0)-1,MATCH(K1090,Ottone!$F$1:$FF$1,0)-1))*IF(G1090="Ottone",1,0)</f>
        <v>0</v>
      </c>
      <c r="T1090" s="205">
        <f ca="1">IF(ISERROR(OFFSET(Rame!$F$1,MATCH(J1090,Rame!$F:$F,0)-1,MATCH(K1090,Rame!$F$1:$FF$1,0)-1)=TRUE),0,OFFSET(Rame!$F$1,MATCH(J1090,Rame!$F:$F,0)-1,MATCH(K1090,Rame!$F$1:$FF$1,0)-1))*IF(G1090="Rame",1,0)</f>
        <v>0</v>
      </c>
      <c r="U1090" s="205">
        <f ca="1">IF(ISERROR(OFFSET(Bronzo!$A$1,MATCH(J1090,Bronzo!$A:$A,0)-1,MATCH(K1090,Bronzo!$A$1:$AA$1,0)-1)=TRUE),0,OFFSET(Bronzo!$A$1,MATCH(J1090,Bronzo!$A:$A,0)-1,MATCH(K1090,Bronzo!$A$1:$AA$1,0)-1))</f>
        <v>0</v>
      </c>
      <c r="V1090" s="205">
        <f t="shared" ca="1" si="312"/>
        <v>0</v>
      </c>
      <c r="W1090" s="204"/>
      <c r="X1090" s="205">
        <v>0</v>
      </c>
      <c r="Y1090" s="206">
        <f t="shared" ca="1" si="313"/>
        <v>0</v>
      </c>
      <c r="Z1090" s="277">
        <f t="shared" si="314"/>
        <v>0</v>
      </c>
      <c r="AA1090" s="203"/>
      <c r="AB1090" s="203">
        <f t="shared" ca="1" si="315"/>
        <v>0</v>
      </c>
      <c r="AC1090" s="238"/>
      <c r="AI1090" s="367">
        <f t="shared" ca="1" si="322"/>
        <v>46092</v>
      </c>
      <c r="AJ1090" s="367" t="b">
        <f t="shared" si="316"/>
        <v>1</v>
      </c>
      <c r="AK1090" s="370" t="str">
        <f t="shared" si="317"/>
        <v/>
      </c>
      <c r="AN1090">
        <f t="shared" si="318"/>
        <v>0</v>
      </c>
      <c r="AO1090">
        <f t="shared" si="319"/>
        <v>1900</v>
      </c>
      <c r="AV1090">
        <f t="shared" si="320"/>
        <v>0</v>
      </c>
      <c r="AW1090">
        <f t="shared" si="321"/>
        <v>0</v>
      </c>
    </row>
    <row r="1091" spans="4:49" ht="15.75" x14ac:dyDescent="0.25">
      <c r="D1091" s="199"/>
      <c r="E1091" s="200"/>
      <c r="F1091" s="287"/>
      <c r="G1091" s="201"/>
      <c r="H1091" s="219"/>
      <c r="I1091" s="202"/>
      <c r="J1091" s="200"/>
      <c r="K1091" s="200"/>
      <c r="L1091" s="203"/>
      <c r="M1091" s="204">
        <f ca="1">IF(ISERROR(OFFSET(Tabella!$A$1,MATCH(J1091,Tabella!$A:$A,0)-1,MATCH(L1091,Tabella!$A$1:$AC$1,0)-1)=TRUE),0,+OFFSET(Tabella!$A$1,MATCH(J1091,Tabella!$A:$A,0)-1,MATCH(L1091,Tabella!$A$1:$AC$1,0)-1))</f>
        <v>0</v>
      </c>
      <c r="N1091" s="205">
        <f ca="1">IF(ISERROR(OFFSET(Ottone!$A$1,MATCH(J1091,Ottone!$A:$A,0)-1,MATCH(L1091,Ottone!$A$1:$Z$1,0)-1)=TRUE),0,OFFSET(Ottone!$A$1,MATCH(J1091,Ottone!$A:$A,0)-1,MATCH(L1091,Ottone!$A$1:$Z$1,0)-1))*IF(G1091="Ottone",1,0)</f>
        <v>0</v>
      </c>
      <c r="O1091" s="205">
        <f ca="1">IF(ISERROR(OFFSET(Rame!$A$1,MATCH(J1091,Rame!$A:$A,0)-1,MATCH(L1091,Rame!$A$1:$AA$1,0)-1)=TRUE),0,OFFSET(Rame!$A$1,MATCH(J1091,Rame!$A:$A,0)-1,MATCH(L1091,Rame!$A$1:$AA$1,0)-1))*IF(G1091="Rame",1,0)</f>
        <v>0</v>
      </c>
      <c r="P1091" s="205">
        <v>0</v>
      </c>
      <c r="Q1091" s="205">
        <f t="shared" ca="1" si="311"/>
        <v>0</v>
      </c>
      <c r="R1091" s="205">
        <f ca="1">+IF(ISERROR(OFFSET(Tabella!$G$1,MATCH(J1091,Tabella!$G:$G,0)-1,MATCH(K1091,Tabella!$G$1:$FG$1,0)-1)=TRUE),0,OFFSET(Tabella!$G$1,MATCH(J1091,Tabella!$G:$G,0)-1,MATCH(K1091,Tabella!$G$1:$AB$1,0)-1))</f>
        <v>0</v>
      </c>
      <c r="S1091" s="205">
        <f ca="1">IF(ISERROR(OFFSET(Ottone!$F$1,MATCH(J1091,Ottone!$A:$A,0)-1,MATCH(K1091,Ottone!$F$1:$FF$1,0)-1)=TRUE),0,OFFSET(Ottone!$F$1,MATCH(J1091,Ottone!$A:$A,0)-1,MATCH(K1091,Ottone!$F$1:$FF$1,0)-1))*IF(G1091="Ottone",1,0)</f>
        <v>0</v>
      </c>
      <c r="T1091" s="205">
        <f ca="1">IF(ISERROR(OFFSET(Rame!$F$1,MATCH(J1091,Rame!$F:$F,0)-1,MATCH(K1091,Rame!$F$1:$FF$1,0)-1)=TRUE),0,OFFSET(Rame!$F$1,MATCH(J1091,Rame!$F:$F,0)-1,MATCH(K1091,Rame!$F$1:$FF$1,0)-1))*IF(G1091="Rame",1,0)</f>
        <v>0</v>
      </c>
      <c r="U1091" s="205">
        <f ca="1">IF(ISERROR(OFFSET(Bronzo!$A$1,MATCH(J1091,Bronzo!$A:$A,0)-1,MATCH(K1091,Bronzo!$A$1:$AA$1,0)-1)=TRUE),0,OFFSET(Bronzo!$A$1,MATCH(J1091,Bronzo!$A:$A,0)-1,MATCH(K1091,Bronzo!$A$1:$AA$1,0)-1))</f>
        <v>0</v>
      </c>
      <c r="V1091" s="205">
        <f t="shared" ca="1" si="312"/>
        <v>0</v>
      </c>
      <c r="W1091" s="204"/>
      <c r="X1091" s="205">
        <v>0</v>
      </c>
      <c r="Y1091" s="206">
        <f t="shared" ca="1" si="313"/>
        <v>0</v>
      </c>
      <c r="Z1091" s="277">
        <f t="shared" si="314"/>
        <v>0</v>
      </c>
      <c r="AA1091" s="203"/>
      <c r="AB1091" s="203">
        <f t="shared" ca="1" si="315"/>
        <v>0</v>
      </c>
      <c r="AC1091" s="238"/>
      <c r="AI1091" s="367">
        <f t="shared" ca="1" si="322"/>
        <v>46092</v>
      </c>
      <c r="AJ1091" s="367" t="b">
        <f t="shared" si="316"/>
        <v>1</v>
      </c>
      <c r="AK1091" s="370" t="str">
        <f t="shared" si="317"/>
        <v/>
      </c>
      <c r="AN1091">
        <f t="shared" si="318"/>
        <v>0</v>
      </c>
      <c r="AO1091">
        <f t="shared" si="319"/>
        <v>1900</v>
      </c>
      <c r="AV1091">
        <f t="shared" si="320"/>
        <v>0</v>
      </c>
      <c r="AW1091">
        <f t="shared" si="321"/>
        <v>0</v>
      </c>
    </row>
    <row r="1092" spans="4:49" ht="15.75" x14ac:dyDescent="0.25">
      <c r="D1092" s="199"/>
      <c r="E1092" s="200"/>
      <c r="F1092" s="287"/>
      <c r="G1092" s="201"/>
      <c r="H1092" s="219"/>
      <c r="I1092" s="202"/>
      <c r="J1092" s="200"/>
      <c r="K1092" s="200"/>
      <c r="L1092" s="203"/>
      <c r="M1092" s="204">
        <f ca="1">IF(ISERROR(OFFSET(Tabella!$A$1,MATCH(J1092,Tabella!$A:$A,0)-1,MATCH(L1092,Tabella!$A$1:$AC$1,0)-1)=TRUE),0,+OFFSET(Tabella!$A$1,MATCH(J1092,Tabella!$A:$A,0)-1,MATCH(L1092,Tabella!$A$1:$AC$1,0)-1))</f>
        <v>0</v>
      </c>
      <c r="N1092" s="205">
        <f ca="1">IF(ISERROR(OFFSET(Ottone!$A$1,MATCH(J1092,Ottone!$A:$A,0)-1,MATCH(L1092,Ottone!$A$1:$Z$1,0)-1)=TRUE),0,OFFSET(Ottone!$A$1,MATCH(J1092,Ottone!$A:$A,0)-1,MATCH(L1092,Ottone!$A$1:$Z$1,0)-1))*IF(G1092="Ottone",1,0)</f>
        <v>0</v>
      </c>
      <c r="O1092" s="205">
        <f ca="1">IF(ISERROR(OFFSET(Rame!$A$1,MATCH(J1092,Rame!$A:$A,0)-1,MATCH(L1092,Rame!$A$1:$AA$1,0)-1)=TRUE),0,OFFSET(Rame!$A$1,MATCH(J1092,Rame!$A:$A,0)-1,MATCH(L1092,Rame!$A$1:$AA$1,0)-1))*IF(G1092="Rame",1,0)</f>
        <v>0</v>
      </c>
      <c r="P1092" s="205">
        <v>0</v>
      </c>
      <c r="Q1092" s="205">
        <f t="shared" ca="1" si="311"/>
        <v>0</v>
      </c>
      <c r="R1092" s="205">
        <f ca="1">+IF(ISERROR(OFFSET(Tabella!$G$1,MATCH(J1092,Tabella!$G:$G,0)-1,MATCH(K1092,Tabella!$G$1:$FG$1,0)-1)=TRUE),0,OFFSET(Tabella!$G$1,MATCH(J1092,Tabella!$G:$G,0)-1,MATCH(K1092,Tabella!$G$1:$AB$1,0)-1))</f>
        <v>0</v>
      </c>
      <c r="S1092" s="205">
        <f ca="1">IF(ISERROR(OFFSET(Ottone!$F$1,MATCH(J1092,Ottone!$A:$A,0)-1,MATCH(K1092,Ottone!$F$1:$FF$1,0)-1)=TRUE),0,OFFSET(Ottone!$F$1,MATCH(J1092,Ottone!$A:$A,0)-1,MATCH(K1092,Ottone!$F$1:$FF$1,0)-1))*IF(G1092="Ottone",1,0)</f>
        <v>0</v>
      </c>
      <c r="T1092" s="205">
        <f ca="1">IF(ISERROR(OFFSET(Rame!$F$1,MATCH(J1092,Rame!$F:$F,0)-1,MATCH(K1092,Rame!$F$1:$FF$1,0)-1)=TRUE),0,OFFSET(Rame!$F$1,MATCH(J1092,Rame!$F:$F,0)-1,MATCH(K1092,Rame!$F$1:$FF$1,0)-1))*IF(G1092="Rame",1,0)</f>
        <v>0</v>
      </c>
      <c r="U1092" s="205">
        <f ca="1">IF(ISERROR(OFFSET(Bronzo!$A$1,MATCH(J1092,Bronzo!$A:$A,0)-1,MATCH(K1092,Bronzo!$A$1:$AA$1,0)-1)=TRUE),0,OFFSET(Bronzo!$A$1,MATCH(J1092,Bronzo!$A:$A,0)-1,MATCH(K1092,Bronzo!$A$1:$AA$1,0)-1))</f>
        <v>0</v>
      </c>
      <c r="V1092" s="205">
        <f t="shared" ca="1" si="312"/>
        <v>0</v>
      </c>
      <c r="W1092" s="204"/>
      <c r="X1092" s="205">
        <v>0</v>
      </c>
      <c r="Y1092" s="206">
        <f t="shared" ca="1" si="313"/>
        <v>0</v>
      </c>
      <c r="Z1092" s="277">
        <f t="shared" si="314"/>
        <v>0</v>
      </c>
      <c r="AA1092" s="203"/>
      <c r="AB1092" s="203">
        <f t="shared" ca="1" si="315"/>
        <v>0</v>
      </c>
      <c r="AC1092" s="238"/>
      <c r="AI1092" s="367">
        <f t="shared" ca="1" si="322"/>
        <v>46092</v>
      </c>
      <c r="AJ1092" s="367" t="b">
        <f t="shared" si="316"/>
        <v>1</v>
      </c>
      <c r="AK1092" s="370" t="str">
        <f t="shared" si="317"/>
        <v/>
      </c>
      <c r="AN1092">
        <f t="shared" si="318"/>
        <v>0</v>
      </c>
      <c r="AO1092">
        <f t="shared" si="319"/>
        <v>1900</v>
      </c>
      <c r="AV1092">
        <f t="shared" si="320"/>
        <v>0</v>
      </c>
      <c r="AW1092">
        <f t="shared" si="321"/>
        <v>0</v>
      </c>
    </row>
    <row r="1093" spans="4:49" ht="15.75" x14ac:dyDescent="0.25">
      <c r="D1093" s="199"/>
      <c r="E1093" s="200"/>
      <c r="F1093" s="287"/>
      <c r="G1093" s="201"/>
      <c r="H1093" s="219"/>
      <c r="I1093" s="202"/>
      <c r="J1093" s="200"/>
      <c r="K1093" s="200"/>
      <c r="L1093" s="203"/>
      <c r="M1093" s="204">
        <f ca="1">IF(ISERROR(OFFSET(Tabella!$A$1,MATCH(J1093,Tabella!$A:$A,0)-1,MATCH(L1093,Tabella!$A$1:$AC$1,0)-1)=TRUE),0,+OFFSET(Tabella!$A$1,MATCH(J1093,Tabella!$A:$A,0)-1,MATCH(L1093,Tabella!$A$1:$AC$1,0)-1))</f>
        <v>0</v>
      </c>
      <c r="N1093" s="205">
        <f ca="1">IF(ISERROR(OFFSET(Ottone!$A$1,MATCH(J1093,Ottone!$A:$A,0)-1,MATCH(L1093,Ottone!$A$1:$Z$1,0)-1)=TRUE),0,OFFSET(Ottone!$A$1,MATCH(J1093,Ottone!$A:$A,0)-1,MATCH(L1093,Ottone!$A$1:$Z$1,0)-1))*IF(G1093="Ottone",1,0)</f>
        <v>0</v>
      </c>
      <c r="O1093" s="205">
        <f ca="1">IF(ISERROR(OFFSET(Rame!$A$1,MATCH(J1093,Rame!$A:$A,0)-1,MATCH(L1093,Rame!$A$1:$AA$1,0)-1)=TRUE),0,OFFSET(Rame!$A$1,MATCH(J1093,Rame!$A:$A,0)-1,MATCH(L1093,Rame!$A$1:$AA$1,0)-1))*IF(G1093="Rame",1,0)</f>
        <v>0</v>
      </c>
      <c r="P1093" s="205">
        <v>0</v>
      </c>
      <c r="Q1093" s="205">
        <f t="shared" ca="1" si="311"/>
        <v>0</v>
      </c>
      <c r="R1093" s="205">
        <f ca="1">+IF(ISERROR(OFFSET(Tabella!$G$1,MATCH(J1093,Tabella!$G:$G,0)-1,MATCH(K1093,Tabella!$G$1:$FG$1,0)-1)=TRUE),0,OFFSET(Tabella!$G$1,MATCH(J1093,Tabella!$G:$G,0)-1,MATCH(K1093,Tabella!$G$1:$AB$1,0)-1))</f>
        <v>0</v>
      </c>
      <c r="S1093" s="205">
        <f ca="1">IF(ISERROR(OFFSET(Ottone!$F$1,MATCH(J1093,Ottone!$A:$A,0)-1,MATCH(K1093,Ottone!$F$1:$FF$1,0)-1)=TRUE),0,OFFSET(Ottone!$F$1,MATCH(J1093,Ottone!$A:$A,0)-1,MATCH(K1093,Ottone!$F$1:$FF$1,0)-1))*IF(G1093="Ottone",1,0)</f>
        <v>0</v>
      </c>
      <c r="T1093" s="205">
        <f ca="1">IF(ISERROR(OFFSET(Rame!$F$1,MATCH(J1093,Rame!$F:$F,0)-1,MATCH(K1093,Rame!$F$1:$FF$1,0)-1)=TRUE),0,OFFSET(Rame!$F$1,MATCH(J1093,Rame!$F:$F,0)-1,MATCH(K1093,Rame!$F$1:$FF$1,0)-1))*IF(G1093="Rame",1,0)</f>
        <v>0</v>
      </c>
      <c r="U1093" s="205">
        <f ca="1">IF(ISERROR(OFFSET(Bronzo!$A$1,MATCH(J1093,Bronzo!$A:$A,0)-1,MATCH(K1093,Bronzo!$A$1:$AA$1,0)-1)=TRUE),0,OFFSET(Bronzo!$A$1,MATCH(J1093,Bronzo!$A:$A,0)-1,MATCH(K1093,Bronzo!$A$1:$AA$1,0)-1))</f>
        <v>0</v>
      </c>
      <c r="V1093" s="205">
        <f t="shared" ca="1" si="312"/>
        <v>0</v>
      </c>
      <c r="W1093" s="204"/>
      <c r="X1093" s="205">
        <v>0</v>
      </c>
      <c r="Y1093" s="206">
        <f t="shared" ca="1" si="313"/>
        <v>0</v>
      </c>
      <c r="Z1093" s="277">
        <f t="shared" si="314"/>
        <v>0</v>
      </c>
      <c r="AA1093" s="203"/>
      <c r="AB1093" s="203">
        <f t="shared" ca="1" si="315"/>
        <v>0</v>
      </c>
      <c r="AC1093" s="238"/>
      <c r="AI1093" s="367">
        <f t="shared" ca="1" si="322"/>
        <v>46092</v>
      </c>
      <c r="AJ1093" s="367" t="b">
        <f t="shared" si="316"/>
        <v>1</v>
      </c>
      <c r="AK1093" s="370" t="str">
        <f t="shared" si="317"/>
        <v/>
      </c>
      <c r="AN1093">
        <f t="shared" si="318"/>
        <v>0</v>
      </c>
      <c r="AO1093">
        <f t="shared" si="319"/>
        <v>1900</v>
      </c>
      <c r="AV1093">
        <f t="shared" si="320"/>
        <v>0</v>
      </c>
      <c r="AW1093">
        <f t="shared" si="321"/>
        <v>0</v>
      </c>
    </row>
    <row r="1094" spans="4:49" ht="15.75" x14ac:dyDescent="0.25">
      <c r="D1094" s="199"/>
      <c r="E1094" s="200"/>
      <c r="F1094" s="287"/>
      <c r="G1094" s="201"/>
      <c r="H1094" s="219"/>
      <c r="I1094" s="202"/>
      <c r="J1094" s="200"/>
      <c r="K1094" s="200"/>
      <c r="L1094" s="203"/>
      <c r="M1094" s="204">
        <f ca="1">IF(ISERROR(OFFSET(Tabella!$A$1,MATCH(J1094,Tabella!$A:$A,0)-1,MATCH(L1094,Tabella!$A$1:$AC$1,0)-1)=TRUE),0,+OFFSET(Tabella!$A$1,MATCH(J1094,Tabella!$A:$A,0)-1,MATCH(L1094,Tabella!$A$1:$AC$1,0)-1))</f>
        <v>0</v>
      </c>
      <c r="N1094" s="205">
        <f ca="1">IF(ISERROR(OFFSET(Ottone!$A$1,MATCH(J1094,Ottone!$A:$A,0)-1,MATCH(L1094,Ottone!$A$1:$Z$1,0)-1)=TRUE),0,OFFSET(Ottone!$A$1,MATCH(J1094,Ottone!$A:$A,0)-1,MATCH(L1094,Ottone!$A$1:$Z$1,0)-1))*IF(G1094="Ottone",1,0)</f>
        <v>0</v>
      </c>
      <c r="O1094" s="205">
        <f ca="1">IF(ISERROR(OFFSET(Rame!$A$1,MATCH(J1094,Rame!$A:$A,0)-1,MATCH(L1094,Rame!$A$1:$AA$1,0)-1)=TRUE),0,OFFSET(Rame!$A$1,MATCH(J1094,Rame!$A:$A,0)-1,MATCH(L1094,Rame!$A$1:$AA$1,0)-1))*IF(G1094="Rame",1,0)</f>
        <v>0</v>
      </c>
      <c r="P1094" s="205">
        <v>0</v>
      </c>
      <c r="Q1094" s="205">
        <f t="shared" ca="1" si="311"/>
        <v>0</v>
      </c>
      <c r="R1094" s="205">
        <f ca="1">+IF(ISERROR(OFFSET(Tabella!$G$1,MATCH(J1094,Tabella!$G:$G,0)-1,MATCH(K1094,Tabella!$G$1:$FG$1,0)-1)=TRUE),0,OFFSET(Tabella!$G$1,MATCH(J1094,Tabella!$G:$G,0)-1,MATCH(K1094,Tabella!$G$1:$AB$1,0)-1))</f>
        <v>0</v>
      </c>
      <c r="S1094" s="205">
        <f ca="1">IF(ISERROR(OFFSET(Ottone!$F$1,MATCH(J1094,Ottone!$A:$A,0)-1,MATCH(K1094,Ottone!$F$1:$FF$1,0)-1)=TRUE),0,OFFSET(Ottone!$F$1,MATCH(J1094,Ottone!$A:$A,0)-1,MATCH(K1094,Ottone!$F$1:$FF$1,0)-1))*IF(G1094="Ottone",1,0)</f>
        <v>0</v>
      </c>
      <c r="T1094" s="205">
        <f ca="1">IF(ISERROR(OFFSET(Rame!$F$1,MATCH(J1094,Rame!$F:$F,0)-1,MATCH(K1094,Rame!$F$1:$FF$1,0)-1)=TRUE),0,OFFSET(Rame!$F$1,MATCH(J1094,Rame!$F:$F,0)-1,MATCH(K1094,Rame!$F$1:$FF$1,0)-1))*IF(G1094="Rame",1,0)</f>
        <v>0</v>
      </c>
      <c r="U1094" s="205">
        <f ca="1">IF(ISERROR(OFFSET(Bronzo!$A$1,MATCH(J1094,Bronzo!$A:$A,0)-1,MATCH(K1094,Bronzo!$A$1:$AA$1,0)-1)=TRUE),0,OFFSET(Bronzo!$A$1,MATCH(J1094,Bronzo!$A:$A,0)-1,MATCH(K1094,Bronzo!$A$1:$AA$1,0)-1))</f>
        <v>0</v>
      </c>
      <c r="V1094" s="205">
        <f t="shared" ca="1" si="312"/>
        <v>0</v>
      </c>
      <c r="W1094" s="204"/>
      <c r="X1094" s="205">
        <v>0</v>
      </c>
      <c r="Y1094" s="206">
        <f t="shared" ca="1" si="313"/>
        <v>0</v>
      </c>
      <c r="Z1094" s="277">
        <f t="shared" si="314"/>
        <v>0</v>
      </c>
      <c r="AA1094" s="203"/>
      <c r="AB1094" s="203">
        <f t="shared" ca="1" si="315"/>
        <v>0</v>
      </c>
      <c r="AC1094" s="238"/>
      <c r="AI1094" s="367">
        <f t="shared" ca="1" si="322"/>
        <v>46092</v>
      </c>
      <c r="AJ1094" s="367" t="b">
        <f t="shared" si="316"/>
        <v>1</v>
      </c>
      <c r="AK1094" s="370" t="str">
        <f t="shared" si="317"/>
        <v/>
      </c>
      <c r="AN1094">
        <f t="shared" si="318"/>
        <v>0</v>
      </c>
      <c r="AO1094">
        <f t="shared" si="319"/>
        <v>1900</v>
      </c>
      <c r="AV1094">
        <f t="shared" si="320"/>
        <v>0</v>
      </c>
      <c r="AW1094">
        <f t="shared" si="321"/>
        <v>0</v>
      </c>
    </row>
    <row r="1095" spans="4:49" ht="15.75" x14ac:dyDescent="0.25">
      <c r="D1095" s="199"/>
      <c r="E1095" s="200"/>
      <c r="F1095" s="287"/>
      <c r="G1095" s="201"/>
      <c r="H1095" s="219"/>
      <c r="I1095" s="202"/>
      <c r="J1095" s="200"/>
      <c r="K1095" s="200"/>
      <c r="L1095" s="203"/>
      <c r="M1095" s="204">
        <f ca="1">IF(ISERROR(OFFSET(Tabella!$A$1,MATCH(J1095,Tabella!$A:$A,0)-1,MATCH(L1095,Tabella!$A$1:$AC$1,0)-1)=TRUE),0,+OFFSET(Tabella!$A$1,MATCH(J1095,Tabella!$A:$A,0)-1,MATCH(L1095,Tabella!$A$1:$AC$1,0)-1))</f>
        <v>0</v>
      </c>
      <c r="N1095" s="205">
        <f ca="1">IF(ISERROR(OFFSET(Ottone!$A$1,MATCH(J1095,Ottone!$A:$A,0)-1,MATCH(L1095,Ottone!$A$1:$Z$1,0)-1)=TRUE),0,OFFSET(Ottone!$A$1,MATCH(J1095,Ottone!$A:$A,0)-1,MATCH(L1095,Ottone!$A$1:$Z$1,0)-1))*IF(G1095="Ottone",1,0)</f>
        <v>0</v>
      </c>
      <c r="O1095" s="205">
        <f ca="1">IF(ISERROR(OFFSET(Rame!$A$1,MATCH(J1095,Rame!$A:$A,0)-1,MATCH(L1095,Rame!$A$1:$AA$1,0)-1)=TRUE),0,OFFSET(Rame!$A$1,MATCH(J1095,Rame!$A:$A,0)-1,MATCH(L1095,Rame!$A$1:$AA$1,0)-1))*IF(G1095="Rame",1,0)</f>
        <v>0</v>
      </c>
      <c r="P1095" s="205">
        <v>0</v>
      </c>
      <c r="Q1095" s="205">
        <f t="shared" ca="1" si="311"/>
        <v>0</v>
      </c>
      <c r="R1095" s="205">
        <f ca="1">+IF(ISERROR(OFFSET(Tabella!$G$1,MATCH(J1095,Tabella!$G:$G,0)-1,MATCH(K1095,Tabella!$G$1:$FG$1,0)-1)=TRUE),0,OFFSET(Tabella!$G$1,MATCH(J1095,Tabella!$G:$G,0)-1,MATCH(K1095,Tabella!$G$1:$AB$1,0)-1))</f>
        <v>0</v>
      </c>
      <c r="S1095" s="205">
        <f ca="1">IF(ISERROR(OFFSET(Ottone!$F$1,MATCH(J1095,Ottone!$A:$A,0)-1,MATCH(K1095,Ottone!$F$1:$FF$1,0)-1)=TRUE),0,OFFSET(Ottone!$F$1,MATCH(J1095,Ottone!$A:$A,0)-1,MATCH(K1095,Ottone!$F$1:$FF$1,0)-1))*IF(G1095="Ottone",1,0)</f>
        <v>0</v>
      </c>
      <c r="T1095" s="205">
        <f ca="1">IF(ISERROR(OFFSET(Rame!$F$1,MATCH(J1095,Rame!$F:$F,0)-1,MATCH(K1095,Rame!$F$1:$FF$1,0)-1)=TRUE),0,OFFSET(Rame!$F$1,MATCH(J1095,Rame!$F:$F,0)-1,MATCH(K1095,Rame!$F$1:$FF$1,0)-1))*IF(G1095="Rame",1,0)</f>
        <v>0</v>
      </c>
      <c r="U1095" s="205">
        <f ca="1">IF(ISERROR(OFFSET(Bronzo!$A$1,MATCH(J1095,Bronzo!$A:$A,0)-1,MATCH(K1095,Bronzo!$A$1:$AA$1,0)-1)=TRUE),0,OFFSET(Bronzo!$A$1,MATCH(J1095,Bronzo!$A:$A,0)-1,MATCH(K1095,Bronzo!$A$1:$AA$1,0)-1))</f>
        <v>0</v>
      </c>
      <c r="V1095" s="205">
        <f t="shared" ca="1" si="312"/>
        <v>0</v>
      </c>
      <c r="W1095" s="204"/>
      <c r="X1095" s="205">
        <v>0</v>
      </c>
      <c r="Y1095" s="206">
        <f t="shared" ca="1" si="313"/>
        <v>0</v>
      </c>
      <c r="Z1095" s="277">
        <f t="shared" si="314"/>
        <v>0</v>
      </c>
      <c r="AA1095" s="203"/>
      <c r="AB1095" s="203">
        <f t="shared" ca="1" si="315"/>
        <v>0</v>
      </c>
      <c r="AC1095" s="238"/>
      <c r="AI1095" s="367">
        <f t="shared" ca="1" si="322"/>
        <v>46092</v>
      </c>
      <c r="AJ1095" s="367" t="b">
        <f t="shared" si="316"/>
        <v>1</v>
      </c>
      <c r="AK1095" s="370" t="str">
        <f t="shared" si="317"/>
        <v/>
      </c>
      <c r="AN1095">
        <f t="shared" si="318"/>
        <v>0</v>
      </c>
      <c r="AO1095">
        <f t="shared" si="319"/>
        <v>1900</v>
      </c>
      <c r="AV1095">
        <f t="shared" si="320"/>
        <v>0</v>
      </c>
      <c r="AW1095">
        <f t="shared" si="321"/>
        <v>0</v>
      </c>
    </row>
    <row r="1096" spans="4:49" ht="15.75" x14ac:dyDescent="0.25">
      <c r="D1096" s="199"/>
      <c r="E1096" s="200"/>
      <c r="F1096" s="287"/>
      <c r="G1096" s="201"/>
      <c r="H1096" s="219"/>
      <c r="I1096" s="202"/>
      <c r="J1096" s="200"/>
      <c r="K1096" s="200"/>
      <c r="L1096" s="203"/>
      <c r="M1096" s="204">
        <f ca="1">IF(ISERROR(OFFSET(Tabella!$A$1,MATCH(J1096,Tabella!$A:$A,0)-1,MATCH(L1096,Tabella!$A$1:$AC$1,0)-1)=TRUE),0,+OFFSET(Tabella!$A$1,MATCH(J1096,Tabella!$A:$A,0)-1,MATCH(L1096,Tabella!$A$1:$AC$1,0)-1))</f>
        <v>0</v>
      </c>
      <c r="N1096" s="205">
        <f ca="1">IF(ISERROR(OFFSET(Ottone!$A$1,MATCH(J1096,Ottone!$A:$A,0)-1,MATCH(L1096,Ottone!$A$1:$Z$1,0)-1)=TRUE),0,OFFSET(Ottone!$A$1,MATCH(J1096,Ottone!$A:$A,0)-1,MATCH(L1096,Ottone!$A$1:$Z$1,0)-1))*IF(G1096="Ottone",1,0)</f>
        <v>0</v>
      </c>
      <c r="O1096" s="205">
        <f ca="1">IF(ISERROR(OFFSET(Rame!$A$1,MATCH(J1096,Rame!$A:$A,0)-1,MATCH(L1096,Rame!$A$1:$AA$1,0)-1)=TRUE),0,OFFSET(Rame!$A$1,MATCH(J1096,Rame!$A:$A,0)-1,MATCH(L1096,Rame!$A$1:$AA$1,0)-1))*IF(G1096="Rame",1,0)</f>
        <v>0</v>
      </c>
      <c r="P1096" s="205">
        <v>0</v>
      </c>
      <c r="Q1096" s="205">
        <f t="shared" ca="1" si="311"/>
        <v>0</v>
      </c>
      <c r="R1096" s="205">
        <f ca="1">+IF(ISERROR(OFFSET(Tabella!$G$1,MATCH(J1096,Tabella!$G:$G,0)-1,MATCH(K1096,Tabella!$G$1:$FG$1,0)-1)=TRUE),0,OFFSET(Tabella!$G$1,MATCH(J1096,Tabella!$G:$G,0)-1,MATCH(K1096,Tabella!$G$1:$AB$1,0)-1))</f>
        <v>0</v>
      </c>
      <c r="S1096" s="205">
        <f ca="1">IF(ISERROR(OFFSET(Ottone!$F$1,MATCH(J1096,Ottone!$A:$A,0)-1,MATCH(K1096,Ottone!$F$1:$FF$1,0)-1)=TRUE),0,OFFSET(Ottone!$F$1,MATCH(J1096,Ottone!$A:$A,0)-1,MATCH(K1096,Ottone!$F$1:$FF$1,0)-1))*IF(G1096="Ottone",1,0)</f>
        <v>0</v>
      </c>
      <c r="T1096" s="205">
        <f ca="1">IF(ISERROR(OFFSET(Rame!$F$1,MATCH(J1096,Rame!$F:$F,0)-1,MATCH(K1096,Rame!$F$1:$FF$1,0)-1)=TRUE),0,OFFSET(Rame!$F$1,MATCH(J1096,Rame!$F:$F,0)-1,MATCH(K1096,Rame!$F$1:$FF$1,0)-1))*IF(G1096="Rame",1,0)</f>
        <v>0</v>
      </c>
      <c r="U1096" s="205">
        <f ca="1">IF(ISERROR(OFFSET(Bronzo!$A$1,MATCH(J1096,Bronzo!$A:$A,0)-1,MATCH(K1096,Bronzo!$A$1:$AA$1,0)-1)=TRUE),0,OFFSET(Bronzo!$A$1,MATCH(J1096,Bronzo!$A:$A,0)-1,MATCH(K1096,Bronzo!$A$1:$AA$1,0)-1))</f>
        <v>0</v>
      </c>
      <c r="V1096" s="205">
        <f t="shared" ca="1" si="312"/>
        <v>0</v>
      </c>
      <c r="W1096" s="204"/>
      <c r="X1096" s="205">
        <v>0</v>
      </c>
      <c r="Y1096" s="206">
        <f t="shared" ca="1" si="313"/>
        <v>0</v>
      </c>
      <c r="Z1096" s="277">
        <f t="shared" si="314"/>
        <v>0</v>
      </c>
      <c r="AA1096" s="203"/>
      <c r="AB1096" s="203">
        <f t="shared" ca="1" si="315"/>
        <v>0</v>
      </c>
      <c r="AC1096" s="238"/>
      <c r="AI1096" s="367">
        <f t="shared" ca="1" si="322"/>
        <v>46092</v>
      </c>
      <c r="AJ1096" s="367" t="b">
        <f t="shared" si="316"/>
        <v>1</v>
      </c>
      <c r="AK1096" s="370" t="str">
        <f t="shared" si="317"/>
        <v/>
      </c>
      <c r="AN1096">
        <f t="shared" si="318"/>
        <v>0</v>
      </c>
      <c r="AO1096">
        <f t="shared" si="319"/>
        <v>1900</v>
      </c>
      <c r="AV1096">
        <f t="shared" si="320"/>
        <v>0</v>
      </c>
      <c r="AW1096">
        <f t="shared" si="321"/>
        <v>0</v>
      </c>
    </row>
    <row r="1097" spans="4:49" ht="15.75" x14ac:dyDescent="0.25">
      <c r="D1097" s="199"/>
      <c r="E1097" s="200"/>
      <c r="F1097" s="287"/>
      <c r="G1097" s="201"/>
      <c r="H1097" s="219"/>
      <c r="I1097" s="202"/>
      <c r="J1097" s="200"/>
      <c r="K1097" s="200"/>
      <c r="L1097" s="203"/>
      <c r="M1097" s="204">
        <f ca="1">IF(ISERROR(OFFSET(Tabella!$A$1,MATCH(J1097,Tabella!$A:$A,0)-1,MATCH(L1097,Tabella!$A$1:$AC$1,0)-1)=TRUE),0,+OFFSET(Tabella!$A$1,MATCH(J1097,Tabella!$A:$A,0)-1,MATCH(L1097,Tabella!$A$1:$AC$1,0)-1))</f>
        <v>0</v>
      </c>
      <c r="N1097" s="205">
        <f ca="1">IF(ISERROR(OFFSET(Ottone!$A$1,MATCH(J1097,Ottone!$A:$A,0)-1,MATCH(L1097,Ottone!$A$1:$Z$1,0)-1)=TRUE),0,OFFSET(Ottone!$A$1,MATCH(J1097,Ottone!$A:$A,0)-1,MATCH(L1097,Ottone!$A$1:$Z$1,0)-1))*IF(G1097="Ottone",1,0)</f>
        <v>0</v>
      </c>
      <c r="O1097" s="205">
        <f ca="1">IF(ISERROR(OFFSET(Rame!$A$1,MATCH(J1097,Rame!$A:$A,0)-1,MATCH(L1097,Rame!$A$1:$AA$1,0)-1)=TRUE),0,OFFSET(Rame!$A$1,MATCH(J1097,Rame!$A:$A,0)-1,MATCH(L1097,Rame!$A$1:$AA$1,0)-1))*IF(G1097="Rame",1,0)</f>
        <v>0</v>
      </c>
      <c r="P1097" s="205">
        <v>0</v>
      </c>
      <c r="Q1097" s="205">
        <f t="shared" ca="1" si="311"/>
        <v>0</v>
      </c>
      <c r="R1097" s="205">
        <f ca="1">+IF(ISERROR(OFFSET(Tabella!$G$1,MATCH(J1097,Tabella!$G:$G,0)-1,MATCH(K1097,Tabella!$G$1:$FG$1,0)-1)=TRUE),0,OFFSET(Tabella!$G$1,MATCH(J1097,Tabella!$G:$G,0)-1,MATCH(K1097,Tabella!$G$1:$AB$1,0)-1))</f>
        <v>0</v>
      </c>
      <c r="S1097" s="205">
        <f ca="1">IF(ISERROR(OFFSET(Ottone!$F$1,MATCH(J1097,Ottone!$A:$A,0)-1,MATCH(K1097,Ottone!$F$1:$FF$1,0)-1)=TRUE),0,OFFSET(Ottone!$F$1,MATCH(J1097,Ottone!$A:$A,0)-1,MATCH(K1097,Ottone!$F$1:$FF$1,0)-1))*IF(G1097="Ottone",1,0)</f>
        <v>0</v>
      </c>
      <c r="T1097" s="205">
        <f ca="1">IF(ISERROR(OFFSET(Rame!$F$1,MATCH(J1097,Rame!$F:$F,0)-1,MATCH(K1097,Rame!$F$1:$FF$1,0)-1)=TRUE),0,OFFSET(Rame!$F$1,MATCH(J1097,Rame!$F:$F,0)-1,MATCH(K1097,Rame!$F$1:$FF$1,0)-1))*IF(G1097="Rame",1,0)</f>
        <v>0</v>
      </c>
      <c r="U1097" s="205">
        <f ca="1">IF(ISERROR(OFFSET(Bronzo!$A$1,MATCH(J1097,Bronzo!$A:$A,0)-1,MATCH(K1097,Bronzo!$A$1:$AA$1,0)-1)=TRUE),0,OFFSET(Bronzo!$A$1,MATCH(J1097,Bronzo!$A:$A,0)-1,MATCH(K1097,Bronzo!$A$1:$AA$1,0)-1))</f>
        <v>0</v>
      </c>
      <c r="V1097" s="205">
        <f t="shared" ca="1" si="312"/>
        <v>0</v>
      </c>
      <c r="W1097" s="204"/>
      <c r="X1097" s="205">
        <v>0</v>
      </c>
      <c r="Y1097" s="206">
        <f t="shared" ca="1" si="313"/>
        <v>0</v>
      </c>
      <c r="Z1097" s="277">
        <f t="shared" si="314"/>
        <v>0</v>
      </c>
      <c r="AA1097" s="203"/>
      <c r="AB1097" s="203">
        <f t="shared" ca="1" si="315"/>
        <v>0</v>
      </c>
      <c r="AC1097" s="238"/>
      <c r="AI1097" s="367">
        <f t="shared" ca="1" si="322"/>
        <v>46092</v>
      </c>
      <c r="AJ1097" s="367" t="b">
        <f t="shared" si="316"/>
        <v>1</v>
      </c>
      <c r="AK1097" s="370" t="str">
        <f t="shared" si="317"/>
        <v/>
      </c>
      <c r="AN1097">
        <f t="shared" si="318"/>
        <v>0</v>
      </c>
      <c r="AO1097">
        <f t="shared" si="319"/>
        <v>1900</v>
      </c>
      <c r="AV1097">
        <f t="shared" si="320"/>
        <v>0</v>
      </c>
      <c r="AW1097">
        <f t="shared" si="321"/>
        <v>0</v>
      </c>
    </row>
    <row r="1098" spans="4:49" ht="15.75" x14ac:dyDescent="0.25">
      <c r="D1098" s="199"/>
      <c r="E1098" s="200"/>
      <c r="F1098" s="287"/>
      <c r="G1098" s="201"/>
      <c r="H1098" s="219"/>
      <c r="I1098" s="202"/>
      <c r="J1098" s="200"/>
      <c r="K1098" s="200"/>
      <c r="L1098" s="203"/>
      <c r="M1098" s="204">
        <f ca="1">IF(ISERROR(OFFSET(Tabella!$A$1,MATCH(J1098,Tabella!$A:$A,0)-1,MATCH(L1098,Tabella!$A$1:$AC$1,0)-1)=TRUE),0,+OFFSET(Tabella!$A$1,MATCH(J1098,Tabella!$A:$A,0)-1,MATCH(L1098,Tabella!$A$1:$AC$1,0)-1))</f>
        <v>0</v>
      </c>
      <c r="N1098" s="205">
        <f ca="1">IF(ISERROR(OFFSET(Ottone!$A$1,MATCH(J1098,Ottone!$A:$A,0)-1,MATCH(L1098,Ottone!$A$1:$Z$1,0)-1)=TRUE),0,OFFSET(Ottone!$A$1,MATCH(J1098,Ottone!$A:$A,0)-1,MATCH(L1098,Ottone!$A$1:$Z$1,0)-1))*IF(G1098="Ottone",1,0)</f>
        <v>0</v>
      </c>
      <c r="O1098" s="205">
        <f ca="1">IF(ISERROR(OFFSET(Rame!$A$1,MATCH(J1098,Rame!$A:$A,0)-1,MATCH(L1098,Rame!$A$1:$AA$1,0)-1)=TRUE),0,OFFSET(Rame!$A$1,MATCH(J1098,Rame!$A:$A,0)-1,MATCH(L1098,Rame!$A$1:$AA$1,0)-1))*IF(G1098="Rame",1,0)</f>
        <v>0</v>
      </c>
      <c r="P1098" s="205">
        <v>0</v>
      </c>
      <c r="Q1098" s="205">
        <f t="shared" ca="1" si="311"/>
        <v>0</v>
      </c>
      <c r="R1098" s="205">
        <f ca="1">+IF(ISERROR(OFFSET(Tabella!$G$1,MATCH(J1098,Tabella!$G:$G,0)-1,MATCH(K1098,Tabella!$G$1:$FG$1,0)-1)=TRUE),0,OFFSET(Tabella!$G$1,MATCH(J1098,Tabella!$G:$G,0)-1,MATCH(K1098,Tabella!$G$1:$AB$1,0)-1))</f>
        <v>0</v>
      </c>
      <c r="S1098" s="205">
        <f ca="1">IF(ISERROR(OFFSET(Ottone!$F$1,MATCH(J1098,Ottone!$A:$A,0)-1,MATCH(K1098,Ottone!$F$1:$FF$1,0)-1)=TRUE),0,OFFSET(Ottone!$F$1,MATCH(J1098,Ottone!$A:$A,0)-1,MATCH(K1098,Ottone!$F$1:$FF$1,0)-1))*IF(G1098="Ottone",1,0)</f>
        <v>0</v>
      </c>
      <c r="T1098" s="205">
        <f ca="1">IF(ISERROR(OFFSET(Rame!$F$1,MATCH(J1098,Rame!$F:$F,0)-1,MATCH(K1098,Rame!$F$1:$FF$1,0)-1)=TRUE),0,OFFSET(Rame!$F$1,MATCH(J1098,Rame!$F:$F,0)-1,MATCH(K1098,Rame!$F$1:$FF$1,0)-1))*IF(G1098="Rame",1,0)</f>
        <v>0</v>
      </c>
      <c r="U1098" s="205">
        <f ca="1">IF(ISERROR(OFFSET(Bronzo!$A$1,MATCH(J1098,Bronzo!$A:$A,0)-1,MATCH(K1098,Bronzo!$A$1:$AA$1,0)-1)=TRUE),0,OFFSET(Bronzo!$A$1,MATCH(J1098,Bronzo!$A:$A,0)-1,MATCH(K1098,Bronzo!$A$1:$AA$1,0)-1))</f>
        <v>0</v>
      </c>
      <c r="V1098" s="205">
        <f t="shared" ca="1" si="312"/>
        <v>0</v>
      </c>
      <c r="W1098" s="204"/>
      <c r="X1098" s="205">
        <v>0</v>
      </c>
      <c r="Y1098" s="206">
        <f t="shared" ca="1" si="313"/>
        <v>0</v>
      </c>
      <c r="Z1098" s="277">
        <f t="shared" si="314"/>
        <v>0</v>
      </c>
      <c r="AA1098" s="203"/>
      <c r="AB1098" s="203">
        <f t="shared" ca="1" si="315"/>
        <v>0</v>
      </c>
      <c r="AC1098" s="238"/>
      <c r="AI1098" s="367">
        <f t="shared" ca="1" si="322"/>
        <v>46092</v>
      </c>
      <c r="AJ1098" s="367" t="b">
        <f t="shared" si="316"/>
        <v>1</v>
      </c>
      <c r="AK1098" s="370" t="str">
        <f t="shared" si="317"/>
        <v/>
      </c>
      <c r="AN1098">
        <f t="shared" si="318"/>
        <v>0</v>
      </c>
      <c r="AO1098">
        <f t="shared" si="319"/>
        <v>1900</v>
      </c>
      <c r="AV1098">
        <f t="shared" si="320"/>
        <v>0</v>
      </c>
      <c r="AW1098">
        <f t="shared" si="321"/>
        <v>0</v>
      </c>
    </row>
    <row r="1099" spans="4:49" ht="15.75" x14ac:dyDescent="0.25">
      <c r="D1099" s="199"/>
      <c r="E1099" s="200"/>
      <c r="F1099" s="287"/>
      <c r="G1099" s="201"/>
      <c r="H1099" s="219"/>
      <c r="I1099" s="202"/>
      <c r="J1099" s="200"/>
      <c r="K1099" s="200"/>
      <c r="L1099" s="203"/>
      <c r="M1099" s="204">
        <f ca="1">IF(ISERROR(OFFSET(Tabella!$A$1,MATCH(J1099,Tabella!$A:$A,0)-1,MATCH(L1099,Tabella!$A$1:$AC$1,0)-1)=TRUE),0,+OFFSET(Tabella!$A$1,MATCH(J1099,Tabella!$A:$A,0)-1,MATCH(L1099,Tabella!$A$1:$AC$1,0)-1))</f>
        <v>0</v>
      </c>
      <c r="N1099" s="205">
        <f ca="1">IF(ISERROR(OFFSET(Ottone!$A$1,MATCH(J1099,Ottone!$A:$A,0)-1,MATCH(L1099,Ottone!$A$1:$Z$1,0)-1)=TRUE),0,OFFSET(Ottone!$A$1,MATCH(J1099,Ottone!$A:$A,0)-1,MATCH(L1099,Ottone!$A$1:$Z$1,0)-1))*IF(G1099="Ottone",1,0)</f>
        <v>0</v>
      </c>
      <c r="O1099" s="205">
        <f ca="1">IF(ISERROR(OFFSET(Rame!$A$1,MATCH(J1099,Rame!$A:$A,0)-1,MATCH(L1099,Rame!$A$1:$AA$1,0)-1)=TRUE),0,OFFSET(Rame!$A$1,MATCH(J1099,Rame!$A:$A,0)-1,MATCH(L1099,Rame!$A$1:$AA$1,0)-1))*IF(G1099="Rame",1,0)</f>
        <v>0</v>
      </c>
      <c r="P1099" s="205">
        <v>0</v>
      </c>
      <c r="Q1099" s="205">
        <f t="shared" ca="1" si="311"/>
        <v>0</v>
      </c>
      <c r="R1099" s="205">
        <f ca="1">+IF(ISERROR(OFFSET(Tabella!$G$1,MATCH(J1099,Tabella!$G:$G,0)-1,MATCH(K1099,Tabella!$G$1:$FG$1,0)-1)=TRUE),0,OFFSET(Tabella!$G$1,MATCH(J1099,Tabella!$G:$G,0)-1,MATCH(K1099,Tabella!$G$1:$AB$1,0)-1))</f>
        <v>0</v>
      </c>
      <c r="S1099" s="205">
        <f ca="1">IF(ISERROR(OFFSET(Ottone!$F$1,MATCH(J1099,Ottone!$A:$A,0)-1,MATCH(K1099,Ottone!$F$1:$FF$1,0)-1)=TRUE),0,OFFSET(Ottone!$F$1,MATCH(J1099,Ottone!$A:$A,0)-1,MATCH(K1099,Ottone!$F$1:$FF$1,0)-1))*IF(G1099="Ottone",1,0)</f>
        <v>0</v>
      </c>
      <c r="T1099" s="205">
        <f ca="1">IF(ISERROR(OFFSET(Rame!$F$1,MATCH(J1099,Rame!$F:$F,0)-1,MATCH(K1099,Rame!$F$1:$FF$1,0)-1)=TRUE),0,OFFSET(Rame!$F$1,MATCH(J1099,Rame!$F:$F,0)-1,MATCH(K1099,Rame!$F$1:$FF$1,0)-1))*IF(G1099="Rame",1,0)</f>
        <v>0</v>
      </c>
      <c r="U1099" s="205">
        <f ca="1">IF(ISERROR(OFFSET(Bronzo!$A$1,MATCH(J1099,Bronzo!$A:$A,0)-1,MATCH(K1099,Bronzo!$A$1:$AA$1,0)-1)=TRUE),0,OFFSET(Bronzo!$A$1,MATCH(J1099,Bronzo!$A:$A,0)-1,MATCH(K1099,Bronzo!$A$1:$AA$1,0)-1))</f>
        <v>0</v>
      </c>
      <c r="V1099" s="205">
        <f t="shared" ca="1" si="312"/>
        <v>0</v>
      </c>
      <c r="W1099" s="204"/>
      <c r="X1099" s="205">
        <v>0</v>
      </c>
      <c r="Y1099" s="206">
        <f t="shared" ca="1" si="313"/>
        <v>0</v>
      </c>
      <c r="Z1099" s="277">
        <f t="shared" si="314"/>
        <v>0</v>
      </c>
      <c r="AA1099" s="203"/>
      <c r="AB1099" s="203">
        <f t="shared" ca="1" si="315"/>
        <v>0</v>
      </c>
      <c r="AC1099" s="238"/>
      <c r="AI1099" s="367">
        <f t="shared" ca="1" si="322"/>
        <v>46092</v>
      </c>
      <c r="AJ1099" s="367" t="b">
        <f t="shared" si="316"/>
        <v>1</v>
      </c>
      <c r="AK1099" s="370" t="str">
        <f t="shared" si="317"/>
        <v/>
      </c>
      <c r="AN1099">
        <f t="shared" si="318"/>
        <v>0</v>
      </c>
      <c r="AO1099">
        <f t="shared" si="319"/>
        <v>1900</v>
      </c>
      <c r="AV1099">
        <f t="shared" si="320"/>
        <v>0</v>
      </c>
      <c r="AW1099">
        <f t="shared" si="321"/>
        <v>0</v>
      </c>
    </row>
    <row r="1100" spans="4:49" ht="15.75" x14ac:dyDescent="0.25">
      <c r="D1100" s="199"/>
      <c r="E1100" s="200"/>
      <c r="F1100" s="287"/>
      <c r="G1100" s="201"/>
      <c r="H1100" s="219"/>
      <c r="I1100" s="202"/>
      <c r="J1100" s="200"/>
      <c r="K1100" s="200"/>
      <c r="L1100" s="203"/>
      <c r="M1100" s="204">
        <f ca="1">IF(ISERROR(OFFSET(Tabella!$A$1,MATCH(J1100,Tabella!$A:$A,0)-1,MATCH(L1100,Tabella!$A$1:$AC$1,0)-1)=TRUE),0,+OFFSET(Tabella!$A$1,MATCH(J1100,Tabella!$A:$A,0)-1,MATCH(L1100,Tabella!$A$1:$AC$1,0)-1))</f>
        <v>0</v>
      </c>
      <c r="N1100" s="205">
        <f ca="1">IF(ISERROR(OFFSET(Ottone!$A$1,MATCH(J1100,Ottone!$A:$A,0)-1,MATCH(L1100,Ottone!$A$1:$Z$1,0)-1)=TRUE),0,OFFSET(Ottone!$A$1,MATCH(J1100,Ottone!$A:$A,0)-1,MATCH(L1100,Ottone!$A$1:$Z$1,0)-1))*IF(G1100="Ottone",1,0)</f>
        <v>0</v>
      </c>
      <c r="O1100" s="205">
        <f ca="1">IF(ISERROR(OFFSET(Rame!$A$1,MATCH(J1100,Rame!$A:$A,0)-1,MATCH(L1100,Rame!$A$1:$AA$1,0)-1)=TRUE),0,OFFSET(Rame!$A$1,MATCH(J1100,Rame!$A:$A,0)-1,MATCH(L1100,Rame!$A$1:$AA$1,0)-1))*IF(G1100="Rame",1,0)</f>
        <v>0</v>
      </c>
      <c r="P1100" s="205">
        <v>0</v>
      </c>
      <c r="Q1100" s="205">
        <f t="shared" ca="1" si="311"/>
        <v>0</v>
      </c>
      <c r="R1100" s="205">
        <f ca="1">+IF(ISERROR(OFFSET(Tabella!$G$1,MATCH(J1100,Tabella!$G:$G,0)-1,MATCH(K1100,Tabella!$G$1:$FG$1,0)-1)=TRUE),0,OFFSET(Tabella!$G$1,MATCH(J1100,Tabella!$G:$G,0)-1,MATCH(K1100,Tabella!$G$1:$AB$1,0)-1))</f>
        <v>0</v>
      </c>
      <c r="S1100" s="205">
        <f ca="1">IF(ISERROR(OFFSET(Ottone!$F$1,MATCH(J1100,Ottone!$A:$A,0)-1,MATCH(K1100,Ottone!$F$1:$FF$1,0)-1)=TRUE),0,OFFSET(Ottone!$F$1,MATCH(J1100,Ottone!$A:$A,0)-1,MATCH(K1100,Ottone!$F$1:$FF$1,0)-1))*IF(G1100="Ottone",1,0)</f>
        <v>0</v>
      </c>
      <c r="T1100" s="205">
        <f ca="1">IF(ISERROR(OFFSET(Rame!$F$1,MATCH(J1100,Rame!$F:$F,0)-1,MATCH(K1100,Rame!$F$1:$FF$1,0)-1)=TRUE),0,OFFSET(Rame!$F$1,MATCH(J1100,Rame!$F:$F,0)-1,MATCH(K1100,Rame!$F$1:$FF$1,0)-1))*IF(G1100="Rame",1,0)</f>
        <v>0</v>
      </c>
      <c r="U1100" s="205">
        <f ca="1">IF(ISERROR(OFFSET(Bronzo!$A$1,MATCH(J1100,Bronzo!$A:$A,0)-1,MATCH(K1100,Bronzo!$A$1:$AA$1,0)-1)=TRUE),0,OFFSET(Bronzo!$A$1,MATCH(J1100,Bronzo!$A:$A,0)-1,MATCH(K1100,Bronzo!$A$1:$AA$1,0)-1))</f>
        <v>0</v>
      </c>
      <c r="V1100" s="205">
        <f t="shared" ca="1" si="312"/>
        <v>0</v>
      </c>
      <c r="W1100" s="204"/>
      <c r="X1100" s="205">
        <v>0</v>
      </c>
      <c r="Y1100" s="206">
        <f t="shared" ca="1" si="313"/>
        <v>0</v>
      </c>
      <c r="Z1100" s="277">
        <f t="shared" si="314"/>
        <v>0</v>
      </c>
      <c r="AA1100" s="203"/>
      <c r="AB1100" s="203">
        <f t="shared" ca="1" si="315"/>
        <v>0</v>
      </c>
      <c r="AC1100" s="238"/>
      <c r="AI1100" s="367">
        <f t="shared" ca="1" si="322"/>
        <v>46092</v>
      </c>
      <c r="AJ1100" s="367" t="b">
        <f t="shared" si="316"/>
        <v>1</v>
      </c>
      <c r="AK1100" s="370" t="str">
        <f t="shared" si="317"/>
        <v/>
      </c>
      <c r="AN1100">
        <f t="shared" si="318"/>
        <v>0</v>
      </c>
      <c r="AO1100">
        <f t="shared" si="319"/>
        <v>1900</v>
      </c>
      <c r="AV1100">
        <f t="shared" si="320"/>
        <v>0</v>
      </c>
      <c r="AW1100">
        <f t="shared" si="321"/>
        <v>0</v>
      </c>
    </row>
    <row r="1101" spans="4:49" ht="15.75" x14ac:dyDescent="0.25">
      <c r="D1101" s="199"/>
      <c r="E1101" s="200"/>
      <c r="F1101" s="287"/>
      <c r="G1101" s="201"/>
      <c r="H1101" s="219"/>
      <c r="I1101" s="202"/>
      <c r="J1101" s="200"/>
      <c r="K1101" s="200"/>
      <c r="L1101" s="203"/>
      <c r="M1101" s="204">
        <f ca="1">IF(ISERROR(OFFSET(Tabella!$A$1,MATCH(J1101,Tabella!$A:$A,0)-1,MATCH(L1101,Tabella!$A$1:$AC$1,0)-1)=TRUE),0,+OFFSET(Tabella!$A$1,MATCH(J1101,Tabella!$A:$A,0)-1,MATCH(L1101,Tabella!$A$1:$AC$1,0)-1))</f>
        <v>0</v>
      </c>
      <c r="N1101" s="205">
        <f ca="1">IF(ISERROR(OFFSET(Ottone!$A$1,MATCH(J1101,Ottone!$A:$A,0)-1,MATCH(L1101,Ottone!$A$1:$Z$1,0)-1)=TRUE),0,OFFSET(Ottone!$A$1,MATCH(J1101,Ottone!$A:$A,0)-1,MATCH(L1101,Ottone!$A$1:$Z$1,0)-1))*IF(G1101="Ottone",1,0)</f>
        <v>0</v>
      </c>
      <c r="O1101" s="205">
        <f ca="1">IF(ISERROR(OFFSET(Rame!$A$1,MATCH(J1101,Rame!$A:$A,0)-1,MATCH(L1101,Rame!$A$1:$AA$1,0)-1)=TRUE),0,OFFSET(Rame!$A$1,MATCH(J1101,Rame!$A:$A,0)-1,MATCH(L1101,Rame!$A$1:$AA$1,0)-1))*IF(G1101="Rame",1,0)</f>
        <v>0</v>
      </c>
      <c r="P1101" s="205">
        <v>0</v>
      </c>
      <c r="Q1101" s="205">
        <f t="shared" ca="1" si="311"/>
        <v>0</v>
      </c>
      <c r="R1101" s="205">
        <f ca="1">+IF(ISERROR(OFFSET(Tabella!$G$1,MATCH(J1101,Tabella!$G:$G,0)-1,MATCH(K1101,Tabella!$G$1:$FG$1,0)-1)=TRUE),0,OFFSET(Tabella!$G$1,MATCH(J1101,Tabella!$G:$G,0)-1,MATCH(K1101,Tabella!$G$1:$AB$1,0)-1))</f>
        <v>0</v>
      </c>
      <c r="S1101" s="205">
        <f ca="1">IF(ISERROR(OFFSET(Ottone!$F$1,MATCH(J1101,Ottone!$A:$A,0)-1,MATCH(K1101,Ottone!$F$1:$FF$1,0)-1)=TRUE),0,OFFSET(Ottone!$F$1,MATCH(J1101,Ottone!$A:$A,0)-1,MATCH(K1101,Ottone!$F$1:$FF$1,0)-1))*IF(G1101="Ottone",1,0)</f>
        <v>0</v>
      </c>
      <c r="T1101" s="205">
        <f ca="1">IF(ISERROR(OFFSET(Rame!$F$1,MATCH(J1101,Rame!$F:$F,0)-1,MATCH(K1101,Rame!$F$1:$FF$1,0)-1)=TRUE),0,OFFSET(Rame!$F$1,MATCH(J1101,Rame!$F:$F,0)-1,MATCH(K1101,Rame!$F$1:$FF$1,0)-1))*IF(G1101="Rame",1,0)</f>
        <v>0</v>
      </c>
      <c r="U1101" s="205">
        <f ca="1">IF(ISERROR(OFFSET(Bronzo!$A$1,MATCH(J1101,Bronzo!$A:$A,0)-1,MATCH(K1101,Bronzo!$A$1:$AA$1,0)-1)=TRUE),0,OFFSET(Bronzo!$A$1,MATCH(J1101,Bronzo!$A:$A,0)-1,MATCH(K1101,Bronzo!$A$1:$AA$1,0)-1))</f>
        <v>0</v>
      </c>
      <c r="V1101" s="205">
        <f t="shared" ca="1" si="312"/>
        <v>0</v>
      </c>
      <c r="W1101" s="204"/>
      <c r="X1101" s="205">
        <v>0</v>
      </c>
      <c r="Y1101" s="206">
        <f t="shared" ca="1" si="313"/>
        <v>0</v>
      </c>
      <c r="Z1101" s="277">
        <f t="shared" si="314"/>
        <v>0</v>
      </c>
      <c r="AA1101" s="203"/>
      <c r="AB1101" s="203">
        <f t="shared" ca="1" si="315"/>
        <v>0</v>
      </c>
      <c r="AC1101" s="238"/>
      <c r="AI1101" s="367">
        <f t="shared" ca="1" si="322"/>
        <v>46092</v>
      </c>
      <c r="AJ1101" s="367" t="b">
        <f t="shared" si="316"/>
        <v>1</v>
      </c>
      <c r="AK1101" s="370" t="str">
        <f t="shared" si="317"/>
        <v/>
      </c>
      <c r="AN1101">
        <f t="shared" si="318"/>
        <v>0</v>
      </c>
      <c r="AO1101">
        <f t="shared" si="319"/>
        <v>1900</v>
      </c>
      <c r="AV1101">
        <f t="shared" si="320"/>
        <v>0</v>
      </c>
      <c r="AW1101">
        <f t="shared" si="321"/>
        <v>0</v>
      </c>
    </row>
    <row r="1102" spans="4:49" ht="15.75" x14ac:dyDescent="0.25">
      <c r="D1102" s="199"/>
      <c r="E1102" s="200"/>
      <c r="F1102" s="287"/>
      <c r="G1102" s="201"/>
      <c r="H1102" s="219"/>
      <c r="I1102" s="202"/>
      <c r="J1102" s="200"/>
      <c r="K1102" s="200"/>
      <c r="L1102" s="203"/>
      <c r="M1102" s="204">
        <f ca="1">IF(ISERROR(OFFSET(Tabella!$A$1,MATCH(J1102,Tabella!$A:$A,0)-1,MATCH(L1102,Tabella!$A$1:$AC$1,0)-1)=TRUE),0,+OFFSET(Tabella!$A$1,MATCH(J1102,Tabella!$A:$A,0)-1,MATCH(L1102,Tabella!$A$1:$AC$1,0)-1))</f>
        <v>0</v>
      </c>
      <c r="N1102" s="205">
        <f ca="1">IF(ISERROR(OFFSET(Ottone!$A$1,MATCH(J1102,Ottone!$A:$A,0)-1,MATCH(L1102,Ottone!$A$1:$Z$1,0)-1)=TRUE),0,OFFSET(Ottone!$A$1,MATCH(J1102,Ottone!$A:$A,0)-1,MATCH(L1102,Ottone!$A$1:$Z$1,0)-1))*IF(G1102="Ottone",1,0)</f>
        <v>0</v>
      </c>
      <c r="O1102" s="205">
        <f ca="1">IF(ISERROR(OFFSET(Rame!$A$1,MATCH(J1102,Rame!$A:$A,0)-1,MATCH(L1102,Rame!$A$1:$AA$1,0)-1)=TRUE),0,OFFSET(Rame!$A$1,MATCH(J1102,Rame!$A:$A,0)-1,MATCH(L1102,Rame!$A$1:$AA$1,0)-1))*IF(G1102="Rame",1,0)</f>
        <v>0</v>
      </c>
      <c r="P1102" s="205">
        <v>0</v>
      </c>
      <c r="Q1102" s="205">
        <f t="shared" ca="1" si="311"/>
        <v>0</v>
      </c>
      <c r="R1102" s="205">
        <f ca="1">+IF(ISERROR(OFFSET(Tabella!$G$1,MATCH(J1102,Tabella!$G:$G,0)-1,MATCH(K1102,Tabella!$G$1:$FG$1,0)-1)=TRUE),0,OFFSET(Tabella!$G$1,MATCH(J1102,Tabella!$G:$G,0)-1,MATCH(K1102,Tabella!$G$1:$AB$1,0)-1))</f>
        <v>0</v>
      </c>
      <c r="S1102" s="205">
        <f ca="1">IF(ISERROR(OFFSET(Ottone!$F$1,MATCH(J1102,Ottone!$A:$A,0)-1,MATCH(K1102,Ottone!$F$1:$FF$1,0)-1)=TRUE),0,OFFSET(Ottone!$F$1,MATCH(J1102,Ottone!$A:$A,0)-1,MATCH(K1102,Ottone!$F$1:$FF$1,0)-1))*IF(G1102="Ottone",1,0)</f>
        <v>0</v>
      </c>
      <c r="T1102" s="205">
        <f ca="1">IF(ISERROR(OFFSET(Rame!$F$1,MATCH(J1102,Rame!$F:$F,0)-1,MATCH(K1102,Rame!$F$1:$FF$1,0)-1)=TRUE),0,OFFSET(Rame!$F$1,MATCH(J1102,Rame!$F:$F,0)-1,MATCH(K1102,Rame!$F$1:$FF$1,0)-1))*IF(G1102="Rame",1,0)</f>
        <v>0</v>
      </c>
      <c r="U1102" s="205">
        <f ca="1">IF(ISERROR(OFFSET(Bronzo!$A$1,MATCH(J1102,Bronzo!$A:$A,0)-1,MATCH(K1102,Bronzo!$A$1:$AA$1,0)-1)=TRUE),0,OFFSET(Bronzo!$A$1,MATCH(J1102,Bronzo!$A:$A,0)-1,MATCH(K1102,Bronzo!$A$1:$AA$1,0)-1))</f>
        <v>0</v>
      </c>
      <c r="V1102" s="205">
        <f t="shared" ca="1" si="312"/>
        <v>0</v>
      </c>
      <c r="W1102" s="204"/>
      <c r="X1102" s="205">
        <v>0</v>
      </c>
      <c r="Y1102" s="206">
        <f t="shared" ca="1" si="313"/>
        <v>0</v>
      </c>
      <c r="Z1102" s="277">
        <f t="shared" si="314"/>
        <v>0</v>
      </c>
      <c r="AA1102" s="203"/>
      <c r="AB1102" s="203">
        <f t="shared" ca="1" si="315"/>
        <v>0</v>
      </c>
      <c r="AC1102" s="238"/>
      <c r="AI1102" s="367">
        <f t="shared" ca="1" si="322"/>
        <v>46092</v>
      </c>
      <c r="AJ1102" s="367" t="b">
        <f t="shared" si="316"/>
        <v>1</v>
      </c>
      <c r="AK1102" s="370" t="str">
        <f t="shared" si="317"/>
        <v/>
      </c>
      <c r="AN1102">
        <f t="shared" si="318"/>
        <v>0</v>
      </c>
      <c r="AO1102">
        <f t="shared" si="319"/>
        <v>1900</v>
      </c>
      <c r="AV1102">
        <f t="shared" si="320"/>
        <v>0</v>
      </c>
      <c r="AW1102">
        <f t="shared" si="321"/>
        <v>0</v>
      </c>
    </row>
    <row r="1103" spans="4:49" ht="15.75" x14ac:dyDescent="0.25">
      <c r="D1103" s="199"/>
      <c r="E1103" s="200"/>
      <c r="F1103" s="287"/>
      <c r="G1103" s="201"/>
      <c r="H1103" s="219"/>
      <c r="I1103" s="202"/>
      <c r="J1103" s="200"/>
      <c r="K1103" s="200"/>
      <c r="L1103" s="203"/>
      <c r="M1103" s="204">
        <f ca="1">IF(ISERROR(OFFSET(Tabella!$A$1,MATCH(J1103,Tabella!$A:$A,0)-1,MATCH(L1103,Tabella!$A$1:$AC$1,0)-1)=TRUE),0,+OFFSET(Tabella!$A$1,MATCH(J1103,Tabella!$A:$A,0)-1,MATCH(L1103,Tabella!$A$1:$AC$1,0)-1))</f>
        <v>0</v>
      </c>
      <c r="N1103" s="205">
        <f ca="1">IF(ISERROR(OFFSET(Ottone!$A$1,MATCH(J1103,Ottone!$A:$A,0)-1,MATCH(L1103,Ottone!$A$1:$Z$1,0)-1)=TRUE),0,OFFSET(Ottone!$A$1,MATCH(J1103,Ottone!$A:$A,0)-1,MATCH(L1103,Ottone!$A$1:$Z$1,0)-1))*IF(G1103="Ottone",1,0)</f>
        <v>0</v>
      </c>
      <c r="O1103" s="205">
        <f ca="1">IF(ISERROR(OFFSET(Rame!$A$1,MATCH(J1103,Rame!$A:$A,0)-1,MATCH(L1103,Rame!$A$1:$AA$1,0)-1)=TRUE),0,OFFSET(Rame!$A$1,MATCH(J1103,Rame!$A:$A,0)-1,MATCH(L1103,Rame!$A$1:$AA$1,0)-1))*IF(G1103="Rame",1,0)</f>
        <v>0</v>
      </c>
      <c r="P1103" s="205">
        <v>0</v>
      </c>
      <c r="Q1103" s="205">
        <f t="shared" ref="Q1103:Q1166" ca="1" si="323">SUM(M1103:P1103)</f>
        <v>0</v>
      </c>
      <c r="R1103" s="205">
        <f ca="1">+IF(ISERROR(OFFSET(Tabella!$G$1,MATCH(J1103,Tabella!$G:$G,0)-1,MATCH(K1103,Tabella!$G$1:$FG$1,0)-1)=TRUE),0,OFFSET(Tabella!$G$1,MATCH(J1103,Tabella!$G:$G,0)-1,MATCH(K1103,Tabella!$G$1:$AB$1,0)-1))</f>
        <v>0</v>
      </c>
      <c r="S1103" s="205">
        <f ca="1">IF(ISERROR(OFFSET(Ottone!$F$1,MATCH(J1103,Ottone!$A:$A,0)-1,MATCH(K1103,Ottone!$F$1:$FF$1,0)-1)=TRUE),0,OFFSET(Ottone!$F$1,MATCH(J1103,Ottone!$A:$A,0)-1,MATCH(K1103,Ottone!$F$1:$FF$1,0)-1))*IF(G1103="Ottone",1,0)</f>
        <v>0</v>
      </c>
      <c r="T1103" s="205">
        <f ca="1">IF(ISERROR(OFFSET(Rame!$F$1,MATCH(J1103,Rame!$F:$F,0)-1,MATCH(K1103,Rame!$F$1:$FF$1,0)-1)=TRUE),0,OFFSET(Rame!$F$1,MATCH(J1103,Rame!$F:$F,0)-1,MATCH(K1103,Rame!$F$1:$FF$1,0)-1))*IF(G1103="Rame",1,0)</f>
        <v>0</v>
      </c>
      <c r="U1103" s="205">
        <f ca="1">IF(ISERROR(OFFSET(Bronzo!$A$1,MATCH(J1103,Bronzo!$A:$A,0)-1,MATCH(K1103,Bronzo!$A$1:$AA$1,0)-1)=TRUE),0,OFFSET(Bronzo!$A$1,MATCH(J1103,Bronzo!$A:$A,0)-1,MATCH(K1103,Bronzo!$A$1:$AA$1,0)-1))</f>
        <v>0</v>
      </c>
      <c r="V1103" s="205">
        <f t="shared" ref="V1103:V1166" ca="1" si="324">SUM(R1103:U1103)</f>
        <v>0</v>
      </c>
      <c r="W1103" s="204"/>
      <c r="X1103" s="205">
        <v>0</v>
      </c>
      <c r="Y1103" s="206">
        <f t="shared" ref="Y1103:Y1166" ca="1" si="325">+Q1103+V1103+W1103+X1103</f>
        <v>0</v>
      </c>
      <c r="Z1103" s="277">
        <f t="shared" ref="Z1103:Z1166" si="326">+L1103*F1103</f>
        <v>0</v>
      </c>
      <c r="AA1103" s="203"/>
      <c r="AB1103" s="203">
        <f t="shared" ref="AB1103:AB1166" ca="1" si="327">+AA1103-Y1103-H1103</f>
        <v>0</v>
      </c>
      <c r="AC1103" s="238"/>
      <c r="AI1103" s="367">
        <f t="shared" ca="1" si="322"/>
        <v>46092</v>
      </c>
      <c r="AJ1103" s="367" t="b">
        <f t="shared" si="316"/>
        <v>1</v>
      </c>
      <c r="AK1103" s="370" t="str">
        <f t="shared" si="317"/>
        <v/>
      </c>
      <c r="AN1103">
        <f t="shared" si="318"/>
        <v>0</v>
      </c>
      <c r="AO1103">
        <f t="shared" si="319"/>
        <v>1900</v>
      </c>
      <c r="AV1103">
        <f t="shared" si="320"/>
        <v>0</v>
      </c>
      <c r="AW1103">
        <f t="shared" si="321"/>
        <v>0</v>
      </c>
    </row>
    <row r="1104" spans="4:49" ht="15.75" x14ac:dyDescent="0.25">
      <c r="D1104" s="199"/>
      <c r="E1104" s="200"/>
      <c r="F1104" s="287"/>
      <c r="G1104" s="201"/>
      <c r="H1104" s="219"/>
      <c r="I1104" s="202"/>
      <c r="J1104" s="200"/>
      <c r="K1104" s="200"/>
      <c r="L1104" s="203"/>
      <c r="M1104" s="204">
        <f ca="1">IF(ISERROR(OFFSET(Tabella!$A$1,MATCH(J1104,Tabella!$A:$A,0)-1,MATCH(L1104,Tabella!$A$1:$AC$1,0)-1)=TRUE),0,+OFFSET(Tabella!$A$1,MATCH(J1104,Tabella!$A:$A,0)-1,MATCH(L1104,Tabella!$A$1:$AC$1,0)-1))</f>
        <v>0</v>
      </c>
      <c r="N1104" s="205">
        <f ca="1">IF(ISERROR(OFFSET(Ottone!$A$1,MATCH(J1104,Ottone!$A:$A,0)-1,MATCH(L1104,Ottone!$A$1:$Z$1,0)-1)=TRUE),0,OFFSET(Ottone!$A$1,MATCH(J1104,Ottone!$A:$A,0)-1,MATCH(L1104,Ottone!$A$1:$Z$1,0)-1))*IF(G1104="Ottone",1,0)</f>
        <v>0</v>
      </c>
      <c r="O1104" s="205">
        <f ca="1">IF(ISERROR(OFFSET(Rame!$A$1,MATCH(J1104,Rame!$A:$A,0)-1,MATCH(L1104,Rame!$A$1:$AA$1,0)-1)=TRUE),0,OFFSET(Rame!$A$1,MATCH(J1104,Rame!$A:$A,0)-1,MATCH(L1104,Rame!$A$1:$AA$1,0)-1))*IF(G1104="Rame",1,0)</f>
        <v>0</v>
      </c>
      <c r="P1104" s="205">
        <v>0</v>
      </c>
      <c r="Q1104" s="205">
        <f t="shared" ca="1" si="323"/>
        <v>0</v>
      </c>
      <c r="R1104" s="205">
        <f ca="1">+IF(ISERROR(OFFSET(Tabella!$G$1,MATCH(J1104,Tabella!$G:$G,0)-1,MATCH(K1104,Tabella!$G$1:$FG$1,0)-1)=TRUE),0,OFFSET(Tabella!$G$1,MATCH(J1104,Tabella!$G:$G,0)-1,MATCH(K1104,Tabella!$G$1:$AB$1,0)-1))</f>
        <v>0</v>
      </c>
      <c r="S1104" s="205">
        <f ca="1">IF(ISERROR(OFFSET(Ottone!$F$1,MATCH(J1104,Ottone!$A:$A,0)-1,MATCH(K1104,Ottone!$F$1:$FF$1,0)-1)=TRUE),0,OFFSET(Ottone!$F$1,MATCH(J1104,Ottone!$A:$A,0)-1,MATCH(K1104,Ottone!$F$1:$FF$1,0)-1))*IF(G1104="Ottone",1,0)</f>
        <v>0</v>
      </c>
      <c r="T1104" s="205">
        <f ca="1">IF(ISERROR(OFFSET(Rame!$F$1,MATCH(J1104,Rame!$F:$F,0)-1,MATCH(K1104,Rame!$F$1:$FF$1,0)-1)=TRUE),0,OFFSET(Rame!$F$1,MATCH(J1104,Rame!$F:$F,0)-1,MATCH(K1104,Rame!$F$1:$FF$1,0)-1))*IF(G1104="Rame",1,0)</f>
        <v>0</v>
      </c>
      <c r="U1104" s="205">
        <f ca="1">IF(ISERROR(OFFSET(Bronzo!$A$1,MATCH(J1104,Bronzo!$A:$A,0)-1,MATCH(K1104,Bronzo!$A$1:$AA$1,0)-1)=TRUE),0,OFFSET(Bronzo!$A$1,MATCH(J1104,Bronzo!$A:$A,0)-1,MATCH(K1104,Bronzo!$A$1:$AA$1,0)-1))</f>
        <v>0</v>
      </c>
      <c r="V1104" s="205">
        <f t="shared" ca="1" si="324"/>
        <v>0</v>
      </c>
      <c r="W1104" s="204"/>
      <c r="X1104" s="205">
        <v>0</v>
      </c>
      <c r="Y1104" s="206">
        <f t="shared" ca="1" si="325"/>
        <v>0</v>
      </c>
      <c r="Z1104" s="277">
        <f t="shared" si="326"/>
        <v>0</v>
      </c>
      <c r="AA1104" s="203"/>
      <c r="AB1104" s="203">
        <f t="shared" ca="1" si="327"/>
        <v>0</v>
      </c>
      <c r="AC1104" s="238"/>
      <c r="AI1104" s="367">
        <f t="shared" ca="1" si="322"/>
        <v>46092</v>
      </c>
      <c r="AJ1104" s="367" t="b">
        <f t="shared" si="316"/>
        <v>1</v>
      </c>
      <c r="AK1104" s="370" t="str">
        <f t="shared" si="317"/>
        <v/>
      </c>
      <c r="AN1104">
        <f t="shared" si="318"/>
        <v>0</v>
      </c>
      <c r="AO1104">
        <f t="shared" si="319"/>
        <v>1900</v>
      </c>
      <c r="AV1104">
        <f t="shared" si="320"/>
        <v>0</v>
      </c>
      <c r="AW1104">
        <f t="shared" si="321"/>
        <v>0</v>
      </c>
    </row>
    <row r="1105" spans="4:49" ht="15.75" x14ac:dyDescent="0.25">
      <c r="D1105" s="199"/>
      <c r="E1105" s="200"/>
      <c r="F1105" s="287"/>
      <c r="G1105" s="201"/>
      <c r="H1105" s="219"/>
      <c r="I1105" s="202"/>
      <c r="J1105" s="200"/>
      <c r="K1105" s="200"/>
      <c r="L1105" s="203"/>
      <c r="M1105" s="204">
        <f ca="1">IF(ISERROR(OFFSET(Tabella!$A$1,MATCH(J1105,Tabella!$A:$A,0)-1,MATCH(L1105,Tabella!$A$1:$AC$1,0)-1)=TRUE),0,+OFFSET(Tabella!$A$1,MATCH(J1105,Tabella!$A:$A,0)-1,MATCH(L1105,Tabella!$A$1:$AC$1,0)-1))</f>
        <v>0</v>
      </c>
      <c r="N1105" s="205">
        <f ca="1">IF(ISERROR(OFFSET(Ottone!$A$1,MATCH(J1105,Ottone!$A:$A,0)-1,MATCH(L1105,Ottone!$A$1:$Z$1,0)-1)=TRUE),0,OFFSET(Ottone!$A$1,MATCH(J1105,Ottone!$A:$A,0)-1,MATCH(L1105,Ottone!$A$1:$Z$1,0)-1))*IF(G1105="Ottone",1,0)</f>
        <v>0</v>
      </c>
      <c r="O1105" s="205">
        <f ca="1">IF(ISERROR(OFFSET(Rame!$A$1,MATCH(J1105,Rame!$A:$A,0)-1,MATCH(L1105,Rame!$A$1:$AA$1,0)-1)=TRUE),0,OFFSET(Rame!$A$1,MATCH(J1105,Rame!$A:$A,0)-1,MATCH(L1105,Rame!$A$1:$AA$1,0)-1))*IF(G1105="Rame",1,0)</f>
        <v>0</v>
      </c>
      <c r="P1105" s="205">
        <v>0</v>
      </c>
      <c r="Q1105" s="205">
        <f t="shared" ca="1" si="323"/>
        <v>0</v>
      </c>
      <c r="R1105" s="205">
        <f ca="1">+IF(ISERROR(OFFSET(Tabella!$G$1,MATCH(J1105,Tabella!$G:$G,0)-1,MATCH(K1105,Tabella!$G$1:$FG$1,0)-1)=TRUE),0,OFFSET(Tabella!$G$1,MATCH(J1105,Tabella!$G:$G,0)-1,MATCH(K1105,Tabella!$G$1:$AB$1,0)-1))</f>
        <v>0</v>
      </c>
      <c r="S1105" s="205">
        <f ca="1">IF(ISERROR(OFFSET(Ottone!$F$1,MATCH(J1105,Ottone!$A:$A,0)-1,MATCH(K1105,Ottone!$F$1:$FF$1,0)-1)=TRUE),0,OFFSET(Ottone!$F$1,MATCH(J1105,Ottone!$A:$A,0)-1,MATCH(K1105,Ottone!$F$1:$FF$1,0)-1))*IF(G1105="Ottone",1,0)</f>
        <v>0</v>
      </c>
      <c r="T1105" s="205">
        <f ca="1">IF(ISERROR(OFFSET(Rame!$F$1,MATCH(J1105,Rame!$F:$F,0)-1,MATCH(K1105,Rame!$F$1:$FF$1,0)-1)=TRUE),0,OFFSET(Rame!$F$1,MATCH(J1105,Rame!$F:$F,0)-1,MATCH(K1105,Rame!$F$1:$FF$1,0)-1))*IF(G1105="Rame",1,0)</f>
        <v>0</v>
      </c>
      <c r="U1105" s="205">
        <f ca="1">IF(ISERROR(OFFSET(Bronzo!$A$1,MATCH(J1105,Bronzo!$A:$A,0)-1,MATCH(K1105,Bronzo!$A$1:$AA$1,0)-1)=TRUE),0,OFFSET(Bronzo!$A$1,MATCH(J1105,Bronzo!$A:$A,0)-1,MATCH(K1105,Bronzo!$A$1:$AA$1,0)-1))</f>
        <v>0</v>
      </c>
      <c r="V1105" s="205">
        <f t="shared" ca="1" si="324"/>
        <v>0</v>
      </c>
      <c r="W1105" s="204"/>
      <c r="X1105" s="205">
        <v>0</v>
      </c>
      <c r="Y1105" s="206">
        <f t="shared" ca="1" si="325"/>
        <v>0</v>
      </c>
      <c r="Z1105" s="277">
        <f t="shared" si="326"/>
        <v>0</v>
      </c>
      <c r="AA1105" s="203"/>
      <c r="AB1105" s="203">
        <f t="shared" ca="1" si="327"/>
        <v>0</v>
      </c>
      <c r="AC1105" s="238"/>
      <c r="AI1105" s="367">
        <f t="shared" ca="1" si="322"/>
        <v>46092</v>
      </c>
      <c r="AJ1105" s="367" t="b">
        <f t="shared" si="316"/>
        <v>1</v>
      </c>
      <c r="AK1105" s="370" t="str">
        <f t="shared" si="317"/>
        <v/>
      </c>
      <c r="AN1105">
        <f t="shared" si="318"/>
        <v>0</v>
      </c>
      <c r="AO1105">
        <f t="shared" si="319"/>
        <v>1900</v>
      </c>
      <c r="AV1105">
        <f t="shared" si="320"/>
        <v>0</v>
      </c>
      <c r="AW1105">
        <f t="shared" si="321"/>
        <v>0</v>
      </c>
    </row>
    <row r="1106" spans="4:49" ht="15.75" x14ac:dyDescent="0.25">
      <c r="D1106" s="199"/>
      <c r="E1106" s="200"/>
      <c r="F1106" s="287"/>
      <c r="G1106" s="201"/>
      <c r="H1106" s="219"/>
      <c r="I1106" s="202"/>
      <c r="J1106" s="200"/>
      <c r="K1106" s="200"/>
      <c r="L1106" s="203"/>
      <c r="M1106" s="204">
        <f ca="1">IF(ISERROR(OFFSET(Tabella!$A$1,MATCH(J1106,Tabella!$A:$A,0)-1,MATCH(L1106,Tabella!$A$1:$AC$1,0)-1)=TRUE),0,+OFFSET(Tabella!$A$1,MATCH(J1106,Tabella!$A:$A,0)-1,MATCH(L1106,Tabella!$A$1:$AC$1,0)-1))</f>
        <v>0</v>
      </c>
      <c r="N1106" s="205">
        <f ca="1">IF(ISERROR(OFFSET(Ottone!$A$1,MATCH(J1106,Ottone!$A:$A,0)-1,MATCH(L1106,Ottone!$A$1:$Z$1,0)-1)=TRUE),0,OFFSET(Ottone!$A$1,MATCH(J1106,Ottone!$A:$A,0)-1,MATCH(L1106,Ottone!$A$1:$Z$1,0)-1))*IF(G1106="Ottone",1,0)</f>
        <v>0</v>
      </c>
      <c r="O1106" s="205">
        <f ca="1">IF(ISERROR(OFFSET(Rame!$A$1,MATCH(J1106,Rame!$A:$A,0)-1,MATCH(L1106,Rame!$A$1:$AA$1,0)-1)=TRUE),0,OFFSET(Rame!$A$1,MATCH(J1106,Rame!$A:$A,0)-1,MATCH(L1106,Rame!$A$1:$AA$1,0)-1))*IF(G1106="Rame",1,0)</f>
        <v>0</v>
      </c>
      <c r="P1106" s="205">
        <v>0</v>
      </c>
      <c r="Q1106" s="205">
        <f t="shared" ca="1" si="323"/>
        <v>0</v>
      </c>
      <c r="R1106" s="205">
        <f ca="1">+IF(ISERROR(OFFSET(Tabella!$G$1,MATCH(J1106,Tabella!$G:$G,0)-1,MATCH(K1106,Tabella!$G$1:$FG$1,0)-1)=TRUE),0,OFFSET(Tabella!$G$1,MATCH(J1106,Tabella!$G:$G,0)-1,MATCH(K1106,Tabella!$G$1:$AB$1,0)-1))</f>
        <v>0</v>
      </c>
      <c r="S1106" s="205">
        <f ca="1">IF(ISERROR(OFFSET(Ottone!$F$1,MATCH(J1106,Ottone!$A:$A,0)-1,MATCH(K1106,Ottone!$F$1:$FF$1,0)-1)=TRUE),0,OFFSET(Ottone!$F$1,MATCH(J1106,Ottone!$A:$A,0)-1,MATCH(K1106,Ottone!$F$1:$FF$1,0)-1))*IF(G1106="Ottone",1,0)</f>
        <v>0</v>
      </c>
      <c r="T1106" s="205">
        <f ca="1">IF(ISERROR(OFFSET(Rame!$F$1,MATCH(J1106,Rame!$F:$F,0)-1,MATCH(K1106,Rame!$F$1:$FF$1,0)-1)=TRUE),0,OFFSET(Rame!$F$1,MATCH(J1106,Rame!$F:$F,0)-1,MATCH(K1106,Rame!$F$1:$FF$1,0)-1))*IF(G1106="Rame",1,0)</f>
        <v>0</v>
      </c>
      <c r="U1106" s="205">
        <f ca="1">IF(ISERROR(OFFSET(Bronzo!$A$1,MATCH(J1106,Bronzo!$A:$A,0)-1,MATCH(K1106,Bronzo!$A$1:$AA$1,0)-1)=TRUE),0,OFFSET(Bronzo!$A$1,MATCH(J1106,Bronzo!$A:$A,0)-1,MATCH(K1106,Bronzo!$A$1:$AA$1,0)-1))</f>
        <v>0</v>
      </c>
      <c r="V1106" s="205">
        <f t="shared" ca="1" si="324"/>
        <v>0</v>
      </c>
      <c r="W1106" s="204"/>
      <c r="X1106" s="205">
        <v>0</v>
      </c>
      <c r="Y1106" s="206">
        <f t="shared" ca="1" si="325"/>
        <v>0</v>
      </c>
      <c r="Z1106" s="277">
        <f t="shared" si="326"/>
        <v>0</v>
      </c>
      <c r="AA1106" s="203"/>
      <c r="AB1106" s="203">
        <f t="shared" ca="1" si="327"/>
        <v>0</v>
      </c>
      <c r="AC1106" s="238"/>
      <c r="AI1106" s="367">
        <f t="shared" ca="1" si="322"/>
        <v>46092</v>
      </c>
      <c r="AJ1106" s="367" t="b">
        <f t="shared" si="316"/>
        <v>1</v>
      </c>
      <c r="AK1106" s="370" t="str">
        <f t="shared" si="317"/>
        <v/>
      </c>
      <c r="AN1106">
        <f t="shared" si="318"/>
        <v>0</v>
      </c>
      <c r="AO1106">
        <f t="shared" si="319"/>
        <v>1900</v>
      </c>
      <c r="AV1106">
        <f t="shared" si="320"/>
        <v>0</v>
      </c>
      <c r="AW1106">
        <f t="shared" si="321"/>
        <v>0</v>
      </c>
    </row>
    <row r="1107" spans="4:49" ht="15.75" x14ac:dyDescent="0.25">
      <c r="D1107" s="199"/>
      <c r="E1107" s="200"/>
      <c r="F1107" s="287"/>
      <c r="G1107" s="201"/>
      <c r="H1107" s="219"/>
      <c r="I1107" s="202"/>
      <c r="J1107" s="200"/>
      <c r="K1107" s="200"/>
      <c r="L1107" s="203"/>
      <c r="M1107" s="204">
        <f ca="1">IF(ISERROR(OFFSET(Tabella!$A$1,MATCH(J1107,Tabella!$A:$A,0)-1,MATCH(L1107,Tabella!$A$1:$AC$1,0)-1)=TRUE),0,+OFFSET(Tabella!$A$1,MATCH(J1107,Tabella!$A:$A,0)-1,MATCH(L1107,Tabella!$A$1:$AC$1,0)-1))</f>
        <v>0</v>
      </c>
      <c r="N1107" s="205">
        <f ca="1">IF(ISERROR(OFFSET(Ottone!$A$1,MATCH(J1107,Ottone!$A:$A,0)-1,MATCH(L1107,Ottone!$A$1:$Z$1,0)-1)=TRUE),0,OFFSET(Ottone!$A$1,MATCH(J1107,Ottone!$A:$A,0)-1,MATCH(L1107,Ottone!$A$1:$Z$1,0)-1))*IF(G1107="Ottone",1,0)</f>
        <v>0</v>
      </c>
      <c r="O1107" s="205">
        <f ca="1">IF(ISERROR(OFFSET(Rame!$A$1,MATCH(J1107,Rame!$A:$A,0)-1,MATCH(L1107,Rame!$A$1:$AA$1,0)-1)=TRUE),0,OFFSET(Rame!$A$1,MATCH(J1107,Rame!$A:$A,0)-1,MATCH(L1107,Rame!$A$1:$AA$1,0)-1))*IF(G1107="Rame",1,0)</f>
        <v>0</v>
      </c>
      <c r="P1107" s="205">
        <v>0</v>
      </c>
      <c r="Q1107" s="205">
        <f t="shared" ca="1" si="323"/>
        <v>0</v>
      </c>
      <c r="R1107" s="205">
        <f ca="1">+IF(ISERROR(OFFSET(Tabella!$G$1,MATCH(J1107,Tabella!$G:$G,0)-1,MATCH(K1107,Tabella!$G$1:$FG$1,0)-1)=TRUE),0,OFFSET(Tabella!$G$1,MATCH(J1107,Tabella!$G:$G,0)-1,MATCH(K1107,Tabella!$G$1:$AB$1,0)-1))</f>
        <v>0</v>
      </c>
      <c r="S1107" s="205">
        <f ca="1">IF(ISERROR(OFFSET(Ottone!$F$1,MATCH(J1107,Ottone!$A:$A,0)-1,MATCH(K1107,Ottone!$F$1:$FF$1,0)-1)=TRUE),0,OFFSET(Ottone!$F$1,MATCH(J1107,Ottone!$A:$A,0)-1,MATCH(K1107,Ottone!$F$1:$FF$1,0)-1))*IF(G1107="Ottone",1,0)</f>
        <v>0</v>
      </c>
      <c r="T1107" s="205">
        <f ca="1">IF(ISERROR(OFFSET(Rame!$F$1,MATCH(J1107,Rame!$F:$F,0)-1,MATCH(K1107,Rame!$F$1:$FF$1,0)-1)=TRUE),0,OFFSET(Rame!$F$1,MATCH(J1107,Rame!$F:$F,0)-1,MATCH(K1107,Rame!$F$1:$FF$1,0)-1))*IF(G1107="Rame",1,0)</f>
        <v>0</v>
      </c>
      <c r="U1107" s="205">
        <f ca="1">IF(ISERROR(OFFSET(Bronzo!$A$1,MATCH(J1107,Bronzo!$A:$A,0)-1,MATCH(K1107,Bronzo!$A$1:$AA$1,0)-1)=TRUE),0,OFFSET(Bronzo!$A$1,MATCH(J1107,Bronzo!$A:$A,0)-1,MATCH(K1107,Bronzo!$A$1:$AA$1,0)-1))</f>
        <v>0</v>
      </c>
      <c r="V1107" s="205">
        <f t="shared" ca="1" si="324"/>
        <v>0</v>
      </c>
      <c r="W1107" s="204"/>
      <c r="X1107" s="205">
        <v>0</v>
      </c>
      <c r="Y1107" s="206">
        <f t="shared" ca="1" si="325"/>
        <v>0</v>
      </c>
      <c r="Z1107" s="277">
        <f t="shared" si="326"/>
        <v>0</v>
      </c>
      <c r="AA1107" s="203"/>
      <c r="AB1107" s="203">
        <f t="shared" ca="1" si="327"/>
        <v>0</v>
      </c>
      <c r="AC1107" s="238"/>
      <c r="AI1107" s="367">
        <f t="shared" ca="1" si="322"/>
        <v>46092</v>
      </c>
      <c r="AJ1107" s="367" t="b">
        <f t="shared" si="316"/>
        <v>1</v>
      </c>
      <c r="AK1107" s="370" t="str">
        <f t="shared" si="317"/>
        <v/>
      </c>
      <c r="AN1107">
        <f t="shared" si="318"/>
        <v>0</v>
      </c>
      <c r="AO1107">
        <f t="shared" si="319"/>
        <v>1900</v>
      </c>
      <c r="AV1107">
        <f t="shared" si="320"/>
        <v>0</v>
      </c>
      <c r="AW1107">
        <f t="shared" si="321"/>
        <v>0</v>
      </c>
    </row>
    <row r="1108" spans="4:49" ht="15.75" x14ac:dyDescent="0.25">
      <c r="D1108" s="199"/>
      <c r="E1108" s="200"/>
      <c r="F1108" s="287"/>
      <c r="G1108" s="201"/>
      <c r="H1108" s="219"/>
      <c r="I1108" s="202"/>
      <c r="J1108" s="200"/>
      <c r="K1108" s="200"/>
      <c r="L1108" s="203"/>
      <c r="M1108" s="204">
        <f ca="1">IF(ISERROR(OFFSET(Tabella!$A$1,MATCH(J1108,Tabella!$A:$A,0)-1,MATCH(L1108,Tabella!$A$1:$AC$1,0)-1)=TRUE),0,+OFFSET(Tabella!$A$1,MATCH(J1108,Tabella!$A:$A,0)-1,MATCH(L1108,Tabella!$A$1:$AC$1,0)-1))</f>
        <v>0</v>
      </c>
      <c r="N1108" s="205">
        <f ca="1">IF(ISERROR(OFFSET(Ottone!$A$1,MATCH(J1108,Ottone!$A:$A,0)-1,MATCH(L1108,Ottone!$A$1:$Z$1,0)-1)=TRUE),0,OFFSET(Ottone!$A$1,MATCH(J1108,Ottone!$A:$A,0)-1,MATCH(L1108,Ottone!$A$1:$Z$1,0)-1))*IF(G1108="Ottone",1,0)</f>
        <v>0</v>
      </c>
      <c r="O1108" s="205">
        <f ca="1">IF(ISERROR(OFFSET(Rame!$A$1,MATCH(J1108,Rame!$A:$A,0)-1,MATCH(L1108,Rame!$A$1:$AA$1,0)-1)=TRUE),0,OFFSET(Rame!$A$1,MATCH(J1108,Rame!$A:$A,0)-1,MATCH(L1108,Rame!$A$1:$AA$1,0)-1))*IF(G1108="Rame",1,0)</f>
        <v>0</v>
      </c>
      <c r="P1108" s="205">
        <v>0</v>
      </c>
      <c r="Q1108" s="205">
        <f t="shared" ca="1" si="323"/>
        <v>0</v>
      </c>
      <c r="R1108" s="205">
        <f ca="1">+IF(ISERROR(OFFSET(Tabella!$G$1,MATCH(J1108,Tabella!$G:$G,0)-1,MATCH(K1108,Tabella!$G$1:$FG$1,0)-1)=TRUE),0,OFFSET(Tabella!$G$1,MATCH(J1108,Tabella!$G:$G,0)-1,MATCH(K1108,Tabella!$G$1:$AB$1,0)-1))</f>
        <v>0</v>
      </c>
      <c r="S1108" s="205">
        <f ca="1">IF(ISERROR(OFFSET(Ottone!$F$1,MATCH(J1108,Ottone!$A:$A,0)-1,MATCH(K1108,Ottone!$F$1:$FF$1,0)-1)=TRUE),0,OFFSET(Ottone!$F$1,MATCH(J1108,Ottone!$A:$A,0)-1,MATCH(K1108,Ottone!$F$1:$FF$1,0)-1))*IF(G1108="Ottone",1,0)</f>
        <v>0</v>
      </c>
      <c r="T1108" s="205">
        <f ca="1">IF(ISERROR(OFFSET(Rame!$F$1,MATCH(J1108,Rame!$F:$F,0)-1,MATCH(K1108,Rame!$F$1:$FF$1,0)-1)=TRUE),0,OFFSET(Rame!$F$1,MATCH(J1108,Rame!$F:$F,0)-1,MATCH(K1108,Rame!$F$1:$FF$1,0)-1))*IF(G1108="Rame",1,0)</f>
        <v>0</v>
      </c>
      <c r="U1108" s="205">
        <f ca="1">IF(ISERROR(OFFSET(Bronzo!$A$1,MATCH(J1108,Bronzo!$A:$A,0)-1,MATCH(K1108,Bronzo!$A$1:$AA$1,0)-1)=TRUE),0,OFFSET(Bronzo!$A$1,MATCH(J1108,Bronzo!$A:$A,0)-1,MATCH(K1108,Bronzo!$A$1:$AA$1,0)-1))</f>
        <v>0</v>
      </c>
      <c r="V1108" s="205">
        <f t="shared" ca="1" si="324"/>
        <v>0</v>
      </c>
      <c r="W1108" s="204"/>
      <c r="X1108" s="205">
        <v>0</v>
      </c>
      <c r="Y1108" s="206">
        <f t="shared" ca="1" si="325"/>
        <v>0</v>
      </c>
      <c r="Z1108" s="277">
        <f t="shared" si="326"/>
        <v>0</v>
      </c>
      <c r="AA1108" s="203"/>
      <c r="AB1108" s="203">
        <f t="shared" ca="1" si="327"/>
        <v>0</v>
      </c>
      <c r="AC1108" s="238"/>
      <c r="AI1108" s="367">
        <f t="shared" ca="1" si="322"/>
        <v>46092</v>
      </c>
      <c r="AJ1108" s="367" t="b">
        <f t="shared" si="316"/>
        <v>1</v>
      </c>
      <c r="AK1108" s="370" t="str">
        <f t="shared" si="317"/>
        <v/>
      </c>
      <c r="AN1108">
        <f t="shared" si="318"/>
        <v>0</v>
      </c>
      <c r="AO1108">
        <f t="shared" si="319"/>
        <v>1900</v>
      </c>
      <c r="AV1108">
        <f t="shared" si="320"/>
        <v>0</v>
      </c>
      <c r="AW1108">
        <f t="shared" si="321"/>
        <v>0</v>
      </c>
    </row>
    <row r="1109" spans="4:49" ht="15.75" x14ac:dyDescent="0.25">
      <c r="D1109" s="199"/>
      <c r="E1109" s="200"/>
      <c r="F1109" s="287"/>
      <c r="G1109" s="201"/>
      <c r="H1109" s="219"/>
      <c r="I1109" s="202"/>
      <c r="J1109" s="200"/>
      <c r="K1109" s="200"/>
      <c r="L1109" s="203"/>
      <c r="M1109" s="204">
        <f ca="1">IF(ISERROR(OFFSET(Tabella!$A$1,MATCH(J1109,Tabella!$A:$A,0)-1,MATCH(L1109,Tabella!$A$1:$AC$1,0)-1)=TRUE),0,+OFFSET(Tabella!$A$1,MATCH(J1109,Tabella!$A:$A,0)-1,MATCH(L1109,Tabella!$A$1:$AC$1,0)-1))</f>
        <v>0</v>
      </c>
      <c r="N1109" s="205">
        <f ca="1">IF(ISERROR(OFFSET(Ottone!$A$1,MATCH(J1109,Ottone!$A:$A,0)-1,MATCH(L1109,Ottone!$A$1:$Z$1,0)-1)=TRUE),0,OFFSET(Ottone!$A$1,MATCH(J1109,Ottone!$A:$A,0)-1,MATCH(L1109,Ottone!$A$1:$Z$1,0)-1))*IF(G1109="Ottone",1,0)</f>
        <v>0</v>
      </c>
      <c r="O1109" s="205">
        <f ca="1">IF(ISERROR(OFFSET(Rame!$A$1,MATCH(J1109,Rame!$A:$A,0)-1,MATCH(L1109,Rame!$A$1:$AA$1,0)-1)=TRUE),0,OFFSET(Rame!$A$1,MATCH(J1109,Rame!$A:$A,0)-1,MATCH(L1109,Rame!$A$1:$AA$1,0)-1))*IF(G1109="Rame",1,0)</f>
        <v>0</v>
      </c>
      <c r="P1109" s="205">
        <v>0</v>
      </c>
      <c r="Q1109" s="205">
        <f t="shared" ca="1" si="323"/>
        <v>0</v>
      </c>
      <c r="R1109" s="205">
        <f ca="1">+IF(ISERROR(OFFSET(Tabella!$G$1,MATCH(J1109,Tabella!$G:$G,0)-1,MATCH(K1109,Tabella!$G$1:$FG$1,0)-1)=TRUE),0,OFFSET(Tabella!$G$1,MATCH(J1109,Tabella!$G:$G,0)-1,MATCH(K1109,Tabella!$G$1:$AB$1,0)-1))</f>
        <v>0</v>
      </c>
      <c r="S1109" s="205">
        <f ca="1">IF(ISERROR(OFFSET(Ottone!$F$1,MATCH(J1109,Ottone!$A:$A,0)-1,MATCH(K1109,Ottone!$F$1:$FF$1,0)-1)=TRUE),0,OFFSET(Ottone!$F$1,MATCH(J1109,Ottone!$A:$A,0)-1,MATCH(K1109,Ottone!$F$1:$FF$1,0)-1))*IF(G1109="Ottone",1,0)</f>
        <v>0</v>
      </c>
      <c r="T1109" s="205">
        <f ca="1">IF(ISERROR(OFFSET(Rame!$F$1,MATCH(J1109,Rame!$F:$F,0)-1,MATCH(K1109,Rame!$F$1:$FF$1,0)-1)=TRUE),0,OFFSET(Rame!$F$1,MATCH(J1109,Rame!$F:$F,0)-1,MATCH(K1109,Rame!$F$1:$FF$1,0)-1))*IF(G1109="Rame",1,0)</f>
        <v>0</v>
      </c>
      <c r="U1109" s="205">
        <f ca="1">IF(ISERROR(OFFSET(Bronzo!$A$1,MATCH(J1109,Bronzo!$A:$A,0)-1,MATCH(K1109,Bronzo!$A$1:$AA$1,0)-1)=TRUE),0,OFFSET(Bronzo!$A$1,MATCH(J1109,Bronzo!$A:$A,0)-1,MATCH(K1109,Bronzo!$A$1:$AA$1,0)-1))</f>
        <v>0</v>
      </c>
      <c r="V1109" s="205">
        <f t="shared" ca="1" si="324"/>
        <v>0</v>
      </c>
      <c r="W1109" s="204"/>
      <c r="X1109" s="205">
        <v>0</v>
      </c>
      <c r="Y1109" s="206">
        <f t="shared" ca="1" si="325"/>
        <v>0</v>
      </c>
      <c r="Z1109" s="277">
        <f t="shared" si="326"/>
        <v>0</v>
      </c>
      <c r="AA1109" s="203"/>
      <c r="AB1109" s="203">
        <f t="shared" ca="1" si="327"/>
        <v>0</v>
      </c>
      <c r="AC1109" s="238"/>
      <c r="AI1109" s="367">
        <f t="shared" ca="1" si="322"/>
        <v>46092</v>
      </c>
      <c r="AJ1109" s="367" t="b">
        <f t="shared" si="316"/>
        <v>1</v>
      </c>
      <c r="AK1109" s="370" t="str">
        <f t="shared" si="317"/>
        <v/>
      </c>
      <c r="AN1109">
        <f t="shared" si="318"/>
        <v>0</v>
      </c>
      <c r="AO1109">
        <f t="shared" si="319"/>
        <v>1900</v>
      </c>
      <c r="AV1109">
        <f t="shared" si="320"/>
        <v>0</v>
      </c>
      <c r="AW1109">
        <f t="shared" si="321"/>
        <v>0</v>
      </c>
    </row>
    <row r="1110" spans="4:49" ht="15.75" x14ac:dyDescent="0.25">
      <c r="D1110" s="199"/>
      <c r="E1110" s="200"/>
      <c r="F1110" s="287"/>
      <c r="G1110" s="201"/>
      <c r="H1110" s="219"/>
      <c r="I1110" s="202"/>
      <c r="J1110" s="200"/>
      <c r="K1110" s="200"/>
      <c r="L1110" s="203"/>
      <c r="M1110" s="204">
        <f ca="1">IF(ISERROR(OFFSET(Tabella!$A$1,MATCH(J1110,Tabella!$A:$A,0)-1,MATCH(L1110,Tabella!$A$1:$AC$1,0)-1)=TRUE),0,+OFFSET(Tabella!$A$1,MATCH(J1110,Tabella!$A:$A,0)-1,MATCH(L1110,Tabella!$A$1:$AC$1,0)-1))</f>
        <v>0</v>
      </c>
      <c r="N1110" s="205">
        <f ca="1">IF(ISERROR(OFFSET(Ottone!$A$1,MATCH(J1110,Ottone!$A:$A,0)-1,MATCH(L1110,Ottone!$A$1:$Z$1,0)-1)=TRUE),0,OFFSET(Ottone!$A$1,MATCH(J1110,Ottone!$A:$A,0)-1,MATCH(L1110,Ottone!$A$1:$Z$1,0)-1))*IF(G1110="Ottone",1,0)</f>
        <v>0</v>
      </c>
      <c r="O1110" s="205">
        <f ca="1">IF(ISERROR(OFFSET(Rame!$A$1,MATCH(J1110,Rame!$A:$A,0)-1,MATCH(L1110,Rame!$A$1:$AA$1,0)-1)=TRUE),0,OFFSET(Rame!$A$1,MATCH(J1110,Rame!$A:$A,0)-1,MATCH(L1110,Rame!$A$1:$AA$1,0)-1))*IF(G1110="Rame",1,0)</f>
        <v>0</v>
      </c>
      <c r="P1110" s="205">
        <v>0</v>
      </c>
      <c r="Q1110" s="205">
        <f t="shared" ca="1" si="323"/>
        <v>0</v>
      </c>
      <c r="R1110" s="205">
        <f ca="1">+IF(ISERROR(OFFSET(Tabella!$G$1,MATCH(J1110,Tabella!$G:$G,0)-1,MATCH(K1110,Tabella!$G$1:$FG$1,0)-1)=TRUE),0,OFFSET(Tabella!$G$1,MATCH(J1110,Tabella!$G:$G,0)-1,MATCH(K1110,Tabella!$G$1:$AB$1,0)-1))</f>
        <v>0</v>
      </c>
      <c r="S1110" s="205">
        <f ca="1">IF(ISERROR(OFFSET(Ottone!$F$1,MATCH(J1110,Ottone!$A:$A,0)-1,MATCH(K1110,Ottone!$F$1:$FF$1,0)-1)=TRUE),0,OFFSET(Ottone!$F$1,MATCH(J1110,Ottone!$A:$A,0)-1,MATCH(K1110,Ottone!$F$1:$FF$1,0)-1))*IF(G1110="Ottone",1,0)</f>
        <v>0</v>
      </c>
      <c r="T1110" s="205">
        <f ca="1">IF(ISERROR(OFFSET(Rame!$F$1,MATCH(J1110,Rame!$F:$F,0)-1,MATCH(K1110,Rame!$F$1:$FF$1,0)-1)=TRUE),0,OFFSET(Rame!$F$1,MATCH(J1110,Rame!$F:$F,0)-1,MATCH(K1110,Rame!$F$1:$FF$1,0)-1))*IF(G1110="Rame",1,0)</f>
        <v>0</v>
      </c>
      <c r="U1110" s="205">
        <f ca="1">IF(ISERROR(OFFSET(Bronzo!$A$1,MATCH(J1110,Bronzo!$A:$A,0)-1,MATCH(K1110,Bronzo!$A$1:$AA$1,0)-1)=TRUE),0,OFFSET(Bronzo!$A$1,MATCH(J1110,Bronzo!$A:$A,0)-1,MATCH(K1110,Bronzo!$A$1:$AA$1,0)-1))</f>
        <v>0</v>
      </c>
      <c r="V1110" s="205">
        <f t="shared" ca="1" si="324"/>
        <v>0</v>
      </c>
      <c r="W1110" s="204"/>
      <c r="X1110" s="205">
        <v>0</v>
      </c>
      <c r="Y1110" s="206">
        <f t="shared" ca="1" si="325"/>
        <v>0</v>
      </c>
      <c r="Z1110" s="277">
        <f t="shared" si="326"/>
        <v>0</v>
      </c>
      <c r="AA1110" s="203"/>
      <c r="AB1110" s="203">
        <f t="shared" ca="1" si="327"/>
        <v>0</v>
      </c>
      <c r="AC1110" s="238"/>
      <c r="AI1110" s="367">
        <f t="shared" ca="1" si="322"/>
        <v>46092</v>
      </c>
      <c r="AJ1110" s="367" t="b">
        <f t="shared" si="316"/>
        <v>1</v>
      </c>
      <c r="AK1110" s="370" t="str">
        <f t="shared" si="317"/>
        <v/>
      </c>
      <c r="AN1110">
        <f t="shared" si="318"/>
        <v>0</v>
      </c>
      <c r="AO1110">
        <f t="shared" si="319"/>
        <v>1900</v>
      </c>
      <c r="AV1110">
        <f t="shared" si="320"/>
        <v>0</v>
      </c>
      <c r="AW1110">
        <f t="shared" si="321"/>
        <v>0</v>
      </c>
    </row>
    <row r="1111" spans="4:49" ht="15.75" x14ac:dyDescent="0.25">
      <c r="D1111" s="199"/>
      <c r="E1111" s="200"/>
      <c r="F1111" s="287"/>
      <c r="G1111" s="201"/>
      <c r="H1111" s="219"/>
      <c r="I1111" s="202"/>
      <c r="J1111" s="200"/>
      <c r="K1111" s="200"/>
      <c r="L1111" s="203"/>
      <c r="M1111" s="204">
        <f ca="1">IF(ISERROR(OFFSET(Tabella!$A$1,MATCH(J1111,Tabella!$A:$A,0)-1,MATCH(L1111,Tabella!$A$1:$AC$1,0)-1)=TRUE),0,+OFFSET(Tabella!$A$1,MATCH(J1111,Tabella!$A:$A,0)-1,MATCH(L1111,Tabella!$A$1:$AC$1,0)-1))</f>
        <v>0</v>
      </c>
      <c r="N1111" s="205">
        <f ca="1">IF(ISERROR(OFFSET(Ottone!$A$1,MATCH(J1111,Ottone!$A:$A,0)-1,MATCH(L1111,Ottone!$A$1:$Z$1,0)-1)=TRUE),0,OFFSET(Ottone!$A$1,MATCH(J1111,Ottone!$A:$A,0)-1,MATCH(L1111,Ottone!$A$1:$Z$1,0)-1))*IF(G1111="Ottone",1,0)</f>
        <v>0</v>
      </c>
      <c r="O1111" s="205">
        <f ca="1">IF(ISERROR(OFFSET(Rame!$A$1,MATCH(J1111,Rame!$A:$A,0)-1,MATCH(L1111,Rame!$A$1:$AA$1,0)-1)=TRUE),0,OFFSET(Rame!$A$1,MATCH(J1111,Rame!$A:$A,0)-1,MATCH(L1111,Rame!$A$1:$AA$1,0)-1))*IF(G1111="Rame",1,0)</f>
        <v>0</v>
      </c>
      <c r="P1111" s="205">
        <v>0</v>
      </c>
      <c r="Q1111" s="205">
        <f t="shared" ca="1" si="323"/>
        <v>0</v>
      </c>
      <c r="R1111" s="205">
        <f ca="1">+IF(ISERROR(OFFSET(Tabella!$G$1,MATCH(J1111,Tabella!$G:$G,0)-1,MATCH(K1111,Tabella!$G$1:$FG$1,0)-1)=TRUE),0,OFFSET(Tabella!$G$1,MATCH(J1111,Tabella!$G:$G,0)-1,MATCH(K1111,Tabella!$G$1:$AB$1,0)-1))</f>
        <v>0</v>
      </c>
      <c r="S1111" s="205">
        <f ca="1">IF(ISERROR(OFFSET(Ottone!$F$1,MATCH(J1111,Ottone!$A:$A,0)-1,MATCH(K1111,Ottone!$F$1:$FF$1,0)-1)=TRUE),0,OFFSET(Ottone!$F$1,MATCH(J1111,Ottone!$A:$A,0)-1,MATCH(K1111,Ottone!$F$1:$FF$1,0)-1))*IF(G1111="Ottone",1,0)</f>
        <v>0</v>
      </c>
      <c r="T1111" s="205">
        <f ca="1">IF(ISERROR(OFFSET(Rame!$F$1,MATCH(J1111,Rame!$F:$F,0)-1,MATCH(K1111,Rame!$F$1:$FF$1,0)-1)=TRUE),0,OFFSET(Rame!$F$1,MATCH(J1111,Rame!$F:$F,0)-1,MATCH(K1111,Rame!$F$1:$FF$1,0)-1))*IF(G1111="Rame",1,0)</f>
        <v>0</v>
      </c>
      <c r="U1111" s="205">
        <f ca="1">IF(ISERROR(OFFSET(Bronzo!$A$1,MATCH(J1111,Bronzo!$A:$A,0)-1,MATCH(K1111,Bronzo!$A$1:$AA$1,0)-1)=TRUE),0,OFFSET(Bronzo!$A$1,MATCH(J1111,Bronzo!$A:$A,0)-1,MATCH(K1111,Bronzo!$A$1:$AA$1,0)-1))</f>
        <v>0</v>
      </c>
      <c r="V1111" s="205">
        <f t="shared" ca="1" si="324"/>
        <v>0</v>
      </c>
      <c r="W1111" s="204"/>
      <c r="X1111" s="205">
        <v>0</v>
      </c>
      <c r="Y1111" s="206">
        <f t="shared" ca="1" si="325"/>
        <v>0</v>
      </c>
      <c r="Z1111" s="277">
        <f t="shared" si="326"/>
        <v>0</v>
      </c>
      <c r="AA1111" s="203"/>
      <c r="AB1111" s="203">
        <f t="shared" ca="1" si="327"/>
        <v>0</v>
      </c>
      <c r="AC1111" s="238"/>
      <c r="AI1111" s="367">
        <f t="shared" ca="1" si="322"/>
        <v>46092</v>
      </c>
      <c r="AJ1111" s="367" t="b">
        <f t="shared" si="316"/>
        <v>1</v>
      </c>
      <c r="AK1111" s="370" t="str">
        <f t="shared" si="317"/>
        <v/>
      </c>
      <c r="AN1111">
        <f t="shared" si="318"/>
        <v>0</v>
      </c>
      <c r="AO1111">
        <f t="shared" si="319"/>
        <v>1900</v>
      </c>
      <c r="AV1111">
        <f t="shared" si="320"/>
        <v>0</v>
      </c>
      <c r="AW1111">
        <f t="shared" si="321"/>
        <v>0</v>
      </c>
    </row>
    <row r="1112" spans="4:49" ht="15.75" x14ac:dyDescent="0.25">
      <c r="D1112" s="199"/>
      <c r="E1112" s="200"/>
      <c r="F1112" s="287"/>
      <c r="G1112" s="201"/>
      <c r="H1112" s="219"/>
      <c r="I1112" s="202"/>
      <c r="J1112" s="200"/>
      <c r="K1112" s="200"/>
      <c r="L1112" s="203"/>
      <c r="M1112" s="204">
        <f ca="1">IF(ISERROR(OFFSET(Tabella!$A$1,MATCH(J1112,Tabella!$A:$A,0)-1,MATCH(L1112,Tabella!$A$1:$AC$1,0)-1)=TRUE),0,+OFFSET(Tabella!$A$1,MATCH(J1112,Tabella!$A:$A,0)-1,MATCH(L1112,Tabella!$A$1:$AC$1,0)-1))</f>
        <v>0</v>
      </c>
      <c r="N1112" s="205">
        <f ca="1">IF(ISERROR(OFFSET(Ottone!$A$1,MATCH(J1112,Ottone!$A:$A,0)-1,MATCH(L1112,Ottone!$A$1:$Z$1,0)-1)=TRUE),0,OFFSET(Ottone!$A$1,MATCH(J1112,Ottone!$A:$A,0)-1,MATCH(L1112,Ottone!$A$1:$Z$1,0)-1))*IF(G1112="Ottone",1,0)</f>
        <v>0</v>
      </c>
      <c r="O1112" s="205">
        <f ca="1">IF(ISERROR(OFFSET(Rame!$A$1,MATCH(J1112,Rame!$A:$A,0)-1,MATCH(L1112,Rame!$A$1:$AA$1,0)-1)=TRUE),0,OFFSET(Rame!$A$1,MATCH(J1112,Rame!$A:$A,0)-1,MATCH(L1112,Rame!$A$1:$AA$1,0)-1))*IF(G1112="Rame",1,0)</f>
        <v>0</v>
      </c>
      <c r="P1112" s="205">
        <v>0</v>
      </c>
      <c r="Q1112" s="205">
        <f t="shared" ca="1" si="323"/>
        <v>0</v>
      </c>
      <c r="R1112" s="205">
        <f ca="1">+IF(ISERROR(OFFSET(Tabella!$G$1,MATCH(J1112,Tabella!$G:$G,0)-1,MATCH(K1112,Tabella!$G$1:$FG$1,0)-1)=TRUE),0,OFFSET(Tabella!$G$1,MATCH(J1112,Tabella!$G:$G,0)-1,MATCH(K1112,Tabella!$G$1:$AB$1,0)-1))</f>
        <v>0</v>
      </c>
      <c r="S1112" s="205">
        <f ca="1">IF(ISERROR(OFFSET(Ottone!$F$1,MATCH(J1112,Ottone!$A:$A,0)-1,MATCH(K1112,Ottone!$F$1:$FF$1,0)-1)=TRUE),0,OFFSET(Ottone!$F$1,MATCH(J1112,Ottone!$A:$A,0)-1,MATCH(K1112,Ottone!$F$1:$FF$1,0)-1))*IF(G1112="Ottone",1,0)</f>
        <v>0</v>
      </c>
      <c r="T1112" s="205">
        <f ca="1">IF(ISERROR(OFFSET(Rame!$F$1,MATCH(J1112,Rame!$F:$F,0)-1,MATCH(K1112,Rame!$F$1:$FF$1,0)-1)=TRUE),0,OFFSET(Rame!$F$1,MATCH(J1112,Rame!$F:$F,0)-1,MATCH(K1112,Rame!$F$1:$FF$1,0)-1))*IF(G1112="Rame",1,0)</f>
        <v>0</v>
      </c>
      <c r="U1112" s="205">
        <f ca="1">IF(ISERROR(OFFSET(Bronzo!$A$1,MATCH(J1112,Bronzo!$A:$A,0)-1,MATCH(K1112,Bronzo!$A$1:$AA$1,0)-1)=TRUE),0,OFFSET(Bronzo!$A$1,MATCH(J1112,Bronzo!$A:$A,0)-1,MATCH(K1112,Bronzo!$A$1:$AA$1,0)-1))</f>
        <v>0</v>
      </c>
      <c r="V1112" s="205">
        <f t="shared" ca="1" si="324"/>
        <v>0</v>
      </c>
      <c r="W1112" s="204"/>
      <c r="X1112" s="205">
        <v>0</v>
      </c>
      <c r="Y1112" s="206">
        <f t="shared" ca="1" si="325"/>
        <v>0</v>
      </c>
      <c r="Z1112" s="277">
        <f t="shared" si="326"/>
        <v>0</v>
      </c>
      <c r="AA1112" s="203"/>
      <c r="AB1112" s="203">
        <f t="shared" ca="1" si="327"/>
        <v>0</v>
      </c>
      <c r="AC1112" s="238"/>
      <c r="AI1112" s="367">
        <f t="shared" ca="1" si="322"/>
        <v>46092</v>
      </c>
      <c r="AJ1112" s="367" t="b">
        <f t="shared" si="316"/>
        <v>1</v>
      </c>
      <c r="AK1112" s="370" t="str">
        <f t="shared" si="317"/>
        <v/>
      </c>
      <c r="AN1112">
        <f t="shared" si="318"/>
        <v>0</v>
      </c>
      <c r="AO1112">
        <f t="shared" si="319"/>
        <v>1900</v>
      </c>
      <c r="AV1112">
        <f t="shared" si="320"/>
        <v>0</v>
      </c>
      <c r="AW1112">
        <f t="shared" si="321"/>
        <v>0</v>
      </c>
    </row>
    <row r="1113" spans="4:49" ht="15.75" x14ac:dyDescent="0.25">
      <c r="D1113" s="199"/>
      <c r="E1113" s="200"/>
      <c r="F1113" s="287"/>
      <c r="G1113" s="201"/>
      <c r="H1113" s="219"/>
      <c r="I1113" s="202"/>
      <c r="J1113" s="200"/>
      <c r="K1113" s="200"/>
      <c r="L1113" s="203"/>
      <c r="M1113" s="204">
        <f ca="1">IF(ISERROR(OFFSET(Tabella!$A$1,MATCH(J1113,Tabella!$A:$A,0)-1,MATCH(L1113,Tabella!$A$1:$AC$1,0)-1)=TRUE),0,+OFFSET(Tabella!$A$1,MATCH(J1113,Tabella!$A:$A,0)-1,MATCH(L1113,Tabella!$A$1:$AC$1,0)-1))</f>
        <v>0</v>
      </c>
      <c r="N1113" s="205">
        <f ca="1">IF(ISERROR(OFFSET(Ottone!$A$1,MATCH(J1113,Ottone!$A:$A,0)-1,MATCH(L1113,Ottone!$A$1:$Z$1,0)-1)=TRUE),0,OFFSET(Ottone!$A$1,MATCH(J1113,Ottone!$A:$A,0)-1,MATCH(L1113,Ottone!$A$1:$Z$1,0)-1))*IF(G1113="Ottone",1,0)</f>
        <v>0</v>
      </c>
      <c r="O1113" s="205">
        <f ca="1">IF(ISERROR(OFFSET(Rame!$A$1,MATCH(J1113,Rame!$A:$A,0)-1,MATCH(L1113,Rame!$A$1:$AA$1,0)-1)=TRUE),0,OFFSET(Rame!$A$1,MATCH(J1113,Rame!$A:$A,0)-1,MATCH(L1113,Rame!$A$1:$AA$1,0)-1))*IF(G1113="Rame",1,0)</f>
        <v>0</v>
      </c>
      <c r="P1113" s="205">
        <v>0</v>
      </c>
      <c r="Q1113" s="205">
        <f t="shared" ca="1" si="323"/>
        <v>0</v>
      </c>
      <c r="R1113" s="205">
        <f ca="1">+IF(ISERROR(OFFSET(Tabella!$G$1,MATCH(J1113,Tabella!$G:$G,0)-1,MATCH(K1113,Tabella!$G$1:$FG$1,0)-1)=TRUE),0,OFFSET(Tabella!$G$1,MATCH(J1113,Tabella!$G:$G,0)-1,MATCH(K1113,Tabella!$G$1:$AB$1,0)-1))</f>
        <v>0</v>
      </c>
      <c r="S1113" s="205">
        <f ca="1">IF(ISERROR(OFFSET(Ottone!$F$1,MATCH(J1113,Ottone!$A:$A,0)-1,MATCH(K1113,Ottone!$F$1:$FF$1,0)-1)=TRUE),0,OFFSET(Ottone!$F$1,MATCH(J1113,Ottone!$A:$A,0)-1,MATCH(K1113,Ottone!$F$1:$FF$1,0)-1))*IF(G1113="Ottone",1,0)</f>
        <v>0</v>
      </c>
      <c r="T1113" s="205">
        <f ca="1">IF(ISERROR(OFFSET(Rame!$F$1,MATCH(J1113,Rame!$F:$F,0)-1,MATCH(K1113,Rame!$F$1:$FF$1,0)-1)=TRUE),0,OFFSET(Rame!$F$1,MATCH(J1113,Rame!$F:$F,0)-1,MATCH(K1113,Rame!$F$1:$FF$1,0)-1))*IF(G1113="Rame",1,0)</f>
        <v>0</v>
      </c>
      <c r="U1113" s="205">
        <f ca="1">IF(ISERROR(OFFSET(Bronzo!$A$1,MATCH(J1113,Bronzo!$A:$A,0)-1,MATCH(K1113,Bronzo!$A$1:$AA$1,0)-1)=TRUE),0,OFFSET(Bronzo!$A$1,MATCH(J1113,Bronzo!$A:$A,0)-1,MATCH(K1113,Bronzo!$A$1:$AA$1,0)-1))</f>
        <v>0</v>
      </c>
      <c r="V1113" s="205">
        <f t="shared" ca="1" si="324"/>
        <v>0</v>
      </c>
      <c r="W1113" s="204"/>
      <c r="X1113" s="205">
        <v>0</v>
      </c>
      <c r="Y1113" s="206">
        <f t="shared" ca="1" si="325"/>
        <v>0</v>
      </c>
      <c r="Z1113" s="277">
        <f t="shared" si="326"/>
        <v>0</v>
      </c>
      <c r="AA1113" s="203"/>
      <c r="AB1113" s="203">
        <f t="shared" ca="1" si="327"/>
        <v>0</v>
      </c>
      <c r="AC1113" s="238"/>
      <c r="AI1113" s="367">
        <f t="shared" ca="1" si="322"/>
        <v>46092</v>
      </c>
      <c r="AJ1113" s="367" t="b">
        <f t="shared" si="316"/>
        <v>1</v>
      </c>
      <c r="AK1113" s="370" t="str">
        <f t="shared" si="317"/>
        <v/>
      </c>
      <c r="AN1113">
        <f t="shared" si="318"/>
        <v>0</v>
      </c>
      <c r="AO1113">
        <f t="shared" si="319"/>
        <v>1900</v>
      </c>
      <c r="AV1113">
        <f t="shared" si="320"/>
        <v>0</v>
      </c>
      <c r="AW1113">
        <f t="shared" si="321"/>
        <v>0</v>
      </c>
    </row>
    <row r="1114" spans="4:49" ht="15.75" x14ac:dyDescent="0.25">
      <c r="D1114" s="199"/>
      <c r="E1114" s="200"/>
      <c r="F1114" s="287"/>
      <c r="G1114" s="201"/>
      <c r="H1114" s="219"/>
      <c r="I1114" s="202"/>
      <c r="J1114" s="200"/>
      <c r="K1114" s="200"/>
      <c r="L1114" s="203"/>
      <c r="M1114" s="204">
        <f ca="1">IF(ISERROR(OFFSET(Tabella!$A$1,MATCH(J1114,Tabella!$A:$A,0)-1,MATCH(L1114,Tabella!$A$1:$AC$1,0)-1)=TRUE),0,+OFFSET(Tabella!$A$1,MATCH(J1114,Tabella!$A:$A,0)-1,MATCH(L1114,Tabella!$A$1:$AC$1,0)-1))</f>
        <v>0</v>
      </c>
      <c r="N1114" s="205">
        <f ca="1">IF(ISERROR(OFFSET(Ottone!$A$1,MATCH(J1114,Ottone!$A:$A,0)-1,MATCH(L1114,Ottone!$A$1:$Z$1,0)-1)=TRUE),0,OFFSET(Ottone!$A$1,MATCH(J1114,Ottone!$A:$A,0)-1,MATCH(L1114,Ottone!$A$1:$Z$1,0)-1))*IF(G1114="Ottone",1,0)</f>
        <v>0</v>
      </c>
      <c r="O1114" s="205">
        <f ca="1">IF(ISERROR(OFFSET(Rame!$A$1,MATCH(J1114,Rame!$A:$A,0)-1,MATCH(L1114,Rame!$A$1:$AA$1,0)-1)=TRUE),0,OFFSET(Rame!$A$1,MATCH(J1114,Rame!$A:$A,0)-1,MATCH(L1114,Rame!$A$1:$AA$1,0)-1))*IF(G1114="Rame",1,0)</f>
        <v>0</v>
      </c>
      <c r="P1114" s="205">
        <v>0</v>
      </c>
      <c r="Q1114" s="205">
        <f t="shared" ca="1" si="323"/>
        <v>0</v>
      </c>
      <c r="R1114" s="205">
        <f ca="1">+IF(ISERROR(OFFSET(Tabella!$G$1,MATCH(J1114,Tabella!$G:$G,0)-1,MATCH(K1114,Tabella!$G$1:$FG$1,0)-1)=TRUE),0,OFFSET(Tabella!$G$1,MATCH(J1114,Tabella!$G:$G,0)-1,MATCH(K1114,Tabella!$G$1:$AB$1,0)-1))</f>
        <v>0</v>
      </c>
      <c r="S1114" s="205">
        <f ca="1">IF(ISERROR(OFFSET(Ottone!$F$1,MATCH(J1114,Ottone!$A:$A,0)-1,MATCH(K1114,Ottone!$F$1:$FF$1,0)-1)=TRUE),0,OFFSET(Ottone!$F$1,MATCH(J1114,Ottone!$A:$A,0)-1,MATCH(K1114,Ottone!$F$1:$FF$1,0)-1))*IF(G1114="Ottone",1,0)</f>
        <v>0</v>
      </c>
      <c r="T1114" s="205">
        <f ca="1">IF(ISERROR(OFFSET(Rame!$F$1,MATCH(J1114,Rame!$F:$F,0)-1,MATCH(K1114,Rame!$F$1:$FF$1,0)-1)=TRUE),0,OFFSET(Rame!$F$1,MATCH(J1114,Rame!$F:$F,0)-1,MATCH(K1114,Rame!$F$1:$FF$1,0)-1))*IF(G1114="Rame",1,0)</f>
        <v>0</v>
      </c>
      <c r="U1114" s="205">
        <f ca="1">IF(ISERROR(OFFSET(Bronzo!$A$1,MATCH(J1114,Bronzo!$A:$A,0)-1,MATCH(K1114,Bronzo!$A$1:$AA$1,0)-1)=TRUE),0,OFFSET(Bronzo!$A$1,MATCH(J1114,Bronzo!$A:$A,0)-1,MATCH(K1114,Bronzo!$A$1:$AA$1,0)-1))</f>
        <v>0</v>
      </c>
      <c r="V1114" s="205">
        <f t="shared" ca="1" si="324"/>
        <v>0</v>
      </c>
      <c r="W1114" s="204"/>
      <c r="X1114" s="205">
        <v>0</v>
      </c>
      <c r="Y1114" s="206">
        <f t="shared" ca="1" si="325"/>
        <v>0</v>
      </c>
      <c r="Z1114" s="277">
        <f t="shared" si="326"/>
        <v>0</v>
      </c>
      <c r="AA1114" s="203"/>
      <c r="AB1114" s="203">
        <f t="shared" ca="1" si="327"/>
        <v>0</v>
      </c>
      <c r="AC1114" s="238"/>
      <c r="AI1114" s="367">
        <f t="shared" ca="1" si="322"/>
        <v>46092</v>
      </c>
      <c r="AJ1114" s="367" t="b">
        <f t="shared" si="316"/>
        <v>1</v>
      </c>
      <c r="AK1114" s="370" t="str">
        <f t="shared" si="317"/>
        <v/>
      </c>
      <c r="AN1114">
        <f t="shared" si="318"/>
        <v>0</v>
      </c>
      <c r="AO1114">
        <f t="shared" si="319"/>
        <v>1900</v>
      </c>
      <c r="AV1114">
        <f t="shared" si="320"/>
        <v>0</v>
      </c>
      <c r="AW1114">
        <f t="shared" si="321"/>
        <v>0</v>
      </c>
    </row>
    <row r="1115" spans="4:49" ht="15.75" x14ac:dyDescent="0.25">
      <c r="D1115" s="199"/>
      <c r="E1115" s="200"/>
      <c r="F1115" s="287"/>
      <c r="G1115" s="201"/>
      <c r="H1115" s="219"/>
      <c r="I1115" s="202"/>
      <c r="J1115" s="200"/>
      <c r="K1115" s="200"/>
      <c r="L1115" s="203"/>
      <c r="M1115" s="204">
        <f ca="1">IF(ISERROR(OFFSET(Tabella!$A$1,MATCH(J1115,Tabella!$A:$A,0)-1,MATCH(L1115,Tabella!$A$1:$AC$1,0)-1)=TRUE),0,+OFFSET(Tabella!$A$1,MATCH(J1115,Tabella!$A:$A,0)-1,MATCH(L1115,Tabella!$A$1:$AC$1,0)-1))</f>
        <v>0</v>
      </c>
      <c r="N1115" s="205">
        <f ca="1">IF(ISERROR(OFFSET(Ottone!$A$1,MATCH(J1115,Ottone!$A:$A,0)-1,MATCH(L1115,Ottone!$A$1:$Z$1,0)-1)=TRUE),0,OFFSET(Ottone!$A$1,MATCH(J1115,Ottone!$A:$A,0)-1,MATCH(L1115,Ottone!$A$1:$Z$1,0)-1))*IF(G1115="Ottone",1,0)</f>
        <v>0</v>
      </c>
      <c r="O1115" s="205">
        <f ca="1">IF(ISERROR(OFFSET(Rame!$A$1,MATCH(J1115,Rame!$A:$A,0)-1,MATCH(L1115,Rame!$A$1:$AA$1,0)-1)=TRUE),0,OFFSET(Rame!$A$1,MATCH(J1115,Rame!$A:$A,0)-1,MATCH(L1115,Rame!$A$1:$AA$1,0)-1))*IF(G1115="Rame",1,0)</f>
        <v>0</v>
      </c>
      <c r="P1115" s="205">
        <v>0</v>
      </c>
      <c r="Q1115" s="205">
        <f t="shared" ca="1" si="323"/>
        <v>0</v>
      </c>
      <c r="R1115" s="205">
        <f ca="1">+IF(ISERROR(OFFSET(Tabella!$G$1,MATCH(J1115,Tabella!$G:$G,0)-1,MATCH(K1115,Tabella!$G$1:$FG$1,0)-1)=TRUE),0,OFFSET(Tabella!$G$1,MATCH(J1115,Tabella!$G:$G,0)-1,MATCH(K1115,Tabella!$G$1:$AB$1,0)-1))</f>
        <v>0</v>
      </c>
      <c r="S1115" s="205">
        <f ca="1">IF(ISERROR(OFFSET(Ottone!$F$1,MATCH(J1115,Ottone!$A:$A,0)-1,MATCH(K1115,Ottone!$F$1:$FF$1,0)-1)=TRUE),0,OFFSET(Ottone!$F$1,MATCH(J1115,Ottone!$A:$A,0)-1,MATCH(K1115,Ottone!$F$1:$FF$1,0)-1))*IF(G1115="Ottone",1,0)</f>
        <v>0</v>
      </c>
      <c r="T1115" s="205">
        <f ca="1">IF(ISERROR(OFFSET(Rame!$F$1,MATCH(J1115,Rame!$F:$F,0)-1,MATCH(K1115,Rame!$F$1:$FF$1,0)-1)=TRUE),0,OFFSET(Rame!$F$1,MATCH(J1115,Rame!$F:$F,0)-1,MATCH(K1115,Rame!$F$1:$FF$1,0)-1))*IF(G1115="Rame",1,0)</f>
        <v>0</v>
      </c>
      <c r="U1115" s="205">
        <f ca="1">IF(ISERROR(OFFSET(Bronzo!$A$1,MATCH(J1115,Bronzo!$A:$A,0)-1,MATCH(K1115,Bronzo!$A$1:$AA$1,0)-1)=TRUE),0,OFFSET(Bronzo!$A$1,MATCH(J1115,Bronzo!$A:$A,0)-1,MATCH(K1115,Bronzo!$A$1:$AA$1,0)-1))</f>
        <v>0</v>
      </c>
      <c r="V1115" s="205">
        <f t="shared" ca="1" si="324"/>
        <v>0</v>
      </c>
      <c r="W1115" s="204"/>
      <c r="X1115" s="205">
        <v>0</v>
      </c>
      <c r="Y1115" s="206">
        <f t="shared" ca="1" si="325"/>
        <v>0</v>
      </c>
      <c r="Z1115" s="277">
        <f t="shared" si="326"/>
        <v>0</v>
      </c>
      <c r="AA1115" s="203"/>
      <c r="AB1115" s="203">
        <f t="shared" ca="1" si="327"/>
        <v>0</v>
      </c>
      <c r="AC1115" s="238"/>
      <c r="AI1115" s="367">
        <f t="shared" ca="1" si="322"/>
        <v>46092</v>
      </c>
      <c r="AJ1115" s="367" t="b">
        <f t="shared" si="316"/>
        <v>1</v>
      </c>
      <c r="AK1115" s="370" t="str">
        <f t="shared" si="317"/>
        <v/>
      </c>
      <c r="AN1115">
        <f t="shared" si="318"/>
        <v>0</v>
      </c>
      <c r="AO1115">
        <f t="shared" si="319"/>
        <v>1900</v>
      </c>
      <c r="AV1115">
        <f t="shared" si="320"/>
        <v>0</v>
      </c>
      <c r="AW1115">
        <f t="shared" si="321"/>
        <v>0</v>
      </c>
    </row>
    <row r="1116" spans="4:49" ht="15.75" x14ac:dyDescent="0.25">
      <c r="D1116" s="199"/>
      <c r="E1116" s="200"/>
      <c r="F1116" s="287"/>
      <c r="G1116" s="201"/>
      <c r="H1116" s="219"/>
      <c r="I1116" s="202"/>
      <c r="J1116" s="200"/>
      <c r="K1116" s="200"/>
      <c r="L1116" s="203"/>
      <c r="M1116" s="204">
        <f ca="1">IF(ISERROR(OFFSET(Tabella!$A$1,MATCH(J1116,Tabella!$A:$A,0)-1,MATCH(L1116,Tabella!$A$1:$AC$1,0)-1)=TRUE),0,+OFFSET(Tabella!$A$1,MATCH(J1116,Tabella!$A:$A,0)-1,MATCH(L1116,Tabella!$A$1:$AC$1,0)-1))</f>
        <v>0</v>
      </c>
      <c r="N1116" s="205">
        <f ca="1">IF(ISERROR(OFFSET(Ottone!$A$1,MATCH(J1116,Ottone!$A:$A,0)-1,MATCH(L1116,Ottone!$A$1:$Z$1,0)-1)=TRUE),0,OFFSET(Ottone!$A$1,MATCH(J1116,Ottone!$A:$A,0)-1,MATCH(L1116,Ottone!$A$1:$Z$1,0)-1))*IF(G1116="Ottone",1,0)</f>
        <v>0</v>
      </c>
      <c r="O1116" s="205">
        <f ca="1">IF(ISERROR(OFFSET(Rame!$A$1,MATCH(J1116,Rame!$A:$A,0)-1,MATCH(L1116,Rame!$A$1:$AA$1,0)-1)=TRUE),0,OFFSET(Rame!$A$1,MATCH(J1116,Rame!$A:$A,0)-1,MATCH(L1116,Rame!$A$1:$AA$1,0)-1))*IF(G1116="Rame",1,0)</f>
        <v>0</v>
      </c>
      <c r="P1116" s="205">
        <v>0</v>
      </c>
      <c r="Q1116" s="205">
        <f t="shared" ca="1" si="323"/>
        <v>0</v>
      </c>
      <c r="R1116" s="205">
        <f ca="1">+IF(ISERROR(OFFSET(Tabella!$G$1,MATCH(J1116,Tabella!$G:$G,0)-1,MATCH(K1116,Tabella!$G$1:$FG$1,0)-1)=TRUE),0,OFFSET(Tabella!$G$1,MATCH(J1116,Tabella!$G:$G,0)-1,MATCH(K1116,Tabella!$G$1:$AB$1,0)-1))</f>
        <v>0</v>
      </c>
      <c r="S1116" s="205">
        <f ca="1">IF(ISERROR(OFFSET(Ottone!$F$1,MATCH(J1116,Ottone!$A:$A,0)-1,MATCH(K1116,Ottone!$F$1:$FF$1,0)-1)=TRUE),0,OFFSET(Ottone!$F$1,MATCH(J1116,Ottone!$A:$A,0)-1,MATCH(K1116,Ottone!$F$1:$FF$1,0)-1))*IF(G1116="Ottone",1,0)</f>
        <v>0</v>
      </c>
      <c r="T1116" s="205">
        <f ca="1">IF(ISERROR(OFFSET(Rame!$F$1,MATCH(J1116,Rame!$F:$F,0)-1,MATCH(K1116,Rame!$F$1:$FF$1,0)-1)=TRUE),0,OFFSET(Rame!$F$1,MATCH(J1116,Rame!$F:$F,0)-1,MATCH(K1116,Rame!$F$1:$FF$1,0)-1))*IF(G1116="Rame",1,0)</f>
        <v>0</v>
      </c>
      <c r="U1116" s="205">
        <f ca="1">IF(ISERROR(OFFSET(Bronzo!$A$1,MATCH(J1116,Bronzo!$A:$A,0)-1,MATCH(K1116,Bronzo!$A$1:$AA$1,0)-1)=TRUE),0,OFFSET(Bronzo!$A$1,MATCH(J1116,Bronzo!$A:$A,0)-1,MATCH(K1116,Bronzo!$A$1:$AA$1,0)-1))</f>
        <v>0</v>
      </c>
      <c r="V1116" s="205">
        <f t="shared" ca="1" si="324"/>
        <v>0</v>
      </c>
      <c r="W1116" s="204"/>
      <c r="X1116" s="205">
        <v>0</v>
      </c>
      <c r="Y1116" s="206">
        <f t="shared" ca="1" si="325"/>
        <v>0</v>
      </c>
      <c r="Z1116" s="277">
        <f t="shared" si="326"/>
        <v>0</v>
      </c>
      <c r="AA1116" s="203"/>
      <c r="AB1116" s="203">
        <f t="shared" ca="1" si="327"/>
        <v>0</v>
      </c>
      <c r="AC1116" s="238"/>
      <c r="AI1116" s="367">
        <f t="shared" ca="1" si="322"/>
        <v>46092</v>
      </c>
      <c r="AJ1116" s="367" t="b">
        <f t="shared" si="316"/>
        <v>1</v>
      </c>
      <c r="AK1116" s="370" t="str">
        <f t="shared" si="317"/>
        <v/>
      </c>
      <c r="AN1116">
        <f t="shared" si="318"/>
        <v>0</v>
      </c>
      <c r="AO1116">
        <f t="shared" si="319"/>
        <v>1900</v>
      </c>
      <c r="AV1116">
        <f t="shared" si="320"/>
        <v>0</v>
      </c>
      <c r="AW1116">
        <f t="shared" si="321"/>
        <v>0</v>
      </c>
    </row>
    <row r="1117" spans="4:49" ht="15.75" x14ac:dyDescent="0.25">
      <c r="D1117" s="199"/>
      <c r="E1117" s="200"/>
      <c r="F1117" s="287"/>
      <c r="G1117" s="201"/>
      <c r="H1117" s="219"/>
      <c r="I1117" s="202"/>
      <c r="J1117" s="200"/>
      <c r="K1117" s="200"/>
      <c r="L1117" s="203"/>
      <c r="M1117" s="204">
        <f ca="1">IF(ISERROR(OFFSET(Tabella!$A$1,MATCH(J1117,Tabella!$A:$A,0)-1,MATCH(L1117,Tabella!$A$1:$AC$1,0)-1)=TRUE),0,+OFFSET(Tabella!$A$1,MATCH(J1117,Tabella!$A:$A,0)-1,MATCH(L1117,Tabella!$A$1:$AC$1,0)-1))</f>
        <v>0</v>
      </c>
      <c r="N1117" s="205">
        <f ca="1">IF(ISERROR(OFFSET(Ottone!$A$1,MATCH(J1117,Ottone!$A:$A,0)-1,MATCH(L1117,Ottone!$A$1:$Z$1,0)-1)=TRUE),0,OFFSET(Ottone!$A$1,MATCH(J1117,Ottone!$A:$A,0)-1,MATCH(L1117,Ottone!$A$1:$Z$1,0)-1))*IF(G1117="Ottone",1,0)</f>
        <v>0</v>
      </c>
      <c r="O1117" s="205">
        <f ca="1">IF(ISERROR(OFFSET(Rame!$A$1,MATCH(J1117,Rame!$A:$A,0)-1,MATCH(L1117,Rame!$A$1:$AA$1,0)-1)=TRUE),0,OFFSET(Rame!$A$1,MATCH(J1117,Rame!$A:$A,0)-1,MATCH(L1117,Rame!$A$1:$AA$1,0)-1))*IF(G1117="Rame",1,0)</f>
        <v>0</v>
      </c>
      <c r="P1117" s="205">
        <v>0</v>
      </c>
      <c r="Q1117" s="205">
        <f t="shared" ca="1" si="323"/>
        <v>0</v>
      </c>
      <c r="R1117" s="205">
        <f ca="1">+IF(ISERROR(OFFSET(Tabella!$G$1,MATCH(J1117,Tabella!$G:$G,0)-1,MATCH(K1117,Tabella!$G$1:$FG$1,0)-1)=TRUE),0,OFFSET(Tabella!$G$1,MATCH(J1117,Tabella!$G:$G,0)-1,MATCH(K1117,Tabella!$G$1:$AB$1,0)-1))</f>
        <v>0</v>
      </c>
      <c r="S1117" s="205">
        <f ca="1">IF(ISERROR(OFFSET(Ottone!$F$1,MATCH(J1117,Ottone!$A:$A,0)-1,MATCH(K1117,Ottone!$F$1:$FF$1,0)-1)=TRUE),0,OFFSET(Ottone!$F$1,MATCH(J1117,Ottone!$A:$A,0)-1,MATCH(K1117,Ottone!$F$1:$FF$1,0)-1))*IF(G1117="Ottone",1,0)</f>
        <v>0</v>
      </c>
      <c r="T1117" s="205">
        <f ca="1">IF(ISERROR(OFFSET(Rame!$F$1,MATCH(J1117,Rame!$F:$F,0)-1,MATCH(K1117,Rame!$F$1:$FF$1,0)-1)=TRUE),0,OFFSET(Rame!$F$1,MATCH(J1117,Rame!$F:$F,0)-1,MATCH(K1117,Rame!$F$1:$FF$1,0)-1))*IF(G1117="Rame",1,0)</f>
        <v>0</v>
      </c>
      <c r="U1117" s="205">
        <f ca="1">IF(ISERROR(OFFSET(Bronzo!$A$1,MATCH(J1117,Bronzo!$A:$A,0)-1,MATCH(K1117,Bronzo!$A$1:$AA$1,0)-1)=TRUE),0,OFFSET(Bronzo!$A$1,MATCH(J1117,Bronzo!$A:$A,0)-1,MATCH(K1117,Bronzo!$A$1:$AA$1,0)-1))</f>
        <v>0</v>
      </c>
      <c r="V1117" s="205">
        <f t="shared" ca="1" si="324"/>
        <v>0</v>
      </c>
      <c r="W1117" s="204"/>
      <c r="X1117" s="205">
        <v>0</v>
      </c>
      <c r="Y1117" s="206">
        <f t="shared" ca="1" si="325"/>
        <v>0</v>
      </c>
      <c r="Z1117" s="277">
        <f t="shared" si="326"/>
        <v>0</v>
      </c>
      <c r="AA1117" s="203"/>
      <c r="AB1117" s="203">
        <f t="shared" ca="1" si="327"/>
        <v>0</v>
      </c>
      <c r="AC1117" s="238"/>
      <c r="AI1117" s="367">
        <f t="shared" ca="1" si="322"/>
        <v>46092</v>
      </c>
      <c r="AJ1117" s="367" t="b">
        <f t="shared" si="316"/>
        <v>1</v>
      </c>
      <c r="AK1117" s="370" t="str">
        <f t="shared" si="317"/>
        <v/>
      </c>
      <c r="AN1117">
        <f t="shared" si="318"/>
        <v>0</v>
      </c>
      <c r="AO1117">
        <f t="shared" si="319"/>
        <v>1900</v>
      </c>
      <c r="AV1117">
        <f t="shared" si="320"/>
        <v>0</v>
      </c>
      <c r="AW1117">
        <f t="shared" si="321"/>
        <v>0</v>
      </c>
    </row>
    <row r="1118" spans="4:49" ht="15.75" x14ac:dyDescent="0.25">
      <c r="D1118" s="199"/>
      <c r="E1118" s="200"/>
      <c r="F1118" s="287"/>
      <c r="G1118" s="201"/>
      <c r="H1118" s="219"/>
      <c r="I1118" s="202"/>
      <c r="J1118" s="200"/>
      <c r="K1118" s="200"/>
      <c r="L1118" s="203"/>
      <c r="M1118" s="204">
        <f ca="1">IF(ISERROR(OFFSET(Tabella!$A$1,MATCH(J1118,Tabella!$A:$A,0)-1,MATCH(L1118,Tabella!$A$1:$AC$1,0)-1)=TRUE),0,+OFFSET(Tabella!$A$1,MATCH(J1118,Tabella!$A:$A,0)-1,MATCH(L1118,Tabella!$A$1:$AC$1,0)-1))</f>
        <v>0</v>
      </c>
      <c r="N1118" s="205">
        <f ca="1">IF(ISERROR(OFFSET(Ottone!$A$1,MATCH(J1118,Ottone!$A:$A,0)-1,MATCH(L1118,Ottone!$A$1:$Z$1,0)-1)=TRUE),0,OFFSET(Ottone!$A$1,MATCH(J1118,Ottone!$A:$A,0)-1,MATCH(L1118,Ottone!$A$1:$Z$1,0)-1))*IF(G1118="Ottone",1,0)</f>
        <v>0</v>
      </c>
      <c r="O1118" s="205">
        <f ca="1">IF(ISERROR(OFFSET(Rame!$A$1,MATCH(J1118,Rame!$A:$A,0)-1,MATCH(L1118,Rame!$A$1:$AA$1,0)-1)=TRUE),0,OFFSET(Rame!$A$1,MATCH(J1118,Rame!$A:$A,0)-1,MATCH(L1118,Rame!$A$1:$AA$1,0)-1))*IF(G1118="Rame",1,0)</f>
        <v>0</v>
      </c>
      <c r="P1118" s="205">
        <v>0</v>
      </c>
      <c r="Q1118" s="205">
        <f t="shared" ca="1" si="323"/>
        <v>0</v>
      </c>
      <c r="R1118" s="205">
        <f ca="1">+IF(ISERROR(OFFSET(Tabella!$G$1,MATCH(J1118,Tabella!$G:$G,0)-1,MATCH(K1118,Tabella!$G$1:$FG$1,0)-1)=TRUE),0,OFFSET(Tabella!$G$1,MATCH(J1118,Tabella!$G:$G,0)-1,MATCH(K1118,Tabella!$G$1:$AB$1,0)-1))</f>
        <v>0</v>
      </c>
      <c r="S1118" s="205">
        <f ca="1">IF(ISERROR(OFFSET(Ottone!$F$1,MATCH(J1118,Ottone!$A:$A,0)-1,MATCH(K1118,Ottone!$F$1:$FF$1,0)-1)=TRUE),0,OFFSET(Ottone!$F$1,MATCH(J1118,Ottone!$A:$A,0)-1,MATCH(K1118,Ottone!$F$1:$FF$1,0)-1))*IF(G1118="Ottone",1,0)</f>
        <v>0</v>
      </c>
      <c r="T1118" s="205">
        <f ca="1">IF(ISERROR(OFFSET(Rame!$F$1,MATCH(J1118,Rame!$F:$F,0)-1,MATCH(K1118,Rame!$F$1:$FF$1,0)-1)=TRUE),0,OFFSET(Rame!$F$1,MATCH(J1118,Rame!$F:$F,0)-1,MATCH(K1118,Rame!$F$1:$FF$1,0)-1))*IF(G1118="Rame",1,0)</f>
        <v>0</v>
      </c>
      <c r="U1118" s="205">
        <f ca="1">IF(ISERROR(OFFSET(Bronzo!$A$1,MATCH(J1118,Bronzo!$A:$A,0)-1,MATCH(K1118,Bronzo!$A$1:$AA$1,0)-1)=TRUE),0,OFFSET(Bronzo!$A$1,MATCH(J1118,Bronzo!$A:$A,0)-1,MATCH(K1118,Bronzo!$A$1:$AA$1,0)-1))</f>
        <v>0</v>
      </c>
      <c r="V1118" s="205">
        <f t="shared" ca="1" si="324"/>
        <v>0</v>
      </c>
      <c r="W1118" s="204"/>
      <c r="X1118" s="205">
        <v>0</v>
      </c>
      <c r="Y1118" s="206">
        <f t="shared" ca="1" si="325"/>
        <v>0</v>
      </c>
      <c r="Z1118" s="277">
        <f t="shared" si="326"/>
        <v>0</v>
      </c>
      <c r="AA1118" s="203"/>
      <c r="AB1118" s="203">
        <f t="shared" ca="1" si="327"/>
        <v>0</v>
      </c>
      <c r="AC1118" s="238"/>
      <c r="AI1118" s="367">
        <f t="shared" ca="1" si="322"/>
        <v>46092</v>
      </c>
      <c r="AJ1118" s="367" t="b">
        <f t="shared" si="316"/>
        <v>1</v>
      </c>
      <c r="AK1118" s="370" t="str">
        <f t="shared" si="317"/>
        <v/>
      </c>
      <c r="AN1118">
        <f t="shared" si="318"/>
        <v>0</v>
      </c>
      <c r="AO1118">
        <f t="shared" si="319"/>
        <v>1900</v>
      </c>
      <c r="AV1118">
        <f t="shared" si="320"/>
        <v>0</v>
      </c>
      <c r="AW1118">
        <f t="shared" si="321"/>
        <v>0</v>
      </c>
    </row>
    <row r="1119" spans="4:49" ht="15.75" x14ac:dyDescent="0.25">
      <c r="D1119" s="199"/>
      <c r="E1119" s="200"/>
      <c r="F1119" s="287"/>
      <c r="G1119" s="201"/>
      <c r="H1119" s="219"/>
      <c r="I1119" s="202"/>
      <c r="J1119" s="200"/>
      <c r="K1119" s="200"/>
      <c r="L1119" s="203"/>
      <c r="M1119" s="204">
        <f ca="1">IF(ISERROR(OFFSET(Tabella!$A$1,MATCH(J1119,Tabella!$A:$A,0)-1,MATCH(L1119,Tabella!$A$1:$AC$1,0)-1)=TRUE),0,+OFFSET(Tabella!$A$1,MATCH(J1119,Tabella!$A:$A,0)-1,MATCH(L1119,Tabella!$A$1:$AC$1,0)-1))</f>
        <v>0</v>
      </c>
      <c r="N1119" s="205">
        <f ca="1">IF(ISERROR(OFFSET(Ottone!$A$1,MATCH(J1119,Ottone!$A:$A,0)-1,MATCH(L1119,Ottone!$A$1:$Z$1,0)-1)=TRUE),0,OFFSET(Ottone!$A$1,MATCH(J1119,Ottone!$A:$A,0)-1,MATCH(L1119,Ottone!$A$1:$Z$1,0)-1))*IF(G1119="Ottone",1,0)</f>
        <v>0</v>
      </c>
      <c r="O1119" s="205">
        <f ca="1">IF(ISERROR(OFFSET(Rame!$A$1,MATCH(J1119,Rame!$A:$A,0)-1,MATCH(L1119,Rame!$A$1:$AA$1,0)-1)=TRUE),0,OFFSET(Rame!$A$1,MATCH(J1119,Rame!$A:$A,0)-1,MATCH(L1119,Rame!$A$1:$AA$1,0)-1))*IF(G1119="Rame",1,0)</f>
        <v>0</v>
      </c>
      <c r="P1119" s="205">
        <v>0</v>
      </c>
      <c r="Q1119" s="205">
        <f t="shared" ca="1" si="323"/>
        <v>0</v>
      </c>
      <c r="R1119" s="205">
        <f ca="1">+IF(ISERROR(OFFSET(Tabella!$G$1,MATCH(J1119,Tabella!$G:$G,0)-1,MATCH(K1119,Tabella!$G$1:$FG$1,0)-1)=TRUE),0,OFFSET(Tabella!$G$1,MATCH(J1119,Tabella!$G:$G,0)-1,MATCH(K1119,Tabella!$G$1:$AB$1,0)-1))</f>
        <v>0</v>
      </c>
      <c r="S1119" s="205">
        <f ca="1">IF(ISERROR(OFFSET(Ottone!$F$1,MATCH(J1119,Ottone!$A:$A,0)-1,MATCH(K1119,Ottone!$F$1:$FF$1,0)-1)=TRUE),0,OFFSET(Ottone!$F$1,MATCH(J1119,Ottone!$A:$A,0)-1,MATCH(K1119,Ottone!$F$1:$FF$1,0)-1))*IF(G1119="Ottone",1,0)</f>
        <v>0</v>
      </c>
      <c r="T1119" s="205">
        <f ca="1">IF(ISERROR(OFFSET(Rame!$F$1,MATCH(J1119,Rame!$F:$F,0)-1,MATCH(K1119,Rame!$F$1:$FF$1,0)-1)=TRUE),0,OFFSET(Rame!$F$1,MATCH(J1119,Rame!$F:$F,0)-1,MATCH(K1119,Rame!$F$1:$FF$1,0)-1))*IF(G1119="Rame",1,0)</f>
        <v>0</v>
      </c>
      <c r="U1119" s="205">
        <f ca="1">IF(ISERROR(OFFSET(Bronzo!$A$1,MATCH(J1119,Bronzo!$A:$A,0)-1,MATCH(K1119,Bronzo!$A$1:$AA$1,0)-1)=TRUE),0,OFFSET(Bronzo!$A$1,MATCH(J1119,Bronzo!$A:$A,0)-1,MATCH(K1119,Bronzo!$A$1:$AA$1,0)-1))</f>
        <v>0</v>
      </c>
      <c r="V1119" s="205">
        <f t="shared" ca="1" si="324"/>
        <v>0</v>
      </c>
      <c r="W1119" s="204"/>
      <c r="X1119" s="205">
        <v>0</v>
      </c>
      <c r="Y1119" s="206">
        <f t="shared" ca="1" si="325"/>
        <v>0</v>
      </c>
      <c r="Z1119" s="277">
        <f t="shared" si="326"/>
        <v>0</v>
      </c>
      <c r="AA1119" s="203"/>
      <c r="AB1119" s="203">
        <f t="shared" ca="1" si="327"/>
        <v>0</v>
      </c>
      <c r="AC1119" s="238"/>
      <c r="AI1119" s="367">
        <f t="shared" ca="1" si="322"/>
        <v>46092</v>
      </c>
      <c r="AJ1119" s="367" t="b">
        <f t="shared" si="316"/>
        <v>1</v>
      </c>
      <c r="AK1119" s="370" t="str">
        <f t="shared" si="317"/>
        <v/>
      </c>
      <c r="AN1119">
        <f t="shared" si="318"/>
        <v>0</v>
      </c>
      <c r="AO1119">
        <f t="shared" si="319"/>
        <v>1900</v>
      </c>
      <c r="AV1119">
        <f t="shared" si="320"/>
        <v>0</v>
      </c>
      <c r="AW1119">
        <f t="shared" si="321"/>
        <v>0</v>
      </c>
    </row>
    <row r="1120" spans="4:49" ht="15.75" x14ac:dyDescent="0.25">
      <c r="D1120" s="199"/>
      <c r="E1120" s="200"/>
      <c r="F1120" s="287"/>
      <c r="G1120" s="201"/>
      <c r="H1120" s="219"/>
      <c r="I1120" s="202"/>
      <c r="J1120" s="200"/>
      <c r="K1120" s="200"/>
      <c r="L1120" s="203"/>
      <c r="M1120" s="204">
        <f ca="1">IF(ISERROR(OFFSET(Tabella!$A$1,MATCH(J1120,Tabella!$A:$A,0)-1,MATCH(L1120,Tabella!$A$1:$AC$1,0)-1)=TRUE),0,+OFFSET(Tabella!$A$1,MATCH(J1120,Tabella!$A:$A,0)-1,MATCH(L1120,Tabella!$A$1:$AC$1,0)-1))</f>
        <v>0</v>
      </c>
      <c r="N1120" s="205">
        <f ca="1">IF(ISERROR(OFFSET(Ottone!$A$1,MATCH(J1120,Ottone!$A:$A,0)-1,MATCH(L1120,Ottone!$A$1:$Z$1,0)-1)=TRUE),0,OFFSET(Ottone!$A$1,MATCH(J1120,Ottone!$A:$A,0)-1,MATCH(L1120,Ottone!$A$1:$Z$1,0)-1))*IF(G1120="Ottone",1,0)</f>
        <v>0</v>
      </c>
      <c r="O1120" s="205">
        <f ca="1">IF(ISERROR(OFFSET(Rame!$A$1,MATCH(J1120,Rame!$A:$A,0)-1,MATCH(L1120,Rame!$A$1:$AA$1,0)-1)=TRUE),0,OFFSET(Rame!$A$1,MATCH(J1120,Rame!$A:$A,0)-1,MATCH(L1120,Rame!$A$1:$AA$1,0)-1))*IF(G1120="Rame",1,0)</f>
        <v>0</v>
      </c>
      <c r="P1120" s="205">
        <v>0</v>
      </c>
      <c r="Q1120" s="205">
        <f t="shared" ca="1" si="323"/>
        <v>0</v>
      </c>
      <c r="R1120" s="205">
        <f ca="1">+IF(ISERROR(OFFSET(Tabella!$G$1,MATCH(J1120,Tabella!$G:$G,0)-1,MATCH(K1120,Tabella!$G$1:$FG$1,0)-1)=TRUE),0,OFFSET(Tabella!$G$1,MATCH(J1120,Tabella!$G:$G,0)-1,MATCH(K1120,Tabella!$G$1:$AB$1,0)-1))</f>
        <v>0</v>
      </c>
      <c r="S1120" s="205">
        <f ca="1">IF(ISERROR(OFFSET(Ottone!$F$1,MATCH(J1120,Ottone!$A:$A,0)-1,MATCH(K1120,Ottone!$F$1:$FF$1,0)-1)=TRUE),0,OFFSET(Ottone!$F$1,MATCH(J1120,Ottone!$A:$A,0)-1,MATCH(K1120,Ottone!$F$1:$FF$1,0)-1))*IF(G1120="Ottone",1,0)</f>
        <v>0</v>
      </c>
      <c r="T1120" s="205">
        <f ca="1">IF(ISERROR(OFFSET(Rame!$F$1,MATCH(J1120,Rame!$F:$F,0)-1,MATCH(K1120,Rame!$F$1:$FF$1,0)-1)=TRUE),0,OFFSET(Rame!$F$1,MATCH(J1120,Rame!$F:$F,0)-1,MATCH(K1120,Rame!$F$1:$FF$1,0)-1))*IF(G1120="Rame",1,0)</f>
        <v>0</v>
      </c>
      <c r="U1120" s="205">
        <f ca="1">IF(ISERROR(OFFSET(Bronzo!$A$1,MATCH(J1120,Bronzo!$A:$A,0)-1,MATCH(K1120,Bronzo!$A$1:$AA$1,0)-1)=TRUE),0,OFFSET(Bronzo!$A$1,MATCH(J1120,Bronzo!$A:$A,0)-1,MATCH(K1120,Bronzo!$A$1:$AA$1,0)-1))</f>
        <v>0</v>
      </c>
      <c r="V1120" s="205">
        <f t="shared" ca="1" si="324"/>
        <v>0</v>
      </c>
      <c r="W1120" s="204"/>
      <c r="X1120" s="205">
        <v>0</v>
      </c>
      <c r="Y1120" s="206">
        <f t="shared" ca="1" si="325"/>
        <v>0</v>
      </c>
      <c r="Z1120" s="277">
        <f t="shared" si="326"/>
        <v>0</v>
      </c>
      <c r="AA1120" s="203"/>
      <c r="AB1120" s="203">
        <f t="shared" ca="1" si="327"/>
        <v>0</v>
      </c>
      <c r="AC1120" s="238"/>
      <c r="AI1120" s="367">
        <f t="shared" ca="1" si="322"/>
        <v>46092</v>
      </c>
      <c r="AJ1120" s="367" t="b">
        <f t="shared" ref="AJ1120:AJ1183" si="328">ISBLANK(AC1120)</f>
        <v>1</v>
      </c>
      <c r="AK1120" s="370" t="str">
        <f t="shared" ref="AK1120:AK1183" si="329">IF(AJ1120=FALSE,_xlfn.DAYS(AC1120,AI1120),"")</f>
        <v/>
      </c>
      <c r="AN1120">
        <f t="shared" ref="AN1120:AN1183" si="330">WEEKNUM(AC1120)</f>
        <v>0</v>
      </c>
      <c r="AO1120">
        <f t="shared" ref="AO1120:AO1183" si="331">YEAR(AC1120)</f>
        <v>1900</v>
      </c>
      <c r="AV1120">
        <f t="shared" si="320"/>
        <v>0</v>
      </c>
      <c r="AW1120">
        <f t="shared" si="321"/>
        <v>0</v>
      </c>
    </row>
    <row r="1121" spans="4:49" ht="15.75" x14ac:dyDescent="0.25">
      <c r="D1121" s="199"/>
      <c r="E1121" s="200"/>
      <c r="F1121" s="287"/>
      <c r="G1121" s="201"/>
      <c r="H1121" s="219"/>
      <c r="I1121" s="202"/>
      <c r="J1121" s="200"/>
      <c r="K1121" s="200"/>
      <c r="L1121" s="203"/>
      <c r="M1121" s="204">
        <f ca="1">IF(ISERROR(OFFSET(Tabella!$A$1,MATCH(J1121,Tabella!$A:$A,0)-1,MATCH(L1121,Tabella!$A$1:$AC$1,0)-1)=TRUE),0,+OFFSET(Tabella!$A$1,MATCH(J1121,Tabella!$A:$A,0)-1,MATCH(L1121,Tabella!$A$1:$AC$1,0)-1))</f>
        <v>0</v>
      </c>
      <c r="N1121" s="205">
        <f ca="1">IF(ISERROR(OFFSET(Ottone!$A$1,MATCH(J1121,Ottone!$A:$A,0)-1,MATCH(L1121,Ottone!$A$1:$Z$1,0)-1)=TRUE),0,OFFSET(Ottone!$A$1,MATCH(J1121,Ottone!$A:$A,0)-1,MATCH(L1121,Ottone!$A$1:$Z$1,0)-1))*IF(G1121="Ottone",1,0)</f>
        <v>0</v>
      </c>
      <c r="O1121" s="205">
        <f ca="1">IF(ISERROR(OFFSET(Rame!$A$1,MATCH(J1121,Rame!$A:$A,0)-1,MATCH(L1121,Rame!$A$1:$AA$1,0)-1)=TRUE),0,OFFSET(Rame!$A$1,MATCH(J1121,Rame!$A:$A,0)-1,MATCH(L1121,Rame!$A$1:$AA$1,0)-1))*IF(G1121="Rame",1,0)</f>
        <v>0</v>
      </c>
      <c r="P1121" s="205">
        <v>0</v>
      </c>
      <c r="Q1121" s="205">
        <f t="shared" ca="1" si="323"/>
        <v>0</v>
      </c>
      <c r="R1121" s="205">
        <f ca="1">+IF(ISERROR(OFFSET(Tabella!$G$1,MATCH(J1121,Tabella!$G:$G,0)-1,MATCH(K1121,Tabella!$G$1:$FG$1,0)-1)=TRUE),0,OFFSET(Tabella!$G$1,MATCH(J1121,Tabella!$G:$G,0)-1,MATCH(K1121,Tabella!$G$1:$AB$1,0)-1))</f>
        <v>0</v>
      </c>
      <c r="S1121" s="205">
        <f ca="1">IF(ISERROR(OFFSET(Ottone!$F$1,MATCH(J1121,Ottone!$A:$A,0)-1,MATCH(K1121,Ottone!$F$1:$FF$1,0)-1)=TRUE),0,OFFSET(Ottone!$F$1,MATCH(J1121,Ottone!$A:$A,0)-1,MATCH(K1121,Ottone!$F$1:$FF$1,0)-1))*IF(G1121="Ottone",1,0)</f>
        <v>0</v>
      </c>
      <c r="T1121" s="205">
        <f ca="1">IF(ISERROR(OFFSET(Rame!$F$1,MATCH(J1121,Rame!$F:$F,0)-1,MATCH(K1121,Rame!$F$1:$FF$1,0)-1)=TRUE),0,OFFSET(Rame!$F$1,MATCH(J1121,Rame!$F:$F,0)-1,MATCH(K1121,Rame!$F$1:$FF$1,0)-1))*IF(G1121="Rame",1,0)</f>
        <v>0</v>
      </c>
      <c r="U1121" s="205">
        <f ca="1">IF(ISERROR(OFFSET(Bronzo!$A$1,MATCH(J1121,Bronzo!$A:$A,0)-1,MATCH(K1121,Bronzo!$A$1:$AA$1,0)-1)=TRUE),0,OFFSET(Bronzo!$A$1,MATCH(J1121,Bronzo!$A:$A,0)-1,MATCH(K1121,Bronzo!$A$1:$AA$1,0)-1))</f>
        <v>0</v>
      </c>
      <c r="V1121" s="205">
        <f t="shared" ca="1" si="324"/>
        <v>0</v>
      </c>
      <c r="W1121" s="204"/>
      <c r="X1121" s="205">
        <v>0</v>
      </c>
      <c r="Y1121" s="206">
        <f t="shared" ca="1" si="325"/>
        <v>0</v>
      </c>
      <c r="Z1121" s="277">
        <f t="shared" si="326"/>
        <v>0</v>
      </c>
      <c r="AA1121" s="203"/>
      <c r="AB1121" s="203">
        <f t="shared" ca="1" si="327"/>
        <v>0</v>
      </c>
      <c r="AC1121" s="238"/>
      <c r="AI1121" s="367">
        <f t="shared" ca="1" si="322"/>
        <v>46092</v>
      </c>
      <c r="AJ1121" s="367" t="b">
        <f t="shared" si="328"/>
        <v>1</v>
      </c>
      <c r="AK1121" s="370" t="str">
        <f t="shared" si="329"/>
        <v/>
      </c>
      <c r="AN1121">
        <f t="shared" si="330"/>
        <v>0</v>
      </c>
      <c r="AO1121">
        <f t="shared" si="331"/>
        <v>1900</v>
      </c>
      <c r="AV1121">
        <f t="shared" si="320"/>
        <v>0</v>
      </c>
      <c r="AW1121">
        <f t="shared" si="321"/>
        <v>0</v>
      </c>
    </row>
    <row r="1122" spans="4:49" ht="15.75" x14ac:dyDescent="0.25">
      <c r="D1122" s="199"/>
      <c r="E1122" s="200"/>
      <c r="F1122" s="287"/>
      <c r="G1122" s="201"/>
      <c r="H1122" s="219"/>
      <c r="I1122" s="202"/>
      <c r="J1122" s="200"/>
      <c r="K1122" s="200"/>
      <c r="L1122" s="203"/>
      <c r="M1122" s="204">
        <f ca="1">IF(ISERROR(OFFSET(Tabella!$A$1,MATCH(J1122,Tabella!$A:$A,0)-1,MATCH(L1122,Tabella!$A$1:$AC$1,0)-1)=TRUE),0,+OFFSET(Tabella!$A$1,MATCH(J1122,Tabella!$A:$A,0)-1,MATCH(L1122,Tabella!$A$1:$AC$1,0)-1))</f>
        <v>0</v>
      </c>
      <c r="N1122" s="205">
        <f ca="1">IF(ISERROR(OFFSET(Ottone!$A$1,MATCH(J1122,Ottone!$A:$A,0)-1,MATCH(L1122,Ottone!$A$1:$Z$1,0)-1)=TRUE),0,OFFSET(Ottone!$A$1,MATCH(J1122,Ottone!$A:$A,0)-1,MATCH(L1122,Ottone!$A$1:$Z$1,0)-1))*IF(G1122="Ottone",1,0)</f>
        <v>0</v>
      </c>
      <c r="O1122" s="205">
        <f ca="1">IF(ISERROR(OFFSET(Rame!$A$1,MATCH(J1122,Rame!$A:$A,0)-1,MATCH(L1122,Rame!$A$1:$AA$1,0)-1)=TRUE),0,OFFSET(Rame!$A$1,MATCH(J1122,Rame!$A:$A,0)-1,MATCH(L1122,Rame!$A$1:$AA$1,0)-1))*IF(G1122="Rame",1,0)</f>
        <v>0</v>
      </c>
      <c r="P1122" s="205">
        <v>0</v>
      </c>
      <c r="Q1122" s="205">
        <f t="shared" ca="1" si="323"/>
        <v>0</v>
      </c>
      <c r="R1122" s="205">
        <f ca="1">+IF(ISERROR(OFFSET(Tabella!$G$1,MATCH(J1122,Tabella!$G:$G,0)-1,MATCH(K1122,Tabella!$G$1:$FG$1,0)-1)=TRUE),0,OFFSET(Tabella!$G$1,MATCH(J1122,Tabella!$G:$G,0)-1,MATCH(K1122,Tabella!$G$1:$AB$1,0)-1))</f>
        <v>0</v>
      </c>
      <c r="S1122" s="205">
        <f ca="1">IF(ISERROR(OFFSET(Ottone!$F$1,MATCH(J1122,Ottone!$A:$A,0)-1,MATCH(K1122,Ottone!$F$1:$FF$1,0)-1)=TRUE),0,OFFSET(Ottone!$F$1,MATCH(J1122,Ottone!$A:$A,0)-1,MATCH(K1122,Ottone!$F$1:$FF$1,0)-1))*IF(G1122="Ottone",1,0)</f>
        <v>0</v>
      </c>
      <c r="T1122" s="205">
        <f ca="1">IF(ISERROR(OFFSET(Rame!$F$1,MATCH(J1122,Rame!$F:$F,0)-1,MATCH(K1122,Rame!$F$1:$FF$1,0)-1)=TRUE),0,OFFSET(Rame!$F$1,MATCH(J1122,Rame!$F:$F,0)-1,MATCH(K1122,Rame!$F$1:$FF$1,0)-1))*IF(G1122="Rame",1,0)</f>
        <v>0</v>
      </c>
      <c r="U1122" s="205">
        <f ca="1">IF(ISERROR(OFFSET(Bronzo!$A$1,MATCH(J1122,Bronzo!$A:$A,0)-1,MATCH(K1122,Bronzo!$A$1:$AA$1,0)-1)=TRUE),0,OFFSET(Bronzo!$A$1,MATCH(J1122,Bronzo!$A:$A,0)-1,MATCH(K1122,Bronzo!$A$1:$AA$1,0)-1))</f>
        <v>0</v>
      </c>
      <c r="V1122" s="205">
        <f t="shared" ca="1" si="324"/>
        <v>0</v>
      </c>
      <c r="W1122" s="204"/>
      <c r="X1122" s="205">
        <v>0</v>
      </c>
      <c r="Y1122" s="206">
        <f t="shared" ca="1" si="325"/>
        <v>0</v>
      </c>
      <c r="Z1122" s="277">
        <f t="shared" si="326"/>
        <v>0</v>
      </c>
      <c r="AA1122" s="203"/>
      <c r="AB1122" s="203">
        <f t="shared" ca="1" si="327"/>
        <v>0</v>
      </c>
      <c r="AC1122" s="238"/>
      <c r="AI1122" s="367">
        <f t="shared" ca="1" si="322"/>
        <v>46092</v>
      </c>
      <c r="AJ1122" s="367" t="b">
        <f t="shared" si="328"/>
        <v>1</v>
      </c>
      <c r="AK1122" s="370" t="str">
        <f t="shared" si="329"/>
        <v/>
      </c>
      <c r="AN1122">
        <f t="shared" si="330"/>
        <v>0</v>
      </c>
      <c r="AO1122">
        <f t="shared" si="331"/>
        <v>1900</v>
      </c>
      <c r="AV1122">
        <f t="shared" si="320"/>
        <v>0</v>
      </c>
      <c r="AW1122">
        <f t="shared" si="321"/>
        <v>0</v>
      </c>
    </row>
    <row r="1123" spans="4:49" ht="15.75" x14ac:dyDescent="0.25">
      <c r="D1123" s="199"/>
      <c r="E1123" s="200"/>
      <c r="F1123" s="287"/>
      <c r="G1123" s="201"/>
      <c r="H1123" s="219"/>
      <c r="I1123" s="202"/>
      <c r="J1123" s="200"/>
      <c r="K1123" s="200"/>
      <c r="L1123" s="203"/>
      <c r="M1123" s="204">
        <f ca="1">IF(ISERROR(OFFSET(Tabella!$A$1,MATCH(J1123,Tabella!$A:$A,0)-1,MATCH(L1123,Tabella!$A$1:$AC$1,0)-1)=TRUE),0,+OFFSET(Tabella!$A$1,MATCH(J1123,Tabella!$A:$A,0)-1,MATCH(L1123,Tabella!$A$1:$AC$1,0)-1))</f>
        <v>0</v>
      </c>
      <c r="N1123" s="205">
        <f ca="1">IF(ISERROR(OFFSET(Ottone!$A$1,MATCH(J1123,Ottone!$A:$A,0)-1,MATCH(L1123,Ottone!$A$1:$Z$1,0)-1)=TRUE),0,OFFSET(Ottone!$A$1,MATCH(J1123,Ottone!$A:$A,0)-1,MATCH(L1123,Ottone!$A$1:$Z$1,0)-1))*IF(G1123="Ottone",1,0)</f>
        <v>0</v>
      </c>
      <c r="O1123" s="205">
        <f ca="1">IF(ISERROR(OFFSET(Rame!$A$1,MATCH(J1123,Rame!$A:$A,0)-1,MATCH(L1123,Rame!$A$1:$AA$1,0)-1)=TRUE),0,OFFSET(Rame!$A$1,MATCH(J1123,Rame!$A:$A,0)-1,MATCH(L1123,Rame!$A$1:$AA$1,0)-1))*IF(G1123="Rame",1,0)</f>
        <v>0</v>
      </c>
      <c r="P1123" s="205">
        <v>0</v>
      </c>
      <c r="Q1123" s="205">
        <f t="shared" ca="1" si="323"/>
        <v>0</v>
      </c>
      <c r="R1123" s="205">
        <f ca="1">+IF(ISERROR(OFFSET(Tabella!$G$1,MATCH(J1123,Tabella!$G:$G,0)-1,MATCH(K1123,Tabella!$G$1:$FG$1,0)-1)=TRUE),0,OFFSET(Tabella!$G$1,MATCH(J1123,Tabella!$G:$G,0)-1,MATCH(K1123,Tabella!$G$1:$AB$1,0)-1))</f>
        <v>0</v>
      </c>
      <c r="S1123" s="205">
        <f ca="1">IF(ISERROR(OFFSET(Ottone!$F$1,MATCH(J1123,Ottone!$A:$A,0)-1,MATCH(K1123,Ottone!$F$1:$FF$1,0)-1)=TRUE),0,OFFSET(Ottone!$F$1,MATCH(J1123,Ottone!$A:$A,0)-1,MATCH(K1123,Ottone!$F$1:$FF$1,0)-1))*IF(G1123="Ottone",1,0)</f>
        <v>0</v>
      </c>
      <c r="T1123" s="205">
        <f ca="1">IF(ISERROR(OFFSET(Rame!$F$1,MATCH(J1123,Rame!$F:$F,0)-1,MATCH(K1123,Rame!$F$1:$FF$1,0)-1)=TRUE),0,OFFSET(Rame!$F$1,MATCH(J1123,Rame!$F:$F,0)-1,MATCH(K1123,Rame!$F$1:$FF$1,0)-1))*IF(G1123="Rame",1,0)</f>
        <v>0</v>
      </c>
      <c r="U1123" s="205">
        <f ca="1">IF(ISERROR(OFFSET(Bronzo!$A$1,MATCH(J1123,Bronzo!$A:$A,0)-1,MATCH(K1123,Bronzo!$A$1:$AA$1,0)-1)=TRUE),0,OFFSET(Bronzo!$A$1,MATCH(J1123,Bronzo!$A:$A,0)-1,MATCH(K1123,Bronzo!$A$1:$AA$1,0)-1))</f>
        <v>0</v>
      </c>
      <c r="V1123" s="205">
        <f t="shared" ca="1" si="324"/>
        <v>0</v>
      </c>
      <c r="W1123" s="204"/>
      <c r="X1123" s="205">
        <v>0</v>
      </c>
      <c r="Y1123" s="206">
        <f t="shared" ca="1" si="325"/>
        <v>0</v>
      </c>
      <c r="Z1123" s="277">
        <f t="shared" si="326"/>
        <v>0</v>
      </c>
      <c r="AA1123" s="203"/>
      <c r="AB1123" s="203">
        <f t="shared" ca="1" si="327"/>
        <v>0</v>
      </c>
      <c r="AC1123" s="238"/>
      <c r="AI1123" s="367">
        <f t="shared" ca="1" si="322"/>
        <v>46092</v>
      </c>
      <c r="AJ1123" s="367" t="b">
        <f t="shared" si="328"/>
        <v>1</v>
      </c>
      <c r="AK1123" s="370" t="str">
        <f t="shared" si="329"/>
        <v/>
      </c>
      <c r="AN1123">
        <f t="shared" si="330"/>
        <v>0</v>
      </c>
      <c r="AO1123">
        <f t="shared" si="331"/>
        <v>1900</v>
      </c>
      <c r="AV1123">
        <f t="shared" si="320"/>
        <v>0</v>
      </c>
      <c r="AW1123">
        <f t="shared" si="321"/>
        <v>0</v>
      </c>
    </row>
    <row r="1124" spans="4:49" ht="15.75" x14ac:dyDescent="0.25">
      <c r="D1124" s="199"/>
      <c r="E1124" s="200"/>
      <c r="F1124" s="287"/>
      <c r="G1124" s="201"/>
      <c r="H1124" s="219"/>
      <c r="I1124" s="202"/>
      <c r="J1124" s="200"/>
      <c r="K1124" s="200"/>
      <c r="L1124" s="203"/>
      <c r="M1124" s="204">
        <f ca="1">IF(ISERROR(OFFSET(Tabella!$A$1,MATCH(J1124,Tabella!$A:$A,0)-1,MATCH(L1124,Tabella!$A$1:$AC$1,0)-1)=TRUE),0,+OFFSET(Tabella!$A$1,MATCH(J1124,Tabella!$A:$A,0)-1,MATCH(L1124,Tabella!$A$1:$AC$1,0)-1))</f>
        <v>0</v>
      </c>
      <c r="N1124" s="205">
        <f ca="1">IF(ISERROR(OFFSET(Ottone!$A$1,MATCH(J1124,Ottone!$A:$A,0)-1,MATCH(L1124,Ottone!$A$1:$Z$1,0)-1)=TRUE),0,OFFSET(Ottone!$A$1,MATCH(J1124,Ottone!$A:$A,0)-1,MATCH(L1124,Ottone!$A$1:$Z$1,0)-1))*IF(G1124="Ottone",1,0)</f>
        <v>0</v>
      </c>
      <c r="O1124" s="205">
        <f ca="1">IF(ISERROR(OFFSET(Rame!$A$1,MATCH(J1124,Rame!$A:$A,0)-1,MATCH(L1124,Rame!$A$1:$AA$1,0)-1)=TRUE),0,OFFSET(Rame!$A$1,MATCH(J1124,Rame!$A:$A,0)-1,MATCH(L1124,Rame!$A$1:$AA$1,0)-1))*IF(G1124="Rame",1,0)</f>
        <v>0</v>
      </c>
      <c r="P1124" s="205">
        <v>0</v>
      </c>
      <c r="Q1124" s="205">
        <f t="shared" ca="1" si="323"/>
        <v>0</v>
      </c>
      <c r="R1124" s="205">
        <f ca="1">+IF(ISERROR(OFFSET(Tabella!$G$1,MATCH(J1124,Tabella!$G:$G,0)-1,MATCH(K1124,Tabella!$G$1:$FG$1,0)-1)=TRUE),0,OFFSET(Tabella!$G$1,MATCH(J1124,Tabella!$G:$G,0)-1,MATCH(K1124,Tabella!$G$1:$AB$1,0)-1))</f>
        <v>0</v>
      </c>
      <c r="S1124" s="205">
        <f ca="1">IF(ISERROR(OFFSET(Ottone!$F$1,MATCH(J1124,Ottone!$A:$A,0)-1,MATCH(K1124,Ottone!$F$1:$FF$1,0)-1)=TRUE),0,OFFSET(Ottone!$F$1,MATCH(J1124,Ottone!$A:$A,0)-1,MATCH(K1124,Ottone!$F$1:$FF$1,0)-1))*IF(G1124="Ottone",1,0)</f>
        <v>0</v>
      </c>
      <c r="T1124" s="205">
        <f ca="1">IF(ISERROR(OFFSET(Rame!$F$1,MATCH(J1124,Rame!$F:$F,0)-1,MATCH(K1124,Rame!$F$1:$FF$1,0)-1)=TRUE),0,OFFSET(Rame!$F$1,MATCH(J1124,Rame!$F:$F,0)-1,MATCH(K1124,Rame!$F$1:$FF$1,0)-1))*IF(G1124="Rame",1,0)</f>
        <v>0</v>
      </c>
      <c r="U1124" s="205">
        <f ca="1">IF(ISERROR(OFFSET(Bronzo!$A$1,MATCH(J1124,Bronzo!$A:$A,0)-1,MATCH(K1124,Bronzo!$A$1:$AA$1,0)-1)=TRUE),0,OFFSET(Bronzo!$A$1,MATCH(J1124,Bronzo!$A:$A,0)-1,MATCH(K1124,Bronzo!$A$1:$AA$1,0)-1))</f>
        <v>0</v>
      </c>
      <c r="V1124" s="205">
        <f t="shared" ca="1" si="324"/>
        <v>0</v>
      </c>
      <c r="W1124" s="204"/>
      <c r="X1124" s="205">
        <v>0</v>
      </c>
      <c r="Y1124" s="206">
        <f t="shared" ca="1" si="325"/>
        <v>0</v>
      </c>
      <c r="Z1124" s="277">
        <f t="shared" si="326"/>
        <v>0</v>
      </c>
      <c r="AA1124" s="203"/>
      <c r="AB1124" s="203">
        <f t="shared" ca="1" si="327"/>
        <v>0</v>
      </c>
      <c r="AC1124" s="238"/>
      <c r="AI1124" s="367">
        <f t="shared" ca="1" si="322"/>
        <v>46092</v>
      </c>
      <c r="AJ1124" s="367" t="b">
        <f t="shared" si="328"/>
        <v>1</v>
      </c>
      <c r="AK1124" s="370" t="str">
        <f t="shared" si="329"/>
        <v/>
      </c>
      <c r="AN1124">
        <f t="shared" si="330"/>
        <v>0</v>
      </c>
      <c r="AO1124">
        <f t="shared" si="331"/>
        <v>1900</v>
      </c>
      <c r="AV1124">
        <f t="shared" si="320"/>
        <v>0</v>
      </c>
      <c r="AW1124">
        <f t="shared" si="321"/>
        <v>0</v>
      </c>
    </row>
    <row r="1125" spans="4:49" ht="15.75" x14ac:dyDescent="0.25">
      <c r="D1125" s="199"/>
      <c r="E1125" s="200"/>
      <c r="F1125" s="287"/>
      <c r="G1125" s="201"/>
      <c r="H1125" s="219"/>
      <c r="I1125" s="202"/>
      <c r="J1125" s="200"/>
      <c r="K1125" s="200"/>
      <c r="L1125" s="203"/>
      <c r="M1125" s="204">
        <f ca="1">IF(ISERROR(OFFSET(Tabella!$A$1,MATCH(J1125,Tabella!$A:$A,0)-1,MATCH(L1125,Tabella!$A$1:$AC$1,0)-1)=TRUE),0,+OFFSET(Tabella!$A$1,MATCH(J1125,Tabella!$A:$A,0)-1,MATCH(L1125,Tabella!$A$1:$AC$1,0)-1))</f>
        <v>0</v>
      </c>
      <c r="N1125" s="205">
        <f ca="1">IF(ISERROR(OFFSET(Ottone!$A$1,MATCH(J1125,Ottone!$A:$A,0)-1,MATCH(L1125,Ottone!$A$1:$Z$1,0)-1)=TRUE),0,OFFSET(Ottone!$A$1,MATCH(J1125,Ottone!$A:$A,0)-1,MATCH(L1125,Ottone!$A$1:$Z$1,0)-1))*IF(G1125="Ottone",1,0)</f>
        <v>0</v>
      </c>
      <c r="O1125" s="205">
        <f ca="1">IF(ISERROR(OFFSET(Rame!$A$1,MATCH(J1125,Rame!$A:$A,0)-1,MATCH(L1125,Rame!$A$1:$AA$1,0)-1)=TRUE),0,OFFSET(Rame!$A$1,MATCH(J1125,Rame!$A:$A,0)-1,MATCH(L1125,Rame!$A$1:$AA$1,0)-1))*IF(G1125="Rame",1,0)</f>
        <v>0</v>
      </c>
      <c r="P1125" s="205">
        <v>0</v>
      </c>
      <c r="Q1125" s="205">
        <f t="shared" ca="1" si="323"/>
        <v>0</v>
      </c>
      <c r="R1125" s="205">
        <f ca="1">+IF(ISERROR(OFFSET(Tabella!$G$1,MATCH(J1125,Tabella!$G:$G,0)-1,MATCH(K1125,Tabella!$G$1:$FG$1,0)-1)=TRUE),0,OFFSET(Tabella!$G$1,MATCH(J1125,Tabella!$G:$G,0)-1,MATCH(K1125,Tabella!$G$1:$AB$1,0)-1))</f>
        <v>0</v>
      </c>
      <c r="S1125" s="205">
        <f ca="1">IF(ISERROR(OFFSET(Ottone!$F$1,MATCH(J1125,Ottone!$A:$A,0)-1,MATCH(K1125,Ottone!$F$1:$FF$1,0)-1)=TRUE),0,OFFSET(Ottone!$F$1,MATCH(J1125,Ottone!$A:$A,0)-1,MATCH(K1125,Ottone!$F$1:$FF$1,0)-1))*IF(G1125="Ottone",1,0)</f>
        <v>0</v>
      </c>
      <c r="T1125" s="205">
        <f ca="1">IF(ISERROR(OFFSET(Rame!$F$1,MATCH(J1125,Rame!$F:$F,0)-1,MATCH(K1125,Rame!$F$1:$FF$1,0)-1)=TRUE),0,OFFSET(Rame!$F$1,MATCH(J1125,Rame!$F:$F,0)-1,MATCH(K1125,Rame!$F$1:$FF$1,0)-1))*IF(G1125="Rame",1,0)</f>
        <v>0</v>
      </c>
      <c r="U1125" s="205">
        <f ca="1">IF(ISERROR(OFFSET(Bronzo!$A$1,MATCH(J1125,Bronzo!$A:$A,0)-1,MATCH(K1125,Bronzo!$A$1:$AA$1,0)-1)=TRUE),0,OFFSET(Bronzo!$A$1,MATCH(J1125,Bronzo!$A:$A,0)-1,MATCH(K1125,Bronzo!$A$1:$AA$1,0)-1))</f>
        <v>0</v>
      </c>
      <c r="V1125" s="205">
        <f t="shared" ca="1" si="324"/>
        <v>0</v>
      </c>
      <c r="W1125" s="204"/>
      <c r="X1125" s="205">
        <v>0</v>
      </c>
      <c r="Y1125" s="206">
        <f t="shared" ca="1" si="325"/>
        <v>0</v>
      </c>
      <c r="Z1125" s="277">
        <f t="shared" si="326"/>
        <v>0</v>
      </c>
      <c r="AA1125" s="203"/>
      <c r="AB1125" s="203">
        <f t="shared" ca="1" si="327"/>
        <v>0</v>
      </c>
      <c r="AC1125" s="238"/>
      <c r="AI1125" s="367">
        <f t="shared" ca="1" si="322"/>
        <v>46092</v>
      </c>
      <c r="AJ1125" s="367" t="b">
        <f t="shared" si="328"/>
        <v>1</v>
      </c>
      <c r="AK1125" s="370" t="str">
        <f t="shared" si="329"/>
        <v/>
      </c>
      <c r="AN1125">
        <f t="shared" si="330"/>
        <v>0</v>
      </c>
      <c r="AO1125">
        <f t="shared" si="331"/>
        <v>1900</v>
      </c>
      <c r="AV1125">
        <f t="shared" ref="AV1125:AV1188" si="332">IF(AC1125="",0,MONTH(AC1125))</f>
        <v>0</v>
      </c>
      <c r="AW1125">
        <f t="shared" ref="AW1125:AW1188" si="333">IF(AC1125="",0,YEAR(AC1125))</f>
        <v>0</v>
      </c>
    </row>
    <row r="1126" spans="4:49" ht="15.75" x14ac:dyDescent="0.25">
      <c r="D1126" s="199"/>
      <c r="E1126" s="200"/>
      <c r="F1126" s="287"/>
      <c r="G1126" s="201"/>
      <c r="H1126" s="219"/>
      <c r="I1126" s="202"/>
      <c r="J1126" s="200"/>
      <c r="K1126" s="200"/>
      <c r="L1126" s="203"/>
      <c r="M1126" s="204">
        <f ca="1">IF(ISERROR(OFFSET(Tabella!$A$1,MATCH(J1126,Tabella!$A:$A,0)-1,MATCH(L1126,Tabella!$A$1:$AC$1,0)-1)=TRUE),0,+OFFSET(Tabella!$A$1,MATCH(J1126,Tabella!$A:$A,0)-1,MATCH(L1126,Tabella!$A$1:$AC$1,0)-1))</f>
        <v>0</v>
      </c>
      <c r="N1126" s="205">
        <f ca="1">IF(ISERROR(OFFSET(Ottone!$A$1,MATCH(J1126,Ottone!$A:$A,0)-1,MATCH(L1126,Ottone!$A$1:$Z$1,0)-1)=TRUE),0,OFFSET(Ottone!$A$1,MATCH(J1126,Ottone!$A:$A,0)-1,MATCH(L1126,Ottone!$A$1:$Z$1,0)-1))*IF(G1126="Ottone",1,0)</f>
        <v>0</v>
      </c>
      <c r="O1126" s="205">
        <f ca="1">IF(ISERROR(OFFSET(Rame!$A$1,MATCH(J1126,Rame!$A:$A,0)-1,MATCH(L1126,Rame!$A$1:$AA$1,0)-1)=TRUE),0,OFFSET(Rame!$A$1,MATCH(J1126,Rame!$A:$A,0)-1,MATCH(L1126,Rame!$A$1:$AA$1,0)-1))*IF(G1126="Rame",1,0)</f>
        <v>0</v>
      </c>
      <c r="P1126" s="205">
        <v>0</v>
      </c>
      <c r="Q1126" s="205">
        <f t="shared" ca="1" si="323"/>
        <v>0</v>
      </c>
      <c r="R1126" s="205">
        <f ca="1">+IF(ISERROR(OFFSET(Tabella!$G$1,MATCH(J1126,Tabella!$G:$G,0)-1,MATCH(K1126,Tabella!$G$1:$FG$1,0)-1)=TRUE),0,OFFSET(Tabella!$G$1,MATCH(J1126,Tabella!$G:$G,0)-1,MATCH(K1126,Tabella!$G$1:$AB$1,0)-1))</f>
        <v>0</v>
      </c>
      <c r="S1126" s="205">
        <f ca="1">IF(ISERROR(OFFSET(Ottone!$F$1,MATCH(J1126,Ottone!$A:$A,0)-1,MATCH(K1126,Ottone!$F$1:$FF$1,0)-1)=TRUE),0,OFFSET(Ottone!$F$1,MATCH(J1126,Ottone!$A:$A,0)-1,MATCH(K1126,Ottone!$F$1:$FF$1,0)-1))*IF(G1126="Ottone",1,0)</f>
        <v>0</v>
      </c>
      <c r="T1126" s="205">
        <f ca="1">IF(ISERROR(OFFSET(Rame!$F$1,MATCH(J1126,Rame!$F:$F,0)-1,MATCH(K1126,Rame!$F$1:$FF$1,0)-1)=TRUE),0,OFFSET(Rame!$F$1,MATCH(J1126,Rame!$F:$F,0)-1,MATCH(K1126,Rame!$F$1:$FF$1,0)-1))*IF(G1126="Rame",1,0)</f>
        <v>0</v>
      </c>
      <c r="U1126" s="205">
        <f ca="1">IF(ISERROR(OFFSET(Bronzo!$A$1,MATCH(J1126,Bronzo!$A:$A,0)-1,MATCH(K1126,Bronzo!$A$1:$AA$1,0)-1)=TRUE),0,OFFSET(Bronzo!$A$1,MATCH(J1126,Bronzo!$A:$A,0)-1,MATCH(K1126,Bronzo!$A$1:$AA$1,0)-1))</f>
        <v>0</v>
      </c>
      <c r="V1126" s="205">
        <f t="shared" ca="1" si="324"/>
        <v>0</v>
      </c>
      <c r="W1126" s="204"/>
      <c r="X1126" s="205">
        <v>0</v>
      </c>
      <c r="Y1126" s="206">
        <f t="shared" ca="1" si="325"/>
        <v>0</v>
      </c>
      <c r="Z1126" s="277">
        <f t="shared" si="326"/>
        <v>0</v>
      </c>
      <c r="AA1126" s="203"/>
      <c r="AB1126" s="203">
        <f t="shared" ca="1" si="327"/>
        <v>0</v>
      </c>
      <c r="AC1126" s="238"/>
      <c r="AI1126" s="367">
        <f t="shared" ca="1" si="322"/>
        <v>46092</v>
      </c>
      <c r="AJ1126" s="367" t="b">
        <f t="shared" si="328"/>
        <v>1</v>
      </c>
      <c r="AK1126" s="370" t="str">
        <f t="shared" si="329"/>
        <v/>
      </c>
      <c r="AN1126">
        <f t="shared" si="330"/>
        <v>0</v>
      </c>
      <c r="AO1126">
        <f t="shared" si="331"/>
        <v>1900</v>
      </c>
      <c r="AV1126">
        <f t="shared" si="332"/>
        <v>0</v>
      </c>
      <c r="AW1126">
        <f t="shared" si="333"/>
        <v>0</v>
      </c>
    </row>
    <row r="1127" spans="4:49" ht="15.75" x14ac:dyDescent="0.25">
      <c r="D1127" s="199"/>
      <c r="E1127" s="200"/>
      <c r="F1127" s="287"/>
      <c r="G1127" s="201"/>
      <c r="H1127" s="219"/>
      <c r="I1127" s="202"/>
      <c r="J1127" s="200"/>
      <c r="K1127" s="200"/>
      <c r="L1127" s="203"/>
      <c r="M1127" s="204">
        <f ca="1">IF(ISERROR(OFFSET(Tabella!$A$1,MATCH(J1127,Tabella!$A:$A,0)-1,MATCH(L1127,Tabella!$A$1:$AC$1,0)-1)=TRUE),0,+OFFSET(Tabella!$A$1,MATCH(J1127,Tabella!$A:$A,0)-1,MATCH(L1127,Tabella!$A$1:$AC$1,0)-1))</f>
        <v>0</v>
      </c>
      <c r="N1127" s="205">
        <f ca="1">IF(ISERROR(OFFSET(Ottone!$A$1,MATCH(J1127,Ottone!$A:$A,0)-1,MATCH(L1127,Ottone!$A$1:$Z$1,0)-1)=TRUE),0,OFFSET(Ottone!$A$1,MATCH(J1127,Ottone!$A:$A,0)-1,MATCH(L1127,Ottone!$A$1:$Z$1,0)-1))*IF(G1127="Ottone",1,0)</f>
        <v>0</v>
      </c>
      <c r="O1127" s="205">
        <f ca="1">IF(ISERROR(OFFSET(Rame!$A$1,MATCH(J1127,Rame!$A:$A,0)-1,MATCH(L1127,Rame!$A$1:$AA$1,0)-1)=TRUE),0,OFFSET(Rame!$A$1,MATCH(J1127,Rame!$A:$A,0)-1,MATCH(L1127,Rame!$A$1:$AA$1,0)-1))*IF(G1127="Rame",1,0)</f>
        <v>0</v>
      </c>
      <c r="P1127" s="205">
        <v>0</v>
      </c>
      <c r="Q1127" s="205">
        <f t="shared" ca="1" si="323"/>
        <v>0</v>
      </c>
      <c r="R1127" s="205">
        <f ca="1">+IF(ISERROR(OFFSET(Tabella!$G$1,MATCH(J1127,Tabella!$G:$G,0)-1,MATCH(K1127,Tabella!$G$1:$FG$1,0)-1)=TRUE),0,OFFSET(Tabella!$G$1,MATCH(J1127,Tabella!$G:$G,0)-1,MATCH(K1127,Tabella!$G$1:$AB$1,0)-1))</f>
        <v>0</v>
      </c>
      <c r="S1127" s="205">
        <f ca="1">IF(ISERROR(OFFSET(Ottone!$F$1,MATCH(J1127,Ottone!$A:$A,0)-1,MATCH(K1127,Ottone!$F$1:$FF$1,0)-1)=TRUE),0,OFFSET(Ottone!$F$1,MATCH(J1127,Ottone!$A:$A,0)-1,MATCH(K1127,Ottone!$F$1:$FF$1,0)-1))*IF(G1127="Ottone",1,0)</f>
        <v>0</v>
      </c>
      <c r="T1127" s="205">
        <f ca="1">IF(ISERROR(OFFSET(Rame!$F$1,MATCH(J1127,Rame!$F:$F,0)-1,MATCH(K1127,Rame!$F$1:$FF$1,0)-1)=TRUE),0,OFFSET(Rame!$F$1,MATCH(J1127,Rame!$F:$F,0)-1,MATCH(K1127,Rame!$F$1:$FF$1,0)-1))*IF(G1127="Rame",1,0)</f>
        <v>0</v>
      </c>
      <c r="U1127" s="205">
        <f ca="1">IF(ISERROR(OFFSET(Bronzo!$A$1,MATCH(J1127,Bronzo!$A:$A,0)-1,MATCH(K1127,Bronzo!$A$1:$AA$1,0)-1)=TRUE),0,OFFSET(Bronzo!$A$1,MATCH(J1127,Bronzo!$A:$A,0)-1,MATCH(K1127,Bronzo!$A$1:$AA$1,0)-1))</f>
        <v>0</v>
      </c>
      <c r="V1127" s="205">
        <f t="shared" ca="1" si="324"/>
        <v>0</v>
      </c>
      <c r="W1127" s="204"/>
      <c r="X1127" s="205">
        <v>0</v>
      </c>
      <c r="Y1127" s="206">
        <f t="shared" ca="1" si="325"/>
        <v>0</v>
      </c>
      <c r="Z1127" s="277">
        <f t="shared" si="326"/>
        <v>0</v>
      </c>
      <c r="AA1127" s="203"/>
      <c r="AB1127" s="203">
        <f t="shared" ca="1" si="327"/>
        <v>0</v>
      </c>
      <c r="AC1127" s="238"/>
      <c r="AI1127" s="367">
        <f t="shared" ca="1" si="322"/>
        <v>46092</v>
      </c>
      <c r="AJ1127" s="367" t="b">
        <f t="shared" si="328"/>
        <v>1</v>
      </c>
      <c r="AK1127" s="370" t="str">
        <f t="shared" si="329"/>
        <v/>
      </c>
      <c r="AN1127">
        <f t="shared" si="330"/>
        <v>0</v>
      </c>
      <c r="AO1127">
        <f t="shared" si="331"/>
        <v>1900</v>
      </c>
      <c r="AV1127">
        <f t="shared" si="332"/>
        <v>0</v>
      </c>
      <c r="AW1127">
        <f t="shared" si="333"/>
        <v>0</v>
      </c>
    </row>
    <row r="1128" spans="4:49" ht="15.75" x14ac:dyDescent="0.25">
      <c r="D1128" s="199"/>
      <c r="E1128" s="200"/>
      <c r="F1128" s="287"/>
      <c r="G1128" s="201"/>
      <c r="H1128" s="219"/>
      <c r="I1128" s="202"/>
      <c r="J1128" s="200"/>
      <c r="K1128" s="200"/>
      <c r="L1128" s="203"/>
      <c r="M1128" s="204">
        <f ca="1">IF(ISERROR(OFFSET(Tabella!$A$1,MATCH(J1128,Tabella!$A:$A,0)-1,MATCH(L1128,Tabella!$A$1:$AC$1,0)-1)=TRUE),0,+OFFSET(Tabella!$A$1,MATCH(J1128,Tabella!$A:$A,0)-1,MATCH(L1128,Tabella!$A$1:$AC$1,0)-1))</f>
        <v>0</v>
      </c>
      <c r="N1128" s="205">
        <f ca="1">IF(ISERROR(OFFSET(Ottone!$A$1,MATCH(J1128,Ottone!$A:$A,0)-1,MATCH(L1128,Ottone!$A$1:$Z$1,0)-1)=TRUE),0,OFFSET(Ottone!$A$1,MATCH(J1128,Ottone!$A:$A,0)-1,MATCH(L1128,Ottone!$A$1:$Z$1,0)-1))*IF(G1128="Ottone",1,0)</f>
        <v>0</v>
      </c>
      <c r="O1128" s="205">
        <f ca="1">IF(ISERROR(OFFSET(Rame!$A$1,MATCH(J1128,Rame!$A:$A,0)-1,MATCH(L1128,Rame!$A$1:$AA$1,0)-1)=TRUE),0,OFFSET(Rame!$A$1,MATCH(J1128,Rame!$A:$A,0)-1,MATCH(L1128,Rame!$A$1:$AA$1,0)-1))*IF(G1128="Rame",1,0)</f>
        <v>0</v>
      </c>
      <c r="P1128" s="205">
        <v>0</v>
      </c>
      <c r="Q1128" s="205">
        <f t="shared" ca="1" si="323"/>
        <v>0</v>
      </c>
      <c r="R1128" s="205">
        <f ca="1">+IF(ISERROR(OFFSET(Tabella!$G$1,MATCH(J1128,Tabella!$G:$G,0)-1,MATCH(K1128,Tabella!$G$1:$FG$1,0)-1)=TRUE),0,OFFSET(Tabella!$G$1,MATCH(J1128,Tabella!$G:$G,0)-1,MATCH(K1128,Tabella!$G$1:$AB$1,0)-1))</f>
        <v>0</v>
      </c>
      <c r="S1128" s="205">
        <f ca="1">IF(ISERROR(OFFSET(Ottone!$F$1,MATCH(J1128,Ottone!$A:$A,0)-1,MATCH(K1128,Ottone!$F$1:$FF$1,0)-1)=TRUE),0,OFFSET(Ottone!$F$1,MATCH(J1128,Ottone!$A:$A,0)-1,MATCH(K1128,Ottone!$F$1:$FF$1,0)-1))*IF(G1128="Ottone",1,0)</f>
        <v>0</v>
      </c>
      <c r="T1128" s="205">
        <f ca="1">IF(ISERROR(OFFSET(Rame!$F$1,MATCH(J1128,Rame!$F:$F,0)-1,MATCH(K1128,Rame!$F$1:$FF$1,0)-1)=TRUE),0,OFFSET(Rame!$F$1,MATCH(J1128,Rame!$F:$F,0)-1,MATCH(K1128,Rame!$F$1:$FF$1,0)-1))*IF(G1128="Rame",1,0)</f>
        <v>0</v>
      </c>
      <c r="U1128" s="205">
        <f ca="1">IF(ISERROR(OFFSET(Bronzo!$A$1,MATCH(J1128,Bronzo!$A:$A,0)-1,MATCH(K1128,Bronzo!$A$1:$AA$1,0)-1)=TRUE),0,OFFSET(Bronzo!$A$1,MATCH(J1128,Bronzo!$A:$A,0)-1,MATCH(K1128,Bronzo!$A$1:$AA$1,0)-1))</f>
        <v>0</v>
      </c>
      <c r="V1128" s="205">
        <f t="shared" ca="1" si="324"/>
        <v>0</v>
      </c>
      <c r="W1128" s="204"/>
      <c r="X1128" s="205">
        <v>0</v>
      </c>
      <c r="Y1128" s="206">
        <f t="shared" ca="1" si="325"/>
        <v>0</v>
      </c>
      <c r="Z1128" s="277">
        <f t="shared" si="326"/>
        <v>0</v>
      </c>
      <c r="AA1128" s="203"/>
      <c r="AB1128" s="203">
        <f t="shared" ca="1" si="327"/>
        <v>0</v>
      </c>
      <c r="AC1128" s="238"/>
      <c r="AI1128" s="367">
        <f t="shared" ca="1" si="322"/>
        <v>46092</v>
      </c>
      <c r="AJ1128" s="367" t="b">
        <f t="shared" si="328"/>
        <v>1</v>
      </c>
      <c r="AK1128" s="370" t="str">
        <f t="shared" si="329"/>
        <v/>
      </c>
      <c r="AN1128">
        <f t="shared" si="330"/>
        <v>0</v>
      </c>
      <c r="AO1128">
        <f t="shared" si="331"/>
        <v>1900</v>
      </c>
      <c r="AV1128">
        <f t="shared" si="332"/>
        <v>0</v>
      </c>
      <c r="AW1128">
        <f t="shared" si="333"/>
        <v>0</v>
      </c>
    </row>
    <row r="1129" spans="4:49" ht="15.75" x14ac:dyDescent="0.25">
      <c r="D1129" s="199"/>
      <c r="E1129" s="200"/>
      <c r="F1129" s="287"/>
      <c r="G1129" s="201"/>
      <c r="H1129" s="219"/>
      <c r="I1129" s="202"/>
      <c r="J1129" s="200"/>
      <c r="K1129" s="200"/>
      <c r="L1129" s="203"/>
      <c r="M1129" s="204">
        <f ca="1">IF(ISERROR(OFFSET(Tabella!$A$1,MATCH(J1129,Tabella!$A:$A,0)-1,MATCH(L1129,Tabella!$A$1:$AC$1,0)-1)=TRUE),0,+OFFSET(Tabella!$A$1,MATCH(J1129,Tabella!$A:$A,0)-1,MATCH(L1129,Tabella!$A$1:$AC$1,0)-1))</f>
        <v>0</v>
      </c>
      <c r="N1129" s="205">
        <f ca="1">IF(ISERROR(OFFSET(Ottone!$A$1,MATCH(J1129,Ottone!$A:$A,0)-1,MATCH(L1129,Ottone!$A$1:$Z$1,0)-1)=TRUE),0,OFFSET(Ottone!$A$1,MATCH(J1129,Ottone!$A:$A,0)-1,MATCH(L1129,Ottone!$A$1:$Z$1,0)-1))*IF(G1129="Ottone",1,0)</f>
        <v>0</v>
      </c>
      <c r="O1129" s="205">
        <f ca="1">IF(ISERROR(OFFSET(Rame!$A$1,MATCH(J1129,Rame!$A:$A,0)-1,MATCH(L1129,Rame!$A$1:$AA$1,0)-1)=TRUE),0,OFFSET(Rame!$A$1,MATCH(J1129,Rame!$A:$A,0)-1,MATCH(L1129,Rame!$A$1:$AA$1,0)-1))*IF(G1129="Rame",1,0)</f>
        <v>0</v>
      </c>
      <c r="P1129" s="205">
        <v>0</v>
      </c>
      <c r="Q1129" s="205">
        <f t="shared" ca="1" si="323"/>
        <v>0</v>
      </c>
      <c r="R1129" s="205">
        <f ca="1">+IF(ISERROR(OFFSET(Tabella!$G$1,MATCH(J1129,Tabella!$G:$G,0)-1,MATCH(K1129,Tabella!$G$1:$FG$1,0)-1)=TRUE),0,OFFSET(Tabella!$G$1,MATCH(J1129,Tabella!$G:$G,0)-1,MATCH(K1129,Tabella!$G$1:$AB$1,0)-1))</f>
        <v>0</v>
      </c>
      <c r="S1129" s="205">
        <f ca="1">IF(ISERROR(OFFSET(Ottone!$F$1,MATCH(J1129,Ottone!$A:$A,0)-1,MATCH(K1129,Ottone!$F$1:$FF$1,0)-1)=TRUE),0,OFFSET(Ottone!$F$1,MATCH(J1129,Ottone!$A:$A,0)-1,MATCH(K1129,Ottone!$F$1:$FF$1,0)-1))*IF(G1129="Ottone",1,0)</f>
        <v>0</v>
      </c>
      <c r="T1129" s="205">
        <f ca="1">IF(ISERROR(OFFSET(Rame!$F$1,MATCH(J1129,Rame!$F:$F,0)-1,MATCH(K1129,Rame!$F$1:$FF$1,0)-1)=TRUE),0,OFFSET(Rame!$F$1,MATCH(J1129,Rame!$F:$F,0)-1,MATCH(K1129,Rame!$F$1:$FF$1,0)-1))*IF(G1129="Rame",1,0)</f>
        <v>0</v>
      </c>
      <c r="U1129" s="205">
        <f ca="1">IF(ISERROR(OFFSET(Bronzo!$A$1,MATCH(J1129,Bronzo!$A:$A,0)-1,MATCH(K1129,Bronzo!$A$1:$AA$1,0)-1)=TRUE),0,OFFSET(Bronzo!$A$1,MATCH(J1129,Bronzo!$A:$A,0)-1,MATCH(K1129,Bronzo!$A$1:$AA$1,0)-1))</f>
        <v>0</v>
      </c>
      <c r="V1129" s="205">
        <f t="shared" ca="1" si="324"/>
        <v>0</v>
      </c>
      <c r="W1129" s="204"/>
      <c r="X1129" s="205">
        <v>0</v>
      </c>
      <c r="Y1129" s="206">
        <f t="shared" ca="1" si="325"/>
        <v>0</v>
      </c>
      <c r="Z1129" s="277">
        <f t="shared" si="326"/>
        <v>0</v>
      </c>
      <c r="AA1129" s="203"/>
      <c r="AB1129" s="203">
        <f t="shared" ca="1" si="327"/>
        <v>0</v>
      </c>
      <c r="AC1129" s="238"/>
      <c r="AI1129" s="367">
        <f t="shared" ca="1" si="322"/>
        <v>46092</v>
      </c>
      <c r="AJ1129" s="367" t="b">
        <f t="shared" si="328"/>
        <v>1</v>
      </c>
      <c r="AK1129" s="370" t="str">
        <f t="shared" si="329"/>
        <v/>
      </c>
      <c r="AN1129">
        <f t="shared" si="330"/>
        <v>0</v>
      </c>
      <c r="AO1129">
        <f t="shared" si="331"/>
        <v>1900</v>
      </c>
      <c r="AV1129">
        <f t="shared" si="332"/>
        <v>0</v>
      </c>
      <c r="AW1129">
        <f t="shared" si="333"/>
        <v>0</v>
      </c>
    </row>
    <row r="1130" spans="4:49" ht="15.75" x14ac:dyDescent="0.25">
      <c r="D1130" s="199"/>
      <c r="E1130" s="200"/>
      <c r="F1130" s="287"/>
      <c r="G1130" s="201"/>
      <c r="H1130" s="219"/>
      <c r="I1130" s="202"/>
      <c r="J1130" s="200"/>
      <c r="K1130" s="200"/>
      <c r="L1130" s="203"/>
      <c r="M1130" s="204">
        <f ca="1">IF(ISERROR(OFFSET(Tabella!$A$1,MATCH(J1130,Tabella!$A:$A,0)-1,MATCH(L1130,Tabella!$A$1:$AC$1,0)-1)=TRUE),0,+OFFSET(Tabella!$A$1,MATCH(J1130,Tabella!$A:$A,0)-1,MATCH(L1130,Tabella!$A$1:$AC$1,0)-1))</f>
        <v>0</v>
      </c>
      <c r="N1130" s="205">
        <f ca="1">IF(ISERROR(OFFSET(Ottone!$A$1,MATCH(J1130,Ottone!$A:$A,0)-1,MATCH(L1130,Ottone!$A$1:$Z$1,0)-1)=TRUE),0,OFFSET(Ottone!$A$1,MATCH(J1130,Ottone!$A:$A,0)-1,MATCH(L1130,Ottone!$A$1:$Z$1,0)-1))*IF(G1130="Ottone",1,0)</f>
        <v>0</v>
      </c>
      <c r="O1130" s="205">
        <f ca="1">IF(ISERROR(OFFSET(Rame!$A$1,MATCH(J1130,Rame!$A:$A,0)-1,MATCH(L1130,Rame!$A$1:$AA$1,0)-1)=TRUE),0,OFFSET(Rame!$A$1,MATCH(J1130,Rame!$A:$A,0)-1,MATCH(L1130,Rame!$A$1:$AA$1,0)-1))*IF(G1130="Rame",1,0)</f>
        <v>0</v>
      </c>
      <c r="P1130" s="205">
        <v>0</v>
      </c>
      <c r="Q1130" s="205">
        <f t="shared" ca="1" si="323"/>
        <v>0</v>
      </c>
      <c r="R1130" s="205">
        <f ca="1">+IF(ISERROR(OFFSET(Tabella!$G$1,MATCH(J1130,Tabella!$G:$G,0)-1,MATCH(K1130,Tabella!$G$1:$FG$1,0)-1)=TRUE),0,OFFSET(Tabella!$G$1,MATCH(J1130,Tabella!$G:$G,0)-1,MATCH(K1130,Tabella!$G$1:$AB$1,0)-1))</f>
        <v>0</v>
      </c>
      <c r="S1130" s="205">
        <f ca="1">IF(ISERROR(OFFSET(Ottone!$F$1,MATCH(J1130,Ottone!$A:$A,0)-1,MATCH(K1130,Ottone!$F$1:$FF$1,0)-1)=TRUE),0,OFFSET(Ottone!$F$1,MATCH(J1130,Ottone!$A:$A,0)-1,MATCH(K1130,Ottone!$F$1:$FF$1,0)-1))*IF(G1130="Ottone",1,0)</f>
        <v>0</v>
      </c>
      <c r="T1130" s="205">
        <f ca="1">IF(ISERROR(OFFSET(Rame!$F$1,MATCH(J1130,Rame!$F:$F,0)-1,MATCH(K1130,Rame!$F$1:$FF$1,0)-1)=TRUE),0,OFFSET(Rame!$F$1,MATCH(J1130,Rame!$F:$F,0)-1,MATCH(K1130,Rame!$F$1:$FF$1,0)-1))*IF(G1130="Rame",1,0)</f>
        <v>0</v>
      </c>
      <c r="U1130" s="205">
        <f ca="1">IF(ISERROR(OFFSET(Bronzo!$A$1,MATCH(J1130,Bronzo!$A:$A,0)-1,MATCH(K1130,Bronzo!$A$1:$AA$1,0)-1)=TRUE),0,OFFSET(Bronzo!$A$1,MATCH(J1130,Bronzo!$A:$A,0)-1,MATCH(K1130,Bronzo!$A$1:$AA$1,0)-1))</f>
        <v>0</v>
      </c>
      <c r="V1130" s="205">
        <f t="shared" ca="1" si="324"/>
        <v>0</v>
      </c>
      <c r="W1130" s="204"/>
      <c r="X1130" s="205">
        <v>0</v>
      </c>
      <c r="Y1130" s="206">
        <f t="shared" ca="1" si="325"/>
        <v>0</v>
      </c>
      <c r="Z1130" s="277">
        <f t="shared" si="326"/>
        <v>0</v>
      </c>
      <c r="AA1130" s="203"/>
      <c r="AB1130" s="203">
        <f t="shared" ca="1" si="327"/>
        <v>0</v>
      </c>
      <c r="AC1130" s="238"/>
      <c r="AI1130" s="367">
        <f t="shared" ca="1" si="322"/>
        <v>46092</v>
      </c>
      <c r="AJ1130" s="367" t="b">
        <f t="shared" si="328"/>
        <v>1</v>
      </c>
      <c r="AK1130" s="370" t="str">
        <f t="shared" si="329"/>
        <v/>
      </c>
      <c r="AN1130">
        <f t="shared" si="330"/>
        <v>0</v>
      </c>
      <c r="AO1130">
        <f t="shared" si="331"/>
        <v>1900</v>
      </c>
      <c r="AV1130">
        <f t="shared" si="332"/>
        <v>0</v>
      </c>
      <c r="AW1130">
        <f t="shared" si="333"/>
        <v>0</v>
      </c>
    </row>
    <row r="1131" spans="4:49" ht="15.75" x14ac:dyDescent="0.25">
      <c r="D1131" s="199"/>
      <c r="E1131" s="200"/>
      <c r="F1131" s="287"/>
      <c r="G1131" s="201"/>
      <c r="H1131" s="219"/>
      <c r="I1131" s="202"/>
      <c r="J1131" s="200"/>
      <c r="K1131" s="200"/>
      <c r="L1131" s="203"/>
      <c r="M1131" s="204">
        <f ca="1">IF(ISERROR(OFFSET(Tabella!$A$1,MATCH(J1131,Tabella!$A:$A,0)-1,MATCH(L1131,Tabella!$A$1:$AC$1,0)-1)=TRUE),0,+OFFSET(Tabella!$A$1,MATCH(J1131,Tabella!$A:$A,0)-1,MATCH(L1131,Tabella!$A$1:$AC$1,0)-1))</f>
        <v>0</v>
      </c>
      <c r="N1131" s="205">
        <f ca="1">IF(ISERROR(OFFSET(Ottone!$A$1,MATCH(J1131,Ottone!$A:$A,0)-1,MATCH(L1131,Ottone!$A$1:$Z$1,0)-1)=TRUE),0,OFFSET(Ottone!$A$1,MATCH(J1131,Ottone!$A:$A,0)-1,MATCH(L1131,Ottone!$A$1:$Z$1,0)-1))*IF(G1131="Ottone",1,0)</f>
        <v>0</v>
      </c>
      <c r="O1131" s="205">
        <f ca="1">IF(ISERROR(OFFSET(Rame!$A$1,MATCH(J1131,Rame!$A:$A,0)-1,MATCH(L1131,Rame!$A$1:$AA$1,0)-1)=TRUE),0,OFFSET(Rame!$A$1,MATCH(J1131,Rame!$A:$A,0)-1,MATCH(L1131,Rame!$A$1:$AA$1,0)-1))*IF(G1131="Rame",1,0)</f>
        <v>0</v>
      </c>
      <c r="P1131" s="205">
        <v>0</v>
      </c>
      <c r="Q1131" s="205">
        <f t="shared" ca="1" si="323"/>
        <v>0</v>
      </c>
      <c r="R1131" s="205">
        <f ca="1">+IF(ISERROR(OFFSET(Tabella!$G$1,MATCH(J1131,Tabella!$G:$G,0)-1,MATCH(K1131,Tabella!$G$1:$FG$1,0)-1)=TRUE),0,OFFSET(Tabella!$G$1,MATCH(J1131,Tabella!$G:$G,0)-1,MATCH(K1131,Tabella!$G$1:$AB$1,0)-1))</f>
        <v>0</v>
      </c>
      <c r="S1131" s="205">
        <f ca="1">IF(ISERROR(OFFSET(Ottone!$F$1,MATCH(J1131,Ottone!$A:$A,0)-1,MATCH(K1131,Ottone!$F$1:$FF$1,0)-1)=TRUE),0,OFFSET(Ottone!$F$1,MATCH(J1131,Ottone!$A:$A,0)-1,MATCH(K1131,Ottone!$F$1:$FF$1,0)-1))*IF(G1131="Ottone",1,0)</f>
        <v>0</v>
      </c>
      <c r="T1131" s="205">
        <f ca="1">IF(ISERROR(OFFSET(Rame!$F$1,MATCH(J1131,Rame!$F:$F,0)-1,MATCH(K1131,Rame!$F$1:$FF$1,0)-1)=TRUE),0,OFFSET(Rame!$F$1,MATCH(J1131,Rame!$F:$F,0)-1,MATCH(K1131,Rame!$F$1:$FF$1,0)-1))*IF(G1131="Rame",1,0)</f>
        <v>0</v>
      </c>
      <c r="U1131" s="205">
        <f ca="1">IF(ISERROR(OFFSET(Bronzo!$A$1,MATCH(J1131,Bronzo!$A:$A,0)-1,MATCH(K1131,Bronzo!$A$1:$AA$1,0)-1)=TRUE),0,OFFSET(Bronzo!$A$1,MATCH(J1131,Bronzo!$A:$A,0)-1,MATCH(K1131,Bronzo!$A$1:$AA$1,0)-1))</f>
        <v>0</v>
      </c>
      <c r="V1131" s="205">
        <f t="shared" ca="1" si="324"/>
        <v>0</v>
      </c>
      <c r="W1131" s="204"/>
      <c r="X1131" s="205">
        <v>0</v>
      </c>
      <c r="Y1131" s="206">
        <f t="shared" ca="1" si="325"/>
        <v>0</v>
      </c>
      <c r="Z1131" s="277">
        <f t="shared" si="326"/>
        <v>0</v>
      </c>
      <c r="AA1131" s="203"/>
      <c r="AB1131" s="203">
        <f t="shared" ca="1" si="327"/>
        <v>0</v>
      </c>
      <c r="AC1131" s="238"/>
      <c r="AI1131" s="367">
        <f t="shared" ca="1" si="322"/>
        <v>46092</v>
      </c>
      <c r="AJ1131" s="367" t="b">
        <f t="shared" si="328"/>
        <v>1</v>
      </c>
      <c r="AK1131" s="370" t="str">
        <f t="shared" si="329"/>
        <v/>
      </c>
      <c r="AN1131">
        <f t="shared" si="330"/>
        <v>0</v>
      </c>
      <c r="AO1131">
        <f t="shared" si="331"/>
        <v>1900</v>
      </c>
      <c r="AV1131">
        <f t="shared" si="332"/>
        <v>0</v>
      </c>
      <c r="AW1131">
        <f t="shared" si="333"/>
        <v>0</v>
      </c>
    </row>
    <row r="1132" spans="4:49" ht="15.75" x14ac:dyDescent="0.25">
      <c r="D1132" s="199"/>
      <c r="E1132" s="200"/>
      <c r="F1132" s="287"/>
      <c r="G1132" s="201"/>
      <c r="H1132" s="219"/>
      <c r="I1132" s="202"/>
      <c r="J1132" s="200"/>
      <c r="K1132" s="200"/>
      <c r="L1132" s="203"/>
      <c r="M1132" s="204">
        <f ca="1">IF(ISERROR(OFFSET(Tabella!$A$1,MATCH(J1132,Tabella!$A:$A,0)-1,MATCH(L1132,Tabella!$A$1:$AC$1,0)-1)=TRUE),0,+OFFSET(Tabella!$A$1,MATCH(J1132,Tabella!$A:$A,0)-1,MATCH(L1132,Tabella!$A$1:$AC$1,0)-1))</f>
        <v>0</v>
      </c>
      <c r="N1132" s="205">
        <f ca="1">IF(ISERROR(OFFSET(Ottone!$A$1,MATCH(J1132,Ottone!$A:$A,0)-1,MATCH(L1132,Ottone!$A$1:$Z$1,0)-1)=TRUE),0,OFFSET(Ottone!$A$1,MATCH(J1132,Ottone!$A:$A,0)-1,MATCH(L1132,Ottone!$A$1:$Z$1,0)-1))*IF(G1132="Ottone",1,0)</f>
        <v>0</v>
      </c>
      <c r="O1132" s="205">
        <f ca="1">IF(ISERROR(OFFSET(Rame!$A$1,MATCH(J1132,Rame!$A:$A,0)-1,MATCH(L1132,Rame!$A$1:$AA$1,0)-1)=TRUE),0,OFFSET(Rame!$A$1,MATCH(J1132,Rame!$A:$A,0)-1,MATCH(L1132,Rame!$A$1:$AA$1,0)-1))*IF(G1132="Rame",1,0)</f>
        <v>0</v>
      </c>
      <c r="P1132" s="205">
        <v>0</v>
      </c>
      <c r="Q1132" s="205">
        <f t="shared" ca="1" si="323"/>
        <v>0</v>
      </c>
      <c r="R1132" s="205">
        <f ca="1">+IF(ISERROR(OFFSET(Tabella!$G$1,MATCH(J1132,Tabella!$G:$G,0)-1,MATCH(K1132,Tabella!$G$1:$FG$1,0)-1)=TRUE),0,OFFSET(Tabella!$G$1,MATCH(J1132,Tabella!$G:$G,0)-1,MATCH(K1132,Tabella!$G$1:$AB$1,0)-1))</f>
        <v>0</v>
      </c>
      <c r="S1132" s="205">
        <f ca="1">IF(ISERROR(OFFSET(Ottone!$F$1,MATCH(J1132,Ottone!$A:$A,0)-1,MATCH(K1132,Ottone!$F$1:$FF$1,0)-1)=TRUE),0,OFFSET(Ottone!$F$1,MATCH(J1132,Ottone!$A:$A,0)-1,MATCH(K1132,Ottone!$F$1:$FF$1,0)-1))*IF(G1132="Ottone",1,0)</f>
        <v>0</v>
      </c>
      <c r="T1132" s="205">
        <f ca="1">IF(ISERROR(OFFSET(Rame!$F$1,MATCH(J1132,Rame!$F:$F,0)-1,MATCH(K1132,Rame!$F$1:$FF$1,0)-1)=TRUE),0,OFFSET(Rame!$F$1,MATCH(J1132,Rame!$F:$F,0)-1,MATCH(K1132,Rame!$F$1:$FF$1,0)-1))*IF(G1132="Rame",1,0)</f>
        <v>0</v>
      </c>
      <c r="U1132" s="205">
        <f ca="1">IF(ISERROR(OFFSET(Bronzo!$A$1,MATCH(J1132,Bronzo!$A:$A,0)-1,MATCH(K1132,Bronzo!$A$1:$AA$1,0)-1)=TRUE),0,OFFSET(Bronzo!$A$1,MATCH(J1132,Bronzo!$A:$A,0)-1,MATCH(K1132,Bronzo!$A$1:$AA$1,0)-1))</f>
        <v>0</v>
      </c>
      <c r="V1132" s="205">
        <f t="shared" ca="1" si="324"/>
        <v>0</v>
      </c>
      <c r="W1132" s="204"/>
      <c r="X1132" s="205">
        <v>0</v>
      </c>
      <c r="Y1132" s="206">
        <f t="shared" ca="1" si="325"/>
        <v>0</v>
      </c>
      <c r="Z1132" s="277">
        <f t="shared" si="326"/>
        <v>0</v>
      </c>
      <c r="AA1132" s="203"/>
      <c r="AB1132" s="203">
        <f t="shared" ca="1" si="327"/>
        <v>0</v>
      </c>
      <c r="AC1132" s="238"/>
      <c r="AI1132" s="367">
        <f t="shared" ca="1" si="322"/>
        <v>46092</v>
      </c>
      <c r="AJ1132" s="367" t="b">
        <f t="shared" si="328"/>
        <v>1</v>
      </c>
      <c r="AK1132" s="370" t="str">
        <f t="shared" si="329"/>
        <v/>
      </c>
      <c r="AN1132">
        <f t="shared" si="330"/>
        <v>0</v>
      </c>
      <c r="AO1132">
        <f t="shared" si="331"/>
        <v>1900</v>
      </c>
      <c r="AV1132">
        <f t="shared" si="332"/>
        <v>0</v>
      </c>
      <c r="AW1132">
        <f t="shared" si="333"/>
        <v>0</v>
      </c>
    </row>
    <row r="1133" spans="4:49" ht="15.75" x14ac:dyDescent="0.25">
      <c r="D1133" s="199"/>
      <c r="E1133" s="200"/>
      <c r="F1133" s="287"/>
      <c r="G1133" s="201"/>
      <c r="H1133" s="219"/>
      <c r="I1133" s="202"/>
      <c r="J1133" s="200"/>
      <c r="K1133" s="200"/>
      <c r="L1133" s="203"/>
      <c r="M1133" s="204">
        <f ca="1">IF(ISERROR(OFFSET(Tabella!$A$1,MATCH(J1133,Tabella!$A:$A,0)-1,MATCH(L1133,Tabella!$A$1:$AC$1,0)-1)=TRUE),0,+OFFSET(Tabella!$A$1,MATCH(J1133,Tabella!$A:$A,0)-1,MATCH(L1133,Tabella!$A$1:$AC$1,0)-1))</f>
        <v>0</v>
      </c>
      <c r="N1133" s="205">
        <f ca="1">IF(ISERROR(OFFSET(Ottone!$A$1,MATCH(J1133,Ottone!$A:$A,0)-1,MATCH(L1133,Ottone!$A$1:$Z$1,0)-1)=TRUE),0,OFFSET(Ottone!$A$1,MATCH(J1133,Ottone!$A:$A,0)-1,MATCH(L1133,Ottone!$A$1:$Z$1,0)-1))*IF(G1133="Ottone",1,0)</f>
        <v>0</v>
      </c>
      <c r="O1133" s="205">
        <f ca="1">IF(ISERROR(OFFSET(Rame!$A$1,MATCH(J1133,Rame!$A:$A,0)-1,MATCH(L1133,Rame!$A$1:$AA$1,0)-1)=TRUE),0,OFFSET(Rame!$A$1,MATCH(J1133,Rame!$A:$A,0)-1,MATCH(L1133,Rame!$A$1:$AA$1,0)-1))*IF(G1133="Rame",1,0)</f>
        <v>0</v>
      </c>
      <c r="P1133" s="205">
        <v>0</v>
      </c>
      <c r="Q1133" s="205">
        <f t="shared" ca="1" si="323"/>
        <v>0</v>
      </c>
      <c r="R1133" s="205">
        <f ca="1">+IF(ISERROR(OFFSET(Tabella!$G$1,MATCH(J1133,Tabella!$G:$G,0)-1,MATCH(K1133,Tabella!$G$1:$FG$1,0)-1)=TRUE),0,OFFSET(Tabella!$G$1,MATCH(J1133,Tabella!$G:$G,0)-1,MATCH(K1133,Tabella!$G$1:$AB$1,0)-1))</f>
        <v>0</v>
      </c>
      <c r="S1133" s="205">
        <f ca="1">IF(ISERROR(OFFSET(Ottone!$F$1,MATCH(J1133,Ottone!$A:$A,0)-1,MATCH(K1133,Ottone!$F$1:$FF$1,0)-1)=TRUE),0,OFFSET(Ottone!$F$1,MATCH(J1133,Ottone!$A:$A,0)-1,MATCH(K1133,Ottone!$F$1:$FF$1,0)-1))*IF(G1133="Ottone",1,0)</f>
        <v>0</v>
      </c>
      <c r="T1133" s="205">
        <f ca="1">IF(ISERROR(OFFSET(Rame!$F$1,MATCH(J1133,Rame!$F:$F,0)-1,MATCH(K1133,Rame!$F$1:$FF$1,0)-1)=TRUE),0,OFFSET(Rame!$F$1,MATCH(J1133,Rame!$F:$F,0)-1,MATCH(K1133,Rame!$F$1:$FF$1,0)-1))*IF(G1133="Rame",1,0)</f>
        <v>0</v>
      </c>
      <c r="U1133" s="205">
        <f ca="1">IF(ISERROR(OFFSET(Bronzo!$A$1,MATCH(J1133,Bronzo!$A:$A,0)-1,MATCH(K1133,Bronzo!$A$1:$AA$1,0)-1)=TRUE),0,OFFSET(Bronzo!$A$1,MATCH(J1133,Bronzo!$A:$A,0)-1,MATCH(K1133,Bronzo!$A$1:$AA$1,0)-1))</f>
        <v>0</v>
      </c>
      <c r="V1133" s="205">
        <f t="shared" ca="1" si="324"/>
        <v>0</v>
      </c>
      <c r="W1133" s="204"/>
      <c r="X1133" s="205">
        <v>0</v>
      </c>
      <c r="Y1133" s="206">
        <f t="shared" ca="1" si="325"/>
        <v>0</v>
      </c>
      <c r="Z1133" s="277">
        <f t="shared" si="326"/>
        <v>0</v>
      </c>
      <c r="AA1133" s="203"/>
      <c r="AB1133" s="203">
        <f t="shared" ca="1" si="327"/>
        <v>0</v>
      </c>
      <c r="AC1133" s="238"/>
      <c r="AI1133" s="367">
        <f t="shared" ca="1" si="322"/>
        <v>46092</v>
      </c>
      <c r="AJ1133" s="367" t="b">
        <f t="shared" si="328"/>
        <v>1</v>
      </c>
      <c r="AK1133" s="370" t="str">
        <f t="shared" si="329"/>
        <v/>
      </c>
      <c r="AN1133">
        <f t="shared" si="330"/>
        <v>0</v>
      </c>
      <c r="AO1133">
        <f t="shared" si="331"/>
        <v>1900</v>
      </c>
      <c r="AV1133">
        <f t="shared" si="332"/>
        <v>0</v>
      </c>
      <c r="AW1133">
        <f t="shared" si="333"/>
        <v>0</v>
      </c>
    </row>
    <row r="1134" spans="4:49" ht="15.75" x14ac:dyDescent="0.25">
      <c r="D1134" s="199"/>
      <c r="E1134" s="200"/>
      <c r="F1134" s="287"/>
      <c r="G1134" s="201"/>
      <c r="H1134" s="219"/>
      <c r="I1134" s="202"/>
      <c r="J1134" s="200"/>
      <c r="K1134" s="200"/>
      <c r="L1134" s="203"/>
      <c r="M1134" s="204">
        <f ca="1">IF(ISERROR(OFFSET(Tabella!$A$1,MATCH(J1134,Tabella!$A:$A,0)-1,MATCH(L1134,Tabella!$A$1:$AC$1,0)-1)=TRUE),0,+OFFSET(Tabella!$A$1,MATCH(J1134,Tabella!$A:$A,0)-1,MATCH(L1134,Tabella!$A$1:$AC$1,0)-1))</f>
        <v>0</v>
      </c>
      <c r="N1134" s="205">
        <f ca="1">IF(ISERROR(OFFSET(Ottone!$A$1,MATCH(J1134,Ottone!$A:$A,0)-1,MATCH(L1134,Ottone!$A$1:$Z$1,0)-1)=TRUE),0,OFFSET(Ottone!$A$1,MATCH(J1134,Ottone!$A:$A,0)-1,MATCH(L1134,Ottone!$A$1:$Z$1,0)-1))*IF(G1134="Ottone",1,0)</f>
        <v>0</v>
      </c>
      <c r="O1134" s="205">
        <f ca="1">IF(ISERROR(OFFSET(Rame!$A$1,MATCH(J1134,Rame!$A:$A,0)-1,MATCH(L1134,Rame!$A$1:$AA$1,0)-1)=TRUE),0,OFFSET(Rame!$A$1,MATCH(J1134,Rame!$A:$A,0)-1,MATCH(L1134,Rame!$A$1:$AA$1,0)-1))*IF(G1134="Rame",1,0)</f>
        <v>0</v>
      </c>
      <c r="P1134" s="205">
        <v>0</v>
      </c>
      <c r="Q1134" s="205">
        <f t="shared" ca="1" si="323"/>
        <v>0</v>
      </c>
      <c r="R1134" s="205">
        <f ca="1">+IF(ISERROR(OFFSET(Tabella!$G$1,MATCH(J1134,Tabella!$G:$G,0)-1,MATCH(K1134,Tabella!$G$1:$FG$1,0)-1)=TRUE),0,OFFSET(Tabella!$G$1,MATCH(J1134,Tabella!$G:$G,0)-1,MATCH(K1134,Tabella!$G$1:$AB$1,0)-1))</f>
        <v>0</v>
      </c>
      <c r="S1134" s="205">
        <f ca="1">IF(ISERROR(OFFSET(Ottone!$F$1,MATCH(J1134,Ottone!$A:$A,0)-1,MATCH(K1134,Ottone!$F$1:$FF$1,0)-1)=TRUE),0,OFFSET(Ottone!$F$1,MATCH(J1134,Ottone!$A:$A,0)-1,MATCH(K1134,Ottone!$F$1:$FF$1,0)-1))*IF(G1134="Ottone",1,0)</f>
        <v>0</v>
      </c>
      <c r="T1134" s="205">
        <f ca="1">IF(ISERROR(OFFSET(Rame!$F$1,MATCH(J1134,Rame!$F:$F,0)-1,MATCH(K1134,Rame!$F$1:$FF$1,0)-1)=TRUE),0,OFFSET(Rame!$F$1,MATCH(J1134,Rame!$F:$F,0)-1,MATCH(K1134,Rame!$F$1:$FF$1,0)-1))*IF(G1134="Rame",1,0)</f>
        <v>0</v>
      </c>
      <c r="U1134" s="205">
        <f ca="1">IF(ISERROR(OFFSET(Bronzo!$A$1,MATCH(J1134,Bronzo!$A:$A,0)-1,MATCH(K1134,Bronzo!$A$1:$AA$1,0)-1)=TRUE),0,OFFSET(Bronzo!$A$1,MATCH(J1134,Bronzo!$A:$A,0)-1,MATCH(K1134,Bronzo!$A$1:$AA$1,0)-1))</f>
        <v>0</v>
      </c>
      <c r="V1134" s="205">
        <f t="shared" ca="1" si="324"/>
        <v>0</v>
      </c>
      <c r="W1134" s="204"/>
      <c r="X1134" s="205">
        <v>0</v>
      </c>
      <c r="Y1134" s="206">
        <f t="shared" ca="1" si="325"/>
        <v>0</v>
      </c>
      <c r="Z1134" s="277">
        <f t="shared" si="326"/>
        <v>0</v>
      </c>
      <c r="AA1134" s="203"/>
      <c r="AB1134" s="203">
        <f t="shared" ca="1" si="327"/>
        <v>0</v>
      </c>
      <c r="AC1134" s="238"/>
      <c r="AI1134" s="367">
        <f t="shared" ca="1" si="322"/>
        <v>46092</v>
      </c>
      <c r="AJ1134" s="367" t="b">
        <f t="shared" si="328"/>
        <v>1</v>
      </c>
      <c r="AK1134" s="370" t="str">
        <f t="shared" si="329"/>
        <v/>
      </c>
      <c r="AN1134">
        <f t="shared" si="330"/>
        <v>0</v>
      </c>
      <c r="AO1134">
        <f t="shared" si="331"/>
        <v>1900</v>
      </c>
      <c r="AV1134">
        <f t="shared" si="332"/>
        <v>0</v>
      </c>
      <c r="AW1134">
        <f t="shared" si="333"/>
        <v>0</v>
      </c>
    </row>
    <row r="1135" spans="4:49" ht="15.75" x14ac:dyDescent="0.25">
      <c r="D1135" s="199"/>
      <c r="E1135" s="200"/>
      <c r="F1135" s="287"/>
      <c r="G1135" s="201"/>
      <c r="H1135" s="219"/>
      <c r="I1135" s="202"/>
      <c r="J1135" s="200"/>
      <c r="K1135" s="200"/>
      <c r="L1135" s="203"/>
      <c r="M1135" s="204">
        <f ca="1">IF(ISERROR(OFFSET(Tabella!$A$1,MATCH(J1135,Tabella!$A:$A,0)-1,MATCH(L1135,Tabella!$A$1:$AC$1,0)-1)=TRUE),0,+OFFSET(Tabella!$A$1,MATCH(J1135,Tabella!$A:$A,0)-1,MATCH(L1135,Tabella!$A$1:$AC$1,0)-1))</f>
        <v>0</v>
      </c>
      <c r="N1135" s="205">
        <f ca="1">IF(ISERROR(OFFSET(Ottone!$A$1,MATCH(J1135,Ottone!$A:$A,0)-1,MATCH(L1135,Ottone!$A$1:$Z$1,0)-1)=TRUE),0,OFFSET(Ottone!$A$1,MATCH(J1135,Ottone!$A:$A,0)-1,MATCH(L1135,Ottone!$A$1:$Z$1,0)-1))*IF(G1135="Ottone",1,0)</f>
        <v>0</v>
      </c>
      <c r="O1135" s="205">
        <f ca="1">IF(ISERROR(OFFSET(Rame!$A$1,MATCH(J1135,Rame!$A:$A,0)-1,MATCH(L1135,Rame!$A$1:$AA$1,0)-1)=TRUE),0,OFFSET(Rame!$A$1,MATCH(J1135,Rame!$A:$A,0)-1,MATCH(L1135,Rame!$A$1:$AA$1,0)-1))*IF(G1135="Rame",1,0)</f>
        <v>0</v>
      </c>
      <c r="P1135" s="205">
        <v>0</v>
      </c>
      <c r="Q1135" s="205">
        <f t="shared" ca="1" si="323"/>
        <v>0</v>
      </c>
      <c r="R1135" s="205">
        <f ca="1">+IF(ISERROR(OFFSET(Tabella!$G$1,MATCH(J1135,Tabella!$G:$G,0)-1,MATCH(K1135,Tabella!$G$1:$FG$1,0)-1)=TRUE),0,OFFSET(Tabella!$G$1,MATCH(J1135,Tabella!$G:$G,0)-1,MATCH(K1135,Tabella!$G$1:$AB$1,0)-1))</f>
        <v>0</v>
      </c>
      <c r="S1135" s="205">
        <f ca="1">IF(ISERROR(OFFSET(Ottone!$F$1,MATCH(J1135,Ottone!$A:$A,0)-1,MATCH(K1135,Ottone!$F$1:$FF$1,0)-1)=TRUE),0,OFFSET(Ottone!$F$1,MATCH(J1135,Ottone!$A:$A,0)-1,MATCH(K1135,Ottone!$F$1:$FF$1,0)-1))*IF(G1135="Ottone",1,0)</f>
        <v>0</v>
      </c>
      <c r="T1135" s="205">
        <f ca="1">IF(ISERROR(OFFSET(Rame!$F$1,MATCH(J1135,Rame!$F:$F,0)-1,MATCH(K1135,Rame!$F$1:$FF$1,0)-1)=TRUE),0,OFFSET(Rame!$F$1,MATCH(J1135,Rame!$F:$F,0)-1,MATCH(K1135,Rame!$F$1:$FF$1,0)-1))*IF(G1135="Rame",1,0)</f>
        <v>0</v>
      </c>
      <c r="U1135" s="205">
        <f ca="1">IF(ISERROR(OFFSET(Bronzo!$A$1,MATCH(J1135,Bronzo!$A:$A,0)-1,MATCH(K1135,Bronzo!$A$1:$AA$1,0)-1)=TRUE),0,OFFSET(Bronzo!$A$1,MATCH(J1135,Bronzo!$A:$A,0)-1,MATCH(K1135,Bronzo!$A$1:$AA$1,0)-1))</f>
        <v>0</v>
      </c>
      <c r="V1135" s="205">
        <f t="shared" ca="1" si="324"/>
        <v>0</v>
      </c>
      <c r="W1135" s="204"/>
      <c r="X1135" s="205">
        <v>0</v>
      </c>
      <c r="Y1135" s="206">
        <f t="shared" ca="1" si="325"/>
        <v>0</v>
      </c>
      <c r="Z1135" s="277">
        <f t="shared" si="326"/>
        <v>0</v>
      </c>
      <c r="AA1135" s="203"/>
      <c r="AB1135" s="203">
        <f t="shared" ca="1" si="327"/>
        <v>0</v>
      </c>
      <c r="AC1135" s="238"/>
      <c r="AI1135" s="367">
        <f t="shared" ca="1" si="322"/>
        <v>46092</v>
      </c>
      <c r="AJ1135" s="367" t="b">
        <f t="shared" si="328"/>
        <v>1</v>
      </c>
      <c r="AK1135" s="370" t="str">
        <f t="shared" si="329"/>
        <v/>
      </c>
      <c r="AN1135">
        <f t="shared" si="330"/>
        <v>0</v>
      </c>
      <c r="AO1135">
        <f t="shared" si="331"/>
        <v>1900</v>
      </c>
      <c r="AV1135">
        <f t="shared" si="332"/>
        <v>0</v>
      </c>
      <c r="AW1135">
        <f t="shared" si="333"/>
        <v>0</v>
      </c>
    </row>
    <row r="1136" spans="4:49" ht="15.75" x14ac:dyDescent="0.25">
      <c r="D1136" s="199"/>
      <c r="E1136" s="200"/>
      <c r="F1136" s="287"/>
      <c r="G1136" s="201"/>
      <c r="H1136" s="219"/>
      <c r="I1136" s="202"/>
      <c r="J1136" s="200"/>
      <c r="K1136" s="200"/>
      <c r="L1136" s="203"/>
      <c r="M1136" s="204">
        <f ca="1">IF(ISERROR(OFFSET(Tabella!$A$1,MATCH(J1136,Tabella!$A:$A,0)-1,MATCH(L1136,Tabella!$A$1:$AC$1,0)-1)=TRUE),0,+OFFSET(Tabella!$A$1,MATCH(J1136,Tabella!$A:$A,0)-1,MATCH(L1136,Tabella!$A$1:$AC$1,0)-1))</f>
        <v>0</v>
      </c>
      <c r="N1136" s="205">
        <f ca="1">IF(ISERROR(OFFSET(Ottone!$A$1,MATCH(J1136,Ottone!$A:$A,0)-1,MATCH(L1136,Ottone!$A$1:$Z$1,0)-1)=TRUE),0,OFFSET(Ottone!$A$1,MATCH(J1136,Ottone!$A:$A,0)-1,MATCH(L1136,Ottone!$A$1:$Z$1,0)-1))*IF(G1136="Ottone",1,0)</f>
        <v>0</v>
      </c>
      <c r="O1136" s="205">
        <f ca="1">IF(ISERROR(OFFSET(Rame!$A$1,MATCH(J1136,Rame!$A:$A,0)-1,MATCH(L1136,Rame!$A$1:$AA$1,0)-1)=TRUE),0,OFFSET(Rame!$A$1,MATCH(J1136,Rame!$A:$A,0)-1,MATCH(L1136,Rame!$A$1:$AA$1,0)-1))*IF(G1136="Rame",1,0)</f>
        <v>0</v>
      </c>
      <c r="P1136" s="205">
        <v>0</v>
      </c>
      <c r="Q1136" s="205">
        <f t="shared" ca="1" si="323"/>
        <v>0</v>
      </c>
      <c r="R1136" s="205">
        <f ca="1">+IF(ISERROR(OFFSET(Tabella!$G$1,MATCH(J1136,Tabella!$G:$G,0)-1,MATCH(K1136,Tabella!$G$1:$FG$1,0)-1)=TRUE),0,OFFSET(Tabella!$G$1,MATCH(J1136,Tabella!$G:$G,0)-1,MATCH(K1136,Tabella!$G$1:$AB$1,0)-1))</f>
        <v>0</v>
      </c>
      <c r="S1136" s="205">
        <f ca="1">IF(ISERROR(OFFSET(Ottone!$F$1,MATCH(J1136,Ottone!$A:$A,0)-1,MATCH(K1136,Ottone!$F$1:$FF$1,0)-1)=TRUE),0,OFFSET(Ottone!$F$1,MATCH(J1136,Ottone!$A:$A,0)-1,MATCH(K1136,Ottone!$F$1:$FF$1,0)-1))*IF(G1136="Ottone",1,0)</f>
        <v>0</v>
      </c>
      <c r="T1136" s="205">
        <f ca="1">IF(ISERROR(OFFSET(Rame!$F$1,MATCH(J1136,Rame!$F:$F,0)-1,MATCH(K1136,Rame!$F$1:$FF$1,0)-1)=TRUE),0,OFFSET(Rame!$F$1,MATCH(J1136,Rame!$F:$F,0)-1,MATCH(K1136,Rame!$F$1:$FF$1,0)-1))*IF(G1136="Rame",1,0)</f>
        <v>0</v>
      </c>
      <c r="U1136" s="205">
        <f ca="1">IF(ISERROR(OFFSET(Bronzo!$A$1,MATCH(J1136,Bronzo!$A:$A,0)-1,MATCH(K1136,Bronzo!$A$1:$AA$1,0)-1)=TRUE),0,OFFSET(Bronzo!$A$1,MATCH(J1136,Bronzo!$A:$A,0)-1,MATCH(K1136,Bronzo!$A$1:$AA$1,0)-1))</f>
        <v>0</v>
      </c>
      <c r="V1136" s="205">
        <f t="shared" ca="1" si="324"/>
        <v>0</v>
      </c>
      <c r="W1136" s="204"/>
      <c r="X1136" s="205">
        <v>0</v>
      </c>
      <c r="Y1136" s="206">
        <f t="shared" ca="1" si="325"/>
        <v>0</v>
      </c>
      <c r="Z1136" s="277">
        <f t="shared" si="326"/>
        <v>0</v>
      </c>
      <c r="AA1136" s="203"/>
      <c r="AB1136" s="203">
        <f t="shared" ca="1" si="327"/>
        <v>0</v>
      </c>
      <c r="AC1136" s="238"/>
      <c r="AI1136" s="367">
        <f t="shared" ca="1" si="322"/>
        <v>46092</v>
      </c>
      <c r="AJ1136" s="367" t="b">
        <f t="shared" si="328"/>
        <v>1</v>
      </c>
      <c r="AK1136" s="370" t="str">
        <f t="shared" si="329"/>
        <v/>
      </c>
      <c r="AN1136">
        <f t="shared" si="330"/>
        <v>0</v>
      </c>
      <c r="AO1136">
        <f t="shared" si="331"/>
        <v>1900</v>
      </c>
      <c r="AV1136">
        <f t="shared" si="332"/>
        <v>0</v>
      </c>
      <c r="AW1136">
        <f t="shared" si="333"/>
        <v>0</v>
      </c>
    </row>
    <row r="1137" spans="4:49" ht="15.75" x14ac:dyDescent="0.25">
      <c r="D1137" s="199"/>
      <c r="E1137" s="200"/>
      <c r="F1137" s="287"/>
      <c r="G1137" s="201"/>
      <c r="H1137" s="219"/>
      <c r="I1137" s="202"/>
      <c r="J1137" s="200"/>
      <c r="K1137" s="200"/>
      <c r="L1137" s="203"/>
      <c r="M1137" s="204">
        <f ca="1">IF(ISERROR(OFFSET(Tabella!$A$1,MATCH(J1137,Tabella!$A:$A,0)-1,MATCH(L1137,Tabella!$A$1:$AC$1,0)-1)=TRUE),0,+OFFSET(Tabella!$A$1,MATCH(J1137,Tabella!$A:$A,0)-1,MATCH(L1137,Tabella!$A$1:$AC$1,0)-1))</f>
        <v>0</v>
      </c>
      <c r="N1137" s="205">
        <f ca="1">IF(ISERROR(OFFSET(Ottone!$A$1,MATCH(J1137,Ottone!$A:$A,0)-1,MATCH(L1137,Ottone!$A$1:$Z$1,0)-1)=TRUE),0,OFFSET(Ottone!$A$1,MATCH(J1137,Ottone!$A:$A,0)-1,MATCH(L1137,Ottone!$A$1:$Z$1,0)-1))*IF(G1137="Ottone",1,0)</f>
        <v>0</v>
      </c>
      <c r="O1137" s="205">
        <f ca="1">IF(ISERROR(OFFSET(Rame!$A$1,MATCH(J1137,Rame!$A:$A,0)-1,MATCH(L1137,Rame!$A$1:$AA$1,0)-1)=TRUE),0,OFFSET(Rame!$A$1,MATCH(J1137,Rame!$A:$A,0)-1,MATCH(L1137,Rame!$A$1:$AA$1,0)-1))*IF(G1137="Rame",1,0)</f>
        <v>0</v>
      </c>
      <c r="P1137" s="205">
        <v>0</v>
      </c>
      <c r="Q1137" s="205">
        <f t="shared" ca="1" si="323"/>
        <v>0</v>
      </c>
      <c r="R1137" s="205">
        <f ca="1">+IF(ISERROR(OFFSET(Tabella!$G$1,MATCH(J1137,Tabella!$G:$G,0)-1,MATCH(K1137,Tabella!$G$1:$FG$1,0)-1)=TRUE),0,OFFSET(Tabella!$G$1,MATCH(J1137,Tabella!$G:$G,0)-1,MATCH(K1137,Tabella!$G$1:$AB$1,0)-1))</f>
        <v>0</v>
      </c>
      <c r="S1137" s="205">
        <f ca="1">IF(ISERROR(OFFSET(Ottone!$F$1,MATCH(J1137,Ottone!$A:$A,0)-1,MATCH(K1137,Ottone!$F$1:$FF$1,0)-1)=TRUE),0,OFFSET(Ottone!$F$1,MATCH(J1137,Ottone!$A:$A,0)-1,MATCH(K1137,Ottone!$F$1:$FF$1,0)-1))*IF(G1137="Ottone",1,0)</f>
        <v>0</v>
      </c>
      <c r="T1137" s="205">
        <f ca="1">IF(ISERROR(OFFSET(Rame!$F$1,MATCH(J1137,Rame!$F:$F,0)-1,MATCH(K1137,Rame!$F$1:$FF$1,0)-1)=TRUE),0,OFFSET(Rame!$F$1,MATCH(J1137,Rame!$F:$F,0)-1,MATCH(K1137,Rame!$F$1:$FF$1,0)-1))*IF(G1137="Rame",1,0)</f>
        <v>0</v>
      </c>
      <c r="U1137" s="205">
        <f ca="1">IF(ISERROR(OFFSET(Bronzo!$A$1,MATCH(J1137,Bronzo!$A:$A,0)-1,MATCH(K1137,Bronzo!$A$1:$AA$1,0)-1)=TRUE),0,OFFSET(Bronzo!$A$1,MATCH(J1137,Bronzo!$A:$A,0)-1,MATCH(K1137,Bronzo!$A$1:$AA$1,0)-1))</f>
        <v>0</v>
      </c>
      <c r="V1137" s="205">
        <f t="shared" ca="1" si="324"/>
        <v>0</v>
      </c>
      <c r="W1137" s="204"/>
      <c r="X1137" s="205">
        <v>0</v>
      </c>
      <c r="Y1137" s="206">
        <f t="shared" ca="1" si="325"/>
        <v>0</v>
      </c>
      <c r="Z1137" s="277">
        <f t="shared" si="326"/>
        <v>0</v>
      </c>
      <c r="AA1137" s="203"/>
      <c r="AB1137" s="203">
        <f t="shared" ca="1" si="327"/>
        <v>0</v>
      </c>
      <c r="AC1137" s="238"/>
      <c r="AI1137" s="367">
        <f t="shared" ca="1" si="322"/>
        <v>46092</v>
      </c>
      <c r="AJ1137" s="367" t="b">
        <f t="shared" si="328"/>
        <v>1</v>
      </c>
      <c r="AK1137" s="370" t="str">
        <f t="shared" si="329"/>
        <v/>
      </c>
      <c r="AN1137">
        <f t="shared" si="330"/>
        <v>0</v>
      </c>
      <c r="AO1137">
        <f t="shared" si="331"/>
        <v>1900</v>
      </c>
      <c r="AV1137">
        <f t="shared" si="332"/>
        <v>0</v>
      </c>
      <c r="AW1137">
        <f t="shared" si="333"/>
        <v>0</v>
      </c>
    </row>
    <row r="1138" spans="4:49" ht="15.75" x14ac:dyDescent="0.25">
      <c r="D1138" s="199"/>
      <c r="E1138" s="200"/>
      <c r="F1138" s="287"/>
      <c r="G1138" s="201"/>
      <c r="H1138" s="219"/>
      <c r="I1138" s="202"/>
      <c r="J1138" s="200"/>
      <c r="K1138" s="200"/>
      <c r="L1138" s="203"/>
      <c r="M1138" s="204">
        <f ca="1">IF(ISERROR(OFFSET(Tabella!$A$1,MATCH(J1138,Tabella!$A:$A,0)-1,MATCH(L1138,Tabella!$A$1:$AC$1,0)-1)=TRUE),0,+OFFSET(Tabella!$A$1,MATCH(J1138,Tabella!$A:$A,0)-1,MATCH(L1138,Tabella!$A$1:$AC$1,0)-1))</f>
        <v>0</v>
      </c>
      <c r="N1138" s="205">
        <f ca="1">IF(ISERROR(OFFSET(Ottone!$A$1,MATCH(J1138,Ottone!$A:$A,0)-1,MATCH(L1138,Ottone!$A$1:$Z$1,0)-1)=TRUE),0,OFFSET(Ottone!$A$1,MATCH(J1138,Ottone!$A:$A,0)-1,MATCH(L1138,Ottone!$A$1:$Z$1,0)-1))*IF(G1138="Ottone",1,0)</f>
        <v>0</v>
      </c>
      <c r="O1138" s="205">
        <f ca="1">IF(ISERROR(OFFSET(Rame!$A$1,MATCH(J1138,Rame!$A:$A,0)-1,MATCH(L1138,Rame!$A$1:$AA$1,0)-1)=TRUE),0,OFFSET(Rame!$A$1,MATCH(J1138,Rame!$A:$A,0)-1,MATCH(L1138,Rame!$A$1:$AA$1,0)-1))*IF(G1138="Rame",1,0)</f>
        <v>0</v>
      </c>
      <c r="P1138" s="205">
        <v>0</v>
      </c>
      <c r="Q1138" s="205">
        <f t="shared" ca="1" si="323"/>
        <v>0</v>
      </c>
      <c r="R1138" s="205">
        <f ca="1">+IF(ISERROR(OFFSET(Tabella!$G$1,MATCH(J1138,Tabella!$G:$G,0)-1,MATCH(K1138,Tabella!$G$1:$FG$1,0)-1)=TRUE),0,OFFSET(Tabella!$G$1,MATCH(J1138,Tabella!$G:$G,0)-1,MATCH(K1138,Tabella!$G$1:$AB$1,0)-1))</f>
        <v>0</v>
      </c>
      <c r="S1138" s="205">
        <f ca="1">IF(ISERROR(OFFSET(Ottone!$F$1,MATCH(J1138,Ottone!$A:$A,0)-1,MATCH(K1138,Ottone!$F$1:$FF$1,0)-1)=TRUE),0,OFFSET(Ottone!$F$1,MATCH(J1138,Ottone!$A:$A,0)-1,MATCH(K1138,Ottone!$F$1:$FF$1,0)-1))*IF(G1138="Ottone",1,0)</f>
        <v>0</v>
      </c>
      <c r="T1138" s="205">
        <f ca="1">IF(ISERROR(OFFSET(Rame!$F$1,MATCH(J1138,Rame!$F:$F,0)-1,MATCH(K1138,Rame!$F$1:$FF$1,0)-1)=TRUE),0,OFFSET(Rame!$F$1,MATCH(J1138,Rame!$F:$F,0)-1,MATCH(K1138,Rame!$F$1:$FF$1,0)-1))*IF(G1138="Rame",1,0)</f>
        <v>0</v>
      </c>
      <c r="U1138" s="205">
        <f ca="1">IF(ISERROR(OFFSET(Bronzo!$A$1,MATCH(J1138,Bronzo!$A:$A,0)-1,MATCH(K1138,Bronzo!$A$1:$AA$1,0)-1)=TRUE),0,OFFSET(Bronzo!$A$1,MATCH(J1138,Bronzo!$A:$A,0)-1,MATCH(K1138,Bronzo!$A$1:$AA$1,0)-1))</f>
        <v>0</v>
      </c>
      <c r="V1138" s="205">
        <f t="shared" ca="1" si="324"/>
        <v>0</v>
      </c>
      <c r="W1138" s="204"/>
      <c r="X1138" s="205">
        <v>0</v>
      </c>
      <c r="Y1138" s="206">
        <f t="shared" ca="1" si="325"/>
        <v>0</v>
      </c>
      <c r="Z1138" s="277">
        <f t="shared" si="326"/>
        <v>0</v>
      </c>
      <c r="AA1138" s="203"/>
      <c r="AB1138" s="203">
        <f t="shared" ca="1" si="327"/>
        <v>0</v>
      </c>
      <c r="AC1138" s="238"/>
      <c r="AI1138" s="367">
        <f t="shared" ca="1" si="322"/>
        <v>46092</v>
      </c>
      <c r="AJ1138" s="367" t="b">
        <f t="shared" si="328"/>
        <v>1</v>
      </c>
      <c r="AK1138" s="370" t="str">
        <f t="shared" si="329"/>
        <v/>
      </c>
      <c r="AN1138">
        <f t="shared" si="330"/>
        <v>0</v>
      </c>
      <c r="AO1138">
        <f t="shared" si="331"/>
        <v>1900</v>
      </c>
      <c r="AV1138">
        <f t="shared" si="332"/>
        <v>0</v>
      </c>
      <c r="AW1138">
        <f t="shared" si="333"/>
        <v>0</v>
      </c>
    </row>
    <row r="1139" spans="4:49" ht="15.75" x14ac:dyDescent="0.25">
      <c r="D1139" s="199"/>
      <c r="E1139" s="200"/>
      <c r="F1139" s="287"/>
      <c r="G1139" s="201"/>
      <c r="H1139" s="219"/>
      <c r="I1139" s="202"/>
      <c r="J1139" s="200"/>
      <c r="K1139" s="200"/>
      <c r="L1139" s="203"/>
      <c r="M1139" s="204">
        <f ca="1">IF(ISERROR(OFFSET(Tabella!$A$1,MATCH(J1139,Tabella!$A:$A,0)-1,MATCH(L1139,Tabella!$A$1:$AC$1,0)-1)=TRUE),0,+OFFSET(Tabella!$A$1,MATCH(J1139,Tabella!$A:$A,0)-1,MATCH(L1139,Tabella!$A$1:$AC$1,0)-1))</f>
        <v>0</v>
      </c>
      <c r="N1139" s="205">
        <f ca="1">IF(ISERROR(OFFSET(Ottone!$A$1,MATCH(J1139,Ottone!$A:$A,0)-1,MATCH(L1139,Ottone!$A$1:$Z$1,0)-1)=TRUE),0,OFFSET(Ottone!$A$1,MATCH(J1139,Ottone!$A:$A,0)-1,MATCH(L1139,Ottone!$A$1:$Z$1,0)-1))*IF(G1139="Ottone",1,0)</f>
        <v>0</v>
      </c>
      <c r="O1139" s="205">
        <f ca="1">IF(ISERROR(OFFSET(Rame!$A$1,MATCH(J1139,Rame!$A:$A,0)-1,MATCH(L1139,Rame!$A$1:$AA$1,0)-1)=TRUE),0,OFFSET(Rame!$A$1,MATCH(J1139,Rame!$A:$A,0)-1,MATCH(L1139,Rame!$A$1:$AA$1,0)-1))*IF(G1139="Rame",1,0)</f>
        <v>0</v>
      </c>
      <c r="P1139" s="205">
        <v>0</v>
      </c>
      <c r="Q1139" s="205">
        <f t="shared" ca="1" si="323"/>
        <v>0</v>
      </c>
      <c r="R1139" s="205">
        <f ca="1">+IF(ISERROR(OFFSET(Tabella!$G$1,MATCH(J1139,Tabella!$G:$G,0)-1,MATCH(K1139,Tabella!$G$1:$FG$1,0)-1)=TRUE),0,OFFSET(Tabella!$G$1,MATCH(J1139,Tabella!$G:$G,0)-1,MATCH(K1139,Tabella!$G$1:$AB$1,0)-1))</f>
        <v>0</v>
      </c>
      <c r="S1139" s="205">
        <f ca="1">IF(ISERROR(OFFSET(Ottone!$F$1,MATCH(J1139,Ottone!$A:$A,0)-1,MATCH(K1139,Ottone!$F$1:$FF$1,0)-1)=TRUE),0,OFFSET(Ottone!$F$1,MATCH(J1139,Ottone!$A:$A,0)-1,MATCH(K1139,Ottone!$F$1:$FF$1,0)-1))*IF(G1139="Ottone",1,0)</f>
        <v>0</v>
      </c>
      <c r="T1139" s="205">
        <f ca="1">IF(ISERROR(OFFSET(Rame!$F$1,MATCH(J1139,Rame!$F:$F,0)-1,MATCH(K1139,Rame!$F$1:$FF$1,0)-1)=TRUE),0,OFFSET(Rame!$F$1,MATCH(J1139,Rame!$F:$F,0)-1,MATCH(K1139,Rame!$F$1:$FF$1,0)-1))*IF(G1139="Rame",1,0)</f>
        <v>0</v>
      </c>
      <c r="U1139" s="205">
        <f ca="1">IF(ISERROR(OFFSET(Bronzo!$A$1,MATCH(J1139,Bronzo!$A:$A,0)-1,MATCH(K1139,Bronzo!$A$1:$AA$1,0)-1)=TRUE),0,OFFSET(Bronzo!$A$1,MATCH(J1139,Bronzo!$A:$A,0)-1,MATCH(K1139,Bronzo!$A$1:$AA$1,0)-1))</f>
        <v>0</v>
      </c>
      <c r="V1139" s="205">
        <f t="shared" ca="1" si="324"/>
        <v>0</v>
      </c>
      <c r="W1139" s="204"/>
      <c r="X1139" s="205">
        <v>0</v>
      </c>
      <c r="Y1139" s="206">
        <f t="shared" ca="1" si="325"/>
        <v>0</v>
      </c>
      <c r="Z1139" s="277">
        <f t="shared" si="326"/>
        <v>0</v>
      </c>
      <c r="AA1139" s="203"/>
      <c r="AB1139" s="203">
        <f t="shared" ca="1" si="327"/>
        <v>0</v>
      </c>
      <c r="AC1139" s="238"/>
      <c r="AI1139" s="367">
        <f t="shared" ca="1" si="322"/>
        <v>46092</v>
      </c>
      <c r="AJ1139" s="367" t="b">
        <f t="shared" si="328"/>
        <v>1</v>
      </c>
      <c r="AK1139" s="370" t="str">
        <f t="shared" si="329"/>
        <v/>
      </c>
      <c r="AN1139">
        <f t="shared" si="330"/>
        <v>0</v>
      </c>
      <c r="AO1139">
        <f t="shared" si="331"/>
        <v>1900</v>
      </c>
      <c r="AV1139">
        <f t="shared" si="332"/>
        <v>0</v>
      </c>
      <c r="AW1139">
        <f t="shared" si="333"/>
        <v>0</v>
      </c>
    </row>
    <row r="1140" spans="4:49" ht="15.75" x14ac:dyDescent="0.25">
      <c r="D1140" s="199"/>
      <c r="E1140" s="200"/>
      <c r="F1140" s="287"/>
      <c r="G1140" s="201"/>
      <c r="H1140" s="219"/>
      <c r="I1140" s="202"/>
      <c r="J1140" s="200"/>
      <c r="K1140" s="200"/>
      <c r="L1140" s="203"/>
      <c r="M1140" s="204">
        <f ca="1">IF(ISERROR(OFFSET(Tabella!$A$1,MATCH(J1140,Tabella!$A:$A,0)-1,MATCH(L1140,Tabella!$A$1:$AC$1,0)-1)=TRUE),0,+OFFSET(Tabella!$A$1,MATCH(J1140,Tabella!$A:$A,0)-1,MATCH(L1140,Tabella!$A$1:$AC$1,0)-1))</f>
        <v>0</v>
      </c>
      <c r="N1140" s="205">
        <f ca="1">IF(ISERROR(OFFSET(Ottone!$A$1,MATCH(J1140,Ottone!$A:$A,0)-1,MATCH(L1140,Ottone!$A$1:$Z$1,0)-1)=TRUE),0,OFFSET(Ottone!$A$1,MATCH(J1140,Ottone!$A:$A,0)-1,MATCH(L1140,Ottone!$A$1:$Z$1,0)-1))*IF(G1140="Ottone",1,0)</f>
        <v>0</v>
      </c>
      <c r="O1140" s="205">
        <f ca="1">IF(ISERROR(OFFSET(Rame!$A$1,MATCH(J1140,Rame!$A:$A,0)-1,MATCH(L1140,Rame!$A$1:$AA$1,0)-1)=TRUE),0,OFFSET(Rame!$A$1,MATCH(J1140,Rame!$A:$A,0)-1,MATCH(L1140,Rame!$A$1:$AA$1,0)-1))*IF(G1140="Rame",1,0)</f>
        <v>0</v>
      </c>
      <c r="P1140" s="205">
        <v>0</v>
      </c>
      <c r="Q1140" s="205">
        <f t="shared" ca="1" si="323"/>
        <v>0</v>
      </c>
      <c r="R1140" s="205">
        <f ca="1">+IF(ISERROR(OFFSET(Tabella!$G$1,MATCH(J1140,Tabella!$G:$G,0)-1,MATCH(K1140,Tabella!$G$1:$FG$1,0)-1)=TRUE),0,OFFSET(Tabella!$G$1,MATCH(J1140,Tabella!$G:$G,0)-1,MATCH(K1140,Tabella!$G$1:$AB$1,0)-1))</f>
        <v>0</v>
      </c>
      <c r="S1140" s="205">
        <f ca="1">IF(ISERROR(OFFSET(Ottone!$F$1,MATCH(J1140,Ottone!$A:$A,0)-1,MATCH(K1140,Ottone!$F$1:$FF$1,0)-1)=TRUE),0,OFFSET(Ottone!$F$1,MATCH(J1140,Ottone!$A:$A,0)-1,MATCH(K1140,Ottone!$F$1:$FF$1,0)-1))*IF(G1140="Ottone",1,0)</f>
        <v>0</v>
      </c>
      <c r="T1140" s="205">
        <f ca="1">IF(ISERROR(OFFSET(Rame!$F$1,MATCH(J1140,Rame!$F:$F,0)-1,MATCH(K1140,Rame!$F$1:$FF$1,0)-1)=TRUE),0,OFFSET(Rame!$F$1,MATCH(J1140,Rame!$F:$F,0)-1,MATCH(K1140,Rame!$F$1:$FF$1,0)-1))*IF(G1140="Rame",1,0)</f>
        <v>0</v>
      </c>
      <c r="U1140" s="205">
        <f ca="1">IF(ISERROR(OFFSET(Bronzo!$A$1,MATCH(J1140,Bronzo!$A:$A,0)-1,MATCH(K1140,Bronzo!$A$1:$AA$1,0)-1)=TRUE),0,OFFSET(Bronzo!$A$1,MATCH(J1140,Bronzo!$A:$A,0)-1,MATCH(K1140,Bronzo!$A$1:$AA$1,0)-1))</f>
        <v>0</v>
      </c>
      <c r="V1140" s="205">
        <f t="shared" ca="1" si="324"/>
        <v>0</v>
      </c>
      <c r="W1140" s="204"/>
      <c r="X1140" s="205">
        <v>0</v>
      </c>
      <c r="Y1140" s="206">
        <f t="shared" ca="1" si="325"/>
        <v>0</v>
      </c>
      <c r="Z1140" s="277">
        <f t="shared" si="326"/>
        <v>0</v>
      </c>
      <c r="AA1140" s="203"/>
      <c r="AB1140" s="203">
        <f t="shared" ca="1" si="327"/>
        <v>0</v>
      </c>
      <c r="AC1140" s="238"/>
      <c r="AI1140" s="367">
        <f t="shared" ca="1" si="322"/>
        <v>46092</v>
      </c>
      <c r="AJ1140" s="367" t="b">
        <f t="shared" si="328"/>
        <v>1</v>
      </c>
      <c r="AK1140" s="370" t="str">
        <f t="shared" si="329"/>
        <v/>
      </c>
      <c r="AN1140">
        <f t="shared" si="330"/>
        <v>0</v>
      </c>
      <c r="AO1140">
        <f t="shared" si="331"/>
        <v>1900</v>
      </c>
      <c r="AV1140">
        <f t="shared" si="332"/>
        <v>0</v>
      </c>
      <c r="AW1140">
        <f t="shared" si="333"/>
        <v>0</v>
      </c>
    </row>
    <row r="1141" spans="4:49" ht="15.75" x14ac:dyDescent="0.25">
      <c r="D1141" s="199"/>
      <c r="E1141" s="200"/>
      <c r="F1141" s="287"/>
      <c r="G1141" s="201"/>
      <c r="H1141" s="219"/>
      <c r="I1141" s="202"/>
      <c r="J1141" s="200"/>
      <c r="K1141" s="200"/>
      <c r="L1141" s="203"/>
      <c r="M1141" s="204">
        <f ca="1">IF(ISERROR(OFFSET(Tabella!$A$1,MATCH(J1141,Tabella!$A:$A,0)-1,MATCH(L1141,Tabella!$A$1:$AC$1,0)-1)=TRUE),0,+OFFSET(Tabella!$A$1,MATCH(J1141,Tabella!$A:$A,0)-1,MATCH(L1141,Tabella!$A$1:$AC$1,0)-1))</f>
        <v>0</v>
      </c>
      <c r="N1141" s="205">
        <f ca="1">IF(ISERROR(OFFSET(Ottone!$A$1,MATCH(J1141,Ottone!$A:$A,0)-1,MATCH(L1141,Ottone!$A$1:$Z$1,0)-1)=TRUE),0,OFFSET(Ottone!$A$1,MATCH(J1141,Ottone!$A:$A,0)-1,MATCH(L1141,Ottone!$A$1:$Z$1,0)-1))*IF(G1141="Ottone",1,0)</f>
        <v>0</v>
      </c>
      <c r="O1141" s="205">
        <f ca="1">IF(ISERROR(OFFSET(Rame!$A$1,MATCH(J1141,Rame!$A:$A,0)-1,MATCH(L1141,Rame!$A$1:$AA$1,0)-1)=TRUE),0,OFFSET(Rame!$A$1,MATCH(J1141,Rame!$A:$A,0)-1,MATCH(L1141,Rame!$A$1:$AA$1,0)-1))*IF(G1141="Rame",1,0)</f>
        <v>0</v>
      </c>
      <c r="P1141" s="205">
        <v>0</v>
      </c>
      <c r="Q1141" s="205">
        <f t="shared" ca="1" si="323"/>
        <v>0</v>
      </c>
      <c r="R1141" s="205">
        <f ca="1">+IF(ISERROR(OFFSET(Tabella!$G$1,MATCH(J1141,Tabella!$G:$G,0)-1,MATCH(K1141,Tabella!$G$1:$FG$1,0)-1)=TRUE),0,OFFSET(Tabella!$G$1,MATCH(J1141,Tabella!$G:$G,0)-1,MATCH(K1141,Tabella!$G$1:$AB$1,0)-1))</f>
        <v>0</v>
      </c>
      <c r="S1141" s="205">
        <f ca="1">IF(ISERROR(OFFSET(Ottone!$F$1,MATCH(J1141,Ottone!$A:$A,0)-1,MATCH(K1141,Ottone!$F$1:$FF$1,0)-1)=TRUE),0,OFFSET(Ottone!$F$1,MATCH(J1141,Ottone!$A:$A,0)-1,MATCH(K1141,Ottone!$F$1:$FF$1,0)-1))*IF(G1141="Ottone",1,0)</f>
        <v>0</v>
      </c>
      <c r="T1141" s="205">
        <f ca="1">IF(ISERROR(OFFSET(Rame!$F$1,MATCH(J1141,Rame!$F:$F,0)-1,MATCH(K1141,Rame!$F$1:$FF$1,0)-1)=TRUE),0,OFFSET(Rame!$F$1,MATCH(J1141,Rame!$F:$F,0)-1,MATCH(K1141,Rame!$F$1:$FF$1,0)-1))*IF(G1141="Rame",1,0)</f>
        <v>0</v>
      </c>
      <c r="U1141" s="205">
        <f ca="1">IF(ISERROR(OFFSET(Bronzo!$A$1,MATCH(J1141,Bronzo!$A:$A,0)-1,MATCH(K1141,Bronzo!$A$1:$AA$1,0)-1)=TRUE),0,OFFSET(Bronzo!$A$1,MATCH(J1141,Bronzo!$A:$A,0)-1,MATCH(K1141,Bronzo!$A$1:$AA$1,0)-1))</f>
        <v>0</v>
      </c>
      <c r="V1141" s="205">
        <f t="shared" ca="1" si="324"/>
        <v>0</v>
      </c>
      <c r="W1141" s="204"/>
      <c r="X1141" s="205">
        <v>0</v>
      </c>
      <c r="Y1141" s="206">
        <f t="shared" ca="1" si="325"/>
        <v>0</v>
      </c>
      <c r="Z1141" s="277">
        <f t="shared" si="326"/>
        <v>0</v>
      </c>
      <c r="AA1141" s="203"/>
      <c r="AB1141" s="203">
        <f t="shared" ca="1" si="327"/>
        <v>0</v>
      </c>
      <c r="AC1141" s="238"/>
      <c r="AI1141" s="367">
        <f t="shared" ca="1" si="322"/>
        <v>46092</v>
      </c>
      <c r="AJ1141" s="367" t="b">
        <f t="shared" si="328"/>
        <v>1</v>
      </c>
      <c r="AK1141" s="370" t="str">
        <f t="shared" si="329"/>
        <v/>
      </c>
      <c r="AN1141">
        <f t="shared" si="330"/>
        <v>0</v>
      </c>
      <c r="AO1141">
        <f t="shared" si="331"/>
        <v>1900</v>
      </c>
      <c r="AV1141">
        <f t="shared" si="332"/>
        <v>0</v>
      </c>
      <c r="AW1141">
        <f t="shared" si="333"/>
        <v>0</v>
      </c>
    </row>
    <row r="1142" spans="4:49" ht="15.75" x14ac:dyDescent="0.25">
      <c r="D1142" s="199"/>
      <c r="E1142" s="200"/>
      <c r="F1142" s="287"/>
      <c r="G1142" s="201"/>
      <c r="H1142" s="219"/>
      <c r="I1142" s="202"/>
      <c r="J1142" s="200"/>
      <c r="K1142" s="200"/>
      <c r="L1142" s="203"/>
      <c r="M1142" s="204">
        <f ca="1">IF(ISERROR(OFFSET(Tabella!$A$1,MATCH(J1142,Tabella!$A:$A,0)-1,MATCH(L1142,Tabella!$A$1:$AC$1,0)-1)=TRUE),0,+OFFSET(Tabella!$A$1,MATCH(J1142,Tabella!$A:$A,0)-1,MATCH(L1142,Tabella!$A$1:$AC$1,0)-1))</f>
        <v>0</v>
      </c>
      <c r="N1142" s="205">
        <f ca="1">IF(ISERROR(OFFSET(Ottone!$A$1,MATCH(J1142,Ottone!$A:$A,0)-1,MATCH(L1142,Ottone!$A$1:$Z$1,0)-1)=TRUE),0,OFFSET(Ottone!$A$1,MATCH(J1142,Ottone!$A:$A,0)-1,MATCH(L1142,Ottone!$A$1:$Z$1,0)-1))*IF(G1142="Ottone",1,0)</f>
        <v>0</v>
      </c>
      <c r="O1142" s="205">
        <f ca="1">IF(ISERROR(OFFSET(Rame!$A$1,MATCH(J1142,Rame!$A:$A,0)-1,MATCH(L1142,Rame!$A$1:$AA$1,0)-1)=TRUE),0,OFFSET(Rame!$A$1,MATCH(J1142,Rame!$A:$A,0)-1,MATCH(L1142,Rame!$A$1:$AA$1,0)-1))*IF(G1142="Rame",1,0)</f>
        <v>0</v>
      </c>
      <c r="P1142" s="205">
        <v>0</v>
      </c>
      <c r="Q1142" s="205">
        <f t="shared" ca="1" si="323"/>
        <v>0</v>
      </c>
      <c r="R1142" s="205">
        <f ca="1">+IF(ISERROR(OFFSET(Tabella!$G$1,MATCH(J1142,Tabella!$G:$G,0)-1,MATCH(K1142,Tabella!$G$1:$FG$1,0)-1)=TRUE),0,OFFSET(Tabella!$G$1,MATCH(J1142,Tabella!$G:$G,0)-1,MATCH(K1142,Tabella!$G$1:$AB$1,0)-1))</f>
        <v>0</v>
      </c>
      <c r="S1142" s="205">
        <f ca="1">IF(ISERROR(OFFSET(Ottone!$F$1,MATCH(J1142,Ottone!$A:$A,0)-1,MATCH(K1142,Ottone!$F$1:$FF$1,0)-1)=TRUE),0,OFFSET(Ottone!$F$1,MATCH(J1142,Ottone!$A:$A,0)-1,MATCH(K1142,Ottone!$F$1:$FF$1,0)-1))*IF(G1142="Ottone",1,0)</f>
        <v>0</v>
      </c>
      <c r="T1142" s="205">
        <f ca="1">IF(ISERROR(OFFSET(Rame!$F$1,MATCH(J1142,Rame!$F:$F,0)-1,MATCH(K1142,Rame!$F$1:$FF$1,0)-1)=TRUE),0,OFFSET(Rame!$F$1,MATCH(J1142,Rame!$F:$F,0)-1,MATCH(K1142,Rame!$F$1:$FF$1,0)-1))*IF(G1142="Rame",1,0)</f>
        <v>0</v>
      </c>
      <c r="U1142" s="205">
        <f ca="1">IF(ISERROR(OFFSET(Bronzo!$A$1,MATCH(J1142,Bronzo!$A:$A,0)-1,MATCH(K1142,Bronzo!$A$1:$AA$1,0)-1)=TRUE),0,OFFSET(Bronzo!$A$1,MATCH(J1142,Bronzo!$A:$A,0)-1,MATCH(K1142,Bronzo!$A$1:$AA$1,0)-1))</f>
        <v>0</v>
      </c>
      <c r="V1142" s="205">
        <f t="shared" ca="1" si="324"/>
        <v>0</v>
      </c>
      <c r="W1142" s="204"/>
      <c r="X1142" s="205">
        <v>0</v>
      </c>
      <c r="Y1142" s="206">
        <f t="shared" ca="1" si="325"/>
        <v>0</v>
      </c>
      <c r="Z1142" s="277">
        <f t="shared" si="326"/>
        <v>0</v>
      </c>
      <c r="AA1142" s="203"/>
      <c r="AB1142" s="203">
        <f t="shared" ca="1" si="327"/>
        <v>0</v>
      </c>
      <c r="AC1142" s="238"/>
      <c r="AI1142" s="367">
        <f t="shared" ca="1" si="322"/>
        <v>46092</v>
      </c>
      <c r="AJ1142" s="367" t="b">
        <f t="shared" si="328"/>
        <v>1</v>
      </c>
      <c r="AK1142" s="370" t="str">
        <f t="shared" si="329"/>
        <v/>
      </c>
      <c r="AN1142">
        <f t="shared" si="330"/>
        <v>0</v>
      </c>
      <c r="AO1142">
        <f t="shared" si="331"/>
        <v>1900</v>
      </c>
      <c r="AV1142">
        <f t="shared" si="332"/>
        <v>0</v>
      </c>
      <c r="AW1142">
        <f t="shared" si="333"/>
        <v>0</v>
      </c>
    </row>
    <row r="1143" spans="4:49" ht="15.75" x14ac:dyDescent="0.25">
      <c r="D1143" s="199"/>
      <c r="E1143" s="200"/>
      <c r="F1143" s="287"/>
      <c r="G1143" s="201"/>
      <c r="H1143" s="219"/>
      <c r="I1143" s="202"/>
      <c r="J1143" s="200"/>
      <c r="K1143" s="200"/>
      <c r="L1143" s="203"/>
      <c r="M1143" s="204">
        <f ca="1">IF(ISERROR(OFFSET(Tabella!$A$1,MATCH(J1143,Tabella!$A:$A,0)-1,MATCH(L1143,Tabella!$A$1:$AC$1,0)-1)=TRUE),0,+OFFSET(Tabella!$A$1,MATCH(J1143,Tabella!$A:$A,0)-1,MATCH(L1143,Tabella!$A$1:$AC$1,0)-1))</f>
        <v>0</v>
      </c>
      <c r="N1143" s="205">
        <f ca="1">IF(ISERROR(OFFSET(Ottone!$A$1,MATCH(J1143,Ottone!$A:$A,0)-1,MATCH(L1143,Ottone!$A$1:$Z$1,0)-1)=TRUE),0,OFFSET(Ottone!$A$1,MATCH(J1143,Ottone!$A:$A,0)-1,MATCH(L1143,Ottone!$A$1:$Z$1,0)-1))*IF(G1143="Ottone",1,0)</f>
        <v>0</v>
      </c>
      <c r="O1143" s="205">
        <f ca="1">IF(ISERROR(OFFSET(Rame!$A$1,MATCH(J1143,Rame!$A:$A,0)-1,MATCH(L1143,Rame!$A$1:$AA$1,0)-1)=TRUE),0,OFFSET(Rame!$A$1,MATCH(J1143,Rame!$A:$A,0)-1,MATCH(L1143,Rame!$A$1:$AA$1,0)-1))*IF(G1143="Rame",1,0)</f>
        <v>0</v>
      </c>
      <c r="P1143" s="205">
        <v>0</v>
      </c>
      <c r="Q1143" s="205">
        <f t="shared" ca="1" si="323"/>
        <v>0</v>
      </c>
      <c r="R1143" s="205">
        <f ca="1">+IF(ISERROR(OFFSET(Tabella!$G$1,MATCH(J1143,Tabella!$G:$G,0)-1,MATCH(K1143,Tabella!$G$1:$FG$1,0)-1)=TRUE),0,OFFSET(Tabella!$G$1,MATCH(J1143,Tabella!$G:$G,0)-1,MATCH(K1143,Tabella!$G$1:$AB$1,0)-1))</f>
        <v>0</v>
      </c>
      <c r="S1143" s="205">
        <f ca="1">IF(ISERROR(OFFSET(Ottone!$F$1,MATCH(J1143,Ottone!$A:$A,0)-1,MATCH(K1143,Ottone!$F$1:$FF$1,0)-1)=TRUE),0,OFFSET(Ottone!$F$1,MATCH(J1143,Ottone!$A:$A,0)-1,MATCH(K1143,Ottone!$F$1:$FF$1,0)-1))*IF(G1143="Ottone",1,0)</f>
        <v>0</v>
      </c>
      <c r="T1143" s="205">
        <f ca="1">IF(ISERROR(OFFSET(Rame!$F$1,MATCH(J1143,Rame!$F:$F,0)-1,MATCH(K1143,Rame!$F$1:$FF$1,0)-1)=TRUE),0,OFFSET(Rame!$F$1,MATCH(J1143,Rame!$F:$F,0)-1,MATCH(K1143,Rame!$F$1:$FF$1,0)-1))*IF(G1143="Rame",1,0)</f>
        <v>0</v>
      </c>
      <c r="U1143" s="205">
        <f ca="1">IF(ISERROR(OFFSET(Bronzo!$A$1,MATCH(J1143,Bronzo!$A:$A,0)-1,MATCH(K1143,Bronzo!$A$1:$AA$1,0)-1)=TRUE),0,OFFSET(Bronzo!$A$1,MATCH(J1143,Bronzo!$A:$A,0)-1,MATCH(K1143,Bronzo!$A$1:$AA$1,0)-1))</f>
        <v>0</v>
      </c>
      <c r="V1143" s="205">
        <f t="shared" ca="1" si="324"/>
        <v>0</v>
      </c>
      <c r="W1143" s="204"/>
      <c r="X1143" s="205">
        <v>0</v>
      </c>
      <c r="Y1143" s="206">
        <f t="shared" ca="1" si="325"/>
        <v>0</v>
      </c>
      <c r="Z1143" s="277">
        <f t="shared" si="326"/>
        <v>0</v>
      </c>
      <c r="AA1143" s="203"/>
      <c r="AB1143" s="203">
        <f t="shared" ca="1" si="327"/>
        <v>0</v>
      </c>
      <c r="AC1143" s="238"/>
      <c r="AI1143" s="367">
        <f t="shared" ca="1" si="322"/>
        <v>46092</v>
      </c>
      <c r="AJ1143" s="367" t="b">
        <f t="shared" si="328"/>
        <v>1</v>
      </c>
      <c r="AK1143" s="370" t="str">
        <f t="shared" si="329"/>
        <v/>
      </c>
      <c r="AN1143">
        <f t="shared" si="330"/>
        <v>0</v>
      </c>
      <c r="AO1143">
        <f t="shared" si="331"/>
        <v>1900</v>
      </c>
      <c r="AV1143">
        <f t="shared" si="332"/>
        <v>0</v>
      </c>
      <c r="AW1143">
        <f t="shared" si="333"/>
        <v>0</v>
      </c>
    </row>
    <row r="1144" spans="4:49" ht="15.75" x14ac:dyDescent="0.25">
      <c r="D1144" s="199"/>
      <c r="E1144" s="200"/>
      <c r="F1144" s="287"/>
      <c r="G1144" s="201"/>
      <c r="H1144" s="219"/>
      <c r="I1144" s="202"/>
      <c r="J1144" s="200"/>
      <c r="K1144" s="200"/>
      <c r="L1144" s="203"/>
      <c r="M1144" s="204">
        <f ca="1">IF(ISERROR(OFFSET(Tabella!$A$1,MATCH(J1144,Tabella!$A:$A,0)-1,MATCH(L1144,Tabella!$A$1:$AC$1,0)-1)=TRUE),0,+OFFSET(Tabella!$A$1,MATCH(J1144,Tabella!$A:$A,0)-1,MATCH(L1144,Tabella!$A$1:$AC$1,0)-1))</f>
        <v>0</v>
      </c>
      <c r="N1144" s="205">
        <f ca="1">IF(ISERROR(OFFSET(Ottone!$A$1,MATCH(J1144,Ottone!$A:$A,0)-1,MATCH(L1144,Ottone!$A$1:$Z$1,0)-1)=TRUE),0,OFFSET(Ottone!$A$1,MATCH(J1144,Ottone!$A:$A,0)-1,MATCH(L1144,Ottone!$A$1:$Z$1,0)-1))*IF(G1144="Ottone",1,0)</f>
        <v>0</v>
      </c>
      <c r="O1144" s="205">
        <f ca="1">IF(ISERROR(OFFSET(Rame!$A$1,MATCH(J1144,Rame!$A:$A,0)-1,MATCH(L1144,Rame!$A$1:$AA$1,0)-1)=TRUE),0,OFFSET(Rame!$A$1,MATCH(J1144,Rame!$A:$A,0)-1,MATCH(L1144,Rame!$A$1:$AA$1,0)-1))*IF(G1144="Rame",1,0)</f>
        <v>0</v>
      </c>
      <c r="P1144" s="205">
        <v>0</v>
      </c>
      <c r="Q1144" s="205">
        <f t="shared" ca="1" si="323"/>
        <v>0</v>
      </c>
      <c r="R1144" s="205">
        <f ca="1">+IF(ISERROR(OFFSET(Tabella!$G$1,MATCH(J1144,Tabella!$G:$G,0)-1,MATCH(K1144,Tabella!$G$1:$FG$1,0)-1)=TRUE),0,OFFSET(Tabella!$G$1,MATCH(J1144,Tabella!$G:$G,0)-1,MATCH(K1144,Tabella!$G$1:$AB$1,0)-1))</f>
        <v>0</v>
      </c>
      <c r="S1144" s="205">
        <f ca="1">IF(ISERROR(OFFSET(Ottone!$F$1,MATCH(J1144,Ottone!$A:$A,0)-1,MATCH(K1144,Ottone!$F$1:$FF$1,0)-1)=TRUE),0,OFFSET(Ottone!$F$1,MATCH(J1144,Ottone!$A:$A,0)-1,MATCH(K1144,Ottone!$F$1:$FF$1,0)-1))*IF(G1144="Ottone",1,0)</f>
        <v>0</v>
      </c>
      <c r="T1144" s="205">
        <f ca="1">IF(ISERROR(OFFSET(Rame!$F$1,MATCH(J1144,Rame!$F:$F,0)-1,MATCH(K1144,Rame!$F$1:$FF$1,0)-1)=TRUE),0,OFFSET(Rame!$F$1,MATCH(J1144,Rame!$F:$F,0)-1,MATCH(K1144,Rame!$F$1:$FF$1,0)-1))*IF(G1144="Rame",1,0)</f>
        <v>0</v>
      </c>
      <c r="U1144" s="205">
        <f ca="1">IF(ISERROR(OFFSET(Bronzo!$A$1,MATCH(J1144,Bronzo!$A:$A,0)-1,MATCH(K1144,Bronzo!$A$1:$AA$1,0)-1)=TRUE),0,OFFSET(Bronzo!$A$1,MATCH(J1144,Bronzo!$A:$A,0)-1,MATCH(K1144,Bronzo!$A$1:$AA$1,0)-1))</f>
        <v>0</v>
      </c>
      <c r="V1144" s="205">
        <f t="shared" ca="1" si="324"/>
        <v>0</v>
      </c>
      <c r="W1144" s="204"/>
      <c r="X1144" s="205">
        <v>0</v>
      </c>
      <c r="Y1144" s="206">
        <f t="shared" ca="1" si="325"/>
        <v>0</v>
      </c>
      <c r="Z1144" s="277">
        <f t="shared" si="326"/>
        <v>0</v>
      </c>
      <c r="AA1144" s="203"/>
      <c r="AB1144" s="203">
        <f t="shared" ca="1" si="327"/>
        <v>0</v>
      </c>
      <c r="AC1144" s="238"/>
      <c r="AI1144" s="367">
        <f t="shared" ca="1" si="322"/>
        <v>46092</v>
      </c>
      <c r="AJ1144" s="367" t="b">
        <f t="shared" si="328"/>
        <v>1</v>
      </c>
      <c r="AK1144" s="370" t="str">
        <f t="shared" si="329"/>
        <v/>
      </c>
      <c r="AN1144">
        <f t="shared" si="330"/>
        <v>0</v>
      </c>
      <c r="AO1144">
        <f t="shared" si="331"/>
        <v>1900</v>
      </c>
      <c r="AV1144">
        <f t="shared" si="332"/>
        <v>0</v>
      </c>
      <c r="AW1144">
        <f t="shared" si="333"/>
        <v>0</v>
      </c>
    </row>
    <row r="1145" spans="4:49" ht="15.75" x14ac:dyDescent="0.25">
      <c r="D1145" s="199"/>
      <c r="E1145" s="200"/>
      <c r="F1145" s="287"/>
      <c r="G1145" s="201"/>
      <c r="H1145" s="219"/>
      <c r="I1145" s="202"/>
      <c r="J1145" s="200"/>
      <c r="K1145" s="200"/>
      <c r="L1145" s="203"/>
      <c r="M1145" s="204">
        <f ca="1">IF(ISERROR(OFFSET(Tabella!$A$1,MATCH(J1145,Tabella!$A:$A,0)-1,MATCH(L1145,Tabella!$A$1:$AC$1,0)-1)=TRUE),0,+OFFSET(Tabella!$A$1,MATCH(J1145,Tabella!$A:$A,0)-1,MATCH(L1145,Tabella!$A$1:$AC$1,0)-1))</f>
        <v>0</v>
      </c>
      <c r="N1145" s="205">
        <f ca="1">IF(ISERROR(OFFSET(Ottone!$A$1,MATCH(J1145,Ottone!$A:$A,0)-1,MATCH(L1145,Ottone!$A$1:$Z$1,0)-1)=TRUE),0,OFFSET(Ottone!$A$1,MATCH(J1145,Ottone!$A:$A,0)-1,MATCH(L1145,Ottone!$A$1:$Z$1,0)-1))*IF(G1145="Ottone",1,0)</f>
        <v>0</v>
      </c>
      <c r="O1145" s="205">
        <f ca="1">IF(ISERROR(OFFSET(Rame!$A$1,MATCH(J1145,Rame!$A:$A,0)-1,MATCH(L1145,Rame!$A$1:$AA$1,0)-1)=TRUE),0,OFFSET(Rame!$A$1,MATCH(J1145,Rame!$A:$A,0)-1,MATCH(L1145,Rame!$A$1:$AA$1,0)-1))*IF(G1145="Rame",1,0)</f>
        <v>0</v>
      </c>
      <c r="P1145" s="205">
        <v>0</v>
      </c>
      <c r="Q1145" s="205">
        <f t="shared" ca="1" si="323"/>
        <v>0</v>
      </c>
      <c r="R1145" s="205">
        <f ca="1">+IF(ISERROR(OFFSET(Tabella!$G$1,MATCH(J1145,Tabella!$G:$G,0)-1,MATCH(K1145,Tabella!$G$1:$FG$1,0)-1)=TRUE),0,OFFSET(Tabella!$G$1,MATCH(J1145,Tabella!$G:$G,0)-1,MATCH(K1145,Tabella!$G$1:$AB$1,0)-1))</f>
        <v>0</v>
      </c>
      <c r="S1145" s="205">
        <f ca="1">IF(ISERROR(OFFSET(Ottone!$F$1,MATCH(J1145,Ottone!$A:$A,0)-1,MATCH(K1145,Ottone!$F$1:$FF$1,0)-1)=TRUE),0,OFFSET(Ottone!$F$1,MATCH(J1145,Ottone!$A:$A,0)-1,MATCH(K1145,Ottone!$F$1:$FF$1,0)-1))*IF(G1145="Ottone",1,0)</f>
        <v>0</v>
      </c>
      <c r="T1145" s="205">
        <f ca="1">IF(ISERROR(OFFSET(Rame!$F$1,MATCH(J1145,Rame!$F:$F,0)-1,MATCH(K1145,Rame!$F$1:$FF$1,0)-1)=TRUE),0,OFFSET(Rame!$F$1,MATCH(J1145,Rame!$F:$F,0)-1,MATCH(K1145,Rame!$F$1:$FF$1,0)-1))*IF(G1145="Rame",1,0)</f>
        <v>0</v>
      </c>
      <c r="U1145" s="205">
        <f ca="1">IF(ISERROR(OFFSET(Bronzo!$A$1,MATCH(J1145,Bronzo!$A:$A,0)-1,MATCH(K1145,Bronzo!$A$1:$AA$1,0)-1)=TRUE),0,OFFSET(Bronzo!$A$1,MATCH(J1145,Bronzo!$A:$A,0)-1,MATCH(K1145,Bronzo!$A$1:$AA$1,0)-1))</f>
        <v>0</v>
      </c>
      <c r="V1145" s="205">
        <f t="shared" ca="1" si="324"/>
        <v>0</v>
      </c>
      <c r="W1145" s="204"/>
      <c r="X1145" s="205">
        <v>0</v>
      </c>
      <c r="Y1145" s="206">
        <f t="shared" ca="1" si="325"/>
        <v>0</v>
      </c>
      <c r="Z1145" s="277">
        <f t="shared" si="326"/>
        <v>0</v>
      </c>
      <c r="AA1145" s="203"/>
      <c r="AB1145" s="203">
        <f t="shared" ca="1" si="327"/>
        <v>0</v>
      </c>
      <c r="AC1145" s="238"/>
      <c r="AI1145" s="367">
        <f t="shared" ca="1" si="322"/>
        <v>46092</v>
      </c>
      <c r="AJ1145" s="367" t="b">
        <f t="shared" si="328"/>
        <v>1</v>
      </c>
      <c r="AK1145" s="370" t="str">
        <f t="shared" si="329"/>
        <v/>
      </c>
      <c r="AN1145">
        <f t="shared" si="330"/>
        <v>0</v>
      </c>
      <c r="AO1145">
        <f t="shared" si="331"/>
        <v>1900</v>
      </c>
      <c r="AV1145">
        <f t="shared" si="332"/>
        <v>0</v>
      </c>
      <c r="AW1145">
        <f t="shared" si="333"/>
        <v>0</v>
      </c>
    </row>
    <row r="1146" spans="4:49" ht="15.75" x14ac:dyDescent="0.25">
      <c r="D1146" s="199"/>
      <c r="E1146" s="200"/>
      <c r="F1146" s="287"/>
      <c r="G1146" s="201"/>
      <c r="H1146" s="219"/>
      <c r="I1146" s="202"/>
      <c r="J1146" s="200"/>
      <c r="K1146" s="200"/>
      <c r="L1146" s="203"/>
      <c r="M1146" s="204">
        <f ca="1">IF(ISERROR(OFFSET(Tabella!$A$1,MATCH(J1146,Tabella!$A:$A,0)-1,MATCH(L1146,Tabella!$A$1:$AC$1,0)-1)=TRUE),0,+OFFSET(Tabella!$A$1,MATCH(J1146,Tabella!$A:$A,0)-1,MATCH(L1146,Tabella!$A$1:$AC$1,0)-1))</f>
        <v>0</v>
      </c>
      <c r="N1146" s="205">
        <f ca="1">IF(ISERROR(OFFSET(Ottone!$A$1,MATCH(J1146,Ottone!$A:$A,0)-1,MATCH(L1146,Ottone!$A$1:$Z$1,0)-1)=TRUE),0,OFFSET(Ottone!$A$1,MATCH(J1146,Ottone!$A:$A,0)-1,MATCH(L1146,Ottone!$A$1:$Z$1,0)-1))*IF(G1146="Ottone",1,0)</f>
        <v>0</v>
      </c>
      <c r="O1146" s="205">
        <f ca="1">IF(ISERROR(OFFSET(Rame!$A$1,MATCH(J1146,Rame!$A:$A,0)-1,MATCH(L1146,Rame!$A$1:$AA$1,0)-1)=TRUE),0,OFFSET(Rame!$A$1,MATCH(J1146,Rame!$A:$A,0)-1,MATCH(L1146,Rame!$A$1:$AA$1,0)-1))*IF(G1146="Rame",1,0)</f>
        <v>0</v>
      </c>
      <c r="P1146" s="205">
        <v>0</v>
      </c>
      <c r="Q1146" s="205">
        <f t="shared" ca="1" si="323"/>
        <v>0</v>
      </c>
      <c r="R1146" s="205">
        <f ca="1">+IF(ISERROR(OFFSET(Tabella!$G$1,MATCH(J1146,Tabella!$G:$G,0)-1,MATCH(K1146,Tabella!$G$1:$FG$1,0)-1)=TRUE),0,OFFSET(Tabella!$G$1,MATCH(J1146,Tabella!$G:$G,0)-1,MATCH(K1146,Tabella!$G$1:$AB$1,0)-1))</f>
        <v>0</v>
      </c>
      <c r="S1146" s="205">
        <f ca="1">IF(ISERROR(OFFSET(Ottone!$F$1,MATCH(J1146,Ottone!$A:$A,0)-1,MATCH(K1146,Ottone!$F$1:$FF$1,0)-1)=TRUE),0,OFFSET(Ottone!$F$1,MATCH(J1146,Ottone!$A:$A,0)-1,MATCH(K1146,Ottone!$F$1:$FF$1,0)-1))*IF(G1146="Ottone",1,0)</f>
        <v>0</v>
      </c>
      <c r="T1146" s="205">
        <f ca="1">IF(ISERROR(OFFSET(Rame!$F$1,MATCH(J1146,Rame!$F:$F,0)-1,MATCH(K1146,Rame!$F$1:$FF$1,0)-1)=TRUE),0,OFFSET(Rame!$F$1,MATCH(J1146,Rame!$F:$F,0)-1,MATCH(K1146,Rame!$F$1:$FF$1,0)-1))*IF(G1146="Rame",1,0)</f>
        <v>0</v>
      </c>
      <c r="U1146" s="205">
        <f ca="1">IF(ISERROR(OFFSET(Bronzo!$A$1,MATCH(J1146,Bronzo!$A:$A,0)-1,MATCH(K1146,Bronzo!$A$1:$AA$1,0)-1)=TRUE),0,OFFSET(Bronzo!$A$1,MATCH(J1146,Bronzo!$A:$A,0)-1,MATCH(K1146,Bronzo!$A$1:$AA$1,0)-1))</f>
        <v>0</v>
      </c>
      <c r="V1146" s="205">
        <f t="shared" ca="1" si="324"/>
        <v>0</v>
      </c>
      <c r="W1146" s="204"/>
      <c r="X1146" s="205">
        <v>0</v>
      </c>
      <c r="Y1146" s="206">
        <f t="shared" ca="1" si="325"/>
        <v>0</v>
      </c>
      <c r="Z1146" s="277">
        <f t="shared" si="326"/>
        <v>0</v>
      </c>
      <c r="AA1146" s="203"/>
      <c r="AB1146" s="203">
        <f t="shared" ca="1" si="327"/>
        <v>0</v>
      </c>
      <c r="AC1146" s="238"/>
      <c r="AI1146" s="367">
        <f t="shared" ca="1" si="322"/>
        <v>46092</v>
      </c>
      <c r="AJ1146" s="367" t="b">
        <f t="shared" si="328"/>
        <v>1</v>
      </c>
      <c r="AK1146" s="370" t="str">
        <f t="shared" si="329"/>
        <v/>
      </c>
      <c r="AN1146">
        <f t="shared" si="330"/>
        <v>0</v>
      </c>
      <c r="AO1146">
        <f t="shared" si="331"/>
        <v>1900</v>
      </c>
      <c r="AV1146">
        <f t="shared" si="332"/>
        <v>0</v>
      </c>
      <c r="AW1146">
        <f t="shared" si="333"/>
        <v>0</v>
      </c>
    </row>
    <row r="1147" spans="4:49" ht="15.75" x14ac:dyDescent="0.25">
      <c r="D1147" s="199"/>
      <c r="E1147" s="200"/>
      <c r="F1147" s="287"/>
      <c r="G1147" s="201"/>
      <c r="H1147" s="219"/>
      <c r="I1147" s="202"/>
      <c r="J1147" s="200"/>
      <c r="K1147" s="200"/>
      <c r="L1147" s="203"/>
      <c r="M1147" s="204">
        <f ca="1">IF(ISERROR(OFFSET(Tabella!$A$1,MATCH(J1147,Tabella!$A:$A,0)-1,MATCH(L1147,Tabella!$A$1:$AC$1,0)-1)=TRUE),0,+OFFSET(Tabella!$A$1,MATCH(J1147,Tabella!$A:$A,0)-1,MATCH(L1147,Tabella!$A$1:$AC$1,0)-1))</f>
        <v>0</v>
      </c>
      <c r="N1147" s="205">
        <f ca="1">IF(ISERROR(OFFSET(Ottone!$A$1,MATCH(J1147,Ottone!$A:$A,0)-1,MATCH(L1147,Ottone!$A$1:$Z$1,0)-1)=TRUE),0,OFFSET(Ottone!$A$1,MATCH(J1147,Ottone!$A:$A,0)-1,MATCH(L1147,Ottone!$A$1:$Z$1,0)-1))*IF(G1147="Ottone",1,0)</f>
        <v>0</v>
      </c>
      <c r="O1147" s="205">
        <f ca="1">IF(ISERROR(OFFSET(Rame!$A$1,MATCH(J1147,Rame!$A:$A,0)-1,MATCH(L1147,Rame!$A$1:$AA$1,0)-1)=TRUE),0,OFFSET(Rame!$A$1,MATCH(J1147,Rame!$A:$A,0)-1,MATCH(L1147,Rame!$A$1:$AA$1,0)-1))*IF(G1147="Rame",1,0)</f>
        <v>0</v>
      </c>
      <c r="P1147" s="205">
        <v>0</v>
      </c>
      <c r="Q1147" s="205">
        <f t="shared" ca="1" si="323"/>
        <v>0</v>
      </c>
      <c r="R1147" s="205">
        <f ca="1">+IF(ISERROR(OFFSET(Tabella!$G$1,MATCH(J1147,Tabella!$G:$G,0)-1,MATCH(K1147,Tabella!$G$1:$FG$1,0)-1)=TRUE),0,OFFSET(Tabella!$G$1,MATCH(J1147,Tabella!$G:$G,0)-1,MATCH(K1147,Tabella!$G$1:$AB$1,0)-1))</f>
        <v>0</v>
      </c>
      <c r="S1147" s="205">
        <f ca="1">IF(ISERROR(OFFSET(Ottone!$F$1,MATCH(J1147,Ottone!$A:$A,0)-1,MATCH(K1147,Ottone!$F$1:$FF$1,0)-1)=TRUE),0,OFFSET(Ottone!$F$1,MATCH(J1147,Ottone!$A:$A,0)-1,MATCH(K1147,Ottone!$F$1:$FF$1,0)-1))*IF(G1147="Ottone",1,0)</f>
        <v>0</v>
      </c>
      <c r="T1147" s="205">
        <f ca="1">IF(ISERROR(OFFSET(Rame!$F$1,MATCH(J1147,Rame!$F:$F,0)-1,MATCH(K1147,Rame!$F$1:$FF$1,0)-1)=TRUE),0,OFFSET(Rame!$F$1,MATCH(J1147,Rame!$F:$F,0)-1,MATCH(K1147,Rame!$F$1:$FF$1,0)-1))*IF(G1147="Rame",1,0)</f>
        <v>0</v>
      </c>
      <c r="U1147" s="205">
        <f ca="1">IF(ISERROR(OFFSET(Bronzo!$A$1,MATCH(J1147,Bronzo!$A:$A,0)-1,MATCH(K1147,Bronzo!$A$1:$AA$1,0)-1)=TRUE),0,OFFSET(Bronzo!$A$1,MATCH(J1147,Bronzo!$A:$A,0)-1,MATCH(K1147,Bronzo!$A$1:$AA$1,0)-1))</f>
        <v>0</v>
      </c>
      <c r="V1147" s="205">
        <f t="shared" ca="1" si="324"/>
        <v>0</v>
      </c>
      <c r="W1147" s="204"/>
      <c r="X1147" s="205">
        <v>0</v>
      </c>
      <c r="Y1147" s="206">
        <f t="shared" ca="1" si="325"/>
        <v>0</v>
      </c>
      <c r="Z1147" s="277">
        <f t="shared" si="326"/>
        <v>0</v>
      </c>
      <c r="AA1147" s="203"/>
      <c r="AB1147" s="203">
        <f t="shared" ca="1" si="327"/>
        <v>0</v>
      </c>
      <c r="AC1147" s="238"/>
      <c r="AI1147" s="367">
        <f t="shared" ca="1" si="322"/>
        <v>46092</v>
      </c>
      <c r="AJ1147" s="367" t="b">
        <f t="shared" si="328"/>
        <v>1</v>
      </c>
      <c r="AK1147" s="370" t="str">
        <f t="shared" si="329"/>
        <v/>
      </c>
      <c r="AN1147">
        <f t="shared" si="330"/>
        <v>0</v>
      </c>
      <c r="AO1147">
        <f t="shared" si="331"/>
        <v>1900</v>
      </c>
      <c r="AV1147">
        <f t="shared" si="332"/>
        <v>0</v>
      </c>
      <c r="AW1147">
        <f t="shared" si="333"/>
        <v>0</v>
      </c>
    </row>
    <row r="1148" spans="4:49" ht="15.75" x14ac:dyDescent="0.25">
      <c r="D1148" s="199"/>
      <c r="E1148" s="200"/>
      <c r="F1148" s="287"/>
      <c r="G1148" s="201"/>
      <c r="H1148" s="219"/>
      <c r="I1148" s="202"/>
      <c r="J1148" s="200"/>
      <c r="K1148" s="200"/>
      <c r="L1148" s="203"/>
      <c r="M1148" s="204">
        <f ca="1">IF(ISERROR(OFFSET(Tabella!$A$1,MATCH(J1148,Tabella!$A:$A,0)-1,MATCH(L1148,Tabella!$A$1:$AC$1,0)-1)=TRUE),0,+OFFSET(Tabella!$A$1,MATCH(J1148,Tabella!$A:$A,0)-1,MATCH(L1148,Tabella!$A$1:$AC$1,0)-1))</f>
        <v>0</v>
      </c>
      <c r="N1148" s="205">
        <f ca="1">IF(ISERROR(OFFSET(Ottone!$A$1,MATCH(J1148,Ottone!$A:$A,0)-1,MATCH(L1148,Ottone!$A$1:$Z$1,0)-1)=TRUE),0,OFFSET(Ottone!$A$1,MATCH(J1148,Ottone!$A:$A,0)-1,MATCH(L1148,Ottone!$A$1:$Z$1,0)-1))*IF(G1148="Ottone",1,0)</f>
        <v>0</v>
      </c>
      <c r="O1148" s="205">
        <f ca="1">IF(ISERROR(OFFSET(Rame!$A$1,MATCH(J1148,Rame!$A:$A,0)-1,MATCH(L1148,Rame!$A$1:$AA$1,0)-1)=TRUE),0,OFFSET(Rame!$A$1,MATCH(J1148,Rame!$A:$A,0)-1,MATCH(L1148,Rame!$A$1:$AA$1,0)-1))*IF(G1148="Rame",1,0)</f>
        <v>0</v>
      </c>
      <c r="P1148" s="205">
        <v>0</v>
      </c>
      <c r="Q1148" s="205">
        <f t="shared" ca="1" si="323"/>
        <v>0</v>
      </c>
      <c r="R1148" s="205">
        <f ca="1">+IF(ISERROR(OFFSET(Tabella!$G$1,MATCH(J1148,Tabella!$G:$G,0)-1,MATCH(K1148,Tabella!$G$1:$FG$1,0)-1)=TRUE),0,OFFSET(Tabella!$G$1,MATCH(J1148,Tabella!$G:$G,0)-1,MATCH(K1148,Tabella!$G$1:$AB$1,0)-1))</f>
        <v>0</v>
      </c>
      <c r="S1148" s="205">
        <f ca="1">IF(ISERROR(OFFSET(Ottone!$F$1,MATCH(J1148,Ottone!$A:$A,0)-1,MATCH(K1148,Ottone!$F$1:$FF$1,0)-1)=TRUE),0,OFFSET(Ottone!$F$1,MATCH(J1148,Ottone!$A:$A,0)-1,MATCH(K1148,Ottone!$F$1:$FF$1,0)-1))*IF(G1148="Ottone",1,0)</f>
        <v>0</v>
      </c>
      <c r="T1148" s="205">
        <f ca="1">IF(ISERROR(OFFSET(Rame!$F$1,MATCH(J1148,Rame!$F:$F,0)-1,MATCH(K1148,Rame!$F$1:$FF$1,0)-1)=TRUE),0,OFFSET(Rame!$F$1,MATCH(J1148,Rame!$F:$F,0)-1,MATCH(K1148,Rame!$F$1:$FF$1,0)-1))*IF(G1148="Rame",1,0)</f>
        <v>0</v>
      </c>
      <c r="U1148" s="205">
        <f ca="1">IF(ISERROR(OFFSET(Bronzo!$A$1,MATCH(J1148,Bronzo!$A:$A,0)-1,MATCH(K1148,Bronzo!$A$1:$AA$1,0)-1)=TRUE),0,OFFSET(Bronzo!$A$1,MATCH(J1148,Bronzo!$A:$A,0)-1,MATCH(K1148,Bronzo!$A$1:$AA$1,0)-1))</f>
        <v>0</v>
      </c>
      <c r="V1148" s="205">
        <f t="shared" ca="1" si="324"/>
        <v>0</v>
      </c>
      <c r="W1148" s="204"/>
      <c r="X1148" s="205">
        <v>0</v>
      </c>
      <c r="Y1148" s="206">
        <f t="shared" ca="1" si="325"/>
        <v>0</v>
      </c>
      <c r="Z1148" s="277">
        <f t="shared" si="326"/>
        <v>0</v>
      </c>
      <c r="AA1148" s="203"/>
      <c r="AB1148" s="203">
        <f t="shared" ca="1" si="327"/>
        <v>0</v>
      </c>
      <c r="AC1148" s="238"/>
      <c r="AI1148" s="367">
        <f t="shared" ca="1" si="322"/>
        <v>46092</v>
      </c>
      <c r="AJ1148" s="367" t="b">
        <f t="shared" si="328"/>
        <v>1</v>
      </c>
      <c r="AK1148" s="370" t="str">
        <f t="shared" si="329"/>
        <v/>
      </c>
      <c r="AN1148">
        <f t="shared" si="330"/>
        <v>0</v>
      </c>
      <c r="AO1148">
        <f t="shared" si="331"/>
        <v>1900</v>
      </c>
      <c r="AV1148">
        <f t="shared" si="332"/>
        <v>0</v>
      </c>
      <c r="AW1148">
        <f t="shared" si="333"/>
        <v>0</v>
      </c>
    </row>
    <row r="1149" spans="4:49" ht="15.75" x14ac:dyDescent="0.25">
      <c r="D1149" s="199"/>
      <c r="E1149" s="200"/>
      <c r="F1149" s="287"/>
      <c r="G1149" s="201"/>
      <c r="H1149" s="219"/>
      <c r="I1149" s="202"/>
      <c r="J1149" s="200"/>
      <c r="K1149" s="200"/>
      <c r="L1149" s="203"/>
      <c r="M1149" s="204">
        <f ca="1">IF(ISERROR(OFFSET(Tabella!$A$1,MATCH(J1149,Tabella!$A:$A,0)-1,MATCH(L1149,Tabella!$A$1:$AC$1,0)-1)=TRUE),0,+OFFSET(Tabella!$A$1,MATCH(J1149,Tabella!$A:$A,0)-1,MATCH(L1149,Tabella!$A$1:$AC$1,0)-1))</f>
        <v>0</v>
      </c>
      <c r="N1149" s="205">
        <f ca="1">IF(ISERROR(OFFSET(Ottone!$A$1,MATCH(J1149,Ottone!$A:$A,0)-1,MATCH(L1149,Ottone!$A$1:$Z$1,0)-1)=TRUE),0,OFFSET(Ottone!$A$1,MATCH(J1149,Ottone!$A:$A,0)-1,MATCH(L1149,Ottone!$A$1:$Z$1,0)-1))*IF(G1149="Ottone",1,0)</f>
        <v>0</v>
      </c>
      <c r="O1149" s="205">
        <f ca="1">IF(ISERROR(OFFSET(Rame!$A$1,MATCH(J1149,Rame!$A:$A,0)-1,MATCH(L1149,Rame!$A$1:$AA$1,0)-1)=TRUE),0,OFFSET(Rame!$A$1,MATCH(J1149,Rame!$A:$A,0)-1,MATCH(L1149,Rame!$A$1:$AA$1,0)-1))*IF(G1149="Rame",1,0)</f>
        <v>0</v>
      </c>
      <c r="P1149" s="205">
        <v>0</v>
      </c>
      <c r="Q1149" s="205">
        <f t="shared" ca="1" si="323"/>
        <v>0</v>
      </c>
      <c r="R1149" s="205">
        <f ca="1">+IF(ISERROR(OFFSET(Tabella!$G$1,MATCH(J1149,Tabella!$G:$G,0)-1,MATCH(K1149,Tabella!$G$1:$FG$1,0)-1)=TRUE),0,OFFSET(Tabella!$G$1,MATCH(J1149,Tabella!$G:$G,0)-1,MATCH(K1149,Tabella!$G$1:$AB$1,0)-1))</f>
        <v>0</v>
      </c>
      <c r="S1149" s="205">
        <f ca="1">IF(ISERROR(OFFSET(Ottone!$F$1,MATCH(J1149,Ottone!$A:$A,0)-1,MATCH(K1149,Ottone!$F$1:$FF$1,0)-1)=TRUE),0,OFFSET(Ottone!$F$1,MATCH(J1149,Ottone!$A:$A,0)-1,MATCH(K1149,Ottone!$F$1:$FF$1,0)-1))*IF(G1149="Ottone",1,0)</f>
        <v>0</v>
      </c>
      <c r="T1149" s="205">
        <f ca="1">IF(ISERROR(OFFSET(Rame!$F$1,MATCH(J1149,Rame!$F:$F,0)-1,MATCH(K1149,Rame!$F$1:$FF$1,0)-1)=TRUE),0,OFFSET(Rame!$F$1,MATCH(J1149,Rame!$F:$F,0)-1,MATCH(K1149,Rame!$F$1:$FF$1,0)-1))*IF(G1149="Rame",1,0)</f>
        <v>0</v>
      </c>
      <c r="U1149" s="205">
        <f ca="1">IF(ISERROR(OFFSET(Bronzo!$A$1,MATCH(J1149,Bronzo!$A:$A,0)-1,MATCH(K1149,Bronzo!$A$1:$AA$1,0)-1)=TRUE),0,OFFSET(Bronzo!$A$1,MATCH(J1149,Bronzo!$A:$A,0)-1,MATCH(K1149,Bronzo!$A$1:$AA$1,0)-1))</f>
        <v>0</v>
      </c>
      <c r="V1149" s="205">
        <f t="shared" ca="1" si="324"/>
        <v>0</v>
      </c>
      <c r="W1149" s="204"/>
      <c r="X1149" s="205">
        <v>0</v>
      </c>
      <c r="Y1149" s="206">
        <f t="shared" ca="1" si="325"/>
        <v>0</v>
      </c>
      <c r="Z1149" s="277">
        <f t="shared" si="326"/>
        <v>0</v>
      </c>
      <c r="AA1149" s="203"/>
      <c r="AB1149" s="203">
        <f t="shared" ca="1" si="327"/>
        <v>0</v>
      </c>
      <c r="AC1149" s="238"/>
      <c r="AI1149" s="367">
        <f t="shared" ca="1" si="322"/>
        <v>46092</v>
      </c>
      <c r="AJ1149" s="367" t="b">
        <f t="shared" si="328"/>
        <v>1</v>
      </c>
      <c r="AK1149" s="370" t="str">
        <f t="shared" si="329"/>
        <v/>
      </c>
      <c r="AN1149">
        <f t="shared" si="330"/>
        <v>0</v>
      </c>
      <c r="AO1149">
        <f t="shared" si="331"/>
        <v>1900</v>
      </c>
      <c r="AV1149">
        <f t="shared" si="332"/>
        <v>0</v>
      </c>
      <c r="AW1149">
        <f t="shared" si="333"/>
        <v>0</v>
      </c>
    </row>
    <row r="1150" spans="4:49" ht="15.75" x14ac:dyDescent="0.25">
      <c r="D1150" s="199"/>
      <c r="E1150" s="200"/>
      <c r="F1150" s="287"/>
      <c r="G1150" s="201"/>
      <c r="H1150" s="219"/>
      <c r="I1150" s="202"/>
      <c r="J1150" s="200"/>
      <c r="K1150" s="200"/>
      <c r="L1150" s="203"/>
      <c r="M1150" s="204">
        <f ca="1">IF(ISERROR(OFFSET(Tabella!$A$1,MATCH(J1150,Tabella!$A:$A,0)-1,MATCH(L1150,Tabella!$A$1:$AC$1,0)-1)=TRUE),0,+OFFSET(Tabella!$A$1,MATCH(J1150,Tabella!$A:$A,0)-1,MATCH(L1150,Tabella!$A$1:$AC$1,0)-1))</f>
        <v>0</v>
      </c>
      <c r="N1150" s="205">
        <f ca="1">IF(ISERROR(OFFSET(Ottone!$A$1,MATCH(J1150,Ottone!$A:$A,0)-1,MATCH(L1150,Ottone!$A$1:$Z$1,0)-1)=TRUE),0,OFFSET(Ottone!$A$1,MATCH(J1150,Ottone!$A:$A,0)-1,MATCH(L1150,Ottone!$A$1:$Z$1,0)-1))*IF(G1150="Ottone",1,0)</f>
        <v>0</v>
      </c>
      <c r="O1150" s="205">
        <f ca="1">IF(ISERROR(OFFSET(Rame!$A$1,MATCH(J1150,Rame!$A:$A,0)-1,MATCH(L1150,Rame!$A$1:$AA$1,0)-1)=TRUE),0,OFFSET(Rame!$A$1,MATCH(J1150,Rame!$A:$A,0)-1,MATCH(L1150,Rame!$A$1:$AA$1,0)-1))*IF(G1150="Rame",1,0)</f>
        <v>0</v>
      </c>
      <c r="P1150" s="205">
        <v>0</v>
      </c>
      <c r="Q1150" s="205">
        <f t="shared" ca="1" si="323"/>
        <v>0</v>
      </c>
      <c r="R1150" s="205">
        <f ca="1">+IF(ISERROR(OFFSET(Tabella!$G$1,MATCH(J1150,Tabella!$G:$G,0)-1,MATCH(K1150,Tabella!$G$1:$FG$1,0)-1)=TRUE),0,OFFSET(Tabella!$G$1,MATCH(J1150,Tabella!$G:$G,0)-1,MATCH(K1150,Tabella!$G$1:$AB$1,0)-1))</f>
        <v>0</v>
      </c>
      <c r="S1150" s="205">
        <f ca="1">IF(ISERROR(OFFSET(Ottone!$F$1,MATCH(J1150,Ottone!$A:$A,0)-1,MATCH(K1150,Ottone!$F$1:$FF$1,0)-1)=TRUE),0,OFFSET(Ottone!$F$1,MATCH(J1150,Ottone!$A:$A,0)-1,MATCH(K1150,Ottone!$F$1:$FF$1,0)-1))*IF(G1150="Ottone",1,0)</f>
        <v>0</v>
      </c>
      <c r="T1150" s="205">
        <f ca="1">IF(ISERROR(OFFSET(Rame!$F$1,MATCH(J1150,Rame!$F:$F,0)-1,MATCH(K1150,Rame!$F$1:$FF$1,0)-1)=TRUE),0,OFFSET(Rame!$F$1,MATCH(J1150,Rame!$F:$F,0)-1,MATCH(K1150,Rame!$F$1:$FF$1,0)-1))*IF(G1150="Rame",1,0)</f>
        <v>0</v>
      </c>
      <c r="U1150" s="205">
        <f ca="1">IF(ISERROR(OFFSET(Bronzo!$A$1,MATCH(J1150,Bronzo!$A:$A,0)-1,MATCH(K1150,Bronzo!$A$1:$AA$1,0)-1)=TRUE),0,OFFSET(Bronzo!$A$1,MATCH(J1150,Bronzo!$A:$A,0)-1,MATCH(K1150,Bronzo!$A$1:$AA$1,0)-1))</f>
        <v>0</v>
      </c>
      <c r="V1150" s="205">
        <f t="shared" ca="1" si="324"/>
        <v>0</v>
      </c>
      <c r="W1150" s="204"/>
      <c r="X1150" s="205">
        <v>0</v>
      </c>
      <c r="Y1150" s="206">
        <f t="shared" ca="1" si="325"/>
        <v>0</v>
      </c>
      <c r="Z1150" s="277">
        <f t="shared" si="326"/>
        <v>0</v>
      </c>
      <c r="AA1150" s="203"/>
      <c r="AB1150" s="203">
        <f t="shared" ca="1" si="327"/>
        <v>0</v>
      </c>
      <c r="AC1150" s="238"/>
      <c r="AI1150" s="367">
        <f t="shared" ca="1" si="322"/>
        <v>46092</v>
      </c>
      <c r="AJ1150" s="367" t="b">
        <f t="shared" si="328"/>
        <v>1</v>
      </c>
      <c r="AK1150" s="370" t="str">
        <f t="shared" si="329"/>
        <v/>
      </c>
      <c r="AN1150">
        <f t="shared" si="330"/>
        <v>0</v>
      </c>
      <c r="AO1150">
        <f t="shared" si="331"/>
        <v>1900</v>
      </c>
      <c r="AV1150">
        <f t="shared" si="332"/>
        <v>0</v>
      </c>
      <c r="AW1150">
        <f t="shared" si="333"/>
        <v>0</v>
      </c>
    </row>
    <row r="1151" spans="4:49" ht="15.75" x14ac:dyDescent="0.25">
      <c r="D1151" s="199"/>
      <c r="E1151" s="200"/>
      <c r="F1151" s="287"/>
      <c r="G1151" s="201"/>
      <c r="H1151" s="219"/>
      <c r="I1151" s="202"/>
      <c r="J1151" s="200"/>
      <c r="K1151" s="200"/>
      <c r="L1151" s="203"/>
      <c r="M1151" s="204">
        <f ca="1">IF(ISERROR(OFFSET(Tabella!$A$1,MATCH(J1151,Tabella!$A:$A,0)-1,MATCH(L1151,Tabella!$A$1:$AC$1,0)-1)=TRUE),0,+OFFSET(Tabella!$A$1,MATCH(J1151,Tabella!$A:$A,0)-1,MATCH(L1151,Tabella!$A$1:$AC$1,0)-1))</f>
        <v>0</v>
      </c>
      <c r="N1151" s="205">
        <f ca="1">IF(ISERROR(OFFSET(Ottone!$A$1,MATCH(J1151,Ottone!$A:$A,0)-1,MATCH(L1151,Ottone!$A$1:$Z$1,0)-1)=TRUE),0,OFFSET(Ottone!$A$1,MATCH(J1151,Ottone!$A:$A,0)-1,MATCH(L1151,Ottone!$A$1:$Z$1,0)-1))*IF(G1151="Ottone",1,0)</f>
        <v>0</v>
      </c>
      <c r="O1151" s="205">
        <f ca="1">IF(ISERROR(OFFSET(Rame!$A$1,MATCH(J1151,Rame!$A:$A,0)-1,MATCH(L1151,Rame!$A$1:$AA$1,0)-1)=TRUE),0,OFFSET(Rame!$A$1,MATCH(J1151,Rame!$A:$A,0)-1,MATCH(L1151,Rame!$A$1:$AA$1,0)-1))*IF(G1151="Rame",1,0)</f>
        <v>0</v>
      </c>
      <c r="P1151" s="205">
        <v>0</v>
      </c>
      <c r="Q1151" s="205">
        <f t="shared" ca="1" si="323"/>
        <v>0</v>
      </c>
      <c r="R1151" s="205">
        <f ca="1">+IF(ISERROR(OFFSET(Tabella!$G$1,MATCH(J1151,Tabella!$G:$G,0)-1,MATCH(K1151,Tabella!$G$1:$FG$1,0)-1)=TRUE),0,OFFSET(Tabella!$G$1,MATCH(J1151,Tabella!$G:$G,0)-1,MATCH(K1151,Tabella!$G$1:$AB$1,0)-1))</f>
        <v>0</v>
      </c>
      <c r="S1151" s="205">
        <f ca="1">IF(ISERROR(OFFSET(Ottone!$F$1,MATCH(J1151,Ottone!$A:$A,0)-1,MATCH(K1151,Ottone!$F$1:$FF$1,0)-1)=TRUE),0,OFFSET(Ottone!$F$1,MATCH(J1151,Ottone!$A:$A,0)-1,MATCH(K1151,Ottone!$F$1:$FF$1,0)-1))*IF(G1151="Ottone",1,0)</f>
        <v>0</v>
      </c>
      <c r="T1151" s="205">
        <f ca="1">IF(ISERROR(OFFSET(Rame!$F$1,MATCH(J1151,Rame!$F:$F,0)-1,MATCH(K1151,Rame!$F$1:$FF$1,0)-1)=TRUE),0,OFFSET(Rame!$F$1,MATCH(J1151,Rame!$F:$F,0)-1,MATCH(K1151,Rame!$F$1:$FF$1,0)-1))*IF(G1151="Rame",1,0)</f>
        <v>0</v>
      </c>
      <c r="U1151" s="205">
        <f ca="1">IF(ISERROR(OFFSET(Bronzo!$A$1,MATCH(J1151,Bronzo!$A:$A,0)-1,MATCH(K1151,Bronzo!$A$1:$AA$1,0)-1)=TRUE),0,OFFSET(Bronzo!$A$1,MATCH(J1151,Bronzo!$A:$A,0)-1,MATCH(K1151,Bronzo!$A$1:$AA$1,0)-1))</f>
        <v>0</v>
      </c>
      <c r="V1151" s="205">
        <f t="shared" ca="1" si="324"/>
        <v>0</v>
      </c>
      <c r="W1151" s="204"/>
      <c r="X1151" s="205">
        <v>0</v>
      </c>
      <c r="Y1151" s="206">
        <f t="shared" ca="1" si="325"/>
        <v>0</v>
      </c>
      <c r="Z1151" s="277">
        <f t="shared" si="326"/>
        <v>0</v>
      </c>
      <c r="AA1151" s="203"/>
      <c r="AB1151" s="203">
        <f t="shared" ca="1" si="327"/>
        <v>0</v>
      </c>
      <c r="AC1151" s="238"/>
      <c r="AI1151" s="367">
        <f t="shared" ca="1" si="322"/>
        <v>46092</v>
      </c>
      <c r="AJ1151" s="367" t="b">
        <f t="shared" si="328"/>
        <v>1</v>
      </c>
      <c r="AK1151" s="370" t="str">
        <f t="shared" si="329"/>
        <v/>
      </c>
      <c r="AN1151">
        <f t="shared" si="330"/>
        <v>0</v>
      </c>
      <c r="AO1151">
        <f t="shared" si="331"/>
        <v>1900</v>
      </c>
      <c r="AV1151">
        <f t="shared" si="332"/>
        <v>0</v>
      </c>
      <c r="AW1151">
        <f t="shared" si="333"/>
        <v>0</v>
      </c>
    </row>
    <row r="1152" spans="4:49" ht="15.75" x14ac:dyDescent="0.25">
      <c r="D1152" s="199"/>
      <c r="E1152" s="200"/>
      <c r="F1152" s="287"/>
      <c r="G1152" s="201"/>
      <c r="H1152" s="219"/>
      <c r="I1152" s="202"/>
      <c r="J1152" s="200"/>
      <c r="K1152" s="200"/>
      <c r="L1152" s="203"/>
      <c r="M1152" s="204">
        <f ca="1">IF(ISERROR(OFFSET(Tabella!$A$1,MATCH(J1152,Tabella!$A:$A,0)-1,MATCH(L1152,Tabella!$A$1:$AC$1,0)-1)=TRUE),0,+OFFSET(Tabella!$A$1,MATCH(J1152,Tabella!$A:$A,0)-1,MATCH(L1152,Tabella!$A$1:$AC$1,0)-1))</f>
        <v>0</v>
      </c>
      <c r="N1152" s="205">
        <f ca="1">IF(ISERROR(OFFSET(Ottone!$A$1,MATCH(J1152,Ottone!$A:$A,0)-1,MATCH(L1152,Ottone!$A$1:$Z$1,0)-1)=TRUE),0,OFFSET(Ottone!$A$1,MATCH(J1152,Ottone!$A:$A,0)-1,MATCH(L1152,Ottone!$A$1:$Z$1,0)-1))*IF(G1152="Ottone",1,0)</f>
        <v>0</v>
      </c>
      <c r="O1152" s="205">
        <f ca="1">IF(ISERROR(OFFSET(Rame!$A$1,MATCH(J1152,Rame!$A:$A,0)-1,MATCH(L1152,Rame!$A$1:$AA$1,0)-1)=TRUE),0,OFFSET(Rame!$A$1,MATCH(J1152,Rame!$A:$A,0)-1,MATCH(L1152,Rame!$A$1:$AA$1,0)-1))*IF(G1152="Rame",1,0)</f>
        <v>0</v>
      </c>
      <c r="P1152" s="205">
        <v>0</v>
      </c>
      <c r="Q1152" s="205">
        <f t="shared" ca="1" si="323"/>
        <v>0</v>
      </c>
      <c r="R1152" s="205">
        <f ca="1">+IF(ISERROR(OFFSET(Tabella!$G$1,MATCH(J1152,Tabella!$G:$G,0)-1,MATCH(K1152,Tabella!$G$1:$FG$1,0)-1)=TRUE),0,OFFSET(Tabella!$G$1,MATCH(J1152,Tabella!$G:$G,0)-1,MATCH(K1152,Tabella!$G$1:$AB$1,0)-1))</f>
        <v>0</v>
      </c>
      <c r="S1152" s="205">
        <f ca="1">IF(ISERROR(OFFSET(Ottone!$F$1,MATCH(J1152,Ottone!$A:$A,0)-1,MATCH(K1152,Ottone!$F$1:$FF$1,0)-1)=TRUE),0,OFFSET(Ottone!$F$1,MATCH(J1152,Ottone!$A:$A,0)-1,MATCH(K1152,Ottone!$F$1:$FF$1,0)-1))*IF(G1152="Ottone",1,0)</f>
        <v>0</v>
      </c>
      <c r="T1152" s="205">
        <f ca="1">IF(ISERROR(OFFSET(Rame!$F$1,MATCH(J1152,Rame!$F:$F,0)-1,MATCH(K1152,Rame!$F$1:$FF$1,0)-1)=TRUE),0,OFFSET(Rame!$F$1,MATCH(J1152,Rame!$F:$F,0)-1,MATCH(K1152,Rame!$F$1:$FF$1,0)-1))*IF(G1152="Rame",1,0)</f>
        <v>0</v>
      </c>
      <c r="U1152" s="205">
        <f ca="1">IF(ISERROR(OFFSET(Bronzo!$A$1,MATCH(J1152,Bronzo!$A:$A,0)-1,MATCH(K1152,Bronzo!$A$1:$AA$1,0)-1)=TRUE),0,OFFSET(Bronzo!$A$1,MATCH(J1152,Bronzo!$A:$A,0)-1,MATCH(K1152,Bronzo!$A$1:$AA$1,0)-1))</f>
        <v>0</v>
      </c>
      <c r="V1152" s="205">
        <f t="shared" ca="1" si="324"/>
        <v>0</v>
      </c>
      <c r="W1152" s="204"/>
      <c r="X1152" s="205">
        <v>0</v>
      </c>
      <c r="Y1152" s="206">
        <f t="shared" ca="1" si="325"/>
        <v>0</v>
      </c>
      <c r="Z1152" s="277">
        <f t="shared" si="326"/>
        <v>0</v>
      </c>
      <c r="AA1152" s="203"/>
      <c r="AB1152" s="203">
        <f t="shared" ca="1" si="327"/>
        <v>0</v>
      </c>
      <c r="AC1152" s="238"/>
      <c r="AI1152" s="367">
        <f t="shared" ref="AI1152:AI1215" ca="1" si="334">TODAY()</f>
        <v>46092</v>
      </c>
      <c r="AJ1152" s="367" t="b">
        <f t="shared" si="328"/>
        <v>1</v>
      </c>
      <c r="AK1152" s="370" t="str">
        <f t="shared" si="329"/>
        <v/>
      </c>
      <c r="AN1152">
        <f t="shared" si="330"/>
        <v>0</v>
      </c>
      <c r="AO1152">
        <f t="shared" si="331"/>
        <v>1900</v>
      </c>
      <c r="AV1152">
        <f t="shared" si="332"/>
        <v>0</v>
      </c>
      <c r="AW1152">
        <f t="shared" si="333"/>
        <v>0</v>
      </c>
    </row>
    <row r="1153" spans="4:49" ht="15.75" x14ac:dyDescent="0.25">
      <c r="D1153" s="199"/>
      <c r="E1153" s="200"/>
      <c r="F1153" s="287"/>
      <c r="G1153" s="201"/>
      <c r="H1153" s="219"/>
      <c r="I1153" s="202"/>
      <c r="J1153" s="200"/>
      <c r="K1153" s="200"/>
      <c r="L1153" s="203"/>
      <c r="M1153" s="204">
        <f ca="1">IF(ISERROR(OFFSET(Tabella!$A$1,MATCH(J1153,Tabella!$A:$A,0)-1,MATCH(L1153,Tabella!$A$1:$AC$1,0)-1)=TRUE),0,+OFFSET(Tabella!$A$1,MATCH(J1153,Tabella!$A:$A,0)-1,MATCH(L1153,Tabella!$A$1:$AC$1,0)-1))</f>
        <v>0</v>
      </c>
      <c r="N1153" s="205">
        <f ca="1">IF(ISERROR(OFFSET(Ottone!$A$1,MATCH(J1153,Ottone!$A:$A,0)-1,MATCH(L1153,Ottone!$A$1:$Z$1,0)-1)=TRUE),0,OFFSET(Ottone!$A$1,MATCH(J1153,Ottone!$A:$A,0)-1,MATCH(L1153,Ottone!$A$1:$Z$1,0)-1))*IF(G1153="Ottone",1,0)</f>
        <v>0</v>
      </c>
      <c r="O1153" s="205">
        <f ca="1">IF(ISERROR(OFFSET(Rame!$A$1,MATCH(J1153,Rame!$A:$A,0)-1,MATCH(L1153,Rame!$A$1:$AA$1,0)-1)=TRUE),0,OFFSET(Rame!$A$1,MATCH(J1153,Rame!$A:$A,0)-1,MATCH(L1153,Rame!$A$1:$AA$1,0)-1))*IF(G1153="Rame",1,0)</f>
        <v>0</v>
      </c>
      <c r="P1153" s="205">
        <v>0</v>
      </c>
      <c r="Q1153" s="205">
        <f t="shared" ca="1" si="323"/>
        <v>0</v>
      </c>
      <c r="R1153" s="205">
        <f ca="1">+IF(ISERROR(OFFSET(Tabella!$G$1,MATCH(J1153,Tabella!$G:$G,0)-1,MATCH(K1153,Tabella!$G$1:$FG$1,0)-1)=TRUE),0,OFFSET(Tabella!$G$1,MATCH(J1153,Tabella!$G:$G,0)-1,MATCH(K1153,Tabella!$G$1:$AB$1,0)-1))</f>
        <v>0</v>
      </c>
      <c r="S1153" s="205">
        <f ca="1">IF(ISERROR(OFFSET(Ottone!$F$1,MATCH(J1153,Ottone!$A:$A,0)-1,MATCH(K1153,Ottone!$F$1:$FF$1,0)-1)=TRUE),0,OFFSET(Ottone!$F$1,MATCH(J1153,Ottone!$A:$A,0)-1,MATCH(K1153,Ottone!$F$1:$FF$1,0)-1))*IF(G1153="Ottone",1,0)</f>
        <v>0</v>
      </c>
      <c r="T1153" s="205">
        <f ca="1">IF(ISERROR(OFFSET(Rame!$F$1,MATCH(J1153,Rame!$F:$F,0)-1,MATCH(K1153,Rame!$F$1:$FF$1,0)-1)=TRUE),0,OFFSET(Rame!$F$1,MATCH(J1153,Rame!$F:$F,0)-1,MATCH(K1153,Rame!$F$1:$FF$1,0)-1))*IF(G1153="Rame",1,0)</f>
        <v>0</v>
      </c>
      <c r="U1153" s="205">
        <f ca="1">IF(ISERROR(OFFSET(Bronzo!$A$1,MATCH(J1153,Bronzo!$A:$A,0)-1,MATCH(K1153,Bronzo!$A$1:$AA$1,0)-1)=TRUE),0,OFFSET(Bronzo!$A$1,MATCH(J1153,Bronzo!$A:$A,0)-1,MATCH(K1153,Bronzo!$A$1:$AA$1,0)-1))</f>
        <v>0</v>
      </c>
      <c r="V1153" s="205">
        <f t="shared" ca="1" si="324"/>
        <v>0</v>
      </c>
      <c r="W1153" s="204"/>
      <c r="X1153" s="205">
        <v>0</v>
      </c>
      <c r="Y1153" s="206">
        <f t="shared" ca="1" si="325"/>
        <v>0</v>
      </c>
      <c r="Z1153" s="277">
        <f t="shared" si="326"/>
        <v>0</v>
      </c>
      <c r="AA1153" s="203"/>
      <c r="AB1153" s="203">
        <f t="shared" ca="1" si="327"/>
        <v>0</v>
      </c>
      <c r="AC1153" s="238"/>
      <c r="AI1153" s="367">
        <f t="shared" ca="1" si="334"/>
        <v>46092</v>
      </c>
      <c r="AJ1153" s="367" t="b">
        <f t="shared" si="328"/>
        <v>1</v>
      </c>
      <c r="AK1153" s="370" t="str">
        <f t="shared" si="329"/>
        <v/>
      </c>
      <c r="AN1153">
        <f t="shared" si="330"/>
        <v>0</v>
      </c>
      <c r="AO1153">
        <f t="shared" si="331"/>
        <v>1900</v>
      </c>
      <c r="AV1153">
        <f t="shared" si="332"/>
        <v>0</v>
      </c>
      <c r="AW1153">
        <f t="shared" si="333"/>
        <v>0</v>
      </c>
    </row>
    <row r="1154" spans="4:49" ht="15.75" x14ac:dyDescent="0.25">
      <c r="D1154" s="199"/>
      <c r="E1154" s="200"/>
      <c r="F1154" s="287"/>
      <c r="G1154" s="201"/>
      <c r="H1154" s="219"/>
      <c r="I1154" s="202"/>
      <c r="J1154" s="200"/>
      <c r="K1154" s="200"/>
      <c r="L1154" s="203"/>
      <c r="M1154" s="204">
        <f ca="1">IF(ISERROR(OFFSET(Tabella!$A$1,MATCH(J1154,Tabella!$A:$A,0)-1,MATCH(L1154,Tabella!$A$1:$AC$1,0)-1)=TRUE),0,+OFFSET(Tabella!$A$1,MATCH(J1154,Tabella!$A:$A,0)-1,MATCH(L1154,Tabella!$A$1:$AC$1,0)-1))</f>
        <v>0</v>
      </c>
      <c r="N1154" s="205">
        <f ca="1">IF(ISERROR(OFFSET(Ottone!$A$1,MATCH(J1154,Ottone!$A:$A,0)-1,MATCH(L1154,Ottone!$A$1:$Z$1,0)-1)=TRUE),0,OFFSET(Ottone!$A$1,MATCH(J1154,Ottone!$A:$A,0)-1,MATCH(L1154,Ottone!$A$1:$Z$1,0)-1))*IF(G1154="Ottone",1,0)</f>
        <v>0</v>
      </c>
      <c r="O1154" s="205">
        <f ca="1">IF(ISERROR(OFFSET(Rame!$A$1,MATCH(J1154,Rame!$A:$A,0)-1,MATCH(L1154,Rame!$A$1:$AA$1,0)-1)=TRUE),0,OFFSET(Rame!$A$1,MATCH(J1154,Rame!$A:$A,0)-1,MATCH(L1154,Rame!$A$1:$AA$1,0)-1))*IF(G1154="Rame",1,0)</f>
        <v>0</v>
      </c>
      <c r="P1154" s="205">
        <v>0</v>
      </c>
      <c r="Q1154" s="205">
        <f t="shared" ca="1" si="323"/>
        <v>0</v>
      </c>
      <c r="R1154" s="205">
        <f ca="1">+IF(ISERROR(OFFSET(Tabella!$G$1,MATCH(J1154,Tabella!$G:$G,0)-1,MATCH(K1154,Tabella!$G$1:$FG$1,0)-1)=TRUE),0,OFFSET(Tabella!$G$1,MATCH(J1154,Tabella!$G:$G,0)-1,MATCH(K1154,Tabella!$G$1:$AB$1,0)-1))</f>
        <v>0</v>
      </c>
      <c r="S1154" s="205">
        <f ca="1">IF(ISERROR(OFFSET(Ottone!$F$1,MATCH(J1154,Ottone!$A:$A,0)-1,MATCH(K1154,Ottone!$F$1:$FF$1,0)-1)=TRUE),0,OFFSET(Ottone!$F$1,MATCH(J1154,Ottone!$A:$A,0)-1,MATCH(K1154,Ottone!$F$1:$FF$1,0)-1))*IF(G1154="Ottone",1,0)</f>
        <v>0</v>
      </c>
      <c r="T1154" s="205">
        <f ca="1">IF(ISERROR(OFFSET(Rame!$F$1,MATCH(J1154,Rame!$F:$F,0)-1,MATCH(K1154,Rame!$F$1:$FF$1,0)-1)=TRUE),0,OFFSET(Rame!$F$1,MATCH(J1154,Rame!$F:$F,0)-1,MATCH(K1154,Rame!$F$1:$FF$1,0)-1))*IF(G1154="Rame",1,0)</f>
        <v>0</v>
      </c>
      <c r="U1154" s="205">
        <f ca="1">IF(ISERROR(OFFSET(Bronzo!$A$1,MATCH(J1154,Bronzo!$A:$A,0)-1,MATCH(K1154,Bronzo!$A$1:$AA$1,0)-1)=TRUE),0,OFFSET(Bronzo!$A$1,MATCH(J1154,Bronzo!$A:$A,0)-1,MATCH(K1154,Bronzo!$A$1:$AA$1,0)-1))</f>
        <v>0</v>
      </c>
      <c r="V1154" s="205">
        <f t="shared" ca="1" si="324"/>
        <v>0</v>
      </c>
      <c r="W1154" s="204"/>
      <c r="X1154" s="205">
        <v>0</v>
      </c>
      <c r="Y1154" s="206">
        <f t="shared" ca="1" si="325"/>
        <v>0</v>
      </c>
      <c r="Z1154" s="277">
        <f t="shared" si="326"/>
        <v>0</v>
      </c>
      <c r="AA1154" s="203"/>
      <c r="AB1154" s="203">
        <f t="shared" ca="1" si="327"/>
        <v>0</v>
      </c>
      <c r="AC1154" s="238"/>
      <c r="AI1154" s="367">
        <f t="shared" ca="1" si="334"/>
        <v>46092</v>
      </c>
      <c r="AJ1154" s="367" t="b">
        <f t="shared" si="328"/>
        <v>1</v>
      </c>
      <c r="AK1154" s="370" t="str">
        <f t="shared" si="329"/>
        <v/>
      </c>
      <c r="AN1154">
        <f t="shared" si="330"/>
        <v>0</v>
      </c>
      <c r="AO1154">
        <f t="shared" si="331"/>
        <v>1900</v>
      </c>
      <c r="AV1154">
        <f t="shared" si="332"/>
        <v>0</v>
      </c>
      <c r="AW1154">
        <f t="shared" si="333"/>
        <v>0</v>
      </c>
    </row>
    <row r="1155" spans="4:49" ht="15.75" x14ac:dyDescent="0.25">
      <c r="D1155" s="199"/>
      <c r="E1155" s="200"/>
      <c r="F1155" s="287"/>
      <c r="G1155" s="201"/>
      <c r="H1155" s="219"/>
      <c r="I1155" s="202"/>
      <c r="J1155" s="200"/>
      <c r="K1155" s="200"/>
      <c r="L1155" s="203"/>
      <c r="M1155" s="204">
        <f ca="1">IF(ISERROR(OFFSET(Tabella!$A$1,MATCH(J1155,Tabella!$A:$A,0)-1,MATCH(L1155,Tabella!$A$1:$AC$1,0)-1)=TRUE),0,+OFFSET(Tabella!$A$1,MATCH(J1155,Tabella!$A:$A,0)-1,MATCH(L1155,Tabella!$A$1:$AC$1,0)-1))</f>
        <v>0</v>
      </c>
      <c r="N1155" s="205">
        <f ca="1">IF(ISERROR(OFFSET(Ottone!$A$1,MATCH(J1155,Ottone!$A:$A,0)-1,MATCH(L1155,Ottone!$A$1:$Z$1,0)-1)=TRUE),0,OFFSET(Ottone!$A$1,MATCH(J1155,Ottone!$A:$A,0)-1,MATCH(L1155,Ottone!$A$1:$Z$1,0)-1))*IF(G1155="Ottone",1,0)</f>
        <v>0</v>
      </c>
      <c r="O1155" s="205">
        <f ca="1">IF(ISERROR(OFFSET(Rame!$A$1,MATCH(J1155,Rame!$A:$A,0)-1,MATCH(L1155,Rame!$A$1:$AA$1,0)-1)=TRUE),0,OFFSET(Rame!$A$1,MATCH(J1155,Rame!$A:$A,0)-1,MATCH(L1155,Rame!$A$1:$AA$1,0)-1))*IF(G1155="Rame",1,0)</f>
        <v>0</v>
      </c>
      <c r="P1155" s="205">
        <v>0</v>
      </c>
      <c r="Q1155" s="205">
        <f t="shared" ca="1" si="323"/>
        <v>0</v>
      </c>
      <c r="R1155" s="205">
        <f ca="1">+IF(ISERROR(OFFSET(Tabella!$G$1,MATCH(J1155,Tabella!$G:$G,0)-1,MATCH(K1155,Tabella!$G$1:$FG$1,0)-1)=TRUE),0,OFFSET(Tabella!$G$1,MATCH(J1155,Tabella!$G:$G,0)-1,MATCH(K1155,Tabella!$G$1:$AB$1,0)-1))</f>
        <v>0</v>
      </c>
      <c r="S1155" s="205">
        <f ca="1">IF(ISERROR(OFFSET(Ottone!$F$1,MATCH(J1155,Ottone!$A:$A,0)-1,MATCH(K1155,Ottone!$F$1:$FF$1,0)-1)=TRUE),0,OFFSET(Ottone!$F$1,MATCH(J1155,Ottone!$A:$A,0)-1,MATCH(K1155,Ottone!$F$1:$FF$1,0)-1))*IF(G1155="Ottone",1,0)</f>
        <v>0</v>
      </c>
      <c r="T1155" s="205">
        <f ca="1">IF(ISERROR(OFFSET(Rame!$F$1,MATCH(J1155,Rame!$F:$F,0)-1,MATCH(K1155,Rame!$F$1:$FF$1,0)-1)=TRUE),0,OFFSET(Rame!$F$1,MATCH(J1155,Rame!$F:$F,0)-1,MATCH(K1155,Rame!$F$1:$FF$1,0)-1))*IF(G1155="Rame",1,0)</f>
        <v>0</v>
      </c>
      <c r="U1155" s="205">
        <f ca="1">IF(ISERROR(OFFSET(Bronzo!$A$1,MATCH(J1155,Bronzo!$A:$A,0)-1,MATCH(K1155,Bronzo!$A$1:$AA$1,0)-1)=TRUE),0,OFFSET(Bronzo!$A$1,MATCH(J1155,Bronzo!$A:$A,0)-1,MATCH(K1155,Bronzo!$A$1:$AA$1,0)-1))</f>
        <v>0</v>
      </c>
      <c r="V1155" s="205">
        <f t="shared" ca="1" si="324"/>
        <v>0</v>
      </c>
      <c r="W1155" s="204"/>
      <c r="X1155" s="205">
        <v>0</v>
      </c>
      <c r="Y1155" s="206">
        <f t="shared" ca="1" si="325"/>
        <v>0</v>
      </c>
      <c r="Z1155" s="277">
        <f t="shared" si="326"/>
        <v>0</v>
      </c>
      <c r="AA1155" s="203"/>
      <c r="AB1155" s="203">
        <f t="shared" ca="1" si="327"/>
        <v>0</v>
      </c>
      <c r="AC1155" s="238"/>
      <c r="AI1155" s="367">
        <f t="shared" ca="1" si="334"/>
        <v>46092</v>
      </c>
      <c r="AJ1155" s="367" t="b">
        <f t="shared" si="328"/>
        <v>1</v>
      </c>
      <c r="AK1155" s="370" t="str">
        <f t="shared" si="329"/>
        <v/>
      </c>
      <c r="AN1155">
        <f t="shared" si="330"/>
        <v>0</v>
      </c>
      <c r="AO1155">
        <f t="shared" si="331"/>
        <v>1900</v>
      </c>
      <c r="AV1155">
        <f t="shared" si="332"/>
        <v>0</v>
      </c>
      <c r="AW1155">
        <f t="shared" si="333"/>
        <v>0</v>
      </c>
    </row>
    <row r="1156" spans="4:49" ht="15.75" x14ac:dyDescent="0.25">
      <c r="D1156" s="199"/>
      <c r="E1156" s="200"/>
      <c r="F1156" s="287"/>
      <c r="G1156" s="201"/>
      <c r="H1156" s="219"/>
      <c r="I1156" s="202"/>
      <c r="J1156" s="200"/>
      <c r="K1156" s="200"/>
      <c r="L1156" s="203"/>
      <c r="M1156" s="204">
        <f ca="1">IF(ISERROR(OFFSET(Tabella!$A$1,MATCH(J1156,Tabella!$A:$A,0)-1,MATCH(L1156,Tabella!$A$1:$AC$1,0)-1)=TRUE),0,+OFFSET(Tabella!$A$1,MATCH(J1156,Tabella!$A:$A,0)-1,MATCH(L1156,Tabella!$A$1:$AC$1,0)-1))</f>
        <v>0</v>
      </c>
      <c r="N1156" s="205">
        <f ca="1">IF(ISERROR(OFFSET(Ottone!$A$1,MATCH(J1156,Ottone!$A:$A,0)-1,MATCH(L1156,Ottone!$A$1:$Z$1,0)-1)=TRUE),0,OFFSET(Ottone!$A$1,MATCH(J1156,Ottone!$A:$A,0)-1,MATCH(L1156,Ottone!$A$1:$Z$1,0)-1))*IF(G1156="Ottone",1,0)</f>
        <v>0</v>
      </c>
      <c r="O1156" s="205">
        <f ca="1">IF(ISERROR(OFFSET(Rame!$A$1,MATCH(J1156,Rame!$A:$A,0)-1,MATCH(L1156,Rame!$A$1:$AA$1,0)-1)=TRUE),0,OFFSET(Rame!$A$1,MATCH(J1156,Rame!$A:$A,0)-1,MATCH(L1156,Rame!$A$1:$AA$1,0)-1))*IF(G1156="Rame",1,0)</f>
        <v>0</v>
      </c>
      <c r="P1156" s="205">
        <v>0</v>
      </c>
      <c r="Q1156" s="205">
        <f t="shared" ca="1" si="323"/>
        <v>0</v>
      </c>
      <c r="R1156" s="205">
        <f ca="1">+IF(ISERROR(OFFSET(Tabella!$G$1,MATCH(J1156,Tabella!$G:$G,0)-1,MATCH(K1156,Tabella!$G$1:$FG$1,0)-1)=TRUE),0,OFFSET(Tabella!$G$1,MATCH(J1156,Tabella!$G:$G,0)-1,MATCH(K1156,Tabella!$G$1:$AB$1,0)-1))</f>
        <v>0</v>
      </c>
      <c r="S1156" s="205">
        <f ca="1">IF(ISERROR(OFFSET(Ottone!$F$1,MATCH(J1156,Ottone!$A:$A,0)-1,MATCH(K1156,Ottone!$F$1:$FF$1,0)-1)=TRUE),0,OFFSET(Ottone!$F$1,MATCH(J1156,Ottone!$A:$A,0)-1,MATCH(K1156,Ottone!$F$1:$FF$1,0)-1))*IF(G1156="Ottone",1,0)</f>
        <v>0</v>
      </c>
      <c r="T1156" s="205">
        <f ca="1">IF(ISERROR(OFFSET(Rame!$F$1,MATCH(J1156,Rame!$F:$F,0)-1,MATCH(K1156,Rame!$F$1:$FF$1,0)-1)=TRUE),0,OFFSET(Rame!$F$1,MATCH(J1156,Rame!$F:$F,0)-1,MATCH(K1156,Rame!$F$1:$FF$1,0)-1))*IF(G1156="Rame",1,0)</f>
        <v>0</v>
      </c>
      <c r="U1156" s="205">
        <f ca="1">IF(ISERROR(OFFSET(Bronzo!$A$1,MATCH(J1156,Bronzo!$A:$A,0)-1,MATCH(K1156,Bronzo!$A$1:$AA$1,0)-1)=TRUE),0,OFFSET(Bronzo!$A$1,MATCH(J1156,Bronzo!$A:$A,0)-1,MATCH(K1156,Bronzo!$A$1:$AA$1,0)-1))</f>
        <v>0</v>
      </c>
      <c r="V1156" s="205">
        <f t="shared" ca="1" si="324"/>
        <v>0</v>
      </c>
      <c r="W1156" s="204"/>
      <c r="X1156" s="205">
        <v>0</v>
      </c>
      <c r="Y1156" s="206">
        <f t="shared" ca="1" si="325"/>
        <v>0</v>
      </c>
      <c r="Z1156" s="277">
        <f t="shared" si="326"/>
        <v>0</v>
      </c>
      <c r="AA1156" s="203"/>
      <c r="AB1156" s="203">
        <f t="shared" ca="1" si="327"/>
        <v>0</v>
      </c>
      <c r="AC1156" s="238"/>
      <c r="AI1156" s="367">
        <f t="shared" ca="1" si="334"/>
        <v>46092</v>
      </c>
      <c r="AJ1156" s="367" t="b">
        <f t="shared" si="328"/>
        <v>1</v>
      </c>
      <c r="AK1156" s="370" t="str">
        <f t="shared" si="329"/>
        <v/>
      </c>
      <c r="AN1156">
        <f t="shared" si="330"/>
        <v>0</v>
      </c>
      <c r="AO1156">
        <f t="shared" si="331"/>
        <v>1900</v>
      </c>
      <c r="AV1156">
        <f t="shared" si="332"/>
        <v>0</v>
      </c>
      <c r="AW1156">
        <f t="shared" si="333"/>
        <v>0</v>
      </c>
    </row>
    <row r="1157" spans="4:49" ht="15.75" x14ac:dyDescent="0.25">
      <c r="D1157" s="199"/>
      <c r="E1157" s="200"/>
      <c r="F1157" s="287"/>
      <c r="G1157" s="201"/>
      <c r="H1157" s="219"/>
      <c r="I1157" s="202"/>
      <c r="J1157" s="200"/>
      <c r="K1157" s="200"/>
      <c r="L1157" s="203"/>
      <c r="M1157" s="204">
        <f ca="1">IF(ISERROR(OFFSET(Tabella!$A$1,MATCH(J1157,Tabella!$A:$A,0)-1,MATCH(L1157,Tabella!$A$1:$AC$1,0)-1)=TRUE),0,+OFFSET(Tabella!$A$1,MATCH(J1157,Tabella!$A:$A,0)-1,MATCH(L1157,Tabella!$A$1:$AC$1,0)-1))</f>
        <v>0</v>
      </c>
      <c r="N1157" s="205">
        <f ca="1">IF(ISERROR(OFFSET(Ottone!$A$1,MATCH(J1157,Ottone!$A:$A,0)-1,MATCH(L1157,Ottone!$A$1:$Z$1,0)-1)=TRUE),0,OFFSET(Ottone!$A$1,MATCH(J1157,Ottone!$A:$A,0)-1,MATCH(L1157,Ottone!$A$1:$Z$1,0)-1))*IF(G1157="Ottone",1,0)</f>
        <v>0</v>
      </c>
      <c r="O1157" s="205">
        <f ca="1">IF(ISERROR(OFFSET(Rame!$A$1,MATCH(J1157,Rame!$A:$A,0)-1,MATCH(L1157,Rame!$A$1:$AA$1,0)-1)=TRUE),0,OFFSET(Rame!$A$1,MATCH(J1157,Rame!$A:$A,0)-1,MATCH(L1157,Rame!$A$1:$AA$1,0)-1))*IF(G1157="Rame",1,0)</f>
        <v>0</v>
      </c>
      <c r="P1157" s="205">
        <v>0</v>
      </c>
      <c r="Q1157" s="205">
        <f t="shared" ca="1" si="323"/>
        <v>0</v>
      </c>
      <c r="R1157" s="205">
        <f ca="1">+IF(ISERROR(OFFSET(Tabella!$G$1,MATCH(J1157,Tabella!$G:$G,0)-1,MATCH(K1157,Tabella!$G$1:$FG$1,0)-1)=TRUE),0,OFFSET(Tabella!$G$1,MATCH(J1157,Tabella!$G:$G,0)-1,MATCH(K1157,Tabella!$G$1:$AB$1,0)-1))</f>
        <v>0</v>
      </c>
      <c r="S1157" s="205">
        <f ca="1">IF(ISERROR(OFFSET(Ottone!$F$1,MATCH(J1157,Ottone!$A:$A,0)-1,MATCH(K1157,Ottone!$F$1:$FF$1,0)-1)=TRUE),0,OFFSET(Ottone!$F$1,MATCH(J1157,Ottone!$A:$A,0)-1,MATCH(K1157,Ottone!$F$1:$FF$1,0)-1))*IF(G1157="Ottone",1,0)</f>
        <v>0</v>
      </c>
      <c r="T1157" s="205">
        <f ca="1">IF(ISERROR(OFFSET(Rame!$F$1,MATCH(J1157,Rame!$F:$F,0)-1,MATCH(K1157,Rame!$F$1:$FF$1,0)-1)=TRUE),0,OFFSET(Rame!$F$1,MATCH(J1157,Rame!$F:$F,0)-1,MATCH(K1157,Rame!$F$1:$FF$1,0)-1))*IF(G1157="Rame",1,0)</f>
        <v>0</v>
      </c>
      <c r="U1157" s="205">
        <f ca="1">IF(ISERROR(OFFSET(Bronzo!$A$1,MATCH(J1157,Bronzo!$A:$A,0)-1,MATCH(K1157,Bronzo!$A$1:$AA$1,0)-1)=TRUE),0,OFFSET(Bronzo!$A$1,MATCH(J1157,Bronzo!$A:$A,0)-1,MATCH(K1157,Bronzo!$A$1:$AA$1,0)-1))</f>
        <v>0</v>
      </c>
      <c r="V1157" s="205">
        <f t="shared" ca="1" si="324"/>
        <v>0</v>
      </c>
      <c r="W1157" s="204"/>
      <c r="X1157" s="205">
        <v>0</v>
      </c>
      <c r="Y1157" s="206">
        <f t="shared" ca="1" si="325"/>
        <v>0</v>
      </c>
      <c r="Z1157" s="277">
        <f t="shared" si="326"/>
        <v>0</v>
      </c>
      <c r="AA1157" s="203"/>
      <c r="AB1157" s="203">
        <f t="shared" ca="1" si="327"/>
        <v>0</v>
      </c>
      <c r="AC1157" s="238"/>
      <c r="AI1157" s="367">
        <f t="shared" ca="1" si="334"/>
        <v>46092</v>
      </c>
      <c r="AJ1157" s="367" t="b">
        <f t="shared" si="328"/>
        <v>1</v>
      </c>
      <c r="AK1157" s="370" t="str">
        <f t="shared" si="329"/>
        <v/>
      </c>
      <c r="AN1157">
        <f t="shared" si="330"/>
        <v>0</v>
      </c>
      <c r="AO1157">
        <f t="shared" si="331"/>
        <v>1900</v>
      </c>
      <c r="AV1157">
        <f t="shared" si="332"/>
        <v>0</v>
      </c>
      <c r="AW1157">
        <f t="shared" si="333"/>
        <v>0</v>
      </c>
    </row>
    <row r="1158" spans="4:49" ht="15.75" x14ac:dyDescent="0.25">
      <c r="D1158" s="199"/>
      <c r="E1158" s="200"/>
      <c r="F1158" s="287"/>
      <c r="G1158" s="201"/>
      <c r="H1158" s="219"/>
      <c r="I1158" s="202"/>
      <c r="J1158" s="200"/>
      <c r="K1158" s="200"/>
      <c r="L1158" s="203"/>
      <c r="M1158" s="204">
        <f ca="1">IF(ISERROR(OFFSET(Tabella!$A$1,MATCH(J1158,Tabella!$A:$A,0)-1,MATCH(L1158,Tabella!$A$1:$AC$1,0)-1)=TRUE),0,+OFFSET(Tabella!$A$1,MATCH(J1158,Tabella!$A:$A,0)-1,MATCH(L1158,Tabella!$A$1:$AC$1,0)-1))</f>
        <v>0</v>
      </c>
      <c r="N1158" s="205">
        <f ca="1">IF(ISERROR(OFFSET(Ottone!$A$1,MATCH(J1158,Ottone!$A:$A,0)-1,MATCH(L1158,Ottone!$A$1:$Z$1,0)-1)=TRUE),0,OFFSET(Ottone!$A$1,MATCH(J1158,Ottone!$A:$A,0)-1,MATCH(L1158,Ottone!$A$1:$Z$1,0)-1))*IF(G1158="Ottone",1,0)</f>
        <v>0</v>
      </c>
      <c r="O1158" s="205">
        <f ca="1">IF(ISERROR(OFFSET(Rame!$A$1,MATCH(J1158,Rame!$A:$A,0)-1,MATCH(L1158,Rame!$A$1:$AA$1,0)-1)=TRUE),0,OFFSET(Rame!$A$1,MATCH(J1158,Rame!$A:$A,0)-1,MATCH(L1158,Rame!$A$1:$AA$1,0)-1))*IF(G1158="Rame",1,0)</f>
        <v>0</v>
      </c>
      <c r="P1158" s="205">
        <v>0</v>
      </c>
      <c r="Q1158" s="205">
        <f t="shared" ca="1" si="323"/>
        <v>0</v>
      </c>
      <c r="R1158" s="205">
        <f ca="1">+IF(ISERROR(OFFSET(Tabella!$G$1,MATCH(J1158,Tabella!$G:$G,0)-1,MATCH(K1158,Tabella!$G$1:$FG$1,0)-1)=TRUE),0,OFFSET(Tabella!$G$1,MATCH(J1158,Tabella!$G:$G,0)-1,MATCH(K1158,Tabella!$G$1:$AB$1,0)-1))</f>
        <v>0</v>
      </c>
      <c r="S1158" s="205">
        <f ca="1">IF(ISERROR(OFFSET(Ottone!$F$1,MATCH(J1158,Ottone!$A:$A,0)-1,MATCH(K1158,Ottone!$F$1:$FF$1,0)-1)=TRUE),0,OFFSET(Ottone!$F$1,MATCH(J1158,Ottone!$A:$A,0)-1,MATCH(K1158,Ottone!$F$1:$FF$1,0)-1))*IF(G1158="Ottone",1,0)</f>
        <v>0</v>
      </c>
      <c r="T1158" s="205">
        <f ca="1">IF(ISERROR(OFFSET(Rame!$F$1,MATCH(J1158,Rame!$F:$F,0)-1,MATCH(K1158,Rame!$F$1:$FF$1,0)-1)=TRUE),0,OFFSET(Rame!$F$1,MATCH(J1158,Rame!$F:$F,0)-1,MATCH(K1158,Rame!$F$1:$FF$1,0)-1))*IF(G1158="Rame",1,0)</f>
        <v>0</v>
      </c>
      <c r="U1158" s="205">
        <f ca="1">IF(ISERROR(OFFSET(Bronzo!$A$1,MATCH(J1158,Bronzo!$A:$A,0)-1,MATCH(K1158,Bronzo!$A$1:$AA$1,0)-1)=TRUE),0,OFFSET(Bronzo!$A$1,MATCH(J1158,Bronzo!$A:$A,0)-1,MATCH(K1158,Bronzo!$A$1:$AA$1,0)-1))</f>
        <v>0</v>
      </c>
      <c r="V1158" s="205">
        <f t="shared" ca="1" si="324"/>
        <v>0</v>
      </c>
      <c r="W1158" s="204"/>
      <c r="X1158" s="205">
        <v>0</v>
      </c>
      <c r="Y1158" s="206">
        <f t="shared" ca="1" si="325"/>
        <v>0</v>
      </c>
      <c r="Z1158" s="277">
        <f t="shared" si="326"/>
        <v>0</v>
      </c>
      <c r="AA1158" s="203"/>
      <c r="AB1158" s="203">
        <f t="shared" ca="1" si="327"/>
        <v>0</v>
      </c>
      <c r="AC1158" s="238"/>
      <c r="AI1158" s="367">
        <f t="shared" ca="1" si="334"/>
        <v>46092</v>
      </c>
      <c r="AJ1158" s="367" t="b">
        <f t="shared" si="328"/>
        <v>1</v>
      </c>
      <c r="AK1158" s="370" t="str">
        <f t="shared" si="329"/>
        <v/>
      </c>
      <c r="AN1158">
        <f t="shared" si="330"/>
        <v>0</v>
      </c>
      <c r="AO1158">
        <f t="shared" si="331"/>
        <v>1900</v>
      </c>
      <c r="AV1158">
        <f t="shared" si="332"/>
        <v>0</v>
      </c>
      <c r="AW1158">
        <f t="shared" si="333"/>
        <v>0</v>
      </c>
    </row>
    <row r="1159" spans="4:49" ht="15.75" x14ac:dyDescent="0.25">
      <c r="D1159" s="199"/>
      <c r="E1159" s="200"/>
      <c r="F1159" s="287"/>
      <c r="G1159" s="201"/>
      <c r="H1159" s="219"/>
      <c r="I1159" s="202"/>
      <c r="J1159" s="200"/>
      <c r="K1159" s="200"/>
      <c r="L1159" s="203"/>
      <c r="M1159" s="204">
        <f ca="1">IF(ISERROR(OFFSET(Tabella!$A$1,MATCH(J1159,Tabella!$A:$A,0)-1,MATCH(L1159,Tabella!$A$1:$AC$1,0)-1)=TRUE),0,+OFFSET(Tabella!$A$1,MATCH(J1159,Tabella!$A:$A,0)-1,MATCH(L1159,Tabella!$A$1:$AC$1,0)-1))</f>
        <v>0</v>
      </c>
      <c r="N1159" s="205">
        <f ca="1">IF(ISERROR(OFFSET(Ottone!$A$1,MATCH(J1159,Ottone!$A:$A,0)-1,MATCH(L1159,Ottone!$A$1:$Z$1,0)-1)=TRUE),0,OFFSET(Ottone!$A$1,MATCH(J1159,Ottone!$A:$A,0)-1,MATCH(L1159,Ottone!$A$1:$Z$1,0)-1))*IF(G1159="Ottone",1,0)</f>
        <v>0</v>
      </c>
      <c r="O1159" s="205">
        <f ca="1">IF(ISERROR(OFFSET(Rame!$A$1,MATCH(J1159,Rame!$A:$A,0)-1,MATCH(L1159,Rame!$A$1:$AA$1,0)-1)=TRUE),0,OFFSET(Rame!$A$1,MATCH(J1159,Rame!$A:$A,0)-1,MATCH(L1159,Rame!$A$1:$AA$1,0)-1))*IF(G1159="Rame",1,0)</f>
        <v>0</v>
      </c>
      <c r="P1159" s="205">
        <v>0</v>
      </c>
      <c r="Q1159" s="205">
        <f t="shared" ca="1" si="323"/>
        <v>0</v>
      </c>
      <c r="R1159" s="205">
        <f ca="1">+IF(ISERROR(OFFSET(Tabella!$G$1,MATCH(J1159,Tabella!$G:$G,0)-1,MATCH(K1159,Tabella!$G$1:$FG$1,0)-1)=TRUE),0,OFFSET(Tabella!$G$1,MATCH(J1159,Tabella!$G:$G,0)-1,MATCH(K1159,Tabella!$G$1:$AB$1,0)-1))</f>
        <v>0</v>
      </c>
      <c r="S1159" s="205">
        <f ca="1">IF(ISERROR(OFFSET(Ottone!$F$1,MATCH(J1159,Ottone!$A:$A,0)-1,MATCH(K1159,Ottone!$F$1:$FF$1,0)-1)=TRUE),0,OFFSET(Ottone!$F$1,MATCH(J1159,Ottone!$A:$A,0)-1,MATCH(K1159,Ottone!$F$1:$FF$1,0)-1))*IF(G1159="Ottone",1,0)</f>
        <v>0</v>
      </c>
      <c r="T1159" s="205">
        <f ca="1">IF(ISERROR(OFFSET(Rame!$F$1,MATCH(J1159,Rame!$F:$F,0)-1,MATCH(K1159,Rame!$F$1:$FF$1,0)-1)=TRUE),0,OFFSET(Rame!$F$1,MATCH(J1159,Rame!$F:$F,0)-1,MATCH(K1159,Rame!$F$1:$FF$1,0)-1))*IF(G1159="Rame",1,0)</f>
        <v>0</v>
      </c>
      <c r="U1159" s="205">
        <f ca="1">IF(ISERROR(OFFSET(Bronzo!$A$1,MATCH(J1159,Bronzo!$A:$A,0)-1,MATCH(K1159,Bronzo!$A$1:$AA$1,0)-1)=TRUE),0,OFFSET(Bronzo!$A$1,MATCH(J1159,Bronzo!$A:$A,0)-1,MATCH(K1159,Bronzo!$A$1:$AA$1,0)-1))</f>
        <v>0</v>
      </c>
      <c r="V1159" s="205">
        <f t="shared" ca="1" si="324"/>
        <v>0</v>
      </c>
      <c r="W1159" s="204"/>
      <c r="X1159" s="205">
        <v>0</v>
      </c>
      <c r="Y1159" s="206">
        <f t="shared" ca="1" si="325"/>
        <v>0</v>
      </c>
      <c r="Z1159" s="277">
        <f t="shared" si="326"/>
        <v>0</v>
      </c>
      <c r="AA1159" s="203"/>
      <c r="AB1159" s="203">
        <f t="shared" ca="1" si="327"/>
        <v>0</v>
      </c>
      <c r="AC1159" s="238"/>
      <c r="AI1159" s="367">
        <f t="shared" ca="1" si="334"/>
        <v>46092</v>
      </c>
      <c r="AJ1159" s="367" t="b">
        <f t="shared" si="328"/>
        <v>1</v>
      </c>
      <c r="AK1159" s="370" t="str">
        <f t="shared" si="329"/>
        <v/>
      </c>
      <c r="AN1159">
        <f t="shared" si="330"/>
        <v>0</v>
      </c>
      <c r="AO1159">
        <f t="shared" si="331"/>
        <v>1900</v>
      </c>
      <c r="AV1159">
        <f t="shared" si="332"/>
        <v>0</v>
      </c>
      <c r="AW1159">
        <f t="shared" si="333"/>
        <v>0</v>
      </c>
    </row>
    <row r="1160" spans="4:49" ht="15.75" x14ac:dyDescent="0.25">
      <c r="D1160" s="199"/>
      <c r="E1160" s="200"/>
      <c r="F1160" s="287"/>
      <c r="G1160" s="201"/>
      <c r="H1160" s="219"/>
      <c r="I1160" s="202"/>
      <c r="J1160" s="200"/>
      <c r="K1160" s="200"/>
      <c r="L1160" s="203"/>
      <c r="M1160" s="204">
        <f ca="1">IF(ISERROR(OFFSET(Tabella!$A$1,MATCH(J1160,Tabella!$A:$A,0)-1,MATCH(L1160,Tabella!$A$1:$AC$1,0)-1)=TRUE),0,+OFFSET(Tabella!$A$1,MATCH(J1160,Tabella!$A:$A,0)-1,MATCH(L1160,Tabella!$A$1:$AC$1,0)-1))</f>
        <v>0</v>
      </c>
      <c r="N1160" s="205">
        <f ca="1">IF(ISERROR(OFFSET(Ottone!$A$1,MATCH(J1160,Ottone!$A:$A,0)-1,MATCH(L1160,Ottone!$A$1:$Z$1,0)-1)=TRUE),0,OFFSET(Ottone!$A$1,MATCH(J1160,Ottone!$A:$A,0)-1,MATCH(L1160,Ottone!$A$1:$Z$1,0)-1))*IF(G1160="Ottone",1,0)</f>
        <v>0</v>
      </c>
      <c r="O1160" s="205">
        <f ca="1">IF(ISERROR(OFFSET(Rame!$A$1,MATCH(J1160,Rame!$A:$A,0)-1,MATCH(L1160,Rame!$A$1:$AA$1,0)-1)=TRUE),0,OFFSET(Rame!$A$1,MATCH(J1160,Rame!$A:$A,0)-1,MATCH(L1160,Rame!$A$1:$AA$1,0)-1))*IF(G1160="Rame",1,0)</f>
        <v>0</v>
      </c>
      <c r="P1160" s="205">
        <v>0</v>
      </c>
      <c r="Q1160" s="205">
        <f t="shared" ca="1" si="323"/>
        <v>0</v>
      </c>
      <c r="R1160" s="205">
        <f ca="1">+IF(ISERROR(OFFSET(Tabella!$G$1,MATCH(J1160,Tabella!$G:$G,0)-1,MATCH(K1160,Tabella!$G$1:$FG$1,0)-1)=TRUE),0,OFFSET(Tabella!$G$1,MATCH(J1160,Tabella!$G:$G,0)-1,MATCH(K1160,Tabella!$G$1:$AB$1,0)-1))</f>
        <v>0</v>
      </c>
      <c r="S1160" s="205">
        <f ca="1">IF(ISERROR(OFFSET(Ottone!$F$1,MATCH(J1160,Ottone!$A:$A,0)-1,MATCH(K1160,Ottone!$F$1:$FF$1,0)-1)=TRUE),0,OFFSET(Ottone!$F$1,MATCH(J1160,Ottone!$A:$A,0)-1,MATCH(K1160,Ottone!$F$1:$FF$1,0)-1))*IF(G1160="Ottone",1,0)</f>
        <v>0</v>
      </c>
      <c r="T1160" s="205">
        <f ca="1">IF(ISERROR(OFFSET(Rame!$F$1,MATCH(J1160,Rame!$F:$F,0)-1,MATCH(K1160,Rame!$F$1:$FF$1,0)-1)=TRUE),0,OFFSET(Rame!$F$1,MATCH(J1160,Rame!$F:$F,0)-1,MATCH(K1160,Rame!$F$1:$FF$1,0)-1))*IF(G1160="Rame",1,0)</f>
        <v>0</v>
      </c>
      <c r="U1160" s="205">
        <f ca="1">IF(ISERROR(OFFSET(Bronzo!$A$1,MATCH(J1160,Bronzo!$A:$A,0)-1,MATCH(K1160,Bronzo!$A$1:$AA$1,0)-1)=TRUE),0,OFFSET(Bronzo!$A$1,MATCH(J1160,Bronzo!$A:$A,0)-1,MATCH(K1160,Bronzo!$A$1:$AA$1,0)-1))</f>
        <v>0</v>
      </c>
      <c r="V1160" s="205">
        <f t="shared" ca="1" si="324"/>
        <v>0</v>
      </c>
      <c r="W1160" s="204"/>
      <c r="X1160" s="205">
        <v>0</v>
      </c>
      <c r="Y1160" s="206">
        <f t="shared" ca="1" si="325"/>
        <v>0</v>
      </c>
      <c r="Z1160" s="277">
        <f t="shared" si="326"/>
        <v>0</v>
      </c>
      <c r="AA1160" s="203"/>
      <c r="AB1160" s="203">
        <f t="shared" ca="1" si="327"/>
        <v>0</v>
      </c>
      <c r="AC1160" s="238"/>
      <c r="AI1160" s="367">
        <f t="shared" ca="1" si="334"/>
        <v>46092</v>
      </c>
      <c r="AJ1160" s="367" t="b">
        <f t="shared" si="328"/>
        <v>1</v>
      </c>
      <c r="AK1160" s="370" t="str">
        <f t="shared" si="329"/>
        <v/>
      </c>
      <c r="AN1160">
        <f t="shared" si="330"/>
        <v>0</v>
      </c>
      <c r="AO1160">
        <f t="shared" si="331"/>
        <v>1900</v>
      </c>
      <c r="AV1160">
        <f t="shared" si="332"/>
        <v>0</v>
      </c>
      <c r="AW1160">
        <f t="shared" si="333"/>
        <v>0</v>
      </c>
    </row>
    <row r="1161" spans="4:49" ht="15.75" x14ac:dyDescent="0.25">
      <c r="D1161" s="199"/>
      <c r="E1161" s="200"/>
      <c r="F1161" s="287"/>
      <c r="G1161" s="201"/>
      <c r="H1161" s="219"/>
      <c r="I1161" s="202"/>
      <c r="J1161" s="200"/>
      <c r="K1161" s="200"/>
      <c r="L1161" s="203"/>
      <c r="M1161" s="204">
        <f ca="1">IF(ISERROR(OFFSET(Tabella!$A$1,MATCH(J1161,Tabella!$A:$A,0)-1,MATCH(L1161,Tabella!$A$1:$AC$1,0)-1)=TRUE),0,+OFFSET(Tabella!$A$1,MATCH(J1161,Tabella!$A:$A,0)-1,MATCH(L1161,Tabella!$A$1:$AC$1,0)-1))</f>
        <v>0</v>
      </c>
      <c r="N1161" s="205">
        <f ca="1">IF(ISERROR(OFFSET(Ottone!$A$1,MATCH(J1161,Ottone!$A:$A,0)-1,MATCH(L1161,Ottone!$A$1:$Z$1,0)-1)=TRUE),0,OFFSET(Ottone!$A$1,MATCH(J1161,Ottone!$A:$A,0)-1,MATCH(L1161,Ottone!$A$1:$Z$1,0)-1))*IF(G1161="Ottone",1,0)</f>
        <v>0</v>
      </c>
      <c r="O1161" s="205">
        <f ca="1">IF(ISERROR(OFFSET(Rame!$A$1,MATCH(J1161,Rame!$A:$A,0)-1,MATCH(L1161,Rame!$A$1:$AA$1,0)-1)=TRUE),0,OFFSET(Rame!$A$1,MATCH(J1161,Rame!$A:$A,0)-1,MATCH(L1161,Rame!$A$1:$AA$1,0)-1))*IF(G1161="Rame",1,0)</f>
        <v>0</v>
      </c>
      <c r="P1161" s="205">
        <v>0</v>
      </c>
      <c r="Q1161" s="205">
        <f t="shared" ca="1" si="323"/>
        <v>0</v>
      </c>
      <c r="R1161" s="205">
        <f ca="1">+IF(ISERROR(OFFSET(Tabella!$G$1,MATCH(J1161,Tabella!$G:$G,0)-1,MATCH(K1161,Tabella!$G$1:$FG$1,0)-1)=TRUE),0,OFFSET(Tabella!$G$1,MATCH(J1161,Tabella!$G:$G,0)-1,MATCH(K1161,Tabella!$G$1:$AB$1,0)-1))</f>
        <v>0</v>
      </c>
      <c r="S1161" s="205">
        <f ca="1">IF(ISERROR(OFFSET(Ottone!$F$1,MATCH(J1161,Ottone!$A:$A,0)-1,MATCH(K1161,Ottone!$F$1:$FF$1,0)-1)=TRUE),0,OFFSET(Ottone!$F$1,MATCH(J1161,Ottone!$A:$A,0)-1,MATCH(K1161,Ottone!$F$1:$FF$1,0)-1))*IF(G1161="Ottone",1,0)</f>
        <v>0</v>
      </c>
      <c r="T1161" s="205">
        <f ca="1">IF(ISERROR(OFFSET(Rame!$F$1,MATCH(J1161,Rame!$F:$F,0)-1,MATCH(K1161,Rame!$F$1:$FF$1,0)-1)=TRUE),0,OFFSET(Rame!$F$1,MATCH(J1161,Rame!$F:$F,0)-1,MATCH(K1161,Rame!$F$1:$FF$1,0)-1))*IF(G1161="Rame",1,0)</f>
        <v>0</v>
      </c>
      <c r="U1161" s="205">
        <f ca="1">IF(ISERROR(OFFSET(Bronzo!$A$1,MATCH(J1161,Bronzo!$A:$A,0)-1,MATCH(K1161,Bronzo!$A$1:$AA$1,0)-1)=TRUE),0,OFFSET(Bronzo!$A$1,MATCH(J1161,Bronzo!$A:$A,0)-1,MATCH(K1161,Bronzo!$A$1:$AA$1,0)-1))</f>
        <v>0</v>
      </c>
      <c r="V1161" s="205">
        <f t="shared" ca="1" si="324"/>
        <v>0</v>
      </c>
      <c r="W1161" s="204"/>
      <c r="X1161" s="205">
        <v>0</v>
      </c>
      <c r="Y1161" s="206">
        <f t="shared" ca="1" si="325"/>
        <v>0</v>
      </c>
      <c r="Z1161" s="277">
        <f t="shared" si="326"/>
        <v>0</v>
      </c>
      <c r="AA1161" s="203"/>
      <c r="AB1161" s="203">
        <f t="shared" ca="1" si="327"/>
        <v>0</v>
      </c>
      <c r="AC1161" s="238"/>
      <c r="AI1161" s="367">
        <f t="shared" ca="1" si="334"/>
        <v>46092</v>
      </c>
      <c r="AJ1161" s="367" t="b">
        <f t="shared" si="328"/>
        <v>1</v>
      </c>
      <c r="AK1161" s="370" t="str">
        <f t="shared" si="329"/>
        <v/>
      </c>
      <c r="AN1161">
        <f t="shared" si="330"/>
        <v>0</v>
      </c>
      <c r="AO1161">
        <f t="shared" si="331"/>
        <v>1900</v>
      </c>
      <c r="AV1161">
        <f t="shared" si="332"/>
        <v>0</v>
      </c>
      <c r="AW1161">
        <f t="shared" si="333"/>
        <v>0</v>
      </c>
    </row>
    <row r="1162" spans="4:49" ht="15.75" x14ac:dyDescent="0.25">
      <c r="D1162" s="199"/>
      <c r="E1162" s="200"/>
      <c r="F1162" s="287"/>
      <c r="G1162" s="201"/>
      <c r="H1162" s="219"/>
      <c r="I1162" s="202"/>
      <c r="J1162" s="200"/>
      <c r="K1162" s="200"/>
      <c r="L1162" s="203"/>
      <c r="M1162" s="204">
        <f ca="1">IF(ISERROR(OFFSET(Tabella!$A$1,MATCH(J1162,Tabella!$A:$A,0)-1,MATCH(L1162,Tabella!$A$1:$AC$1,0)-1)=TRUE),0,+OFFSET(Tabella!$A$1,MATCH(J1162,Tabella!$A:$A,0)-1,MATCH(L1162,Tabella!$A$1:$AC$1,0)-1))</f>
        <v>0</v>
      </c>
      <c r="N1162" s="205">
        <f ca="1">IF(ISERROR(OFFSET(Ottone!$A$1,MATCH(J1162,Ottone!$A:$A,0)-1,MATCH(L1162,Ottone!$A$1:$Z$1,0)-1)=TRUE),0,OFFSET(Ottone!$A$1,MATCH(J1162,Ottone!$A:$A,0)-1,MATCH(L1162,Ottone!$A$1:$Z$1,0)-1))*IF(G1162="Ottone",1,0)</f>
        <v>0</v>
      </c>
      <c r="O1162" s="205">
        <f ca="1">IF(ISERROR(OFFSET(Rame!$A$1,MATCH(J1162,Rame!$A:$A,0)-1,MATCH(L1162,Rame!$A$1:$AA$1,0)-1)=TRUE),0,OFFSET(Rame!$A$1,MATCH(J1162,Rame!$A:$A,0)-1,MATCH(L1162,Rame!$A$1:$AA$1,0)-1))*IF(G1162="Rame",1,0)</f>
        <v>0</v>
      </c>
      <c r="P1162" s="205">
        <v>0</v>
      </c>
      <c r="Q1162" s="205">
        <f t="shared" ca="1" si="323"/>
        <v>0</v>
      </c>
      <c r="R1162" s="205">
        <f ca="1">+IF(ISERROR(OFFSET(Tabella!$G$1,MATCH(J1162,Tabella!$G:$G,0)-1,MATCH(K1162,Tabella!$G$1:$FG$1,0)-1)=TRUE),0,OFFSET(Tabella!$G$1,MATCH(J1162,Tabella!$G:$G,0)-1,MATCH(K1162,Tabella!$G$1:$AB$1,0)-1))</f>
        <v>0</v>
      </c>
      <c r="S1162" s="205">
        <f ca="1">IF(ISERROR(OFFSET(Ottone!$F$1,MATCH(J1162,Ottone!$A:$A,0)-1,MATCH(K1162,Ottone!$F$1:$FF$1,0)-1)=TRUE),0,OFFSET(Ottone!$F$1,MATCH(J1162,Ottone!$A:$A,0)-1,MATCH(K1162,Ottone!$F$1:$FF$1,0)-1))*IF(G1162="Ottone",1,0)</f>
        <v>0</v>
      </c>
      <c r="T1162" s="205">
        <f ca="1">IF(ISERROR(OFFSET(Rame!$F$1,MATCH(J1162,Rame!$F:$F,0)-1,MATCH(K1162,Rame!$F$1:$FF$1,0)-1)=TRUE),0,OFFSET(Rame!$F$1,MATCH(J1162,Rame!$F:$F,0)-1,MATCH(K1162,Rame!$F$1:$FF$1,0)-1))*IF(G1162="Rame",1,0)</f>
        <v>0</v>
      </c>
      <c r="U1162" s="205">
        <f ca="1">IF(ISERROR(OFFSET(Bronzo!$A$1,MATCH(J1162,Bronzo!$A:$A,0)-1,MATCH(K1162,Bronzo!$A$1:$AA$1,0)-1)=TRUE),0,OFFSET(Bronzo!$A$1,MATCH(J1162,Bronzo!$A:$A,0)-1,MATCH(K1162,Bronzo!$A$1:$AA$1,0)-1))</f>
        <v>0</v>
      </c>
      <c r="V1162" s="205">
        <f t="shared" ca="1" si="324"/>
        <v>0</v>
      </c>
      <c r="W1162" s="204"/>
      <c r="X1162" s="205">
        <v>0</v>
      </c>
      <c r="Y1162" s="206">
        <f t="shared" ca="1" si="325"/>
        <v>0</v>
      </c>
      <c r="Z1162" s="277">
        <f t="shared" si="326"/>
        <v>0</v>
      </c>
      <c r="AA1162" s="203"/>
      <c r="AB1162" s="203">
        <f t="shared" ca="1" si="327"/>
        <v>0</v>
      </c>
      <c r="AC1162" s="238"/>
      <c r="AI1162" s="367">
        <f t="shared" ca="1" si="334"/>
        <v>46092</v>
      </c>
      <c r="AJ1162" s="367" t="b">
        <f t="shared" si="328"/>
        <v>1</v>
      </c>
      <c r="AK1162" s="370" t="str">
        <f t="shared" si="329"/>
        <v/>
      </c>
      <c r="AN1162">
        <f t="shared" si="330"/>
        <v>0</v>
      </c>
      <c r="AO1162">
        <f t="shared" si="331"/>
        <v>1900</v>
      </c>
      <c r="AV1162">
        <f t="shared" si="332"/>
        <v>0</v>
      </c>
      <c r="AW1162">
        <f t="shared" si="333"/>
        <v>0</v>
      </c>
    </row>
    <row r="1163" spans="4:49" ht="15.75" x14ac:dyDescent="0.25">
      <c r="D1163" s="199"/>
      <c r="E1163" s="200"/>
      <c r="F1163" s="287"/>
      <c r="G1163" s="201"/>
      <c r="H1163" s="219"/>
      <c r="I1163" s="202"/>
      <c r="J1163" s="200"/>
      <c r="K1163" s="200"/>
      <c r="L1163" s="203"/>
      <c r="M1163" s="204">
        <f ca="1">IF(ISERROR(OFFSET(Tabella!$A$1,MATCH(J1163,Tabella!$A:$A,0)-1,MATCH(L1163,Tabella!$A$1:$AC$1,0)-1)=TRUE),0,+OFFSET(Tabella!$A$1,MATCH(J1163,Tabella!$A:$A,0)-1,MATCH(L1163,Tabella!$A$1:$AC$1,0)-1))</f>
        <v>0</v>
      </c>
      <c r="N1163" s="205">
        <f ca="1">IF(ISERROR(OFFSET(Ottone!$A$1,MATCH(J1163,Ottone!$A:$A,0)-1,MATCH(L1163,Ottone!$A$1:$Z$1,0)-1)=TRUE),0,OFFSET(Ottone!$A$1,MATCH(J1163,Ottone!$A:$A,0)-1,MATCH(L1163,Ottone!$A$1:$Z$1,0)-1))*IF(G1163="Ottone",1,0)</f>
        <v>0</v>
      </c>
      <c r="O1163" s="205">
        <f ca="1">IF(ISERROR(OFFSET(Rame!$A$1,MATCH(J1163,Rame!$A:$A,0)-1,MATCH(L1163,Rame!$A$1:$AA$1,0)-1)=TRUE),0,OFFSET(Rame!$A$1,MATCH(J1163,Rame!$A:$A,0)-1,MATCH(L1163,Rame!$A$1:$AA$1,0)-1))*IF(G1163="Rame",1,0)</f>
        <v>0</v>
      </c>
      <c r="P1163" s="205">
        <v>0</v>
      </c>
      <c r="Q1163" s="205">
        <f t="shared" ca="1" si="323"/>
        <v>0</v>
      </c>
      <c r="R1163" s="205">
        <f ca="1">+IF(ISERROR(OFFSET(Tabella!$G$1,MATCH(J1163,Tabella!$G:$G,0)-1,MATCH(K1163,Tabella!$G$1:$FG$1,0)-1)=TRUE),0,OFFSET(Tabella!$G$1,MATCH(J1163,Tabella!$G:$G,0)-1,MATCH(K1163,Tabella!$G$1:$AB$1,0)-1))</f>
        <v>0</v>
      </c>
      <c r="S1163" s="205">
        <f ca="1">IF(ISERROR(OFFSET(Ottone!$F$1,MATCH(J1163,Ottone!$A:$A,0)-1,MATCH(K1163,Ottone!$F$1:$FF$1,0)-1)=TRUE),0,OFFSET(Ottone!$F$1,MATCH(J1163,Ottone!$A:$A,0)-1,MATCH(K1163,Ottone!$F$1:$FF$1,0)-1))*IF(G1163="Ottone",1,0)</f>
        <v>0</v>
      </c>
      <c r="T1163" s="205">
        <f ca="1">IF(ISERROR(OFFSET(Rame!$F$1,MATCH(J1163,Rame!$F:$F,0)-1,MATCH(K1163,Rame!$F$1:$FF$1,0)-1)=TRUE),0,OFFSET(Rame!$F$1,MATCH(J1163,Rame!$F:$F,0)-1,MATCH(K1163,Rame!$F$1:$FF$1,0)-1))*IF(G1163="Rame",1,0)</f>
        <v>0</v>
      </c>
      <c r="U1163" s="205">
        <f ca="1">IF(ISERROR(OFFSET(Bronzo!$A$1,MATCH(J1163,Bronzo!$A:$A,0)-1,MATCH(K1163,Bronzo!$A$1:$AA$1,0)-1)=TRUE),0,OFFSET(Bronzo!$A$1,MATCH(J1163,Bronzo!$A:$A,0)-1,MATCH(K1163,Bronzo!$A$1:$AA$1,0)-1))</f>
        <v>0</v>
      </c>
      <c r="V1163" s="205">
        <f t="shared" ca="1" si="324"/>
        <v>0</v>
      </c>
      <c r="W1163" s="204"/>
      <c r="X1163" s="205">
        <v>0</v>
      </c>
      <c r="Y1163" s="206">
        <f t="shared" ca="1" si="325"/>
        <v>0</v>
      </c>
      <c r="Z1163" s="277">
        <f t="shared" si="326"/>
        <v>0</v>
      </c>
      <c r="AA1163" s="203"/>
      <c r="AB1163" s="203">
        <f t="shared" ca="1" si="327"/>
        <v>0</v>
      </c>
      <c r="AC1163" s="238"/>
      <c r="AI1163" s="367">
        <f t="shared" ca="1" si="334"/>
        <v>46092</v>
      </c>
      <c r="AJ1163" s="367" t="b">
        <f t="shared" si="328"/>
        <v>1</v>
      </c>
      <c r="AK1163" s="370" t="str">
        <f t="shared" si="329"/>
        <v/>
      </c>
      <c r="AN1163">
        <f t="shared" si="330"/>
        <v>0</v>
      </c>
      <c r="AO1163">
        <f t="shared" si="331"/>
        <v>1900</v>
      </c>
      <c r="AV1163">
        <f t="shared" si="332"/>
        <v>0</v>
      </c>
      <c r="AW1163">
        <f t="shared" si="333"/>
        <v>0</v>
      </c>
    </row>
    <row r="1164" spans="4:49" ht="15.75" x14ac:dyDescent="0.25">
      <c r="D1164" s="199"/>
      <c r="E1164" s="200"/>
      <c r="F1164" s="287"/>
      <c r="G1164" s="201"/>
      <c r="H1164" s="219"/>
      <c r="I1164" s="202"/>
      <c r="J1164" s="200"/>
      <c r="K1164" s="200"/>
      <c r="L1164" s="203"/>
      <c r="M1164" s="204">
        <f ca="1">IF(ISERROR(OFFSET(Tabella!$A$1,MATCH(J1164,Tabella!$A:$A,0)-1,MATCH(L1164,Tabella!$A$1:$AC$1,0)-1)=TRUE),0,+OFFSET(Tabella!$A$1,MATCH(J1164,Tabella!$A:$A,0)-1,MATCH(L1164,Tabella!$A$1:$AC$1,0)-1))</f>
        <v>0</v>
      </c>
      <c r="N1164" s="205">
        <f ca="1">IF(ISERROR(OFFSET(Ottone!$A$1,MATCH(J1164,Ottone!$A:$A,0)-1,MATCH(L1164,Ottone!$A$1:$Z$1,0)-1)=TRUE),0,OFFSET(Ottone!$A$1,MATCH(J1164,Ottone!$A:$A,0)-1,MATCH(L1164,Ottone!$A$1:$Z$1,0)-1))*IF(G1164="Ottone",1,0)</f>
        <v>0</v>
      </c>
      <c r="O1164" s="205">
        <f ca="1">IF(ISERROR(OFFSET(Rame!$A$1,MATCH(J1164,Rame!$A:$A,0)-1,MATCH(L1164,Rame!$A$1:$AA$1,0)-1)=TRUE),0,OFFSET(Rame!$A$1,MATCH(J1164,Rame!$A:$A,0)-1,MATCH(L1164,Rame!$A$1:$AA$1,0)-1))*IF(G1164="Rame",1,0)</f>
        <v>0</v>
      </c>
      <c r="P1164" s="205">
        <v>0</v>
      </c>
      <c r="Q1164" s="205">
        <f t="shared" ca="1" si="323"/>
        <v>0</v>
      </c>
      <c r="R1164" s="205">
        <f ca="1">+IF(ISERROR(OFFSET(Tabella!$G$1,MATCH(J1164,Tabella!$G:$G,0)-1,MATCH(K1164,Tabella!$G$1:$FG$1,0)-1)=TRUE),0,OFFSET(Tabella!$G$1,MATCH(J1164,Tabella!$G:$G,0)-1,MATCH(K1164,Tabella!$G$1:$AB$1,0)-1))</f>
        <v>0</v>
      </c>
      <c r="S1164" s="205">
        <f ca="1">IF(ISERROR(OFFSET(Ottone!$F$1,MATCH(J1164,Ottone!$A:$A,0)-1,MATCH(K1164,Ottone!$F$1:$FF$1,0)-1)=TRUE),0,OFFSET(Ottone!$F$1,MATCH(J1164,Ottone!$A:$A,0)-1,MATCH(K1164,Ottone!$F$1:$FF$1,0)-1))*IF(G1164="Ottone",1,0)</f>
        <v>0</v>
      </c>
      <c r="T1164" s="205">
        <f ca="1">IF(ISERROR(OFFSET(Rame!$F$1,MATCH(J1164,Rame!$F:$F,0)-1,MATCH(K1164,Rame!$F$1:$FF$1,0)-1)=TRUE),0,OFFSET(Rame!$F$1,MATCH(J1164,Rame!$F:$F,0)-1,MATCH(K1164,Rame!$F$1:$FF$1,0)-1))*IF(G1164="Rame",1,0)</f>
        <v>0</v>
      </c>
      <c r="U1164" s="205">
        <f ca="1">IF(ISERROR(OFFSET(Bronzo!$A$1,MATCH(J1164,Bronzo!$A:$A,0)-1,MATCH(K1164,Bronzo!$A$1:$AA$1,0)-1)=TRUE),0,OFFSET(Bronzo!$A$1,MATCH(J1164,Bronzo!$A:$A,0)-1,MATCH(K1164,Bronzo!$A$1:$AA$1,0)-1))</f>
        <v>0</v>
      </c>
      <c r="V1164" s="205">
        <f t="shared" ca="1" si="324"/>
        <v>0</v>
      </c>
      <c r="W1164" s="204"/>
      <c r="X1164" s="205">
        <v>0</v>
      </c>
      <c r="Y1164" s="206">
        <f t="shared" ca="1" si="325"/>
        <v>0</v>
      </c>
      <c r="Z1164" s="277">
        <f t="shared" si="326"/>
        <v>0</v>
      </c>
      <c r="AA1164" s="203"/>
      <c r="AB1164" s="203">
        <f t="shared" ca="1" si="327"/>
        <v>0</v>
      </c>
      <c r="AC1164" s="238"/>
      <c r="AI1164" s="367">
        <f t="shared" ca="1" si="334"/>
        <v>46092</v>
      </c>
      <c r="AJ1164" s="367" t="b">
        <f t="shared" si="328"/>
        <v>1</v>
      </c>
      <c r="AK1164" s="370" t="str">
        <f t="shared" si="329"/>
        <v/>
      </c>
      <c r="AN1164">
        <f t="shared" si="330"/>
        <v>0</v>
      </c>
      <c r="AO1164">
        <f t="shared" si="331"/>
        <v>1900</v>
      </c>
      <c r="AV1164">
        <f t="shared" si="332"/>
        <v>0</v>
      </c>
      <c r="AW1164">
        <f t="shared" si="333"/>
        <v>0</v>
      </c>
    </row>
    <row r="1165" spans="4:49" ht="15.75" x14ac:dyDescent="0.25">
      <c r="D1165" s="199"/>
      <c r="E1165" s="200"/>
      <c r="F1165" s="287"/>
      <c r="G1165" s="201"/>
      <c r="H1165" s="219"/>
      <c r="I1165" s="202"/>
      <c r="J1165" s="200"/>
      <c r="K1165" s="200"/>
      <c r="L1165" s="203"/>
      <c r="M1165" s="204">
        <f ca="1">IF(ISERROR(OFFSET(Tabella!$A$1,MATCH(J1165,Tabella!$A:$A,0)-1,MATCH(L1165,Tabella!$A$1:$AC$1,0)-1)=TRUE),0,+OFFSET(Tabella!$A$1,MATCH(J1165,Tabella!$A:$A,0)-1,MATCH(L1165,Tabella!$A$1:$AC$1,0)-1))</f>
        <v>0</v>
      </c>
      <c r="N1165" s="205">
        <f ca="1">IF(ISERROR(OFFSET(Ottone!$A$1,MATCH(J1165,Ottone!$A:$A,0)-1,MATCH(L1165,Ottone!$A$1:$Z$1,0)-1)=TRUE),0,OFFSET(Ottone!$A$1,MATCH(J1165,Ottone!$A:$A,0)-1,MATCH(L1165,Ottone!$A$1:$Z$1,0)-1))*IF(G1165="Ottone",1,0)</f>
        <v>0</v>
      </c>
      <c r="O1165" s="205">
        <f ca="1">IF(ISERROR(OFFSET(Rame!$A$1,MATCH(J1165,Rame!$A:$A,0)-1,MATCH(L1165,Rame!$A$1:$AA$1,0)-1)=TRUE),0,OFFSET(Rame!$A$1,MATCH(J1165,Rame!$A:$A,0)-1,MATCH(L1165,Rame!$A$1:$AA$1,0)-1))*IF(G1165="Rame",1,0)</f>
        <v>0</v>
      </c>
      <c r="P1165" s="205">
        <v>0</v>
      </c>
      <c r="Q1165" s="205">
        <f t="shared" ca="1" si="323"/>
        <v>0</v>
      </c>
      <c r="R1165" s="205">
        <f ca="1">+IF(ISERROR(OFFSET(Tabella!$G$1,MATCH(J1165,Tabella!$G:$G,0)-1,MATCH(K1165,Tabella!$G$1:$FG$1,0)-1)=TRUE),0,OFFSET(Tabella!$G$1,MATCH(J1165,Tabella!$G:$G,0)-1,MATCH(K1165,Tabella!$G$1:$AB$1,0)-1))</f>
        <v>0</v>
      </c>
      <c r="S1165" s="205">
        <f ca="1">IF(ISERROR(OFFSET(Ottone!$F$1,MATCH(J1165,Ottone!$A:$A,0)-1,MATCH(K1165,Ottone!$F$1:$FF$1,0)-1)=TRUE),0,OFFSET(Ottone!$F$1,MATCH(J1165,Ottone!$A:$A,0)-1,MATCH(K1165,Ottone!$F$1:$FF$1,0)-1))*IF(G1165="Ottone",1,0)</f>
        <v>0</v>
      </c>
      <c r="T1165" s="205">
        <f ca="1">IF(ISERROR(OFFSET(Rame!$F$1,MATCH(J1165,Rame!$F:$F,0)-1,MATCH(K1165,Rame!$F$1:$FF$1,0)-1)=TRUE),0,OFFSET(Rame!$F$1,MATCH(J1165,Rame!$F:$F,0)-1,MATCH(K1165,Rame!$F$1:$FF$1,0)-1))*IF(G1165="Rame",1,0)</f>
        <v>0</v>
      </c>
      <c r="U1165" s="205">
        <f ca="1">IF(ISERROR(OFFSET(Bronzo!$A$1,MATCH(J1165,Bronzo!$A:$A,0)-1,MATCH(K1165,Bronzo!$A$1:$AA$1,0)-1)=TRUE),0,OFFSET(Bronzo!$A$1,MATCH(J1165,Bronzo!$A:$A,0)-1,MATCH(K1165,Bronzo!$A$1:$AA$1,0)-1))</f>
        <v>0</v>
      </c>
      <c r="V1165" s="205">
        <f t="shared" ca="1" si="324"/>
        <v>0</v>
      </c>
      <c r="W1165" s="204"/>
      <c r="X1165" s="205">
        <v>0</v>
      </c>
      <c r="Y1165" s="206">
        <f t="shared" ca="1" si="325"/>
        <v>0</v>
      </c>
      <c r="Z1165" s="277">
        <f t="shared" si="326"/>
        <v>0</v>
      </c>
      <c r="AA1165" s="203"/>
      <c r="AB1165" s="203">
        <f t="shared" ca="1" si="327"/>
        <v>0</v>
      </c>
      <c r="AC1165" s="238"/>
      <c r="AI1165" s="367">
        <f t="shared" ca="1" si="334"/>
        <v>46092</v>
      </c>
      <c r="AJ1165" s="367" t="b">
        <f t="shared" si="328"/>
        <v>1</v>
      </c>
      <c r="AK1165" s="370" t="str">
        <f t="shared" si="329"/>
        <v/>
      </c>
      <c r="AN1165">
        <f t="shared" si="330"/>
        <v>0</v>
      </c>
      <c r="AO1165">
        <f t="shared" si="331"/>
        <v>1900</v>
      </c>
      <c r="AV1165">
        <f t="shared" si="332"/>
        <v>0</v>
      </c>
      <c r="AW1165">
        <f t="shared" si="333"/>
        <v>0</v>
      </c>
    </row>
    <row r="1166" spans="4:49" ht="15.75" x14ac:dyDescent="0.25">
      <c r="D1166" s="199"/>
      <c r="E1166" s="200"/>
      <c r="F1166" s="287"/>
      <c r="G1166" s="201"/>
      <c r="H1166" s="219"/>
      <c r="I1166" s="202"/>
      <c r="J1166" s="200"/>
      <c r="K1166" s="200"/>
      <c r="L1166" s="203"/>
      <c r="M1166" s="204">
        <f ca="1">IF(ISERROR(OFFSET(Tabella!$A$1,MATCH(J1166,Tabella!$A:$A,0)-1,MATCH(L1166,Tabella!$A$1:$AC$1,0)-1)=TRUE),0,+OFFSET(Tabella!$A$1,MATCH(J1166,Tabella!$A:$A,0)-1,MATCH(L1166,Tabella!$A$1:$AC$1,0)-1))</f>
        <v>0</v>
      </c>
      <c r="N1166" s="205">
        <f ca="1">IF(ISERROR(OFFSET(Ottone!$A$1,MATCH(J1166,Ottone!$A:$A,0)-1,MATCH(L1166,Ottone!$A$1:$Z$1,0)-1)=TRUE),0,OFFSET(Ottone!$A$1,MATCH(J1166,Ottone!$A:$A,0)-1,MATCH(L1166,Ottone!$A$1:$Z$1,0)-1))*IF(G1166="Ottone",1,0)</f>
        <v>0</v>
      </c>
      <c r="O1166" s="205">
        <f ca="1">IF(ISERROR(OFFSET(Rame!$A$1,MATCH(J1166,Rame!$A:$A,0)-1,MATCH(L1166,Rame!$A$1:$AA$1,0)-1)=TRUE),0,OFFSET(Rame!$A$1,MATCH(J1166,Rame!$A:$A,0)-1,MATCH(L1166,Rame!$A$1:$AA$1,0)-1))*IF(G1166="Rame",1,0)</f>
        <v>0</v>
      </c>
      <c r="P1166" s="205">
        <v>0</v>
      </c>
      <c r="Q1166" s="205">
        <f t="shared" ca="1" si="323"/>
        <v>0</v>
      </c>
      <c r="R1166" s="205">
        <f ca="1">+IF(ISERROR(OFFSET(Tabella!$G$1,MATCH(J1166,Tabella!$G:$G,0)-1,MATCH(K1166,Tabella!$G$1:$FG$1,0)-1)=TRUE),0,OFFSET(Tabella!$G$1,MATCH(J1166,Tabella!$G:$G,0)-1,MATCH(K1166,Tabella!$G$1:$AB$1,0)-1))</f>
        <v>0</v>
      </c>
      <c r="S1166" s="205">
        <f ca="1">IF(ISERROR(OFFSET(Ottone!$F$1,MATCH(J1166,Ottone!$A:$A,0)-1,MATCH(K1166,Ottone!$F$1:$FF$1,0)-1)=TRUE),0,OFFSET(Ottone!$F$1,MATCH(J1166,Ottone!$A:$A,0)-1,MATCH(K1166,Ottone!$F$1:$FF$1,0)-1))*IF(G1166="Ottone",1,0)</f>
        <v>0</v>
      </c>
      <c r="T1166" s="205">
        <f ca="1">IF(ISERROR(OFFSET(Rame!$F$1,MATCH(J1166,Rame!$F:$F,0)-1,MATCH(K1166,Rame!$F$1:$FF$1,0)-1)=TRUE),0,OFFSET(Rame!$F$1,MATCH(J1166,Rame!$F:$F,0)-1,MATCH(K1166,Rame!$F$1:$FF$1,0)-1))*IF(G1166="Rame",1,0)</f>
        <v>0</v>
      </c>
      <c r="U1166" s="205">
        <f ca="1">IF(ISERROR(OFFSET(Bronzo!$A$1,MATCH(J1166,Bronzo!$A:$A,0)-1,MATCH(K1166,Bronzo!$A$1:$AA$1,0)-1)=TRUE),0,OFFSET(Bronzo!$A$1,MATCH(J1166,Bronzo!$A:$A,0)-1,MATCH(K1166,Bronzo!$A$1:$AA$1,0)-1))</f>
        <v>0</v>
      </c>
      <c r="V1166" s="205">
        <f t="shared" ca="1" si="324"/>
        <v>0</v>
      </c>
      <c r="W1166" s="204"/>
      <c r="X1166" s="205">
        <v>0</v>
      </c>
      <c r="Y1166" s="206">
        <f t="shared" ca="1" si="325"/>
        <v>0</v>
      </c>
      <c r="Z1166" s="277">
        <f t="shared" si="326"/>
        <v>0</v>
      </c>
      <c r="AA1166" s="203"/>
      <c r="AB1166" s="203">
        <f t="shared" ca="1" si="327"/>
        <v>0</v>
      </c>
      <c r="AC1166" s="238"/>
      <c r="AI1166" s="367">
        <f t="shared" ca="1" si="334"/>
        <v>46092</v>
      </c>
      <c r="AJ1166" s="367" t="b">
        <f t="shared" si="328"/>
        <v>1</v>
      </c>
      <c r="AK1166" s="370" t="str">
        <f t="shared" si="329"/>
        <v/>
      </c>
      <c r="AN1166">
        <f t="shared" si="330"/>
        <v>0</v>
      </c>
      <c r="AO1166">
        <f t="shared" si="331"/>
        <v>1900</v>
      </c>
      <c r="AV1166">
        <f t="shared" si="332"/>
        <v>0</v>
      </c>
      <c r="AW1166">
        <f t="shared" si="333"/>
        <v>0</v>
      </c>
    </row>
    <row r="1167" spans="4:49" ht="15.75" x14ac:dyDescent="0.25">
      <c r="D1167" s="199"/>
      <c r="E1167" s="200"/>
      <c r="F1167" s="287"/>
      <c r="G1167" s="201"/>
      <c r="H1167" s="219"/>
      <c r="I1167" s="202"/>
      <c r="J1167" s="200"/>
      <c r="K1167" s="200"/>
      <c r="L1167" s="203"/>
      <c r="M1167" s="204">
        <f ca="1">IF(ISERROR(OFFSET(Tabella!$A$1,MATCH(J1167,Tabella!$A:$A,0)-1,MATCH(L1167,Tabella!$A$1:$AC$1,0)-1)=TRUE),0,+OFFSET(Tabella!$A$1,MATCH(J1167,Tabella!$A:$A,0)-1,MATCH(L1167,Tabella!$A$1:$AC$1,0)-1))</f>
        <v>0</v>
      </c>
      <c r="N1167" s="205">
        <f ca="1">IF(ISERROR(OFFSET(Ottone!$A$1,MATCH(J1167,Ottone!$A:$A,0)-1,MATCH(L1167,Ottone!$A$1:$Z$1,0)-1)=TRUE),0,OFFSET(Ottone!$A$1,MATCH(J1167,Ottone!$A:$A,0)-1,MATCH(L1167,Ottone!$A$1:$Z$1,0)-1))*IF(G1167="Ottone",1,0)</f>
        <v>0</v>
      </c>
      <c r="O1167" s="205">
        <f ca="1">IF(ISERROR(OFFSET(Rame!$A$1,MATCH(J1167,Rame!$A:$A,0)-1,MATCH(L1167,Rame!$A$1:$AA$1,0)-1)=TRUE),0,OFFSET(Rame!$A$1,MATCH(J1167,Rame!$A:$A,0)-1,MATCH(L1167,Rame!$A$1:$AA$1,0)-1))*IF(G1167="Rame",1,0)</f>
        <v>0</v>
      </c>
      <c r="P1167" s="205">
        <v>0</v>
      </c>
      <c r="Q1167" s="205">
        <f t="shared" ref="Q1167:Q1230" ca="1" si="335">SUM(M1167:P1167)</f>
        <v>0</v>
      </c>
      <c r="R1167" s="205">
        <f ca="1">+IF(ISERROR(OFFSET(Tabella!$G$1,MATCH(J1167,Tabella!$G:$G,0)-1,MATCH(K1167,Tabella!$G$1:$FG$1,0)-1)=TRUE),0,OFFSET(Tabella!$G$1,MATCH(J1167,Tabella!$G:$G,0)-1,MATCH(K1167,Tabella!$G$1:$AB$1,0)-1))</f>
        <v>0</v>
      </c>
      <c r="S1167" s="205">
        <f ca="1">IF(ISERROR(OFFSET(Ottone!$F$1,MATCH(J1167,Ottone!$A:$A,0)-1,MATCH(K1167,Ottone!$F$1:$FF$1,0)-1)=TRUE),0,OFFSET(Ottone!$F$1,MATCH(J1167,Ottone!$A:$A,0)-1,MATCH(K1167,Ottone!$F$1:$FF$1,0)-1))*IF(G1167="Ottone",1,0)</f>
        <v>0</v>
      </c>
      <c r="T1167" s="205">
        <f ca="1">IF(ISERROR(OFFSET(Rame!$F$1,MATCH(J1167,Rame!$F:$F,0)-1,MATCH(K1167,Rame!$F$1:$FF$1,0)-1)=TRUE),0,OFFSET(Rame!$F$1,MATCH(J1167,Rame!$F:$F,0)-1,MATCH(K1167,Rame!$F$1:$FF$1,0)-1))*IF(G1167="Rame",1,0)</f>
        <v>0</v>
      </c>
      <c r="U1167" s="205">
        <f ca="1">IF(ISERROR(OFFSET(Bronzo!$A$1,MATCH(J1167,Bronzo!$A:$A,0)-1,MATCH(K1167,Bronzo!$A$1:$AA$1,0)-1)=TRUE),0,OFFSET(Bronzo!$A$1,MATCH(J1167,Bronzo!$A:$A,0)-1,MATCH(K1167,Bronzo!$A$1:$AA$1,0)-1))</f>
        <v>0</v>
      </c>
      <c r="V1167" s="205">
        <f t="shared" ref="V1167:V1230" ca="1" si="336">SUM(R1167:U1167)</f>
        <v>0</v>
      </c>
      <c r="W1167" s="204"/>
      <c r="X1167" s="205">
        <v>0</v>
      </c>
      <c r="Y1167" s="206">
        <f t="shared" ref="Y1167:Y1230" ca="1" si="337">+Q1167+V1167+W1167+X1167</f>
        <v>0</v>
      </c>
      <c r="Z1167" s="277">
        <f t="shared" ref="Z1167:Z1230" si="338">+L1167*F1167</f>
        <v>0</v>
      </c>
      <c r="AA1167" s="203"/>
      <c r="AB1167" s="203">
        <f t="shared" ref="AB1167:AB1230" ca="1" si="339">+AA1167-Y1167-H1167</f>
        <v>0</v>
      </c>
      <c r="AC1167" s="238"/>
      <c r="AI1167" s="367">
        <f t="shared" ca="1" si="334"/>
        <v>46092</v>
      </c>
      <c r="AJ1167" s="367" t="b">
        <f t="shared" si="328"/>
        <v>1</v>
      </c>
      <c r="AK1167" s="370" t="str">
        <f t="shared" si="329"/>
        <v/>
      </c>
      <c r="AN1167">
        <f t="shared" si="330"/>
        <v>0</v>
      </c>
      <c r="AO1167">
        <f t="shared" si="331"/>
        <v>1900</v>
      </c>
      <c r="AV1167">
        <f t="shared" si="332"/>
        <v>0</v>
      </c>
      <c r="AW1167">
        <f t="shared" si="333"/>
        <v>0</v>
      </c>
    </row>
    <row r="1168" spans="4:49" ht="15.75" x14ac:dyDescent="0.25">
      <c r="D1168" s="199"/>
      <c r="E1168" s="200"/>
      <c r="F1168" s="287"/>
      <c r="G1168" s="201"/>
      <c r="H1168" s="219"/>
      <c r="I1168" s="202"/>
      <c r="J1168" s="200"/>
      <c r="K1168" s="200"/>
      <c r="L1168" s="203"/>
      <c r="M1168" s="204">
        <f ca="1">IF(ISERROR(OFFSET(Tabella!$A$1,MATCH(J1168,Tabella!$A:$A,0)-1,MATCH(L1168,Tabella!$A$1:$AC$1,0)-1)=TRUE),0,+OFFSET(Tabella!$A$1,MATCH(J1168,Tabella!$A:$A,0)-1,MATCH(L1168,Tabella!$A$1:$AC$1,0)-1))</f>
        <v>0</v>
      </c>
      <c r="N1168" s="205">
        <f ca="1">IF(ISERROR(OFFSET(Ottone!$A$1,MATCH(J1168,Ottone!$A:$A,0)-1,MATCH(L1168,Ottone!$A$1:$Z$1,0)-1)=TRUE),0,OFFSET(Ottone!$A$1,MATCH(J1168,Ottone!$A:$A,0)-1,MATCH(L1168,Ottone!$A$1:$Z$1,0)-1))*IF(G1168="Ottone",1,0)</f>
        <v>0</v>
      </c>
      <c r="O1168" s="205">
        <f ca="1">IF(ISERROR(OFFSET(Rame!$A$1,MATCH(J1168,Rame!$A:$A,0)-1,MATCH(L1168,Rame!$A$1:$AA$1,0)-1)=TRUE),0,OFFSET(Rame!$A$1,MATCH(J1168,Rame!$A:$A,0)-1,MATCH(L1168,Rame!$A$1:$AA$1,0)-1))*IF(G1168="Rame",1,0)</f>
        <v>0</v>
      </c>
      <c r="P1168" s="205">
        <v>0</v>
      </c>
      <c r="Q1168" s="205">
        <f t="shared" ca="1" si="335"/>
        <v>0</v>
      </c>
      <c r="R1168" s="205">
        <f ca="1">+IF(ISERROR(OFFSET(Tabella!$G$1,MATCH(J1168,Tabella!$G:$G,0)-1,MATCH(K1168,Tabella!$G$1:$FG$1,0)-1)=TRUE),0,OFFSET(Tabella!$G$1,MATCH(J1168,Tabella!$G:$G,0)-1,MATCH(K1168,Tabella!$G$1:$AB$1,0)-1))</f>
        <v>0</v>
      </c>
      <c r="S1168" s="205">
        <f ca="1">IF(ISERROR(OFFSET(Ottone!$F$1,MATCH(J1168,Ottone!$A:$A,0)-1,MATCH(K1168,Ottone!$F$1:$FF$1,0)-1)=TRUE),0,OFFSET(Ottone!$F$1,MATCH(J1168,Ottone!$A:$A,0)-1,MATCH(K1168,Ottone!$F$1:$FF$1,0)-1))*IF(G1168="Ottone",1,0)</f>
        <v>0</v>
      </c>
      <c r="T1168" s="205">
        <f ca="1">IF(ISERROR(OFFSET(Rame!$F$1,MATCH(J1168,Rame!$F:$F,0)-1,MATCH(K1168,Rame!$F$1:$FF$1,0)-1)=TRUE),0,OFFSET(Rame!$F$1,MATCH(J1168,Rame!$F:$F,0)-1,MATCH(K1168,Rame!$F$1:$FF$1,0)-1))*IF(G1168="Rame",1,0)</f>
        <v>0</v>
      </c>
      <c r="U1168" s="205">
        <f ca="1">IF(ISERROR(OFFSET(Bronzo!$A$1,MATCH(J1168,Bronzo!$A:$A,0)-1,MATCH(K1168,Bronzo!$A$1:$AA$1,0)-1)=TRUE),0,OFFSET(Bronzo!$A$1,MATCH(J1168,Bronzo!$A:$A,0)-1,MATCH(K1168,Bronzo!$A$1:$AA$1,0)-1))</f>
        <v>0</v>
      </c>
      <c r="V1168" s="205">
        <f t="shared" ca="1" si="336"/>
        <v>0</v>
      </c>
      <c r="W1168" s="204"/>
      <c r="X1168" s="205">
        <v>0</v>
      </c>
      <c r="Y1168" s="206">
        <f t="shared" ca="1" si="337"/>
        <v>0</v>
      </c>
      <c r="Z1168" s="277">
        <f t="shared" si="338"/>
        <v>0</v>
      </c>
      <c r="AA1168" s="203"/>
      <c r="AB1168" s="203">
        <f t="shared" ca="1" si="339"/>
        <v>0</v>
      </c>
      <c r="AC1168" s="238"/>
      <c r="AI1168" s="367">
        <f t="shared" ca="1" si="334"/>
        <v>46092</v>
      </c>
      <c r="AJ1168" s="367" t="b">
        <f t="shared" si="328"/>
        <v>1</v>
      </c>
      <c r="AK1168" s="370" t="str">
        <f t="shared" si="329"/>
        <v/>
      </c>
      <c r="AN1168">
        <f t="shared" si="330"/>
        <v>0</v>
      </c>
      <c r="AO1168">
        <f t="shared" si="331"/>
        <v>1900</v>
      </c>
      <c r="AV1168">
        <f t="shared" si="332"/>
        <v>0</v>
      </c>
      <c r="AW1168">
        <f t="shared" si="333"/>
        <v>0</v>
      </c>
    </row>
    <row r="1169" spans="4:49" ht="15.75" x14ac:dyDescent="0.25">
      <c r="D1169" s="199"/>
      <c r="E1169" s="200"/>
      <c r="F1169" s="287"/>
      <c r="G1169" s="201"/>
      <c r="H1169" s="219"/>
      <c r="I1169" s="202"/>
      <c r="J1169" s="200"/>
      <c r="K1169" s="200"/>
      <c r="L1169" s="203"/>
      <c r="M1169" s="204">
        <f ca="1">IF(ISERROR(OFFSET(Tabella!$A$1,MATCH(J1169,Tabella!$A:$A,0)-1,MATCH(L1169,Tabella!$A$1:$AC$1,0)-1)=TRUE),0,+OFFSET(Tabella!$A$1,MATCH(J1169,Tabella!$A:$A,0)-1,MATCH(L1169,Tabella!$A$1:$AC$1,0)-1))</f>
        <v>0</v>
      </c>
      <c r="N1169" s="205">
        <f ca="1">IF(ISERROR(OFFSET(Ottone!$A$1,MATCH(J1169,Ottone!$A:$A,0)-1,MATCH(L1169,Ottone!$A$1:$Z$1,0)-1)=TRUE),0,OFFSET(Ottone!$A$1,MATCH(J1169,Ottone!$A:$A,0)-1,MATCH(L1169,Ottone!$A$1:$Z$1,0)-1))*IF(G1169="Ottone",1,0)</f>
        <v>0</v>
      </c>
      <c r="O1169" s="205">
        <f ca="1">IF(ISERROR(OFFSET(Rame!$A$1,MATCH(J1169,Rame!$A:$A,0)-1,MATCH(L1169,Rame!$A$1:$AA$1,0)-1)=TRUE),0,OFFSET(Rame!$A$1,MATCH(J1169,Rame!$A:$A,0)-1,MATCH(L1169,Rame!$A$1:$AA$1,0)-1))*IF(G1169="Rame",1,0)</f>
        <v>0</v>
      </c>
      <c r="P1169" s="205">
        <v>0</v>
      </c>
      <c r="Q1169" s="205">
        <f t="shared" ca="1" si="335"/>
        <v>0</v>
      </c>
      <c r="R1169" s="205">
        <f ca="1">+IF(ISERROR(OFFSET(Tabella!$G$1,MATCH(J1169,Tabella!$G:$G,0)-1,MATCH(K1169,Tabella!$G$1:$FG$1,0)-1)=TRUE),0,OFFSET(Tabella!$G$1,MATCH(J1169,Tabella!$G:$G,0)-1,MATCH(K1169,Tabella!$G$1:$AB$1,0)-1))</f>
        <v>0</v>
      </c>
      <c r="S1169" s="205">
        <f ca="1">IF(ISERROR(OFFSET(Ottone!$F$1,MATCH(J1169,Ottone!$A:$A,0)-1,MATCH(K1169,Ottone!$F$1:$FF$1,0)-1)=TRUE),0,OFFSET(Ottone!$F$1,MATCH(J1169,Ottone!$A:$A,0)-1,MATCH(K1169,Ottone!$F$1:$FF$1,0)-1))*IF(G1169="Ottone",1,0)</f>
        <v>0</v>
      </c>
      <c r="T1169" s="205">
        <f ca="1">IF(ISERROR(OFFSET(Rame!$F$1,MATCH(J1169,Rame!$F:$F,0)-1,MATCH(K1169,Rame!$F$1:$FF$1,0)-1)=TRUE),0,OFFSET(Rame!$F$1,MATCH(J1169,Rame!$F:$F,0)-1,MATCH(K1169,Rame!$F$1:$FF$1,0)-1))*IF(G1169="Rame",1,0)</f>
        <v>0</v>
      </c>
      <c r="U1169" s="205">
        <f ca="1">IF(ISERROR(OFFSET(Bronzo!$A$1,MATCH(J1169,Bronzo!$A:$A,0)-1,MATCH(K1169,Bronzo!$A$1:$AA$1,0)-1)=TRUE),0,OFFSET(Bronzo!$A$1,MATCH(J1169,Bronzo!$A:$A,0)-1,MATCH(K1169,Bronzo!$A$1:$AA$1,0)-1))</f>
        <v>0</v>
      </c>
      <c r="V1169" s="205">
        <f t="shared" ca="1" si="336"/>
        <v>0</v>
      </c>
      <c r="W1169" s="204"/>
      <c r="X1169" s="205">
        <v>0</v>
      </c>
      <c r="Y1169" s="206">
        <f t="shared" ca="1" si="337"/>
        <v>0</v>
      </c>
      <c r="Z1169" s="277">
        <f t="shared" si="338"/>
        <v>0</v>
      </c>
      <c r="AA1169" s="203"/>
      <c r="AB1169" s="203">
        <f t="shared" ca="1" si="339"/>
        <v>0</v>
      </c>
      <c r="AC1169" s="238"/>
      <c r="AI1169" s="367">
        <f t="shared" ca="1" si="334"/>
        <v>46092</v>
      </c>
      <c r="AJ1169" s="367" t="b">
        <f t="shared" si="328"/>
        <v>1</v>
      </c>
      <c r="AK1169" s="370" t="str">
        <f t="shared" si="329"/>
        <v/>
      </c>
      <c r="AN1169">
        <f t="shared" si="330"/>
        <v>0</v>
      </c>
      <c r="AO1169">
        <f t="shared" si="331"/>
        <v>1900</v>
      </c>
      <c r="AV1169">
        <f t="shared" si="332"/>
        <v>0</v>
      </c>
      <c r="AW1169">
        <f t="shared" si="333"/>
        <v>0</v>
      </c>
    </row>
    <row r="1170" spans="4:49" ht="15.75" x14ac:dyDescent="0.25">
      <c r="D1170" s="199"/>
      <c r="E1170" s="200"/>
      <c r="F1170" s="287"/>
      <c r="G1170" s="201"/>
      <c r="H1170" s="219"/>
      <c r="I1170" s="202"/>
      <c r="J1170" s="200"/>
      <c r="K1170" s="200"/>
      <c r="L1170" s="203"/>
      <c r="M1170" s="204">
        <f ca="1">IF(ISERROR(OFFSET(Tabella!$A$1,MATCH(J1170,Tabella!$A:$A,0)-1,MATCH(L1170,Tabella!$A$1:$AC$1,0)-1)=TRUE),0,+OFFSET(Tabella!$A$1,MATCH(J1170,Tabella!$A:$A,0)-1,MATCH(L1170,Tabella!$A$1:$AC$1,0)-1))</f>
        <v>0</v>
      </c>
      <c r="N1170" s="205">
        <f ca="1">IF(ISERROR(OFFSET(Ottone!$A$1,MATCH(J1170,Ottone!$A:$A,0)-1,MATCH(L1170,Ottone!$A$1:$Z$1,0)-1)=TRUE),0,OFFSET(Ottone!$A$1,MATCH(J1170,Ottone!$A:$A,0)-1,MATCH(L1170,Ottone!$A$1:$Z$1,0)-1))*IF(G1170="Ottone",1,0)</f>
        <v>0</v>
      </c>
      <c r="O1170" s="205">
        <f ca="1">IF(ISERROR(OFFSET(Rame!$A$1,MATCH(J1170,Rame!$A:$A,0)-1,MATCH(L1170,Rame!$A$1:$AA$1,0)-1)=TRUE),0,OFFSET(Rame!$A$1,MATCH(J1170,Rame!$A:$A,0)-1,MATCH(L1170,Rame!$A$1:$AA$1,0)-1))*IF(G1170="Rame",1,0)</f>
        <v>0</v>
      </c>
      <c r="P1170" s="205">
        <v>0</v>
      </c>
      <c r="Q1170" s="205">
        <f t="shared" ca="1" si="335"/>
        <v>0</v>
      </c>
      <c r="R1170" s="205">
        <f ca="1">+IF(ISERROR(OFFSET(Tabella!$G$1,MATCH(J1170,Tabella!$G:$G,0)-1,MATCH(K1170,Tabella!$G$1:$FG$1,0)-1)=TRUE),0,OFFSET(Tabella!$G$1,MATCH(J1170,Tabella!$G:$G,0)-1,MATCH(K1170,Tabella!$G$1:$AB$1,0)-1))</f>
        <v>0</v>
      </c>
      <c r="S1170" s="205">
        <f ca="1">IF(ISERROR(OFFSET(Ottone!$F$1,MATCH(J1170,Ottone!$A:$A,0)-1,MATCH(K1170,Ottone!$F$1:$FF$1,0)-1)=TRUE),0,OFFSET(Ottone!$F$1,MATCH(J1170,Ottone!$A:$A,0)-1,MATCH(K1170,Ottone!$F$1:$FF$1,0)-1))*IF(G1170="Ottone",1,0)</f>
        <v>0</v>
      </c>
      <c r="T1170" s="205">
        <f ca="1">IF(ISERROR(OFFSET(Rame!$F$1,MATCH(J1170,Rame!$F:$F,0)-1,MATCH(K1170,Rame!$F$1:$FF$1,0)-1)=TRUE),0,OFFSET(Rame!$F$1,MATCH(J1170,Rame!$F:$F,0)-1,MATCH(K1170,Rame!$F$1:$FF$1,0)-1))*IF(G1170="Rame",1,0)</f>
        <v>0</v>
      </c>
      <c r="U1170" s="205">
        <f ca="1">IF(ISERROR(OFFSET(Bronzo!$A$1,MATCH(J1170,Bronzo!$A:$A,0)-1,MATCH(K1170,Bronzo!$A$1:$AA$1,0)-1)=TRUE),0,OFFSET(Bronzo!$A$1,MATCH(J1170,Bronzo!$A:$A,0)-1,MATCH(K1170,Bronzo!$A$1:$AA$1,0)-1))</f>
        <v>0</v>
      </c>
      <c r="V1170" s="205">
        <f t="shared" ca="1" si="336"/>
        <v>0</v>
      </c>
      <c r="W1170" s="204"/>
      <c r="X1170" s="205">
        <v>0</v>
      </c>
      <c r="Y1170" s="206">
        <f t="shared" ca="1" si="337"/>
        <v>0</v>
      </c>
      <c r="Z1170" s="277">
        <f t="shared" si="338"/>
        <v>0</v>
      </c>
      <c r="AA1170" s="203"/>
      <c r="AB1170" s="203">
        <f t="shared" ca="1" si="339"/>
        <v>0</v>
      </c>
      <c r="AC1170" s="238"/>
      <c r="AI1170" s="367">
        <f t="shared" ca="1" si="334"/>
        <v>46092</v>
      </c>
      <c r="AJ1170" s="367" t="b">
        <f t="shared" si="328"/>
        <v>1</v>
      </c>
      <c r="AK1170" s="370" t="str">
        <f t="shared" si="329"/>
        <v/>
      </c>
      <c r="AN1170">
        <f t="shared" si="330"/>
        <v>0</v>
      </c>
      <c r="AO1170">
        <f t="shared" si="331"/>
        <v>1900</v>
      </c>
      <c r="AV1170">
        <f t="shared" si="332"/>
        <v>0</v>
      </c>
      <c r="AW1170">
        <f t="shared" si="333"/>
        <v>0</v>
      </c>
    </row>
    <row r="1171" spans="4:49" ht="15.75" x14ac:dyDescent="0.25">
      <c r="D1171" s="199"/>
      <c r="E1171" s="200"/>
      <c r="F1171" s="287"/>
      <c r="G1171" s="201"/>
      <c r="H1171" s="219"/>
      <c r="I1171" s="202"/>
      <c r="J1171" s="200"/>
      <c r="K1171" s="200"/>
      <c r="L1171" s="203"/>
      <c r="M1171" s="204">
        <f ca="1">IF(ISERROR(OFFSET(Tabella!$A$1,MATCH(J1171,Tabella!$A:$A,0)-1,MATCH(L1171,Tabella!$A$1:$AC$1,0)-1)=TRUE),0,+OFFSET(Tabella!$A$1,MATCH(J1171,Tabella!$A:$A,0)-1,MATCH(L1171,Tabella!$A$1:$AC$1,0)-1))</f>
        <v>0</v>
      </c>
      <c r="N1171" s="205">
        <f ca="1">IF(ISERROR(OFFSET(Ottone!$A$1,MATCH(J1171,Ottone!$A:$A,0)-1,MATCH(L1171,Ottone!$A$1:$Z$1,0)-1)=TRUE),0,OFFSET(Ottone!$A$1,MATCH(J1171,Ottone!$A:$A,0)-1,MATCH(L1171,Ottone!$A$1:$Z$1,0)-1))*IF(G1171="Ottone",1,0)</f>
        <v>0</v>
      </c>
      <c r="O1171" s="205">
        <f ca="1">IF(ISERROR(OFFSET(Rame!$A$1,MATCH(J1171,Rame!$A:$A,0)-1,MATCH(L1171,Rame!$A$1:$AA$1,0)-1)=TRUE),0,OFFSET(Rame!$A$1,MATCH(J1171,Rame!$A:$A,0)-1,MATCH(L1171,Rame!$A$1:$AA$1,0)-1))*IF(G1171="Rame",1,0)</f>
        <v>0</v>
      </c>
      <c r="P1171" s="205">
        <v>0</v>
      </c>
      <c r="Q1171" s="205">
        <f t="shared" ca="1" si="335"/>
        <v>0</v>
      </c>
      <c r="R1171" s="205">
        <f ca="1">+IF(ISERROR(OFFSET(Tabella!$G$1,MATCH(J1171,Tabella!$G:$G,0)-1,MATCH(K1171,Tabella!$G$1:$FG$1,0)-1)=TRUE),0,OFFSET(Tabella!$G$1,MATCH(J1171,Tabella!$G:$G,0)-1,MATCH(K1171,Tabella!$G$1:$AB$1,0)-1))</f>
        <v>0</v>
      </c>
      <c r="S1171" s="205">
        <f ca="1">IF(ISERROR(OFFSET(Ottone!$F$1,MATCH(J1171,Ottone!$A:$A,0)-1,MATCH(K1171,Ottone!$F$1:$FF$1,0)-1)=TRUE),0,OFFSET(Ottone!$F$1,MATCH(J1171,Ottone!$A:$A,0)-1,MATCH(K1171,Ottone!$F$1:$FF$1,0)-1))*IF(G1171="Ottone",1,0)</f>
        <v>0</v>
      </c>
      <c r="T1171" s="205">
        <f ca="1">IF(ISERROR(OFFSET(Rame!$F$1,MATCH(J1171,Rame!$F:$F,0)-1,MATCH(K1171,Rame!$F$1:$FF$1,0)-1)=TRUE),0,OFFSET(Rame!$F$1,MATCH(J1171,Rame!$F:$F,0)-1,MATCH(K1171,Rame!$F$1:$FF$1,0)-1))*IF(G1171="Rame",1,0)</f>
        <v>0</v>
      </c>
      <c r="U1171" s="205">
        <f ca="1">IF(ISERROR(OFFSET(Bronzo!$A$1,MATCH(J1171,Bronzo!$A:$A,0)-1,MATCH(K1171,Bronzo!$A$1:$AA$1,0)-1)=TRUE),0,OFFSET(Bronzo!$A$1,MATCH(J1171,Bronzo!$A:$A,0)-1,MATCH(K1171,Bronzo!$A$1:$AA$1,0)-1))</f>
        <v>0</v>
      </c>
      <c r="V1171" s="205">
        <f t="shared" ca="1" si="336"/>
        <v>0</v>
      </c>
      <c r="W1171" s="204"/>
      <c r="X1171" s="205">
        <v>0</v>
      </c>
      <c r="Y1171" s="206">
        <f t="shared" ca="1" si="337"/>
        <v>0</v>
      </c>
      <c r="Z1171" s="277">
        <f t="shared" si="338"/>
        <v>0</v>
      </c>
      <c r="AA1171" s="203"/>
      <c r="AB1171" s="203">
        <f t="shared" ca="1" si="339"/>
        <v>0</v>
      </c>
      <c r="AC1171" s="238"/>
      <c r="AI1171" s="367">
        <f t="shared" ca="1" si="334"/>
        <v>46092</v>
      </c>
      <c r="AJ1171" s="367" t="b">
        <f t="shared" si="328"/>
        <v>1</v>
      </c>
      <c r="AK1171" s="370" t="str">
        <f t="shared" si="329"/>
        <v/>
      </c>
      <c r="AN1171">
        <f t="shared" si="330"/>
        <v>0</v>
      </c>
      <c r="AO1171">
        <f t="shared" si="331"/>
        <v>1900</v>
      </c>
      <c r="AV1171">
        <f t="shared" si="332"/>
        <v>0</v>
      </c>
      <c r="AW1171">
        <f t="shared" si="333"/>
        <v>0</v>
      </c>
    </row>
    <row r="1172" spans="4:49" ht="15.75" x14ac:dyDescent="0.25">
      <c r="D1172" s="199"/>
      <c r="E1172" s="200"/>
      <c r="F1172" s="287"/>
      <c r="G1172" s="201"/>
      <c r="H1172" s="219"/>
      <c r="I1172" s="202"/>
      <c r="J1172" s="200"/>
      <c r="K1172" s="200"/>
      <c r="L1172" s="203"/>
      <c r="M1172" s="204">
        <f ca="1">IF(ISERROR(OFFSET(Tabella!$A$1,MATCH(J1172,Tabella!$A:$A,0)-1,MATCH(L1172,Tabella!$A$1:$AC$1,0)-1)=TRUE),0,+OFFSET(Tabella!$A$1,MATCH(J1172,Tabella!$A:$A,0)-1,MATCH(L1172,Tabella!$A$1:$AC$1,0)-1))</f>
        <v>0</v>
      </c>
      <c r="N1172" s="205">
        <f ca="1">IF(ISERROR(OFFSET(Ottone!$A$1,MATCH(J1172,Ottone!$A:$A,0)-1,MATCH(L1172,Ottone!$A$1:$Z$1,0)-1)=TRUE),0,OFFSET(Ottone!$A$1,MATCH(J1172,Ottone!$A:$A,0)-1,MATCH(L1172,Ottone!$A$1:$Z$1,0)-1))*IF(G1172="Ottone",1,0)</f>
        <v>0</v>
      </c>
      <c r="O1172" s="205">
        <f ca="1">IF(ISERROR(OFFSET(Rame!$A$1,MATCH(J1172,Rame!$A:$A,0)-1,MATCH(L1172,Rame!$A$1:$AA$1,0)-1)=TRUE),0,OFFSET(Rame!$A$1,MATCH(J1172,Rame!$A:$A,0)-1,MATCH(L1172,Rame!$A$1:$AA$1,0)-1))*IF(G1172="Rame",1,0)</f>
        <v>0</v>
      </c>
      <c r="P1172" s="205">
        <v>0</v>
      </c>
      <c r="Q1172" s="205">
        <f t="shared" ca="1" si="335"/>
        <v>0</v>
      </c>
      <c r="R1172" s="205">
        <f ca="1">+IF(ISERROR(OFFSET(Tabella!$G$1,MATCH(J1172,Tabella!$G:$G,0)-1,MATCH(K1172,Tabella!$G$1:$FG$1,0)-1)=TRUE),0,OFFSET(Tabella!$G$1,MATCH(J1172,Tabella!$G:$G,0)-1,MATCH(K1172,Tabella!$G$1:$AB$1,0)-1))</f>
        <v>0</v>
      </c>
      <c r="S1172" s="205">
        <f ca="1">IF(ISERROR(OFFSET(Ottone!$F$1,MATCH(J1172,Ottone!$A:$A,0)-1,MATCH(K1172,Ottone!$F$1:$FF$1,0)-1)=TRUE),0,OFFSET(Ottone!$F$1,MATCH(J1172,Ottone!$A:$A,0)-1,MATCH(K1172,Ottone!$F$1:$FF$1,0)-1))*IF(G1172="Ottone",1,0)</f>
        <v>0</v>
      </c>
      <c r="T1172" s="205">
        <f ca="1">IF(ISERROR(OFFSET(Rame!$F$1,MATCH(J1172,Rame!$F:$F,0)-1,MATCH(K1172,Rame!$F$1:$FF$1,0)-1)=TRUE),0,OFFSET(Rame!$F$1,MATCH(J1172,Rame!$F:$F,0)-1,MATCH(K1172,Rame!$F$1:$FF$1,0)-1))*IF(G1172="Rame",1,0)</f>
        <v>0</v>
      </c>
      <c r="U1172" s="205">
        <f ca="1">IF(ISERROR(OFFSET(Bronzo!$A$1,MATCH(J1172,Bronzo!$A:$A,0)-1,MATCH(K1172,Bronzo!$A$1:$AA$1,0)-1)=TRUE),0,OFFSET(Bronzo!$A$1,MATCH(J1172,Bronzo!$A:$A,0)-1,MATCH(K1172,Bronzo!$A$1:$AA$1,0)-1))</f>
        <v>0</v>
      </c>
      <c r="V1172" s="205">
        <f t="shared" ca="1" si="336"/>
        <v>0</v>
      </c>
      <c r="W1172" s="204"/>
      <c r="X1172" s="205">
        <v>0</v>
      </c>
      <c r="Y1172" s="206">
        <f t="shared" ca="1" si="337"/>
        <v>0</v>
      </c>
      <c r="Z1172" s="277">
        <f t="shared" si="338"/>
        <v>0</v>
      </c>
      <c r="AA1172" s="203"/>
      <c r="AB1172" s="203">
        <f t="shared" ca="1" si="339"/>
        <v>0</v>
      </c>
      <c r="AC1172" s="238"/>
      <c r="AI1172" s="367">
        <f t="shared" ca="1" si="334"/>
        <v>46092</v>
      </c>
      <c r="AJ1172" s="367" t="b">
        <f t="shared" si="328"/>
        <v>1</v>
      </c>
      <c r="AK1172" s="370" t="str">
        <f t="shared" si="329"/>
        <v/>
      </c>
      <c r="AN1172">
        <f t="shared" si="330"/>
        <v>0</v>
      </c>
      <c r="AO1172">
        <f t="shared" si="331"/>
        <v>1900</v>
      </c>
      <c r="AV1172">
        <f t="shared" si="332"/>
        <v>0</v>
      </c>
      <c r="AW1172">
        <f t="shared" si="333"/>
        <v>0</v>
      </c>
    </row>
    <row r="1173" spans="4:49" ht="15.75" x14ac:dyDescent="0.25">
      <c r="D1173" s="199"/>
      <c r="E1173" s="200"/>
      <c r="F1173" s="287"/>
      <c r="G1173" s="201"/>
      <c r="H1173" s="219"/>
      <c r="I1173" s="202"/>
      <c r="J1173" s="200"/>
      <c r="K1173" s="200"/>
      <c r="L1173" s="203"/>
      <c r="M1173" s="204">
        <f ca="1">IF(ISERROR(OFFSET(Tabella!$A$1,MATCH(J1173,Tabella!$A:$A,0)-1,MATCH(L1173,Tabella!$A$1:$AC$1,0)-1)=TRUE),0,+OFFSET(Tabella!$A$1,MATCH(J1173,Tabella!$A:$A,0)-1,MATCH(L1173,Tabella!$A$1:$AC$1,0)-1))</f>
        <v>0</v>
      </c>
      <c r="N1173" s="205">
        <f ca="1">IF(ISERROR(OFFSET(Ottone!$A$1,MATCH(J1173,Ottone!$A:$A,0)-1,MATCH(L1173,Ottone!$A$1:$Z$1,0)-1)=TRUE),0,OFFSET(Ottone!$A$1,MATCH(J1173,Ottone!$A:$A,0)-1,MATCH(L1173,Ottone!$A$1:$Z$1,0)-1))*IF(G1173="Ottone",1,0)</f>
        <v>0</v>
      </c>
      <c r="O1173" s="205">
        <f ca="1">IF(ISERROR(OFFSET(Rame!$A$1,MATCH(J1173,Rame!$A:$A,0)-1,MATCH(L1173,Rame!$A$1:$AA$1,0)-1)=TRUE),0,OFFSET(Rame!$A$1,MATCH(J1173,Rame!$A:$A,0)-1,MATCH(L1173,Rame!$A$1:$AA$1,0)-1))*IF(G1173="Rame",1,0)</f>
        <v>0</v>
      </c>
      <c r="P1173" s="205">
        <v>0</v>
      </c>
      <c r="Q1173" s="205">
        <f t="shared" ca="1" si="335"/>
        <v>0</v>
      </c>
      <c r="R1173" s="205">
        <f ca="1">+IF(ISERROR(OFFSET(Tabella!$G$1,MATCH(J1173,Tabella!$G:$G,0)-1,MATCH(K1173,Tabella!$G$1:$FG$1,0)-1)=TRUE),0,OFFSET(Tabella!$G$1,MATCH(J1173,Tabella!$G:$G,0)-1,MATCH(K1173,Tabella!$G$1:$AB$1,0)-1))</f>
        <v>0</v>
      </c>
      <c r="S1173" s="205">
        <f ca="1">IF(ISERROR(OFFSET(Ottone!$F$1,MATCH(J1173,Ottone!$A:$A,0)-1,MATCH(K1173,Ottone!$F$1:$FF$1,0)-1)=TRUE),0,OFFSET(Ottone!$F$1,MATCH(J1173,Ottone!$A:$A,0)-1,MATCH(K1173,Ottone!$F$1:$FF$1,0)-1))*IF(G1173="Ottone",1,0)</f>
        <v>0</v>
      </c>
      <c r="T1173" s="205">
        <f ca="1">IF(ISERROR(OFFSET(Rame!$F$1,MATCH(J1173,Rame!$F:$F,0)-1,MATCH(K1173,Rame!$F$1:$FF$1,0)-1)=TRUE),0,OFFSET(Rame!$F$1,MATCH(J1173,Rame!$F:$F,0)-1,MATCH(K1173,Rame!$F$1:$FF$1,0)-1))*IF(G1173="Rame",1,0)</f>
        <v>0</v>
      </c>
      <c r="U1173" s="205">
        <f ca="1">IF(ISERROR(OFFSET(Bronzo!$A$1,MATCH(J1173,Bronzo!$A:$A,0)-1,MATCH(K1173,Bronzo!$A$1:$AA$1,0)-1)=TRUE),0,OFFSET(Bronzo!$A$1,MATCH(J1173,Bronzo!$A:$A,0)-1,MATCH(K1173,Bronzo!$A$1:$AA$1,0)-1))</f>
        <v>0</v>
      </c>
      <c r="V1173" s="205">
        <f t="shared" ca="1" si="336"/>
        <v>0</v>
      </c>
      <c r="W1173" s="204"/>
      <c r="X1173" s="205">
        <v>0</v>
      </c>
      <c r="Y1173" s="206">
        <f t="shared" ca="1" si="337"/>
        <v>0</v>
      </c>
      <c r="Z1173" s="277">
        <f t="shared" si="338"/>
        <v>0</v>
      </c>
      <c r="AA1173" s="203"/>
      <c r="AB1173" s="203">
        <f t="shared" ca="1" si="339"/>
        <v>0</v>
      </c>
      <c r="AC1173" s="238"/>
      <c r="AI1173" s="367">
        <f t="shared" ca="1" si="334"/>
        <v>46092</v>
      </c>
      <c r="AJ1173" s="367" t="b">
        <f t="shared" si="328"/>
        <v>1</v>
      </c>
      <c r="AK1173" s="370" t="str">
        <f t="shared" si="329"/>
        <v/>
      </c>
      <c r="AN1173">
        <f t="shared" si="330"/>
        <v>0</v>
      </c>
      <c r="AO1173">
        <f t="shared" si="331"/>
        <v>1900</v>
      </c>
      <c r="AV1173">
        <f t="shared" si="332"/>
        <v>0</v>
      </c>
      <c r="AW1173">
        <f t="shared" si="333"/>
        <v>0</v>
      </c>
    </row>
    <row r="1174" spans="4:49" ht="15.75" x14ac:dyDescent="0.25">
      <c r="D1174" s="199"/>
      <c r="E1174" s="200"/>
      <c r="F1174" s="287"/>
      <c r="G1174" s="201"/>
      <c r="H1174" s="219"/>
      <c r="I1174" s="202"/>
      <c r="J1174" s="200"/>
      <c r="K1174" s="200"/>
      <c r="L1174" s="203"/>
      <c r="M1174" s="204">
        <f ca="1">IF(ISERROR(OFFSET(Tabella!$A$1,MATCH(J1174,Tabella!$A:$A,0)-1,MATCH(L1174,Tabella!$A$1:$AC$1,0)-1)=TRUE),0,+OFFSET(Tabella!$A$1,MATCH(J1174,Tabella!$A:$A,0)-1,MATCH(L1174,Tabella!$A$1:$AC$1,0)-1))</f>
        <v>0</v>
      </c>
      <c r="N1174" s="205">
        <f ca="1">IF(ISERROR(OFFSET(Ottone!$A$1,MATCH(J1174,Ottone!$A:$A,0)-1,MATCH(L1174,Ottone!$A$1:$Z$1,0)-1)=TRUE),0,OFFSET(Ottone!$A$1,MATCH(J1174,Ottone!$A:$A,0)-1,MATCH(L1174,Ottone!$A$1:$Z$1,0)-1))*IF(G1174="Ottone",1,0)</f>
        <v>0</v>
      </c>
      <c r="O1174" s="205">
        <f ca="1">IF(ISERROR(OFFSET(Rame!$A$1,MATCH(J1174,Rame!$A:$A,0)-1,MATCH(L1174,Rame!$A$1:$AA$1,0)-1)=TRUE),0,OFFSET(Rame!$A$1,MATCH(J1174,Rame!$A:$A,0)-1,MATCH(L1174,Rame!$A$1:$AA$1,0)-1))*IF(G1174="Rame",1,0)</f>
        <v>0</v>
      </c>
      <c r="P1174" s="205">
        <v>0</v>
      </c>
      <c r="Q1174" s="205">
        <f t="shared" ca="1" si="335"/>
        <v>0</v>
      </c>
      <c r="R1174" s="205">
        <f ca="1">+IF(ISERROR(OFFSET(Tabella!$G$1,MATCH(J1174,Tabella!$G:$G,0)-1,MATCH(K1174,Tabella!$G$1:$FG$1,0)-1)=TRUE),0,OFFSET(Tabella!$G$1,MATCH(J1174,Tabella!$G:$G,0)-1,MATCH(K1174,Tabella!$G$1:$AB$1,0)-1))</f>
        <v>0</v>
      </c>
      <c r="S1174" s="205">
        <f ca="1">IF(ISERROR(OFFSET(Ottone!$F$1,MATCH(J1174,Ottone!$A:$A,0)-1,MATCH(K1174,Ottone!$F$1:$FF$1,0)-1)=TRUE),0,OFFSET(Ottone!$F$1,MATCH(J1174,Ottone!$A:$A,0)-1,MATCH(K1174,Ottone!$F$1:$FF$1,0)-1))*IF(G1174="Ottone",1,0)</f>
        <v>0</v>
      </c>
      <c r="T1174" s="205">
        <f ca="1">IF(ISERROR(OFFSET(Rame!$F$1,MATCH(J1174,Rame!$F:$F,0)-1,MATCH(K1174,Rame!$F$1:$FF$1,0)-1)=TRUE),0,OFFSET(Rame!$F$1,MATCH(J1174,Rame!$F:$F,0)-1,MATCH(K1174,Rame!$F$1:$FF$1,0)-1))*IF(G1174="Rame",1,0)</f>
        <v>0</v>
      </c>
      <c r="U1174" s="205">
        <f ca="1">IF(ISERROR(OFFSET(Bronzo!$A$1,MATCH(J1174,Bronzo!$A:$A,0)-1,MATCH(K1174,Bronzo!$A$1:$AA$1,0)-1)=TRUE),0,OFFSET(Bronzo!$A$1,MATCH(J1174,Bronzo!$A:$A,0)-1,MATCH(K1174,Bronzo!$A$1:$AA$1,0)-1))</f>
        <v>0</v>
      </c>
      <c r="V1174" s="205">
        <f t="shared" ca="1" si="336"/>
        <v>0</v>
      </c>
      <c r="W1174" s="204"/>
      <c r="X1174" s="205">
        <v>0</v>
      </c>
      <c r="Y1174" s="206">
        <f t="shared" ca="1" si="337"/>
        <v>0</v>
      </c>
      <c r="Z1174" s="277">
        <f t="shared" si="338"/>
        <v>0</v>
      </c>
      <c r="AA1174" s="203"/>
      <c r="AB1174" s="203">
        <f t="shared" ca="1" si="339"/>
        <v>0</v>
      </c>
      <c r="AC1174" s="238"/>
      <c r="AI1174" s="367">
        <f t="shared" ca="1" si="334"/>
        <v>46092</v>
      </c>
      <c r="AJ1174" s="367" t="b">
        <f t="shared" si="328"/>
        <v>1</v>
      </c>
      <c r="AK1174" s="370" t="str">
        <f t="shared" si="329"/>
        <v/>
      </c>
      <c r="AN1174">
        <f t="shared" si="330"/>
        <v>0</v>
      </c>
      <c r="AO1174">
        <f t="shared" si="331"/>
        <v>1900</v>
      </c>
      <c r="AV1174">
        <f t="shared" si="332"/>
        <v>0</v>
      </c>
      <c r="AW1174">
        <f t="shared" si="333"/>
        <v>0</v>
      </c>
    </row>
    <row r="1175" spans="4:49" ht="15.75" x14ac:dyDescent="0.25">
      <c r="D1175" s="199"/>
      <c r="E1175" s="200"/>
      <c r="F1175" s="287"/>
      <c r="G1175" s="201"/>
      <c r="H1175" s="219"/>
      <c r="I1175" s="202"/>
      <c r="J1175" s="200"/>
      <c r="K1175" s="200"/>
      <c r="L1175" s="203"/>
      <c r="M1175" s="204">
        <f ca="1">IF(ISERROR(OFFSET(Tabella!$A$1,MATCH(J1175,Tabella!$A:$A,0)-1,MATCH(L1175,Tabella!$A$1:$AC$1,0)-1)=TRUE),0,+OFFSET(Tabella!$A$1,MATCH(J1175,Tabella!$A:$A,0)-1,MATCH(L1175,Tabella!$A$1:$AC$1,0)-1))</f>
        <v>0</v>
      </c>
      <c r="N1175" s="205">
        <f ca="1">IF(ISERROR(OFFSET(Ottone!$A$1,MATCH(J1175,Ottone!$A:$A,0)-1,MATCH(L1175,Ottone!$A$1:$Z$1,0)-1)=TRUE),0,OFFSET(Ottone!$A$1,MATCH(J1175,Ottone!$A:$A,0)-1,MATCH(L1175,Ottone!$A$1:$Z$1,0)-1))*IF(G1175="Ottone",1,0)</f>
        <v>0</v>
      </c>
      <c r="O1175" s="205">
        <f ca="1">IF(ISERROR(OFFSET(Rame!$A$1,MATCH(J1175,Rame!$A:$A,0)-1,MATCH(L1175,Rame!$A$1:$AA$1,0)-1)=TRUE),0,OFFSET(Rame!$A$1,MATCH(J1175,Rame!$A:$A,0)-1,MATCH(L1175,Rame!$A$1:$AA$1,0)-1))*IF(G1175="Rame",1,0)</f>
        <v>0</v>
      </c>
      <c r="P1175" s="205">
        <v>0</v>
      </c>
      <c r="Q1175" s="205">
        <f t="shared" ca="1" si="335"/>
        <v>0</v>
      </c>
      <c r="R1175" s="205">
        <f ca="1">+IF(ISERROR(OFFSET(Tabella!$G$1,MATCH(J1175,Tabella!$G:$G,0)-1,MATCH(K1175,Tabella!$G$1:$FG$1,0)-1)=TRUE),0,OFFSET(Tabella!$G$1,MATCH(J1175,Tabella!$G:$G,0)-1,MATCH(K1175,Tabella!$G$1:$AB$1,0)-1))</f>
        <v>0</v>
      </c>
      <c r="S1175" s="205">
        <f ca="1">IF(ISERROR(OFFSET(Ottone!$F$1,MATCH(J1175,Ottone!$A:$A,0)-1,MATCH(K1175,Ottone!$F$1:$FF$1,0)-1)=TRUE),0,OFFSET(Ottone!$F$1,MATCH(J1175,Ottone!$A:$A,0)-1,MATCH(K1175,Ottone!$F$1:$FF$1,0)-1))*IF(G1175="Ottone",1,0)</f>
        <v>0</v>
      </c>
      <c r="T1175" s="205">
        <f ca="1">IF(ISERROR(OFFSET(Rame!$F$1,MATCH(J1175,Rame!$F:$F,0)-1,MATCH(K1175,Rame!$F$1:$FF$1,0)-1)=TRUE),0,OFFSET(Rame!$F$1,MATCH(J1175,Rame!$F:$F,0)-1,MATCH(K1175,Rame!$F$1:$FF$1,0)-1))*IF(G1175="Rame",1,0)</f>
        <v>0</v>
      </c>
      <c r="U1175" s="205">
        <f ca="1">IF(ISERROR(OFFSET(Bronzo!$A$1,MATCH(J1175,Bronzo!$A:$A,0)-1,MATCH(K1175,Bronzo!$A$1:$AA$1,0)-1)=TRUE),0,OFFSET(Bronzo!$A$1,MATCH(J1175,Bronzo!$A:$A,0)-1,MATCH(K1175,Bronzo!$A$1:$AA$1,0)-1))</f>
        <v>0</v>
      </c>
      <c r="V1175" s="205">
        <f t="shared" ca="1" si="336"/>
        <v>0</v>
      </c>
      <c r="W1175" s="204"/>
      <c r="X1175" s="205">
        <v>0</v>
      </c>
      <c r="Y1175" s="206">
        <f t="shared" ca="1" si="337"/>
        <v>0</v>
      </c>
      <c r="Z1175" s="277">
        <f t="shared" si="338"/>
        <v>0</v>
      </c>
      <c r="AA1175" s="203"/>
      <c r="AB1175" s="203">
        <f t="shared" ca="1" si="339"/>
        <v>0</v>
      </c>
      <c r="AC1175" s="238"/>
      <c r="AI1175" s="367">
        <f t="shared" ca="1" si="334"/>
        <v>46092</v>
      </c>
      <c r="AJ1175" s="367" t="b">
        <f t="shared" si="328"/>
        <v>1</v>
      </c>
      <c r="AK1175" s="370" t="str">
        <f t="shared" si="329"/>
        <v/>
      </c>
      <c r="AN1175">
        <f t="shared" si="330"/>
        <v>0</v>
      </c>
      <c r="AO1175">
        <f t="shared" si="331"/>
        <v>1900</v>
      </c>
      <c r="AV1175">
        <f t="shared" si="332"/>
        <v>0</v>
      </c>
      <c r="AW1175">
        <f t="shared" si="333"/>
        <v>0</v>
      </c>
    </row>
    <row r="1176" spans="4:49" ht="15.75" x14ac:dyDescent="0.25">
      <c r="D1176" s="199"/>
      <c r="E1176" s="200"/>
      <c r="F1176" s="287"/>
      <c r="G1176" s="201"/>
      <c r="H1176" s="219"/>
      <c r="I1176" s="202"/>
      <c r="J1176" s="200"/>
      <c r="K1176" s="200"/>
      <c r="L1176" s="203"/>
      <c r="M1176" s="204">
        <f ca="1">IF(ISERROR(OFFSET(Tabella!$A$1,MATCH(J1176,Tabella!$A:$A,0)-1,MATCH(L1176,Tabella!$A$1:$AC$1,0)-1)=TRUE),0,+OFFSET(Tabella!$A$1,MATCH(J1176,Tabella!$A:$A,0)-1,MATCH(L1176,Tabella!$A$1:$AC$1,0)-1))</f>
        <v>0</v>
      </c>
      <c r="N1176" s="205">
        <f ca="1">IF(ISERROR(OFFSET(Ottone!$A$1,MATCH(J1176,Ottone!$A:$A,0)-1,MATCH(L1176,Ottone!$A$1:$Z$1,0)-1)=TRUE),0,OFFSET(Ottone!$A$1,MATCH(J1176,Ottone!$A:$A,0)-1,MATCH(L1176,Ottone!$A$1:$Z$1,0)-1))*IF(G1176="Ottone",1,0)</f>
        <v>0</v>
      </c>
      <c r="O1176" s="205">
        <f ca="1">IF(ISERROR(OFFSET(Rame!$A$1,MATCH(J1176,Rame!$A:$A,0)-1,MATCH(L1176,Rame!$A$1:$AA$1,0)-1)=TRUE),0,OFFSET(Rame!$A$1,MATCH(J1176,Rame!$A:$A,0)-1,MATCH(L1176,Rame!$A$1:$AA$1,0)-1))*IF(G1176="Rame",1,0)</f>
        <v>0</v>
      </c>
      <c r="P1176" s="205">
        <v>0</v>
      </c>
      <c r="Q1176" s="205">
        <f t="shared" ca="1" si="335"/>
        <v>0</v>
      </c>
      <c r="R1176" s="205">
        <f ca="1">+IF(ISERROR(OFFSET(Tabella!$G$1,MATCH(J1176,Tabella!$G:$G,0)-1,MATCH(K1176,Tabella!$G$1:$FG$1,0)-1)=TRUE),0,OFFSET(Tabella!$G$1,MATCH(J1176,Tabella!$G:$G,0)-1,MATCH(K1176,Tabella!$G$1:$AB$1,0)-1))</f>
        <v>0</v>
      </c>
      <c r="S1176" s="205">
        <f ca="1">IF(ISERROR(OFFSET(Ottone!$F$1,MATCH(J1176,Ottone!$A:$A,0)-1,MATCH(K1176,Ottone!$F$1:$FF$1,0)-1)=TRUE),0,OFFSET(Ottone!$F$1,MATCH(J1176,Ottone!$A:$A,0)-1,MATCH(K1176,Ottone!$F$1:$FF$1,0)-1))*IF(G1176="Ottone",1,0)</f>
        <v>0</v>
      </c>
      <c r="T1176" s="205">
        <f ca="1">IF(ISERROR(OFFSET(Rame!$F$1,MATCH(J1176,Rame!$F:$F,0)-1,MATCH(K1176,Rame!$F$1:$FF$1,0)-1)=TRUE),0,OFFSET(Rame!$F$1,MATCH(J1176,Rame!$F:$F,0)-1,MATCH(K1176,Rame!$F$1:$FF$1,0)-1))*IF(G1176="Rame",1,0)</f>
        <v>0</v>
      </c>
      <c r="U1176" s="205">
        <f ca="1">IF(ISERROR(OFFSET(Bronzo!$A$1,MATCH(J1176,Bronzo!$A:$A,0)-1,MATCH(K1176,Bronzo!$A$1:$AA$1,0)-1)=TRUE),0,OFFSET(Bronzo!$A$1,MATCH(J1176,Bronzo!$A:$A,0)-1,MATCH(K1176,Bronzo!$A$1:$AA$1,0)-1))</f>
        <v>0</v>
      </c>
      <c r="V1176" s="205">
        <f t="shared" ca="1" si="336"/>
        <v>0</v>
      </c>
      <c r="W1176" s="204"/>
      <c r="X1176" s="205">
        <v>0</v>
      </c>
      <c r="Y1176" s="206">
        <f t="shared" ca="1" si="337"/>
        <v>0</v>
      </c>
      <c r="Z1176" s="277">
        <f t="shared" si="338"/>
        <v>0</v>
      </c>
      <c r="AA1176" s="203"/>
      <c r="AB1176" s="203">
        <f t="shared" ca="1" si="339"/>
        <v>0</v>
      </c>
      <c r="AC1176" s="238"/>
      <c r="AI1176" s="367">
        <f t="shared" ca="1" si="334"/>
        <v>46092</v>
      </c>
      <c r="AJ1176" s="367" t="b">
        <f t="shared" si="328"/>
        <v>1</v>
      </c>
      <c r="AK1176" s="370" t="str">
        <f t="shared" si="329"/>
        <v/>
      </c>
      <c r="AN1176">
        <f t="shared" si="330"/>
        <v>0</v>
      </c>
      <c r="AO1176">
        <f t="shared" si="331"/>
        <v>1900</v>
      </c>
      <c r="AV1176">
        <f t="shared" si="332"/>
        <v>0</v>
      </c>
      <c r="AW1176">
        <f t="shared" si="333"/>
        <v>0</v>
      </c>
    </row>
    <row r="1177" spans="4:49" ht="15.75" x14ac:dyDescent="0.25">
      <c r="D1177" s="199"/>
      <c r="E1177" s="200"/>
      <c r="F1177" s="287"/>
      <c r="G1177" s="201"/>
      <c r="H1177" s="219"/>
      <c r="I1177" s="202"/>
      <c r="J1177" s="200"/>
      <c r="K1177" s="200"/>
      <c r="L1177" s="203"/>
      <c r="M1177" s="204">
        <f ca="1">IF(ISERROR(OFFSET(Tabella!$A$1,MATCH(J1177,Tabella!$A:$A,0)-1,MATCH(L1177,Tabella!$A$1:$AC$1,0)-1)=TRUE),0,+OFFSET(Tabella!$A$1,MATCH(J1177,Tabella!$A:$A,0)-1,MATCH(L1177,Tabella!$A$1:$AC$1,0)-1))</f>
        <v>0</v>
      </c>
      <c r="N1177" s="205">
        <f ca="1">IF(ISERROR(OFFSET(Ottone!$A$1,MATCH(J1177,Ottone!$A:$A,0)-1,MATCH(L1177,Ottone!$A$1:$Z$1,0)-1)=TRUE),0,OFFSET(Ottone!$A$1,MATCH(J1177,Ottone!$A:$A,0)-1,MATCH(L1177,Ottone!$A$1:$Z$1,0)-1))*IF(G1177="Ottone",1,0)</f>
        <v>0</v>
      </c>
      <c r="O1177" s="205">
        <f ca="1">IF(ISERROR(OFFSET(Rame!$A$1,MATCH(J1177,Rame!$A:$A,0)-1,MATCH(L1177,Rame!$A$1:$AA$1,0)-1)=TRUE),0,OFFSET(Rame!$A$1,MATCH(J1177,Rame!$A:$A,0)-1,MATCH(L1177,Rame!$A$1:$AA$1,0)-1))*IF(G1177="Rame",1,0)</f>
        <v>0</v>
      </c>
      <c r="P1177" s="205">
        <v>0</v>
      </c>
      <c r="Q1177" s="205">
        <f t="shared" ca="1" si="335"/>
        <v>0</v>
      </c>
      <c r="R1177" s="205">
        <f ca="1">+IF(ISERROR(OFFSET(Tabella!$G$1,MATCH(J1177,Tabella!$G:$G,0)-1,MATCH(K1177,Tabella!$G$1:$FG$1,0)-1)=TRUE),0,OFFSET(Tabella!$G$1,MATCH(J1177,Tabella!$G:$G,0)-1,MATCH(K1177,Tabella!$G$1:$AB$1,0)-1))</f>
        <v>0</v>
      </c>
      <c r="S1177" s="205">
        <f ca="1">IF(ISERROR(OFFSET(Ottone!$F$1,MATCH(J1177,Ottone!$A:$A,0)-1,MATCH(K1177,Ottone!$F$1:$FF$1,0)-1)=TRUE),0,OFFSET(Ottone!$F$1,MATCH(J1177,Ottone!$A:$A,0)-1,MATCH(K1177,Ottone!$F$1:$FF$1,0)-1))*IF(G1177="Ottone",1,0)</f>
        <v>0</v>
      </c>
      <c r="T1177" s="205">
        <f ca="1">IF(ISERROR(OFFSET(Rame!$F$1,MATCH(J1177,Rame!$F:$F,0)-1,MATCH(K1177,Rame!$F$1:$FF$1,0)-1)=TRUE),0,OFFSET(Rame!$F$1,MATCH(J1177,Rame!$F:$F,0)-1,MATCH(K1177,Rame!$F$1:$FF$1,0)-1))*IF(G1177="Rame",1,0)</f>
        <v>0</v>
      </c>
      <c r="U1177" s="205">
        <f ca="1">IF(ISERROR(OFFSET(Bronzo!$A$1,MATCH(J1177,Bronzo!$A:$A,0)-1,MATCH(K1177,Bronzo!$A$1:$AA$1,0)-1)=TRUE),0,OFFSET(Bronzo!$A$1,MATCH(J1177,Bronzo!$A:$A,0)-1,MATCH(K1177,Bronzo!$A$1:$AA$1,0)-1))</f>
        <v>0</v>
      </c>
      <c r="V1177" s="205">
        <f t="shared" ca="1" si="336"/>
        <v>0</v>
      </c>
      <c r="W1177" s="204"/>
      <c r="X1177" s="205">
        <v>0</v>
      </c>
      <c r="Y1177" s="206">
        <f t="shared" ca="1" si="337"/>
        <v>0</v>
      </c>
      <c r="Z1177" s="277">
        <f t="shared" si="338"/>
        <v>0</v>
      </c>
      <c r="AA1177" s="203"/>
      <c r="AB1177" s="203">
        <f t="shared" ca="1" si="339"/>
        <v>0</v>
      </c>
      <c r="AC1177" s="238"/>
      <c r="AI1177" s="367">
        <f t="shared" ca="1" si="334"/>
        <v>46092</v>
      </c>
      <c r="AJ1177" s="367" t="b">
        <f t="shared" si="328"/>
        <v>1</v>
      </c>
      <c r="AK1177" s="370" t="str">
        <f t="shared" si="329"/>
        <v/>
      </c>
      <c r="AN1177">
        <f t="shared" si="330"/>
        <v>0</v>
      </c>
      <c r="AO1177">
        <f t="shared" si="331"/>
        <v>1900</v>
      </c>
      <c r="AV1177">
        <f t="shared" si="332"/>
        <v>0</v>
      </c>
      <c r="AW1177">
        <f t="shared" si="333"/>
        <v>0</v>
      </c>
    </row>
    <row r="1178" spans="4:49" ht="15.75" x14ac:dyDescent="0.25">
      <c r="D1178" s="199"/>
      <c r="E1178" s="200"/>
      <c r="F1178" s="287"/>
      <c r="G1178" s="201"/>
      <c r="H1178" s="219"/>
      <c r="I1178" s="202"/>
      <c r="J1178" s="200"/>
      <c r="K1178" s="200"/>
      <c r="L1178" s="203"/>
      <c r="M1178" s="204">
        <f ca="1">IF(ISERROR(OFFSET(Tabella!$A$1,MATCH(J1178,Tabella!$A:$A,0)-1,MATCH(L1178,Tabella!$A$1:$AC$1,0)-1)=TRUE),0,+OFFSET(Tabella!$A$1,MATCH(J1178,Tabella!$A:$A,0)-1,MATCH(L1178,Tabella!$A$1:$AC$1,0)-1))</f>
        <v>0</v>
      </c>
      <c r="N1178" s="205">
        <f ca="1">IF(ISERROR(OFFSET(Ottone!$A$1,MATCH(J1178,Ottone!$A:$A,0)-1,MATCH(L1178,Ottone!$A$1:$Z$1,0)-1)=TRUE),0,OFFSET(Ottone!$A$1,MATCH(J1178,Ottone!$A:$A,0)-1,MATCH(L1178,Ottone!$A$1:$Z$1,0)-1))*IF(G1178="Ottone",1,0)</f>
        <v>0</v>
      </c>
      <c r="O1178" s="205">
        <f ca="1">IF(ISERROR(OFFSET(Rame!$A$1,MATCH(J1178,Rame!$A:$A,0)-1,MATCH(L1178,Rame!$A$1:$AA$1,0)-1)=TRUE),0,OFFSET(Rame!$A$1,MATCH(J1178,Rame!$A:$A,0)-1,MATCH(L1178,Rame!$A$1:$AA$1,0)-1))*IF(G1178="Rame",1,0)</f>
        <v>0</v>
      </c>
      <c r="P1178" s="205">
        <v>0</v>
      </c>
      <c r="Q1178" s="205">
        <f t="shared" ca="1" si="335"/>
        <v>0</v>
      </c>
      <c r="R1178" s="205">
        <f ca="1">+IF(ISERROR(OFFSET(Tabella!$G$1,MATCH(J1178,Tabella!$G:$G,0)-1,MATCH(K1178,Tabella!$G$1:$FG$1,0)-1)=TRUE),0,OFFSET(Tabella!$G$1,MATCH(J1178,Tabella!$G:$G,0)-1,MATCH(K1178,Tabella!$G$1:$AB$1,0)-1))</f>
        <v>0</v>
      </c>
      <c r="S1178" s="205">
        <f ca="1">IF(ISERROR(OFFSET(Ottone!$F$1,MATCH(J1178,Ottone!$A:$A,0)-1,MATCH(K1178,Ottone!$F$1:$FF$1,0)-1)=TRUE),0,OFFSET(Ottone!$F$1,MATCH(J1178,Ottone!$A:$A,0)-1,MATCH(K1178,Ottone!$F$1:$FF$1,0)-1))*IF(G1178="Ottone",1,0)</f>
        <v>0</v>
      </c>
      <c r="T1178" s="205">
        <f ca="1">IF(ISERROR(OFFSET(Rame!$F$1,MATCH(J1178,Rame!$F:$F,0)-1,MATCH(K1178,Rame!$F$1:$FF$1,0)-1)=TRUE),0,OFFSET(Rame!$F$1,MATCH(J1178,Rame!$F:$F,0)-1,MATCH(K1178,Rame!$F$1:$FF$1,0)-1))*IF(G1178="Rame",1,0)</f>
        <v>0</v>
      </c>
      <c r="U1178" s="205">
        <f ca="1">IF(ISERROR(OFFSET(Bronzo!$A$1,MATCH(J1178,Bronzo!$A:$A,0)-1,MATCH(K1178,Bronzo!$A$1:$AA$1,0)-1)=TRUE),0,OFFSET(Bronzo!$A$1,MATCH(J1178,Bronzo!$A:$A,0)-1,MATCH(K1178,Bronzo!$A$1:$AA$1,0)-1))</f>
        <v>0</v>
      </c>
      <c r="V1178" s="205">
        <f t="shared" ca="1" si="336"/>
        <v>0</v>
      </c>
      <c r="W1178" s="204"/>
      <c r="X1178" s="205">
        <v>0</v>
      </c>
      <c r="Y1178" s="206">
        <f t="shared" ca="1" si="337"/>
        <v>0</v>
      </c>
      <c r="Z1178" s="277">
        <f t="shared" si="338"/>
        <v>0</v>
      </c>
      <c r="AA1178" s="203"/>
      <c r="AB1178" s="203">
        <f t="shared" ca="1" si="339"/>
        <v>0</v>
      </c>
      <c r="AC1178" s="238"/>
      <c r="AI1178" s="367">
        <f t="shared" ca="1" si="334"/>
        <v>46092</v>
      </c>
      <c r="AJ1178" s="367" t="b">
        <f t="shared" si="328"/>
        <v>1</v>
      </c>
      <c r="AK1178" s="370" t="str">
        <f t="shared" si="329"/>
        <v/>
      </c>
      <c r="AN1178">
        <f t="shared" si="330"/>
        <v>0</v>
      </c>
      <c r="AO1178">
        <f t="shared" si="331"/>
        <v>1900</v>
      </c>
      <c r="AV1178">
        <f t="shared" si="332"/>
        <v>0</v>
      </c>
      <c r="AW1178">
        <f t="shared" si="333"/>
        <v>0</v>
      </c>
    </row>
    <row r="1179" spans="4:49" ht="15.75" x14ac:dyDescent="0.25">
      <c r="D1179" s="199"/>
      <c r="E1179" s="200"/>
      <c r="F1179" s="287"/>
      <c r="G1179" s="201"/>
      <c r="H1179" s="219"/>
      <c r="I1179" s="202"/>
      <c r="J1179" s="200"/>
      <c r="K1179" s="200"/>
      <c r="L1179" s="203"/>
      <c r="M1179" s="204">
        <f ca="1">IF(ISERROR(OFFSET(Tabella!$A$1,MATCH(J1179,Tabella!$A:$A,0)-1,MATCH(L1179,Tabella!$A$1:$AC$1,0)-1)=TRUE),0,+OFFSET(Tabella!$A$1,MATCH(J1179,Tabella!$A:$A,0)-1,MATCH(L1179,Tabella!$A$1:$AC$1,0)-1))</f>
        <v>0</v>
      </c>
      <c r="N1179" s="205">
        <f ca="1">IF(ISERROR(OFFSET(Ottone!$A$1,MATCH(J1179,Ottone!$A:$A,0)-1,MATCH(L1179,Ottone!$A$1:$Z$1,0)-1)=TRUE),0,OFFSET(Ottone!$A$1,MATCH(J1179,Ottone!$A:$A,0)-1,MATCH(L1179,Ottone!$A$1:$Z$1,0)-1))*IF(G1179="Ottone",1,0)</f>
        <v>0</v>
      </c>
      <c r="O1179" s="205">
        <f ca="1">IF(ISERROR(OFFSET(Rame!$A$1,MATCH(J1179,Rame!$A:$A,0)-1,MATCH(L1179,Rame!$A$1:$AA$1,0)-1)=TRUE),0,OFFSET(Rame!$A$1,MATCH(J1179,Rame!$A:$A,0)-1,MATCH(L1179,Rame!$A$1:$AA$1,0)-1))*IF(G1179="Rame",1,0)</f>
        <v>0</v>
      </c>
      <c r="P1179" s="205">
        <v>0</v>
      </c>
      <c r="Q1179" s="205">
        <f t="shared" ca="1" si="335"/>
        <v>0</v>
      </c>
      <c r="R1179" s="205">
        <f ca="1">+IF(ISERROR(OFFSET(Tabella!$G$1,MATCH(J1179,Tabella!$G:$G,0)-1,MATCH(K1179,Tabella!$G$1:$FG$1,0)-1)=TRUE),0,OFFSET(Tabella!$G$1,MATCH(J1179,Tabella!$G:$G,0)-1,MATCH(K1179,Tabella!$G$1:$AB$1,0)-1))</f>
        <v>0</v>
      </c>
      <c r="S1179" s="205">
        <f ca="1">IF(ISERROR(OFFSET(Ottone!$F$1,MATCH(J1179,Ottone!$A:$A,0)-1,MATCH(K1179,Ottone!$F$1:$FF$1,0)-1)=TRUE),0,OFFSET(Ottone!$F$1,MATCH(J1179,Ottone!$A:$A,0)-1,MATCH(K1179,Ottone!$F$1:$FF$1,0)-1))*IF(G1179="Ottone",1,0)</f>
        <v>0</v>
      </c>
      <c r="T1179" s="205">
        <f ca="1">IF(ISERROR(OFFSET(Rame!$F$1,MATCH(J1179,Rame!$F:$F,0)-1,MATCH(K1179,Rame!$F$1:$FF$1,0)-1)=TRUE),0,OFFSET(Rame!$F$1,MATCH(J1179,Rame!$F:$F,0)-1,MATCH(K1179,Rame!$F$1:$FF$1,0)-1))*IF(G1179="Rame",1,0)</f>
        <v>0</v>
      </c>
      <c r="U1179" s="205">
        <f ca="1">IF(ISERROR(OFFSET(Bronzo!$A$1,MATCH(J1179,Bronzo!$A:$A,0)-1,MATCH(K1179,Bronzo!$A$1:$AA$1,0)-1)=TRUE),0,OFFSET(Bronzo!$A$1,MATCH(J1179,Bronzo!$A:$A,0)-1,MATCH(K1179,Bronzo!$A$1:$AA$1,0)-1))</f>
        <v>0</v>
      </c>
      <c r="V1179" s="205">
        <f t="shared" ca="1" si="336"/>
        <v>0</v>
      </c>
      <c r="W1179" s="204"/>
      <c r="X1179" s="205">
        <v>0</v>
      </c>
      <c r="Y1179" s="206">
        <f t="shared" ca="1" si="337"/>
        <v>0</v>
      </c>
      <c r="Z1179" s="277">
        <f t="shared" si="338"/>
        <v>0</v>
      </c>
      <c r="AA1179" s="203"/>
      <c r="AB1179" s="203">
        <f t="shared" ca="1" si="339"/>
        <v>0</v>
      </c>
      <c r="AC1179" s="238"/>
      <c r="AI1179" s="367">
        <f t="shared" ca="1" si="334"/>
        <v>46092</v>
      </c>
      <c r="AJ1179" s="367" t="b">
        <f t="shared" si="328"/>
        <v>1</v>
      </c>
      <c r="AK1179" s="370" t="str">
        <f t="shared" si="329"/>
        <v/>
      </c>
      <c r="AN1179">
        <f t="shared" si="330"/>
        <v>0</v>
      </c>
      <c r="AO1179">
        <f t="shared" si="331"/>
        <v>1900</v>
      </c>
      <c r="AV1179">
        <f t="shared" si="332"/>
        <v>0</v>
      </c>
      <c r="AW1179">
        <f t="shared" si="333"/>
        <v>0</v>
      </c>
    </row>
    <row r="1180" spans="4:49" ht="15.75" x14ac:dyDescent="0.25">
      <c r="D1180" s="199"/>
      <c r="E1180" s="200"/>
      <c r="F1180" s="287"/>
      <c r="G1180" s="201"/>
      <c r="H1180" s="219"/>
      <c r="I1180" s="202"/>
      <c r="J1180" s="200"/>
      <c r="K1180" s="200"/>
      <c r="L1180" s="203"/>
      <c r="M1180" s="204">
        <f ca="1">IF(ISERROR(OFFSET(Tabella!$A$1,MATCH(J1180,Tabella!$A:$A,0)-1,MATCH(L1180,Tabella!$A$1:$AC$1,0)-1)=TRUE),0,+OFFSET(Tabella!$A$1,MATCH(J1180,Tabella!$A:$A,0)-1,MATCH(L1180,Tabella!$A$1:$AC$1,0)-1))</f>
        <v>0</v>
      </c>
      <c r="N1180" s="205">
        <f ca="1">IF(ISERROR(OFFSET(Ottone!$A$1,MATCH(J1180,Ottone!$A:$A,0)-1,MATCH(L1180,Ottone!$A$1:$Z$1,0)-1)=TRUE),0,OFFSET(Ottone!$A$1,MATCH(J1180,Ottone!$A:$A,0)-1,MATCH(L1180,Ottone!$A$1:$Z$1,0)-1))*IF(G1180="Ottone",1,0)</f>
        <v>0</v>
      </c>
      <c r="O1180" s="205">
        <f ca="1">IF(ISERROR(OFFSET(Rame!$A$1,MATCH(J1180,Rame!$A:$A,0)-1,MATCH(L1180,Rame!$A$1:$AA$1,0)-1)=TRUE),0,OFFSET(Rame!$A$1,MATCH(J1180,Rame!$A:$A,0)-1,MATCH(L1180,Rame!$A$1:$AA$1,0)-1))*IF(G1180="Rame",1,0)</f>
        <v>0</v>
      </c>
      <c r="P1180" s="205">
        <v>0</v>
      </c>
      <c r="Q1180" s="205">
        <f t="shared" ca="1" si="335"/>
        <v>0</v>
      </c>
      <c r="R1180" s="205">
        <f ca="1">+IF(ISERROR(OFFSET(Tabella!$G$1,MATCH(J1180,Tabella!$G:$G,0)-1,MATCH(K1180,Tabella!$G$1:$FG$1,0)-1)=TRUE),0,OFFSET(Tabella!$G$1,MATCH(J1180,Tabella!$G:$G,0)-1,MATCH(K1180,Tabella!$G$1:$AB$1,0)-1))</f>
        <v>0</v>
      </c>
      <c r="S1180" s="205">
        <f ca="1">IF(ISERROR(OFFSET(Ottone!$F$1,MATCH(J1180,Ottone!$A:$A,0)-1,MATCH(K1180,Ottone!$F$1:$FF$1,0)-1)=TRUE),0,OFFSET(Ottone!$F$1,MATCH(J1180,Ottone!$A:$A,0)-1,MATCH(K1180,Ottone!$F$1:$FF$1,0)-1))*IF(G1180="Ottone",1,0)</f>
        <v>0</v>
      </c>
      <c r="T1180" s="205">
        <f ca="1">IF(ISERROR(OFFSET(Rame!$F$1,MATCH(J1180,Rame!$F:$F,0)-1,MATCH(K1180,Rame!$F$1:$FF$1,0)-1)=TRUE),0,OFFSET(Rame!$F$1,MATCH(J1180,Rame!$F:$F,0)-1,MATCH(K1180,Rame!$F$1:$FF$1,0)-1))*IF(G1180="Rame",1,0)</f>
        <v>0</v>
      </c>
      <c r="U1180" s="205">
        <f ca="1">IF(ISERROR(OFFSET(Bronzo!$A$1,MATCH(J1180,Bronzo!$A:$A,0)-1,MATCH(K1180,Bronzo!$A$1:$AA$1,0)-1)=TRUE),0,OFFSET(Bronzo!$A$1,MATCH(J1180,Bronzo!$A:$A,0)-1,MATCH(K1180,Bronzo!$A$1:$AA$1,0)-1))</f>
        <v>0</v>
      </c>
      <c r="V1180" s="205">
        <f t="shared" ca="1" si="336"/>
        <v>0</v>
      </c>
      <c r="W1180" s="204"/>
      <c r="X1180" s="205">
        <v>0</v>
      </c>
      <c r="Y1180" s="206">
        <f t="shared" ca="1" si="337"/>
        <v>0</v>
      </c>
      <c r="Z1180" s="277">
        <f t="shared" si="338"/>
        <v>0</v>
      </c>
      <c r="AA1180" s="203"/>
      <c r="AB1180" s="203">
        <f t="shared" ca="1" si="339"/>
        <v>0</v>
      </c>
      <c r="AC1180" s="238"/>
      <c r="AI1180" s="367">
        <f t="shared" ca="1" si="334"/>
        <v>46092</v>
      </c>
      <c r="AJ1180" s="367" t="b">
        <f t="shared" si="328"/>
        <v>1</v>
      </c>
      <c r="AK1180" s="370" t="str">
        <f t="shared" si="329"/>
        <v/>
      </c>
      <c r="AN1180">
        <f t="shared" si="330"/>
        <v>0</v>
      </c>
      <c r="AO1180">
        <f t="shared" si="331"/>
        <v>1900</v>
      </c>
      <c r="AV1180">
        <f t="shared" si="332"/>
        <v>0</v>
      </c>
      <c r="AW1180">
        <f t="shared" si="333"/>
        <v>0</v>
      </c>
    </row>
    <row r="1181" spans="4:49" ht="15.75" x14ac:dyDescent="0.25">
      <c r="D1181" s="199"/>
      <c r="E1181" s="200"/>
      <c r="F1181" s="287"/>
      <c r="G1181" s="201"/>
      <c r="H1181" s="219"/>
      <c r="I1181" s="202"/>
      <c r="J1181" s="200"/>
      <c r="K1181" s="200"/>
      <c r="L1181" s="203"/>
      <c r="M1181" s="204">
        <f ca="1">IF(ISERROR(OFFSET(Tabella!$A$1,MATCH(J1181,Tabella!$A:$A,0)-1,MATCH(L1181,Tabella!$A$1:$AC$1,0)-1)=TRUE),0,+OFFSET(Tabella!$A$1,MATCH(J1181,Tabella!$A:$A,0)-1,MATCH(L1181,Tabella!$A$1:$AC$1,0)-1))</f>
        <v>0</v>
      </c>
      <c r="N1181" s="205">
        <f ca="1">IF(ISERROR(OFFSET(Ottone!$A$1,MATCH(J1181,Ottone!$A:$A,0)-1,MATCH(L1181,Ottone!$A$1:$Z$1,0)-1)=TRUE),0,OFFSET(Ottone!$A$1,MATCH(J1181,Ottone!$A:$A,0)-1,MATCH(L1181,Ottone!$A$1:$Z$1,0)-1))*IF(G1181="Ottone",1,0)</f>
        <v>0</v>
      </c>
      <c r="O1181" s="205">
        <f ca="1">IF(ISERROR(OFFSET(Rame!$A$1,MATCH(J1181,Rame!$A:$A,0)-1,MATCH(L1181,Rame!$A$1:$AA$1,0)-1)=TRUE),0,OFFSET(Rame!$A$1,MATCH(J1181,Rame!$A:$A,0)-1,MATCH(L1181,Rame!$A$1:$AA$1,0)-1))*IF(G1181="Rame",1,0)</f>
        <v>0</v>
      </c>
      <c r="P1181" s="205">
        <v>0</v>
      </c>
      <c r="Q1181" s="205">
        <f t="shared" ca="1" si="335"/>
        <v>0</v>
      </c>
      <c r="R1181" s="205">
        <f ca="1">+IF(ISERROR(OFFSET(Tabella!$G$1,MATCH(J1181,Tabella!$G:$G,0)-1,MATCH(K1181,Tabella!$G$1:$FG$1,0)-1)=TRUE),0,OFFSET(Tabella!$G$1,MATCH(J1181,Tabella!$G:$G,0)-1,MATCH(K1181,Tabella!$G$1:$AB$1,0)-1))</f>
        <v>0</v>
      </c>
      <c r="S1181" s="205">
        <f ca="1">IF(ISERROR(OFFSET(Ottone!$F$1,MATCH(J1181,Ottone!$A:$A,0)-1,MATCH(K1181,Ottone!$F$1:$FF$1,0)-1)=TRUE),0,OFFSET(Ottone!$F$1,MATCH(J1181,Ottone!$A:$A,0)-1,MATCH(K1181,Ottone!$F$1:$FF$1,0)-1))*IF(G1181="Ottone",1,0)</f>
        <v>0</v>
      </c>
      <c r="T1181" s="205">
        <f ca="1">IF(ISERROR(OFFSET(Rame!$F$1,MATCH(J1181,Rame!$F:$F,0)-1,MATCH(K1181,Rame!$F$1:$FF$1,0)-1)=TRUE),0,OFFSET(Rame!$F$1,MATCH(J1181,Rame!$F:$F,0)-1,MATCH(K1181,Rame!$F$1:$FF$1,0)-1))*IF(G1181="Rame",1,0)</f>
        <v>0</v>
      </c>
      <c r="U1181" s="205">
        <f ca="1">IF(ISERROR(OFFSET(Bronzo!$A$1,MATCH(J1181,Bronzo!$A:$A,0)-1,MATCH(K1181,Bronzo!$A$1:$AA$1,0)-1)=TRUE),0,OFFSET(Bronzo!$A$1,MATCH(J1181,Bronzo!$A:$A,0)-1,MATCH(K1181,Bronzo!$A$1:$AA$1,0)-1))</f>
        <v>0</v>
      </c>
      <c r="V1181" s="205">
        <f t="shared" ca="1" si="336"/>
        <v>0</v>
      </c>
      <c r="W1181" s="204"/>
      <c r="X1181" s="205">
        <v>0</v>
      </c>
      <c r="Y1181" s="206">
        <f t="shared" ca="1" si="337"/>
        <v>0</v>
      </c>
      <c r="Z1181" s="277">
        <f t="shared" si="338"/>
        <v>0</v>
      </c>
      <c r="AA1181" s="203"/>
      <c r="AB1181" s="203">
        <f t="shared" ca="1" si="339"/>
        <v>0</v>
      </c>
      <c r="AC1181" s="238"/>
      <c r="AI1181" s="367">
        <f t="shared" ca="1" si="334"/>
        <v>46092</v>
      </c>
      <c r="AJ1181" s="367" t="b">
        <f t="shared" si="328"/>
        <v>1</v>
      </c>
      <c r="AK1181" s="370" t="str">
        <f t="shared" si="329"/>
        <v/>
      </c>
      <c r="AN1181">
        <f t="shared" si="330"/>
        <v>0</v>
      </c>
      <c r="AO1181">
        <f t="shared" si="331"/>
        <v>1900</v>
      </c>
      <c r="AV1181">
        <f t="shared" si="332"/>
        <v>0</v>
      </c>
      <c r="AW1181">
        <f t="shared" si="333"/>
        <v>0</v>
      </c>
    </row>
    <row r="1182" spans="4:49" ht="15.75" x14ac:dyDescent="0.25">
      <c r="D1182" s="199"/>
      <c r="E1182" s="200"/>
      <c r="F1182" s="287"/>
      <c r="G1182" s="201"/>
      <c r="H1182" s="219"/>
      <c r="I1182" s="202"/>
      <c r="J1182" s="200"/>
      <c r="K1182" s="200"/>
      <c r="L1182" s="203"/>
      <c r="M1182" s="204">
        <f ca="1">IF(ISERROR(OFFSET(Tabella!$A$1,MATCH(J1182,Tabella!$A:$A,0)-1,MATCH(L1182,Tabella!$A$1:$AC$1,0)-1)=TRUE),0,+OFFSET(Tabella!$A$1,MATCH(J1182,Tabella!$A:$A,0)-1,MATCH(L1182,Tabella!$A$1:$AC$1,0)-1))</f>
        <v>0</v>
      </c>
      <c r="N1182" s="205">
        <f ca="1">IF(ISERROR(OFFSET(Ottone!$A$1,MATCH(J1182,Ottone!$A:$A,0)-1,MATCH(L1182,Ottone!$A$1:$Z$1,0)-1)=TRUE),0,OFFSET(Ottone!$A$1,MATCH(J1182,Ottone!$A:$A,0)-1,MATCH(L1182,Ottone!$A$1:$Z$1,0)-1))*IF(G1182="Ottone",1,0)</f>
        <v>0</v>
      </c>
      <c r="O1182" s="205">
        <f ca="1">IF(ISERROR(OFFSET(Rame!$A$1,MATCH(J1182,Rame!$A:$A,0)-1,MATCH(L1182,Rame!$A$1:$AA$1,0)-1)=TRUE),0,OFFSET(Rame!$A$1,MATCH(J1182,Rame!$A:$A,0)-1,MATCH(L1182,Rame!$A$1:$AA$1,0)-1))*IF(G1182="Rame",1,0)</f>
        <v>0</v>
      </c>
      <c r="P1182" s="205">
        <v>0</v>
      </c>
      <c r="Q1182" s="205">
        <f t="shared" ca="1" si="335"/>
        <v>0</v>
      </c>
      <c r="R1182" s="205">
        <f ca="1">+IF(ISERROR(OFFSET(Tabella!$G$1,MATCH(J1182,Tabella!$G:$G,0)-1,MATCH(K1182,Tabella!$G$1:$FG$1,0)-1)=TRUE),0,OFFSET(Tabella!$G$1,MATCH(J1182,Tabella!$G:$G,0)-1,MATCH(K1182,Tabella!$G$1:$AB$1,0)-1))</f>
        <v>0</v>
      </c>
      <c r="S1182" s="205">
        <f ca="1">IF(ISERROR(OFFSET(Ottone!$F$1,MATCH(J1182,Ottone!$A:$A,0)-1,MATCH(K1182,Ottone!$F$1:$FF$1,0)-1)=TRUE),0,OFFSET(Ottone!$F$1,MATCH(J1182,Ottone!$A:$A,0)-1,MATCH(K1182,Ottone!$F$1:$FF$1,0)-1))*IF(G1182="Ottone",1,0)</f>
        <v>0</v>
      </c>
      <c r="T1182" s="205">
        <f ca="1">IF(ISERROR(OFFSET(Rame!$F$1,MATCH(J1182,Rame!$F:$F,0)-1,MATCH(K1182,Rame!$F$1:$FF$1,0)-1)=TRUE),0,OFFSET(Rame!$F$1,MATCH(J1182,Rame!$F:$F,0)-1,MATCH(K1182,Rame!$F$1:$FF$1,0)-1))*IF(G1182="Rame",1,0)</f>
        <v>0</v>
      </c>
      <c r="U1182" s="205">
        <f ca="1">IF(ISERROR(OFFSET(Bronzo!$A$1,MATCH(J1182,Bronzo!$A:$A,0)-1,MATCH(K1182,Bronzo!$A$1:$AA$1,0)-1)=TRUE),0,OFFSET(Bronzo!$A$1,MATCH(J1182,Bronzo!$A:$A,0)-1,MATCH(K1182,Bronzo!$A$1:$AA$1,0)-1))</f>
        <v>0</v>
      </c>
      <c r="V1182" s="205">
        <f t="shared" ca="1" si="336"/>
        <v>0</v>
      </c>
      <c r="W1182" s="204"/>
      <c r="X1182" s="205">
        <v>0</v>
      </c>
      <c r="Y1182" s="206">
        <f t="shared" ca="1" si="337"/>
        <v>0</v>
      </c>
      <c r="Z1182" s="277">
        <f t="shared" si="338"/>
        <v>0</v>
      </c>
      <c r="AA1182" s="203"/>
      <c r="AB1182" s="203">
        <f t="shared" ca="1" si="339"/>
        <v>0</v>
      </c>
      <c r="AC1182" s="238"/>
      <c r="AI1182" s="367">
        <f t="shared" ca="1" si="334"/>
        <v>46092</v>
      </c>
      <c r="AJ1182" s="367" t="b">
        <f t="shared" si="328"/>
        <v>1</v>
      </c>
      <c r="AK1182" s="370" t="str">
        <f t="shared" si="329"/>
        <v/>
      </c>
      <c r="AN1182">
        <f t="shared" si="330"/>
        <v>0</v>
      </c>
      <c r="AO1182">
        <f t="shared" si="331"/>
        <v>1900</v>
      </c>
      <c r="AV1182">
        <f t="shared" si="332"/>
        <v>0</v>
      </c>
      <c r="AW1182">
        <f t="shared" si="333"/>
        <v>0</v>
      </c>
    </row>
    <row r="1183" spans="4:49" ht="15.75" x14ac:dyDescent="0.25">
      <c r="D1183" s="199"/>
      <c r="E1183" s="200"/>
      <c r="F1183" s="287"/>
      <c r="G1183" s="201"/>
      <c r="H1183" s="219"/>
      <c r="I1183" s="202"/>
      <c r="J1183" s="200"/>
      <c r="K1183" s="200"/>
      <c r="L1183" s="203"/>
      <c r="M1183" s="204">
        <f ca="1">IF(ISERROR(OFFSET(Tabella!$A$1,MATCH(J1183,Tabella!$A:$A,0)-1,MATCH(L1183,Tabella!$A$1:$AC$1,0)-1)=TRUE),0,+OFFSET(Tabella!$A$1,MATCH(J1183,Tabella!$A:$A,0)-1,MATCH(L1183,Tabella!$A$1:$AC$1,0)-1))</f>
        <v>0</v>
      </c>
      <c r="N1183" s="205">
        <f ca="1">IF(ISERROR(OFFSET(Ottone!$A$1,MATCH(J1183,Ottone!$A:$A,0)-1,MATCH(L1183,Ottone!$A$1:$Z$1,0)-1)=TRUE),0,OFFSET(Ottone!$A$1,MATCH(J1183,Ottone!$A:$A,0)-1,MATCH(L1183,Ottone!$A$1:$Z$1,0)-1))*IF(G1183="Ottone",1,0)</f>
        <v>0</v>
      </c>
      <c r="O1183" s="205">
        <f ca="1">IF(ISERROR(OFFSET(Rame!$A$1,MATCH(J1183,Rame!$A:$A,0)-1,MATCH(L1183,Rame!$A$1:$AA$1,0)-1)=TRUE),0,OFFSET(Rame!$A$1,MATCH(J1183,Rame!$A:$A,0)-1,MATCH(L1183,Rame!$A$1:$AA$1,0)-1))*IF(G1183="Rame",1,0)</f>
        <v>0</v>
      </c>
      <c r="P1183" s="205">
        <v>0</v>
      </c>
      <c r="Q1183" s="205">
        <f t="shared" ca="1" si="335"/>
        <v>0</v>
      </c>
      <c r="R1183" s="205">
        <f ca="1">+IF(ISERROR(OFFSET(Tabella!$G$1,MATCH(J1183,Tabella!$G:$G,0)-1,MATCH(K1183,Tabella!$G$1:$FG$1,0)-1)=TRUE),0,OFFSET(Tabella!$G$1,MATCH(J1183,Tabella!$G:$G,0)-1,MATCH(K1183,Tabella!$G$1:$AB$1,0)-1))</f>
        <v>0</v>
      </c>
      <c r="S1183" s="205">
        <f ca="1">IF(ISERROR(OFFSET(Ottone!$F$1,MATCH(J1183,Ottone!$A:$A,0)-1,MATCH(K1183,Ottone!$F$1:$FF$1,0)-1)=TRUE),0,OFFSET(Ottone!$F$1,MATCH(J1183,Ottone!$A:$A,0)-1,MATCH(K1183,Ottone!$F$1:$FF$1,0)-1))*IF(G1183="Ottone",1,0)</f>
        <v>0</v>
      </c>
      <c r="T1183" s="205">
        <f ca="1">IF(ISERROR(OFFSET(Rame!$F$1,MATCH(J1183,Rame!$F:$F,0)-1,MATCH(K1183,Rame!$F$1:$FF$1,0)-1)=TRUE),0,OFFSET(Rame!$F$1,MATCH(J1183,Rame!$F:$F,0)-1,MATCH(K1183,Rame!$F$1:$FF$1,0)-1))*IF(G1183="Rame",1,0)</f>
        <v>0</v>
      </c>
      <c r="U1183" s="205">
        <f ca="1">IF(ISERROR(OFFSET(Bronzo!$A$1,MATCH(J1183,Bronzo!$A:$A,0)-1,MATCH(K1183,Bronzo!$A$1:$AA$1,0)-1)=TRUE),0,OFFSET(Bronzo!$A$1,MATCH(J1183,Bronzo!$A:$A,0)-1,MATCH(K1183,Bronzo!$A$1:$AA$1,0)-1))</f>
        <v>0</v>
      </c>
      <c r="V1183" s="205">
        <f t="shared" ca="1" si="336"/>
        <v>0</v>
      </c>
      <c r="W1183" s="204"/>
      <c r="X1183" s="205">
        <v>0</v>
      </c>
      <c r="Y1183" s="206">
        <f t="shared" ca="1" si="337"/>
        <v>0</v>
      </c>
      <c r="Z1183" s="277">
        <f t="shared" si="338"/>
        <v>0</v>
      </c>
      <c r="AA1183" s="203"/>
      <c r="AB1183" s="203">
        <f t="shared" ca="1" si="339"/>
        <v>0</v>
      </c>
      <c r="AC1183" s="238"/>
      <c r="AI1183" s="367">
        <f t="shared" ca="1" si="334"/>
        <v>46092</v>
      </c>
      <c r="AJ1183" s="367" t="b">
        <f t="shared" si="328"/>
        <v>1</v>
      </c>
      <c r="AK1183" s="370" t="str">
        <f t="shared" si="329"/>
        <v/>
      </c>
      <c r="AN1183">
        <f t="shared" si="330"/>
        <v>0</v>
      </c>
      <c r="AO1183">
        <f t="shared" si="331"/>
        <v>1900</v>
      </c>
      <c r="AV1183">
        <f t="shared" si="332"/>
        <v>0</v>
      </c>
      <c r="AW1183">
        <f t="shared" si="333"/>
        <v>0</v>
      </c>
    </row>
    <row r="1184" spans="4:49" ht="15.75" x14ac:dyDescent="0.25">
      <c r="D1184" s="199"/>
      <c r="E1184" s="200"/>
      <c r="F1184" s="287"/>
      <c r="G1184" s="201"/>
      <c r="H1184" s="219"/>
      <c r="I1184" s="202"/>
      <c r="J1184" s="200"/>
      <c r="K1184" s="200"/>
      <c r="L1184" s="203"/>
      <c r="M1184" s="204">
        <f ca="1">IF(ISERROR(OFFSET(Tabella!$A$1,MATCH(J1184,Tabella!$A:$A,0)-1,MATCH(L1184,Tabella!$A$1:$AC$1,0)-1)=TRUE),0,+OFFSET(Tabella!$A$1,MATCH(J1184,Tabella!$A:$A,0)-1,MATCH(L1184,Tabella!$A$1:$AC$1,0)-1))</f>
        <v>0</v>
      </c>
      <c r="N1184" s="205">
        <f ca="1">IF(ISERROR(OFFSET(Ottone!$A$1,MATCH(J1184,Ottone!$A:$A,0)-1,MATCH(L1184,Ottone!$A$1:$Z$1,0)-1)=TRUE),0,OFFSET(Ottone!$A$1,MATCH(J1184,Ottone!$A:$A,0)-1,MATCH(L1184,Ottone!$A$1:$Z$1,0)-1))*IF(G1184="Ottone",1,0)</f>
        <v>0</v>
      </c>
      <c r="O1184" s="205">
        <f ca="1">IF(ISERROR(OFFSET(Rame!$A$1,MATCH(J1184,Rame!$A:$A,0)-1,MATCH(L1184,Rame!$A$1:$AA$1,0)-1)=TRUE),0,OFFSET(Rame!$A$1,MATCH(J1184,Rame!$A:$A,0)-1,MATCH(L1184,Rame!$A$1:$AA$1,0)-1))*IF(G1184="Rame",1,0)</f>
        <v>0</v>
      </c>
      <c r="P1184" s="205">
        <v>0</v>
      </c>
      <c r="Q1184" s="205">
        <f t="shared" ca="1" si="335"/>
        <v>0</v>
      </c>
      <c r="R1184" s="205">
        <f ca="1">+IF(ISERROR(OFFSET(Tabella!$G$1,MATCH(J1184,Tabella!$G:$G,0)-1,MATCH(K1184,Tabella!$G$1:$FG$1,0)-1)=TRUE),0,OFFSET(Tabella!$G$1,MATCH(J1184,Tabella!$G:$G,0)-1,MATCH(K1184,Tabella!$G$1:$AB$1,0)-1))</f>
        <v>0</v>
      </c>
      <c r="S1184" s="205">
        <f ca="1">IF(ISERROR(OFFSET(Ottone!$F$1,MATCH(J1184,Ottone!$A:$A,0)-1,MATCH(K1184,Ottone!$F$1:$FF$1,0)-1)=TRUE),0,OFFSET(Ottone!$F$1,MATCH(J1184,Ottone!$A:$A,0)-1,MATCH(K1184,Ottone!$F$1:$FF$1,0)-1))*IF(G1184="Ottone",1,0)</f>
        <v>0</v>
      </c>
      <c r="T1184" s="205">
        <f ca="1">IF(ISERROR(OFFSET(Rame!$F$1,MATCH(J1184,Rame!$F:$F,0)-1,MATCH(K1184,Rame!$F$1:$FF$1,0)-1)=TRUE),0,OFFSET(Rame!$F$1,MATCH(J1184,Rame!$F:$F,0)-1,MATCH(K1184,Rame!$F$1:$FF$1,0)-1))*IF(G1184="Rame",1,0)</f>
        <v>0</v>
      </c>
      <c r="U1184" s="205">
        <f ca="1">IF(ISERROR(OFFSET(Bronzo!$A$1,MATCH(J1184,Bronzo!$A:$A,0)-1,MATCH(K1184,Bronzo!$A$1:$AA$1,0)-1)=TRUE),0,OFFSET(Bronzo!$A$1,MATCH(J1184,Bronzo!$A:$A,0)-1,MATCH(K1184,Bronzo!$A$1:$AA$1,0)-1))</f>
        <v>0</v>
      </c>
      <c r="V1184" s="205">
        <f t="shared" ca="1" si="336"/>
        <v>0</v>
      </c>
      <c r="W1184" s="204"/>
      <c r="X1184" s="205">
        <v>0</v>
      </c>
      <c r="Y1184" s="206">
        <f t="shared" ca="1" si="337"/>
        <v>0</v>
      </c>
      <c r="Z1184" s="277">
        <f t="shared" si="338"/>
        <v>0</v>
      </c>
      <c r="AA1184" s="203"/>
      <c r="AB1184" s="203">
        <f t="shared" ca="1" si="339"/>
        <v>0</v>
      </c>
      <c r="AC1184" s="238"/>
      <c r="AI1184" s="367">
        <f t="shared" ca="1" si="334"/>
        <v>46092</v>
      </c>
      <c r="AJ1184" s="367" t="b">
        <f t="shared" ref="AJ1184:AJ1247" si="340">ISBLANK(AC1184)</f>
        <v>1</v>
      </c>
      <c r="AK1184" s="370" t="str">
        <f t="shared" ref="AK1184:AK1247" si="341">IF(AJ1184=FALSE,_xlfn.DAYS(AC1184,AI1184),"")</f>
        <v/>
      </c>
      <c r="AN1184">
        <f t="shared" ref="AN1184:AN1247" si="342">WEEKNUM(AC1184)</f>
        <v>0</v>
      </c>
      <c r="AO1184">
        <f t="shared" ref="AO1184:AO1247" si="343">YEAR(AC1184)</f>
        <v>1900</v>
      </c>
      <c r="AV1184">
        <f t="shared" si="332"/>
        <v>0</v>
      </c>
      <c r="AW1184">
        <f t="shared" si="333"/>
        <v>0</v>
      </c>
    </row>
    <row r="1185" spans="4:49" ht="15.75" x14ac:dyDescent="0.25">
      <c r="D1185" s="199"/>
      <c r="E1185" s="200"/>
      <c r="F1185" s="287"/>
      <c r="G1185" s="201"/>
      <c r="H1185" s="219"/>
      <c r="I1185" s="202"/>
      <c r="J1185" s="200"/>
      <c r="K1185" s="200"/>
      <c r="L1185" s="203"/>
      <c r="M1185" s="204">
        <f ca="1">IF(ISERROR(OFFSET(Tabella!$A$1,MATCH(J1185,Tabella!$A:$A,0)-1,MATCH(L1185,Tabella!$A$1:$AC$1,0)-1)=TRUE),0,+OFFSET(Tabella!$A$1,MATCH(J1185,Tabella!$A:$A,0)-1,MATCH(L1185,Tabella!$A$1:$AC$1,0)-1))</f>
        <v>0</v>
      </c>
      <c r="N1185" s="205">
        <f ca="1">IF(ISERROR(OFFSET(Ottone!$A$1,MATCH(J1185,Ottone!$A:$A,0)-1,MATCH(L1185,Ottone!$A$1:$Z$1,0)-1)=TRUE),0,OFFSET(Ottone!$A$1,MATCH(J1185,Ottone!$A:$A,0)-1,MATCH(L1185,Ottone!$A$1:$Z$1,0)-1))*IF(G1185="Ottone",1,0)</f>
        <v>0</v>
      </c>
      <c r="O1185" s="205">
        <f ca="1">IF(ISERROR(OFFSET(Rame!$A$1,MATCH(J1185,Rame!$A:$A,0)-1,MATCH(L1185,Rame!$A$1:$AA$1,0)-1)=TRUE),0,OFFSET(Rame!$A$1,MATCH(J1185,Rame!$A:$A,0)-1,MATCH(L1185,Rame!$A$1:$AA$1,0)-1))*IF(G1185="Rame",1,0)</f>
        <v>0</v>
      </c>
      <c r="P1185" s="205">
        <v>0</v>
      </c>
      <c r="Q1185" s="205">
        <f t="shared" ca="1" si="335"/>
        <v>0</v>
      </c>
      <c r="R1185" s="205">
        <f ca="1">+IF(ISERROR(OFFSET(Tabella!$G$1,MATCH(J1185,Tabella!$G:$G,0)-1,MATCH(K1185,Tabella!$G$1:$FG$1,0)-1)=TRUE),0,OFFSET(Tabella!$G$1,MATCH(J1185,Tabella!$G:$G,0)-1,MATCH(K1185,Tabella!$G$1:$AB$1,0)-1))</f>
        <v>0</v>
      </c>
      <c r="S1185" s="205">
        <f ca="1">IF(ISERROR(OFFSET(Ottone!$F$1,MATCH(J1185,Ottone!$A:$A,0)-1,MATCH(K1185,Ottone!$F$1:$FF$1,0)-1)=TRUE),0,OFFSET(Ottone!$F$1,MATCH(J1185,Ottone!$A:$A,0)-1,MATCH(K1185,Ottone!$F$1:$FF$1,0)-1))*IF(G1185="Ottone",1,0)</f>
        <v>0</v>
      </c>
      <c r="T1185" s="205">
        <f ca="1">IF(ISERROR(OFFSET(Rame!$F$1,MATCH(J1185,Rame!$F:$F,0)-1,MATCH(K1185,Rame!$F$1:$FF$1,0)-1)=TRUE),0,OFFSET(Rame!$F$1,MATCH(J1185,Rame!$F:$F,0)-1,MATCH(K1185,Rame!$F$1:$FF$1,0)-1))*IF(G1185="Rame",1,0)</f>
        <v>0</v>
      </c>
      <c r="U1185" s="205">
        <f ca="1">IF(ISERROR(OFFSET(Bronzo!$A$1,MATCH(J1185,Bronzo!$A:$A,0)-1,MATCH(K1185,Bronzo!$A$1:$AA$1,0)-1)=TRUE),0,OFFSET(Bronzo!$A$1,MATCH(J1185,Bronzo!$A:$A,0)-1,MATCH(K1185,Bronzo!$A$1:$AA$1,0)-1))</f>
        <v>0</v>
      </c>
      <c r="V1185" s="205">
        <f t="shared" ca="1" si="336"/>
        <v>0</v>
      </c>
      <c r="W1185" s="204"/>
      <c r="X1185" s="205">
        <v>0</v>
      </c>
      <c r="Y1185" s="206">
        <f t="shared" ca="1" si="337"/>
        <v>0</v>
      </c>
      <c r="Z1185" s="277">
        <f t="shared" si="338"/>
        <v>0</v>
      </c>
      <c r="AA1185" s="203"/>
      <c r="AB1185" s="203">
        <f t="shared" ca="1" si="339"/>
        <v>0</v>
      </c>
      <c r="AC1185" s="238"/>
      <c r="AI1185" s="367">
        <f t="shared" ca="1" si="334"/>
        <v>46092</v>
      </c>
      <c r="AJ1185" s="367" t="b">
        <f t="shared" si="340"/>
        <v>1</v>
      </c>
      <c r="AK1185" s="370" t="str">
        <f t="shared" si="341"/>
        <v/>
      </c>
      <c r="AN1185">
        <f t="shared" si="342"/>
        <v>0</v>
      </c>
      <c r="AO1185">
        <f t="shared" si="343"/>
        <v>1900</v>
      </c>
      <c r="AV1185">
        <f t="shared" si="332"/>
        <v>0</v>
      </c>
      <c r="AW1185">
        <f t="shared" si="333"/>
        <v>0</v>
      </c>
    </row>
    <row r="1186" spans="4:49" ht="15.75" x14ac:dyDescent="0.25">
      <c r="D1186" s="199"/>
      <c r="E1186" s="200"/>
      <c r="F1186" s="287"/>
      <c r="G1186" s="201"/>
      <c r="H1186" s="219"/>
      <c r="I1186" s="202"/>
      <c r="J1186" s="200"/>
      <c r="K1186" s="200"/>
      <c r="L1186" s="203"/>
      <c r="M1186" s="204">
        <f ca="1">IF(ISERROR(OFFSET(Tabella!$A$1,MATCH(J1186,Tabella!$A:$A,0)-1,MATCH(L1186,Tabella!$A$1:$AC$1,0)-1)=TRUE),0,+OFFSET(Tabella!$A$1,MATCH(J1186,Tabella!$A:$A,0)-1,MATCH(L1186,Tabella!$A$1:$AC$1,0)-1))</f>
        <v>0</v>
      </c>
      <c r="N1186" s="205">
        <f ca="1">IF(ISERROR(OFFSET(Ottone!$A$1,MATCH(J1186,Ottone!$A:$A,0)-1,MATCH(L1186,Ottone!$A$1:$Z$1,0)-1)=TRUE),0,OFFSET(Ottone!$A$1,MATCH(J1186,Ottone!$A:$A,0)-1,MATCH(L1186,Ottone!$A$1:$Z$1,0)-1))*IF(G1186="Ottone",1,0)</f>
        <v>0</v>
      </c>
      <c r="O1186" s="205">
        <f ca="1">IF(ISERROR(OFFSET(Rame!$A$1,MATCH(J1186,Rame!$A:$A,0)-1,MATCH(L1186,Rame!$A$1:$AA$1,0)-1)=TRUE),0,OFFSET(Rame!$A$1,MATCH(J1186,Rame!$A:$A,0)-1,MATCH(L1186,Rame!$A$1:$AA$1,0)-1))*IF(G1186="Rame",1,0)</f>
        <v>0</v>
      </c>
      <c r="P1186" s="205">
        <v>0</v>
      </c>
      <c r="Q1186" s="205">
        <f t="shared" ca="1" si="335"/>
        <v>0</v>
      </c>
      <c r="R1186" s="205">
        <f ca="1">+IF(ISERROR(OFFSET(Tabella!$G$1,MATCH(J1186,Tabella!$G:$G,0)-1,MATCH(K1186,Tabella!$G$1:$FG$1,0)-1)=TRUE),0,OFFSET(Tabella!$G$1,MATCH(J1186,Tabella!$G:$G,0)-1,MATCH(K1186,Tabella!$G$1:$AB$1,0)-1))</f>
        <v>0</v>
      </c>
      <c r="S1186" s="205">
        <f ca="1">IF(ISERROR(OFFSET(Ottone!$F$1,MATCH(J1186,Ottone!$A:$A,0)-1,MATCH(K1186,Ottone!$F$1:$FF$1,0)-1)=TRUE),0,OFFSET(Ottone!$F$1,MATCH(J1186,Ottone!$A:$A,0)-1,MATCH(K1186,Ottone!$F$1:$FF$1,0)-1))*IF(G1186="Ottone",1,0)</f>
        <v>0</v>
      </c>
      <c r="T1186" s="205">
        <f ca="1">IF(ISERROR(OFFSET(Rame!$F$1,MATCH(J1186,Rame!$F:$F,0)-1,MATCH(K1186,Rame!$F$1:$FF$1,0)-1)=TRUE),0,OFFSET(Rame!$F$1,MATCH(J1186,Rame!$F:$F,0)-1,MATCH(K1186,Rame!$F$1:$FF$1,0)-1))*IF(G1186="Rame",1,0)</f>
        <v>0</v>
      </c>
      <c r="U1186" s="205">
        <f ca="1">IF(ISERROR(OFFSET(Bronzo!$A$1,MATCH(J1186,Bronzo!$A:$A,0)-1,MATCH(K1186,Bronzo!$A$1:$AA$1,0)-1)=TRUE),0,OFFSET(Bronzo!$A$1,MATCH(J1186,Bronzo!$A:$A,0)-1,MATCH(K1186,Bronzo!$A$1:$AA$1,0)-1))</f>
        <v>0</v>
      </c>
      <c r="V1186" s="205">
        <f t="shared" ca="1" si="336"/>
        <v>0</v>
      </c>
      <c r="W1186" s="204"/>
      <c r="X1186" s="205">
        <v>0</v>
      </c>
      <c r="Y1186" s="206">
        <f t="shared" ca="1" si="337"/>
        <v>0</v>
      </c>
      <c r="Z1186" s="277">
        <f t="shared" si="338"/>
        <v>0</v>
      </c>
      <c r="AA1186" s="203"/>
      <c r="AB1186" s="203">
        <f t="shared" ca="1" si="339"/>
        <v>0</v>
      </c>
      <c r="AC1186" s="238"/>
      <c r="AI1186" s="367">
        <f t="shared" ca="1" si="334"/>
        <v>46092</v>
      </c>
      <c r="AJ1186" s="367" t="b">
        <f t="shared" si="340"/>
        <v>1</v>
      </c>
      <c r="AK1186" s="370" t="str">
        <f t="shared" si="341"/>
        <v/>
      </c>
      <c r="AN1186">
        <f t="shared" si="342"/>
        <v>0</v>
      </c>
      <c r="AO1186">
        <f t="shared" si="343"/>
        <v>1900</v>
      </c>
      <c r="AV1186">
        <f t="shared" si="332"/>
        <v>0</v>
      </c>
      <c r="AW1186">
        <f t="shared" si="333"/>
        <v>0</v>
      </c>
    </row>
    <row r="1187" spans="4:49" ht="15.75" x14ac:dyDescent="0.25">
      <c r="D1187" s="199"/>
      <c r="E1187" s="200"/>
      <c r="F1187" s="287"/>
      <c r="G1187" s="201"/>
      <c r="H1187" s="219"/>
      <c r="I1187" s="202"/>
      <c r="J1187" s="200"/>
      <c r="K1187" s="200"/>
      <c r="L1187" s="203"/>
      <c r="M1187" s="204">
        <f ca="1">IF(ISERROR(OFFSET(Tabella!$A$1,MATCH(J1187,Tabella!$A:$A,0)-1,MATCH(L1187,Tabella!$A$1:$AC$1,0)-1)=TRUE),0,+OFFSET(Tabella!$A$1,MATCH(J1187,Tabella!$A:$A,0)-1,MATCH(L1187,Tabella!$A$1:$AC$1,0)-1))</f>
        <v>0</v>
      </c>
      <c r="N1187" s="205">
        <f ca="1">IF(ISERROR(OFFSET(Ottone!$A$1,MATCH(J1187,Ottone!$A:$A,0)-1,MATCH(L1187,Ottone!$A$1:$Z$1,0)-1)=TRUE),0,OFFSET(Ottone!$A$1,MATCH(J1187,Ottone!$A:$A,0)-1,MATCH(L1187,Ottone!$A$1:$Z$1,0)-1))*IF(G1187="Ottone",1,0)</f>
        <v>0</v>
      </c>
      <c r="O1187" s="205">
        <f ca="1">IF(ISERROR(OFFSET(Rame!$A$1,MATCH(J1187,Rame!$A:$A,0)-1,MATCH(L1187,Rame!$A$1:$AA$1,0)-1)=TRUE),0,OFFSET(Rame!$A$1,MATCH(J1187,Rame!$A:$A,0)-1,MATCH(L1187,Rame!$A$1:$AA$1,0)-1))*IF(G1187="Rame",1,0)</f>
        <v>0</v>
      </c>
      <c r="P1187" s="205">
        <v>0</v>
      </c>
      <c r="Q1187" s="205">
        <f t="shared" ca="1" si="335"/>
        <v>0</v>
      </c>
      <c r="R1187" s="205">
        <f ca="1">+IF(ISERROR(OFFSET(Tabella!$G$1,MATCH(J1187,Tabella!$G:$G,0)-1,MATCH(K1187,Tabella!$G$1:$FG$1,0)-1)=TRUE),0,OFFSET(Tabella!$G$1,MATCH(J1187,Tabella!$G:$G,0)-1,MATCH(K1187,Tabella!$G$1:$AB$1,0)-1))</f>
        <v>0</v>
      </c>
      <c r="S1187" s="205">
        <f ca="1">IF(ISERROR(OFFSET(Ottone!$F$1,MATCH(J1187,Ottone!$A:$A,0)-1,MATCH(K1187,Ottone!$F$1:$FF$1,0)-1)=TRUE),0,OFFSET(Ottone!$F$1,MATCH(J1187,Ottone!$A:$A,0)-1,MATCH(K1187,Ottone!$F$1:$FF$1,0)-1))*IF(G1187="Ottone",1,0)</f>
        <v>0</v>
      </c>
      <c r="T1187" s="205">
        <f ca="1">IF(ISERROR(OFFSET(Rame!$F$1,MATCH(J1187,Rame!$F:$F,0)-1,MATCH(K1187,Rame!$F$1:$FF$1,0)-1)=TRUE),0,OFFSET(Rame!$F$1,MATCH(J1187,Rame!$F:$F,0)-1,MATCH(K1187,Rame!$F$1:$FF$1,0)-1))*IF(G1187="Rame",1,0)</f>
        <v>0</v>
      </c>
      <c r="U1187" s="205">
        <f ca="1">IF(ISERROR(OFFSET(Bronzo!$A$1,MATCH(J1187,Bronzo!$A:$A,0)-1,MATCH(K1187,Bronzo!$A$1:$AA$1,0)-1)=TRUE),0,OFFSET(Bronzo!$A$1,MATCH(J1187,Bronzo!$A:$A,0)-1,MATCH(K1187,Bronzo!$A$1:$AA$1,0)-1))</f>
        <v>0</v>
      </c>
      <c r="V1187" s="205">
        <f t="shared" ca="1" si="336"/>
        <v>0</v>
      </c>
      <c r="W1187" s="204"/>
      <c r="X1187" s="205">
        <v>0</v>
      </c>
      <c r="Y1187" s="206">
        <f t="shared" ca="1" si="337"/>
        <v>0</v>
      </c>
      <c r="Z1187" s="277">
        <f t="shared" si="338"/>
        <v>0</v>
      </c>
      <c r="AA1187" s="203"/>
      <c r="AB1187" s="203">
        <f t="shared" ca="1" si="339"/>
        <v>0</v>
      </c>
      <c r="AC1187" s="238"/>
      <c r="AI1187" s="367">
        <f t="shared" ca="1" si="334"/>
        <v>46092</v>
      </c>
      <c r="AJ1187" s="367" t="b">
        <f t="shared" si="340"/>
        <v>1</v>
      </c>
      <c r="AK1187" s="370" t="str">
        <f t="shared" si="341"/>
        <v/>
      </c>
      <c r="AN1187">
        <f t="shared" si="342"/>
        <v>0</v>
      </c>
      <c r="AO1187">
        <f t="shared" si="343"/>
        <v>1900</v>
      </c>
      <c r="AV1187">
        <f t="shared" si="332"/>
        <v>0</v>
      </c>
      <c r="AW1187">
        <f t="shared" si="333"/>
        <v>0</v>
      </c>
    </row>
    <row r="1188" spans="4:49" ht="15.75" x14ac:dyDescent="0.25">
      <c r="D1188" s="199"/>
      <c r="E1188" s="200"/>
      <c r="F1188" s="287"/>
      <c r="G1188" s="201"/>
      <c r="H1188" s="219"/>
      <c r="I1188" s="202"/>
      <c r="J1188" s="200"/>
      <c r="K1188" s="200"/>
      <c r="L1188" s="203"/>
      <c r="M1188" s="204">
        <f ca="1">IF(ISERROR(OFFSET(Tabella!$A$1,MATCH(J1188,Tabella!$A:$A,0)-1,MATCH(L1188,Tabella!$A$1:$AC$1,0)-1)=TRUE),0,+OFFSET(Tabella!$A$1,MATCH(J1188,Tabella!$A:$A,0)-1,MATCH(L1188,Tabella!$A$1:$AC$1,0)-1))</f>
        <v>0</v>
      </c>
      <c r="N1188" s="205">
        <f ca="1">IF(ISERROR(OFFSET(Ottone!$A$1,MATCH(J1188,Ottone!$A:$A,0)-1,MATCH(L1188,Ottone!$A$1:$Z$1,0)-1)=TRUE),0,OFFSET(Ottone!$A$1,MATCH(J1188,Ottone!$A:$A,0)-1,MATCH(L1188,Ottone!$A$1:$Z$1,0)-1))*IF(G1188="Ottone",1,0)</f>
        <v>0</v>
      </c>
      <c r="O1188" s="205">
        <f ca="1">IF(ISERROR(OFFSET(Rame!$A$1,MATCH(J1188,Rame!$A:$A,0)-1,MATCH(L1188,Rame!$A$1:$AA$1,0)-1)=TRUE),0,OFFSET(Rame!$A$1,MATCH(J1188,Rame!$A:$A,0)-1,MATCH(L1188,Rame!$A$1:$AA$1,0)-1))*IF(G1188="Rame",1,0)</f>
        <v>0</v>
      </c>
      <c r="P1188" s="205">
        <v>0</v>
      </c>
      <c r="Q1188" s="205">
        <f t="shared" ca="1" si="335"/>
        <v>0</v>
      </c>
      <c r="R1188" s="205">
        <f ca="1">+IF(ISERROR(OFFSET(Tabella!$G$1,MATCH(J1188,Tabella!$G:$G,0)-1,MATCH(K1188,Tabella!$G$1:$FG$1,0)-1)=TRUE),0,OFFSET(Tabella!$G$1,MATCH(J1188,Tabella!$G:$G,0)-1,MATCH(K1188,Tabella!$G$1:$AB$1,0)-1))</f>
        <v>0</v>
      </c>
      <c r="S1188" s="205">
        <f ca="1">IF(ISERROR(OFFSET(Ottone!$F$1,MATCH(J1188,Ottone!$A:$A,0)-1,MATCH(K1188,Ottone!$F$1:$FF$1,0)-1)=TRUE),0,OFFSET(Ottone!$F$1,MATCH(J1188,Ottone!$A:$A,0)-1,MATCH(K1188,Ottone!$F$1:$FF$1,0)-1))*IF(G1188="Ottone",1,0)</f>
        <v>0</v>
      </c>
      <c r="T1188" s="205">
        <f ca="1">IF(ISERROR(OFFSET(Rame!$F$1,MATCH(J1188,Rame!$F:$F,0)-1,MATCH(K1188,Rame!$F$1:$FF$1,0)-1)=TRUE),0,OFFSET(Rame!$F$1,MATCH(J1188,Rame!$F:$F,0)-1,MATCH(K1188,Rame!$F$1:$FF$1,0)-1))*IF(G1188="Rame",1,0)</f>
        <v>0</v>
      </c>
      <c r="U1188" s="205">
        <f ca="1">IF(ISERROR(OFFSET(Bronzo!$A$1,MATCH(J1188,Bronzo!$A:$A,0)-1,MATCH(K1188,Bronzo!$A$1:$AA$1,0)-1)=TRUE),0,OFFSET(Bronzo!$A$1,MATCH(J1188,Bronzo!$A:$A,0)-1,MATCH(K1188,Bronzo!$A$1:$AA$1,0)-1))</f>
        <v>0</v>
      </c>
      <c r="V1188" s="205">
        <f t="shared" ca="1" si="336"/>
        <v>0</v>
      </c>
      <c r="W1188" s="204"/>
      <c r="X1188" s="205">
        <v>0</v>
      </c>
      <c r="Y1188" s="206">
        <f t="shared" ca="1" si="337"/>
        <v>0</v>
      </c>
      <c r="Z1188" s="277">
        <f t="shared" si="338"/>
        <v>0</v>
      </c>
      <c r="AA1188" s="203"/>
      <c r="AB1188" s="203">
        <f t="shared" ca="1" si="339"/>
        <v>0</v>
      </c>
      <c r="AC1188" s="238"/>
      <c r="AI1188" s="367">
        <f t="shared" ca="1" si="334"/>
        <v>46092</v>
      </c>
      <c r="AJ1188" s="367" t="b">
        <f t="shared" si="340"/>
        <v>1</v>
      </c>
      <c r="AK1188" s="370" t="str">
        <f t="shared" si="341"/>
        <v/>
      </c>
      <c r="AN1188">
        <f t="shared" si="342"/>
        <v>0</v>
      </c>
      <c r="AO1188">
        <f t="shared" si="343"/>
        <v>1900</v>
      </c>
      <c r="AV1188">
        <f t="shared" si="332"/>
        <v>0</v>
      </c>
      <c r="AW1188">
        <f t="shared" si="333"/>
        <v>0</v>
      </c>
    </row>
    <row r="1189" spans="4:49" ht="15.75" x14ac:dyDescent="0.25">
      <c r="D1189" s="199"/>
      <c r="E1189" s="200"/>
      <c r="F1189" s="287"/>
      <c r="G1189" s="201"/>
      <c r="H1189" s="219"/>
      <c r="I1189" s="202"/>
      <c r="J1189" s="200"/>
      <c r="K1189" s="200"/>
      <c r="L1189" s="203"/>
      <c r="M1189" s="204">
        <f ca="1">IF(ISERROR(OFFSET(Tabella!$A$1,MATCH(J1189,Tabella!$A:$A,0)-1,MATCH(L1189,Tabella!$A$1:$AC$1,0)-1)=TRUE),0,+OFFSET(Tabella!$A$1,MATCH(J1189,Tabella!$A:$A,0)-1,MATCH(L1189,Tabella!$A$1:$AC$1,0)-1))</f>
        <v>0</v>
      </c>
      <c r="N1189" s="205">
        <f ca="1">IF(ISERROR(OFFSET(Ottone!$A$1,MATCH(J1189,Ottone!$A:$A,0)-1,MATCH(L1189,Ottone!$A$1:$Z$1,0)-1)=TRUE),0,OFFSET(Ottone!$A$1,MATCH(J1189,Ottone!$A:$A,0)-1,MATCH(L1189,Ottone!$A$1:$Z$1,0)-1))*IF(G1189="Ottone",1,0)</f>
        <v>0</v>
      </c>
      <c r="O1189" s="205">
        <f ca="1">IF(ISERROR(OFFSET(Rame!$A$1,MATCH(J1189,Rame!$A:$A,0)-1,MATCH(L1189,Rame!$A$1:$AA$1,0)-1)=TRUE),0,OFFSET(Rame!$A$1,MATCH(J1189,Rame!$A:$A,0)-1,MATCH(L1189,Rame!$A$1:$AA$1,0)-1))*IF(G1189="Rame",1,0)</f>
        <v>0</v>
      </c>
      <c r="P1189" s="205">
        <v>0</v>
      </c>
      <c r="Q1189" s="205">
        <f t="shared" ca="1" si="335"/>
        <v>0</v>
      </c>
      <c r="R1189" s="205">
        <f ca="1">+IF(ISERROR(OFFSET(Tabella!$G$1,MATCH(J1189,Tabella!$G:$G,0)-1,MATCH(K1189,Tabella!$G$1:$FG$1,0)-1)=TRUE),0,OFFSET(Tabella!$G$1,MATCH(J1189,Tabella!$G:$G,0)-1,MATCH(K1189,Tabella!$G$1:$AB$1,0)-1))</f>
        <v>0</v>
      </c>
      <c r="S1189" s="205">
        <f ca="1">IF(ISERROR(OFFSET(Ottone!$F$1,MATCH(J1189,Ottone!$A:$A,0)-1,MATCH(K1189,Ottone!$F$1:$FF$1,0)-1)=TRUE),0,OFFSET(Ottone!$F$1,MATCH(J1189,Ottone!$A:$A,0)-1,MATCH(K1189,Ottone!$F$1:$FF$1,0)-1))*IF(G1189="Ottone",1,0)</f>
        <v>0</v>
      </c>
      <c r="T1189" s="205">
        <f ca="1">IF(ISERROR(OFFSET(Rame!$F$1,MATCH(J1189,Rame!$F:$F,0)-1,MATCH(K1189,Rame!$F$1:$FF$1,0)-1)=TRUE),0,OFFSET(Rame!$F$1,MATCH(J1189,Rame!$F:$F,0)-1,MATCH(K1189,Rame!$F$1:$FF$1,0)-1))*IF(G1189="Rame",1,0)</f>
        <v>0</v>
      </c>
      <c r="U1189" s="205">
        <f ca="1">IF(ISERROR(OFFSET(Bronzo!$A$1,MATCH(J1189,Bronzo!$A:$A,0)-1,MATCH(K1189,Bronzo!$A$1:$AA$1,0)-1)=TRUE),0,OFFSET(Bronzo!$A$1,MATCH(J1189,Bronzo!$A:$A,0)-1,MATCH(K1189,Bronzo!$A$1:$AA$1,0)-1))</f>
        <v>0</v>
      </c>
      <c r="V1189" s="205">
        <f t="shared" ca="1" si="336"/>
        <v>0</v>
      </c>
      <c r="W1189" s="204"/>
      <c r="X1189" s="205">
        <v>0</v>
      </c>
      <c r="Y1189" s="206">
        <f t="shared" ca="1" si="337"/>
        <v>0</v>
      </c>
      <c r="Z1189" s="277">
        <f t="shared" si="338"/>
        <v>0</v>
      </c>
      <c r="AA1189" s="203"/>
      <c r="AB1189" s="203">
        <f t="shared" ca="1" si="339"/>
        <v>0</v>
      </c>
      <c r="AC1189" s="238"/>
      <c r="AI1189" s="367">
        <f t="shared" ca="1" si="334"/>
        <v>46092</v>
      </c>
      <c r="AJ1189" s="367" t="b">
        <f t="shared" si="340"/>
        <v>1</v>
      </c>
      <c r="AK1189" s="370" t="str">
        <f t="shared" si="341"/>
        <v/>
      </c>
      <c r="AN1189">
        <f t="shared" si="342"/>
        <v>0</v>
      </c>
      <c r="AO1189">
        <f t="shared" si="343"/>
        <v>1900</v>
      </c>
      <c r="AV1189">
        <f t="shared" ref="AV1189:AV1252" si="344">IF(AC1189="",0,MONTH(AC1189))</f>
        <v>0</v>
      </c>
      <c r="AW1189">
        <f t="shared" ref="AW1189:AW1252" si="345">IF(AC1189="",0,YEAR(AC1189))</f>
        <v>0</v>
      </c>
    </row>
    <row r="1190" spans="4:49" ht="15.75" x14ac:dyDescent="0.25">
      <c r="D1190" s="199"/>
      <c r="E1190" s="200"/>
      <c r="F1190" s="287"/>
      <c r="G1190" s="201"/>
      <c r="H1190" s="219"/>
      <c r="I1190" s="202"/>
      <c r="J1190" s="200"/>
      <c r="K1190" s="200"/>
      <c r="L1190" s="203"/>
      <c r="M1190" s="204">
        <f ca="1">IF(ISERROR(OFFSET(Tabella!$A$1,MATCH(J1190,Tabella!$A:$A,0)-1,MATCH(L1190,Tabella!$A$1:$AC$1,0)-1)=TRUE),0,+OFFSET(Tabella!$A$1,MATCH(J1190,Tabella!$A:$A,0)-1,MATCH(L1190,Tabella!$A$1:$AC$1,0)-1))</f>
        <v>0</v>
      </c>
      <c r="N1190" s="205">
        <f ca="1">IF(ISERROR(OFFSET(Ottone!$A$1,MATCH(J1190,Ottone!$A:$A,0)-1,MATCH(L1190,Ottone!$A$1:$Z$1,0)-1)=TRUE),0,OFFSET(Ottone!$A$1,MATCH(J1190,Ottone!$A:$A,0)-1,MATCH(L1190,Ottone!$A$1:$Z$1,0)-1))*IF(G1190="Ottone",1,0)</f>
        <v>0</v>
      </c>
      <c r="O1190" s="205">
        <f ca="1">IF(ISERROR(OFFSET(Rame!$A$1,MATCH(J1190,Rame!$A:$A,0)-1,MATCH(L1190,Rame!$A$1:$AA$1,0)-1)=TRUE),0,OFFSET(Rame!$A$1,MATCH(J1190,Rame!$A:$A,0)-1,MATCH(L1190,Rame!$A$1:$AA$1,0)-1))*IF(G1190="Rame",1,0)</f>
        <v>0</v>
      </c>
      <c r="P1190" s="205">
        <v>0</v>
      </c>
      <c r="Q1190" s="205">
        <f t="shared" ca="1" si="335"/>
        <v>0</v>
      </c>
      <c r="R1190" s="205">
        <f ca="1">+IF(ISERROR(OFFSET(Tabella!$G$1,MATCH(J1190,Tabella!$G:$G,0)-1,MATCH(K1190,Tabella!$G$1:$FG$1,0)-1)=TRUE),0,OFFSET(Tabella!$G$1,MATCH(J1190,Tabella!$G:$G,0)-1,MATCH(K1190,Tabella!$G$1:$AB$1,0)-1))</f>
        <v>0</v>
      </c>
      <c r="S1190" s="205">
        <f ca="1">IF(ISERROR(OFFSET(Ottone!$F$1,MATCH(J1190,Ottone!$A:$A,0)-1,MATCH(K1190,Ottone!$F$1:$FF$1,0)-1)=TRUE),0,OFFSET(Ottone!$F$1,MATCH(J1190,Ottone!$A:$A,0)-1,MATCH(K1190,Ottone!$F$1:$FF$1,0)-1))*IF(G1190="Ottone",1,0)</f>
        <v>0</v>
      </c>
      <c r="T1190" s="205">
        <f ca="1">IF(ISERROR(OFFSET(Rame!$F$1,MATCH(J1190,Rame!$F:$F,0)-1,MATCH(K1190,Rame!$F$1:$FF$1,0)-1)=TRUE),0,OFFSET(Rame!$F$1,MATCH(J1190,Rame!$F:$F,0)-1,MATCH(K1190,Rame!$F$1:$FF$1,0)-1))*IF(G1190="Rame",1,0)</f>
        <v>0</v>
      </c>
      <c r="U1190" s="205">
        <f ca="1">IF(ISERROR(OFFSET(Bronzo!$A$1,MATCH(J1190,Bronzo!$A:$A,0)-1,MATCH(K1190,Bronzo!$A$1:$AA$1,0)-1)=TRUE),0,OFFSET(Bronzo!$A$1,MATCH(J1190,Bronzo!$A:$A,0)-1,MATCH(K1190,Bronzo!$A$1:$AA$1,0)-1))</f>
        <v>0</v>
      </c>
      <c r="V1190" s="205">
        <f t="shared" ca="1" si="336"/>
        <v>0</v>
      </c>
      <c r="W1190" s="204"/>
      <c r="X1190" s="205">
        <v>0</v>
      </c>
      <c r="Y1190" s="206">
        <f t="shared" ca="1" si="337"/>
        <v>0</v>
      </c>
      <c r="Z1190" s="277">
        <f t="shared" si="338"/>
        <v>0</v>
      </c>
      <c r="AA1190" s="203"/>
      <c r="AB1190" s="203">
        <f t="shared" ca="1" si="339"/>
        <v>0</v>
      </c>
      <c r="AC1190" s="238"/>
      <c r="AI1190" s="367">
        <f t="shared" ca="1" si="334"/>
        <v>46092</v>
      </c>
      <c r="AJ1190" s="367" t="b">
        <f t="shared" si="340"/>
        <v>1</v>
      </c>
      <c r="AK1190" s="370" t="str">
        <f t="shared" si="341"/>
        <v/>
      </c>
      <c r="AN1190">
        <f t="shared" si="342"/>
        <v>0</v>
      </c>
      <c r="AO1190">
        <f t="shared" si="343"/>
        <v>1900</v>
      </c>
      <c r="AV1190">
        <f t="shared" si="344"/>
        <v>0</v>
      </c>
      <c r="AW1190">
        <f t="shared" si="345"/>
        <v>0</v>
      </c>
    </row>
    <row r="1191" spans="4:49" ht="15.75" x14ac:dyDescent="0.25">
      <c r="D1191" s="199"/>
      <c r="E1191" s="200"/>
      <c r="F1191" s="287"/>
      <c r="G1191" s="201"/>
      <c r="H1191" s="219"/>
      <c r="I1191" s="202"/>
      <c r="J1191" s="200"/>
      <c r="K1191" s="200"/>
      <c r="L1191" s="203"/>
      <c r="M1191" s="204">
        <f ca="1">IF(ISERROR(OFFSET(Tabella!$A$1,MATCH(J1191,Tabella!$A:$A,0)-1,MATCH(L1191,Tabella!$A$1:$AC$1,0)-1)=TRUE),0,+OFFSET(Tabella!$A$1,MATCH(J1191,Tabella!$A:$A,0)-1,MATCH(L1191,Tabella!$A$1:$AC$1,0)-1))</f>
        <v>0</v>
      </c>
      <c r="N1191" s="205">
        <f ca="1">IF(ISERROR(OFFSET(Ottone!$A$1,MATCH(J1191,Ottone!$A:$A,0)-1,MATCH(L1191,Ottone!$A$1:$Z$1,0)-1)=TRUE),0,OFFSET(Ottone!$A$1,MATCH(J1191,Ottone!$A:$A,0)-1,MATCH(L1191,Ottone!$A$1:$Z$1,0)-1))*IF(G1191="Ottone",1,0)</f>
        <v>0</v>
      </c>
      <c r="O1191" s="205">
        <f ca="1">IF(ISERROR(OFFSET(Rame!$A$1,MATCH(J1191,Rame!$A:$A,0)-1,MATCH(L1191,Rame!$A$1:$AA$1,0)-1)=TRUE),0,OFFSET(Rame!$A$1,MATCH(J1191,Rame!$A:$A,0)-1,MATCH(L1191,Rame!$A$1:$AA$1,0)-1))*IF(G1191="Rame",1,0)</f>
        <v>0</v>
      </c>
      <c r="P1191" s="205">
        <v>0</v>
      </c>
      <c r="Q1191" s="205">
        <f t="shared" ca="1" si="335"/>
        <v>0</v>
      </c>
      <c r="R1191" s="205">
        <f ca="1">+IF(ISERROR(OFFSET(Tabella!$G$1,MATCH(J1191,Tabella!$G:$G,0)-1,MATCH(K1191,Tabella!$G$1:$FG$1,0)-1)=TRUE),0,OFFSET(Tabella!$G$1,MATCH(J1191,Tabella!$G:$G,0)-1,MATCH(K1191,Tabella!$G$1:$AB$1,0)-1))</f>
        <v>0</v>
      </c>
      <c r="S1191" s="205">
        <f ca="1">IF(ISERROR(OFFSET(Ottone!$F$1,MATCH(J1191,Ottone!$A:$A,0)-1,MATCH(K1191,Ottone!$F$1:$FF$1,0)-1)=TRUE),0,OFFSET(Ottone!$F$1,MATCH(J1191,Ottone!$A:$A,0)-1,MATCH(K1191,Ottone!$F$1:$FF$1,0)-1))*IF(G1191="Ottone",1,0)</f>
        <v>0</v>
      </c>
      <c r="T1191" s="205">
        <f ca="1">IF(ISERROR(OFFSET(Rame!$F$1,MATCH(J1191,Rame!$F:$F,0)-1,MATCH(K1191,Rame!$F$1:$FF$1,0)-1)=TRUE),0,OFFSET(Rame!$F$1,MATCH(J1191,Rame!$F:$F,0)-1,MATCH(K1191,Rame!$F$1:$FF$1,0)-1))*IF(G1191="Rame",1,0)</f>
        <v>0</v>
      </c>
      <c r="U1191" s="205">
        <f ca="1">IF(ISERROR(OFFSET(Bronzo!$A$1,MATCH(J1191,Bronzo!$A:$A,0)-1,MATCH(K1191,Bronzo!$A$1:$AA$1,0)-1)=TRUE),0,OFFSET(Bronzo!$A$1,MATCH(J1191,Bronzo!$A:$A,0)-1,MATCH(K1191,Bronzo!$A$1:$AA$1,0)-1))</f>
        <v>0</v>
      </c>
      <c r="V1191" s="205">
        <f t="shared" ca="1" si="336"/>
        <v>0</v>
      </c>
      <c r="W1191" s="204"/>
      <c r="X1191" s="205">
        <v>0</v>
      </c>
      <c r="Y1191" s="206">
        <f t="shared" ca="1" si="337"/>
        <v>0</v>
      </c>
      <c r="Z1191" s="277">
        <f t="shared" si="338"/>
        <v>0</v>
      </c>
      <c r="AA1191" s="203"/>
      <c r="AB1191" s="203">
        <f t="shared" ca="1" si="339"/>
        <v>0</v>
      </c>
      <c r="AC1191" s="238"/>
      <c r="AI1191" s="367">
        <f t="shared" ca="1" si="334"/>
        <v>46092</v>
      </c>
      <c r="AJ1191" s="367" t="b">
        <f t="shared" si="340"/>
        <v>1</v>
      </c>
      <c r="AK1191" s="370" t="str">
        <f t="shared" si="341"/>
        <v/>
      </c>
      <c r="AN1191">
        <f t="shared" si="342"/>
        <v>0</v>
      </c>
      <c r="AO1191">
        <f t="shared" si="343"/>
        <v>1900</v>
      </c>
      <c r="AV1191">
        <f t="shared" si="344"/>
        <v>0</v>
      </c>
      <c r="AW1191">
        <f t="shared" si="345"/>
        <v>0</v>
      </c>
    </row>
    <row r="1192" spans="4:49" ht="15.75" x14ac:dyDescent="0.25">
      <c r="D1192" s="199"/>
      <c r="E1192" s="200"/>
      <c r="F1192" s="287"/>
      <c r="G1192" s="201"/>
      <c r="H1192" s="219"/>
      <c r="I1192" s="202"/>
      <c r="J1192" s="200"/>
      <c r="K1192" s="200"/>
      <c r="L1192" s="203"/>
      <c r="M1192" s="204">
        <f ca="1">IF(ISERROR(OFFSET(Tabella!$A$1,MATCH(J1192,Tabella!$A:$A,0)-1,MATCH(L1192,Tabella!$A$1:$AC$1,0)-1)=TRUE),0,+OFFSET(Tabella!$A$1,MATCH(J1192,Tabella!$A:$A,0)-1,MATCH(L1192,Tabella!$A$1:$AC$1,0)-1))</f>
        <v>0</v>
      </c>
      <c r="N1192" s="205">
        <f ca="1">IF(ISERROR(OFFSET(Ottone!$A$1,MATCH(J1192,Ottone!$A:$A,0)-1,MATCH(L1192,Ottone!$A$1:$Z$1,0)-1)=TRUE),0,OFFSET(Ottone!$A$1,MATCH(J1192,Ottone!$A:$A,0)-1,MATCH(L1192,Ottone!$A$1:$Z$1,0)-1))*IF(G1192="Ottone",1,0)</f>
        <v>0</v>
      </c>
      <c r="O1192" s="205">
        <f ca="1">IF(ISERROR(OFFSET(Rame!$A$1,MATCH(J1192,Rame!$A:$A,0)-1,MATCH(L1192,Rame!$A$1:$AA$1,0)-1)=TRUE),0,OFFSET(Rame!$A$1,MATCH(J1192,Rame!$A:$A,0)-1,MATCH(L1192,Rame!$A$1:$AA$1,0)-1))*IF(G1192="Rame",1,0)</f>
        <v>0</v>
      </c>
      <c r="P1192" s="205">
        <v>0</v>
      </c>
      <c r="Q1192" s="205">
        <f t="shared" ca="1" si="335"/>
        <v>0</v>
      </c>
      <c r="R1192" s="205">
        <f ca="1">+IF(ISERROR(OFFSET(Tabella!$G$1,MATCH(J1192,Tabella!$G:$G,0)-1,MATCH(K1192,Tabella!$G$1:$FG$1,0)-1)=TRUE),0,OFFSET(Tabella!$G$1,MATCH(J1192,Tabella!$G:$G,0)-1,MATCH(K1192,Tabella!$G$1:$AB$1,0)-1))</f>
        <v>0</v>
      </c>
      <c r="S1192" s="205">
        <f ca="1">IF(ISERROR(OFFSET(Ottone!$F$1,MATCH(J1192,Ottone!$A:$A,0)-1,MATCH(K1192,Ottone!$F$1:$FF$1,0)-1)=TRUE),0,OFFSET(Ottone!$F$1,MATCH(J1192,Ottone!$A:$A,0)-1,MATCH(K1192,Ottone!$F$1:$FF$1,0)-1))*IF(G1192="Ottone",1,0)</f>
        <v>0</v>
      </c>
      <c r="T1192" s="205">
        <f ca="1">IF(ISERROR(OFFSET(Rame!$F$1,MATCH(J1192,Rame!$F:$F,0)-1,MATCH(K1192,Rame!$F$1:$FF$1,0)-1)=TRUE),0,OFFSET(Rame!$F$1,MATCH(J1192,Rame!$F:$F,0)-1,MATCH(K1192,Rame!$F$1:$FF$1,0)-1))*IF(G1192="Rame",1,0)</f>
        <v>0</v>
      </c>
      <c r="U1192" s="205">
        <f ca="1">IF(ISERROR(OFFSET(Bronzo!$A$1,MATCH(J1192,Bronzo!$A:$A,0)-1,MATCH(K1192,Bronzo!$A$1:$AA$1,0)-1)=TRUE),0,OFFSET(Bronzo!$A$1,MATCH(J1192,Bronzo!$A:$A,0)-1,MATCH(K1192,Bronzo!$A$1:$AA$1,0)-1))</f>
        <v>0</v>
      </c>
      <c r="V1192" s="205">
        <f t="shared" ca="1" si="336"/>
        <v>0</v>
      </c>
      <c r="W1192" s="204"/>
      <c r="X1192" s="205">
        <v>0</v>
      </c>
      <c r="Y1192" s="206">
        <f t="shared" ca="1" si="337"/>
        <v>0</v>
      </c>
      <c r="Z1192" s="277">
        <f t="shared" si="338"/>
        <v>0</v>
      </c>
      <c r="AA1192" s="203"/>
      <c r="AB1192" s="203">
        <f t="shared" ca="1" si="339"/>
        <v>0</v>
      </c>
      <c r="AC1192" s="238"/>
      <c r="AI1192" s="367">
        <f t="shared" ca="1" si="334"/>
        <v>46092</v>
      </c>
      <c r="AJ1192" s="367" t="b">
        <f t="shared" si="340"/>
        <v>1</v>
      </c>
      <c r="AK1192" s="370" t="str">
        <f t="shared" si="341"/>
        <v/>
      </c>
      <c r="AN1192">
        <f t="shared" si="342"/>
        <v>0</v>
      </c>
      <c r="AO1192">
        <f t="shared" si="343"/>
        <v>1900</v>
      </c>
      <c r="AV1192">
        <f t="shared" si="344"/>
        <v>0</v>
      </c>
      <c r="AW1192">
        <f t="shared" si="345"/>
        <v>0</v>
      </c>
    </row>
    <row r="1193" spans="4:49" ht="15.75" x14ac:dyDescent="0.25">
      <c r="D1193" s="199"/>
      <c r="E1193" s="200"/>
      <c r="F1193" s="287"/>
      <c r="G1193" s="201"/>
      <c r="H1193" s="219"/>
      <c r="I1193" s="202"/>
      <c r="J1193" s="200"/>
      <c r="K1193" s="200"/>
      <c r="L1193" s="203"/>
      <c r="M1193" s="204">
        <f ca="1">IF(ISERROR(OFFSET(Tabella!$A$1,MATCH(J1193,Tabella!$A:$A,0)-1,MATCH(L1193,Tabella!$A$1:$AC$1,0)-1)=TRUE),0,+OFFSET(Tabella!$A$1,MATCH(J1193,Tabella!$A:$A,0)-1,MATCH(L1193,Tabella!$A$1:$AC$1,0)-1))</f>
        <v>0</v>
      </c>
      <c r="N1193" s="205">
        <f ca="1">IF(ISERROR(OFFSET(Ottone!$A$1,MATCH(J1193,Ottone!$A:$A,0)-1,MATCH(L1193,Ottone!$A$1:$Z$1,0)-1)=TRUE),0,OFFSET(Ottone!$A$1,MATCH(J1193,Ottone!$A:$A,0)-1,MATCH(L1193,Ottone!$A$1:$Z$1,0)-1))*IF(G1193="Ottone",1,0)</f>
        <v>0</v>
      </c>
      <c r="O1193" s="205">
        <f ca="1">IF(ISERROR(OFFSET(Rame!$A$1,MATCH(J1193,Rame!$A:$A,0)-1,MATCH(L1193,Rame!$A$1:$AA$1,0)-1)=TRUE),0,OFFSET(Rame!$A$1,MATCH(J1193,Rame!$A:$A,0)-1,MATCH(L1193,Rame!$A$1:$AA$1,0)-1))*IF(G1193="Rame",1,0)</f>
        <v>0</v>
      </c>
      <c r="P1193" s="205">
        <v>0</v>
      </c>
      <c r="Q1193" s="205">
        <f t="shared" ca="1" si="335"/>
        <v>0</v>
      </c>
      <c r="R1193" s="205">
        <f ca="1">+IF(ISERROR(OFFSET(Tabella!$G$1,MATCH(J1193,Tabella!$G:$G,0)-1,MATCH(K1193,Tabella!$G$1:$FG$1,0)-1)=TRUE),0,OFFSET(Tabella!$G$1,MATCH(J1193,Tabella!$G:$G,0)-1,MATCH(K1193,Tabella!$G$1:$AB$1,0)-1))</f>
        <v>0</v>
      </c>
      <c r="S1193" s="205">
        <f ca="1">IF(ISERROR(OFFSET(Ottone!$F$1,MATCH(J1193,Ottone!$A:$A,0)-1,MATCH(K1193,Ottone!$F$1:$FF$1,0)-1)=TRUE),0,OFFSET(Ottone!$F$1,MATCH(J1193,Ottone!$A:$A,0)-1,MATCH(K1193,Ottone!$F$1:$FF$1,0)-1))*IF(G1193="Ottone",1,0)</f>
        <v>0</v>
      </c>
      <c r="T1193" s="205">
        <f ca="1">IF(ISERROR(OFFSET(Rame!$F$1,MATCH(J1193,Rame!$F:$F,0)-1,MATCH(K1193,Rame!$F$1:$FF$1,0)-1)=TRUE),0,OFFSET(Rame!$F$1,MATCH(J1193,Rame!$F:$F,0)-1,MATCH(K1193,Rame!$F$1:$FF$1,0)-1))*IF(G1193="Rame",1,0)</f>
        <v>0</v>
      </c>
      <c r="U1193" s="205">
        <f ca="1">IF(ISERROR(OFFSET(Bronzo!$A$1,MATCH(J1193,Bronzo!$A:$A,0)-1,MATCH(K1193,Bronzo!$A$1:$AA$1,0)-1)=TRUE),0,OFFSET(Bronzo!$A$1,MATCH(J1193,Bronzo!$A:$A,0)-1,MATCH(K1193,Bronzo!$A$1:$AA$1,0)-1))</f>
        <v>0</v>
      </c>
      <c r="V1193" s="205">
        <f t="shared" ca="1" si="336"/>
        <v>0</v>
      </c>
      <c r="W1193" s="204"/>
      <c r="X1193" s="205">
        <v>0</v>
      </c>
      <c r="Y1193" s="206">
        <f t="shared" ca="1" si="337"/>
        <v>0</v>
      </c>
      <c r="Z1193" s="277">
        <f t="shared" si="338"/>
        <v>0</v>
      </c>
      <c r="AA1193" s="203"/>
      <c r="AB1193" s="203">
        <f t="shared" ca="1" si="339"/>
        <v>0</v>
      </c>
      <c r="AC1193" s="238"/>
      <c r="AI1193" s="367">
        <f t="shared" ca="1" si="334"/>
        <v>46092</v>
      </c>
      <c r="AJ1193" s="367" t="b">
        <f t="shared" si="340"/>
        <v>1</v>
      </c>
      <c r="AK1193" s="370" t="str">
        <f t="shared" si="341"/>
        <v/>
      </c>
      <c r="AN1193">
        <f t="shared" si="342"/>
        <v>0</v>
      </c>
      <c r="AO1193">
        <f t="shared" si="343"/>
        <v>1900</v>
      </c>
      <c r="AV1193">
        <f t="shared" si="344"/>
        <v>0</v>
      </c>
      <c r="AW1193">
        <f t="shared" si="345"/>
        <v>0</v>
      </c>
    </row>
    <row r="1194" spans="4:49" ht="15.75" x14ac:dyDescent="0.25">
      <c r="D1194" s="199"/>
      <c r="E1194" s="200"/>
      <c r="F1194" s="287"/>
      <c r="G1194" s="201"/>
      <c r="H1194" s="219"/>
      <c r="I1194" s="202"/>
      <c r="J1194" s="200"/>
      <c r="K1194" s="200"/>
      <c r="L1194" s="203"/>
      <c r="M1194" s="204">
        <f ca="1">IF(ISERROR(OFFSET(Tabella!$A$1,MATCH(J1194,Tabella!$A:$A,0)-1,MATCH(L1194,Tabella!$A$1:$AC$1,0)-1)=TRUE),0,+OFFSET(Tabella!$A$1,MATCH(J1194,Tabella!$A:$A,0)-1,MATCH(L1194,Tabella!$A$1:$AC$1,0)-1))</f>
        <v>0</v>
      </c>
      <c r="N1194" s="205">
        <f ca="1">IF(ISERROR(OFFSET(Ottone!$A$1,MATCH(J1194,Ottone!$A:$A,0)-1,MATCH(L1194,Ottone!$A$1:$Z$1,0)-1)=TRUE),0,OFFSET(Ottone!$A$1,MATCH(J1194,Ottone!$A:$A,0)-1,MATCH(L1194,Ottone!$A$1:$Z$1,0)-1))*IF(G1194="Ottone",1,0)</f>
        <v>0</v>
      </c>
      <c r="O1194" s="205">
        <f ca="1">IF(ISERROR(OFFSET(Rame!$A$1,MATCH(J1194,Rame!$A:$A,0)-1,MATCH(L1194,Rame!$A$1:$AA$1,0)-1)=TRUE),0,OFFSET(Rame!$A$1,MATCH(J1194,Rame!$A:$A,0)-1,MATCH(L1194,Rame!$A$1:$AA$1,0)-1))*IF(G1194="Rame",1,0)</f>
        <v>0</v>
      </c>
      <c r="P1194" s="205">
        <v>0</v>
      </c>
      <c r="Q1194" s="205">
        <f t="shared" ca="1" si="335"/>
        <v>0</v>
      </c>
      <c r="R1194" s="205">
        <f ca="1">+IF(ISERROR(OFFSET(Tabella!$G$1,MATCH(J1194,Tabella!$G:$G,0)-1,MATCH(K1194,Tabella!$G$1:$FG$1,0)-1)=TRUE),0,OFFSET(Tabella!$G$1,MATCH(J1194,Tabella!$G:$G,0)-1,MATCH(K1194,Tabella!$G$1:$AB$1,0)-1))</f>
        <v>0</v>
      </c>
      <c r="S1194" s="205">
        <f ca="1">IF(ISERROR(OFFSET(Ottone!$F$1,MATCH(J1194,Ottone!$A:$A,0)-1,MATCH(K1194,Ottone!$F$1:$FF$1,0)-1)=TRUE),0,OFFSET(Ottone!$F$1,MATCH(J1194,Ottone!$A:$A,0)-1,MATCH(K1194,Ottone!$F$1:$FF$1,0)-1))*IF(G1194="Ottone",1,0)</f>
        <v>0</v>
      </c>
      <c r="T1194" s="205">
        <f ca="1">IF(ISERROR(OFFSET(Rame!$F$1,MATCH(J1194,Rame!$F:$F,0)-1,MATCH(K1194,Rame!$F$1:$FF$1,0)-1)=TRUE),0,OFFSET(Rame!$F$1,MATCH(J1194,Rame!$F:$F,0)-1,MATCH(K1194,Rame!$F$1:$FF$1,0)-1))*IF(G1194="Rame",1,0)</f>
        <v>0</v>
      </c>
      <c r="U1194" s="205">
        <f ca="1">IF(ISERROR(OFFSET(Bronzo!$A$1,MATCH(J1194,Bronzo!$A:$A,0)-1,MATCH(K1194,Bronzo!$A$1:$AA$1,0)-1)=TRUE),0,OFFSET(Bronzo!$A$1,MATCH(J1194,Bronzo!$A:$A,0)-1,MATCH(K1194,Bronzo!$A$1:$AA$1,0)-1))</f>
        <v>0</v>
      </c>
      <c r="V1194" s="205">
        <f t="shared" ca="1" si="336"/>
        <v>0</v>
      </c>
      <c r="W1194" s="204"/>
      <c r="X1194" s="205">
        <v>0</v>
      </c>
      <c r="Y1194" s="206">
        <f t="shared" ca="1" si="337"/>
        <v>0</v>
      </c>
      <c r="Z1194" s="277">
        <f t="shared" si="338"/>
        <v>0</v>
      </c>
      <c r="AA1194" s="203"/>
      <c r="AB1194" s="203">
        <f t="shared" ca="1" si="339"/>
        <v>0</v>
      </c>
      <c r="AC1194" s="238"/>
      <c r="AI1194" s="367">
        <f t="shared" ca="1" si="334"/>
        <v>46092</v>
      </c>
      <c r="AJ1194" s="367" t="b">
        <f t="shared" si="340"/>
        <v>1</v>
      </c>
      <c r="AK1194" s="370" t="str">
        <f t="shared" si="341"/>
        <v/>
      </c>
      <c r="AN1194">
        <f t="shared" si="342"/>
        <v>0</v>
      </c>
      <c r="AO1194">
        <f t="shared" si="343"/>
        <v>1900</v>
      </c>
      <c r="AV1194">
        <f t="shared" si="344"/>
        <v>0</v>
      </c>
      <c r="AW1194">
        <f t="shared" si="345"/>
        <v>0</v>
      </c>
    </row>
    <row r="1195" spans="4:49" ht="15.75" x14ac:dyDescent="0.25">
      <c r="D1195" s="199"/>
      <c r="E1195" s="200"/>
      <c r="F1195" s="287"/>
      <c r="G1195" s="201"/>
      <c r="H1195" s="219"/>
      <c r="I1195" s="202"/>
      <c r="J1195" s="200"/>
      <c r="K1195" s="200"/>
      <c r="L1195" s="203"/>
      <c r="M1195" s="204">
        <f ca="1">IF(ISERROR(OFFSET(Tabella!$A$1,MATCH(J1195,Tabella!$A:$A,0)-1,MATCH(L1195,Tabella!$A$1:$AC$1,0)-1)=TRUE),0,+OFFSET(Tabella!$A$1,MATCH(J1195,Tabella!$A:$A,0)-1,MATCH(L1195,Tabella!$A$1:$AC$1,0)-1))</f>
        <v>0</v>
      </c>
      <c r="N1195" s="205">
        <f ca="1">IF(ISERROR(OFFSET(Ottone!$A$1,MATCH(J1195,Ottone!$A:$A,0)-1,MATCH(L1195,Ottone!$A$1:$Z$1,0)-1)=TRUE),0,OFFSET(Ottone!$A$1,MATCH(J1195,Ottone!$A:$A,0)-1,MATCH(L1195,Ottone!$A$1:$Z$1,0)-1))*IF(G1195="Ottone",1,0)</f>
        <v>0</v>
      </c>
      <c r="O1195" s="205">
        <f ca="1">IF(ISERROR(OFFSET(Rame!$A$1,MATCH(J1195,Rame!$A:$A,0)-1,MATCH(L1195,Rame!$A$1:$AA$1,0)-1)=TRUE),0,OFFSET(Rame!$A$1,MATCH(J1195,Rame!$A:$A,0)-1,MATCH(L1195,Rame!$A$1:$AA$1,0)-1))*IF(G1195="Rame",1,0)</f>
        <v>0</v>
      </c>
      <c r="P1195" s="205">
        <v>0</v>
      </c>
      <c r="Q1195" s="205">
        <f t="shared" ca="1" si="335"/>
        <v>0</v>
      </c>
      <c r="R1195" s="205">
        <f ca="1">+IF(ISERROR(OFFSET(Tabella!$G$1,MATCH(J1195,Tabella!$G:$G,0)-1,MATCH(K1195,Tabella!$G$1:$FG$1,0)-1)=TRUE),0,OFFSET(Tabella!$G$1,MATCH(J1195,Tabella!$G:$G,0)-1,MATCH(K1195,Tabella!$G$1:$AB$1,0)-1))</f>
        <v>0</v>
      </c>
      <c r="S1195" s="205">
        <f ca="1">IF(ISERROR(OFFSET(Ottone!$F$1,MATCH(J1195,Ottone!$A:$A,0)-1,MATCH(K1195,Ottone!$F$1:$FF$1,0)-1)=TRUE),0,OFFSET(Ottone!$F$1,MATCH(J1195,Ottone!$A:$A,0)-1,MATCH(K1195,Ottone!$F$1:$FF$1,0)-1))*IF(G1195="Ottone",1,0)</f>
        <v>0</v>
      </c>
      <c r="T1195" s="205">
        <f ca="1">IF(ISERROR(OFFSET(Rame!$F$1,MATCH(J1195,Rame!$F:$F,0)-1,MATCH(K1195,Rame!$F$1:$FF$1,0)-1)=TRUE),0,OFFSET(Rame!$F$1,MATCH(J1195,Rame!$F:$F,0)-1,MATCH(K1195,Rame!$F$1:$FF$1,0)-1))*IF(G1195="Rame",1,0)</f>
        <v>0</v>
      </c>
      <c r="U1195" s="205">
        <f ca="1">IF(ISERROR(OFFSET(Bronzo!$A$1,MATCH(J1195,Bronzo!$A:$A,0)-1,MATCH(K1195,Bronzo!$A$1:$AA$1,0)-1)=TRUE),0,OFFSET(Bronzo!$A$1,MATCH(J1195,Bronzo!$A:$A,0)-1,MATCH(K1195,Bronzo!$A$1:$AA$1,0)-1))</f>
        <v>0</v>
      </c>
      <c r="V1195" s="205">
        <f t="shared" ca="1" si="336"/>
        <v>0</v>
      </c>
      <c r="W1195" s="204"/>
      <c r="X1195" s="205">
        <v>0</v>
      </c>
      <c r="Y1195" s="206">
        <f t="shared" ca="1" si="337"/>
        <v>0</v>
      </c>
      <c r="Z1195" s="277">
        <f t="shared" si="338"/>
        <v>0</v>
      </c>
      <c r="AA1195" s="203"/>
      <c r="AB1195" s="203">
        <f t="shared" ca="1" si="339"/>
        <v>0</v>
      </c>
      <c r="AC1195" s="238"/>
      <c r="AI1195" s="367">
        <f t="shared" ca="1" si="334"/>
        <v>46092</v>
      </c>
      <c r="AJ1195" s="367" t="b">
        <f t="shared" si="340"/>
        <v>1</v>
      </c>
      <c r="AK1195" s="370" t="str">
        <f t="shared" si="341"/>
        <v/>
      </c>
      <c r="AN1195">
        <f t="shared" si="342"/>
        <v>0</v>
      </c>
      <c r="AO1195">
        <f t="shared" si="343"/>
        <v>1900</v>
      </c>
      <c r="AV1195">
        <f t="shared" si="344"/>
        <v>0</v>
      </c>
      <c r="AW1195">
        <f t="shared" si="345"/>
        <v>0</v>
      </c>
    </row>
    <row r="1196" spans="4:49" ht="15.75" x14ac:dyDescent="0.25">
      <c r="D1196" s="199"/>
      <c r="E1196" s="200"/>
      <c r="F1196" s="287"/>
      <c r="G1196" s="201"/>
      <c r="H1196" s="219"/>
      <c r="I1196" s="202"/>
      <c r="J1196" s="200"/>
      <c r="K1196" s="200"/>
      <c r="L1196" s="203"/>
      <c r="M1196" s="204">
        <f ca="1">IF(ISERROR(OFFSET(Tabella!$A$1,MATCH(J1196,Tabella!$A:$A,0)-1,MATCH(L1196,Tabella!$A$1:$AC$1,0)-1)=TRUE),0,+OFFSET(Tabella!$A$1,MATCH(J1196,Tabella!$A:$A,0)-1,MATCH(L1196,Tabella!$A$1:$AC$1,0)-1))</f>
        <v>0</v>
      </c>
      <c r="N1196" s="205">
        <f ca="1">IF(ISERROR(OFFSET(Ottone!$A$1,MATCH(J1196,Ottone!$A:$A,0)-1,MATCH(L1196,Ottone!$A$1:$Z$1,0)-1)=TRUE),0,OFFSET(Ottone!$A$1,MATCH(J1196,Ottone!$A:$A,0)-1,MATCH(L1196,Ottone!$A$1:$Z$1,0)-1))*IF(G1196="Ottone",1,0)</f>
        <v>0</v>
      </c>
      <c r="O1196" s="205">
        <f ca="1">IF(ISERROR(OFFSET(Rame!$A$1,MATCH(J1196,Rame!$A:$A,0)-1,MATCH(L1196,Rame!$A$1:$AA$1,0)-1)=TRUE),0,OFFSET(Rame!$A$1,MATCH(J1196,Rame!$A:$A,0)-1,MATCH(L1196,Rame!$A$1:$AA$1,0)-1))*IF(G1196="Rame",1,0)</f>
        <v>0</v>
      </c>
      <c r="P1196" s="205">
        <v>0</v>
      </c>
      <c r="Q1196" s="205">
        <f t="shared" ca="1" si="335"/>
        <v>0</v>
      </c>
      <c r="R1196" s="205">
        <f ca="1">+IF(ISERROR(OFFSET(Tabella!$G$1,MATCH(J1196,Tabella!$G:$G,0)-1,MATCH(K1196,Tabella!$G$1:$FG$1,0)-1)=TRUE),0,OFFSET(Tabella!$G$1,MATCH(J1196,Tabella!$G:$G,0)-1,MATCH(K1196,Tabella!$G$1:$AB$1,0)-1))</f>
        <v>0</v>
      </c>
      <c r="S1196" s="205">
        <f ca="1">IF(ISERROR(OFFSET(Ottone!$F$1,MATCH(J1196,Ottone!$A:$A,0)-1,MATCH(K1196,Ottone!$F$1:$FF$1,0)-1)=TRUE),0,OFFSET(Ottone!$F$1,MATCH(J1196,Ottone!$A:$A,0)-1,MATCH(K1196,Ottone!$F$1:$FF$1,0)-1))*IF(G1196="Ottone",1,0)</f>
        <v>0</v>
      </c>
      <c r="T1196" s="205">
        <f ca="1">IF(ISERROR(OFFSET(Rame!$F$1,MATCH(J1196,Rame!$F:$F,0)-1,MATCH(K1196,Rame!$F$1:$FF$1,0)-1)=TRUE),0,OFFSET(Rame!$F$1,MATCH(J1196,Rame!$F:$F,0)-1,MATCH(K1196,Rame!$F$1:$FF$1,0)-1))*IF(G1196="Rame",1,0)</f>
        <v>0</v>
      </c>
      <c r="U1196" s="205">
        <f ca="1">IF(ISERROR(OFFSET(Bronzo!$A$1,MATCH(J1196,Bronzo!$A:$A,0)-1,MATCH(K1196,Bronzo!$A$1:$AA$1,0)-1)=TRUE),0,OFFSET(Bronzo!$A$1,MATCH(J1196,Bronzo!$A:$A,0)-1,MATCH(K1196,Bronzo!$A$1:$AA$1,0)-1))</f>
        <v>0</v>
      </c>
      <c r="V1196" s="205">
        <f t="shared" ca="1" si="336"/>
        <v>0</v>
      </c>
      <c r="W1196" s="204"/>
      <c r="X1196" s="205">
        <v>0</v>
      </c>
      <c r="Y1196" s="206">
        <f t="shared" ca="1" si="337"/>
        <v>0</v>
      </c>
      <c r="Z1196" s="277">
        <f t="shared" si="338"/>
        <v>0</v>
      </c>
      <c r="AA1196" s="203"/>
      <c r="AB1196" s="203">
        <f t="shared" ca="1" si="339"/>
        <v>0</v>
      </c>
      <c r="AC1196" s="238"/>
      <c r="AI1196" s="367">
        <f t="shared" ca="1" si="334"/>
        <v>46092</v>
      </c>
      <c r="AJ1196" s="367" t="b">
        <f t="shared" si="340"/>
        <v>1</v>
      </c>
      <c r="AK1196" s="370" t="str">
        <f t="shared" si="341"/>
        <v/>
      </c>
      <c r="AN1196">
        <f t="shared" si="342"/>
        <v>0</v>
      </c>
      <c r="AO1196">
        <f t="shared" si="343"/>
        <v>1900</v>
      </c>
      <c r="AV1196">
        <f t="shared" si="344"/>
        <v>0</v>
      </c>
      <c r="AW1196">
        <f t="shared" si="345"/>
        <v>0</v>
      </c>
    </row>
    <row r="1197" spans="4:49" ht="15.75" x14ac:dyDescent="0.25">
      <c r="D1197" s="199"/>
      <c r="E1197" s="200"/>
      <c r="F1197" s="287"/>
      <c r="G1197" s="201"/>
      <c r="H1197" s="219"/>
      <c r="I1197" s="202"/>
      <c r="J1197" s="200"/>
      <c r="K1197" s="200"/>
      <c r="L1197" s="203"/>
      <c r="M1197" s="204">
        <f ca="1">IF(ISERROR(OFFSET(Tabella!$A$1,MATCH(J1197,Tabella!$A:$A,0)-1,MATCH(L1197,Tabella!$A$1:$AC$1,0)-1)=TRUE),0,+OFFSET(Tabella!$A$1,MATCH(J1197,Tabella!$A:$A,0)-1,MATCH(L1197,Tabella!$A$1:$AC$1,0)-1))</f>
        <v>0</v>
      </c>
      <c r="N1197" s="205">
        <f ca="1">IF(ISERROR(OFFSET(Ottone!$A$1,MATCH(J1197,Ottone!$A:$A,0)-1,MATCH(L1197,Ottone!$A$1:$Z$1,0)-1)=TRUE),0,OFFSET(Ottone!$A$1,MATCH(J1197,Ottone!$A:$A,0)-1,MATCH(L1197,Ottone!$A$1:$Z$1,0)-1))*IF(G1197="Ottone",1,0)</f>
        <v>0</v>
      </c>
      <c r="O1197" s="205">
        <f ca="1">IF(ISERROR(OFFSET(Rame!$A$1,MATCH(J1197,Rame!$A:$A,0)-1,MATCH(L1197,Rame!$A$1:$AA$1,0)-1)=TRUE),0,OFFSET(Rame!$A$1,MATCH(J1197,Rame!$A:$A,0)-1,MATCH(L1197,Rame!$A$1:$AA$1,0)-1))*IF(G1197="Rame",1,0)</f>
        <v>0</v>
      </c>
      <c r="P1197" s="205">
        <v>0</v>
      </c>
      <c r="Q1197" s="205">
        <f t="shared" ca="1" si="335"/>
        <v>0</v>
      </c>
      <c r="R1197" s="205">
        <f ca="1">+IF(ISERROR(OFFSET(Tabella!$G$1,MATCH(J1197,Tabella!$G:$G,0)-1,MATCH(K1197,Tabella!$G$1:$FG$1,0)-1)=TRUE),0,OFFSET(Tabella!$G$1,MATCH(J1197,Tabella!$G:$G,0)-1,MATCH(K1197,Tabella!$G$1:$AB$1,0)-1))</f>
        <v>0</v>
      </c>
      <c r="S1197" s="205">
        <f ca="1">IF(ISERROR(OFFSET(Ottone!$F$1,MATCH(J1197,Ottone!$A:$A,0)-1,MATCH(K1197,Ottone!$F$1:$FF$1,0)-1)=TRUE),0,OFFSET(Ottone!$F$1,MATCH(J1197,Ottone!$A:$A,0)-1,MATCH(K1197,Ottone!$F$1:$FF$1,0)-1))*IF(G1197="Ottone",1,0)</f>
        <v>0</v>
      </c>
      <c r="T1197" s="205">
        <f ca="1">IF(ISERROR(OFFSET(Rame!$F$1,MATCH(J1197,Rame!$F:$F,0)-1,MATCH(K1197,Rame!$F$1:$FF$1,0)-1)=TRUE),0,OFFSET(Rame!$F$1,MATCH(J1197,Rame!$F:$F,0)-1,MATCH(K1197,Rame!$F$1:$FF$1,0)-1))*IF(G1197="Rame",1,0)</f>
        <v>0</v>
      </c>
      <c r="U1197" s="205">
        <f ca="1">IF(ISERROR(OFFSET(Bronzo!$A$1,MATCH(J1197,Bronzo!$A:$A,0)-1,MATCH(K1197,Bronzo!$A$1:$AA$1,0)-1)=TRUE),0,OFFSET(Bronzo!$A$1,MATCH(J1197,Bronzo!$A:$A,0)-1,MATCH(K1197,Bronzo!$A$1:$AA$1,0)-1))</f>
        <v>0</v>
      </c>
      <c r="V1197" s="205">
        <f t="shared" ca="1" si="336"/>
        <v>0</v>
      </c>
      <c r="W1197" s="204"/>
      <c r="X1197" s="205">
        <v>0</v>
      </c>
      <c r="Y1197" s="206">
        <f t="shared" ca="1" si="337"/>
        <v>0</v>
      </c>
      <c r="Z1197" s="277">
        <f t="shared" si="338"/>
        <v>0</v>
      </c>
      <c r="AA1197" s="203"/>
      <c r="AB1197" s="203">
        <f t="shared" ca="1" si="339"/>
        <v>0</v>
      </c>
      <c r="AC1197" s="238"/>
      <c r="AI1197" s="367">
        <f t="shared" ca="1" si="334"/>
        <v>46092</v>
      </c>
      <c r="AJ1197" s="367" t="b">
        <f t="shared" si="340"/>
        <v>1</v>
      </c>
      <c r="AK1197" s="370" t="str">
        <f t="shared" si="341"/>
        <v/>
      </c>
      <c r="AN1197">
        <f t="shared" si="342"/>
        <v>0</v>
      </c>
      <c r="AO1197">
        <f t="shared" si="343"/>
        <v>1900</v>
      </c>
      <c r="AV1197">
        <f t="shared" si="344"/>
        <v>0</v>
      </c>
      <c r="AW1197">
        <f t="shared" si="345"/>
        <v>0</v>
      </c>
    </row>
    <row r="1198" spans="4:49" ht="15.75" x14ac:dyDescent="0.25">
      <c r="D1198" s="199"/>
      <c r="E1198" s="200"/>
      <c r="F1198" s="287"/>
      <c r="G1198" s="201"/>
      <c r="H1198" s="219"/>
      <c r="I1198" s="202"/>
      <c r="J1198" s="200"/>
      <c r="K1198" s="200"/>
      <c r="L1198" s="203"/>
      <c r="M1198" s="204">
        <f ca="1">IF(ISERROR(OFFSET(Tabella!$A$1,MATCH(J1198,Tabella!$A:$A,0)-1,MATCH(L1198,Tabella!$A$1:$AC$1,0)-1)=TRUE),0,+OFFSET(Tabella!$A$1,MATCH(J1198,Tabella!$A:$A,0)-1,MATCH(L1198,Tabella!$A$1:$AC$1,0)-1))</f>
        <v>0</v>
      </c>
      <c r="N1198" s="205">
        <f ca="1">IF(ISERROR(OFFSET(Ottone!$A$1,MATCH(J1198,Ottone!$A:$A,0)-1,MATCH(L1198,Ottone!$A$1:$Z$1,0)-1)=TRUE),0,OFFSET(Ottone!$A$1,MATCH(J1198,Ottone!$A:$A,0)-1,MATCH(L1198,Ottone!$A$1:$Z$1,0)-1))*IF(G1198="Ottone",1,0)</f>
        <v>0</v>
      </c>
      <c r="O1198" s="205">
        <f ca="1">IF(ISERROR(OFFSET(Rame!$A$1,MATCH(J1198,Rame!$A:$A,0)-1,MATCH(L1198,Rame!$A$1:$AA$1,0)-1)=TRUE),0,OFFSET(Rame!$A$1,MATCH(J1198,Rame!$A:$A,0)-1,MATCH(L1198,Rame!$A$1:$AA$1,0)-1))*IF(G1198="Rame",1,0)</f>
        <v>0</v>
      </c>
      <c r="P1198" s="205">
        <v>0</v>
      </c>
      <c r="Q1198" s="205">
        <f t="shared" ca="1" si="335"/>
        <v>0</v>
      </c>
      <c r="R1198" s="205">
        <f ca="1">+IF(ISERROR(OFFSET(Tabella!$G$1,MATCH(J1198,Tabella!$G:$G,0)-1,MATCH(K1198,Tabella!$G$1:$FG$1,0)-1)=TRUE),0,OFFSET(Tabella!$G$1,MATCH(J1198,Tabella!$G:$G,0)-1,MATCH(K1198,Tabella!$G$1:$AB$1,0)-1))</f>
        <v>0</v>
      </c>
      <c r="S1198" s="205">
        <f ca="1">IF(ISERROR(OFFSET(Ottone!$F$1,MATCH(J1198,Ottone!$A:$A,0)-1,MATCH(K1198,Ottone!$F$1:$FF$1,0)-1)=TRUE),0,OFFSET(Ottone!$F$1,MATCH(J1198,Ottone!$A:$A,0)-1,MATCH(K1198,Ottone!$F$1:$FF$1,0)-1))*IF(G1198="Ottone",1,0)</f>
        <v>0</v>
      </c>
      <c r="T1198" s="205">
        <f ca="1">IF(ISERROR(OFFSET(Rame!$F$1,MATCH(J1198,Rame!$F:$F,0)-1,MATCH(K1198,Rame!$F$1:$FF$1,0)-1)=TRUE),0,OFFSET(Rame!$F$1,MATCH(J1198,Rame!$F:$F,0)-1,MATCH(K1198,Rame!$F$1:$FF$1,0)-1))*IF(G1198="Rame",1,0)</f>
        <v>0</v>
      </c>
      <c r="U1198" s="205">
        <f ca="1">IF(ISERROR(OFFSET(Bronzo!$A$1,MATCH(J1198,Bronzo!$A:$A,0)-1,MATCH(K1198,Bronzo!$A$1:$AA$1,0)-1)=TRUE),0,OFFSET(Bronzo!$A$1,MATCH(J1198,Bronzo!$A:$A,0)-1,MATCH(K1198,Bronzo!$A$1:$AA$1,0)-1))</f>
        <v>0</v>
      </c>
      <c r="V1198" s="205">
        <f t="shared" ca="1" si="336"/>
        <v>0</v>
      </c>
      <c r="W1198" s="204"/>
      <c r="X1198" s="205">
        <v>0</v>
      </c>
      <c r="Y1198" s="206">
        <f t="shared" ca="1" si="337"/>
        <v>0</v>
      </c>
      <c r="Z1198" s="277">
        <f t="shared" si="338"/>
        <v>0</v>
      </c>
      <c r="AA1198" s="203"/>
      <c r="AB1198" s="203">
        <f t="shared" ca="1" si="339"/>
        <v>0</v>
      </c>
      <c r="AC1198" s="238"/>
      <c r="AI1198" s="367">
        <f t="shared" ca="1" si="334"/>
        <v>46092</v>
      </c>
      <c r="AJ1198" s="367" t="b">
        <f t="shared" si="340"/>
        <v>1</v>
      </c>
      <c r="AK1198" s="370" t="str">
        <f t="shared" si="341"/>
        <v/>
      </c>
      <c r="AN1198">
        <f t="shared" si="342"/>
        <v>0</v>
      </c>
      <c r="AO1198">
        <f t="shared" si="343"/>
        <v>1900</v>
      </c>
      <c r="AV1198">
        <f t="shared" si="344"/>
        <v>0</v>
      </c>
      <c r="AW1198">
        <f t="shared" si="345"/>
        <v>0</v>
      </c>
    </row>
    <row r="1199" spans="4:49" ht="15.75" x14ac:dyDescent="0.25">
      <c r="D1199" s="199"/>
      <c r="E1199" s="200"/>
      <c r="F1199" s="287"/>
      <c r="G1199" s="201"/>
      <c r="H1199" s="219"/>
      <c r="I1199" s="202"/>
      <c r="J1199" s="200"/>
      <c r="K1199" s="200"/>
      <c r="L1199" s="203"/>
      <c r="M1199" s="204">
        <f ca="1">IF(ISERROR(OFFSET(Tabella!$A$1,MATCH(J1199,Tabella!$A:$A,0)-1,MATCH(L1199,Tabella!$A$1:$AC$1,0)-1)=TRUE),0,+OFFSET(Tabella!$A$1,MATCH(J1199,Tabella!$A:$A,0)-1,MATCH(L1199,Tabella!$A$1:$AC$1,0)-1))</f>
        <v>0</v>
      </c>
      <c r="N1199" s="205">
        <f ca="1">IF(ISERROR(OFFSET(Ottone!$A$1,MATCH(J1199,Ottone!$A:$A,0)-1,MATCH(L1199,Ottone!$A$1:$Z$1,0)-1)=TRUE),0,OFFSET(Ottone!$A$1,MATCH(J1199,Ottone!$A:$A,0)-1,MATCH(L1199,Ottone!$A$1:$Z$1,0)-1))*IF(G1199="Ottone",1,0)</f>
        <v>0</v>
      </c>
      <c r="O1199" s="205">
        <f ca="1">IF(ISERROR(OFFSET(Rame!$A$1,MATCH(J1199,Rame!$A:$A,0)-1,MATCH(L1199,Rame!$A$1:$AA$1,0)-1)=TRUE),0,OFFSET(Rame!$A$1,MATCH(J1199,Rame!$A:$A,0)-1,MATCH(L1199,Rame!$A$1:$AA$1,0)-1))*IF(G1199="Rame",1,0)</f>
        <v>0</v>
      </c>
      <c r="P1199" s="205">
        <v>0</v>
      </c>
      <c r="Q1199" s="205">
        <f t="shared" ca="1" si="335"/>
        <v>0</v>
      </c>
      <c r="R1199" s="205">
        <f ca="1">+IF(ISERROR(OFFSET(Tabella!$G$1,MATCH(J1199,Tabella!$G:$G,0)-1,MATCH(K1199,Tabella!$G$1:$FG$1,0)-1)=TRUE),0,OFFSET(Tabella!$G$1,MATCH(J1199,Tabella!$G:$G,0)-1,MATCH(K1199,Tabella!$G$1:$AB$1,0)-1))</f>
        <v>0</v>
      </c>
      <c r="S1199" s="205">
        <f ca="1">IF(ISERROR(OFFSET(Ottone!$F$1,MATCH(J1199,Ottone!$A:$A,0)-1,MATCH(K1199,Ottone!$F$1:$FF$1,0)-1)=TRUE),0,OFFSET(Ottone!$F$1,MATCH(J1199,Ottone!$A:$A,0)-1,MATCH(K1199,Ottone!$F$1:$FF$1,0)-1))*IF(G1199="Ottone",1,0)</f>
        <v>0</v>
      </c>
      <c r="T1199" s="205">
        <f ca="1">IF(ISERROR(OFFSET(Rame!$F$1,MATCH(J1199,Rame!$F:$F,0)-1,MATCH(K1199,Rame!$F$1:$FF$1,0)-1)=TRUE),0,OFFSET(Rame!$F$1,MATCH(J1199,Rame!$F:$F,0)-1,MATCH(K1199,Rame!$F$1:$FF$1,0)-1))*IF(G1199="Rame",1,0)</f>
        <v>0</v>
      </c>
      <c r="U1199" s="205">
        <f ca="1">IF(ISERROR(OFFSET(Bronzo!$A$1,MATCH(J1199,Bronzo!$A:$A,0)-1,MATCH(K1199,Bronzo!$A$1:$AA$1,0)-1)=TRUE),0,OFFSET(Bronzo!$A$1,MATCH(J1199,Bronzo!$A:$A,0)-1,MATCH(K1199,Bronzo!$A$1:$AA$1,0)-1))</f>
        <v>0</v>
      </c>
      <c r="V1199" s="205">
        <f t="shared" ca="1" si="336"/>
        <v>0</v>
      </c>
      <c r="W1199" s="204"/>
      <c r="X1199" s="205">
        <v>0</v>
      </c>
      <c r="Y1199" s="206">
        <f t="shared" ca="1" si="337"/>
        <v>0</v>
      </c>
      <c r="Z1199" s="277">
        <f t="shared" si="338"/>
        <v>0</v>
      </c>
      <c r="AA1199" s="203"/>
      <c r="AB1199" s="203">
        <f t="shared" ca="1" si="339"/>
        <v>0</v>
      </c>
      <c r="AC1199" s="238"/>
      <c r="AI1199" s="367">
        <f t="shared" ca="1" si="334"/>
        <v>46092</v>
      </c>
      <c r="AJ1199" s="367" t="b">
        <f t="shared" si="340"/>
        <v>1</v>
      </c>
      <c r="AK1199" s="370" t="str">
        <f t="shared" si="341"/>
        <v/>
      </c>
      <c r="AN1199">
        <f t="shared" si="342"/>
        <v>0</v>
      </c>
      <c r="AO1199">
        <f t="shared" si="343"/>
        <v>1900</v>
      </c>
      <c r="AV1199">
        <f t="shared" si="344"/>
        <v>0</v>
      </c>
      <c r="AW1199">
        <f t="shared" si="345"/>
        <v>0</v>
      </c>
    </row>
    <row r="1200" spans="4:49" ht="15.75" x14ac:dyDescent="0.25">
      <c r="D1200" s="199"/>
      <c r="E1200" s="200"/>
      <c r="F1200" s="287"/>
      <c r="G1200" s="201"/>
      <c r="H1200" s="219"/>
      <c r="I1200" s="202"/>
      <c r="J1200" s="200"/>
      <c r="K1200" s="200"/>
      <c r="L1200" s="203"/>
      <c r="M1200" s="204">
        <f ca="1">IF(ISERROR(OFFSET(Tabella!$A$1,MATCH(J1200,Tabella!$A:$A,0)-1,MATCH(L1200,Tabella!$A$1:$AC$1,0)-1)=TRUE),0,+OFFSET(Tabella!$A$1,MATCH(J1200,Tabella!$A:$A,0)-1,MATCH(L1200,Tabella!$A$1:$AC$1,0)-1))</f>
        <v>0</v>
      </c>
      <c r="N1200" s="205">
        <f ca="1">IF(ISERROR(OFFSET(Ottone!$A$1,MATCH(J1200,Ottone!$A:$A,0)-1,MATCH(L1200,Ottone!$A$1:$Z$1,0)-1)=TRUE),0,OFFSET(Ottone!$A$1,MATCH(J1200,Ottone!$A:$A,0)-1,MATCH(L1200,Ottone!$A$1:$Z$1,0)-1))*IF(G1200="Ottone",1,0)</f>
        <v>0</v>
      </c>
      <c r="O1200" s="205">
        <f ca="1">IF(ISERROR(OFFSET(Rame!$A$1,MATCH(J1200,Rame!$A:$A,0)-1,MATCH(L1200,Rame!$A$1:$AA$1,0)-1)=TRUE),0,OFFSET(Rame!$A$1,MATCH(J1200,Rame!$A:$A,0)-1,MATCH(L1200,Rame!$A$1:$AA$1,0)-1))*IF(G1200="Rame",1,0)</f>
        <v>0</v>
      </c>
      <c r="P1200" s="205">
        <v>0</v>
      </c>
      <c r="Q1200" s="205">
        <f t="shared" ca="1" si="335"/>
        <v>0</v>
      </c>
      <c r="R1200" s="205">
        <f ca="1">+IF(ISERROR(OFFSET(Tabella!$G$1,MATCH(J1200,Tabella!$G:$G,0)-1,MATCH(K1200,Tabella!$G$1:$FG$1,0)-1)=TRUE),0,OFFSET(Tabella!$G$1,MATCH(J1200,Tabella!$G:$G,0)-1,MATCH(K1200,Tabella!$G$1:$AB$1,0)-1))</f>
        <v>0</v>
      </c>
      <c r="S1200" s="205">
        <f ca="1">IF(ISERROR(OFFSET(Ottone!$F$1,MATCH(J1200,Ottone!$A:$A,0)-1,MATCH(K1200,Ottone!$F$1:$FF$1,0)-1)=TRUE),0,OFFSET(Ottone!$F$1,MATCH(J1200,Ottone!$A:$A,0)-1,MATCH(K1200,Ottone!$F$1:$FF$1,0)-1))*IF(G1200="Ottone",1,0)</f>
        <v>0</v>
      </c>
      <c r="T1200" s="205">
        <f ca="1">IF(ISERROR(OFFSET(Rame!$F$1,MATCH(J1200,Rame!$F:$F,0)-1,MATCH(K1200,Rame!$F$1:$FF$1,0)-1)=TRUE),0,OFFSET(Rame!$F$1,MATCH(J1200,Rame!$F:$F,0)-1,MATCH(K1200,Rame!$F$1:$FF$1,0)-1))*IF(G1200="Rame",1,0)</f>
        <v>0</v>
      </c>
      <c r="U1200" s="205">
        <f ca="1">IF(ISERROR(OFFSET(Bronzo!$A$1,MATCH(J1200,Bronzo!$A:$A,0)-1,MATCH(K1200,Bronzo!$A$1:$AA$1,0)-1)=TRUE),0,OFFSET(Bronzo!$A$1,MATCH(J1200,Bronzo!$A:$A,0)-1,MATCH(K1200,Bronzo!$A$1:$AA$1,0)-1))</f>
        <v>0</v>
      </c>
      <c r="V1200" s="205">
        <f t="shared" ca="1" si="336"/>
        <v>0</v>
      </c>
      <c r="W1200" s="204"/>
      <c r="X1200" s="205">
        <v>0</v>
      </c>
      <c r="Y1200" s="206">
        <f t="shared" ca="1" si="337"/>
        <v>0</v>
      </c>
      <c r="Z1200" s="277">
        <f t="shared" si="338"/>
        <v>0</v>
      </c>
      <c r="AA1200" s="203"/>
      <c r="AB1200" s="203">
        <f t="shared" ca="1" si="339"/>
        <v>0</v>
      </c>
      <c r="AC1200" s="238"/>
      <c r="AI1200" s="367">
        <f t="shared" ca="1" si="334"/>
        <v>46092</v>
      </c>
      <c r="AJ1200" s="367" t="b">
        <f t="shared" si="340"/>
        <v>1</v>
      </c>
      <c r="AK1200" s="370" t="str">
        <f t="shared" si="341"/>
        <v/>
      </c>
      <c r="AN1200">
        <f t="shared" si="342"/>
        <v>0</v>
      </c>
      <c r="AO1200">
        <f t="shared" si="343"/>
        <v>1900</v>
      </c>
      <c r="AV1200">
        <f t="shared" si="344"/>
        <v>0</v>
      </c>
      <c r="AW1200">
        <f t="shared" si="345"/>
        <v>0</v>
      </c>
    </row>
    <row r="1201" spans="4:49" ht="15.75" x14ac:dyDescent="0.25">
      <c r="D1201" s="199"/>
      <c r="E1201" s="200"/>
      <c r="F1201" s="287"/>
      <c r="G1201" s="201"/>
      <c r="H1201" s="219"/>
      <c r="I1201" s="202"/>
      <c r="J1201" s="200"/>
      <c r="K1201" s="200"/>
      <c r="L1201" s="203"/>
      <c r="M1201" s="204">
        <f ca="1">IF(ISERROR(OFFSET(Tabella!$A$1,MATCH(J1201,Tabella!$A:$A,0)-1,MATCH(L1201,Tabella!$A$1:$AC$1,0)-1)=TRUE),0,+OFFSET(Tabella!$A$1,MATCH(J1201,Tabella!$A:$A,0)-1,MATCH(L1201,Tabella!$A$1:$AC$1,0)-1))</f>
        <v>0</v>
      </c>
      <c r="N1201" s="205">
        <f ca="1">IF(ISERROR(OFFSET(Ottone!$A$1,MATCH(J1201,Ottone!$A:$A,0)-1,MATCH(L1201,Ottone!$A$1:$Z$1,0)-1)=TRUE),0,OFFSET(Ottone!$A$1,MATCH(J1201,Ottone!$A:$A,0)-1,MATCH(L1201,Ottone!$A$1:$Z$1,0)-1))*IF(G1201="Ottone",1,0)</f>
        <v>0</v>
      </c>
      <c r="O1201" s="205">
        <f ca="1">IF(ISERROR(OFFSET(Rame!$A$1,MATCH(J1201,Rame!$A:$A,0)-1,MATCH(L1201,Rame!$A$1:$AA$1,0)-1)=TRUE),0,OFFSET(Rame!$A$1,MATCH(J1201,Rame!$A:$A,0)-1,MATCH(L1201,Rame!$A$1:$AA$1,0)-1))*IF(G1201="Rame",1,0)</f>
        <v>0</v>
      </c>
      <c r="P1201" s="205">
        <v>0</v>
      </c>
      <c r="Q1201" s="205">
        <f t="shared" ca="1" si="335"/>
        <v>0</v>
      </c>
      <c r="R1201" s="205">
        <f ca="1">+IF(ISERROR(OFFSET(Tabella!$G$1,MATCH(J1201,Tabella!$G:$G,0)-1,MATCH(K1201,Tabella!$G$1:$FG$1,0)-1)=TRUE),0,OFFSET(Tabella!$G$1,MATCH(J1201,Tabella!$G:$G,0)-1,MATCH(K1201,Tabella!$G$1:$AB$1,0)-1))</f>
        <v>0</v>
      </c>
      <c r="S1201" s="205">
        <f ca="1">IF(ISERROR(OFFSET(Ottone!$F$1,MATCH(J1201,Ottone!$A:$A,0)-1,MATCH(K1201,Ottone!$F$1:$FF$1,0)-1)=TRUE),0,OFFSET(Ottone!$F$1,MATCH(J1201,Ottone!$A:$A,0)-1,MATCH(K1201,Ottone!$F$1:$FF$1,0)-1))*IF(G1201="Ottone",1,0)</f>
        <v>0</v>
      </c>
      <c r="T1201" s="205">
        <f ca="1">IF(ISERROR(OFFSET(Rame!$F$1,MATCH(J1201,Rame!$F:$F,0)-1,MATCH(K1201,Rame!$F$1:$FF$1,0)-1)=TRUE),0,OFFSET(Rame!$F$1,MATCH(J1201,Rame!$F:$F,0)-1,MATCH(K1201,Rame!$F$1:$FF$1,0)-1))*IF(G1201="Rame",1,0)</f>
        <v>0</v>
      </c>
      <c r="U1201" s="205">
        <f ca="1">IF(ISERROR(OFFSET(Bronzo!$A$1,MATCH(J1201,Bronzo!$A:$A,0)-1,MATCH(K1201,Bronzo!$A$1:$AA$1,0)-1)=TRUE),0,OFFSET(Bronzo!$A$1,MATCH(J1201,Bronzo!$A:$A,0)-1,MATCH(K1201,Bronzo!$A$1:$AA$1,0)-1))</f>
        <v>0</v>
      </c>
      <c r="V1201" s="205">
        <f t="shared" ca="1" si="336"/>
        <v>0</v>
      </c>
      <c r="W1201" s="204"/>
      <c r="X1201" s="205">
        <v>0</v>
      </c>
      <c r="Y1201" s="206">
        <f t="shared" ca="1" si="337"/>
        <v>0</v>
      </c>
      <c r="Z1201" s="277">
        <f t="shared" si="338"/>
        <v>0</v>
      </c>
      <c r="AA1201" s="203"/>
      <c r="AB1201" s="203">
        <f t="shared" ca="1" si="339"/>
        <v>0</v>
      </c>
      <c r="AC1201" s="238"/>
      <c r="AI1201" s="367">
        <f t="shared" ca="1" si="334"/>
        <v>46092</v>
      </c>
      <c r="AJ1201" s="367" t="b">
        <f t="shared" si="340"/>
        <v>1</v>
      </c>
      <c r="AK1201" s="370" t="str">
        <f t="shared" si="341"/>
        <v/>
      </c>
      <c r="AN1201">
        <f t="shared" si="342"/>
        <v>0</v>
      </c>
      <c r="AO1201">
        <f t="shared" si="343"/>
        <v>1900</v>
      </c>
      <c r="AV1201">
        <f t="shared" si="344"/>
        <v>0</v>
      </c>
      <c r="AW1201">
        <f t="shared" si="345"/>
        <v>0</v>
      </c>
    </row>
    <row r="1202" spans="4:49" ht="15.75" x14ac:dyDescent="0.25">
      <c r="D1202" s="199"/>
      <c r="E1202" s="200"/>
      <c r="F1202" s="287"/>
      <c r="G1202" s="201"/>
      <c r="H1202" s="219"/>
      <c r="I1202" s="202"/>
      <c r="J1202" s="200"/>
      <c r="K1202" s="200"/>
      <c r="L1202" s="203"/>
      <c r="M1202" s="204">
        <f ca="1">IF(ISERROR(OFFSET(Tabella!$A$1,MATCH(J1202,Tabella!$A:$A,0)-1,MATCH(L1202,Tabella!$A$1:$AC$1,0)-1)=TRUE),0,+OFFSET(Tabella!$A$1,MATCH(J1202,Tabella!$A:$A,0)-1,MATCH(L1202,Tabella!$A$1:$AC$1,0)-1))</f>
        <v>0</v>
      </c>
      <c r="N1202" s="205">
        <f ca="1">IF(ISERROR(OFFSET(Ottone!$A$1,MATCH(J1202,Ottone!$A:$A,0)-1,MATCH(L1202,Ottone!$A$1:$Z$1,0)-1)=TRUE),0,OFFSET(Ottone!$A$1,MATCH(J1202,Ottone!$A:$A,0)-1,MATCH(L1202,Ottone!$A$1:$Z$1,0)-1))*IF(G1202="Ottone",1,0)</f>
        <v>0</v>
      </c>
      <c r="O1202" s="205">
        <f ca="1">IF(ISERROR(OFFSET(Rame!$A$1,MATCH(J1202,Rame!$A:$A,0)-1,MATCH(L1202,Rame!$A$1:$AA$1,0)-1)=TRUE),0,OFFSET(Rame!$A$1,MATCH(J1202,Rame!$A:$A,0)-1,MATCH(L1202,Rame!$A$1:$AA$1,0)-1))*IF(G1202="Rame",1,0)</f>
        <v>0</v>
      </c>
      <c r="P1202" s="205">
        <v>0</v>
      </c>
      <c r="Q1202" s="205">
        <f t="shared" ca="1" si="335"/>
        <v>0</v>
      </c>
      <c r="R1202" s="205">
        <f ca="1">+IF(ISERROR(OFFSET(Tabella!$G$1,MATCH(J1202,Tabella!$G:$G,0)-1,MATCH(K1202,Tabella!$G$1:$FG$1,0)-1)=TRUE),0,OFFSET(Tabella!$G$1,MATCH(J1202,Tabella!$G:$G,0)-1,MATCH(K1202,Tabella!$G$1:$AB$1,0)-1))</f>
        <v>0</v>
      </c>
      <c r="S1202" s="205">
        <f ca="1">IF(ISERROR(OFFSET(Ottone!$F$1,MATCH(J1202,Ottone!$A:$A,0)-1,MATCH(K1202,Ottone!$F$1:$FF$1,0)-1)=TRUE),0,OFFSET(Ottone!$F$1,MATCH(J1202,Ottone!$A:$A,0)-1,MATCH(K1202,Ottone!$F$1:$FF$1,0)-1))*IF(G1202="Ottone",1,0)</f>
        <v>0</v>
      </c>
      <c r="T1202" s="205">
        <f ca="1">IF(ISERROR(OFFSET(Rame!$F$1,MATCH(J1202,Rame!$F:$F,0)-1,MATCH(K1202,Rame!$F$1:$FF$1,0)-1)=TRUE),0,OFFSET(Rame!$F$1,MATCH(J1202,Rame!$F:$F,0)-1,MATCH(K1202,Rame!$F$1:$FF$1,0)-1))*IF(G1202="Rame",1,0)</f>
        <v>0</v>
      </c>
      <c r="U1202" s="205">
        <f ca="1">IF(ISERROR(OFFSET(Bronzo!$A$1,MATCH(J1202,Bronzo!$A:$A,0)-1,MATCH(K1202,Bronzo!$A$1:$AA$1,0)-1)=TRUE),0,OFFSET(Bronzo!$A$1,MATCH(J1202,Bronzo!$A:$A,0)-1,MATCH(K1202,Bronzo!$A$1:$AA$1,0)-1))</f>
        <v>0</v>
      </c>
      <c r="V1202" s="205">
        <f t="shared" ca="1" si="336"/>
        <v>0</v>
      </c>
      <c r="W1202" s="204"/>
      <c r="X1202" s="205">
        <v>0</v>
      </c>
      <c r="Y1202" s="206">
        <f t="shared" ca="1" si="337"/>
        <v>0</v>
      </c>
      <c r="Z1202" s="277">
        <f t="shared" si="338"/>
        <v>0</v>
      </c>
      <c r="AA1202" s="203"/>
      <c r="AB1202" s="203">
        <f t="shared" ca="1" si="339"/>
        <v>0</v>
      </c>
      <c r="AC1202" s="238"/>
      <c r="AI1202" s="367">
        <f t="shared" ca="1" si="334"/>
        <v>46092</v>
      </c>
      <c r="AJ1202" s="367" t="b">
        <f t="shared" si="340"/>
        <v>1</v>
      </c>
      <c r="AK1202" s="370" t="str">
        <f t="shared" si="341"/>
        <v/>
      </c>
      <c r="AN1202">
        <f t="shared" si="342"/>
        <v>0</v>
      </c>
      <c r="AO1202">
        <f t="shared" si="343"/>
        <v>1900</v>
      </c>
      <c r="AV1202">
        <f t="shared" si="344"/>
        <v>0</v>
      </c>
      <c r="AW1202">
        <f t="shared" si="345"/>
        <v>0</v>
      </c>
    </row>
    <row r="1203" spans="4:49" ht="15.75" x14ac:dyDescent="0.25">
      <c r="D1203" s="199"/>
      <c r="E1203" s="200"/>
      <c r="F1203" s="287"/>
      <c r="G1203" s="201"/>
      <c r="H1203" s="219"/>
      <c r="I1203" s="202"/>
      <c r="J1203" s="200"/>
      <c r="K1203" s="200"/>
      <c r="L1203" s="203"/>
      <c r="M1203" s="204">
        <f ca="1">IF(ISERROR(OFFSET(Tabella!$A$1,MATCH(J1203,Tabella!$A:$A,0)-1,MATCH(L1203,Tabella!$A$1:$AC$1,0)-1)=TRUE),0,+OFFSET(Tabella!$A$1,MATCH(J1203,Tabella!$A:$A,0)-1,MATCH(L1203,Tabella!$A$1:$AC$1,0)-1))</f>
        <v>0</v>
      </c>
      <c r="N1203" s="205">
        <f ca="1">IF(ISERROR(OFFSET(Ottone!$A$1,MATCH(J1203,Ottone!$A:$A,0)-1,MATCH(L1203,Ottone!$A$1:$Z$1,0)-1)=TRUE),0,OFFSET(Ottone!$A$1,MATCH(J1203,Ottone!$A:$A,0)-1,MATCH(L1203,Ottone!$A$1:$Z$1,0)-1))*IF(G1203="Ottone",1,0)</f>
        <v>0</v>
      </c>
      <c r="O1203" s="205">
        <f ca="1">IF(ISERROR(OFFSET(Rame!$A$1,MATCH(J1203,Rame!$A:$A,0)-1,MATCH(L1203,Rame!$A$1:$AA$1,0)-1)=TRUE),0,OFFSET(Rame!$A$1,MATCH(J1203,Rame!$A:$A,0)-1,MATCH(L1203,Rame!$A$1:$AA$1,0)-1))*IF(G1203="Rame",1,0)</f>
        <v>0</v>
      </c>
      <c r="P1203" s="205">
        <v>0</v>
      </c>
      <c r="Q1203" s="205">
        <f t="shared" ca="1" si="335"/>
        <v>0</v>
      </c>
      <c r="R1203" s="205">
        <f ca="1">+IF(ISERROR(OFFSET(Tabella!$G$1,MATCH(J1203,Tabella!$G:$G,0)-1,MATCH(K1203,Tabella!$G$1:$FG$1,0)-1)=TRUE),0,OFFSET(Tabella!$G$1,MATCH(J1203,Tabella!$G:$G,0)-1,MATCH(K1203,Tabella!$G$1:$AB$1,0)-1))</f>
        <v>0</v>
      </c>
      <c r="S1203" s="205">
        <f ca="1">IF(ISERROR(OFFSET(Ottone!$F$1,MATCH(J1203,Ottone!$A:$A,0)-1,MATCH(K1203,Ottone!$F$1:$FF$1,0)-1)=TRUE),0,OFFSET(Ottone!$F$1,MATCH(J1203,Ottone!$A:$A,0)-1,MATCH(K1203,Ottone!$F$1:$FF$1,0)-1))*IF(G1203="Ottone",1,0)</f>
        <v>0</v>
      </c>
      <c r="T1203" s="205">
        <f ca="1">IF(ISERROR(OFFSET(Rame!$F$1,MATCH(J1203,Rame!$F:$F,0)-1,MATCH(K1203,Rame!$F$1:$FF$1,0)-1)=TRUE),0,OFFSET(Rame!$F$1,MATCH(J1203,Rame!$F:$F,0)-1,MATCH(K1203,Rame!$F$1:$FF$1,0)-1))*IF(G1203="Rame",1,0)</f>
        <v>0</v>
      </c>
      <c r="U1203" s="205">
        <f ca="1">IF(ISERROR(OFFSET(Bronzo!$A$1,MATCH(J1203,Bronzo!$A:$A,0)-1,MATCH(K1203,Bronzo!$A$1:$AA$1,0)-1)=TRUE),0,OFFSET(Bronzo!$A$1,MATCH(J1203,Bronzo!$A:$A,0)-1,MATCH(K1203,Bronzo!$A$1:$AA$1,0)-1))</f>
        <v>0</v>
      </c>
      <c r="V1203" s="205">
        <f t="shared" ca="1" si="336"/>
        <v>0</v>
      </c>
      <c r="W1203" s="204"/>
      <c r="X1203" s="205">
        <v>0</v>
      </c>
      <c r="Y1203" s="206">
        <f t="shared" ca="1" si="337"/>
        <v>0</v>
      </c>
      <c r="Z1203" s="277">
        <f t="shared" si="338"/>
        <v>0</v>
      </c>
      <c r="AA1203" s="203"/>
      <c r="AB1203" s="203">
        <f t="shared" ca="1" si="339"/>
        <v>0</v>
      </c>
      <c r="AC1203" s="238"/>
      <c r="AI1203" s="367">
        <f t="shared" ca="1" si="334"/>
        <v>46092</v>
      </c>
      <c r="AJ1203" s="367" t="b">
        <f t="shared" si="340"/>
        <v>1</v>
      </c>
      <c r="AK1203" s="370" t="str">
        <f t="shared" si="341"/>
        <v/>
      </c>
      <c r="AN1203">
        <f t="shared" si="342"/>
        <v>0</v>
      </c>
      <c r="AO1203">
        <f t="shared" si="343"/>
        <v>1900</v>
      </c>
      <c r="AV1203">
        <f t="shared" si="344"/>
        <v>0</v>
      </c>
      <c r="AW1203">
        <f t="shared" si="345"/>
        <v>0</v>
      </c>
    </row>
    <row r="1204" spans="4:49" ht="15.75" x14ac:dyDescent="0.25">
      <c r="D1204" s="199"/>
      <c r="E1204" s="200"/>
      <c r="F1204" s="287"/>
      <c r="G1204" s="201"/>
      <c r="H1204" s="219"/>
      <c r="I1204" s="202"/>
      <c r="J1204" s="200"/>
      <c r="K1204" s="200"/>
      <c r="L1204" s="203"/>
      <c r="M1204" s="204">
        <f ca="1">IF(ISERROR(OFFSET(Tabella!$A$1,MATCH(J1204,Tabella!$A:$A,0)-1,MATCH(L1204,Tabella!$A$1:$AC$1,0)-1)=TRUE),0,+OFFSET(Tabella!$A$1,MATCH(J1204,Tabella!$A:$A,0)-1,MATCH(L1204,Tabella!$A$1:$AC$1,0)-1))</f>
        <v>0</v>
      </c>
      <c r="N1204" s="205">
        <f ca="1">IF(ISERROR(OFFSET(Ottone!$A$1,MATCH(J1204,Ottone!$A:$A,0)-1,MATCH(L1204,Ottone!$A$1:$Z$1,0)-1)=TRUE),0,OFFSET(Ottone!$A$1,MATCH(J1204,Ottone!$A:$A,0)-1,MATCH(L1204,Ottone!$A$1:$Z$1,0)-1))*IF(G1204="Ottone",1,0)</f>
        <v>0</v>
      </c>
      <c r="O1204" s="205">
        <f ca="1">IF(ISERROR(OFFSET(Rame!$A$1,MATCH(J1204,Rame!$A:$A,0)-1,MATCH(L1204,Rame!$A$1:$AA$1,0)-1)=TRUE),0,OFFSET(Rame!$A$1,MATCH(J1204,Rame!$A:$A,0)-1,MATCH(L1204,Rame!$A$1:$AA$1,0)-1))*IF(G1204="Rame",1,0)</f>
        <v>0</v>
      </c>
      <c r="P1204" s="205">
        <v>0</v>
      </c>
      <c r="Q1204" s="205">
        <f t="shared" ca="1" si="335"/>
        <v>0</v>
      </c>
      <c r="R1204" s="205">
        <f ca="1">+IF(ISERROR(OFFSET(Tabella!$G$1,MATCH(J1204,Tabella!$G:$G,0)-1,MATCH(K1204,Tabella!$G$1:$FG$1,0)-1)=TRUE),0,OFFSET(Tabella!$G$1,MATCH(J1204,Tabella!$G:$G,0)-1,MATCH(K1204,Tabella!$G$1:$AB$1,0)-1))</f>
        <v>0</v>
      </c>
      <c r="S1204" s="205">
        <f ca="1">IF(ISERROR(OFFSET(Ottone!$F$1,MATCH(J1204,Ottone!$A:$A,0)-1,MATCH(K1204,Ottone!$F$1:$FF$1,0)-1)=TRUE),0,OFFSET(Ottone!$F$1,MATCH(J1204,Ottone!$A:$A,0)-1,MATCH(K1204,Ottone!$F$1:$FF$1,0)-1))*IF(G1204="Ottone",1,0)</f>
        <v>0</v>
      </c>
      <c r="T1204" s="205">
        <f ca="1">IF(ISERROR(OFFSET(Rame!$F$1,MATCH(J1204,Rame!$F:$F,0)-1,MATCH(K1204,Rame!$F$1:$FF$1,0)-1)=TRUE),0,OFFSET(Rame!$F$1,MATCH(J1204,Rame!$F:$F,0)-1,MATCH(K1204,Rame!$F$1:$FF$1,0)-1))*IF(G1204="Rame",1,0)</f>
        <v>0</v>
      </c>
      <c r="U1204" s="205">
        <f ca="1">IF(ISERROR(OFFSET(Bronzo!$A$1,MATCH(J1204,Bronzo!$A:$A,0)-1,MATCH(K1204,Bronzo!$A$1:$AA$1,0)-1)=TRUE),0,OFFSET(Bronzo!$A$1,MATCH(J1204,Bronzo!$A:$A,0)-1,MATCH(K1204,Bronzo!$A$1:$AA$1,0)-1))</f>
        <v>0</v>
      </c>
      <c r="V1204" s="205">
        <f t="shared" ca="1" si="336"/>
        <v>0</v>
      </c>
      <c r="W1204" s="204"/>
      <c r="X1204" s="205">
        <v>0</v>
      </c>
      <c r="Y1204" s="206">
        <f t="shared" ca="1" si="337"/>
        <v>0</v>
      </c>
      <c r="Z1204" s="277">
        <f t="shared" si="338"/>
        <v>0</v>
      </c>
      <c r="AA1204" s="203"/>
      <c r="AB1204" s="203">
        <f t="shared" ca="1" si="339"/>
        <v>0</v>
      </c>
      <c r="AC1204" s="238"/>
      <c r="AI1204" s="367">
        <f t="shared" ca="1" si="334"/>
        <v>46092</v>
      </c>
      <c r="AJ1204" s="367" t="b">
        <f t="shared" si="340"/>
        <v>1</v>
      </c>
      <c r="AK1204" s="370" t="str">
        <f t="shared" si="341"/>
        <v/>
      </c>
      <c r="AN1204">
        <f t="shared" si="342"/>
        <v>0</v>
      </c>
      <c r="AO1204">
        <f t="shared" si="343"/>
        <v>1900</v>
      </c>
      <c r="AV1204">
        <f t="shared" si="344"/>
        <v>0</v>
      </c>
      <c r="AW1204">
        <f t="shared" si="345"/>
        <v>0</v>
      </c>
    </row>
    <row r="1205" spans="4:49" ht="15.75" x14ac:dyDescent="0.25">
      <c r="D1205" s="199"/>
      <c r="E1205" s="200"/>
      <c r="F1205" s="287"/>
      <c r="G1205" s="201"/>
      <c r="H1205" s="219"/>
      <c r="I1205" s="202"/>
      <c r="J1205" s="200"/>
      <c r="K1205" s="200"/>
      <c r="L1205" s="203"/>
      <c r="M1205" s="204">
        <f ca="1">IF(ISERROR(OFFSET(Tabella!$A$1,MATCH(J1205,Tabella!$A:$A,0)-1,MATCH(L1205,Tabella!$A$1:$AC$1,0)-1)=TRUE),0,+OFFSET(Tabella!$A$1,MATCH(J1205,Tabella!$A:$A,0)-1,MATCH(L1205,Tabella!$A$1:$AC$1,0)-1))</f>
        <v>0</v>
      </c>
      <c r="N1205" s="205">
        <f ca="1">IF(ISERROR(OFFSET(Ottone!$A$1,MATCH(J1205,Ottone!$A:$A,0)-1,MATCH(L1205,Ottone!$A$1:$Z$1,0)-1)=TRUE),0,OFFSET(Ottone!$A$1,MATCH(J1205,Ottone!$A:$A,0)-1,MATCH(L1205,Ottone!$A$1:$Z$1,0)-1))*IF(G1205="Ottone",1,0)</f>
        <v>0</v>
      </c>
      <c r="O1205" s="205">
        <f ca="1">IF(ISERROR(OFFSET(Rame!$A$1,MATCH(J1205,Rame!$A:$A,0)-1,MATCH(L1205,Rame!$A$1:$AA$1,0)-1)=TRUE),0,OFFSET(Rame!$A$1,MATCH(J1205,Rame!$A:$A,0)-1,MATCH(L1205,Rame!$A$1:$AA$1,0)-1))*IF(G1205="Rame",1,0)</f>
        <v>0</v>
      </c>
      <c r="P1205" s="205">
        <v>0</v>
      </c>
      <c r="Q1205" s="205">
        <f t="shared" ca="1" si="335"/>
        <v>0</v>
      </c>
      <c r="R1205" s="205">
        <f ca="1">+IF(ISERROR(OFFSET(Tabella!$G$1,MATCH(J1205,Tabella!$G:$G,0)-1,MATCH(K1205,Tabella!$G$1:$FG$1,0)-1)=TRUE),0,OFFSET(Tabella!$G$1,MATCH(J1205,Tabella!$G:$G,0)-1,MATCH(K1205,Tabella!$G$1:$AB$1,0)-1))</f>
        <v>0</v>
      </c>
      <c r="S1205" s="205">
        <f ca="1">IF(ISERROR(OFFSET(Ottone!$F$1,MATCH(J1205,Ottone!$A:$A,0)-1,MATCH(K1205,Ottone!$F$1:$FF$1,0)-1)=TRUE),0,OFFSET(Ottone!$F$1,MATCH(J1205,Ottone!$A:$A,0)-1,MATCH(K1205,Ottone!$F$1:$FF$1,0)-1))*IF(G1205="Ottone",1,0)</f>
        <v>0</v>
      </c>
      <c r="T1205" s="205">
        <f ca="1">IF(ISERROR(OFFSET(Rame!$F$1,MATCH(J1205,Rame!$F:$F,0)-1,MATCH(K1205,Rame!$F$1:$FF$1,0)-1)=TRUE),0,OFFSET(Rame!$F$1,MATCH(J1205,Rame!$F:$F,0)-1,MATCH(K1205,Rame!$F$1:$FF$1,0)-1))*IF(G1205="Rame",1,0)</f>
        <v>0</v>
      </c>
      <c r="U1205" s="205">
        <f ca="1">IF(ISERROR(OFFSET(Bronzo!$A$1,MATCH(J1205,Bronzo!$A:$A,0)-1,MATCH(K1205,Bronzo!$A$1:$AA$1,0)-1)=TRUE),0,OFFSET(Bronzo!$A$1,MATCH(J1205,Bronzo!$A:$A,0)-1,MATCH(K1205,Bronzo!$A$1:$AA$1,0)-1))</f>
        <v>0</v>
      </c>
      <c r="V1205" s="205">
        <f t="shared" ca="1" si="336"/>
        <v>0</v>
      </c>
      <c r="W1205" s="204"/>
      <c r="X1205" s="205">
        <v>0</v>
      </c>
      <c r="Y1205" s="206">
        <f t="shared" ca="1" si="337"/>
        <v>0</v>
      </c>
      <c r="Z1205" s="277">
        <f t="shared" si="338"/>
        <v>0</v>
      </c>
      <c r="AA1205" s="203"/>
      <c r="AB1205" s="203">
        <f t="shared" ca="1" si="339"/>
        <v>0</v>
      </c>
      <c r="AC1205" s="238"/>
      <c r="AI1205" s="367">
        <f t="shared" ca="1" si="334"/>
        <v>46092</v>
      </c>
      <c r="AJ1205" s="367" t="b">
        <f t="shared" si="340"/>
        <v>1</v>
      </c>
      <c r="AK1205" s="370" t="str">
        <f t="shared" si="341"/>
        <v/>
      </c>
      <c r="AN1205">
        <f t="shared" si="342"/>
        <v>0</v>
      </c>
      <c r="AO1205">
        <f t="shared" si="343"/>
        <v>1900</v>
      </c>
      <c r="AV1205">
        <f t="shared" si="344"/>
        <v>0</v>
      </c>
      <c r="AW1205">
        <f t="shared" si="345"/>
        <v>0</v>
      </c>
    </row>
    <row r="1206" spans="4:49" ht="15.75" x14ac:dyDescent="0.25">
      <c r="D1206" s="199"/>
      <c r="E1206" s="200"/>
      <c r="F1206" s="287"/>
      <c r="G1206" s="201"/>
      <c r="H1206" s="219"/>
      <c r="I1206" s="202"/>
      <c r="J1206" s="200"/>
      <c r="K1206" s="200"/>
      <c r="L1206" s="203"/>
      <c r="M1206" s="204">
        <f ca="1">IF(ISERROR(OFFSET(Tabella!$A$1,MATCH(J1206,Tabella!$A:$A,0)-1,MATCH(L1206,Tabella!$A$1:$AC$1,0)-1)=TRUE),0,+OFFSET(Tabella!$A$1,MATCH(J1206,Tabella!$A:$A,0)-1,MATCH(L1206,Tabella!$A$1:$AC$1,0)-1))</f>
        <v>0</v>
      </c>
      <c r="N1206" s="205">
        <f ca="1">IF(ISERROR(OFFSET(Ottone!$A$1,MATCH(J1206,Ottone!$A:$A,0)-1,MATCH(L1206,Ottone!$A$1:$Z$1,0)-1)=TRUE),0,OFFSET(Ottone!$A$1,MATCH(J1206,Ottone!$A:$A,0)-1,MATCH(L1206,Ottone!$A$1:$Z$1,0)-1))*IF(G1206="Ottone",1,0)</f>
        <v>0</v>
      </c>
      <c r="O1206" s="205">
        <f ca="1">IF(ISERROR(OFFSET(Rame!$A$1,MATCH(J1206,Rame!$A:$A,0)-1,MATCH(L1206,Rame!$A$1:$AA$1,0)-1)=TRUE),0,OFFSET(Rame!$A$1,MATCH(J1206,Rame!$A:$A,0)-1,MATCH(L1206,Rame!$A$1:$AA$1,0)-1))*IF(G1206="Rame",1,0)</f>
        <v>0</v>
      </c>
      <c r="P1206" s="205">
        <v>0</v>
      </c>
      <c r="Q1206" s="205">
        <f t="shared" ca="1" si="335"/>
        <v>0</v>
      </c>
      <c r="R1206" s="205">
        <f ca="1">+IF(ISERROR(OFFSET(Tabella!$G$1,MATCH(J1206,Tabella!$G:$G,0)-1,MATCH(K1206,Tabella!$G$1:$FG$1,0)-1)=TRUE),0,OFFSET(Tabella!$G$1,MATCH(J1206,Tabella!$G:$G,0)-1,MATCH(K1206,Tabella!$G$1:$AB$1,0)-1))</f>
        <v>0</v>
      </c>
      <c r="S1206" s="205">
        <f ca="1">IF(ISERROR(OFFSET(Ottone!$F$1,MATCH(J1206,Ottone!$A:$A,0)-1,MATCH(K1206,Ottone!$F$1:$FF$1,0)-1)=TRUE),0,OFFSET(Ottone!$F$1,MATCH(J1206,Ottone!$A:$A,0)-1,MATCH(K1206,Ottone!$F$1:$FF$1,0)-1))*IF(G1206="Ottone",1,0)</f>
        <v>0</v>
      </c>
      <c r="T1206" s="205">
        <f ca="1">IF(ISERROR(OFFSET(Rame!$F$1,MATCH(J1206,Rame!$F:$F,0)-1,MATCH(K1206,Rame!$F$1:$FF$1,0)-1)=TRUE),0,OFFSET(Rame!$F$1,MATCH(J1206,Rame!$F:$F,0)-1,MATCH(K1206,Rame!$F$1:$FF$1,0)-1))*IF(G1206="Rame",1,0)</f>
        <v>0</v>
      </c>
      <c r="U1206" s="205">
        <f ca="1">IF(ISERROR(OFFSET(Bronzo!$A$1,MATCH(J1206,Bronzo!$A:$A,0)-1,MATCH(K1206,Bronzo!$A$1:$AA$1,0)-1)=TRUE),0,OFFSET(Bronzo!$A$1,MATCH(J1206,Bronzo!$A:$A,0)-1,MATCH(K1206,Bronzo!$A$1:$AA$1,0)-1))</f>
        <v>0</v>
      </c>
      <c r="V1206" s="205">
        <f t="shared" ca="1" si="336"/>
        <v>0</v>
      </c>
      <c r="W1206" s="204"/>
      <c r="X1206" s="205">
        <v>0</v>
      </c>
      <c r="Y1206" s="206">
        <f t="shared" ca="1" si="337"/>
        <v>0</v>
      </c>
      <c r="Z1206" s="277">
        <f t="shared" si="338"/>
        <v>0</v>
      </c>
      <c r="AA1206" s="203"/>
      <c r="AB1206" s="203">
        <f t="shared" ca="1" si="339"/>
        <v>0</v>
      </c>
      <c r="AC1206" s="238"/>
      <c r="AI1206" s="367">
        <f t="shared" ca="1" si="334"/>
        <v>46092</v>
      </c>
      <c r="AJ1206" s="367" t="b">
        <f t="shared" si="340"/>
        <v>1</v>
      </c>
      <c r="AK1206" s="370" t="str">
        <f t="shared" si="341"/>
        <v/>
      </c>
      <c r="AN1206">
        <f t="shared" si="342"/>
        <v>0</v>
      </c>
      <c r="AO1206">
        <f t="shared" si="343"/>
        <v>1900</v>
      </c>
      <c r="AV1206">
        <f t="shared" si="344"/>
        <v>0</v>
      </c>
      <c r="AW1206">
        <f t="shared" si="345"/>
        <v>0</v>
      </c>
    </row>
    <row r="1207" spans="4:49" ht="15.75" x14ac:dyDescent="0.25">
      <c r="D1207" s="199"/>
      <c r="E1207" s="200"/>
      <c r="F1207" s="287"/>
      <c r="G1207" s="201"/>
      <c r="H1207" s="219"/>
      <c r="I1207" s="202"/>
      <c r="J1207" s="200"/>
      <c r="K1207" s="200"/>
      <c r="L1207" s="203"/>
      <c r="M1207" s="204">
        <f ca="1">IF(ISERROR(OFFSET(Tabella!$A$1,MATCH(J1207,Tabella!$A:$A,0)-1,MATCH(L1207,Tabella!$A$1:$AC$1,0)-1)=TRUE),0,+OFFSET(Tabella!$A$1,MATCH(J1207,Tabella!$A:$A,0)-1,MATCH(L1207,Tabella!$A$1:$AC$1,0)-1))</f>
        <v>0</v>
      </c>
      <c r="N1207" s="205">
        <f ca="1">IF(ISERROR(OFFSET(Ottone!$A$1,MATCH(J1207,Ottone!$A:$A,0)-1,MATCH(L1207,Ottone!$A$1:$Z$1,0)-1)=TRUE),0,OFFSET(Ottone!$A$1,MATCH(J1207,Ottone!$A:$A,0)-1,MATCH(L1207,Ottone!$A$1:$Z$1,0)-1))*IF(G1207="Ottone",1,0)</f>
        <v>0</v>
      </c>
      <c r="O1207" s="205">
        <f ca="1">IF(ISERROR(OFFSET(Rame!$A$1,MATCH(J1207,Rame!$A:$A,0)-1,MATCH(L1207,Rame!$A$1:$AA$1,0)-1)=TRUE),0,OFFSET(Rame!$A$1,MATCH(J1207,Rame!$A:$A,0)-1,MATCH(L1207,Rame!$A$1:$AA$1,0)-1))*IF(G1207="Rame",1,0)</f>
        <v>0</v>
      </c>
      <c r="P1207" s="205">
        <v>0</v>
      </c>
      <c r="Q1207" s="205">
        <f t="shared" ca="1" si="335"/>
        <v>0</v>
      </c>
      <c r="R1207" s="205">
        <f ca="1">+IF(ISERROR(OFFSET(Tabella!$G$1,MATCH(J1207,Tabella!$G:$G,0)-1,MATCH(K1207,Tabella!$G$1:$FG$1,0)-1)=TRUE),0,OFFSET(Tabella!$G$1,MATCH(J1207,Tabella!$G:$G,0)-1,MATCH(K1207,Tabella!$G$1:$AB$1,0)-1))</f>
        <v>0</v>
      </c>
      <c r="S1207" s="205">
        <f ca="1">IF(ISERROR(OFFSET(Ottone!$F$1,MATCH(J1207,Ottone!$A:$A,0)-1,MATCH(K1207,Ottone!$F$1:$FF$1,0)-1)=TRUE),0,OFFSET(Ottone!$F$1,MATCH(J1207,Ottone!$A:$A,0)-1,MATCH(K1207,Ottone!$F$1:$FF$1,0)-1))*IF(G1207="Ottone",1,0)</f>
        <v>0</v>
      </c>
      <c r="T1207" s="205">
        <f ca="1">IF(ISERROR(OFFSET(Rame!$F$1,MATCH(J1207,Rame!$F:$F,0)-1,MATCH(K1207,Rame!$F$1:$FF$1,0)-1)=TRUE),0,OFFSET(Rame!$F$1,MATCH(J1207,Rame!$F:$F,0)-1,MATCH(K1207,Rame!$F$1:$FF$1,0)-1))*IF(G1207="Rame",1,0)</f>
        <v>0</v>
      </c>
      <c r="U1207" s="205">
        <f ca="1">IF(ISERROR(OFFSET(Bronzo!$A$1,MATCH(J1207,Bronzo!$A:$A,0)-1,MATCH(K1207,Bronzo!$A$1:$AA$1,0)-1)=TRUE),0,OFFSET(Bronzo!$A$1,MATCH(J1207,Bronzo!$A:$A,0)-1,MATCH(K1207,Bronzo!$A$1:$AA$1,0)-1))</f>
        <v>0</v>
      </c>
      <c r="V1207" s="205">
        <f t="shared" ca="1" si="336"/>
        <v>0</v>
      </c>
      <c r="W1207" s="204"/>
      <c r="X1207" s="205">
        <v>0</v>
      </c>
      <c r="Y1207" s="206">
        <f t="shared" ca="1" si="337"/>
        <v>0</v>
      </c>
      <c r="Z1207" s="277">
        <f t="shared" si="338"/>
        <v>0</v>
      </c>
      <c r="AA1207" s="203"/>
      <c r="AB1207" s="203">
        <f t="shared" ca="1" si="339"/>
        <v>0</v>
      </c>
      <c r="AC1207" s="238"/>
      <c r="AI1207" s="367">
        <f t="shared" ca="1" si="334"/>
        <v>46092</v>
      </c>
      <c r="AJ1207" s="367" t="b">
        <f t="shared" si="340"/>
        <v>1</v>
      </c>
      <c r="AK1207" s="370" t="str">
        <f t="shared" si="341"/>
        <v/>
      </c>
      <c r="AN1207">
        <f t="shared" si="342"/>
        <v>0</v>
      </c>
      <c r="AO1207">
        <f t="shared" si="343"/>
        <v>1900</v>
      </c>
      <c r="AV1207">
        <f t="shared" si="344"/>
        <v>0</v>
      </c>
      <c r="AW1207">
        <f t="shared" si="345"/>
        <v>0</v>
      </c>
    </row>
    <row r="1208" spans="4:49" ht="15.75" x14ac:dyDescent="0.25">
      <c r="D1208" s="199"/>
      <c r="E1208" s="200"/>
      <c r="F1208" s="287"/>
      <c r="G1208" s="201"/>
      <c r="H1208" s="219"/>
      <c r="I1208" s="202"/>
      <c r="J1208" s="200"/>
      <c r="K1208" s="200"/>
      <c r="L1208" s="203"/>
      <c r="M1208" s="204">
        <f ca="1">IF(ISERROR(OFFSET(Tabella!$A$1,MATCH(J1208,Tabella!$A:$A,0)-1,MATCH(L1208,Tabella!$A$1:$AC$1,0)-1)=TRUE),0,+OFFSET(Tabella!$A$1,MATCH(J1208,Tabella!$A:$A,0)-1,MATCH(L1208,Tabella!$A$1:$AC$1,0)-1))</f>
        <v>0</v>
      </c>
      <c r="N1208" s="205">
        <f ca="1">IF(ISERROR(OFFSET(Ottone!$A$1,MATCH(J1208,Ottone!$A:$A,0)-1,MATCH(L1208,Ottone!$A$1:$Z$1,0)-1)=TRUE),0,OFFSET(Ottone!$A$1,MATCH(J1208,Ottone!$A:$A,0)-1,MATCH(L1208,Ottone!$A$1:$Z$1,0)-1))*IF(G1208="Ottone",1,0)</f>
        <v>0</v>
      </c>
      <c r="O1208" s="205">
        <f ca="1">IF(ISERROR(OFFSET(Rame!$A$1,MATCH(J1208,Rame!$A:$A,0)-1,MATCH(L1208,Rame!$A$1:$AA$1,0)-1)=TRUE),0,OFFSET(Rame!$A$1,MATCH(J1208,Rame!$A:$A,0)-1,MATCH(L1208,Rame!$A$1:$AA$1,0)-1))*IF(G1208="Rame",1,0)</f>
        <v>0</v>
      </c>
      <c r="P1208" s="205">
        <v>0</v>
      </c>
      <c r="Q1208" s="205">
        <f t="shared" ca="1" si="335"/>
        <v>0</v>
      </c>
      <c r="R1208" s="205">
        <f ca="1">+IF(ISERROR(OFFSET(Tabella!$G$1,MATCH(J1208,Tabella!$G:$G,0)-1,MATCH(K1208,Tabella!$G$1:$FG$1,0)-1)=TRUE),0,OFFSET(Tabella!$G$1,MATCH(J1208,Tabella!$G:$G,0)-1,MATCH(K1208,Tabella!$G$1:$AB$1,0)-1))</f>
        <v>0</v>
      </c>
      <c r="S1208" s="205">
        <f ca="1">IF(ISERROR(OFFSET(Ottone!$F$1,MATCH(J1208,Ottone!$A:$A,0)-1,MATCH(K1208,Ottone!$F$1:$FF$1,0)-1)=TRUE),0,OFFSET(Ottone!$F$1,MATCH(J1208,Ottone!$A:$A,0)-1,MATCH(K1208,Ottone!$F$1:$FF$1,0)-1))*IF(G1208="Ottone",1,0)</f>
        <v>0</v>
      </c>
      <c r="T1208" s="205">
        <f ca="1">IF(ISERROR(OFFSET(Rame!$F$1,MATCH(J1208,Rame!$F:$F,0)-1,MATCH(K1208,Rame!$F$1:$FF$1,0)-1)=TRUE),0,OFFSET(Rame!$F$1,MATCH(J1208,Rame!$F:$F,0)-1,MATCH(K1208,Rame!$F$1:$FF$1,0)-1))*IF(G1208="Rame",1,0)</f>
        <v>0</v>
      </c>
      <c r="U1208" s="205">
        <f ca="1">IF(ISERROR(OFFSET(Bronzo!$A$1,MATCH(J1208,Bronzo!$A:$A,0)-1,MATCH(K1208,Bronzo!$A$1:$AA$1,0)-1)=TRUE),0,OFFSET(Bronzo!$A$1,MATCH(J1208,Bronzo!$A:$A,0)-1,MATCH(K1208,Bronzo!$A$1:$AA$1,0)-1))</f>
        <v>0</v>
      </c>
      <c r="V1208" s="205">
        <f t="shared" ca="1" si="336"/>
        <v>0</v>
      </c>
      <c r="W1208" s="204"/>
      <c r="X1208" s="205">
        <v>0</v>
      </c>
      <c r="Y1208" s="206">
        <f t="shared" ca="1" si="337"/>
        <v>0</v>
      </c>
      <c r="Z1208" s="277">
        <f t="shared" si="338"/>
        <v>0</v>
      </c>
      <c r="AA1208" s="203"/>
      <c r="AB1208" s="203">
        <f t="shared" ca="1" si="339"/>
        <v>0</v>
      </c>
      <c r="AC1208" s="238"/>
      <c r="AI1208" s="367">
        <f t="shared" ca="1" si="334"/>
        <v>46092</v>
      </c>
      <c r="AJ1208" s="367" t="b">
        <f t="shared" si="340"/>
        <v>1</v>
      </c>
      <c r="AK1208" s="370" t="str">
        <f t="shared" si="341"/>
        <v/>
      </c>
      <c r="AN1208">
        <f t="shared" si="342"/>
        <v>0</v>
      </c>
      <c r="AO1208">
        <f t="shared" si="343"/>
        <v>1900</v>
      </c>
      <c r="AV1208">
        <f t="shared" si="344"/>
        <v>0</v>
      </c>
      <c r="AW1208">
        <f t="shared" si="345"/>
        <v>0</v>
      </c>
    </row>
    <row r="1209" spans="4:49" ht="15.75" x14ac:dyDescent="0.25">
      <c r="D1209" s="199"/>
      <c r="E1209" s="200"/>
      <c r="F1209" s="287"/>
      <c r="G1209" s="201"/>
      <c r="H1209" s="219"/>
      <c r="I1209" s="202"/>
      <c r="J1209" s="200"/>
      <c r="K1209" s="200"/>
      <c r="L1209" s="203"/>
      <c r="M1209" s="204">
        <f ca="1">IF(ISERROR(OFFSET(Tabella!$A$1,MATCH(J1209,Tabella!$A:$A,0)-1,MATCH(L1209,Tabella!$A$1:$AC$1,0)-1)=TRUE),0,+OFFSET(Tabella!$A$1,MATCH(J1209,Tabella!$A:$A,0)-1,MATCH(L1209,Tabella!$A$1:$AC$1,0)-1))</f>
        <v>0</v>
      </c>
      <c r="N1209" s="205">
        <f ca="1">IF(ISERROR(OFFSET(Ottone!$A$1,MATCH(J1209,Ottone!$A:$A,0)-1,MATCH(L1209,Ottone!$A$1:$Z$1,0)-1)=TRUE),0,OFFSET(Ottone!$A$1,MATCH(J1209,Ottone!$A:$A,0)-1,MATCH(L1209,Ottone!$A$1:$Z$1,0)-1))*IF(G1209="Ottone",1,0)</f>
        <v>0</v>
      </c>
      <c r="O1209" s="205">
        <f ca="1">IF(ISERROR(OFFSET(Rame!$A$1,MATCH(J1209,Rame!$A:$A,0)-1,MATCH(L1209,Rame!$A$1:$AA$1,0)-1)=TRUE),0,OFFSET(Rame!$A$1,MATCH(J1209,Rame!$A:$A,0)-1,MATCH(L1209,Rame!$A$1:$AA$1,0)-1))*IF(G1209="Rame",1,0)</f>
        <v>0</v>
      </c>
      <c r="P1209" s="205">
        <v>0</v>
      </c>
      <c r="Q1209" s="205">
        <f t="shared" ca="1" si="335"/>
        <v>0</v>
      </c>
      <c r="R1209" s="205">
        <f ca="1">+IF(ISERROR(OFFSET(Tabella!$G$1,MATCH(J1209,Tabella!$G:$G,0)-1,MATCH(K1209,Tabella!$G$1:$FG$1,0)-1)=TRUE),0,OFFSET(Tabella!$G$1,MATCH(J1209,Tabella!$G:$G,0)-1,MATCH(K1209,Tabella!$G$1:$AB$1,0)-1))</f>
        <v>0</v>
      </c>
      <c r="S1209" s="205">
        <f ca="1">IF(ISERROR(OFFSET(Ottone!$F$1,MATCH(J1209,Ottone!$A:$A,0)-1,MATCH(K1209,Ottone!$F$1:$FF$1,0)-1)=TRUE),0,OFFSET(Ottone!$F$1,MATCH(J1209,Ottone!$A:$A,0)-1,MATCH(K1209,Ottone!$F$1:$FF$1,0)-1))*IF(G1209="Ottone",1,0)</f>
        <v>0</v>
      </c>
      <c r="T1209" s="205">
        <f ca="1">IF(ISERROR(OFFSET(Rame!$F$1,MATCH(J1209,Rame!$F:$F,0)-1,MATCH(K1209,Rame!$F$1:$FF$1,0)-1)=TRUE),0,OFFSET(Rame!$F$1,MATCH(J1209,Rame!$F:$F,0)-1,MATCH(K1209,Rame!$F$1:$FF$1,0)-1))*IF(G1209="Rame",1,0)</f>
        <v>0</v>
      </c>
      <c r="U1209" s="205">
        <f ca="1">IF(ISERROR(OFFSET(Bronzo!$A$1,MATCH(J1209,Bronzo!$A:$A,0)-1,MATCH(K1209,Bronzo!$A$1:$AA$1,0)-1)=TRUE),0,OFFSET(Bronzo!$A$1,MATCH(J1209,Bronzo!$A:$A,0)-1,MATCH(K1209,Bronzo!$A$1:$AA$1,0)-1))</f>
        <v>0</v>
      </c>
      <c r="V1209" s="205">
        <f t="shared" ca="1" si="336"/>
        <v>0</v>
      </c>
      <c r="W1209" s="204"/>
      <c r="X1209" s="205">
        <v>0</v>
      </c>
      <c r="Y1209" s="206">
        <f t="shared" ca="1" si="337"/>
        <v>0</v>
      </c>
      <c r="Z1209" s="277">
        <f t="shared" si="338"/>
        <v>0</v>
      </c>
      <c r="AA1209" s="203"/>
      <c r="AB1209" s="203">
        <f t="shared" ca="1" si="339"/>
        <v>0</v>
      </c>
      <c r="AC1209" s="238"/>
      <c r="AI1209" s="367">
        <f t="shared" ca="1" si="334"/>
        <v>46092</v>
      </c>
      <c r="AJ1209" s="367" t="b">
        <f t="shared" si="340"/>
        <v>1</v>
      </c>
      <c r="AK1209" s="370" t="str">
        <f t="shared" si="341"/>
        <v/>
      </c>
      <c r="AN1209">
        <f t="shared" si="342"/>
        <v>0</v>
      </c>
      <c r="AO1209">
        <f t="shared" si="343"/>
        <v>1900</v>
      </c>
      <c r="AV1209">
        <f t="shared" si="344"/>
        <v>0</v>
      </c>
      <c r="AW1209">
        <f t="shared" si="345"/>
        <v>0</v>
      </c>
    </row>
    <row r="1210" spans="4:49" ht="15.75" x14ac:dyDescent="0.25">
      <c r="D1210" s="199"/>
      <c r="E1210" s="200"/>
      <c r="F1210" s="287"/>
      <c r="G1210" s="201"/>
      <c r="H1210" s="219"/>
      <c r="I1210" s="202"/>
      <c r="J1210" s="200"/>
      <c r="K1210" s="200"/>
      <c r="L1210" s="203"/>
      <c r="M1210" s="204">
        <f ca="1">IF(ISERROR(OFFSET(Tabella!$A$1,MATCH(J1210,Tabella!$A:$A,0)-1,MATCH(L1210,Tabella!$A$1:$AC$1,0)-1)=TRUE),0,+OFFSET(Tabella!$A$1,MATCH(J1210,Tabella!$A:$A,0)-1,MATCH(L1210,Tabella!$A$1:$AC$1,0)-1))</f>
        <v>0</v>
      </c>
      <c r="N1210" s="205">
        <f ca="1">IF(ISERROR(OFFSET(Ottone!$A$1,MATCH(J1210,Ottone!$A:$A,0)-1,MATCH(L1210,Ottone!$A$1:$Z$1,0)-1)=TRUE),0,OFFSET(Ottone!$A$1,MATCH(J1210,Ottone!$A:$A,0)-1,MATCH(L1210,Ottone!$A$1:$Z$1,0)-1))*IF(G1210="Ottone",1,0)</f>
        <v>0</v>
      </c>
      <c r="O1210" s="205">
        <f ca="1">IF(ISERROR(OFFSET(Rame!$A$1,MATCH(J1210,Rame!$A:$A,0)-1,MATCH(L1210,Rame!$A$1:$AA$1,0)-1)=TRUE),0,OFFSET(Rame!$A$1,MATCH(J1210,Rame!$A:$A,0)-1,MATCH(L1210,Rame!$A$1:$AA$1,0)-1))*IF(G1210="Rame",1,0)</f>
        <v>0</v>
      </c>
      <c r="P1210" s="205">
        <v>0</v>
      </c>
      <c r="Q1210" s="205">
        <f t="shared" ca="1" si="335"/>
        <v>0</v>
      </c>
      <c r="R1210" s="205">
        <f ca="1">+IF(ISERROR(OFFSET(Tabella!$G$1,MATCH(J1210,Tabella!$G:$G,0)-1,MATCH(K1210,Tabella!$G$1:$FG$1,0)-1)=TRUE),0,OFFSET(Tabella!$G$1,MATCH(J1210,Tabella!$G:$G,0)-1,MATCH(K1210,Tabella!$G$1:$AB$1,0)-1))</f>
        <v>0</v>
      </c>
      <c r="S1210" s="205">
        <f ca="1">IF(ISERROR(OFFSET(Ottone!$F$1,MATCH(J1210,Ottone!$A:$A,0)-1,MATCH(K1210,Ottone!$F$1:$FF$1,0)-1)=TRUE),0,OFFSET(Ottone!$F$1,MATCH(J1210,Ottone!$A:$A,0)-1,MATCH(K1210,Ottone!$F$1:$FF$1,0)-1))*IF(G1210="Ottone",1,0)</f>
        <v>0</v>
      </c>
      <c r="T1210" s="205">
        <f ca="1">IF(ISERROR(OFFSET(Rame!$F$1,MATCH(J1210,Rame!$F:$F,0)-1,MATCH(K1210,Rame!$F$1:$FF$1,0)-1)=TRUE),0,OFFSET(Rame!$F$1,MATCH(J1210,Rame!$F:$F,0)-1,MATCH(K1210,Rame!$F$1:$FF$1,0)-1))*IF(G1210="Rame",1,0)</f>
        <v>0</v>
      </c>
      <c r="U1210" s="205">
        <f ca="1">IF(ISERROR(OFFSET(Bronzo!$A$1,MATCH(J1210,Bronzo!$A:$A,0)-1,MATCH(K1210,Bronzo!$A$1:$AA$1,0)-1)=TRUE),0,OFFSET(Bronzo!$A$1,MATCH(J1210,Bronzo!$A:$A,0)-1,MATCH(K1210,Bronzo!$A$1:$AA$1,0)-1))</f>
        <v>0</v>
      </c>
      <c r="V1210" s="205">
        <f t="shared" ca="1" si="336"/>
        <v>0</v>
      </c>
      <c r="W1210" s="204"/>
      <c r="X1210" s="205">
        <v>0</v>
      </c>
      <c r="Y1210" s="206">
        <f t="shared" ca="1" si="337"/>
        <v>0</v>
      </c>
      <c r="Z1210" s="277">
        <f t="shared" si="338"/>
        <v>0</v>
      </c>
      <c r="AA1210" s="203"/>
      <c r="AB1210" s="203">
        <f t="shared" ca="1" si="339"/>
        <v>0</v>
      </c>
      <c r="AC1210" s="238"/>
      <c r="AI1210" s="367">
        <f t="shared" ca="1" si="334"/>
        <v>46092</v>
      </c>
      <c r="AJ1210" s="367" t="b">
        <f t="shared" si="340"/>
        <v>1</v>
      </c>
      <c r="AK1210" s="370" t="str">
        <f t="shared" si="341"/>
        <v/>
      </c>
      <c r="AN1210">
        <f t="shared" si="342"/>
        <v>0</v>
      </c>
      <c r="AO1210">
        <f t="shared" si="343"/>
        <v>1900</v>
      </c>
      <c r="AV1210">
        <f t="shared" si="344"/>
        <v>0</v>
      </c>
      <c r="AW1210">
        <f t="shared" si="345"/>
        <v>0</v>
      </c>
    </row>
    <row r="1211" spans="4:49" ht="15.75" x14ac:dyDescent="0.25">
      <c r="D1211" s="199"/>
      <c r="E1211" s="200"/>
      <c r="F1211" s="287"/>
      <c r="G1211" s="201"/>
      <c r="H1211" s="219"/>
      <c r="I1211" s="202"/>
      <c r="J1211" s="200"/>
      <c r="K1211" s="200"/>
      <c r="L1211" s="203"/>
      <c r="M1211" s="204">
        <f ca="1">IF(ISERROR(OFFSET(Tabella!$A$1,MATCH(J1211,Tabella!$A:$A,0)-1,MATCH(L1211,Tabella!$A$1:$AC$1,0)-1)=TRUE),0,+OFFSET(Tabella!$A$1,MATCH(J1211,Tabella!$A:$A,0)-1,MATCH(L1211,Tabella!$A$1:$AC$1,0)-1))</f>
        <v>0</v>
      </c>
      <c r="N1211" s="205">
        <f ca="1">IF(ISERROR(OFFSET(Ottone!$A$1,MATCH(J1211,Ottone!$A:$A,0)-1,MATCH(L1211,Ottone!$A$1:$Z$1,0)-1)=TRUE),0,OFFSET(Ottone!$A$1,MATCH(J1211,Ottone!$A:$A,0)-1,MATCH(L1211,Ottone!$A$1:$Z$1,0)-1))*IF(G1211="Ottone",1,0)</f>
        <v>0</v>
      </c>
      <c r="O1211" s="205">
        <f ca="1">IF(ISERROR(OFFSET(Rame!$A$1,MATCH(J1211,Rame!$A:$A,0)-1,MATCH(L1211,Rame!$A$1:$AA$1,0)-1)=TRUE),0,OFFSET(Rame!$A$1,MATCH(J1211,Rame!$A:$A,0)-1,MATCH(L1211,Rame!$A$1:$AA$1,0)-1))*IF(G1211="Rame",1,0)</f>
        <v>0</v>
      </c>
      <c r="P1211" s="205">
        <v>0</v>
      </c>
      <c r="Q1211" s="205">
        <f t="shared" ca="1" si="335"/>
        <v>0</v>
      </c>
      <c r="R1211" s="205">
        <f ca="1">+IF(ISERROR(OFFSET(Tabella!$G$1,MATCH(J1211,Tabella!$G:$G,0)-1,MATCH(K1211,Tabella!$G$1:$FG$1,0)-1)=TRUE),0,OFFSET(Tabella!$G$1,MATCH(J1211,Tabella!$G:$G,0)-1,MATCH(K1211,Tabella!$G$1:$AB$1,0)-1))</f>
        <v>0</v>
      </c>
      <c r="S1211" s="205">
        <f ca="1">IF(ISERROR(OFFSET(Ottone!$F$1,MATCH(J1211,Ottone!$A:$A,0)-1,MATCH(K1211,Ottone!$F$1:$FF$1,0)-1)=TRUE),0,OFFSET(Ottone!$F$1,MATCH(J1211,Ottone!$A:$A,0)-1,MATCH(K1211,Ottone!$F$1:$FF$1,0)-1))*IF(G1211="Ottone",1,0)</f>
        <v>0</v>
      </c>
      <c r="T1211" s="205">
        <f ca="1">IF(ISERROR(OFFSET(Rame!$F$1,MATCH(J1211,Rame!$F:$F,0)-1,MATCH(K1211,Rame!$F$1:$FF$1,0)-1)=TRUE),0,OFFSET(Rame!$F$1,MATCH(J1211,Rame!$F:$F,0)-1,MATCH(K1211,Rame!$F$1:$FF$1,0)-1))*IF(G1211="Rame",1,0)</f>
        <v>0</v>
      </c>
      <c r="U1211" s="205">
        <f ca="1">IF(ISERROR(OFFSET(Bronzo!$A$1,MATCH(J1211,Bronzo!$A:$A,0)-1,MATCH(K1211,Bronzo!$A$1:$AA$1,0)-1)=TRUE),0,OFFSET(Bronzo!$A$1,MATCH(J1211,Bronzo!$A:$A,0)-1,MATCH(K1211,Bronzo!$A$1:$AA$1,0)-1))</f>
        <v>0</v>
      </c>
      <c r="V1211" s="205">
        <f t="shared" ca="1" si="336"/>
        <v>0</v>
      </c>
      <c r="W1211" s="204"/>
      <c r="X1211" s="205">
        <v>0</v>
      </c>
      <c r="Y1211" s="206">
        <f t="shared" ca="1" si="337"/>
        <v>0</v>
      </c>
      <c r="Z1211" s="277">
        <f t="shared" si="338"/>
        <v>0</v>
      </c>
      <c r="AA1211" s="203"/>
      <c r="AB1211" s="203">
        <f t="shared" ca="1" si="339"/>
        <v>0</v>
      </c>
      <c r="AC1211" s="238"/>
      <c r="AI1211" s="367">
        <f t="shared" ca="1" si="334"/>
        <v>46092</v>
      </c>
      <c r="AJ1211" s="367" t="b">
        <f t="shared" si="340"/>
        <v>1</v>
      </c>
      <c r="AK1211" s="370" t="str">
        <f t="shared" si="341"/>
        <v/>
      </c>
      <c r="AN1211">
        <f t="shared" si="342"/>
        <v>0</v>
      </c>
      <c r="AO1211">
        <f t="shared" si="343"/>
        <v>1900</v>
      </c>
      <c r="AV1211">
        <f t="shared" si="344"/>
        <v>0</v>
      </c>
      <c r="AW1211">
        <f t="shared" si="345"/>
        <v>0</v>
      </c>
    </row>
    <row r="1212" spans="4:49" ht="15.75" x14ac:dyDescent="0.25">
      <c r="D1212" s="199"/>
      <c r="E1212" s="200"/>
      <c r="F1212" s="287"/>
      <c r="G1212" s="201"/>
      <c r="H1212" s="219"/>
      <c r="I1212" s="202"/>
      <c r="J1212" s="200"/>
      <c r="K1212" s="200"/>
      <c r="L1212" s="203"/>
      <c r="M1212" s="204">
        <f ca="1">IF(ISERROR(OFFSET(Tabella!$A$1,MATCH(J1212,Tabella!$A:$A,0)-1,MATCH(L1212,Tabella!$A$1:$AC$1,0)-1)=TRUE),0,+OFFSET(Tabella!$A$1,MATCH(J1212,Tabella!$A:$A,0)-1,MATCH(L1212,Tabella!$A$1:$AC$1,0)-1))</f>
        <v>0</v>
      </c>
      <c r="N1212" s="205">
        <f ca="1">IF(ISERROR(OFFSET(Ottone!$A$1,MATCH(J1212,Ottone!$A:$A,0)-1,MATCH(L1212,Ottone!$A$1:$Z$1,0)-1)=TRUE),0,OFFSET(Ottone!$A$1,MATCH(J1212,Ottone!$A:$A,0)-1,MATCH(L1212,Ottone!$A$1:$Z$1,0)-1))*IF(G1212="Ottone",1,0)</f>
        <v>0</v>
      </c>
      <c r="O1212" s="205">
        <f ca="1">IF(ISERROR(OFFSET(Rame!$A$1,MATCH(J1212,Rame!$A:$A,0)-1,MATCH(L1212,Rame!$A$1:$AA$1,0)-1)=TRUE),0,OFFSET(Rame!$A$1,MATCH(J1212,Rame!$A:$A,0)-1,MATCH(L1212,Rame!$A$1:$AA$1,0)-1))*IF(G1212="Rame",1,0)</f>
        <v>0</v>
      </c>
      <c r="P1212" s="205">
        <v>0</v>
      </c>
      <c r="Q1212" s="205">
        <f t="shared" ca="1" si="335"/>
        <v>0</v>
      </c>
      <c r="R1212" s="205">
        <f ca="1">+IF(ISERROR(OFFSET(Tabella!$G$1,MATCH(J1212,Tabella!$G:$G,0)-1,MATCH(K1212,Tabella!$G$1:$FG$1,0)-1)=TRUE),0,OFFSET(Tabella!$G$1,MATCH(J1212,Tabella!$G:$G,0)-1,MATCH(K1212,Tabella!$G$1:$AB$1,0)-1))</f>
        <v>0</v>
      </c>
      <c r="S1212" s="205">
        <f ca="1">IF(ISERROR(OFFSET(Ottone!$F$1,MATCH(J1212,Ottone!$A:$A,0)-1,MATCH(K1212,Ottone!$F$1:$FF$1,0)-1)=TRUE),0,OFFSET(Ottone!$F$1,MATCH(J1212,Ottone!$A:$A,0)-1,MATCH(K1212,Ottone!$F$1:$FF$1,0)-1))*IF(G1212="Ottone",1,0)</f>
        <v>0</v>
      </c>
      <c r="T1212" s="205">
        <f ca="1">IF(ISERROR(OFFSET(Rame!$F$1,MATCH(J1212,Rame!$F:$F,0)-1,MATCH(K1212,Rame!$F$1:$FF$1,0)-1)=TRUE),0,OFFSET(Rame!$F$1,MATCH(J1212,Rame!$F:$F,0)-1,MATCH(K1212,Rame!$F$1:$FF$1,0)-1))*IF(G1212="Rame",1,0)</f>
        <v>0</v>
      </c>
      <c r="U1212" s="205">
        <f ca="1">IF(ISERROR(OFFSET(Bronzo!$A$1,MATCH(J1212,Bronzo!$A:$A,0)-1,MATCH(K1212,Bronzo!$A$1:$AA$1,0)-1)=TRUE),0,OFFSET(Bronzo!$A$1,MATCH(J1212,Bronzo!$A:$A,0)-1,MATCH(K1212,Bronzo!$A$1:$AA$1,0)-1))</f>
        <v>0</v>
      </c>
      <c r="V1212" s="205">
        <f t="shared" ca="1" si="336"/>
        <v>0</v>
      </c>
      <c r="W1212" s="204"/>
      <c r="X1212" s="205">
        <v>0</v>
      </c>
      <c r="Y1212" s="206">
        <f t="shared" ca="1" si="337"/>
        <v>0</v>
      </c>
      <c r="Z1212" s="277">
        <f t="shared" si="338"/>
        <v>0</v>
      </c>
      <c r="AA1212" s="203"/>
      <c r="AB1212" s="203">
        <f t="shared" ca="1" si="339"/>
        <v>0</v>
      </c>
      <c r="AC1212" s="238"/>
      <c r="AI1212" s="367">
        <f t="shared" ca="1" si="334"/>
        <v>46092</v>
      </c>
      <c r="AJ1212" s="367" t="b">
        <f t="shared" si="340"/>
        <v>1</v>
      </c>
      <c r="AK1212" s="370" t="str">
        <f t="shared" si="341"/>
        <v/>
      </c>
      <c r="AN1212">
        <f t="shared" si="342"/>
        <v>0</v>
      </c>
      <c r="AO1212">
        <f t="shared" si="343"/>
        <v>1900</v>
      </c>
      <c r="AV1212">
        <f t="shared" si="344"/>
        <v>0</v>
      </c>
      <c r="AW1212">
        <f t="shared" si="345"/>
        <v>0</v>
      </c>
    </row>
    <row r="1213" spans="4:49" ht="15.75" x14ac:dyDescent="0.25">
      <c r="D1213" s="199"/>
      <c r="E1213" s="200"/>
      <c r="F1213" s="287"/>
      <c r="G1213" s="201"/>
      <c r="H1213" s="219"/>
      <c r="I1213" s="202"/>
      <c r="J1213" s="200"/>
      <c r="K1213" s="200"/>
      <c r="L1213" s="203"/>
      <c r="M1213" s="204">
        <f ca="1">IF(ISERROR(OFFSET(Tabella!$A$1,MATCH(J1213,Tabella!$A:$A,0)-1,MATCH(L1213,Tabella!$A$1:$AC$1,0)-1)=TRUE),0,+OFFSET(Tabella!$A$1,MATCH(J1213,Tabella!$A:$A,0)-1,MATCH(L1213,Tabella!$A$1:$AC$1,0)-1))</f>
        <v>0</v>
      </c>
      <c r="N1213" s="205">
        <f ca="1">IF(ISERROR(OFFSET(Ottone!$A$1,MATCH(J1213,Ottone!$A:$A,0)-1,MATCH(L1213,Ottone!$A$1:$Z$1,0)-1)=TRUE),0,OFFSET(Ottone!$A$1,MATCH(J1213,Ottone!$A:$A,0)-1,MATCH(L1213,Ottone!$A$1:$Z$1,0)-1))*IF(G1213="Ottone",1,0)</f>
        <v>0</v>
      </c>
      <c r="O1213" s="205">
        <f ca="1">IF(ISERROR(OFFSET(Rame!$A$1,MATCH(J1213,Rame!$A:$A,0)-1,MATCH(L1213,Rame!$A$1:$AA$1,0)-1)=TRUE),0,OFFSET(Rame!$A$1,MATCH(J1213,Rame!$A:$A,0)-1,MATCH(L1213,Rame!$A$1:$AA$1,0)-1))*IF(G1213="Rame",1,0)</f>
        <v>0</v>
      </c>
      <c r="P1213" s="205">
        <v>0</v>
      </c>
      <c r="Q1213" s="205">
        <f t="shared" ca="1" si="335"/>
        <v>0</v>
      </c>
      <c r="R1213" s="205">
        <f ca="1">+IF(ISERROR(OFFSET(Tabella!$G$1,MATCH(J1213,Tabella!$G:$G,0)-1,MATCH(K1213,Tabella!$G$1:$FG$1,0)-1)=TRUE),0,OFFSET(Tabella!$G$1,MATCH(J1213,Tabella!$G:$G,0)-1,MATCH(K1213,Tabella!$G$1:$AB$1,0)-1))</f>
        <v>0</v>
      </c>
      <c r="S1213" s="205">
        <f ca="1">IF(ISERROR(OFFSET(Ottone!$F$1,MATCH(J1213,Ottone!$A:$A,0)-1,MATCH(K1213,Ottone!$F$1:$FF$1,0)-1)=TRUE),0,OFFSET(Ottone!$F$1,MATCH(J1213,Ottone!$A:$A,0)-1,MATCH(K1213,Ottone!$F$1:$FF$1,0)-1))*IF(G1213="Ottone",1,0)</f>
        <v>0</v>
      </c>
      <c r="T1213" s="205">
        <f ca="1">IF(ISERROR(OFFSET(Rame!$F$1,MATCH(J1213,Rame!$F:$F,0)-1,MATCH(K1213,Rame!$F$1:$FF$1,0)-1)=TRUE),0,OFFSET(Rame!$F$1,MATCH(J1213,Rame!$F:$F,0)-1,MATCH(K1213,Rame!$F$1:$FF$1,0)-1))*IF(G1213="Rame",1,0)</f>
        <v>0</v>
      </c>
      <c r="U1213" s="205">
        <f ca="1">IF(ISERROR(OFFSET(Bronzo!$A$1,MATCH(J1213,Bronzo!$A:$A,0)-1,MATCH(K1213,Bronzo!$A$1:$AA$1,0)-1)=TRUE),0,OFFSET(Bronzo!$A$1,MATCH(J1213,Bronzo!$A:$A,0)-1,MATCH(K1213,Bronzo!$A$1:$AA$1,0)-1))</f>
        <v>0</v>
      </c>
      <c r="V1213" s="205">
        <f t="shared" ca="1" si="336"/>
        <v>0</v>
      </c>
      <c r="W1213" s="204"/>
      <c r="X1213" s="205">
        <v>0</v>
      </c>
      <c r="Y1213" s="206">
        <f t="shared" ca="1" si="337"/>
        <v>0</v>
      </c>
      <c r="Z1213" s="277">
        <f t="shared" si="338"/>
        <v>0</v>
      </c>
      <c r="AA1213" s="203"/>
      <c r="AB1213" s="203">
        <f t="shared" ca="1" si="339"/>
        <v>0</v>
      </c>
      <c r="AC1213" s="238"/>
      <c r="AI1213" s="367">
        <f t="shared" ca="1" si="334"/>
        <v>46092</v>
      </c>
      <c r="AJ1213" s="367" t="b">
        <f t="shared" si="340"/>
        <v>1</v>
      </c>
      <c r="AK1213" s="370" t="str">
        <f t="shared" si="341"/>
        <v/>
      </c>
      <c r="AN1213">
        <f t="shared" si="342"/>
        <v>0</v>
      </c>
      <c r="AO1213">
        <f t="shared" si="343"/>
        <v>1900</v>
      </c>
      <c r="AV1213">
        <f t="shared" si="344"/>
        <v>0</v>
      </c>
      <c r="AW1213">
        <f t="shared" si="345"/>
        <v>0</v>
      </c>
    </row>
    <row r="1214" spans="4:49" ht="15.75" x14ac:dyDescent="0.25">
      <c r="D1214" s="199"/>
      <c r="E1214" s="200"/>
      <c r="F1214" s="287"/>
      <c r="G1214" s="201"/>
      <c r="H1214" s="219"/>
      <c r="I1214" s="202"/>
      <c r="J1214" s="200"/>
      <c r="K1214" s="200"/>
      <c r="L1214" s="203"/>
      <c r="M1214" s="204">
        <f ca="1">IF(ISERROR(OFFSET(Tabella!$A$1,MATCH(J1214,Tabella!$A:$A,0)-1,MATCH(L1214,Tabella!$A$1:$AC$1,0)-1)=TRUE),0,+OFFSET(Tabella!$A$1,MATCH(J1214,Tabella!$A:$A,0)-1,MATCH(L1214,Tabella!$A$1:$AC$1,0)-1))</f>
        <v>0</v>
      </c>
      <c r="N1214" s="205">
        <f ca="1">IF(ISERROR(OFFSET(Ottone!$A$1,MATCH(J1214,Ottone!$A:$A,0)-1,MATCH(L1214,Ottone!$A$1:$Z$1,0)-1)=TRUE),0,OFFSET(Ottone!$A$1,MATCH(J1214,Ottone!$A:$A,0)-1,MATCH(L1214,Ottone!$A$1:$Z$1,0)-1))*IF(G1214="Ottone",1,0)</f>
        <v>0</v>
      </c>
      <c r="O1214" s="205">
        <f ca="1">IF(ISERROR(OFFSET(Rame!$A$1,MATCH(J1214,Rame!$A:$A,0)-1,MATCH(L1214,Rame!$A$1:$AA$1,0)-1)=TRUE),0,OFFSET(Rame!$A$1,MATCH(J1214,Rame!$A:$A,0)-1,MATCH(L1214,Rame!$A$1:$AA$1,0)-1))*IF(G1214="Rame",1,0)</f>
        <v>0</v>
      </c>
      <c r="P1214" s="205">
        <v>0</v>
      </c>
      <c r="Q1214" s="205">
        <f t="shared" ca="1" si="335"/>
        <v>0</v>
      </c>
      <c r="R1214" s="205">
        <f ca="1">+IF(ISERROR(OFFSET(Tabella!$G$1,MATCH(J1214,Tabella!$G:$G,0)-1,MATCH(K1214,Tabella!$G$1:$FG$1,0)-1)=TRUE),0,OFFSET(Tabella!$G$1,MATCH(J1214,Tabella!$G:$G,0)-1,MATCH(K1214,Tabella!$G$1:$AB$1,0)-1))</f>
        <v>0</v>
      </c>
      <c r="S1214" s="205">
        <f ca="1">IF(ISERROR(OFFSET(Ottone!$F$1,MATCH(J1214,Ottone!$A:$A,0)-1,MATCH(K1214,Ottone!$F$1:$FF$1,0)-1)=TRUE),0,OFFSET(Ottone!$F$1,MATCH(J1214,Ottone!$A:$A,0)-1,MATCH(K1214,Ottone!$F$1:$FF$1,0)-1))*IF(G1214="Ottone",1,0)</f>
        <v>0</v>
      </c>
      <c r="T1214" s="205">
        <f ca="1">IF(ISERROR(OFFSET(Rame!$F$1,MATCH(J1214,Rame!$F:$F,0)-1,MATCH(K1214,Rame!$F$1:$FF$1,0)-1)=TRUE),0,OFFSET(Rame!$F$1,MATCH(J1214,Rame!$F:$F,0)-1,MATCH(K1214,Rame!$F$1:$FF$1,0)-1))*IF(G1214="Rame",1,0)</f>
        <v>0</v>
      </c>
      <c r="U1214" s="205">
        <f ca="1">IF(ISERROR(OFFSET(Bronzo!$A$1,MATCH(J1214,Bronzo!$A:$A,0)-1,MATCH(K1214,Bronzo!$A$1:$AA$1,0)-1)=TRUE),0,OFFSET(Bronzo!$A$1,MATCH(J1214,Bronzo!$A:$A,0)-1,MATCH(K1214,Bronzo!$A$1:$AA$1,0)-1))</f>
        <v>0</v>
      </c>
      <c r="V1214" s="205">
        <f t="shared" ca="1" si="336"/>
        <v>0</v>
      </c>
      <c r="W1214" s="204"/>
      <c r="X1214" s="205">
        <v>0</v>
      </c>
      <c r="Y1214" s="206">
        <f t="shared" ca="1" si="337"/>
        <v>0</v>
      </c>
      <c r="Z1214" s="277">
        <f t="shared" si="338"/>
        <v>0</v>
      </c>
      <c r="AA1214" s="203"/>
      <c r="AB1214" s="203">
        <f t="shared" ca="1" si="339"/>
        <v>0</v>
      </c>
      <c r="AC1214" s="238"/>
      <c r="AI1214" s="367">
        <f t="shared" ca="1" si="334"/>
        <v>46092</v>
      </c>
      <c r="AJ1214" s="367" t="b">
        <f t="shared" si="340"/>
        <v>1</v>
      </c>
      <c r="AK1214" s="370" t="str">
        <f t="shared" si="341"/>
        <v/>
      </c>
      <c r="AN1214">
        <f t="shared" si="342"/>
        <v>0</v>
      </c>
      <c r="AO1214">
        <f t="shared" si="343"/>
        <v>1900</v>
      </c>
      <c r="AV1214">
        <f t="shared" si="344"/>
        <v>0</v>
      </c>
      <c r="AW1214">
        <f t="shared" si="345"/>
        <v>0</v>
      </c>
    </row>
    <row r="1215" spans="4:49" ht="15.75" x14ac:dyDescent="0.25">
      <c r="D1215" s="199"/>
      <c r="E1215" s="200"/>
      <c r="F1215" s="287"/>
      <c r="G1215" s="201"/>
      <c r="H1215" s="219"/>
      <c r="I1215" s="202"/>
      <c r="J1215" s="200"/>
      <c r="K1215" s="200"/>
      <c r="L1215" s="203"/>
      <c r="M1215" s="204">
        <f ca="1">IF(ISERROR(OFFSET(Tabella!$A$1,MATCH(J1215,Tabella!$A:$A,0)-1,MATCH(L1215,Tabella!$A$1:$AC$1,0)-1)=TRUE),0,+OFFSET(Tabella!$A$1,MATCH(J1215,Tabella!$A:$A,0)-1,MATCH(L1215,Tabella!$A$1:$AC$1,0)-1))</f>
        <v>0</v>
      </c>
      <c r="N1215" s="205">
        <f ca="1">IF(ISERROR(OFFSET(Ottone!$A$1,MATCH(J1215,Ottone!$A:$A,0)-1,MATCH(L1215,Ottone!$A$1:$Z$1,0)-1)=TRUE),0,OFFSET(Ottone!$A$1,MATCH(J1215,Ottone!$A:$A,0)-1,MATCH(L1215,Ottone!$A$1:$Z$1,0)-1))*IF(G1215="Ottone",1,0)</f>
        <v>0</v>
      </c>
      <c r="O1215" s="205">
        <f ca="1">IF(ISERROR(OFFSET(Rame!$A$1,MATCH(J1215,Rame!$A:$A,0)-1,MATCH(L1215,Rame!$A$1:$AA$1,0)-1)=TRUE),0,OFFSET(Rame!$A$1,MATCH(J1215,Rame!$A:$A,0)-1,MATCH(L1215,Rame!$A$1:$AA$1,0)-1))*IF(G1215="Rame",1,0)</f>
        <v>0</v>
      </c>
      <c r="P1215" s="205">
        <v>0</v>
      </c>
      <c r="Q1215" s="205">
        <f t="shared" ca="1" si="335"/>
        <v>0</v>
      </c>
      <c r="R1215" s="205">
        <f ca="1">+IF(ISERROR(OFFSET(Tabella!$G$1,MATCH(J1215,Tabella!$G:$G,0)-1,MATCH(K1215,Tabella!$G$1:$FG$1,0)-1)=TRUE),0,OFFSET(Tabella!$G$1,MATCH(J1215,Tabella!$G:$G,0)-1,MATCH(K1215,Tabella!$G$1:$AB$1,0)-1))</f>
        <v>0</v>
      </c>
      <c r="S1215" s="205">
        <f ca="1">IF(ISERROR(OFFSET(Ottone!$F$1,MATCH(J1215,Ottone!$A:$A,0)-1,MATCH(K1215,Ottone!$F$1:$FF$1,0)-1)=TRUE),0,OFFSET(Ottone!$F$1,MATCH(J1215,Ottone!$A:$A,0)-1,MATCH(K1215,Ottone!$F$1:$FF$1,0)-1))*IF(G1215="Ottone",1,0)</f>
        <v>0</v>
      </c>
      <c r="T1215" s="205">
        <f ca="1">IF(ISERROR(OFFSET(Rame!$F$1,MATCH(J1215,Rame!$F:$F,0)-1,MATCH(K1215,Rame!$F$1:$FF$1,0)-1)=TRUE),0,OFFSET(Rame!$F$1,MATCH(J1215,Rame!$F:$F,0)-1,MATCH(K1215,Rame!$F$1:$FF$1,0)-1))*IF(G1215="Rame",1,0)</f>
        <v>0</v>
      </c>
      <c r="U1215" s="205">
        <f ca="1">IF(ISERROR(OFFSET(Bronzo!$A$1,MATCH(J1215,Bronzo!$A:$A,0)-1,MATCH(K1215,Bronzo!$A$1:$AA$1,0)-1)=TRUE),0,OFFSET(Bronzo!$A$1,MATCH(J1215,Bronzo!$A:$A,0)-1,MATCH(K1215,Bronzo!$A$1:$AA$1,0)-1))</f>
        <v>0</v>
      </c>
      <c r="V1215" s="205">
        <f t="shared" ca="1" si="336"/>
        <v>0</v>
      </c>
      <c r="W1215" s="204"/>
      <c r="X1215" s="205">
        <v>0</v>
      </c>
      <c r="Y1215" s="206">
        <f t="shared" ca="1" si="337"/>
        <v>0</v>
      </c>
      <c r="Z1215" s="277">
        <f t="shared" si="338"/>
        <v>0</v>
      </c>
      <c r="AA1215" s="203"/>
      <c r="AB1215" s="203">
        <f t="shared" ca="1" si="339"/>
        <v>0</v>
      </c>
      <c r="AC1215" s="238"/>
      <c r="AI1215" s="367">
        <f t="shared" ca="1" si="334"/>
        <v>46092</v>
      </c>
      <c r="AJ1215" s="367" t="b">
        <f t="shared" si="340"/>
        <v>1</v>
      </c>
      <c r="AK1215" s="370" t="str">
        <f t="shared" si="341"/>
        <v/>
      </c>
      <c r="AN1215">
        <f t="shared" si="342"/>
        <v>0</v>
      </c>
      <c r="AO1215">
        <f t="shared" si="343"/>
        <v>1900</v>
      </c>
      <c r="AV1215">
        <f t="shared" si="344"/>
        <v>0</v>
      </c>
      <c r="AW1215">
        <f t="shared" si="345"/>
        <v>0</v>
      </c>
    </row>
    <row r="1216" spans="4:49" ht="15.75" x14ac:dyDescent="0.25">
      <c r="D1216" s="199"/>
      <c r="E1216" s="200"/>
      <c r="F1216" s="287"/>
      <c r="G1216" s="201"/>
      <c r="H1216" s="219"/>
      <c r="I1216" s="202"/>
      <c r="J1216" s="200"/>
      <c r="K1216" s="200"/>
      <c r="L1216" s="203"/>
      <c r="M1216" s="204">
        <f ca="1">IF(ISERROR(OFFSET(Tabella!$A$1,MATCH(J1216,Tabella!$A:$A,0)-1,MATCH(L1216,Tabella!$A$1:$AC$1,0)-1)=TRUE),0,+OFFSET(Tabella!$A$1,MATCH(J1216,Tabella!$A:$A,0)-1,MATCH(L1216,Tabella!$A$1:$AC$1,0)-1))</f>
        <v>0</v>
      </c>
      <c r="N1216" s="205">
        <f ca="1">IF(ISERROR(OFFSET(Ottone!$A$1,MATCH(J1216,Ottone!$A:$A,0)-1,MATCH(L1216,Ottone!$A$1:$Z$1,0)-1)=TRUE),0,OFFSET(Ottone!$A$1,MATCH(J1216,Ottone!$A:$A,0)-1,MATCH(L1216,Ottone!$A$1:$Z$1,0)-1))*IF(G1216="Ottone",1,0)</f>
        <v>0</v>
      </c>
      <c r="O1216" s="205">
        <f ca="1">IF(ISERROR(OFFSET(Rame!$A$1,MATCH(J1216,Rame!$A:$A,0)-1,MATCH(L1216,Rame!$A$1:$AA$1,0)-1)=TRUE),0,OFFSET(Rame!$A$1,MATCH(J1216,Rame!$A:$A,0)-1,MATCH(L1216,Rame!$A$1:$AA$1,0)-1))*IF(G1216="Rame",1,0)</f>
        <v>0</v>
      </c>
      <c r="P1216" s="205">
        <v>0</v>
      </c>
      <c r="Q1216" s="205">
        <f t="shared" ca="1" si="335"/>
        <v>0</v>
      </c>
      <c r="R1216" s="205">
        <f ca="1">+IF(ISERROR(OFFSET(Tabella!$G$1,MATCH(J1216,Tabella!$G:$G,0)-1,MATCH(K1216,Tabella!$G$1:$FG$1,0)-1)=TRUE),0,OFFSET(Tabella!$G$1,MATCH(J1216,Tabella!$G:$G,0)-1,MATCH(K1216,Tabella!$G$1:$AB$1,0)-1))</f>
        <v>0</v>
      </c>
      <c r="S1216" s="205">
        <f ca="1">IF(ISERROR(OFFSET(Ottone!$F$1,MATCH(J1216,Ottone!$A:$A,0)-1,MATCH(K1216,Ottone!$F$1:$FF$1,0)-1)=TRUE),0,OFFSET(Ottone!$F$1,MATCH(J1216,Ottone!$A:$A,0)-1,MATCH(K1216,Ottone!$F$1:$FF$1,0)-1))*IF(G1216="Ottone",1,0)</f>
        <v>0</v>
      </c>
      <c r="T1216" s="205">
        <f ca="1">IF(ISERROR(OFFSET(Rame!$F$1,MATCH(J1216,Rame!$F:$F,0)-1,MATCH(K1216,Rame!$F$1:$FF$1,0)-1)=TRUE),0,OFFSET(Rame!$F$1,MATCH(J1216,Rame!$F:$F,0)-1,MATCH(K1216,Rame!$F$1:$FF$1,0)-1))*IF(G1216="Rame",1,0)</f>
        <v>0</v>
      </c>
      <c r="U1216" s="205">
        <f ca="1">IF(ISERROR(OFFSET(Bronzo!$A$1,MATCH(J1216,Bronzo!$A:$A,0)-1,MATCH(K1216,Bronzo!$A$1:$AA$1,0)-1)=TRUE),0,OFFSET(Bronzo!$A$1,MATCH(J1216,Bronzo!$A:$A,0)-1,MATCH(K1216,Bronzo!$A$1:$AA$1,0)-1))</f>
        <v>0</v>
      </c>
      <c r="V1216" s="205">
        <f t="shared" ca="1" si="336"/>
        <v>0</v>
      </c>
      <c r="W1216" s="204"/>
      <c r="X1216" s="205">
        <v>0</v>
      </c>
      <c r="Y1216" s="206">
        <f t="shared" ca="1" si="337"/>
        <v>0</v>
      </c>
      <c r="Z1216" s="277">
        <f t="shared" si="338"/>
        <v>0</v>
      </c>
      <c r="AA1216" s="203"/>
      <c r="AB1216" s="203">
        <f t="shared" ca="1" si="339"/>
        <v>0</v>
      </c>
      <c r="AC1216" s="238"/>
      <c r="AI1216" s="367">
        <f t="shared" ref="AI1216:AI1279" ca="1" si="346">TODAY()</f>
        <v>46092</v>
      </c>
      <c r="AJ1216" s="367" t="b">
        <f t="shared" si="340"/>
        <v>1</v>
      </c>
      <c r="AK1216" s="370" t="str">
        <f t="shared" si="341"/>
        <v/>
      </c>
      <c r="AN1216">
        <f t="shared" si="342"/>
        <v>0</v>
      </c>
      <c r="AO1216">
        <f t="shared" si="343"/>
        <v>1900</v>
      </c>
      <c r="AV1216">
        <f t="shared" si="344"/>
        <v>0</v>
      </c>
      <c r="AW1216">
        <f t="shared" si="345"/>
        <v>0</v>
      </c>
    </row>
    <row r="1217" spans="4:49" ht="15.75" x14ac:dyDescent="0.25">
      <c r="D1217" s="199"/>
      <c r="E1217" s="200"/>
      <c r="F1217" s="287"/>
      <c r="G1217" s="201"/>
      <c r="H1217" s="219"/>
      <c r="I1217" s="202"/>
      <c r="J1217" s="200"/>
      <c r="K1217" s="200"/>
      <c r="L1217" s="203"/>
      <c r="M1217" s="204">
        <f ca="1">IF(ISERROR(OFFSET(Tabella!$A$1,MATCH(J1217,Tabella!$A:$A,0)-1,MATCH(L1217,Tabella!$A$1:$AC$1,0)-1)=TRUE),0,+OFFSET(Tabella!$A$1,MATCH(J1217,Tabella!$A:$A,0)-1,MATCH(L1217,Tabella!$A$1:$AC$1,0)-1))</f>
        <v>0</v>
      </c>
      <c r="N1217" s="205">
        <f ca="1">IF(ISERROR(OFFSET(Ottone!$A$1,MATCH(J1217,Ottone!$A:$A,0)-1,MATCH(L1217,Ottone!$A$1:$Z$1,0)-1)=TRUE),0,OFFSET(Ottone!$A$1,MATCH(J1217,Ottone!$A:$A,0)-1,MATCH(L1217,Ottone!$A$1:$Z$1,0)-1))*IF(G1217="Ottone",1,0)</f>
        <v>0</v>
      </c>
      <c r="O1217" s="205">
        <f ca="1">IF(ISERROR(OFFSET(Rame!$A$1,MATCH(J1217,Rame!$A:$A,0)-1,MATCH(L1217,Rame!$A$1:$AA$1,0)-1)=TRUE),0,OFFSET(Rame!$A$1,MATCH(J1217,Rame!$A:$A,0)-1,MATCH(L1217,Rame!$A$1:$AA$1,0)-1))*IF(G1217="Rame",1,0)</f>
        <v>0</v>
      </c>
      <c r="P1217" s="205">
        <v>0</v>
      </c>
      <c r="Q1217" s="205">
        <f t="shared" ca="1" si="335"/>
        <v>0</v>
      </c>
      <c r="R1217" s="205">
        <f ca="1">+IF(ISERROR(OFFSET(Tabella!$G$1,MATCH(J1217,Tabella!$G:$G,0)-1,MATCH(K1217,Tabella!$G$1:$FG$1,0)-1)=TRUE),0,OFFSET(Tabella!$G$1,MATCH(J1217,Tabella!$G:$G,0)-1,MATCH(K1217,Tabella!$G$1:$AB$1,0)-1))</f>
        <v>0</v>
      </c>
      <c r="S1217" s="205">
        <f ca="1">IF(ISERROR(OFFSET(Ottone!$F$1,MATCH(J1217,Ottone!$A:$A,0)-1,MATCH(K1217,Ottone!$F$1:$FF$1,0)-1)=TRUE),0,OFFSET(Ottone!$F$1,MATCH(J1217,Ottone!$A:$A,0)-1,MATCH(K1217,Ottone!$F$1:$FF$1,0)-1))*IF(G1217="Ottone",1,0)</f>
        <v>0</v>
      </c>
      <c r="T1217" s="205">
        <f ca="1">IF(ISERROR(OFFSET(Rame!$F$1,MATCH(J1217,Rame!$F:$F,0)-1,MATCH(K1217,Rame!$F$1:$FF$1,0)-1)=TRUE),0,OFFSET(Rame!$F$1,MATCH(J1217,Rame!$F:$F,0)-1,MATCH(K1217,Rame!$F$1:$FF$1,0)-1))*IF(G1217="Rame",1,0)</f>
        <v>0</v>
      </c>
      <c r="U1217" s="205">
        <f ca="1">IF(ISERROR(OFFSET(Bronzo!$A$1,MATCH(J1217,Bronzo!$A:$A,0)-1,MATCH(K1217,Bronzo!$A$1:$AA$1,0)-1)=TRUE),0,OFFSET(Bronzo!$A$1,MATCH(J1217,Bronzo!$A:$A,0)-1,MATCH(K1217,Bronzo!$A$1:$AA$1,0)-1))</f>
        <v>0</v>
      </c>
      <c r="V1217" s="205">
        <f t="shared" ca="1" si="336"/>
        <v>0</v>
      </c>
      <c r="W1217" s="204"/>
      <c r="X1217" s="205">
        <v>0</v>
      </c>
      <c r="Y1217" s="206">
        <f t="shared" ca="1" si="337"/>
        <v>0</v>
      </c>
      <c r="Z1217" s="277">
        <f t="shared" si="338"/>
        <v>0</v>
      </c>
      <c r="AA1217" s="203"/>
      <c r="AB1217" s="203">
        <f t="shared" ca="1" si="339"/>
        <v>0</v>
      </c>
      <c r="AC1217" s="238"/>
      <c r="AI1217" s="367">
        <f t="shared" ca="1" si="346"/>
        <v>46092</v>
      </c>
      <c r="AJ1217" s="367" t="b">
        <f t="shared" si="340"/>
        <v>1</v>
      </c>
      <c r="AK1217" s="370" t="str">
        <f t="shared" si="341"/>
        <v/>
      </c>
      <c r="AN1217">
        <f t="shared" si="342"/>
        <v>0</v>
      </c>
      <c r="AO1217">
        <f t="shared" si="343"/>
        <v>1900</v>
      </c>
      <c r="AV1217">
        <f t="shared" si="344"/>
        <v>0</v>
      </c>
      <c r="AW1217">
        <f t="shared" si="345"/>
        <v>0</v>
      </c>
    </row>
    <row r="1218" spans="4:49" ht="15.75" x14ac:dyDescent="0.25">
      <c r="D1218" s="199"/>
      <c r="E1218" s="200"/>
      <c r="F1218" s="287"/>
      <c r="G1218" s="201"/>
      <c r="H1218" s="219"/>
      <c r="I1218" s="202"/>
      <c r="J1218" s="200"/>
      <c r="K1218" s="200"/>
      <c r="L1218" s="203"/>
      <c r="M1218" s="204">
        <f ca="1">IF(ISERROR(OFFSET(Tabella!$A$1,MATCH(J1218,Tabella!$A:$A,0)-1,MATCH(L1218,Tabella!$A$1:$AC$1,0)-1)=TRUE),0,+OFFSET(Tabella!$A$1,MATCH(J1218,Tabella!$A:$A,0)-1,MATCH(L1218,Tabella!$A$1:$AC$1,0)-1))</f>
        <v>0</v>
      </c>
      <c r="N1218" s="205">
        <f ca="1">IF(ISERROR(OFFSET(Ottone!$A$1,MATCH(J1218,Ottone!$A:$A,0)-1,MATCH(L1218,Ottone!$A$1:$Z$1,0)-1)=TRUE),0,OFFSET(Ottone!$A$1,MATCH(J1218,Ottone!$A:$A,0)-1,MATCH(L1218,Ottone!$A$1:$Z$1,0)-1))*IF(G1218="Ottone",1,0)</f>
        <v>0</v>
      </c>
      <c r="O1218" s="205">
        <f ca="1">IF(ISERROR(OFFSET(Rame!$A$1,MATCH(J1218,Rame!$A:$A,0)-1,MATCH(L1218,Rame!$A$1:$AA$1,0)-1)=TRUE),0,OFFSET(Rame!$A$1,MATCH(J1218,Rame!$A:$A,0)-1,MATCH(L1218,Rame!$A$1:$AA$1,0)-1))*IF(G1218="Rame",1,0)</f>
        <v>0</v>
      </c>
      <c r="P1218" s="205">
        <v>0</v>
      </c>
      <c r="Q1218" s="205">
        <f t="shared" ca="1" si="335"/>
        <v>0</v>
      </c>
      <c r="R1218" s="205">
        <f ca="1">+IF(ISERROR(OFFSET(Tabella!$G$1,MATCH(J1218,Tabella!$G:$G,0)-1,MATCH(K1218,Tabella!$G$1:$FG$1,0)-1)=TRUE),0,OFFSET(Tabella!$G$1,MATCH(J1218,Tabella!$G:$G,0)-1,MATCH(K1218,Tabella!$G$1:$AB$1,0)-1))</f>
        <v>0</v>
      </c>
      <c r="S1218" s="205">
        <f ca="1">IF(ISERROR(OFFSET(Ottone!$F$1,MATCH(J1218,Ottone!$A:$A,0)-1,MATCH(K1218,Ottone!$F$1:$FF$1,0)-1)=TRUE),0,OFFSET(Ottone!$F$1,MATCH(J1218,Ottone!$A:$A,0)-1,MATCH(K1218,Ottone!$F$1:$FF$1,0)-1))*IF(G1218="Ottone",1,0)</f>
        <v>0</v>
      </c>
      <c r="T1218" s="205">
        <f ca="1">IF(ISERROR(OFFSET(Rame!$F$1,MATCH(J1218,Rame!$F:$F,0)-1,MATCH(K1218,Rame!$F$1:$FF$1,0)-1)=TRUE),0,OFFSET(Rame!$F$1,MATCH(J1218,Rame!$F:$F,0)-1,MATCH(K1218,Rame!$F$1:$FF$1,0)-1))*IF(G1218="Rame",1,0)</f>
        <v>0</v>
      </c>
      <c r="U1218" s="205">
        <f ca="1">IF(ISERROR(OFFSET(Bronzo!$A$1,MATCH(J1218,Bronzo!$A:$A,0)-1,MATCH(K1218,Bronzo!$A$1:$AA$1,0)-1)=TRUE),0,OFFSET(Bronzo!$A$1,MATCH(J1218,Bronzo!$A:$A,0)-1,MATCH(K1218,Bronzo!$A$1:$AA$1,0)-1))</f>
        <v>0</v>
      </c>
      <c r="V1218" s="205">
        <f t="shared" ca="1" si="336"/>
        <v>0</v>
      </c>
      <c r="W1218" s="204"/>
      <c r="X1218" s="205">
        <v>0</v>
      </c>
      <c r="Y1218" s="206">
        <f t="shared" ca="1" si="337"/>
        <v>0</v>
      </c>
      <c r="Z1218" s="277">
        <f t="shared" si="338"/>
        <v>0</v>
      </c>
      <c r="AA1218" s="203"/>
      <c r="AB1218" s="203">
        <f t="shared" ca="1" si="339"/>
        <v>0</v>
      </c>
      <c r="AC1218" s="238"/>
      <c r="AI1218" s="367">
        <f t="shared" ca="1" si="346"/>
        <v>46092</v>
      </c>
      <c r="AJ1218" s="367" t="b">
        <f t="shared" si="340"/>
        <v>1</v>
      </c>
      <c r="AK1218" s="370" t="str">
        <f t="shared" si="341"/>
        <v/>
      </c>
      <c r="AN1218">
        <f t="shared" si="342"/>
        <v>0</v>
      </c>
      <c r="AO1218">
        <f t="shared" si="343"/>
        <v>1900</v>
      </c>
      <c r="AV1218">
        <f t="shared" si="344"/>
        <v>0</v>
      </c>
      <c r="AW1218">
        <f t="shared" si="345"/>
        <v>0</v>
      </c>
    </row>
    <row r="1219" spans="4:49" ht="15.75" x14ac:dyDescent="0.25">
      <c r="D1219" s="199"/>
      <c r="E1219" s="200"/>
      <c r="F1219" s="287"/>
      <c r="G1219" s="201"/>
      <c r="H1219" s="219"/>
      <c r="I1219" s="202"/>
      <c r="J1219" s="200"/>
      <c r="K1219" s="200"/>
      <c r="L1219" s="203"/>
      <c r="M1219" s="204">
        <f ca="1">IF(ISERROR(OFFSET(Tabella!$A$1,MATCH(J1219,Tabella!$A:$A,0)-1,MATCH(L1219,Tabella!$A$1:$AC$1,0)-1)=TRUE),0,+OFFSET(Tabella!$A$1,MATCH(J1219,Tabella!$A:$A,0)-1,MATCH(L1219,Tabella!$A$1:$AC$1,0)-1))</f>
        <v>0</v>
      </c>
      <c r="N1219" s="205">
        <f ca="1">IF(ISERROR(OFFSET(Ottone!$A$1,MATCH(J1219,Ottone!$A:$A,0)-1,MATCH(L1219,Ottone!$A$1:$Z$1,0)-1)=TRUE),0,OFFSET(Ottone!$A$1,MATCH(J1219,Ottone!$A:$A,0)-1,MATCH(L1219,Ottone!$A$1:$Z$1,0)-1))*IF(G1219="Ottone",1,0)</f>
        <v>0</v>
      </c>
      <c r="O1219" s="205">
        <f ca="1">IF(ISERROR(OFFSET(Rame!$A$1,MATCH(J1219,Rame!$A:$A,0)-1,MATCH(L1219,Rame!$A$1:$AA$1,0)-1)=TRUE),0,OFFSET(Rame!$A$1,MATCH(J1219,Rame!$A:$A,0)-1,MATCH(L1219,Rame!$A$1:$AA$1,0)-1))*IF(G1219="Rame",1,0)</f>
        <v>0</v>
      </c>
      <c r="P1219" s="205">
        <v>0</v>
      </c>
      <c r="Q1219" s="205">
        <f t="shared" ca="1" si="335"/>
        <v>0</v>
      </c>
      <c r="R1219" s="205">
        <f ca="1">+IF(ISERROR(OFFSET(Tabella!$G$1,MATCH(J1219,Tabella!$G:$G,0)-1,MATCH(K1219,Tabella!$G$1:$FG$1,0)-1)=TRUE),0,OFFSET(Tabella!$G$1,MATCH(J1219,Tabella!$G:$G,0)-1,MATCH(K1219,Tabella!$G$1:$AB$1,0)-1))</f>
        <v>0</v>
      </c>
      <c r="S1219" s="205">
        <f ca="1">IF(ISERROR(OFFSET(Ottone!$F$1,MATCH(J1219,Ottone!$A:$A,0)-1,MATCH(K1219,Ottone!$F$1:$FF$1,0)-1)=TRUE),0,OFFSET(Ottone!$F$1,MATCH(J1219,Ottone!$A:$A,0)-1,MATCH(K1219,Ottone!$F$1:$FF$1,0)-1))*IF(G1219="Ottone",1,0)</f>
        <v>0</v>
      </c>
      <c r="T1219" s="205">
        <f ca="1">IF(ISERROR(OFFSET(Rame!$F$1,MATCH(J1219,Rame!$F:$F,0)-1,MATCH(K1219,Rame!$F$1:$FF$1,0)-1)=TRUE),0,OFFSET(Rame!$F$1,MATCH(J1219,Rame!$F:$F,0)-1,MATCH(K1219,Rame!$F$1:$FF$1,0)-1))*IF(G1219="Rame",1,0)</f>
        <v>0</v>
      </c>
      <c r="U1219" s="205">
        <f ca="1">IF(ISERROR(OFFSET(Bronzo!$A$1,MATCH(J1219,Bronzo!$A:$A,0)-1,MATCH(K1219,Bronzo!$A$1:$AA$1,0)-1)=TRUE),0,OFFSET(Bronzo!$A$1,MATCH(J1219,Bronzo!$A:$A,0)-1,MATCH(K1219,Bronzo!$A$1:$AA$1,0)-1))</f>
        <v>0</v>
      </c>
      <c r="V1219" s="205">
        <f t="shared" ca="1" si="336"/>
        <v>0</v>
      </c>
      <c r="W1219" s="204"/>
      <c r="X1219" s="205">
        <v>0</v>
      </c>
      <c r="Y1219" s="206">
        <f t="shared" ca="1" si="337"/>
        <v>0</v>
      </c>
      <c r="Z1219" s="277">
        <f t="shared" si="338"/>
        <v>0</v>
      </c>
      <c r="AA1219" s="203"/>
      <c r="AB1219" s="203">
        <f t="shared" ca="1" si="339"/>
        <v>0</v>
      </c>
      <c r="AC1219" s="238"/>
      <c r="AI1219" s="367">
        <f t="shared" ca="1" si="346"/>
        <v>46092</v>
      </c>
      <c r="AJ1219" s="367" t="b">
        <f t="shared" si="340"/>
        <v>1</v>
      </c>
      <c r="AK1219" s="370" t="str">
        <f t="shared" si="341"/>
        <v/>
      </c>
      <c r="AN1219">
        <f t="shared" si="342"/>
        <v>0</v>
      </c>
      <c r="AO1219">
        <f t="shared" si="343"/>
        <v>1900</v>
      </c>
      <c r="AV1219">
        <f t="shared" si="344"/>
        <v>0</v>
      </c>
      <c r="AW1219">
        <f t="shared" si="345"/>
        <v>0</v>
      </c>
    </row>
    <row r="1220" spans="4:49" ht="15.75" x14ac:dyDescent="0.25">
      <c r="D1220" s="199"/>
      <c r="E1220" s="200"/>
      <c r="F1220" s="287"/>
      <c r="G1220" s="201"/>
      <c r="H1220" s="219"/>
      <c r="I1220" s="202"/>
      <c r="J1220" s="200"/>
      <c r="K1220" s="200"/>
      <c r="L1220" s="203"/>
      <c r="M1220" s="204">
        <f ca="1">IF(ISERROR(OFFSET(Tabella!$A$1,MATCH(J1220,Tabella!$A:$A,0)-1,MATCH(L1220,Tabella!$A$1:$AC$1,0)-1)=TRUE),0,+OFFSET(Tabella!$A$1,MATCH(J1220,Tabella!$A:$A,0)-1,MATCH(L1220,Tabella!$A$1:$AC$1,0)-1))</f>
        <v>0</v>
      </c>
      <c r="N1220" s="205">
        <f ca="1">IF(ISERROR(OFFSET(Ottone!$A$1,MATCH(J1220,Ottone!$A:$A,0)-1,MATCH(L1220,Ottone!$A$1:$Z$1,0)-1)=TRUE),0,OFFSET(Ottone!$A$1,MATCH(J1220,Ottone!$A:$A,0)-1,MATCH(L1220,Ottone!$A$1:$Z$1,0)-1))*IF(G1220="Ottone",1,0)</f>
        <v>0</v>
      </c>
      <c r="O1220" s="205">
        <f ca="1">IF(ISERROR(OFFSET(Rame!$A$1,MATCH(J1220,Rame!$A:$A,0)-1,MATCH(L1220,Rame!$A$1:$AA$1,0)-1)=TRUE),0,OFFSET(Rame!$A$1,MATCH(J1220,Rame!$A:$A,0)-1,MATCH(L1220,Rame!$A$1:$AA$1,0)-1))*IF(G1220="Rame",1,0)</f>
        <v>0</v>
      </c>
      <c r="P1220" s="205">
        <v>0</v>
      </c>
      <c r="Q1220" s="205">
        <f t="shared" ca="1" si="335"/>
        <v>0</v>
      </c>
      <c r="R1220" s="205">
        <f ca="1">+IF(ISERROR(OFFSET(Tabella!$G$1,MATCH(J1220,Tabella!$G:$G,0)-1,MATCH(K1220,Tabella!$G$1:$FG$1,0)-1)=TRUE),0,OFFSET(Tabella!$G$1,MATCH(J1220,Tabella!$G:$G,0)-1,MATCH(K1220,Tabella!$G$1:$AB$1,0)-1))</f>
        <v>0</v>
      </c>
      <c r="S1220" s="205">
        <f ca="1">IF(ISERROR(OFFSET(Ottone!$F$1,MATCH(J1220,Ottone!$A:$A,0)-1,MATCH(K1220,Ottone!$F$1:$FF$1,0)-1)=TRUE),0,OFFSET(Ottone!$F$1,MATCH(J1220,Ottone!$A:$A,0)-1,MATCH(K1220,Ottone!$F$1:$FF$1,0)-1))*IF(G1220="Ottone",1,0)</f>
        <v>0</v>
      </c>
      <c r="T1220" s="205">
        <f ca="1">IF(ISERROR(OFFSET(Rame!$F$1,MATCH(J1220,Rame!$F:$F,0)-1,MATCH(K1220,Rame!$F$1:$FF$1,0)-1)=TRUE),0,OFFSET(Rame!$F$1,MATCH(J1220,Rame!$F:$F,0)-1,MATCH(K1220,Rame!$F$1:$FF$1,0)-1))*IF(G1220="Rame",1,0)</f>
        <v>0</v>
      </c>
      <c r="U1220" s="205">
        <f ca="1">IF(ISERROR(OFFSET(Bronzo!$A$1,MATCH(J1220,Bronzo!$A:$A,0)-1,MATCH(K1220,Bronzo!$A$1:$AA$1,0)-1)=TRUE),0,OFFSET(Bronzo!$A$1,MATCH(J1220,Bronzo!$A:$A,0)-1,MATCH(K1220,Bronzo!$A$1:$AA$1,0)-1))</f>
        <v>0</v>
      </c>
      <c r="V1220" s="205">
        <f t="shared" ca="1" si="336"/>
        <v>0</v>
      </c>
      <c r="W1220" s="204"/>
      <c r="X1220" s="205">
        <v>0</v>
      </c>
      <c r="Y1220" s="206">
        <f t="shared" ca="1" si="337"/>
        <v>0</v>
      </c>
      <c r="Z1220" s="277">
        <f t="shared" si="338"/>
        <v>0</v>
      </c>
      <c r="AA1220" s="203"/>
      <c r="AB1220" s="203">
        <f t="shared" ca="1" si="339"/>
        <v>0</v>
      </c>
      <c r="AC1220" s="238"/>
      <c r="AI1220" s="367">
        <f t="shared" ca="1" si="346"/>
        <v>46092</v>
      </c>
      <c r="AJ1220" s="367" t="b">
        <f t="shared" si="340"/>
        <v>1</v>
      </c>
      <c r="AK1220" s="370" t="str">
        <f t="shared" si="341"/>
        <v/>
      </c>
      <c r="AN1220">
        <f t="shared" si="342"/>
        <v>0</v>
      </c>
      <c r="AO1220">
        <f t="shared" si="343"/>
        <v>1900</v>
      </c>
      <c r="AV1220">
        <f t="shared" si="344"/>
        <v>0</v>
      </c>
      <c r="AW1220">
        <f t="shared" si="345"/>
        <v>0</v>
      </c>
    </row>
    <row r="1221" spans="4:49" ht="15.75" x14ac:dyDescent="0.25">
      <c r="D1221" s="199"/>
      <c r="E1221" s="200"/>
      <c r="F1221" s="287"/>
      <c r="G1221" s="201"/>
      <c r="H1221" s="219"/>
      <c r="I1221" s="202"/>
      <c r="J1221" s="200"/>
      <c r="K1221" s="200"/>
      <c r="L1221" s="203"/>
      <c r="M1221" s="204">
        <f ca="1">IF(ISERROR(OFFSET(Tabella!$A$1,MATCH(J1221,Tabella!$A:$A,0)-1,MATCH(L1221,Tabella!$A$1:$AC$1,0)-1)=TRUE),0,+OFFSET(Tabella!$A$1,MATCH(J1221,Tabella!$A:$A,0)-1,MATCH(L1221,Tabella!$A$1:$AC$1,0)-1))</f>
        <v>0</v>
      </c>
      <c r="N1221" s="205">
        <f ca="1">IF(ISERROR(OFFSET(Ottone!$A$1,MATCH(J1221,Ottone!$A:$A,0)-1,MATCH(L1221,Ottone!$A$1:$Z$1,0)-1)=TRUE),0,OFFSET(Ottone!$A$1,MATCH(J1221,Ottone!$A:$A,0)-1,MATCH(L1221,Ottone!$A$1:$Z$1,0)-1))*IF(G1221="Ottone",1,0)</f>
        <v>0</v>
      </c>
      <c r="O1221" s="205">
        <f ca="1">IF(ISERROR(OFFSET(Rame!$A$1,MATCH(J1221,Rame!$A:$A,0)-1,MATCH(L1221,Rame!$A$1:$AA$1,0)-1)=TRUE),0,OFFSET(Rame!$A$1,MATCH(J1221,Rame!$A:$A,0)-1,MATCH(L1221,Rame!$A$1:$AA$1,0)-1))*IF(G1221="Rame",1,0)</f>
        <v>0</v>
      </c>
      <c r="P1221" s="205">
        <v>0</v>
      </c>
      <c r="Q1221" s="205">
        <f t="shared" ca="1" si="335"/>
        <v>0</v>
      </c>
      <c r="R1221" s="205">
        <f ca="1">+IF(ISERROR(OFFSET(Tabella!$G$1,MATCH(J1221,Tabella!$G:$G,0)-1,MATCH(K1221,Tabella!$G$1:$FG$1,0)-1)=TRUE),0,OFFSET(Tabella!$G$1,MATCH(J1221,Tabella!$G:$G,0)-1,MATCH(K1221,Tabella!$G$1:$AB$1,0)-1))</f>
        <v>0</v>
      </c>
      <c r="S1221" s="205">
        <f ca="1">IF(ISERROR(OFFSET(Ottone!$F$1,MATCH(J1221,Ottone!$A:$A,0)-1,MATCH(K1221,Ottone!$F$1:$FF$1,0)-1)=TRUE),0,OFFSET(Ottone!$F$1,MATCH(J1221,Ottone!$A:$A,0)-1,MATCH(K1221,Ottone!$F$1:$FF$1,0)-1))*IF(G1221="Ottone",1,0)</f>
        <v>0</v>
      </c>
      <c r="T1221" s="205">
        <f ca="1">IF(ISERROR(OFFSET(Rame!$F$1,MATCH(J1221,Rame!$F:$F,0)-1,MATCH(K1221,Rame!$F$1:$FF$1,0)-1)=TRUE),0,OFFSET(Rame!$F$1,MATCH(J1221,Rame!$F:$F,0)-1,MATCH(K1221,Rame!$F$1:$FF$1,0)-1))*IF(G1221="Rame",1,0)</f>
        <v>0</v>
      </c>
      <c r="U1221" s="205">
        <f ca="1">IF(ISERROR(OFFSET(Bronzo!$A$1,MATCH(J1221,Bronzo!$A:$A,0)-1,MATCH(K1221,Bronzo!$A$1:$AA$1,0)-1)=TRUE),0,OFFSET(Bronzo!$A$1,MATCH(J1221,Bronzo!$A:$A,0)-1,MATCH(K1221,Bronzo!$A$1:$AA$1,0)-1))</f>
        <v>0</v>
      </c>
      <c r="V1221" s="205">
        <f t="shared" ca="1" si="336"/>
        <v>0</v>
      </c>
      <c r="W1221" s="204"/>
      <c r="X1221" s="205">
        <v>0</v>
      </c>
      <c r="Y1221" s="206">
        <f t="shared" ca="1" si="337"/>
        <v>0</v>
      </c>
      <c r="Z1221" s="277">
        <f t="shared" si="338"/>
        <v>0</v>
      </c>
      <c r="AA1221" s="203"/>
      <c r="AB1221" s="203">
        <f t="shared" ca="1" si="339"/>
        <v>0</v>
      </c>
      <c r="AC1221" s="238"/>
      <c r="AI1221" s="367">
        <f t="shared" ca="1" si="346"/>
        <v>46092</v>
      </c>
      <c r="AJ1221" s="367" t="b">
        <f t="shared" si="340"/>
        <v>1</v>
      </c>
      <c r="AK1221" s="370" t="str">
        <f t="shared" si="341"/>
        <v/>
      </c>
      <c r="AN1221">
        <f t="shared" si="342"/>
        <v>0</v>
      </c>
      <c r="AO1221">
        <f t="shared" si="343"/>
        <v>1900</v>
      </c>
      <c r="AV1221">
        <f t="shared" si="344"/>
        <v>0</v>
      </c>
      <c r="AW1221">
        <f t="shared" si="345"/>
        <v>0</v>
      </c>
    </row>
    <row r="1222" spans="4:49" ht="15.75" x14ac:dyDescent="0.25">
      <c r="D1222" s="199"/>
      <c r="E1222" s="200"/>
      <c r="F1222" s="287"/>
      <c r="G1222" s="201"/>
      <c r="H1222" s="219"/>
      <c r="I1222" s="202"/>
      <c r="J1222" s="200"/>
      <c r="K1222" s="200"/>
      <c r="L1222" s="203"/>
      <c r="M1222" s="204">
        <f ca="1">IF(ISERROR(OFFSET(Tabella!$A$1,MATCH(J1222,Tabella!$A:$A,0)-1,MATCH(L1222,Tabella!$A$1:$AC$1,0)-1)=TRUE),0,+OFFSET(Tabella!$A$1,MATCH(J1222,Tabella!$A:$A,0)-1,MATCH(L1222,Tabella!$A$1:$AC$1,0)-1))</f>
        <v>0</v>
      </c>
      <c r="N1222" s="205">
        <f ca="1">IF(ISERROR(OFFSET(Ottone!$A$1,MATCH(J1222,Ottone!$A:$A,0)-1,MATCH(L1222,Ottone!$A$1:$Z$1,0)-1)=TRUE),0,OFFSET(Ottone!$A$1,MATCH(J1222,Ottone!$A:$A,0)-1,MATCH(L1222,Ottone!$A$1:$Z$1,0)-1))*IF(G1222="Ottone",1,0)</f>
        <v>0</v>
      </c>
      <c r="O1222" s="205">
        <f ca="1">IF(ISERROR(OFFSET(Rame!$A$1,MATCH(J1222,Rame!$A:$A,0)-1,MATCH(L1222,Rame!$A$1:$AA$1,0)-1)=TRUE),0,OFFSET(Rame!$A$1,MATCH(J1222,Rame!$A:$A,0)-1,MATCH(L1222,Rame!$A$1:$AA$1,0)-1))*IF(G1222="Rame",1,0)</f>
        <v>0</v>
      </c>
      <c r="P1222" s="205">
        <v>0</v>
      </c>
      <c r="Q1222" s="205">
        <f t="shared" ca="1" si="335"/>
        <v>0</v>
      </c>
      <c r="R1222" s="205">
        <f ca="1">+IF(ISERROR(OFFSET(Tabella!$G$1,MATCH(J1222,Tabella!$G:$G,0)-1,MATCH(K1222,Tabella!$G$1:$FG$1,0)-1)=TRUE),0,OFFSET(Tabella!$G$1,MATCH(J1222,Tabella!$G:$G,0)-1,MATCH(K1222,Tabella!$G$1:$AB$1,0)-1))</f>
        <v>0</v>
      </c>
      <c r="S1222" s="205">
        <f ca="1">IF(ISERROR(OFFSET(Ottone!$F$1,MATCH(J1222,Ottone!$A:$A,0)-1,MATCH(K1222,Ottone!$F$1:$FF$1,0)-1)=TRUE),0,OFFSET(Ottone!$F$1,MATCH(J1222,Ottone!$A:$A,0)-1,MATCH(K1222,Ottone!$F$1:$FF$1,0)-1))*IF(G1222="Ottone",1,0)</f>
        <v>0</v>
      </c>
      <c r="T1222" s="205">
        <f ca="1">IF(ISERROR(OFFSET(Rame!$F$1,MATCH(J1222,Rame!$F:$F,0)-1,MATCH(K1222,Rame!$F$1:$FF$1,0)-1)=TRUE),0,OFFSET(Rame!$F$1,MATCH(J1222,Rame!$F:$F,0)-1,MATCH(K1222,Rame!$F$1:$FF$1,0)-1))*IF(G1222="Rame",1,0)</f>
        <v>0</v>
      </c>
      <c r="U1222" s="205">
        <f ca="1">IF(ISERROR(OFFSET(Bronzo!$A$1,MATCH(J1222,Bronzo!$A:$A,0)-1,MATCH(K1222,Bronzo!$A$1:$AA$1,0)-1)=TRUE),0,OFFSET(Bronzo!$A$1,MATCH(J1222,Bronzo!$A:$A,0)-1,MATCH(K1222,Bronzo!$A$1:$AA$1,0)-1))</f>
        <v>0</v>
      </c>
      <c r="V1222" s="205">
        <f t="shared" ca="1" si="336"/>
        <v>0</v>
      </c>
      <c r="W1222" s="204"/>
      <c r="X1222" s="205">
        <v>0</v>
      </c>
      <c r="Y1222" s="206">
        <f t="shared" ca="1" si="337"/>
        <v>0</v>
      </c>
      <c r="Z1222" s="277">
        <f t="shared" si="338"/>
        <v>0</v>
      </c>
      <c r="AA1222" s="203"/>
      <c r="AB1222" s="203">
        <f t="shared" ca="1" si="339"/>
        <v>0</v>
      </c>
      <c r="AC1222" s="238"/>
      <c r="AI1222" s="367">
        <f t="shared" ca="1" si="346"/>
        <v>46092</v>
      </c>
      <c r="AJ1222" s="367" t="b">
        <f t="shared" si="340"/>
        <v>1</v>
      </c>
      <c r="AK1222" s="370" t="str">
        <f t="shared" si="341"/>
        <v/>
      </c>
      <c r="AN1222">
        <f t="shared" si="342"/>
        <v>0</v>
      </c>
      <c r="AO1222">
        <f t="shared" si="343"/>
        <v>1900</v>
      </c>
      <c r="AV1222">
        <f t="shared" si="344"/>
        <v>0</v>
      </c>
      <c r="AW1222">
        <f t="shared" si="345"/>
        <v>0</v>
      </c>
    </row>
    <row r="1223" spans="4:49" ht="15.75" x14ac:dyDescent="0.25">
      <c r="D1223" s="199"/>
      <c r="E1223" s="200"/>
      <c r="F1223" s="287"/>
      <c r="G1223" s="201"/>
      <c r="H1223" s="219"/>
      <c r="I1223" s="202"/>
      <c r="J1223" s="200"/>
      <c r="K1223" s="200"/>
      <c r="L1223" s="203"/>
      <c r="M1223" s="204">
        <f ca="1">IF(ISERROR(OFFSET(Tabella!$A$1,MATCH(J1223,Tabella!$A:$A,0)-1,MATCH(L1223,Tabella!$A$1:$AC$1,0)-1)=TRUE),0,+OFFSET(Tabella!$A$1,MATCH(J1223,Tabella!$A:$A,0)-1,MATCH(L1223,Tabella!$A$1:$AC$1,0)-1))</f>
        <v>0</v>
      </c>
      <c r="N1223" s="205">
        <f ca="1">IF(ISERROR(OFFSET(Ottone!$A$1,MATCH(J1223,Ottone!$A:$A,0)-1,MATCH(L1223,Ottone!$A$1:$Z$1,0)-1)=TRUE),0,OFFSET(Ottone!$A$1,MATCH(J1223,Ottone!$A:$A,0)-1,MATCH(L1223,Ottone!$A$1:$Z$1,0)-1))*IF(G1223="Ottone",1,0)</f>
        <v>0</v>
      </c>
      <c r="O1223" s="205">
        <f ca="1">IF(ISERROR(OFFSET(Rame!$A$1,MATCH(J1223,Rame!$A:$A,0)-1,MATCH(L1223,Rame!$A$1:$AA$1,0)-1)=TRUE),0,OFFSET(Rame!$A$1,MATCH(J1223,Rame!$A:$A,0)-1,MATCH(L1223,Rame!$A$1:$AA$1,0)-1))*IF(G1223="Rame",1,0)</f>
        <v>0</v>
      </c>
      <c r="P1223" s="205">
        <v>0</v>
      </c>
      <c r="Q1223" s="205">
        <f t="shared" ca="1" si="335"/>
        <v>0</v>
      </c>
      <c r="R1223" s="205">
        <f ca="1">+IF(ISERROR(OFFSET(Tabella!$G$1,MATCH(J1223,Tabella!$G:$G,0)-1,MATCH(K1223,Tabella!$G$1:$FG$1,0)-1)=TRUE),0,OFFSET(Tabella!$G$1,MATCH(J1223,Tabella!$G:$G,0)-1,MATCH(K1223,Tabella!$G$1:$AB$1,0)-1))</f>
        <v>0</v>
      </c>
      <c r="S1223" s="205">
        <f ca="1">IF(ISERROR(OFFSET(Ottone!$F$1,MATCH(J1223,Ottone!$A:$A,0)-1,MATCH(K1223,Ottone!$F$1:$FF$1,0)-1)=TRUE),0,OFFSET(Ottone!$F$1,MATCH(J1223,Ottone!$A:$A,0)-1,MATCH(K1223,Ottone!$F$1:$FF$1,0)-1))*IF(G1223="Ottone",1,0)</f>
        <v>0</v>
      </c>
      <c r="T1223" s="205">
        <f ca="1">IF(ISERROR(OFFSET(Rame!$F$1,MATCH(J1223,Rame!$F:$F,0)-1,MATCH(K1223,Rame!$F$1:$FF$1,0)-1)=TRUE),0,OFFSET(Rame!$F$1,MATCH(J1223,Rame!$F:$F,0)-1,MATCH(K1223,Rame!$F$1:$FF$1,0)-1))*IF(G1223="Rame",1,0)</f>
        <v>0</v>
      </c>
      <c r="U1223" s="205">
        <f ca="1">IF(ISERROR(OFFSET(Bronzo!$A$1,MATCH(J1223,Bronzo!$A:$A,0)-1,MATCH(K1223,Bronzo!$A$1:$AA$1,0)-1)=TRUE),0,OFFSET(Bronzo!$A$1,MATCH(J1223,Bronzo!$A:$A,0)-1,MATCH(K1223,Bronzo!$A$1:$AA$1,0)-1))</f>
        <v>0</v>
      </c>
      <c r="V1223" s="205">
        <f t="shared" ca="1" si="336"/>
        <v>0</v>
      </c>
      <c r="W1223" s="204"/>
      <c r="X1223" s="205">
        <v>0</v>
      </c>
      <c r="Y1223" s="206">
        <f t="shared" ca="1" si="337"/>
        <v>0</v>
      </c>
      <c r="Z1223" s="277">
        <f t="shared" si="338"/>
        <v>0</v>
      </c>
      <c r="AA1223" s="203"/>
      <c r="AB1223" s="203">
        <f t="shared" ca="1" si="339"/>
        <v>0</v>
      </c>
      <c r="AC1223" s="238"/>
      <c r="AI1223" s="367">
        <f t="shared" ca="1" si="346"/>
        <v>46092</v>
      </c>
      <c r="AJ1223" s="367" t="b">
        <f t="shared" si="340"/>
        <v>1</v>
      </c>
      <c r="AK1223" s="370" t="str">
        <f t="shared" si="341"/>
        <v/>
      </c>
      <c r="AN1223">
        <f t="shared" si="342"/>
        <v>0</v>
      </c>
      <c r="AO1223">
        <f t="shared" si="343"/>
        <v>1900</v>
      </c>
      <c r="AV1223">
        <f t="shared" si="344"/>
        <v>0</v>
      </c>
      <c r="AW1223">
        <f t="shared" si="345"/>
        <v>0</v>
      </c>
    </row>
    <row r="1224" spans="4:49" ht="15.75" x14ac:dyDescent="0.25">
      <c r="D1224" s="199"/>
      <c r="E1224" s="200"/>
      <c r="F1224" s="287"/>
      <c r="G1224" s="201"/>
      <c r="H1224" s="219"/>
      <c r="I1224" s="202"/>
      <c r="J1224" s="200"/>
      <c r="K1224" s="200"/>
      <c r="L1224" s="203"/>
      <c r="M1224" s="204">
        <f ca="1">IF(ISERROR(OFFSET(Tabella!$A$1,MATCH(J1224,Tabella!$A:$A,0)-1,MATCH(L1224,Tabella!$A$1:$AC$1,0)-1)=TRUE),0,+OFFSET(Tabella!$A$1,MATCH(J1224,Tabella!$A:$A,0)-1,MATCH(L1224,Tabella!$A$1:$AC$1,0)-1))</f>
        <v>0</v>
      </c>
      <c r="N1224" s="205">
        <f ca="1">IF(ISERROR(OFFSET(Ottone!$A$1,MATCH(J1224,Ottone!$A:$A,0)-1,MATCH(L1224,Ottone!$A$1:$Z$1,0)-1)=TRUE),0,OFFSET(Ottone!$A$1,MATCH(J1224,Ottone!$A:$A,0)-1,MATCH(L1224,Ottone!$A$1:$Z$1,0)-1))*IF(G1224="Ottone",1,0)</f>
        <v>0</v>
      </c>
      <c r="O1224" s="205">
        <f ca="1">IF(ISERROR(OFFSET(Rame!$A$1,MATCH(J1224,Rame!$A:$A,0)-1,MATCH(L1224,Rame!$A$1:$AA$1,0)-1)=TRUE),0,OFFSET(Rame!$A$1,MATCH(J1224,Rame!$A:$A,0)-1,MATCH(L1224,Rame!$A$1:$AA$1,0)-1))*IF(G1224="Rame",1,0)</f>
        <v>0</v>
      </c>
      <c r="P1224" s="205">
        <v>0</v>
      </c>
      <c r="Q1224" s="205">
        <f t="shared" ca="1" si="335"/>
        <v>0</v>
      </c>
      <c r="R1224" s="205">
        <f ca="1">+IF(ISERROR(OFFSET(Tabella!$G$1,MATCH(J1224,Tabella!$G:$G,0)-1,MATCH(K1224,Tabella!$G$1:$FG$1,0)-1)=TRUE),0,OFFSET(Tabella!$G$1,MATCH(J1224,Tabella!$G:$G,0)-1,MATCH(K1224,Tabella!$G$1:$AB$1,0)-1))</f>
        <v>0</v>
      </c>
      <c r="S1224" s="205">
        <f ca="1">IF(ISERROR(OFFSET(Ottone!$F$1,MATCH(J1224,Ottone!$A:$A,0)-1,MATCH(K1224,Ottone!$F$1:$FF$1,0)-1)=TRUE),0,OFFSET(Ottone!$F$1,MATCH(J1224,Ottone!$A:$A,0)-1,MATCH(K1224,Ottone!$F$1:$FF$1,0)-1))*IF(G1224="Ottone",1,0)</f>
        <v>0</v>
      </c>
      <c r="T1224" s="205">
        <f ca="1">IF(ISERROR(OFFSET(Rame!$F$1,MATCH(J1224,Rame!$F:$F,0)-1,MATCH(K1224,Rame!$F$1:$FF$1,0)-1)=TRUE),0,OFFSET(Rame!$F$1,MATCH(J1224,Rame!$F:$F,0)-1,MATCH(K1224,Rame!$F$1:$FF$1,0)-1))*IF(G1224="Rame",1,0)</f>
        <v>0</v>
      </c>
      <c r="U1224" s="205">
        <f ca="1">IF(ISERROR(OFFSET(Bronzo!$A$1,MATCH(J1224,Bronzo!$A:$A,0)-1,MATCH(K1224,Bronzo!$A$1:$AA$1,0)-1)=TRUE),0,OFFSET(Bronzo!$A$1,MATCH(J1224,Bronzo!$A:$A,0)-1,MATCH(K1224,Bronzo!$A$1:$AA$1,0)-1))</f>
        <v>0</v>
      </c>
      <c r="V1224" s="205">
        <f t="shared" ca="1" si="336"/>
        <v>0</v>
      </c>
      <c r="W1224" s="204"/>
      <c r="X1224" s="205">
        <v>0</v>
      </c>
      <c r="Y1224" s="206">
        <f t="shared" ca="1" si="337"/>
        <v>0</v>
      </c>
      <c r="Z1224" s="277">
        <f t="shared" si="338"/>
        <v>0</v>
      </c>
      <c r="AA1224" s="203"/>
      <c r="AB1224" s="203">
        <f t="shared" ca="1" si="339"/>
        <v>0</v>
      </c>
      <c r="AC1224" s="238"/>
      <c r="AI1224" s="367">
        <f t="shared" ca="1" si="346"/>
        <v>46092</v>
      </c>
      <c r="AJ1224" s="367" t="b">
        <f t="shared" si="340"/>
        <v>1</v>
      </c>
      <c r="AK1224" s="370" t="str">
        <f t="shared" si="341"/>
        <v/>
      </c>
      <c r="AN1224">
        <f t="shared" si="342"/>
        <v>0</v>
      </c>
      <c r="AO1224">
        <f t="shared" si="343"/>
        <v>1900</v>
      </c>
      <c r="AV1224">
        <f t="shared" si="344"/>
        <v>0</v>
      </c>
      <c r="AW1224">
        <f t="shared" si="345"/>
        <v>0</v>
      </c>
    </row>
    <row r="1225" spans="4:49" ht="15.75" x14ac:dyDescent="0.25">
      <c r="D1225" s="199"/>
      <c r="E1225" s="200"/>
      <c r="F1225" s="287"/>
      <c r="G1225" s="201"/>
      <c r="H1225" s="219"/>
      <c r="I1225" s="202"/>
      <c r="J1225" s="200"/>
      <c r="K1225" s="200"/>
      <c r="L1225" s="203"/>
      <c r="M1225" s="204">
        <f ca="1">IF(ISERROR(OFFSET(Tabella!$A$1,MATCH(J1225,Tabella!$A:$A,0)-1,MATCH(L1225,Tabella!$A$1:$AC$1,0)-1)=TRUE),0,+OFFSET(Tabella!$A$1,MATCH(J1225,Tabella!$A:$A,0)-1,MATCH(L1225,Tabella!$A$1:$AC$1,0)-1))</f>
        <v>0</v>
      </c>
      <c r="N1225" s="205">
        <f ca="1">IF(ISERROR(OFFSET(Ottone!$A$1,MATCH(J1225,Ottone!$A:$A,0)-1,MATCH(L1225,Ottone!$A$1:$Z$1,0)-1)=TRUE),0,OFFSET(Ottone!$A$1,MATCH(J1225,Ottone!$A:$A,0)-1,MATCH(L1225,Ottone!$A$1:$Z$1,0)-1))*IF(G1225="Ottone",1,0)</f>
        <v>0</v>
      </c>
      <c r="O1225" s="205">
        <f ca="1">IF(ISERROR(OFFSET(Rame!$A$1,MATCH(J1225,Rame!$A:$A,0)-1,MATCH(L1225,Rame!$A$1:$AA$1,0)-1)=TRUE),0,OFFSET(Rame!$A$1,MATCH(J1225,Rame!$A:$A,0)-1,MATCH(L1225,Rame!$A$1:$AA$1,0)-1))*IF(G1225="Rame",1,0)</f>
        <v>0</v>
      </c>
      <c r="P1225" s="205">
        <v>0</v>
      </c>
      <c r="Q1225" s="205">
        <f t="shared" ca="1" si="335"/>
        <v>0</v>
      </c>
      <c r="R1225" s="205">
        <f ca="1">+IF(ISERROR(OFFSET(Tabella!$G$1,MATCH(J1225,Tabella!$G:$G,0)-1,MATCH(K1225,Tabella!$G$1:$FG$1,0)-1)=TRUE),0,OFFSET(Tabella!$G$1,MATCH(J1225,Tabella!$G:$G,0)-1,MATCH(K1225,Tabella!$G$1:$AB$1,0)-1))</f>
        <v>0</v>
      </c>
      <c r="S1225" s="205">
        <f ca="1">IF(ISERROR(OFFSET(Ottone!$F$1,MATCH(J1225,Ottone!$A:$A,0)-1,MATCH(K1225,Ottone!$F$1:$FF$1,0)-1)=TRUE),0,OFFSET(Ottone!$F$1,MATCH(J1225,Ottone!$A:$A,0)-1,MATCH(K1225,Ottone!$F$1:$FF$1,0)-1))*IF(G1225="Ottone",1,0)</f>
        <v>0</v>
      </c>
      <c r="T1225" s="205">
        <f ca="1">IF(ISERROR(OFFSET(Rame!$F$1,MATCH(J1225,Rame!$F:$F,0)-1,MATCH(K1225,Rame!$F$1:$FF$1,0)-1)=TRUE),0,OFFSET(Rame!$F$1,MATCH(J1225,Rame!$F:$F,0)-1,MATCH(K1225,Rame!$F$1:$FF$1,0)-1))*IF(G1225="Rame",1,0)</f>
        <v>0</v>
      </c>
      <c r="U1225" s="205">
        <f ca="1">IF(ISERROR(OFFSET(Bronzo!$A$1,MATCH(J1225,Bronzo!$A:$A,0)-1,MATCH(K1225,Bronzo!$A$1:$AA$1,0)-1)=TRUE),0,OFFSET(Bronzo!$A$1,MATCH(J1225,Bronzo!$A:$A,0)-1,MATCH(K1225,Bronzo!$A$1:$AA$1,0)-1))</f>
        <v>0</v>
      </c>
      <c r="V1225" s="205">
        <f t="shared" ca="1" si="336"/>
        <v>0</v>
      </c>
      <c r="W1225" s="204"/>
      <c r="X1225" s="205">
        <v>0</v>
      </c>
      <c r="Y1225" s="206">
        <f t="shared" ca="1" si="337"/>
        <v>0</v>
      </c>
      <c r="Z1225" s="277">
        <f t="shared" si="338"/>
        <v>0</v>
      </c>
      <c r="AA1225" s="203"/>
      <c r="AB1225" s="203">
        <f t="shared" ca="1" si="339"/>
        <v>0</v>
      </c>
      <c r="AC1225" s="238"/>
      <c r="AI1225" s="367">
        <f t="shared" ca="1" si="346"/>
        <v>46092</v>
      </c>
      <c r="AJ1225" s="367" t="b">
        <f t="shared" si="340"/>
        <v>1</v>
      </c>
      <c r="AK1225" s="370" t="str">
        <f t="shared" si="341"/>
        <v/>
      </c>
      <c r="AN1225">
        <f t="shared" si="342"/>
        <v>0</v>
      </c>
      <c r="AO1225">
        <f t="shared" si="343"/>
        <v>1900</v>
      </c>
      <c r="AV1225">
        <f t="shared" si="344"/>
        <v>0</v>
      </c>
      <c r="AW1225">
        <f t="shared" si="345"/>
        <v>0</v>
      </c>
    </row>
    <row r="1226" spans="4:49" ht="15.75" x14ac:dyDescent="0.25">
      <c r="D1226" s="199"/>
      <c r="E1226" s="200"/>
      <c r="F1226" s="287"/>
      <c r="G1226" s="201"/>
      <c r="H1226" s="219"/>
      <c r="I1226" s="202"/>
      <c r="J1226" s="200"/>
      <c r="K1226" s="200"/>
      <c r="L1226" s="203"/>
      <c r="M1226" s="204">
        <f ca="1">IF(ISERROR(OFFSET(Tabella!$A$1,MATCH(J1226,Tabella!$A:$A,0)-1,MATCH(L1226,Tabella!$A$1:$AC$1,0)-1)=TRUE),0,+OFFSET(Tabella!$A$1,MATCH(J1226,Tabella!$A:$A,0)-1,MATCH(L1226,Tabella!$A$1:$AC$1,0)-1))</f>
        <v>0</v>
      </c>
      <c r="N1226" s="205">
        <f ca="1">IF(ISERROR(OFFSET(Ottone!$A$1,MATCH(J1226,Ottone!$A:$A,0)-1,MATCH(L1226,Ottone!$A$1:$Z$1,0)-1)=TRUE),0,OFFSET(Ottone!$A$1,MATCH(J1226,Ottone!$A:$A,0)-1,MATCH(L1226,Ottone!$A$1:$Z$1,0)-1))*IF(G1226="Ottone",1,0)</f>
        <v>0</v>
      </c>
      <c r="O1226" s="205">
        <f ca="1">IF(ISERROR(OFFSET(Rame!$A$1,MATCH(J1226,Rame!$A:$A,0)-1,MATCH(L1226,Rame!$A$1:$AA$1,0)-1)=TRUE),0,OFFSET(Rame!$A$1,MATCH(J1226,Rame!$A:$A,0)-1,MATCH(L1226,Rame!$A$1:$AA$1,0)-1))*IF(G1226="Rame",1,0)</f>
        <v>0</v>
      </c>
      <c r="P1226" s="205">
        <v>0</v>
      </c>
      <c r="Q1226" s="205">
        <f t="shared" ca="1" si="335"/>
        <v>0</v>
      </c>
      <c r="R1226" s="205">
        <f ca="1">+IF(ISERROR(OFFSET(Tabella!$G$1,MATCH(J1226,Tabella!$G:$G,0)-1,MATCH(K1226,Tabella!$G$1:$FG$1,0)-1)=TRUE),0,OFFSET(Tabella!$G$1,MATCH(J1226,Tabella!$G:$G,0)-1,MATCH(K1226,Tabella!$G$1:$AB$1,0)-1))</f>
        <v>0</v>
      </c>
      <c r="S1226" s="205">
        <f ca="1">IF(ISERROR(OFFSET(Ottone!$F$1,MATCH(J1226,Ottone!$A:$A,0)-1,MATCH(K1226,Ottone!$F$1:$FF$1,0)-1)=TRUE),0,OFFSET(Ottone!$F$1,MATCH(J1226,Ottone!$A:$A,0)-1,MATCH(K1226,Ottone!$F$1:$FF$1,0)-1))*IF(G1226="Ottone",1,0)</f>
        <v>0</v>
      </c>
      <c r="T1226" s="205">
        <f ca="1">IF(ISERROR(OFFSET(Rame!$F$1,MATCH(J1226,Rame!$F:$F,0)-1,MATCH(K1226,Rame!$F$1:$FF$1,0)-1)=TRUE),0,OFFSET(Rame!$F$1,MATCH(J1226,Rame!$F:$F,0)-1,MATCH(K1226,Rame!$F$1:$FF$1,0)-1))*IF(G1226="Rame",1,0)</f>
        <v>0</v>
      </c>
      <c r="U1226" s="205">
        <f ca="1">IF(ISERROR(OFFSET(Bronzo!$A$1,MATCH(J1226,Bronzo!$A:$A,0)-1,MATCH(K1226,Bronzo!$A$1:$AA$1,0)-1)=TRUE),0,OFFSET(Bronzo!$A$1,MATCH(J1226,Bronzo!$A:$A,0)-1,MATCH(K1226,Bronzo!$A$1:$AA$1,0)-1))</f>
        <v>0</v>
      </c>
      <c r="V1226" s="205">
        <f t="shared" ca="1" si="336"/>
        <v>0</v>
      </c>
      <c r="W1226" s="204"/>
      <c r="X1226" s="205">
        <v>0</v>
      </c>
      <c r="Y1226" s="206">
        <f t="shared" ca="1" si="337"/>
        <v>0</v>
      </c>
      <c r="Z1226" s="277">
        <f t="shared" si="338"/>
        <v>0</v>
      </c>
      <c r="AA1226" s="203"/>
      <c r="AB1226" s="203">
        <f t="shared" ca="1" si="339"/>
        <v>0</v>
      </c>
      <c r="AC1226" s="238"/>
      <c r="AI1226" s="367">
        <f t="shared" ca="1" si="346"/>
        <v>46092</v>
      </c>
      <c r="AJ1226" s="367" t="b">
        <f t="shared" si="340"/>
        <v>1</v>
      </c>
      <c r="AK1226" s="370" t="str">
        <f t="shared" si="341"/>
        <v/>
      </c>
      <c r="AN1226">
        <f t="shared" si="342"/>
        <v>0</v>
      </c>
      <c r="AO1226">
        <f t="shared" si="343"/>
        <v>1900</v>
      </c>
      <c r="AV1226">
        <f t="shared" si="344"/>
        <v>0</v>
      </c>
      <c r="AW1226">
        <f t="shared" si="345"/>
        <v>0</v>
      </c>
    </row>
    <row r="1227" spans="4:49" ht="15.75" x14ac:dyDescent="0.25">
      <c r="D1227" s="199"/>
      <c r="E1227" s="200"/>
      <c r="F1227" s="287"/>
      <c r="G1227" s="201"/>
      <c r="H1227" s="219"/>
      <c r="I1227" s="202"/>
      <c r="J1227" s="200"/>
      <c r="K1227" s="200"/>
      <c r="L1227" s="203"/>
      <c r="M1227" s="204">
        <f ca="1">IF(ISERROR(OFFSET(Tabella!$A$1,MATCH(J1227,Tabella!$A:$A,0)-1,MATCH(L1227,Tabella!$A$1:$AC$1,0)-1)=TRUE),0,+OFFSET(Tabella!$A$1,MATCH(J1227,Tabella!$A:$A,0)-1,MATCH(L1227,Tabella!$A$1:$AC$1,0)-1))</f>
        <v>0</v>
      </c>
      <c r="N1227" s="205">
        <f ca="1">IF(ISERROR(OFFSET(Ottone!$A$1,MATCH(J1227,Ottone!$A:$A,0)-1,MATCH(L1227,Ottone!$A$1:$Z$1,0)-1)=TRUE),0,OFFSET(Ottone!$A$1,MATCH(J1227,Ottone!$A:$A,0)-1,MATCH(L1227,Ottone!$A$1:$Z$1,0)-1))*IF(G1227="Ottone",1,0)</f>
        <v>0</v>
      </c>
      <c r="O1227" s="205">
        <f ca="1">IF(ISERROR(OFFSET(Rame!$A$1,MATCH(J1227,Rame!$A:$A,0)-1,MATCH(L1227,Rame!$A$1:$AA$1,0)-1)=TRUE),0,OFFSET(Rame!$A$1,MATCH(J1227,Rame!$A:$A,0)-1,MATCH(L1227,Rame!$A$1:$AA$1,0)-1))*IF(G1227="Rame",1,0)</f>
        <v>0</v>
      </c>
      <c r="P1227" s="205">
        <v>0</v>
      </c>
      <c r="Q1227" s="205">
        <f t="shared" ca="1" si="335"/>
        <v>0</v>
      </c>
      <c r="R1227" s="205">
        <f ca="1">+IF(ISERROR(OFFSET(Tabella!$G$1,MATCH(J1227,Tabella!$G:$G,0)-1,MATCH(K1227,Tabella!$G$1:$FG$1,0)-1)=TRUE),0,OFFSET(Tabella!$G$1,MATCH(J1227,Tabella!$G:$G,0)-1,MATCH(K1227,Tabella!$G$1:$AB$1,0)-1))</f>
        <v>0</v>
      </c>
      <c r="S1227" s="205">
        <f ca="1">IF(ISERROR(OFFSET(Ottone!$F$1,MATCH(J1227,Ottone!$A:$A,0)-1,MATCH(K1227,Ottone!$F$1:$FF$1,0)-1)=TRUE),0,OFFSET(Ottone!$F$1,MATCH(J1227,Ottone!$A:$A,0)-1,MATCH(K1227,Ottone!$F$1:$FF$1,0)-1))*IF(G1227="Ottone",1,0)</f>
        <v>0</v>
      </c>
      <c r="T1227" s="205">
        <f ca="1">IF(ISERROR(OFFSET(Rame!$F$1,MATCH(J1227,Rame!$F:$F,0)-1,MATCH(K1227,Rame!$F$1:$FF$1,0)-1)=TRUE),0,OFFSET(Rame!$F$1,MATCH(J1227,Rame!$F:$F,0)-1,MATCH(K1227,Rame!$F$1:$FF$1,0)-1))*IF(G1227="Rame",1,0)</f>
        <v>0</v>
      </c>
      <c r="U1227" s="205">
        <f ca="1">IF(ISERROR(OFFSET(Bronzo!$A$1,MATCH(J1227,Bronzo!$A:$A,0)-1,MATCH(K1227,Bronzo!$A$1:$AA$1,0)-1)=TRUE),0,OFFSET(Bronzo!$A$1,MATCH(J1227,Bronzo!$A:$A,0)-1,MATCH(K1227,Bronzo!$A$1:$AA$1,0)-1))</f>
        <v>0</v>
      </c>
      <c r="V1227" s="205">
        <f t="shared" ca="1" si="336"/>
        <v>0</v>
      </c>
      <c r="W1227" s="204"/>
      <c r="X1227" s="205">
        <v>0</v>
      </c>
      <c r="Y1227" s="206">
        <f t="shared" ca="1" si="337"/>
        <v>0</v>
      </c>
      <c r="Z1227" s="277">
        <f t="shared" si="338"/>
        <v>0</v>
      </c>
      <c r="AA1227" s="203"/>
      <c r="AB1227" s="203">
        <f t="shared" ca="1" si="339"/>
        <v>0</v>
      </c>
      <c r="AC1227" s="238"/>
      <c r="AI1227" s="367">
        <f t="shared" ca="1" si="346"/>
        <v>46092</v>
      </c>
      <c r="AJ1227" s="367" t="b">
        <f t="shared" si="340"/>
        <v>1</v>
      </c>
      <c r="AK1227" s="370" t="str">
        <f t="shared" si="341"/>
        <v/>
      </c>
      <c r="AN1227">
        <f t="shared" si="342"/>
        <v>0</v>
      </c>
      <c r="AO1227">
        <f t="shared" si="343"/>
        <v>1900</v>
      </c>
      <c r="AV1227">
        <f t="shared" si="344"/>
        <v>0</v>
      </c>
      <c r="AW1227">
        <f t="shared" si="345"/>
        <v>0</v>
      </c>
    </row>
    <row r="1228" spans="4:49" ht="15.75" x14ac:dyDescent="0.25">
      <c r="D1228" s="199"/>
      <c r="E1228" s="200"/>
      <c r="F1228" s="287"/>
      <c r="G1228" s="201"/>
      <c r="H1228" s="219"/>
      <c r="I1228" s="202"/>
      <c r="J1228" s="200"/>
      <c r="K1228" s="200"/>
      <c r="L1228" s="203"/>
      <c r="M1228" s="204">
        <f ca="1">IF(ISERROR(OFFSET(Tabella!$A$1,MATCH(J1228,Tabella!$A:$A,0)-1,MATCH(L1228,Tabella!$A$1:$AC$1,0)-1)=TRUE),0,+OFFSET(Tabella!$A$1,MATCH(J1228,Tabella!$A:$A,0)-1,MATCH(L1228,Tabella!$A$1:$AC$1,0)-1))</f>
        <v>0</v>
      </c>
      <c r="N1228" s="205">
        <f ca="1">IF(ISERROR(OFFSET(Ottone!$A$1,MATCH(J1228,Ottone!$A:$A,0)-1,MATCH(L1228,Ottone!$A$1:$Z$1,0)-1)=TRUE),0,OFFSET(Ottone!$A$1,MATCH(J1228,Ottone!$A:$A,0)-1,MATCH(L1228,Ottone!$A$1:$Z$1,0)-1))*IF(G1228="Ottone",1,0)</f>
        <v>0</v>
      </c>
      <c r="O1228" s="205">
        <f ca="1">IF(ISERROR(OFFSET(Rame!$A$1,MATCH(J1228,Rame!$A:$A,0)-1,MATCH(L1228,Rame!$A$1:$AA$1,0)-1)=TRUE),0,OFFSET(Rame!$A$1,MATCH(J1228,Rame!$A:$A,0)-1,MATCH(L1228,Rame!$A$1:$AA$1,0)-1))*IF(G1228="Rame",1,0)</f>
        <v>0</v>
      </c>
      <c r="P1228" s="205">
        <v>0</v>
      </c>
      <c r="Q1228" s="205">
        <f t="shared" ca="1" si="335"/>
        <v>0</v>
      </c>
      <c r="R1228" s="205">
        <f ca="1">+IF(ISERROR(OFFSET(Tabella!$G$1,MATCH(J1228,Tabella!$G:$G,0)-1,MATCH(K1228,Tabella!$G$1:$FG$1,0)-1)=TRUE),0,OFFSET(Tabella!$G$1,MATCH(J1228,Tabella!$G:$G,0)-1,MATCH(K1228,Tabella!$G$1:$AB$1,0)-1))</f>
        <v>0</v>
      </c>
      <c r="S1228" s="205">
        <f ca="1">IF(ISERROR(OFFSET(Ottone!$F$1,MATCH(J1228,Ottone!$A:$A,0)-1,MATCH(K1228,Ottone!$F$1:$FF$1,0)-1)=TRUE),0,OFFSET(Ottone!$F$1,MATCH(J1228,Ottone!$A:$A,0)-1,MATCH(K1228,Ottone!$F$1:$FF$1,0)-1))*IF(G1228="Ottone",1,0)</f>
        <v>0</v>
      </c>
      <c r="T1228" s="205">
        <f ca="1">IF(ISERROR(OFFSET(Rame!$F$1,MATCH(J1228,Rame!$F:$F,0)-1,MATCH(K1228,Rame!$F$1:$FF$1,0)-1)=TRUE),0,OFFSET(Rame!$F$1,MATCH(J1228,Rame!$F:$F,0)-1,MATCH(K1228,Rame!$F$1:$FF$1,0)-1))*IF(G1228="Rame",1,0)</f>
        <v>0</v>
      </c>
      <c r="U1228" s="205">
        <f ca="1">IF(ISERROR(OFFSET(Bronzo!$A$1,MATCH(J1228,Bronzo!$A:$A,0)-1,MATCH(K1228,Bronzo!$A$1:$AA$1,0)-1)=TRUE),0,OFFSET(Bronzo!$A$1,MATCH(J1228,Bronzo!$A:$A,0)-1,MATCH(K1228,Bronzo!$A$1:$AA$1,0)-1))</f>
        <v>0</v>
      </c>
      <c r="V1228" s="205">
        <f t="shared" ca="1" si="336"/>
        <v>0</v>
      </c>
      <c r="W1228" s="204"/>
      <c r="X1228" s="205">
        <v>0</v>
      </c>
      <c r="Y1228" s="206">
        <f t="shared" ca="1" si="337"/>
        <v>0</v>
      </c>
      <c r="Z1228" s="277">
        <f t="shared" si="338"/>
        <v>0</v>
      </c>
      <c r="AA1228" s="203"/>
      <c r="AB1228" s="203">
        <f t="shared" ca="1" si="339"/>
        <v>0</v>
      </c>
      <c r="AC1228" s="238"/>
      <c r="AI1228" s="367">
        <f t="shared" ca="1" si="346"/>
        <v>46092</v>
      </c>
      <c r="AJ1228" s="367" t="b">
        <f t="shared" si="340"/>
        <v>1</v>
      </c>
      <c r="AK1228" s="370" t="str">
        <f t="shared" si="341"/>
        <v/>
      </c>
      <c r="AN1228">
        <f t="shared" si="342"/>
        <v>0</v>
      </c>
      <c r="AO1228">
        <f t="shared" si="343"/>
        <v>1900</v>
      </c>
      <c r="AV1228">
        <f t="shared" si="344"/>
        <v>0</v>
      </c>
      <c r="AW1228">
        <f t="shared" si="345"/>
        <v>0</v>
      </c>
    </row>
    <row r="1229" spans="4:49" ht="15.75" x14ac:dyDescent="0.25">
      <c r="D1229" s="199"/>
      <c r="E1229" s="200"/>
      <c r="F1229" s="287"/>
      <c r="G1229" s="201"/>
      <c r="H1229" s="219"/>
      <c r="I1229" s="202"/>
      <c r="J1229" s="200"/>
      <c r="K1229" s="200"/>
      <c r="L1229" s="203"/>
      <c r="M1229" s="204">
        <f ca="1">IF(ISERROR(OFFSET(Tabella!$A$1,MATCH(J1229,Tabella!$A:$A,0)-1,MATCH(L1229,Tabella!$A$1:$AC$1,0)-1)=TRUE),0,+OFFSET(Tabella!$A$1,MATCH(J1229,Tabella!$A:$A,0)-1,MATCH(L1229,Tabella!$A$1:$AC$1,0)-1))</f>
        <v>0</v>
      </c>
      <c r="N1229" s="205">
        <f ca="1">IF(ISERROR(OFFSET(Ottone!$A$1,MATCH(J1229,Ottone!$A:$A,0)-1,MATCH(L1229,Ottone!$A$1:$Z$1,0)-1)=TRUE),0,OFFSET(Ottone!$A$1,MATCH(J1229,Ottone!$A:$A,0)-1,MATCH(L1229,Ottone!$A$1:$Z$1,0)-1))*IF(G1229="Ottone",1,0)</f>
        <v>0</v>
      </c>
      <c r="O1229" s="205">
        <f ca="1">IF(ISERROR(OFFSET(Rame!$A$1,MATCH(J1229,Rame!$A:$A,0)-1,MATCH(L1229,Rame!$A$1:$AA$1,0)-1)=TRUE),0,OFFSET(Rame!$A$1,MATCH(J1229,Rame!$A:$A,0)-1,MATCH(L1229,Rame!$A$1:$AA$1,0)-1))*IF(G1229="Rame",1,0)</f>
        <v>0</v>
      </c>
      <c r="P1229" s="205">
        <v>0</v>
      </c>
      <c r="Q1229" s="205">
        <f t="shared" ca="1" si="335"/>
        <v>0</v>
      </c>
      <c r="R1229" s="205">
        <f ca="1">+IF(ISERROR(OFFSET(Tabella!$G$1,MATCH(J1229,Tabella!$G:$G,0)-1,MATCH(K1229,Tabella!$G$1:$FG$1,0)-1)=TRUE),0,OFFSET(Tabella!$G$1,MATCH(J1229,Tabella!$G:$G,0)-1,MATCH(K1229,Tabella!$G$1:$AB$1,0)-1))</f>
        <v>0</v>
      </c>
      <c r="S1229" s="205">
        <f ca="1">IF(ISERROR(OFFSET(Ottone!$F$1,MATCH(J1229,Ottone!$A:$A,0)-1,MATCH(K1229,Ottone!$F$1:$FF$1,0)-1)=TRUE),0,OFFSET(Ottone!$F$1,MATCH(J1229,Ottone!$A:$A,0)-1,MATCH(K1229,Ottone!$F$1:$FF$1,0)-1))*IF(G1229="Ottone",1,0)</f>
        <v>0</v>
      </c>
      <c r="T1229" s="205">
        <f ca="1">IF(ISERROR(OFFSET(Rame!$F$1,MATCH(J1229,Rame!$F:$F,0)-1,MATCH(K1229,Rame!$F$1:$FF$1,0)-1)=TRUE),0,OFFSET(Rame!$F$1,MATCH(J1229,Rame!$F:$F,0)-1,MATCH(K1229,Rame!$F$1:$FF$1,0)-1))*IF(G1229="Rame",1,0)</f>
        <v>0</v>
      </c>
      <c r="U1229" s="205">
        <f ca="1">IF(ISERROR(OFFSET(Bronzo!$A$1,MATCH(J1229,Bronzo!$A:$A,0)-1,MATCH(K1229,Bronzo!$A$1:$AA$1,0)-1)=TRUE),0,OFFSET(Bronzo!$A$1,MATCH(J1229,Bronzo!$A:$A,0)-1,MATCH(K1229,Bronzo!$A$1:$AA$1,0)-1))</f>
        <v>0</v>
      </c>
      <c r="V1229" s="205">
        <f t="shared" ca="1" si="336"/>
        <v>0</v>
      </c>
      <c r="W1229" s="204"/>
      <c r="X1229" s="205">
        <v>0</v>
      </c>
      <c r="Y1229" s="206">
        <f t="shared" ca="1" si="337"/>
        <v>0</v>
      </c>
      <c r="Z1229" s="277">
        <f t="shared" si="338"/>
        <v>0</v>
      </c>
      <c r="AA1229" s="203"/>
      <c r="AB1229" s="203">
        <f t="shared" ca="1" si="339"/>
        <v>0</v>
      </c>
      <c r="AC1229" s="238"/>
      <c r="AI1229" s="367">
        <f t="shared" ca="1" si="346"/>
        <v>46092</v>
      </c>
      <c r="AJ1229" s="367" t="b">
        <f t="shared" si="340"/>
        <v>1</v>
      </c>
      <c r="AK1229" s="370" t="str">
        <f t="shared" si="341"/>
        <v/>
      </c>
      <c r="AN1229">
        <f t="shared" si="342"/>
        <v>0</v>
      </c>
      <c r="AO1229">
        <f t="shared" si="343"/>
        <v>1900</v>
      </c>
      <c r="AV1229">
        <f t="shared" si="344"/>
        <v>0</v>
      </c>
      <c r="AW1229">
        <f t="shared" si="345"/>
        <v>0</v>
      </c>
    </row>
    <row r="1230" spans="4:49" ht="15.75" x14ac:dyDescent="0.25">
      <c r="D1230" s="199"/>
      <c r="E1230" s="200"/>
      <c r="F1230" s="287"/>
      <c r="G1230" s="201"/>
      <c r="H1230" s="219"/>
      <c r="I1230" s="202"/>
      <c r="J1230" s="200"/>
      <c r="K1230" s="200"/>
      <c r="L1230" s="203"/>
      <c r="M1230" s="204">
        <f ca="1">IF(ISERROR(OFFSET(Tabella!$A$1,MATCH(J1230,Tabella!$A:$A,0)-1,MATCH(L1230,Tabella!$A$1:$AC$1,0)-1)=TRUE),0,+OFFSET(Tabella!$A$1,MATCH(J1230,Tabella!$A:$A,0)-1,MATCH(L1230,Tabella!$A$1:$AC$1,0)-1))</f>
        <v>0</v>
      </c>
      <c r="N1230" s="205">
        <f ca="1">IF(ISERROR(OFFSET(Ottone!$A$1,MATCH(J1230,Ottone!$A:$A,0)-1,MATCH(L1230,Ottone!$A$1:$Z$1,0)-1)=TRUE),0,OFFSET(Ottone!$A$1,MATCH(J1230,Ottone!$A:$A,0)-1,MATCH(L1230,Ottone!$A$1:$Z$1,0)-1))*IF(G1230="Ottone",1,0)</f>
        <v>0</v>
      </c>
      <c r="O1230" s="205">
        <f ca="1">IF(ISERROR(OFFSET(Rame!$A$1,MATCH(J1230,Rame!$A:$A,0)-1,MATCH(L1230,Rame!$A$1:$AA$1,0)-1)=TRUE),0,OFFSET(Rame!$A$1,MATCH(J1230,Rame!$A:$A,0)-1,MATCH(L1230,Rame!$A$1:$AA$1,0)-1))*IF(G1230="Rame",1,0)</f>
        <v>0</v>
      </c>
      <c r="P1230" s="205">
        <v>0</v>
      </c>
      <c r="Q1230" s="205">
        <f t="shared" ca="1" si="335"/>
        <v>0</v>
      </c>
      <c r="R1230" s="205">
        <f ca="1">+IF(ISERROR(OFFSET(Tabella!$G$1,MATCH(J1230,Tabella!$G:$G,0)-1,MATCH(K1230,Tabella!$G$1:$FG$1,0)-1)=TRUE),0,OFFSET(Tabella!$G$1,MATCH(J1230,Tabella!$G:$G,0)-1,MATCH(K1230,Tabella!$G$1:$AB$1,0)-1))</f>
        <v>0</v>
      </c>
      <c r="S1230" s="205">
        <f ca="1">IF(ISERROR(OFFSET(Ottone!$F$1,MATCH(J1230,Ottone!$A:$A,0)-1,MATCH(K1230,Ottone!$F$1:$FF$1,0)-1)=TRUE),0,OFFSET(Ottone!$F$1,MATCH(J1230,Ottone!$A:$A,0)-1,MATCH(K1230,Ottone!$F$1:$FF$1,0)-1))*IF(G1230="Ottone",1,0)</f>
        <v>0</v>
      </c>
      <c r="T1230" s="205">
        <f ca="1">IF(ISERROR(OFFSET(Rame!$F$1,MATCH(J1230,Rame!$F:$F,0)-1,MATCH(K1230,Rame!$F$1:$FF$1,0)-1)=TRUE),0,OFFSET(Rame!$F$1,MATCH(J1230,Rame!$F:$F,0)-1,MATCH(K1230,Rame!$F$1:$FF$1,0)-1))*IF(G1230="Rame",1,0)</f>
        <v>0</v>
      </c>
      <c r="U1230" s="205">
        <f ca="1">IF(ISERROR(OFFSET(Bronzo!$A$1,MATCH(J1230,Bronzo!$A:$A,0)-1,MATCH(K1230,Bronzo!$A$1:$AA$1,0)-1)=TRUE),0,OFFSET(Bronzo!$A$1,MATCH(J1230,Bronzo!$A:$A,0)-1,MATCH(K1230,Bronzo!$A$1:$AA$1,0)-1))</f>
        <v>0</v>
      </c>
      <c r="V1230" s="205">
        <f t="shared" ca="1" si="336"/>
        <v>0</v>
      </c>
      <c r="W1230" s="204"/>
      <c r="X1230" s="205">
        <v>0</v>
      </c>
      <c r="Y1230" s="206">
        <f t="shared" ca="1" si="337"/>
        <v>0</v>
      </c>
      <c r="Z1230" s="277">
        <f t="shared" si="338"/>
        <v>0</v>
      </c>
      <c r="AA1230" s="203"/>
      <c r="AB1230" s="203">
        <f t="shared" ca="1" si="339"/>
        <v>0</v>
      </c>
      <c r="AC1230" s="238"/>
      <c r="AI1230" s="367">
        <f t="shared" ca="1" si="346"/>
        <v>46092</v>
      </c>
      <c r="AJ1230" s="367" t="b">
        <f t="shared" si="340"/>
        <v>1</v>
      </c>
      <c r="AK1230" s="370" t="str">
        <f t="shared" si="341"/>
        <v/>
      </c>
      <c r="AN1230">
        <f t="shared" si="342"/>
        <v>0</v>
      </c>
      <c r="AO1230">
        <f t="shared" si="343"/>
        <v>1900</v>
      </c>
      <c r="AV1230">
        <f t="shared" si="344"/>
        <v>0</v>
      </c>
      <c r="AW1230">
        <f t="shared" si="345"/>
        <v>0</v>
      </c>
    </row>
    <row r="1231" spans="4:49" ht="15.75" x14ac:dyDescent="0.25">
      <c r="D1231" s="199"/>
      <c r="E1231" s="200"/>
      <c r="F1231" s="287"/>
      <c r="G1231" s="201"/>
      <c r="H1231" s="219"/>
      <c r="I1231" s="202"/>
      <c r="J1231" s="200"/>
      <c r="K1231" s="200"/>
      <c r="L1231" s="203"/>
      <c r="M1231" s="204">
        <f ca="1">IF(ISERROR(OFFSET(Tabella!$A$1,MATCH(J1231,Tabella!$A:$A,0)-1,MATCH(L1231,Tabella!$A$1:$AC$1,0)-1)=TRUE),0,+OFFSET(Tabella!$A$1,MATCH(J1231,Tabella!$A:$A,0)-1,MATCH(L1231,Tabella!$A$1:$AC$1,0)-1))</f>
        <v>0</v>
      </c>
      <c r="N1231" s="205">
        <f ca="1">IF(ISERROR(OFFSET(Ottone!$A$1,MATCH(J1231,Ottone!$A:$A,0)-1,MATCH(L1231,Ottone!$A$1:$Z$1,0)-1)=TRUE),0,OFFSET(Ottone!$A$1,MATCH(J1231,Ottone!$A:$A,0)-1,MATCH(L1231,Ottone!$A$1:$Z$1,0)-1))*IF(G1231="Ottone",1,0)</f>
        <v>0</v>
      </c>
      <c r="O1231" s="205">
        <f ca="1">IF(ISERROR(OFFSET(Rame!$A$1,MATCH(J1231,Rame!$A:$A,0)-1,MATCH(L1231,Rame!$A$1:$AA$1,0)-1)=TRUE),0,OFFSET(Rame!$A$1,MATCH(J1231,Rame!$A:$A,0)-1,MATCH(L1231,Rame!$A$1:$AA$1,0)-1))*IF(G1231="Rame",1,0)</f>
        <v>0</v>
      </c>
      <c r="P1231" s="205">
        <v>0</v>
      </c>
      <c r="Q1231" s="205">
        <f t="shared" ref="Q1231:Q1286" ca="1" si="347">SUM(M1231:P1231)</f>
        <v>0</v>
      </c>
      <c r="R1231" s="205">
        <f ca="1">+IF(ISERROR(OFFSET(Tabella!$G$1,MATCH(J1231,Tabella!$G:$G,0)-1,MATCH(K1231,Tabella!$G$1:$FG$1,0)-1)=TRUE),0,OFFSET(Tabella!$G$1,MATCH(J1231,Tabella!$G:$G,0)-1,MATCH(K1231,Tabella!$G$1:$AB$1,0)-1))</f>
        <v>0</v>
      </c>
      <c r="S1231" s="205">
        <f ca="1">IF(ISERROR(OFFSET(Ottone!$F$1,MATCH(J1231,Ottone!$A:$A,0)-1,MATCH(K1231,Ottone!$F$1:$FF$1,0)-1)=TRUE),0,OFFSET(Ottone!$F$1,MATCH(J1231,Ottone!$A:$A,0)-1,MATCH(K1231,Ottone!$F$1:$FF$1,0)-1))*IF(G1231="Ottone",1,0)</f>
        <v>0</v>
      </c>
      <c r="T1231" s="205">
        <f ca="1">IF(ISERROR(OFFSET(Rame!$F$1,MATCH(J1231,Rame!$F:$F,0)-1,MATCH(K1231,Rame!$F$1:$FF$1,0)-1)=TRUE),0,OFFSET(Rame!$F$1,MATCH(J1231,Rame!$F:$F,0)-1,MATCH(K1231,Rame!$F$1:$FF$1,0)-1))*IF(G1231="Rame",1,0)</f>
        <v>0</v>
      </c>
      <c r="U1231" s="205">
        <f ca="1">IF(ISERROR(OFFSET(Bronzo!$A$1,MATCH(J1231,Bronzo!$A:$A,0)-1,MATCH(K1231,Bronzo!$A$1:$AA$1,0)-1)=TRUE),0,OFFSET(Bronzo!$A$1,MATCH(J1231,Bronzo!$A:$A,0)-1,MATCH(K1231,Bronzo!$A$1:$AA$1,0)-1))</f>
        <v>0</v>
      </c>
      <c r="V1231" s="205">
        <f t="shared" ref="V1231:V1286" ca="1" si="348">SUM(R1231:U1231)</f>
        <v>0</v>
      </c>
      <c r="W1231" s="204"/>
      <c r="X1231" s="205">
        <v>0</v>
      </c>
      <c r="Y1231" s="206">
        <f t="shared" ref="Y1231:Y1286" ca="1" si="349">+Q1231+V1231+W1231+X1231</f>
        <v>0</v>
      </c>
      <c r="Z1231" s="277">
        <f t="shared" ref="Z1231:Z1286" si="350">+L1231*F1231</f>
        <v>0</v>
      </c>
      <c r="AA1231" s="203"/>
      <c r="AB1231" s="203">
        <f t="shared" ref="AB1231:AB1286" ca="1" si="351">+AA1231-Y1231-H1231</f>
        <v>0</v>
      </c>
      <c r="AC1231" s="238"/>
      <c r="AI1231" s="367">
        <f t="shared" ca="1" si="346"/>
        <v>46092</v>
      </c>
      <c r="AJ1231" s="367" t="b">
        <f t="shared" si="340"/>
        <v>1</v>
      </c>
      <c r="AK1231" s="370" t="str">
        <f t="shared" si="341"/>
        <v/>
      </c>
      <c r="AN1231">
        <f t="shared" si="342"/>
        <v>0</v>
      </c>
      <c r="AO1231">
        <f t="shared" si="343"/>
        <v>1900</v>
      </c>
      <c r="AV1231">
        <f t="shared" si="344"/>
        <v>0</v>
      </c>
      <c r="AW1231">
        <f t="shared" si="345"/>
        <v>0</v>
      </c>
    </row>
    <row r="1232" spans="4:49" ht="15.75" x14ac:dyDescent="0.25">
      <c r="D1232" s="199"/>
      <c r="E1232" s="200"/>
      <c r="F1232" s="287"/>
      <c r="G1232" s="201"/>
      <c r="H1232" s="219"/>
      <c r="I1232" s="202"/>
      <c r="J1232" s="200"/>
      <c r="K1232" s="200"/>
      <c r="L1232" s="203"/>
      <c r="M1232" s="204">
        <f ca="1">IF(ISERROR(OFFSET(Tabella!$A$1,MATCH(J1232,Tabella!$A:$A,0)-1,MATCH(L1232,Tabella!$A$1:$AC$1,0)-1)=TRUE),0,+OFFSET(Tabella!$A$1,MATCH(J1232,Tabella!$A:$A,0)-1,MATCH(L1232,Tabella!$A$1:$AC$1,0)-1))</f>
        <v>0</v>
      </c>
      <c r="N1232" s="205">
        <f ca="1">IF(ISERROR(OFFSET(Ottone!$A$1,MATCH(J1232,Ottone!$A:$A,0)-1,MATCH(L1232,Ottone!$A$1:$Z$1,0)-1)=TRUE),0,OFFSET(Ottone!$A$1,MATCH(J1232,Ottone!$A:$A,0)-1,MATCH(L1232,Ottone!$A$1:$Z$1,0)-1))*IF(G1232="Ottone",1,0)</f>
        <v>0</v>
      </c>
      <c r="O1232" s="205">
        <f ca="1">IF(ISERROR(OFFSET(Rame!$A$1,MATCH(J1232,Rame!$A:$A,0)-1,MATCH(L1232,Rame!$A$1:$AA$1,0)-1)=TRUE),0,OFFSET(Rame!$A$1,MATCH(J1232,Rame!$A:$A,0)-1,MATCH(L1232,Rame!$A$1:$AA$1,0)-1))*IF(G1232="Rame",1,0)</f>
        <v>0</v>
      </c>
      <c r="P1232" s="205">
        <v>0</v>
      </c>
      <c r="Q1232" s="205">
        <f t="shared" ca="1" si="347"/>
        <v>0</v>
      </c>
      <c r="R1232" s="205">
        <f ca="1">+IF(ISERROR(OFFSET(Tabella!$G$1,MATCH(J1232,Tabella!$G:$G,0)-1,MATCH(K1232,Tabella!$G$1:$FG$1,0)-1)=TRUE),0,OFFSET(Tabella!$G$1,MATCH(J1232,Tabella!$G:$G,0)-1,MATCH(K1232,Tabella!$G$1:$AB$1,0)-1))</f>
        <v>0</v>
      </c>
      <c r="S1232" s="205">
        <f ca="1">IF(ISERROR(OFFSET(Ottone!$F$1,MATCH(J1232,Ottone!$A:$A,0)-1,MATCH(K1232,Ottone!$F$1:$FF$1,0)-1)=TRUE),0,OFFSET(Ottone!$F$1,MATCH(J1232,Ottone!$A:$A,0)-1,MATCH(K1232,Ottone!$F$1:$FF$1,0)-1))*IF(G1232="Ottone",1,0)</f>
        <v>0</v>
      </c>
      <c r="T1232" s="205">
        <f ca="1">IF(ISERROR(OFFSET(Rame!$F$1,MATCH(J1232,Rame!$F:$F,0)-1,MATCH(K1232,Rame!$F$1:$FF$1,0)-1)=TRUE),0,OFFSET(Rame!$F$1,MATCH(J1232,Rame!$F:$F,0)-1,MATCH(K1232,Rame!$F$1:$FF$1,0)-1))*IF(G1232="Rame",1,0)</f>
        <v>0</v>
      </c>
      <c r="U1232" s="205">
        <f ca="1">IF(ISERROR(OFFSET(Bronzo!$A$1,MATCH(J1232,Bronzo!$A:$A,0)-1,MATCH(K1232,Bronzo!$A$1:$AA$1,0)-1)=TRUE),0,OFFSET(Bronzo!$A$1,MATCH(J1232,Bronzo!$A:$A,0)-1,MATCH(K1232,Bronzo!$A$1:$AA$1,0)-1))</f>
        <v>0</v>
      </c>
      <c r="V1232" s="205">
        <f t="shared" ca="1" si="348"/>
        <v>0</v>
      </c>
      <c r="W1232" s="204"/>
      <c r="X1232" s="205">
        <v>0</v>
      </c>
      <c r="Y1232" s="206">
        <f t="shared" ca="1" si="349"/>
        <v>0</v>
      </c>
      <c r="Z1232" s="277">
        <f t="shared" si="350"/>
        <v>0</v>
      </c>
      <c r="AA1232" s="203"/>
      <c r="AB1232" s="203">
        <f t="shared" ca="1" si="351"/>
        <v>0</v>
      </c>
      <c r="AC1232" s="238"/>
      <c r="AI1232" s="367">
        <f t="shared" ca="1" si="346"/>
        <v>46092</v>
      </c>
      <c r="AJ1232" s="367" t="b">
        <f t="shared" si="340"/>
        <v>1</v>
      </c>
      <c r="AK1232" s="370" t="str">
        <f t="shared" si="341"/>
        <v/>
      </c>
      <c r="AN1232">
        <f t="shared" si="342"/>
        <v>0</v>
      </c>
      <c r="AO1232">
        <f t="shared" si="343"/>
        <v>1900</v>
      </c>
      <c r="AV1232">
        <f t="shared" si="344"/>
        <v>0</v>
      </c>
      <c r="AW1232">
        <f t="shared" si="345"/>
        <v>0</v>
      </c>
    </row>
    <row r="1233" spans="4:49" ht="15.75" x14ac:dyDescent="0.25">
      <c r="D1233" s="199"/>
      <c r="E1233" s="200"/>
      <c r="F1233" s="287"/>
      <c r="G1233" s="201"/>
      <c r="H1233" s="219"/>
      <c r="I1233" s="202"/>
      <c r="J1233" s="200"/>
      <c r="K1233" s="200"/>
      <c r="L1233" s="203"/>
      <c r="M1233" s="204">
        <f ca="1">IF(ISERROR(OFFSET(Tabella!$A$1,MATCH(J1233,Tabella!$A:$A,0)-1,MATCH(L1233,Tabella!$A$1:$AC$1,0)-1)=TRUE),0,+OFFSET(Tabella!$A$1,MATCH(J1233,Tabella!$A:$A,0)-1,MATCH(L1233,Tabella!$A$1:$AC$1,0)-1))</f>
        <v>0</v>
      </c>
      <c r="N1233" s="205">
        <f ca="1">IF(ISERROR(OFFSET(Ottone!$A$1,MATCH(J1233,Ottone!$A:$A,0)-1,MATCH(L1233,Ottone!$A$1:$Z$1,0)-1)=TRUE),0,OFFSET(Ottone!$A$1,MATCH(J1233,Ottone!$A:$A,0)-1,MATCH(L1233,Ottone!$A$1:$Z$1,0)-1))*IF(G1233="Ottone",1,0)</f>
        <v>0</v>
      </c>
      <c r="O1233" s="205">
        <f ca="1">IF(ISERROR(OFFSET(Rame!$A$1,MATCH(J1233,Rame!$A:$A,0)-1,MATCH(L1233,Rame!$A$1:$AA$1,0)-1)=TRUE),0,OFFSET(Rame!$A$1,MATCH(J1233,Rame!$A:$A,0)-1,MATCH(L1233,Rame!$A$1:$AA$1,0)-1))*IF(G1233="Rame",1,0)</f>
        <v>0</v>
      </c>
      <c r="P1233" s="205">
        <v>0</v>
      </c>
      <c r="Q1233" s="205">
        <f t="shared" ca="1" si="347"/>
        <v>0</v>
      </c>
      <c r="R1233" s="205">
        <f ca="1">+IF(ISERROR(OFFSET(Tabella!$G$1,MATCH(J1233,Tabella!$G:$G,0)-1,MATCH(K1233,Tabella!$G$1:$FG$1,0)-1)=TRUE),0,OFFSET(Tabella!$G$1,MATCH(J1233,Tabella!$G:$G,0)-1,MATCH(K1233,Tabella!$G$1:$AB$1,0)-1))</f>
        <v>0</v>
      </c>
      <c r="S1233" s="205">
        <f ca="1">IF(ISERROR(OFFSET(Ottone!$F$1,MATCH(J1233,Ottone!$A:$A,0)-1,MATCH(K1233,Ottone!$F$1:$FF$1,0)-1)=TRUE),0,OFFSET(Ottone!$F$1,MATCH(J1233,Ottone!$A:$A,0)-1,MATCH(K1233,Ottone!$F$1:$FF$1,0)-1))*IF(G1233="Ottone",1,0)</f>
        <v>0</v>
      </c>
      <c r="T1233" s="205">
        <f ca="1">IF(ISERROR(OFFSET(Rame!$F$1,MATCH(J1233,Rame!$F:$F,0)-1,MATCH(K1233,Rame!$F$1:$FF$1,0)-1)=TRUE),0,OFFSET(Rame!$F$1,MATCH(J1233,Rame!$F:$F,0)-1,MATCH(K1233,Rame!$F$1:$FF$1,0)-1))*IF(G1233="Rame",1,0)</f>
        <v>0</v>
      </c>
      <c r="U1233" s="205">
        <f ca="1">IF(ISERROR(OFFSET(Bronzo!$A$1,MATCH(J1233,Bronzo!$A:$A,0)-1,MATCH(K1233,Bronzo!$A$1:$AA$1,0)-1)=TRUE),0,OFFSET(Bronzo!$A$1,MATCH(J1233,Bronzo!$A:$A,0)-1,MATCH(K1233,Bronzo!$A$1:$AA$1,0)-1))</f>
        <v>0</v>
      </c>
      <c r="V1233" s="205">
        <f t="shared" ca="1" si="348"/>
        <v>0</v>
      </c>
      <c r="W1233" s="204"/>
      <c r="X1233" s="205">
        <v>0</v>
      </c>
      <c r="Y1233" s="206">
        <f t="shared" ca="1" si="349"/>
        <v>0</v>
      </c>
      <c r="Z1233" s="277">
        <f t="shared" si="350"/>
        <v>0</v>
      </c>
      <c r="AA1233" s="203"/>
      <c r="AB1233" s="203">
        <f t="shared" ca="1" si="351"/>
        <v>0</v>
      </c>
      <c r="AC1233" s="238"/>
      <c r="AI1233" s="367">
        <f t="shared" ca="1" si="346"/>
        <v>46092</v>
      </c>
      <c r="AJ1233" s="367" t="b">
        <f t="shared" si="340"/>
        <v>1</v>
      </c>
      <c r="AK1233" s="370" t="str">
        <f t="shared" si="341"/>
        <v/>
      </c>
      <c r="AN1233">
        <f t="shared" si="342"/>
        <v>0</v>
      </c>
      <c r="AO1233">
        <f t="shared" si="343"/>
        <v>1900</v>
      </c>
      <c r="AV1233">
        <f t="shared" si="344"/>
        <v>0</v>
      </c>
      <c r="AW1233">
        <f t="shared" si="345"/>
        <v>0</v>
      </c>
    </row>
    <row r="1234" spans="4:49" ht="15.75" x14ac:dyDescent="0.25">
      <c r="D1234" s="199"/>
      <c r="E1234" s="200"/>
      <c r="F1234" s="287"/>
      <c r="G1234" s="201"/>
      <c r="H1234" s="219"/>
      <c r="I1234" s="202"/>
      <c r="J1234" s="200"/>
      <c r="K1234" s="200"/>
      <c r="L1234" s="203"/>
      <c r="M1234" s="204">
        <f ca="1">IF(ISERROR(OFFSET(Tabella!$A$1,MATCH(J1234,Tabella!$A:$A,0)-1,MATCH(L1234,Tabella!$A$1:$AC$1,0)-1)=TRUE),0,+OFFSET(Tabella!$A$1,MATCH(J1234,Tabella!$A:$A,0)-1,MATCH(L1234,Tabella!$A$1:$AC$1,0)-1))</f>
        <v>0</v>
      </c>
      <c r="N1234" s="205">
        <f ca="1">IF(ISERROR(OFFSET(Ottone!$A$1,MATCH(J1234,Ottone!$A:$A,0)-1,MATCH(L1234,Ottone!$A$1:$Z$1,0)-1)=TRUE),0,OFFSET(Ottone!$A$1,MATCH(J1234,Ottone!$A:$A,0)-1,MATCH(L1234,Ottone!$A$1:$Z$1,0)-1))*IF(G1234="Ottone",1,0)</f>
        <v>0</v>
      </c>
      <c r="O1234" s="205">
        <f ca="1">IF(ISERROR(OFFSET(Rame!$A$1,MATCH(J1234,Rame!$A:$A,0)-1,MATCH(L1234,Rame!$A$1:$AA$1,0)-1)=TRUE),0,OFFSET(Rame!$A$1,MATCH(J1234,Rame!$A:$A,0)-1,MATCH(L1234,Rame!$A$1:$AA$1,0)-1))*IF(G1234="Rame",1,0)</f>
        <v>0</v>
      </c>
      <c r="P1234" s="205">
        <v>0</v>
      </c>
      <c r="Q1234" s="205">
        <f t="shared" ca="1" si="347"/>
        <v>0</v>
      </c>
      <c r="R1234" s="205">
        <f ca="1">+IF(ISERROR(OFFSET(Tabella!$G$1,MATCH(J1234,Tabella!$G:$G,0)-1,MATCH(K1234,Tabella!$G$1:$FG$1,0)-1)=TRUE),0,OFFSET(Tabella!$G$1,MATCH(J1234,Tabella!$G:$G,0)-1,MATCH(K1234,Tabella!$G$1:$AB$1,0)-1))</f>
        <v>0</v>
      </c>
      <c r="S1234" s="205">
        <f ca="1">IF(ISERROR(OFFSET(Ottone!$F$1,MATCH(J1234,Ottone!$A:$A,0)-1,MATCH(K1234,Ottone!$F$1:$FF$1,0)-1)=TRUE),0,OFFSET(Ottone!$F$1,MATCH(J1234,Ottone!$A:$A,0)-1,MATCH(K1234,Ottone!$F$1:$FF$1,0)-1))*IF(G1234="Ottone",1,0)</f>
        <v>0</v>
      </c>
      <c r="T1234" s="205">
        <f ca="1">IF(ISERROR(OFFSET(Rame!$F$1,MATCH(J1234,Rame!$F:$F,0)-1,MATCH(K1234,Rame!$F$1:$FF$1,0)-1)=TRUE),0,OFFSET(Rame!$F$1,MATCH(J1234,Rame!$F:$F,0)-1,MATCH(K1234,Rame!$F$1:$FF$1,0)-1))*IF(G1234="Rame",1,0)</f>
        <v>0</v>
      </c>
      <c r="U1234" s="205">
        <f ca="1">IF(ISERROR(OFFSET(Bronzo!$A$1,MATCH(J1234,Bronzo!$A:$A,0)-1,MATCH(K1234,Bronzo!$A$1:$AA$1,0)-1)=TRUE),0,OFFSET(Bronzo!$A$1,MATCH(J1234,Bronzo!$A:$A,0)-1,MATCH(K1234,Bronzo!$A$1:$AA$1,0)-1))</f>
        <v>0</v>
      </c>
      <c r="V1234" s="205">
        <f t="shared" ca="1" si="348"/>
        <v>0</v>
      </c>
      <c r="W1234" s="204"/>
      <c r="X1234" s="205">
        <v>0</v>
      </c>
      <c r="Y1234" s="206">
        <f t="shared" ca="1" si="349"/>
        <v>0</v>
      </c>
      <c r="Z1234" s="277">
        <f t="shared" si="350"/>
        <v>0</v>
      </c>
      <c r="AA1234" s="203"/>
      <c r="AB1234" s="203">
        <f t="shared" ca="1" si="351"/>
        <v>0</v>
      </c>
      <c r="AC1234" s="238"/>
      <c r="AI1234" s="367">
        <f t="shared" ca="1" si="346"/>
        <v>46092</v>
      </c>
      <c r="AJ1234" s="367" t="b">
        <f t="shared" si="340"/>
        <v>1</v>
      </c>
      <c r="AK1234" s="370" t="str">
        <f t="shared" si="341"/>
        <v/>
      </c>
      <c r="AN1234">
        <f t="shared" si="342"/>
        <v>0</v>
      </c>
      <c r="AO1234">
        <f t="shared" si="343"/>
        <v>1900</v>
      </c>
      <c r="AV1234">
        <f t="shared" si="344"/>
        <v>0</v>
      </c>
      <c r="AW1234">
        <f t="shared" si="345"/>
        <v>0</v>
      </c>
    </row>
    <row r="1235" spans="4:49" ht="15.75" x14ac:dyDescent="0.25">
      <c r="D1235" s="199"/>
      <c r="E1235" s="200"/>
      <c r="F1235" s="287"/>
      <c r="G1235" s="201"/>
      <c r="H1235" s="219"/>
      <c r="I1235" s="202"/>
      <c r="J1235" s="200"/>
      <c r="K1235" s="200"/>
      <c r="L1235" s="203"/>
      <c r="M1235" s="204">
        <f ca="1">IF(ISERROR(OFFSET(Tabella!$A$1,MATCH(J1235,Tabella!$A:$A,0)-1,MATCH(L1235,Tabella!$A$1:$AC$1,0)-1)=TRUE),0,+OFFSET(Tabella!$A$1,MATCH(J1235,Tabella!$A:$A,0)-1,MATCH(L1235,Tabella!$A$1:$AC$1,0)-1))</f>
        <v>0</v>
      </c>
      <c r="N1235" s="205">
        <f ca="1">IF(ISERROR(OFFSET(Ottone!$A$1,MATCH(J1235,Ottone!$A:$A,0)-1,MATCH(L1235,Ottone!$A$1:$Z$1,0)-1)=TRUE),0,OFFSET(Ottone!$A$1,MATCH(J1235,Ottone!$A:$A,0)-1,MATCH(L1235,Ottone!$A$1:$Z$1,0)-1))*IF(G1235="Ottone",1,0)</f>
        <v>0</v>
      </c>
      <c r="O1235" s="205">
        <f ca="1">IF(ISERROR(OFFSET(Rame!$A$1,MATCH(J1235,Rame!$A:$A,0)-1,MATCH(L1235,Rame!$A$1:$AA$1,0)-1)=TRUE),0,OFFSET(Rame!$A$1,MATCH(J1235,Rame!$A:$A,0)-1,MATCH(L1235,Rame!$A$1:$AA$1,0)-1))*IF(G1235="Rame",1,0)</f>
        <v>0</v>
      </c>
      <c r="P1235" s="205">
        <v>0</v>
      </c>
      <c r="Q1235" s="205">
        <f t="shared" ca="1" si="347"/>
        <v>0</v>
      </c>
      <c r="R1235" s="205">
        <f ca="1">+IF(ISERROR(OFFSET(Tabella!$G$1,MATCH(J1235,Tabella!$G:$G,0)-1,MATCH(K1235,Tabella!$G$1:$FG$1,0)-1)=TRUE),0,OFFSET(Tabella!$G$1,MATCH(J1235,Tabella!$G:$G,0)-1,MATCH(K1235,Tabella!$G$1:$AB$1,0)-1))</f>
        <v>0</v>
      </c>
      <c r="S1235" s="205">
        <f ca="1">IF(ISERROR(OFFSET(Ottone!$F$1,MATCH(J1235,Ottone!$A:$A,0)-1,MATCH(K1235,Ottone!$F$1:$FF$1,0)-1)=TRUE),0,OFFSET(Ottone!$F$1,MATCH(J1235,Ottone!$A:$A,0)-1,MATCH(K1235,Ottone!$F$1:$FF$1,0)-1))*IF(G1235="Ottone",1,0)</f>
        <v>0</v>
      </c>
      <c r="T1235" s="205">
        <f ca="1">IF(ISERROR(OFFSET(Rame!$F$1,MATCH(J1235,Rame!$F:$F,0)-1,MATCH(K1235,Rame!$F$1:$FF$1,0)-1)=TRUE),0,OFFSET(Rame!$F$1,MATCH(J1235,Rame!$F:$F,0)-1,MATCH(K1235,Rame!$F$1:$FF$1,0)-1))*IF(G1235="Rame",1,0)</f>
        <v>0</v>
      </c>
      <c r="U1235" s="205">
        <f ca="1">IF(ISERROR(OFFSET(Bronzo!$A$1,MATCH(J1235,Bronzo!$A:$A,0)-1,MATCH(K1235,Bronzo!$A$1:$AA$1,0)-1)=TRUE),0,OFFSET(Bronzo!$A$1,MATCH(J1235,Bronzo!$A:$A,0)-1,MATCH(K1235,Bronzo!$A$1:$AA$1,0)-1))</f>
        <v>0</v>
      </c>
      <c r="V1235" s="205">
        <f t="shared" ca="1" si="348"/>
        <v>0</v>
      </c>
      <c r="W1235" s="204"/>
      <c r="X1235" s="205">
        <v>0</v>
      </c>
      <c r="Y1235" s="206">
        <f t="shared" ca="1" si="349"/>
        <v>0</v>
      </c>
      <c r="Z1235" s="277">
        <f t="shared" si="350"/>
        <v>0</v>
      </c>
      <c r="AA1235" s="203"/>
      <c r="AB1235" s="203">
        <f t="shared" ca="1" si="351"/>
        <v>0</v>
      </c>
      <c r="AC1235" s="238"/>
      <c r="AI1235" s="367">
        <f t="shared" ca="1" si="346"/>
        <v>46092</v>
      </c>
      <c r="AJ1235" s="367" t="b">
        <f t="shared" si="340"/>
        <v>1</v>
      </c>
      <c r="AK1235" s="370" t="str">
        <f t="shared" si="341"/>
        <v/>
      </c>
      <c r="AN1235">
        <f t="shared" si="342"/>
        <v>0</v>
      </c>
      <c r="AO1235">
        <f t="shared" si="343"/>
        <v>1900</v>
      </c>
      <c r="AV1235">
        <f t="shared" si="344"/>
        <v>0</v>
      </c>
      <c r="AW1235">
        <f t="shared" si="345"/>
        <v>0</v>
      </c>
    </row>
    <row r="1236" spans="4:49" ht="15.75" x14ac:dyDescent="0.25">
      <c r="D1236" s="199"/>
      <c r="E1236" s="200"/>
      <c r="F1236" s="287"/>
      <c r="G1236" s="201"/>
      <c r="H1236" s="219"/>
      <c r="I1236" s="202"/>
      <c r="J1236" s="200"/>
      <c r="K1236" s="200"/>
      <c r="L1236" s="203"/>
      <c r="M1236" s="204">
        <f ca="1">IF(ISERROR(OFFSET(Tabella!$A$1,MATCH(J1236,Tabella!$A:$A,0)-1,MATCH(L1236,Tabella!$A$1:$AC$1,0)-1)=TRUE),0,+OFFSET(Tabella!$A$1,MATCH(J1236,Tabella!$A:$A,0)-1,MATCH(L1236,Tabella!$A$1:$AC$1,0)-1))</f>
        <v>0</v>
      </c>
      <c r="N1236" s="205">
        <f ca="1">IF(ISERROR(OFFSET(Ottone!$A$1,MATCH(J1236,Ottone!$A:$A,0)-1,MATCH(L1236,Ottone!$A$1:$Z$1,0)-1)=TRUE),0,OFFSET(Ottone!$A$1,MATCH(J1236,Ottone!$A:$A,0)-1,MATCH(L1236,Ottone!$A$1:$Z$1,0)-1))*IF(G1236="Ottone",1,0)</f>
        <v>0</v>
      </c>
      <c r="O1236" s="205">
        <f ca="1">IF(ISERROR(OFFSET(Rame!$A$1,MATCH(J1236,Rame!$A:$A,0)-1,MATCH(L1236,Rame!$A$1:$AA$1,0)-1)=TRUE),0,OFFSET(Rame!$A$1,MATCH(J1236,Rame!$A:$A,0)-1,MATCH(L1236,Rame!$A$1:$AA$1,0)-1))*IF(G1236="Rame",1,0)</f>
        <v>0</v>
      </c>
      <c r="P1236" s="205">
        <v>0</v>
      </c>
      <c r="Q1236" s="205">
        <f t="shared" ca="1" si="347"/>
        <v>0</v>
      </c>
      <c r="R1236" s="205">
        <f ca="1">+IF(ISERROR(OFFSET(Tabella!$G$1,MATCH(J1236,Tabella!$G:$G,0)-1,MATCH(K1236,Tabella!$G$1:$FG$1,0)-1)=TRUE),0,OFFSET(Tabella!$G$1,MATCH(J1236,Tabella!$G:$G,0)-1,MATCH(K1236,Tabella!$G$1:$AB$1,0)-1))</f>
        <v>0</v>
      </c>
      <c r="S1236" s="205">
        <f ca="1">IF(ISERROR(OFFSET(Ottone!$F$1,MATCH(J1236,Ottone!$A:$A,0)-1,MATCH(K1236,Ottone!$F$1:$FF$1,0)-1)=TRUE),0,OFFSET(Ottone!$F$1,MATCH(J1236,Ottone!$A:$A,0)-1,MATCH(K1236,Ottone!$F$1:$FF$1,0)-1))*IF(G1236="Ottone",1,0)</f>
        <v>0</v>
      </c>
      <c r="T1236" s="205">
        <f ca="1">IF(ISERROR(OFFSET(Rame!$F$1,MATCH(J1236,Rame!$F:$F,0)-1,MATCH(K1236,Rame!$F$1:$FF$1,0)-1)=TRUE),0,OFFSET(Rame!$F$1,MATCH(J1236,Rame!$F:$F,0)-1,MATCH(K1236,Rame!$F$1:$FF$1,0)-1))*IF(G1236="Rame",1,0)</f>
        <v>0</v>
      </c>
      <c r="U1236" s="205">
        <f ca="1">IF(ISERROR(OFFSET(Bronzo!$A$1,MATCH(J1236,Bronzo!$A:$A,0)-1,MATCH(K1236,Bronzo!$A$1:$AA$1,0)-1)=TRUE),0,OFFSET(Bronzo!$A$1,MATCH(J1236,Bronzo!$A:$A,0)-1,MATCH(K1236,Bronzo!$A$1:$AA$1,0)-1))</f>
        <v>0</v>
      </c>
      <c r="V1236" s="205">
        <f t="shared" ca="1" si="348"/>
        <v>0</v>
      </c>
      <c r="W1236" s="204"/>
      <c r="X1236" s="205">
        <v>0</v>
      </c>
      <c r="Y1236" s="206">
        <f t="shared" ca="1" si="349"/>
        <v>0</v>
      </c>
      <c r="Z1236" s="277">
        <f t="shared" si="350"/>
        <v>0</v>
      </c>
      <c r="AA1236" s="203"/>
      <c r="AB1236" s="203">
        <f t="shared" ca="1" si="351"/>
        <v>0</v>
      </c>
      <c r="AC1236" s="238"/>
      <c r="AI1236" s="367">
        <f t="shared" ca="1" si="346"/>
        <v>46092</v>
      </c>
      <c r="AJ1236" s="367" t="b">
        <f t="shared" si="340"/>
        <v>1</v>
      </c>
      <c r="AK1236" s="370" t="str">
        <f t="shared" si="341"/>
        <v/>
      </c>
      <c r="AN1236">
        <f t="shared" si="342"/>
        <v>0</v>
      </c>
      <c r="AO1236">
        <f t="shared" si="343"/>
        <v>1900</v>
      </c>
      <c r="AV1236">
        <f t="shared" si="344"/>
        <v>0</v>
      </c>
      <c r="AW1236">
        <f t="shared" si="345"/>
        <v>0</v>
      </c>
    </row>
    <row r="1237" spans="4:49" ht="15.75" x14ac:dyDescent="0.25">
      <c r="D1237" s="199"/>
      <c r="E1237" s="200"/>
      <c r="F1237" s="287"/>
      <c r="G1237" s="201"/>
      <c r="H1237" s="219"/>
      <c r="I1237" s="202"/>
      <c r="J1237" s="200"/>
      <c r="K1237" s="200"/>
      <c r="L1237" s="203"/>
      <c r="M1237" s="204">
        <f ca="1">IF(ISERROR(OFFSET(Tabella!$A$1,MATCH(J1237,Tabella!$A:$A,0)-1,MATCH(L1237,Tabella!$A$1:$AC$1,0)-1)=TRUE),0,+OFFSET(Tabella!$A$1,MATCH(J1237,Tabella!$A:$A,0)-1,MATCH(L1237,Tabella!$A$1:$AC$1,0)-1))</f>
        <v>0</v>
      </c>
      <c r="N1237" s="205">
        <f ca="1">IF(ISERROR(OFFSET(Ottone!$A$1,MATCH(J1237,Ottone!$A:$A,0)-1,MATCH(L1237,Ottone!$A$1:$Z$1,0)-1)=TRUE),0,OFFSET(Ottone!$A$1,MATCH(J1237,Ottone!$A:$A,0)-1,MATCH(L1237,Ottone!$A$1:$Z$1,0)-1))*IF(G1237="Ottone",1,0)</f>
        <v>0</v>
      </c>
      <c r="O1237" s="205">
        <f ca="1">IF(ISERROR(OFFSET(Rame!$A$1,MATCH(J1237,Rame!$A:$A,0)-1,MATCH(L1237,Rame!$A$1:$AA$1,0)-1)=TRUE),0,OFFSET(Rame!$A$1,MATCH(J1237,Rame!$A:$A,0)-1,MATCH(L1237,Rame!$A$1:$AA$1,0)-1))*IF(G1237="Rame",1,0)</f>
        <v>0</v>
      </c>
      <c r="P1237" s="205">
        <v>0</v>
      </c>
      <c r="Q1237" s="205">
        <f t="shared" ca="1" si="347"/>
        <v>0</v>
      </c>
      <c r="R1237" s="205">
        <f ca="1">+IF(ISERROR(OFFSET(Tabella!$G$1,MATCH(J1237,Tabella!$G:$G,0)-1,MATCH(K1237,Tabella!$G$1:$FG$1,0)-1)=TRUE),0,OFFSET(Tabella!$G$1,MATCH(J1237,Tabella!$G:$G,0)-1,MATCH(K1237,Tabella!$G$1:$AB$1,0)-1))</f>
        <v>0</v>
      </c>
      <c r="S1237" s="205">
        <f ca="1">IF(ISERROR(OFFSET(Ottone!$F$1,MATCH(J1237,Ottone!$A:$A,0)-1,MATCH(K1237,Ottone!$F$1:$FF$1,0)-1)=TRUE),0,OFFSET(Ottone!$F$1,MATCH(J1237,Ottone!$A:$A,0)-1,MATCH(K1237,Ottone!$F$1:$FF$1,0)-1))*IF(G1237="Ottone",1,0)</f>
        <v>0</v>
      </c>
      <c r="T1237" s="205">
        <f ca="1">IF(ISERROR(OFFSET(Rame!$F$1,MATCH(J1237,Rame!$F:$F,0)-1,MATCH(K1237,Rame!$F$1:$FF$1,0)-1)=TRUE),0,OFFSET(Rame!$F$1,MATCH(J1237,Rame!$F:$F,0)-1,MATCH(K1237,Rame!$F$1:$FF$1,0)-1))*IF(G1237="Rame",1,0)</f>
        <v>0</v>
      </c>
      <c r="U1237" s="205">
        <f ca="1">IF(ISERROR(OFFSET(Bronzo!$A$1,MATCH(J1237,Bronzo!$A:$A,0)-1,MATCH(K1237,Bronzo!$A$1:$AA$1,0)-1)=TRUE),0,OFFSET(Bronzo!$A$1,MATCH(J1237,Bronzo!$A:$A,0)-1,MATCH(K1237,Bronzo!$A$1:$AA$1,0)-1))</f>
        <v>0</v>
      </c>
      <c r="V1237" s="205">
        <f t="shared" ca="1" si="348"/>
        <v>0</v>
      </c>
      <c r="W1237" s="204"/>
      <c r="X1237" s="205">
        <v>0</v>
      </c>
      <c r="Y1237" s="206">
        <f t="shared" ca="1" si="349"/>
        <v>0</v>
      </c>
      <c r="Z1237" s="277">
        <f t="shared" si="350"/>
        <v>0</v>
      </c>
      <c r="AA1237" s="203"/>
      <c r="AB1237" s="203">
        <f t="shared" ca="1" si="351"/>
        <v>0</v>
      </c>
      <c r="AC1237" s="238"/>
      <c r="AI1237" s="367">
        <f t="shared" ca="1" si="346"/>
        <v>46092</v>
      </c>
      <c r="AJ1237" s="367" t="b">
        <f t="shared" si="340"/>
        <v>1</v>
      </c>
      <c r="AK1237" s="370" t="str">
        <f t="shared" si="341"/>
        <v/>
      </c>
      <c r="AN1237">
        <f t="shared" si="342"/>
        <v>0</v>
      </c>
      <c r="AO1237">
        <f t="shared" si="343"/>
        <v>1900</v>
      </c>
      <c r="AV1237">
        <f t="shared" si="344"/>
        <v>0</v>
      </c>
      <c r="AW1237">
        <f t="shared" si="345"/>
        <v>0</v>
      </c>
    </row>
    <row r="1238" spans="4:49" ht="15.75" x14ac:dyDescent="0.25">
      <c r="D1238" s="199"/>
      <c r="E1238" s="200"/>
      <c r="F1238" s="287"/>
      <c r="G1238" s="201"/>
      <c r="H1238" s="219"/>
      <c r="I1238" s="202"/>
      <c r="J1238" s="200"/>
      <c r="K1238" s="200"/>
      <c r="L1238" s="203"/>
      <c r="M1238" s="204">
        <f ca="1">IF(ISERROR(OFFSET(Tabella!$A$1,MATCH(J1238,Tabella!$A:$A,0)-1,MATCH(L1238,Tabella!$A$1:$AC$1,0)-1)=TRUE),0,+OFFSET(Tabella!$A$1,MATCH(J1238,Tabella!$A:$A,0)-1,MATCH(L1238,Tabella!$A$1:$AC$1,0)-1))</f>
        <v>0</v>
      </c>
      <c r="N1238" s="205">
        <f ca="1">IF(ISERROR(OFFSET(Ottone!$A$1,MATCH(J1238,Ottone!$A:$A,0)-1,MATCH(L1238,Ottone!$A$1:$Z$1,0)-1)=TRUE),0,OFFSET(Ottone!$A$1,MATCH(J1238,Ottone!$A:$A,0)-1,MATCH(L1238,Ottone!$A$1:$Z$1,0)-1))*IF(G1238="Ottone",1,0)</f>
        <v>0</v>
      </c>
      <c r="O1238" s="205">
        <f ca="1">IF(ISERROR(OFFSET(Rame!$A$1,MATCH(J1238,Rame!$A:$A,0)-1,MATCH(L1238,Rame!$A$1:$AA$1,0)-1)=TRUE),0,OFFSET(Rame!$A$1,MATCH(J1238,Rame!$A:$A,0)-1,MATCH(L1238,Rame!$A$1:$AA$1,0)-1))*IF(G1238="Rame",1,0)</f>
        <v>0</v>
      </c>
      <c r="P1238" s="205">
        <v>0</v>
      </c>
      <c r="Q1238" s="205">
        <f t="shared" ca="1" si="347"/>
        <v>0</v>
      </c>
      <c r="R1238" s="205">
        <f ca="1">+IF(ISERROR(OFFSET(Tabella!$G$1,MATCH(J1238,Tabella!$G:$G,0)-1,MATCH(K1238,Tabella!$G$1:$FG$1,0)-1)=TRUE),0,OFFSET(Tabella!$G$1,MATCH(J1238,Tabella!$G:$G,0)-1,MATCH(K1238,Tabella!$G$1:$AB$1,0)-1))</f>
        <v>0</v>
      </c>
      <c r="S1238" s="205">
        <f ca="1">IF(ISERROR(OFFSET(Ottone!$F$1,MATCH(J1238,Ottone!$A:$A,0)-1,MATCH(K1238,Ottone!$F$1:$FF$1,0)-1)=TRUE),0,OFFSET(Ottone!$F$1,MATCH(J1238,Ottone!$A:$A,0)-1,MATCH(K1238,Ottone!$F$1:$FF$1,0)-1))*IF(G1238="Ottone",1,0)</f>
        <v>0</v>
      </c>
      <c r="T1238" s="205">
        <f ca="1">IF(ISERROR(OFFSET(Rame!$F$1,MATCH(J1238,Rame!$F:$F,0)-1,MATCH(K1238,Rame!$F$1:$FF$1,0)-1)=TRUE),0,OFFSET(Rame!$F$1,MATCH(J1238,Rame!$F:$F,0)-1,MATCH(K1238,Rame!$F$1:$FF$1,0)-1))*IF(G1238="Rame",1,0)</f>
        <v>0</v>
      </c>
      <c r="U1238" s="205">
        <f ca="1">IF(ISERROR(OFFSET(Bronzo!$A$1,MATCH(J1238,Bronzo!$A:$A,0)-1,MATCH(K1238,Bronzo!$A$1:$AA$1,0)-1)=TRUE),0,OFFSET(Bronzo!$A$1,MATCH(J1238,Bronzo!$A:$A,0)-1,MATCH(K1238,Bronzo!$A$1:$AA$1,0)-1))</f>
        <v>0</v>
      </c>
      <c r="V1238" s="205">
        <f t="shared" ca="1" si="348"/>
        <v>0</v>
      </c>
      <c r="W1238" s="204"/>
      <c r="X1238" s="205">
        <v>0</v>
      </c>
      <c r="Y1238" s="206">
        <f t="shared" ca="1" si="349"/>
        <v>0</v>
      </c>
      <c r="Z1238" s="277">
        <f t="shared" si="350"/>
        <v>0</v>
      </c>
      <c r="AA1238" s="203"/>
      <c r="AB1238" s="203">
        <f t="shared" ca="1" si="351"/>
        <v>0</v>
      </c>
      <c r="AC1238" s="238"/>
      <c r="AI1238" s="367">
        <f t="shared" ca="1" si="346"/>
        <v>46092</v>
      </c>
      <c r="AJ1238" s="367" t="b">
        <f t="shared" si="340"/>
        <v>1</v>
      </c>
      <c r="AK1238" s="370" t="str">
        <f t="shared" si="341"/>
        <v/>
      </c>
      <c r="AN1238">
        <f t="shared" si="342"/>
        <v>0</v>
      </c>
      <c r="AO1238">
        <f t="shared" si="343"/>
        <v>1900</v>
      </c>
      <c r="AV1238">
        <f t="shared" si="344"/>
        <v>0</v>
      </c>
      <c r="AW1238">
        <f t="shared" si="345"/>
        <v>0</v>
      </c>
    </row>
    <row r="1239" spans="4:49" ht="15.75" x14ac:dyDescent="0.25">
      <c r="D1239" s="199"/>
      <c r="E1239" s="200"/>
      <c r="F1239" s="287"/>
      <c r="G1239" s="201"/>
      <c r="H1239" s="219"/>
      <c r="I1239" s="202"/>
      <c r="J1239" s="200"/>
      <c r="K1239" s="200"/>
      <c r="L1239" s="203"/>
      <c r="M1239" s="204">
        <f ca="1">IF(ISERROR(OFFSET(Tabella!$A$1,MATCH(J1239,Tabella!$A:$A,0)-1,MATCH(L1239,Tabella!$A$1:$AC$1,0)-1)=TRUE),0,+OFFSET(Tabella!$A$1,MATCH(J1239,Tabella!$A:$A,0)-1,MATCH(L1239,Tabella!$A$1:$AC$1,0)-1))</f>
        <v>0</v>
      </c>
      <c r="N1239" s="205">
        <f ca="1">IF(ISERROR(OFFSET(Ottone!$A$1,MATCH(J1239,Ottone!$A:$A,0)-1,MATCH(L1239,Ottone!$A$1:$Z$1,0)-1)=TRUE),0,OFFSET(Ottone!$A$1,MATCH(J1239,Ottone!$A:$A,0)-1,MATCH(L1239,Ottone!$A$1:$Z$1,0)-1))*IF(G1239="Ottone",1,0)</f>
        <v>0</v>
      </c>
      <c r="O1239" s="205">
        <f ca="1">IF(ISERROR(OFFSET(Rame!$A$1,MATCH(J1239,Rame!$A:$A,0)-1,MATCH(L1239,Rame!$A$1:$AA$1,0)-1)=TRUE),0,OFFSET(Rame!$A$1,MATCH(J1239,Rame!$A:$A,0)-1,MATCH(L1239,Rame!$A$1:$AA$1,0)-1))*IF(G1239="Rame",1,0)</f>
        <v>0</v>
      </c>
      <c r="P1239" s="205">
        <v>0</v>
      </c>
      <c r="Q1239" s="205">
        <f t="shared" ca="1" si="347"/>
        <v>0</v>
      </c>
      <c r="R1239" s="205">
        <f ca="1">+IF(ISERROR(OFFSET(Tabella!$G$1,MATCH(J1239,Tabella!$G:$G,0)-1,MATCH(K1239,Tabella!$G$1:$FG$1,0)-1)=TRUE),0,OFFSET(Tabella!$G$1,MATCH(J1239,Tabella!$G:$G,0)-1,MATCH(K1239,Tabella!$G$1:$AB$1,0)-1))</f>
        <v>0</v>
      </c>
      <c r="S1239" s="205">
        <f ca="1">IF(ISERROR(OFFSET(Ottone!$F$1,MATCH(J1239,Ottone!$A:$A,0)-1,MATCH(K1239,Ottone!$F$1:$FF$1,0)-1)=TRUE),0,OFFSET(Ottone!$F$1,MATCH(J1239,Ottone!$A:$A,0)-1,MATCH(K1239,Ottone!$F$1:$FF$1,0)-1))*IF(G1239="Ottone",1,0)</f>
        <v>0</v>
      </c>
      <c r="T1239" s="205">
        <f ca="1">IF(ISERROR(OFFSET(Rame!$F$1,MATCH(J1239,Rame!$F:$F,0)-1,MATCH(K1239,Rame!$F$1:$FF$1,0)-1)=TRUE),0,OFFSET(Rame!$F$1,MATCH(J1239,Rame!$F:$F,0)-1,MATCH(K1239,Rame!$F$1:$FF$1,0)-1))*IF(G1239="Rame",1,0)</f>
        <v>0</v>
      </c>
      <c r="U1239" s="205">
        <f ca="1">IF(ISERROR(OFFSET(Bronzo!$A$1,MATCH(J1239,Bronzo!$A:$A,0)-1,MATCH(K1239,Bronzo!$A$1:$AA$1,0)-1)=TRUE),0,OFFSET(Bronzo!$A$1,MATCH(J1239,Bronzo!$A:$A,0)-1,MATCH(K1239,Bronzo!$A$1:$AA$1,0)-1))</f>
        <v>0</v>
      </c>
      <c r="V1239" s="205">
        <f t="shared" ca="1" si="348"/>
        <v>0</v>
      </c>
      <c r="W1239" s="204"/>
      <c r="X1239" s="205">
        <v>0</v>
      </c>
      <c r="Y1239" s="206">
        <f t="shared" ca="1" si="349"/>
        <v>0</v>
      </c>
      <c r="Z1239" s="277">
        <f t="shared" si="350"/>
        <v>0</v>
      </c>
      <c r="AA1239" s="203"/>
      <c r="AB1239" s="203">
        <f t="shared" ca="1" si="351"/>
        <v>0</v>
      </c>
      <c r="AC1239" s="238"/>
      <c r="AI1239" s="367">
        <f t="shared" ca="1" si="346"/>
        <v>46092</v>
      </c>
      <c r="AJ1239" s="367" t="b">
        <f t="shared" si="340"/>
        <v>1</v>
      </c>
      <c r="AK1239" s="370" t="str">
        <f t="shared" si="341"/>
        <v/>
      </c>
      <c r="AN1239">
        <f t="shared" si="342"/>
        <v>0</v>
      </c>
      <c r="AO1239">
        <f t="shared" si="343"/>
        <v>1900</v>
      </c>
      <c r="AV1239">
        <f t="shared" si="344"/>
        <v>0</v>
      </c>
      <c r="AW1239">
        <f t="shared" si="345"/>
        <v>0</v>
      </c>
    </row>
    <row r="1240" spans="4:49" ht="15.75" x14ac:dyDescent="0.25">
      <c r="D1240" s="199"/>
      <c r="E1240" s="200"/>
      <c r="F1240" s="287"/>
      <c r="G1240" s="201"/>
      <c r="H1240" s="219"/>
      <c r="I1240" s="202"/>
      <c r="J1240" s="200"/>
      <c r="K1240" s="200"/>
      <c r="L1240" s="203"/>
      <c r="M1240" s="204">
        <f ca="1">IF(ISERROR(OFFSET(Tabella!$A$1,MATCH(J1240,Tabella!$A:$A,0)-1,MATCH(L1240,Tabella!$A$1:$AC$1,0)-1)=TRUE),0,+OFFSET(Tabella!$A$1,MATCH(J1240,Tabella!$A:$A,0)-1,MATCH(L1240,Tabella!$A$1:$AC$1,0)-1))</f>
        <v>0</v>
      </c>
      <c r="N1240" s="205">
        <f ca="1">IF(ISERROR(OFFSET(Ottone!$A$1,MATCH(J1240,Ottone!$A:$A,0)-1,MATCH(L1240,Ottone!$A$1:$Z$1,0)-1)=TRUE),0,OFFSET(Ottone!$A$1,MATCH(J1240,Ottone!$A:$A,0)-1,MATCH(L1240,Ottone!$A$1:$Z$1,0)-1))*IF(G1240="Ottone",1,0)</f>
        <v>0</v>
      </c>
      <c r="O1240" s="205">
        <f ca="1">IF(ISERROR(OFFSET(Rame!$A$1,MATCH(J1240,Rame!$A:$A,0)-1,MATCH(L1240,Rame!$A$1:$AA$1,0)-1)=TRUE),0,OFFSET(Rame!$A$1,MATCH(J1240,Rame!$A:$A,0)-1,MATCH(L1240,Rame!$A$1:$AA$1,0)-1))*IF(G1240="Rame",1,0)</f>
        <v>0</v>
      </c>
      <c r="P1240" s="205">
        <v>0</v>
      </c>
      <c r="Q1240" s="205">
        <f t="shared" ca="1" si="347"/>
        <v>0</v>
      </c>
      <c r="R1240" s="205">
        <f ca="1">+IF(ISERROR(OFFSET(Tabella!$G$1,MATCH(J1240,Tabella!$G:$G,0)-1,MATCH(K1240,Tabella!$G$1:$FG$1,0)-1)=TRUE),0,OFFSET(Tabella!$G$1,MATCH(J1240,Tabella!$G:$G,0)-1,MATCH(K1240,Tabella!$G$1:$AB$1,0)-1))</f>
        <v>0</v>
      </c>
      <c r="S1240" s="205">
        <f ca="1">IF(ISERROR(OFFSET(Ottone!$F$1,MATCH(J1240,Ottone!$A:$A,0)-1,MATCH(K1240,Ottone!$F$1:$FF$1,0)-1)=TRUE),0,OFFSET(Ottone!$F$1,MATCH(J1240,Ottone!$A:$A,0)-1,MATCH(K1240,Ottone!$F$1:$FF$1,0)-1))*IF(G1240="Ottone",1,0)</f>
        <v>0</v>
      </c>
      <c r="T1240" s="205">
        <f ca="1">IF(ISERROR(OFFSET(Rame!$F$1,MATCH(J1240,Rame!$F:$F,0)-1,MATCH(K1240,Rame!$F$1:$FF$1,0)-1)=TRUE),0,OFFSET(Rame!$F$1,MATCH(J1240,Rame!$F:$F,0)-1,MATCH(K1240,Rame!$F$1:$FF$1,0)-1))*IF(G1240="Rame",1,0)</f>
        <v>0</v>
      </c>
      <c r="U1240" s="205">
        <f ca="1">IF(ISERROR(OFFSET(Bronzo!$A$1,MATCH(J1240,Bronzo!$A:$A,0)-1,MATCH(K1240,Bronzo!$A$1:$AA$1,0)-1)=TRUE),0,OFFSET(Bronzo!$A$1,MATCH(J1240,Bronzo!$A:$A,0)-1,MATCH(K1240,Bronzo!$A$1:$AA$1,0)-1))</f>
        <v>0</v>
      </c>
      <c r="V1240" s="205">
        <f t="shared" ca="1" si="348"/>
        <v>0</v>
      </c>
      <c r="W1240" s="204"/>
      <c r="X1240" s="205">
        <v>0</v>
      </c>
      <c r="Y1240" s="206">
        <f t="shared" ca="1" si="349"/>
        <v>0</v>
      </c>
      <c r="Z1240" s="277">
        <f t="shared" si="350"/>
        <v>0</v>
      </c>
      <c r="AA1240" s="203"/>
      <c r="AB1240" s="203">
        <f t="shared" ca="1" si="351"/>
        <v>0</v>
      </c>
      <c r="AC1240" s="238"/>
      <c r="AI1240" s="367">
        <f t="shared" ca="1" si="346"/>
        <v>46092</v>
      </c>
      <c r="AJ1240" s="367" t="b">
        <f t="shared" si="340"/>
        <v>1</v>
      </c>
      <c r="AK1240" s="370" t="str">
        <f t="shared" si="341"/>
        <v/>
      </c>
      <c r="AN1240">
        <f t="shared" si="342"/>
        <v>0</v>
      </c>
      <c r="AO1240">
        <f t="shared" si="343"/>
        <v>1900</v>
      </c>
      <c r="AV1240">
        <f t="shared" si="344"/>
        <v>0</v>
      </c>
      <c r="AW1240">
        <f t="shared" si="345"/>
        <v>0</v>
      </c>
    </row>
    <row r="1241" spans="4:49" ht="15.75" x14ac:dyDescent="0.25">
      <c r="D1241" s="199"/>
      <c r="E1241" s="200"/>
      <c r="F1241" s="287"/>
      <c r="G1241" s="201"/>
      <c r="H1241" s="219"/>
      <c r="I1241" s="202"/>
      <c r="J1241" s="200"/>
      <c r="K1241" s="200"/>
      <c r="L1241" s="203"/>
      <c r="M1241" s="204">
        <f ca="1">IF(ISERROR(OFFSET(Tabella!$A$1,MATCH(J1241,Tabella!$A:$A,0)-1,MATCH(L1241,Tabella!$A$1:$AC$1,0)-1)=TRUE),0,+OFFSET(Tabella!$A$1,MATCH(J1241,Tabella!$A:$A,0)-1,MATCH(L1241,Tabella!$A$1:$AC$1,0)-1))</f>
        <v>0</v>
      </c>
      <c r="N1241" s="205">
        <f ca="1">IF(ISERROR(OFFSET(Ottone!$A$1,MATCH(J1241,Ottone!$A:$A,0)-1,MATCH(L1241,Ottone!$A$1:$Z$1,0)-1)=TRUE),0,OFFSET(Ottone!$A$1,MATCH(J1241,Ottone!$A:$A,0)-1,MATCH(L1241,Ottone!$A$1:$Z$1,0)-1))*IF(G1241="Ottone",1,0)</f>
        <v>0</v>
      </c>
      <c r="O1241" s="205">
        <f ca="1">IF(ISERROR(OFFSET(Rame!$A$1,MATCH(J1241,Rame!$A:$A,0)-1,MATCH(L1241,Rame!$A$1:$AA$1,0)-1)=TRUE),0,OFFSET(Rame!$A$1,MATCH(J1241,Rame!$A:$A,0)-1,MATCH(L1241,Rame!$A$1:$AA$1,0)-1))*IF(G1241="Rame",1,0)</f>
        <v>0</v>
      </c>
      <c r="P1241" s="205">
        <v>0</v>
      </c>
      <c r="Q1241" s="205">
        <f t="shared" ca="1" si="347"/>
        <v>0</v>
      </c>
      <c r="R1241" s="205">
        <f ca="1">+IF(ISERROR(OFFSET(Tabella!$G$1,MATCH(J1241,Tabella!$G:$G,0)-1,MATCH(K1241,Tabella!$G$1:$FG$1,0)-1)=TRUE),0,OFFSET(Tabella!$G$1,MATCH(J1241,Tabella!$G:$G,0)-1,MATCH(K1241,Tabella!$G$1:$AB$1,0)-1))</f>
        <v>0</v>
      </c>
      <c r="S1241" s="205">
        <f ca="1">IF(ISERROR(OFFSET(Ottone!$F$1,MATCH(J1241,Ottone!$A:$A,0)-1,MATCH(K1241,Ottone!$F$1:$FF$1,0)-1)=TRUE),0,OFFSET(Ottone!$F$1,MATCH(J1241,Ottone!$A:$A,0)-1,MATCH(K1241,Ottone!$F$1:$FF$1,0)-1))*IF(G1241="Ottone",1,0)</f>
        <v>0</v>
      </c>
      <c r="T1241" s="205">
        <f ca="1">IF(ISERROR(OFFSET(Rame!$F$1,MATCH(J1241,Rame!$F:$F,0)-1,MATCH(K1241,Rame!$F$1:$FF$1,0)-1)=TRUE),0,OFFSET(Rame!$F$1,MATCH(J1241,Rame!$F:$F,0)-1,MATCH(K1241,Rame!$F$1:$FF$1,0)-1))*IF(G1241="Rame",1,0)</f>
        <v>0</v>
      </c>
      <c r="U1241" s="205">
        <f ca="1">IF(ISERROR(OFFSET(Bronzo!$A$1,MATCH(J1241,Bronzo!$A:$A,0)-1,MATCH(K1241,Bronzo!$A$1:$AA$1,0)-1)=TRUE),0,OFFSET(Bronzo!$A$1,MATCH(J1241,Bronzo!$A:$A,0)-1,MATCH(K1241,Bronzo!$A$1:$AA$1,0)-1))</f>
        <v>0</v>
      </c>
      <c r="V1241" s="205">
        <f t="shared" ca="1" si="348"/>
        <v>0</v>
      </c>
      <c r="W1241" s="204"/>
      <c r="X1241" s="205">
        <v>0</v>
      </c>
      <c r="Y1241" s="206">
        <f t="shared" ca="1" si="349"/>
        <v>0</v>
      </c>
      <c r="Z1241" s="277">
        <f t="shared" si="350"/>
        <v>0</v>
      </c>
      <c r="AA1241" s="203"/>
      <c r="AB1241" s="203">
        <f t="shared" ca="1" si="351"/>
        <v>0</v>
      </c>
      <c r="AC1241" s="238"/>
      <c r="AI1241" s="367">
        <f t="shared" ca="1" si="346"/>
        <v>46092</v>
      </c>
      <c r="AJ1241" s="367" t="b">
        <f t="shared" si="340"/>
        <v>1</v>
      </c>
      <c r="AK1241" s="370" t="str">
        <f t="shared" si="341"/>
        <v/>
      </c>
      <c r="AN1241">
        <f t="shared" si="342"/>
        <v>0</v>
      </c>
      <c r="AO1241">
        <f t="shared" si="343"/>
        <v>1900</v>
      </c>
      <c r="AV1241">
        <f t="shared" si="344"/>
        <v>0</v>
      </c>
      <c r="AW1241">
        <f t="shared" si="345"/>
        <v>0</v>
      </c>
    </row>
    <row r="1242" spans="4:49" ht="15.75" x14ac:dyDescent="0.25">
      <c r="D1242" s="199"/>
      <c r="E1242" s="200"/>
      <c r="F1242" s="287"/>
      <c r="G1242" s="201"/>
      <c r="H1242" s="219"/>
      <c r="I1242" s="202"/>
      <c r="J1242" s="200"/>
      <c r="K1242" s="200"/>
      <c r="L1242" s="203"/>
      <c r="M1242" s="204">
        <f ca="1">IF(ISERROR(OFFSET(Tabella!$A$1,MATCH(J1242,Tabella!$A:$A,0)-1,MATCH(L1242,Tabella!$A$1:$AC$1,0)-1)=TRUE),0,+OFFSET(Tabella!$A$1,MATCH(J1242,Tabella!$A:$A,0)-1,MATCH(L1242,Tabella!$A$1:$AC$1,0)-1))</f>
        <v>0</v>
      </c>
      <c r="N1242" s="205">
        <f ca="1">IF(ISERROR(OFFSET(Ottone!$A$1,MATCH(J1242,Ottone!$A:$A,0)-1,MATCH(L1242,Ottone!$A$1:$Z$1,0)-1)=TRUE),0,OFFSET(Ottone!$A$1,MATCH(J1242,Ottone!$A:$A,0)-1,MATCH(L1242,Ottone!$A$1:$Z$1,0)-1))*IF(G1242="Ottone",1,0)</f>
        <v>0</v>
      </c>
      <c r="O1242" s="205">
        <f ca="1">IF(ISERROR(OFFSET(Rame!$A$1,MATCH(J1242,Rame!$A:$A,0)-1,MATCH(L1242,Rame!$A$1:$AA$1,0)-1)=TRUE),0,OFFSET(Rame!$A$1,MATCH(J1242,Rame!$A:$A,0)-1,MATCH(L1242,Rame!$A$1:$AA$1,0)-1))*IF(G1242="Rame",1,0)</f>
        <v>0</v>
      </c>
      <c r="P1242" s="205">
        <v>0</v>
      </c>
      <c r="Q1242" s="205">
        <f t="shared" ca="1" si="347"/>
        <v>0</v>
      </c>
      <c r="R1242" s="205">
        <f ca="1">+IF(ISERROR(OFFSET(Tabella!$G$1,MATCH(J1242,Tabella!$G:$G,0)-1,MATCH(K1242,Tabella!$G$1:$FG$1,0)-1)=TRUE),0,OFFSET(Tabella!$G$1,MATCH(J1242,Tabella!$G:$G,0)-1,MATCH(K1242,Tabella!$G$1:$AB$1,0)-1))</f>
        <v>0</v>
      </c>
      <c r="S1242" s="205">
        <f ca="1">IF(ISERROR(OFFSET(Ottone!$F$1,MATCH(J1242,Ottone!$A:$A,0)-1,MATCH(K1242,Ottone!$F$1:$FF$1,0)-1)=TRUE),0,OFFSET(Ottone!$F$1,MATCH(J1242,Ottone!$A:$A,0)-1,MATCH(K1242,Ottone!$F$1:$FF$1,0)-1))*IF(G1242="Ottone",1,0)</f>
        <v>0</v>
      </c>
      <c r="T1242" s="205">
        <f ca="1">IF(ISERROR(OFFSET(Rame!$F$1,MATCH(J1242,Rame!$F:$F,0)-1,MATCH(K1242,Rame!$F$1:$FF$1,0)-1)=TRUE),0,OFFSET(Rame!$F$1,MATCH(J1242,Rame!$F:$F,0)-1,MATCH(K1242,Rame!$F$1:$FF$1,0)-1))*IF(G1242="Rame",1,0)</f>
        <v>0</v>
      </c>
      <c r="U1242" s="205">
        <f ca="1">IF(ISERROR(OFFSET(Bronzo!$A$1,MATCH(J1242,Bronzo!$A:$A,0)-1,MATCH(K1242,Bronzo!$A$1:$AA$1,0)-1)=TRUE),0,OFFSET(Bronzo!$A$1,MATCH(J1242,Bronzo!$A:$A,0)-1,MATCH(K1242,Bronzo!$A$1:$AA$1,0)-1))</f>
        <v>0</v>
      </c>
      <c r="V1242" s="205">
        <f t="shared" ca="1" si="348"/>
        <v>0</v>
      </c>
      <c r="W1242" s="204"/>
      <c r="X1242" s="205">
        <v>0</v>
      </c>
      <c r="Y1242" s="206">
        <f t="shared" ca="1" si="349"/>
        <v>0</v>
      </c>
      <c r="Z1242" s="277">
        <f t="shared" si="350"/>
        <v>0</v>
      </c>
      <c r="AA1242" s="203"/>
      <c r="AB1242" s="203">
        <f t="shared" ca="1" si="351"/>
        <v>0</v>
      </c>
      <c r="AC1242" s="238"/>
      <c r="AI1242" s="367">
        <f t="shared" ca="1" si="346"/>
        <v>46092</v>
      </c>
      <c r="AJ1242" s="367" t="b">
        <f t="shared" si="340"/>
        <v>1</v>
      </c>
      <c r="AK1242" s="370" t="str">
        <f t="shared" si="341"/>
        <v/>
      </c>
      <c r="AN1242">
        <f t="shared" si="342"/>
        <v>0</v>
      </c>
      <c r="AO1242">
        <f t="shared" si="343"/>
        <v>1900</v>
      </c>
      <c r="AV1242">
        <f t="shared" si="344"/>
        <v>0</v>
      </c>
      <c r="AW1242">
        <f t="shared" si="345"/>
        <v>0</v>
      </c>
    </row>
    <row r="1243" spans="4:49" ht="15.75" x14ac:dyDescent="0.25">
      <c r="D1243" s="199"/>
      <c r="E1243" s="200"/>
      <c r="F1243" s="287"/>
      <c r="G1243" s="201"/>
      <c r="H1243" s="219"/>
      <c r="I1243" s="202"/>
      <c r="J1243" s="200"/>
      <c r="K1243" s="200"/>
      <c r="L1243" s="203"/>
      <c r="M1243" s="204">
        <f ca="1">IF(ISERROR(OFFSET(Tabella!$A$1,MATCH(J1243,Tabella!$A:$A,0)-1,MATCH(L1243,Tabella!$A$1:$AC$1,0)-1)=TRUE),0,+OFFSET(Tabella!$A$1,MATCH(J1243,Tabella!$A:$A,0)-1,MATCH(L1243,Tabella!$A$1:$AC$1,0)-1))</f>
        <v>0</v>
      </c>
      <c r="N1243" s="205">
        <f ca="1">IF(ISERROR(OFFSET(Ottone!$A$1,MATCH(J1243,Ottone!$A:$A,0)-1,MATCH(L1243,Ottone!$A$1:$Z$1,0)-1)=TRUE),0,OFFSET(Ottone!$A$1,MATCH(J1243,Ottone!$A:$A,0)-1,MATCH(L1243,Ottone!$A$1:$Z$1,0)-1))*IF(G1243="Ottone",1,0)</f>
        <v>0</v>
      </c>
      <c r="O1243" s="205">
        <f ca="1">IF(ISERROR(OFFSET(Rame!$A$1,MATCH(J1243,Rame!$A:$A,0)-1,MATCH(L1243,Rame!$A$1:$AA$1,0)-1)=TRUE),0,OFFSET(Rame!$A$1,MATCH(J1243,Rame!$A:$A,0)-1,MATCH(L1243,Rame!$A$1:$AA$1,0)-1))*IF(G1243="Rame",1,0)</f>
        <v>0</v>
      </c>
      <c r="P1243" s="205">
        <v>0</v>
      </c>
      <c r="Q1243" s="205">
        <f t="shared" ca="1" si="347"/>
        <v>0</v>
      </c>
      <c r="R1243" s="205">
        <f ca="1">+IF(ISERROR(OFFSET(Tabella!$G$1,MATCH(J1243,Tabella!$G:$G,0)-1,MATCH(K1243,Tabella!$G$1:$FG$1,0)-1)=TRUE),0,OFFSET(Tabella!$G$1,MATCH(J1243,Tabella!$G:$G,0)-1,MATCH(K1243,Tabella!$G$1:$AB$1,0)-1))</f>
        <v>0</v>
      </c>
      <c r="S1243" s="205">
        <f ca="1">IF(ISERROR(OFFSET(Ottone!$F$1,MATCH(J1243,Ottone!$A:$A,0)-1,MATCH(K1243,Ottone!$F$1:$FF$1,0)-1)=TRUE),0,OFFSET(Ottone!$F$1,MATCH(J1243,Ottone!$A:$A,0)-1,MATCH(K1243,Ottone!$F$1:$FF$1,0)-1))*IF(G1243="Ottone",1,0)</f>
        <v>0</v>
      </c>
      <c r="T1243" s="205">
        <f ca="1">IF(ISERROR(OFFSET(Rame!$F$1,MATCH(J1243,Rame!$F:$F,0)-1,MATCH(K1243,Rame!$F$1:$FF$1,0)-1)=TRUE),0,OFFSET(Rame!$F$1,MATCH(J1243,Rame!$F:$F,0)-1,MATCH(K1243,Rame!$F$1:$FF$1,0)-1))*IF(G1243="Rame",1,0)</f>
        <v>0</v>
      </c>
      <c r="U1243" s="205">
        <f ca="1">IF(ISERROR(OFFSET(Bronzo!$A$1,MATCH(J1243,Bronzo!$A:$A,0)-1,MATCH(K1243,Bronzo!$A$1:$AA$1,0)-1)=TRUE),0,OFFSET(Bronzo!$A$1,MATCH(J1243,Bronzo!$A:$A,0)-1,MATCH(K1243,Bronzo!$A$1:$AA$1,0)-1))</f>
        <v>0</v>
      </c>
      <c r="V1243" s="205">
        <f t="shared" ca="1" si="348"/>
        <v>0</v>
      </c>
      <c r="W1243" s="204"/>
      <c r="X1243" s="205">
        <v>0</v>
      </c>
      <c r="Y1243" s="206">
        <f t="shared" ca="1" si="349"/>
        <v>0</v>
      </c>
      <c r="Z1243" s="277">
        <f t="shared" si="350"/>
        <v>0</v>
      </c>
      <c r="AA1243" s="203"/>
      <c r="AB1243" s="203">
        <f t="shared" ca="1" si="351"/>
        <v>0</v>
      </c>
      <c r="AC1243" s="238"/>
      <c r="AI1243" s="367">
        <f t="shared" ca="1" si="346"/>
        <v>46092</v>
      </c>
      <c r="AJ1243" s="367" t="b">
        <f t="shared" si="340"/>
        <v>1</v>
      </c>
      <c r="AK1243" s="370" t="str">
        <f t="shared" si="341"/>
        <v/>
      </c>
      <c r="AN1243">
        <f t="shared" si="342"/>
        <v>0</v>
      </c>
      <c r="AO1243">
        <f t="shared" si="343"/>
        <v>1900</v>
      </c>
      <c r="AV1243">
        <f t="shared" si="344"/>
        <v>0</v>
      </c>
      <c r="AW1243">
        <f t="shared" si="345"/>
        <v>0</v>
      </c>
    </row>
    <row r="1244" spans="4:49" ht="15.75" x14ac:dyDescent="0.25">
      <c r="D1244" s="199"/>
      <c r="E1244" s="200"/>
      <c r="F1244" s="287"/>
      <c r="G1244" s="201"/>
      <c r="H1244" s="219"/>
      <c r="I1244" s="202"/>
      <c r="J1244" s="200"/>
      <c r="K1244" s="200"/>
      <c r="L1244" s="203"/>
      <c r="M1244" s="204">
        <f ca="1">IF(ISERROR(OFFSET(Tabella!$A$1,MATCH(J1244,Tabella!$A:$A,0)-1,MATCH(L1244,Tabella!$A$1:$AC$1,0)-1)=TRUE),0,+OFFSET(Tabella!$A$1,MATCH(J1244,Tabella!$A:$A,0)-1,MATCH(L1244,Tabella!$A$1:$AC$1,0)-1))</f>
        <v>0</v>
      </c>
      <c r="N1244" s="205">
        <f ca="1">IF(ISERROR(OFFSET(Ottone!$A$1,MATCH(J1244,Ottone!$A:$A,0)-1,MATCH(L1244,Ottone!$A$1:$Z$1,0)-1)=TRUE),0,OFFSET(Ottone!$A$1,MATCH(J1244,Ottone!$A:$A,0)-1,MATCH(L1244,Ottone!$A$1:$Z$1,0)-1))*IF(G1244="Ottone",1,0)</f>
        <v>0</v>
      </c>
      <c r="O1244" s="205">
        <f ca="1">IF(ISERROR(OFFSET(Rame!$A$1,MATCH(J1244,Rame!$A:$A,0)-1,MATCH(L1244,Rame!$A$1:$AA$1,0)-1)=TRUE),0,OFFSET(Rame!$A$1,MATCH(J1244,Rame!$A:$A,0)-1,MATCH(L1244,Rame!$A$1:$AA$1,0)-1))*IF(G1244="Rame",1,0)</f>
        <v>0</v>
      </c>
      <c r="P1244" s="205">
        <v>0</v>
      </c>
      <c r="Q1244" s="205">
        <f t="shared" ca="1" si="347"/>
        <v>0</v>
      </c>
      <c r="R1244" s="205">
        <f ca="1">+IF(ISERROR(OFFSET(Tabella!$G$1,MATCH(J1244,Tabella!$G:$G,0)-1,MATCH(K1244,Tabella!$G$1:$FG$1,0)-1)=TRUE),0,OFFSET(Tabella!$G$1,MATCH(J1244,Tabella!$G:$G,0)-1,MATCH(K1244,Tabella!$G$1:$AB$1,0)-1))</f>
        <v>0</v>
      </c>
      <c r="S1244" s="205">
        <f ca="1">IF(ISERROR(OFFSET(Ottone!$F$1,MATCH(J1244,Ottone!$A:$A,0)-1,MATCH(K1244,Ottone!$F$1:$FF$1,0)-1)=TRUE),0,OFFSET(Ottone!$F$1,MATCH(J1244,Ottone!$A:$A,0)-1,MATCH(K1244,Ottone!$F$1:$FF$1,0)-1))*IF(G1244="Ottone",1,0)</f>
        <v>0</v>
      </c>
      <c r="T1244" s="205">
        <f ca="1">IF(ISERROR(OFFSET(Rame!$F$1,MATCH(J1244,Rame!$F:$F,0)-1,MATCH(K1244,Rame!$F$1:$FF$1,0)-1)=TRUE),0,OFFSET(Rame!$F$1,MATCH(J1244,Rame!$F:$F,0)-1,MATCH(K1244,Rame!$F$1:$FF$1,0)-1))*IF(G1244="Rame",1,0)</f>
        <v>0</v>
      </c>
      <c r="U1244" s="205">
        <f ca="1">IF(ISERROR(OFFSET(Bronzo!$A$1,MATCH(J1244,Bronzo!$A:$A,0)-1,MATCH(K1244,Bronzo!$A$1:$AA$1,0)-1)=TRUE),0,OFFSET(Bronzo!$A$1,MATCH(J1244,Bronzo!$A:$A,0)-1,MATCH(K1244,Bronzo!$A$1:$AA$1,0)-1))</f>
        <v>0</v>
      </c>
      <c r="V1244" s="205">
        <f t="shared" ca="1" si="348"/>
        <v>0</v>
      </c>
      <c r="W1244" s="204"/>
      <c r="X1244" s="205">
        <v>0</v>
      </c>
      <c r="Y1244" s="206">
        <f t="shared" ca="1" si="349"/>
        <v>0</v>
      </c>
      <c r="Z1244" s="277">
        <f t="shared" si="350"/>
        <v>0</v>
      </c>
      <c r="AA1244" s="203"/>
      <c r="AB1244" s="203">
        <f t="shared" ca="1" si="351"/>
        <v>0</v>
      </c>
      <c r="AC1244" s="238"/>
      <c r="AI1244" s="367">
        <f t="shared" ca="1" si="346"/>
        <v>46092</v>
      </c>
      <c r="AJ1244" s="367" t="b">
        <f t="shared" si="340"/>
        <v>1</v>
      </c>
      <c r="AK1244" s="370" t="str">
        <f t="shared" si="341"/>
        <v/>
      </c>
      <c r="AN1244">
        <f t="shared" si="342"/>
        <v>0</v>
      </c>
      <c r="AO1244">
        <f t="shared" si="343"/>
        <v>1900</v>
      </c>
      <c r="AV1244">
        <f t="shared" si="344"/>
        <v>0</v>
      </c>
      <c r="AW1244">
        <f t="shared" si="345"/>
        <v>0</v>
      </c>
    </row>
    <row r="1245" spans="4:49" ht="15.75" x14ac:dyDescent="0.25">
      <c r="D1245" s="199"/>
      <c r="E1245" s="200"/>
      <c r="F1245" s="287"/>
      <c r="G1245" s="201"/>
      <c r="H1245" s="219"/>
      <c r="I1245" s="202"/>
      <c r="J1245" s="200"/>
      <c r="K1245" s="200"/>
      <c r="L1245" s="203"/>
      <c r="M1245" s="204">
        <f ca="1">IF(ISERROR(OFFSET(Tabella!$A$1,MATCH(J1245,Tabella!$A:$A,0)-1,MATCH(L1245,Tabella!$A$1:$AC$1,0)-1)=TRUE),0,+OFFSET(Tabella!$A$1,MATCH(J1245,Tabella!$A:$A,0)-1,MATCH(L1245,Tabella!$A$1:$AC$1,0)-1))</f>
        <v>0</v>
      </c>
      <c r="N1245" s="205">
        <f ca="1">IF(ISERROR(OFFSET(Ottone!$A$1,MATCH(J1245,Ottone!$A:$A,0)-1,MATCH(L1245,Ottone!$A$1:$Z$1,0)-1)=TRUE),0,OFFSET(Ottone!$A$1,MATCH(J1245,Ottone!$A:$A,0)-1,MATCH(L1245,Ottone!$A$1:$Z$1,0)-1))*IF(G1245="Ottone",1,0)</f>
        <v>0</v>
      </c>
      <c r="O1245" s="205">
        <f ca="1">IF(ISERROR(OFFSET(Rame!$A$1,MATCH(J1245,Rame!$A:$A,0)-1,MATCH(L1245,Rame!$A$1:$AA$1,0)-1)=TRUE),0,OFFSET(Rame!$A$1,MATCH(J1245,Rame!$A:$A,0)-1,MATCH(L1245,Rame!$A$1:$AA$1,0)-1))*IF(G1245="Rame",1,0)</f>
        <v>0</v>
      </c>
      <c r="P1245" s="205">
        <v>0</v>
      </c>
      <c r="Q1245" s="205">
        <f t="shared" ca="1" si="347"/>
        <v>0</v>
      </c>
      <c r="R1245" s="205">
        <f ca="1">+IF(ISERROR(OFFSET(Tabella!$G$1,MATCH(J1245,Tabella!$G:$G,0)-1,MATCH(K1245,Tabella!$G$1:$FG$1,0)-1)=TRUE),0,OFFSET(Tabella!$G$1,MATCH(J1245,Tabella!$G:$G,0)-1,MATCH(K1245,Tabella!$G$1:$AB$1,0)-1))</f>
        <v>0</v>
      </c>
      <c r="S1245" s="205">
        <f ca="1">IF(ISERROR(OFFSET(Ottone!$F$1,MATCH(J1245,Ottone!$A:$A,0)-1,MATCH(K1245,Ottone!$F$1:$FF$1,0)-1)=TRUE),0,OFFSET(Ottone!$F$1,MATCH(J1245,Ottone!$A:$A,0)-1,MATCH(K1245,Ottone!$F$1:$FF$1,0)-1))*IF(G1245="Ottone",1,0)</f>
        <v>0</v>
      </c>
      <c r="T1245" s="205">
        <f ca="1">IF(ISERROR(OFFSET(Rame!$F$1,MATCH(J1245,Rame!$F:$F,0)-1,MATCH(K1245,Rame!$F$1:$FF$1,0)-1)=TRUE),0,OFFSET(Rame!$F$1,MATCH(J1245,Rame!$F:$F,0)-1,MATCH(K1245,Rame!$F$1:$FF$1,0)-1))*IF(G1245="Rame",1,0)</f>
        <v>0</v>
      </c>
      <c r="U1245" s="205">
        <f ca="1">IF(ISERROR(OFFSET(Bronzo!$A$1,MATCH(J1245,Bronzo!$A:$A,0)-1,MATCH(K1245,Bronzo!$A$1:$AA$1,0)-1)=TRUE),0,OFFSET(Bronzo!$A$1,MATCH(J1245,Bronzo!$A:$A,0)-1,MATCH(K1245,Bronzo!$A$1:$AA$1,0)-1))</f>
        <v>0</v>
      </c>
      <c r="V1245" s="205">
        <f t="shared" ca="1" si="348"/>
        <v>0</v>
      </c>
      <c r="W1245" s="204"/>
      <c r="X1245" s="205">
        <v>0</v>
      </c>
      <c r="Y1245" s="206">
        <f t="shared" ca="1" si="349"/>
        <v>0</v>
      </c>
      <c r="Z1245" s="277">
        <f t="shared" si="350"/>
        <v>0</v>
      </c>
      <c r="AA1245" s="203"/>
      <c r="AB1245" s="203">
        <f t="shared" ca="1" si="351"/>
        <v>0</v>
      </c>
      <c r="AC1245" s="238"/>
      <c r="AI1245" s="367">
        <f t="shared" ca="1" si="346"/>
        <v>46092</v>
      </c>
      <c r="AJ1245" s="367" t="b">
        <f t="shared" si="340"/>
        <v>1</v>
      </c>
      <c r="AK1245" s="370" t="str">
        <f t="shared" si="341"/>
        <v/>
      </c>
      <c r="AN1245">
        <f t="shared" si="342"/>
        <v>0</v>
      </c>
      <c r="AO1245">
        <f t="shared" si="343"/>
        <v>1900</v>
      </c>
      <c r="AV1245">
        <f t="shared" si="344"/>
        <v>0</v>
      </c>
      <c r="AW1245">
        <f t="shared" si="345"/>
        <v>0</v>
      </c>
    </row>
    <row r="1246" spans="4:49" ht="15.75" x14ac:dyDescent="0.25">
      <c r="D1246" s="199"/>
      <c r="E1246" s="200"/>
      <c r="F1246" s="287"/>
      <c r="G1246" s="201"/>
      <c r="H1246" s="219"/>
      <c r="I1246" s="202"/>
      <c r="J1246" s="200"/>
      <c r="K1246" s="200"/>
      <c r="L1246" s="203"/>
      <c r="M1246" s="204">
        <f ca="1">IF(ISERROR(OFFSET(Tabella!$A$1,MATCH(J1246,Tabella!$A:$A,0)-1,MATCH(L1246,Tabella!$A$1:$AC$1,0)-1)=TRUE),0,+OFFSET(Tabella!$A$1,MATCH(J1246,Tabella!$A:$A,0)-1,MATCH(L1246,Tabella!$A$1:$AC$1,0)-1))</f>
        <v>0</v>
      </c>
      <c r="N1246" s="205">
        <f ca="1">IF(ISERROR(OFFSET(Ottone!$A$1,MATCH(J1246,Ottone!$A:$A,0)-1,MATCH(L1246,Ottone!$A$1:$Z$1,0)-1)=TRUE),0,OFFSET(Ottone!$A$1,MATCH(J1246,Ottone!$A:$A,0)-1,MATCH(L1246,Ottone!$A$1:$Z$1,0)-1))*IF(G1246="Ottone",1,0)</f>
        <v>0</v>
      </c>
      <c r="O1246" s="205">
        <f ca="1">IF(ISERROR(OFFSET(Rame!$A$1,MATCH(J1246,Rame!$A:$A,0)-1,MATCH(L1246,Rame!$A$1:$AA$1,0)-1)=TRUE),0,OFFSET(Rame!$A$1,MATCH(J1246,Rame!$A:$A,0)-1,MATCH(L1246,Rame!$A$1:$AA$1,0)-1))*IF(G1246="Rame",1,0)</f>
        <v>0</v>
      </c>
      <c r="P1246" s="205">
        <v>0</v>
      </c>
      <c r="Q1246" s="205">
        <f t="shared" ca="1" si="347"/>
        <v>0</v>
      </c>
      <c r="R1246" s="205">
        <f ca="1">+IF(ISERROR(OFFSET(Tabella!$G$1,MATCH(J1246,Tabella!$G:$G,0)-1,MATCH(K1246,Tabella!$G$1:$FG$1,0)-1)=TRUE),0,OFFSET(Tabella!$G$1,MATCH(J1246,Tabella!$G:$G,0)-1,MATCH(K1246,Tabella!$G$1:$AB$1,0)-1))</f>
        <v>0</v>
      </c>
      <c r="S1246" s="205">
        <f ca="1">IF(ISERROR(OFFSET(Ottone!$F$1,MATCH(J1246,Ottone!$A:$A,0)-1,MATCH(K1246,Ottone!$F$1:$FF$1,0)-1)=TRUE),0,OFFSET(Ottone!$F$1,MATCH(J1246,Ottone!$A:$A,0)-1,MATCH(K1246,Ottone!$F$1:$FF$1,0)-1))*IF(G1246="Ottone",1,0)</f>
        <v>0</v>
      </c>
      <c r="T1246" s="205">
        <f ca="1">IF(ISERROR(OFFSET(Rame!$F$1,MATCH(J1246,Rame!$F:$F,0)-1,MATCH(K1246,Rame!$F$1:$FF$1,0)-1)=TRUE),0,OFFSET(Rame!$F$1,MATCH(J1246,Rame!$F:$F,0)-1,MATCH(K1246,Rame!$F$1:$FF$1,0)-1))*IF(G1246="Rame",1,0)</f>
        <v>0</v>
      </c>
      <c r="U1246" s="205">
        <f ca="1">IF(ISERROR(OFFSET(Bronzo!$A$1,MATCH(J1246,Bronzo!$A:$A,0)-1,MATCH(K1246,Bronzo!$A$1:$AA$1,0)-1)=TRUE),0,OFFSET(Bronzo!$A$1,MATCH(J1246,Bronzo!$A:$A,0)-1,MATCH(K1246,Bronzo!$A$1:$AA$1,0)-1))</f>
        <v>0</v>
      </c>
      <c r="V1246" s="205">
        <f t="shared" ca="1" si="348"/>
        <v>0</v>
      </c>
      <c r="W1246" s="204"/>
      <c r="X1246" s="205">
        <v>0</v>
      </c>
      <c r="Y1246" s="206">
        <f t="shared" ca="1" si="349"/>
        <v>0</v>
      </c>
      <c r="Z1246" s="277">
        <f t="shared" si="350"/>
        <v>0</v>
      </c>
      <c r="AA1246" s="203"/>
      <c r="AB1246" s="203">
        <f t="shared" ca="1" si="351"/>
        <v>0</v>
      </c>
      <c r="AC1246" s="238"/>
      <c r="AI1246" s="367">
        <f t="shared" ca="1" si="346"/>
        <v>46092</v>
      </c>
      <c r="AJ1246" s="367" t="b">
        <f t="shared" si="340"/>
        <v>1</v>
      </c>
      <c r="AK1246" s="370" t="str">
        <f t="shared" si="341"/>
        <v/>
      </c>
      <c r="AN1246">
        <f t="shared" si="342"/>
        <v>0</v>
      </c>
      <c r="AO1246">
        <f t="shared" si="343"/>
        <v>1900</v>
      </c>
      <c r="AV1246">
        <f t="shared" si="344"/>
        <v>0</v>
      </c>
      <c r="AW1246">
        <f t="shared" si="345"/>
        <v>0</v>
      </c>
    </row>
    <row r="1247" spans="4:49" ht="15.75" x14ac:dyDescent="0.25">
      <c r="D1247" s="199"/>
      <c r="E1247" s="200"/>
      <c r="F1247" s="287"/>
      <c r="G1247" s="201"/>
      <c r="H1247" s="219"/>
      <c r="I1247" s="202"/>
      <c r="J1247" s="200"/>
      <c r="K1247" s="200"/>
      <c r="L1247" s="203"/>
      <c r="M1247" s="204">
        <f ca="1">IF(ISERROR(OFFSET(Tabella!$A$1,MATCH(J1247,Tabella!$A:$A,0)-1,MATCH(L1247,Tabella!$A$1:$AC$1,0)-1)=TRUE),0,+OFFSET(Tabella!$A$1,MATCH(J1247,Tabella!$A:$A,0)-1,MATCH(L1247,Tabella!$A$1:$AC$1,0)-1))</f>
        <v>0</v>
      </c>
      <c r="N1247" s="205">
        <f ca="1">IF(ISERROR(OFFSET(Ottone!$A$1,MATCH(J1247,Ottone!$A:$A,0)-1,MATCH(L1247,Ottone!$A$1:$Z$1,0)-1)=TRUE),0,OFFSET(Ottone!$A$1,MATCH(J1247,Ottone!$A:$A,0)-1,MATCH(L1247,Ottone!$A$1:$Z$1,0)-1))*IF(G1247="Ottone",1,0)</f>
        <v>0</v>
      </c>
      <c r="O1247" s="205">
        <f ca="1">IF(ISERROR(OFFSET(Rame!$A$1,MATCH(J1247,Rame!$A:$A,0)-1,MATCH(L1247,Rame!$A$1:$AA$1,0)-1)=TRUE),0,OFFSET(Rame!$A$1,MATCH(J1247,Rame!$A:$A,0)-1,MATCH(L1247,Rame!$A$1:$AA$1,0)-1))*IF(G1247="Rame",1,0)</f>
        <v>0</v>
      </c>
      <c r="P1247" s="205">
        <v>0</v>
      </c>
      <c r="Q1247" s="205">
        <f t="shared" ca="1" si="347"/>
        <v>0</v>
      </c>
      <c r="R1247" s="205">
        <f ca="1">+IF(ISERROR(OFFSET(Tabella!$G$1,MATCH(J1247,Tabella!$G:$G,0)-1,MATCH(K1247,Tabella!$G$1:$FG$1,0)-1)=TRUE),0,OFFSET(Tabella!$G$1,MATCH(J1247,Tabella!$G:$G,0)-1,MATCH(K1247,Tabella!$G$1:$AB$1,0)-1))</f>
        <v>0</v>
      </c>
      <c r="S1247" s="205">
        <f ca="1">IF(ISERROR(OFFSET(Ottone!$F$1,MATCH(J1247,Ottone!$A:$A,0)-1,MATCH(K1247,Ottone!$F$1:$FF$1,0)-1)=TRUE),0,OFFSET(Ottone!$F$1,MATCH(J1247,Ottone!$A:$A,0)-1,MATCH(K1247,Ottone!$F$1:$FF$1,0)-1))*IF(G1247="Ottone",1,0)</f>
        <v>0</v>
      </c>
      <c r="T1247" s="205">
        <f ca="1">IF(ISERROR(OFFSET(Rame!$F$1,MATCH(J1247,Rame!$F:$F,0)-1,MATCH(K1247,Rame!$F$1:$FF$1,0)-1)=TRUE),0,OFFSET(Rame!$F$1,MATCH(J1247,Rame!$F:$F,0)-1,MATCH(K1247,Rame!$F$1:$FF$1,0)-1))*IF(G1247="Rame",1,0)</f>
        <v>0</v>
      </c>
      <c r="U1247" s="205">
        <f ca="1">IF(ISERROR(OFFSET(Bronzo!$A$1,MATCH(J1247,Bronzo!$A:$A,0)-1,MATCH(K1247,Bronzo!$A$1:$AA$1,0)-1)=TRUE),0,OFFSET(Bronzo!$A$1,MATCH(J1247,Bronzo!$A:$A,0)-1,MATCH(K1247,Bronzo!$A$1:$AA$1,0)-1))</f>
        <v>0</v>
      </c>
      <c r="V1247" s="205">
        <f t="shared" ca="1" si="348"/>
        <v>0</v>
      </c>
      <c r="W1247" s="204"/>
      <c r="X1247" s="205">
        <v>0</v>
      </c>
      <c r="Y1247" s="206">
        <f t="shared" ca="1" si="349"/>
        <v>0</v>
      </c>
      <c r="Z1247" s="277">
        <f t="shared" si="350"/>
        <v>0</v>
      </c>
      <c r="AA1247" s="203"/>
      <c r="AB1247" s="203">
        <f t="shared" ca="1" si="351"/>
        <v>0</v>
      </c>
      <c r="AC1247" s="238"/>
      <c r="AI1247" s="367">
        <f t="shared" ca="1" si="346"/>
        <v>46092</v>
      </c>
      <c r="AJ1247" s="367" t="b">
        <f t="shared" si="340"/>
        <v>1</v>
      </c>
      <c r="AK1247" s="370" t="str">
        <f t="shared" si="341"/>
        <v/>
      </c>
      <c r="AN1247">
        <f t="shared" si="342"/>
        <v>0</v>
      </c>
      <c r="AO1247">
        <f t="shared" si="343"/>
        <v>1900</v>
      </c>
      <c r="AV1247">
        <f t="shared" si="344"/>
        <v>0</v>
      </c>
      <c r="AW1247">
        <f t="shared" si="345"/>
        <v>0</v>
      </c>
    </row>
    <row r="1248" spans="4:49" ht="15.75" x14ac:dyDescent="0.25">
      <c r="D1248" s="199"/>
      <c r="E1248" s="200"/>
      <c r="F1248" s="287"/>
      <c r="G1248" s="201"/>
      <c r="H1248" s="219"/>
      <c r="I1248" s="202"/>
      <c r="J1248" s="200"/>
      <c r="K1248" s="200"/>
      <c r="L1248" s="203"/>
      <c r="M1248" s="204">
        <f ca="1">IF(ISERROR(OFFSET(Tabella!$A$1,MATCH(J1248,Tabella!$A:$A,0)-1,MATCH(L1248,Tabella!$A$1:$AC$1,0)-1)=TRUE),0,+OFFSET(Tabella!$A$1,MATCH(J1248,Tabella!$A:$A,0)-1,MATCH(L1248,Tabella!$A$1:$AC$1,0)-1))</f>
        <v>0</v>
      </c>
      <c r="N1248" s="205">
        <f ca="1">IF(ISERROR(OFFSET(Ottone!$A$1,MATCH(J1248,Ottone!$A:$A,0)-1,MATCH(L1248,Ottone!$A$1:$Z$1,0)-1)=TRUE),0,OFFSET(Ottone!$A$1,MATCH(J1248,Ottone!$A:$A,0)-1,MATCH(L1248,Ottone!$A$1:$Z$1,0)-1))*IF(G1248="Ottone",1,0)</f>
        <v>0</v>
      </c>
      <c r="O1248" s="205">
        <f ca="1">IF(ISERROR(OFFSET(Rame!$A$1,MATCH(J1248,Rame!$A:$A,0)-1,MATCH(L1248,Rame!$A$1:$AA$1,0)-1)=TRUE),0,OFFSET(Rame!$A$1,MATCH(J1248,Rame!$A:$A,0)-1,MATCH(L1248,Rame!$A$1:$AA$1,0)-1))*IF(G1248="Rame",1,0)</f>
        <v>0</v>
      </c>
      <c r="P1248" s="205">
        <v>0</v>
      </c>
      <c r="Q1248" s="205">
        <f t="shared" ca="1" si="347"/>
        <v>0</v>
      </c>
      <c r="R1248" s="205">
        <f ca="1">+IF(ISERROR(OFFSET(Tabella!$G$1,MATCH(J1248,Tabella!$G:$G,0)-1,MATCH(K1248,Tabella!$G$1:$FG$1,0)-1)=TRUE),0,OFFSET(Tabella!$G$1,MATCH(J1248,Tabella!$G:$G,0)-1,MATCH(K1248,Tabella!$G$1:$AB$1,0)-1))</f>
        <v>0</v>
      </c>
      <c r="S1248" s="205">
        <f ca="1">IF(ISERROR(OFFSET(Ottone!$F$1,MATCH(J1248,Ottone!$A:$A,0)-1,MATCH(K1248,Ottone!$F$1:$FF$1,0)-1)=TRUE),0,OFFSET(Ottone!$F$1,MATCH(J1248,Ottone!$A:$A,0)-1,MATCH(K1248,Ottone!$F$1:$FF$1,0)-1))*IF(G1248="Ottone",1,0)</f>
        <v>0</v>
      </c>
      <c r="T1248" s="205">
        <f ca="1">IF(ISERROR(OFFSET(Rame!$F$1,MATCH(J1248,Rame!$F:$F,0)-1,MATCH(K1248,Rame!$F$1:$FF$1,0)-1)=TRUE),0,OFFSET(Rame!$F$1,MATCH(J1248,Rame!$F:$F,0)-1,MATCH(K1248,Rame!$F$1:$FF$1,0)-1))*IF(G1248="Rame",1,0)</f>
        <v>0</v>
      </c>
      <c r="U1248" s="205">
        <f ca="1">IF(ISERROR(OFFSET(Bronzo!$A$1,MATCH(J1248,Bronzo!$A:$A,0)-1,MATCH(K1248,Bronzo!$A$1:$AA$1,0)-1)=TRUE),0,OFFSET(Bronzo!$A$1,MATCH(J1248,Bronzo!$A:$A,0)-1,MATCH(K1248,Bronzo!$A$1:$AA$1,0)-1))</f>
        <v>0</v>
      </c>
      <c r="V1248" s="205">
        <f t="shared" ca="1" si="348"/>
        <v>0</v>
      </c>
      <c r="W1248" s="204"/>
      <c r="X1248" s="205">
        <v>0</v>
      </c>
      <c r="Y1248" s="206">
        <f t="shared" ca="1" si="349"/>
        <v>0</v>
      </c>
      <c r="Z1248" s="277">
        <f t="shared" si="350"/>
        <v>0</v>
      </c>
      <c r="AA1248" s="203"/>
      <c r="AB1248" s="203">
        <f t="shared" ca="1" si="351"/>
        <v>0</v>
      </c>
      <c r="AC1248" s="238"/>
      <c r="AI1248" s="367">
        <f t="shared" ca="1" si="346"/>
        <v>46092</v>
      </c>
      <c r="AJ1248" s="367" t="b">
        <f t="shared" ref="AJ1248:AJ1286" si="352">ISBLANK(AC1248)</f>
        <v>1</v>
      </c>
      <c r="AK1248" s="370" t="str">
        <f t="shared" ref="AK1248:AK1286" si="353">IF(AJ1248=FALSE,_xlfn.DAYS(AC1248,AI1248),"")</f>
        <v/>
      </c>
      <c r="AN1248">
        <f t="shared" ref="AN1248:AN1286" si="354">WEEKNUM(AC1248)</f>
        <v>0</v>
      </c>
      <c r="AO1248">
        <f t="shared" ref="AO1248:AO1286" si="355">YEAR(AC1248)</f>
        <v>1900</v>
      </c>
      <c r="AV1248">
        <f t="shared" si="344"/>
        <v>0</v>
      </c>
      <c r="AW1248">
        <f t="shared" si="345"/>
        <v>0</v>
      </c>
    </row>
    <row r="1249" spans="4:49" ht="15.75" x14ac:dyDescent="0.25">
      <c r="D1249" s="199"/>
      <c r="E1249" s="200"/>
      <c r="F1249" s="287"/>
      <c r="G1249" s="201"/>
      <c r="H1249" s="219"/>
      <c r="I1249" s="202"/>
      <c r="J1249" s="200"/>
      <c r="K1249" s="200"/>
      <c r="L1249" s="203"/>
      <c r="M1249" s="204">
        <f ca="1">IF(ISERROR(OFFSET(Tabella!$A$1,MATCH(J1249,Tabella!$A:$A,0)-1,MATCH(L1249,Tabella!$A$1:$AC$1,0)-1)=TRUE),0,+OFFSET(Tabella!$A$1,MATCH(J1249,Tabella!$A:$A,0)-1,MATCH(L1249,Tabella!$A$1:$AC$1,0)-1))</f>
        <v>0</v>
      </c>
      <c r="N1249" s="205">
        <f ca="1">IF(ISERROR(OFFSET(Ottone!$A$1,MATCH(J1249,Ottone!$A:$A,0)-1,MATCH(L1249,Ottone!$A$1:$Z$1,0)-1)=TRUE),0,OFFSET(Ottone!$A$1,MATCH(J1249,Ottone!$A:$A,0)-1,MATCH(L1249,Ottone!$A$1:$Z$1,0)-1))*IF(G1249="Ottone",1,0)</f>
        <v>0</v>
      </c>
      <c r="O1249" s="205">
        <f ca="1">IF(ISERROR(OFFSET(Rame!$A$1,MATCH(J1249,Rame!$A:$A,0)-1,MATCH(L1249,Rame!$A$1:$AA$1,0)-1)=TRUE),0,OFFSET(Rame!$A$1,MATCH(J1249,Rame!$A:$A,0)-1,MATCH(L1249,Rame!$A$1:$AA$1,0)-1))*IF(G1249="Rame",1,0)</f>
        <v>0</v>
      </c>
      <c r="P1249" s="205">
        <v>0</v>
      </c>
      <c r="Q1249" s="205">
        <f t="shared" ca="1" si="347"/>
        <v>0</v>
      </c>
      <c r="R1249" s="205">
        <f ca="1">+IF(ISERROR(OFFSET(Tabella!$G$1,MATCH(J1249,Tabella!$G:$G,0)-1,MATCH(K1249,Tabella!$G$1:$FG$1,0)-1)=TRUE),0,OFFSET(Tabella!$G$1,MATCH(J1249,Tabella!$G:$G,0)-1,MATCH(K1249,Tabella!$G$1:$AB$1,0)-1))</f>
        <v>0</v>
      </c>
      <c r="S1249" s="205">
        <f ca="1">IF(ISERROR(OFFSET(Ottone!$F$1,MATCH(J1249,Ottone!$A:$A,0)-1,MATCH(K1249,Ottone!$F$1:$FF$1,0)-1)=TRUE),0,OFFSET(Ottone!$F$1,MATCH(J1249,Ottone!$A:$A,0)-1,MATCH(K1249,Ottone!$F$1:$FF$1,0)-1))*IF(G1249="Ottone",1,0)</f>
        <v>0</v>
      </c>
      <c r="T1249" s="205">
        <f ca="1">IF(ISERROR(OFFSET(Rame!$F$1,MATCH(J1249,Rame!$F:$F,0)-1,MATCH(K1249,Rame!$F$1:$FF$1,0)-1)=TRUE),0,OFFSET(Rame!$F$1,MATCH(J1249,Rame!$F:$F,0)-1,MATCH(K1249,Rame!$F$1:$FF$1,0)-1))*IF(G1249="Rame",1,0)</f>
        <v>0</v>
      </c>
      <c r="U1249" s="205">
        <f ca="1">IF(ISERROR(OFFSET(Bronzo!$A$1,MATCH(J1249,Bronzo!$A:$A,0)-1,MATCH(K1249,Bronzo!$A$1:$AA$1,0)-1)=TRUE),0,OFFSET(Bronzo!$A$1,MATCH(J1249,Bronzo!$A:$A,0)-1,MATCH(K1249,Bronzo!$A$1:$AA$1,0)-1))</f>
        <v>0</v>
      </c>
      <c r="V1249" s="205">
        <f t="shared" ca="1" si="348"/>
        <v>0</v>
      </c>
      <c r="W1249" s="204"/>
      <c r="X1249" s="205">
        <v>0</v>
      </c>
      <c r="Y1249" s="206">
        <f t="shared" ca="1" si="349"/>
        <v>0</v>
      </c>
      <c r="Z1249" s="277">
        <f t="shared" si="350"/>
        <v>0</v>
      </c>
      <c r="AA1249" s="203"/>
      <c r="AB1249" s="203">
        <f t="shared" ca="1" si="351"/>
        <v>0</v>
      </c>
      <c r="AC1249" s="238"/>
      <c r="AI1249" s="367">
        <f t="shared" ca="1" si="346"/>
        <v>46092</v>
      </c>
      <c r="AJ1249" s="367" t="b">
        <f t="shared" si="352"/>
        <v>1</v>
      </c>
      <c r="AK1249" s="370" t="str">
        <f t="shared" si="353"/>
        <v/>
      </c>
      <c r="AN1249">
        <f t="shared" si="354"/>
        <v>0</v>
      </c>
      <c r="AO1249">
        <f t="shared" si="355"/>
        <v>1900</v>
      </c>
      <c r="AV1249">
        <f t="shared" si="344"/>
        <v>0</v>
      </c>
      <c r="AW1249">
        <f t="shared" si="345"/>
        <v>0</v>
      </c>
    </row>
    <row r="1250" spans="4:49" ht="15.75" x14ac:dyDescent="0.25">
      <c r="D1250" s="199"/>
      <c r="E1250" s="200"/>
      <c r="F1250" s="287"/>
      <c r="G1250" s="201"/>
      <c r="H1250" s="219"/>
      <c r="I1250" s="202"/>
      <c r="J1250" s="200"/>
      <c r="K1250" s="200"/>
      <c r="L1250" s="203"/>
      <c r="M1250" s="204">
        <f ca="1">IF(ISERROR(OFFSET(Tabella!$A$1,MATCH(J1250,Tabella!$A:$A,0)-1,MATCH(L1250,Tabella!$A$1:$AC$1,0)-1)=TRUE),0,+OFFSET(Tabella!$A$1,MATCH(J1250,Tabella!$A:$A,0)-1,MATCH(L1250,Tabella!$A$1:$AC$1,0)-1))</f>
        <v>0</v>
      </c>
      <c r="N1250" s="205">
        <f ca="1">IF(ISERROR(OFFSET(Ottone!$A$1,MATCH(J1250,Ottone!$A:$A,0)-1,MATCH(L1250,Ottone!$A$1:$Z$1,0)-1)=TRUE),0,OFFSET(Ottone!$A$1,MATCH(J1250,Ottone!$A:$A,0)-1,MATCH(L1250,Ottone!$A$1:$Z$1,0)-1))*IF(G1250="Ottone",1,0)</f>
        <v>0</v>
      </c>
      <c r="O1250" s="205">
        <f ca="1">IF(ISERROR(OFFSET(Rame!$A$1,MATCH(J1250,Rame!$A:$A,0)-1,MATCH(L1250,Rame!$A$1:$AA$1,0)-1)=TRUE),0,OFFSET(Rame!$A$1,MATCH(J1250,Rame!$A:$A,0)-1,MATCH(L1250,Rame!$A$1:$AA$1,0)-1))*IF(G1250="Rame",1,0)</f>
        <v>0</v>
      </c>
      <c r="P1250" s="205">
        <v>0</v>
      </c>
      <c r="Q1250" s="205">
        <f t="shared" ca="1" si="347"/>
        <v>0</v>
      </c>
      <c r="R1250" s="205">
        <f ca="1">+IF(ISERROR(OFFSET(Tabella!$G$1,MATCH(J1250,Tabella!$G:$G,0)-1,MATCH(K1250,Tabella!$G$1:$FG$1,0)-1)=TRUE),0,OFFSET(Tabella!$G$1,MATCH(J1250,Tabella!$G:$G,0)-1,MATCH(K1250,Tabella!$G$1:$AB$1,0)-1))</f>
        <v>0</v>
      </c>
      <c r="S1250" s="205">
        <f ca="1">IF(ISERROR(OFFSET(Ottone!$F$1,MATCH(J1250,Ottone!$A:$A,0)-1,MATCH(K1250,Ottone!$F$1:$FF$1,0)-1)=TRUE),0,OFFSET(Ottone!$F$1,MATCH(J1250,Ottone!$A:$A,0)-1,MATCH(K1250,Ottone!$F$1:$FF$1,0)-1))*IF(G1250="Ottone",1,0)</f>
        <v>0</v>
      </c>
      <c r="T1250" s="205">
        <f ca="1">IF(ISERROR(OFFSET(Rame!$F$1,MATCH(J1250,Rame!$F:$F,0)-1,MATCH(K1250,Rame!$F$1:$FF$1,0)-1)=TRUE),0,OFFSET(Rame!$F$1,MATCH(J1250,Rame!$F:$F,0)-1,MATCH(K1250,Rame!$F$1:$FF$1,0)-1))*IF(G1250="Rame",1,0)</f>
        <v>0</v>
      </c>
      <c r="U1250" s="205">
        <f ca="1">IF(ISERROR(OFFSET(Bronzo!$A$1,MATCH(J1250,Bronzo!$A:$A,0)-1,MATCH(K1250,Bronzo!$A$1:$AA$1,0)-1)=TRUE),0,OFFSET(Bronzo!$A$1,MATCH(J1250,Bronzo!$A:$A,0)-1,MATCH(K1250,Bronzo!$A$1:$AA$1,0)-1))</f>
        <v>0</v>
      </c>
      <c r="V1250" s="205">
        <f t="shared" ca="1" si="348"/>
        <v>0</v>
      </c>
      <c r="W1250" s="204"/>
      <c r="X1250" s="205">
        <v>0</v>
      </c>
      <c r="Y1250" s="206">
        <f t="shared" ca="1" si="349"/>
        <v>0</v>
      </c>
      <c r="Z1250" s="277">
        <f t="shared" si="350"/>
        <v>0</v>
      </c>
      <c r="AA1250" s="203"/>
      <c r="AB1250" s="203">
        <f t="shared" ca="1" si="351"/>
        <v>0</v>
      </c>
      <c r="AC1250" s="238"/>
      <c r="AI1250" s="367">
        <f t="shared" ca="1" si="346"/>
        <v>46092</v>
      </c>
      <c r="AJ1250" s="367" t="b">
        <f t="shared" si="352"/>
        <v>1</v>
      </c>
      <c r="AK1250" s="370" t="str">
        <f t="shared" si="353"/>
        <v/>
      </c>
      <c r="AN1250">
        <f t="shared" si="354"/>
        <v>0</v>
      </c>
      <c r="AO1250">
        <f t="shared" si="355"/>
        <v>1900</v>
      </c>
      <c r="AV1250">
        <f t="shared" si="344"/>
        <v>0</v>
      </c>
      <c r="AW1250">
        <f t="shared" si="345"/>
        <v>0</v>
      </c>
    </row>
    <row r="1251" spans="4:49" ht="15.75" x14ac:dyDescent="0.25">
      <c r="D1251" s="199"/>
      <c r="E1251" s="200"/>
      <c r="F1251" s="287"/>
      <c r="G1251" s="201"/>
      <c r="H1251" s="219"/>
      <c r="I1251" s="202"/>
      <c r="J1251" s="200"/>
      <c r="K1251" s="200"/>
      <c r="L1251" s="203"/>
      <c r="M1251" s="204">
        <f ca="1">IF(ISERROR(OFFSET(Tabella!$A$1,MATCH(J1251,Tabella!$A:$A,0)-1,MATCH(L1251,Tabella!$A$1:$AC$1,0)-1)=TRUE),0,+OFFSET(Tabella!$A$1,MATCH(J1251,Tabella!$A:$A,0)-1,MATCH(L1251,Tabella!$A$1:$AC$1,0)-1))</f>
        <v>0</v>
      </c>
      <c r="N1251" s="205">
        <f ca="1">IF(ISERROR(OFFSET(Ottone!$A$1,MATCH(J1251,Ottone!$A:$A,0)-1,MATCH(L1251,Ottone!$A$1:$Z$1,0)-1)=TRUE),0,OFFSET(Ottone!$A$1,MATCH(J1251,Ottone!$A:$A,0)-1,MATCH(L1251,Ottone!$A$1:$Z$1,0)-1))*IF(G1251="Ottone",1,0)</f>
        <v>0</v>
      </c>
      <c r="O1251" s="205">
        <f ca="1">IF(ISERROR(OFFSET(Rame!$A$1,MATCH(J1251,Rame!$A:$A,0)-1,MATCH(L1251,Rame!$A$1:$AA$1,0)-1)=TRUE),0,OFFSET(Rame!$A$1,MATCH(J1251,Rame!$A:$A,0)-1,MATCH(L1251,Rame!$A$1:$AA$1,0)-1))*IF(G1251="Rame",1,0)</f>
        <v>0</v>
      </c>
      <c r="P1251" s="205">
        <v>0</v>
      </c>
      <c r="Q1251" s="205">
        <f t="shared" ca="1" si="347"/>
        <v>0</v>
      </c>
      <c r="R1251" s="205">
        <f ca="1">+IF(ISERROR(OFFSET(Tabella!$G$1,MATCH(J1251,Tabella!$G:$G,0)-1,MATCH(K1251,Tabella!$G$1:$FG$1,0)-1)=TRUE),0,OFFSET(Tabella!$G$1,MATCH(J1251,Tabella!$G:$G,0)-1,MATCH(K1251,Tabella!$G$1:$AB$1,0)-1))</f>
        <v>0</v>
      </c>
      <c r="S1251" s="205">
        <f ca="1">IF(ISERROR(OFFSET(Ottone!$F$1,MATCH(J1251,Ottone!$A:$A,0)-1,MATCH(K1251,Ottone!$F$1:$FF$1,0)-1)=TRUE),0,OFFSET(Ottone!$F$1,MATCH(J1251,Ottone!$A:$A,0)-1,MATCH(K1251,Ottone!$F$1:$FF$1,0)-1))*IF(G1251="Ottone",1,0)</f>
        <v>0</v>
      </c>
      <c r="T1251" s="205">
        <f ca="1">IF(ISERROR(OFFSET(Rame!$F$1,MATCH(J1251,Rame!$F:$F,0)-1,MATCH(K1251,Rame!$F$1:$FF$1,0)-1)=TRUE),0,OFFSET(Rame!$F$1,MATCH(J1251,Rame!$F:$F,0)-1,MATCH(K1251,Rame!$F$1:$FF$1,0)-1))*IF(G1251="Rame",1,0)</f>
        <v>0</v>
      </c>
      <c r="U1251" s="205">
        <f ca="1">IF(ISERROR(OFFSET(Bronzo!$A$1,MATCH(J1251,Bronzo!$A:$A,0)-1,MATCH(K1251,Bronzo!$A$1:$AA$1,0)-1)=TRUE),0,OFFSET(Bronzo!$A$1,MATCH(J1251,Bronzo!$A:$A,0)-1,MATCH(K1251,Bronzo!$A$1:$AA$1,0)-1))</f>
        <v>0</v>
      </c>
      <c r="V1251" s="205">
        <f t="shared" ca="1" si="348"/>
        <v>0</v>
      </c>
      <c r="W1251" s="204"/>
      <c r="X1251" s="205">
        <v>0</v>
      </c>
      <c r="Y1251" s="206">
        <f t="shared" ca="1" si="349"/>
        <v>0</v>
      </c>
      <c r="Z1251" s="277">
        <f t="shared" si="350"/>
        <v>0</v>
      </c>
      <c r="AA1251" s="203"/>
      <c r="AB1251" s="203">
        <f t="shared" ca="1" si="351"/>
        <v>0</v>
      </c>
      <c r="AC1251" s="238"/>
      <c r="AI1251" s="367">
        <f t="shared" ca="1" si="346"/>
        <v>46092</v>
      </c>
      <c r="AJ1251" s="367" t="b">
        <f t="shared" si="352"/>
        <v>1</v>
      </c>
      <c r="AK1251" s="370" t="str">
        <f t="shared" si="353"/>
        <v/>
      </c>
      <c r="AN1251">
        <f t="shared" si="354"/>
        <v>0</v>
      </c>
      <c r="AO1251">
        <f t="shared" si="355"/>
        <v>1900</v>
      </c>
      <c r="AV1251">
        <f t="shared" si="344"/>
        <v>0</v>
      </c>
      <c r="AW1251">
        <f t="shared" si="345"/>
        <v>0</v>
      </c>
    </row>
    <row r="1252" spans="4:49" ht="15.75" x14ac:dyDescent="0.25">
      <c r="D1252" s="199"/>
      <c r="E1252" s="200"/>
      <c r="F1252" s="287"/>
      <c r="G1252" s="201"/>
      <c r="H1252" s="219"/>
      <c r="I1252" s="202"/>
      <c r="J1252" s="200"/>
      <c r="K1252" s="200"/>
      <c r="L1252" s="203"/>
      <c r="M1252" s="204">
        <f ca="1">IF(ISERROR(OFFSET(Tabella!$A$1,MATCH(J1252,Tabella!$A:$A,0)-1,MATCH(L1252,Tabella!$A$1:$AC$1,0)-1)=TRUE),0,+OFFSET(Tabella!$A$1,MATCH(J1252,Tabella!$A:$A,0)-1,MATCH(L1252,Tabella!$A$1:$AC$1,0)-1))</f>
        <v>0</v>
      </c>
      <c r="N1252" s="205">
        <f ca="1">IF(ISERROR(OFFSET(Ottone!$A$1,MATCH(J1252,Ottone!$A:$A,0)-1,MATCH(L1252,Ottone!$A$1:$Z$1,0)-1)=TRUE),0,OFFSET(Ottone!$A$1,MATCH(J1252,Ottone!$A:$A,0)-1,MATCH(L1252,Ottone!$A$1:$Z$1,0)-1))*IF(G1252="Ottone",1,0)</f>
        <v>0</v>
      </c>
      <c r="O1252" s="205">
        <f ca="1">IF(ISERROR(OFFSET(Rame!$A$1,MATCH(J1252,Rame!$A:$A,0)-1,MATCH(L1252,Rame!$A$1:$AA$1,0)-1)=TRUE),0,OFFSET(Rame!$A$1,MATCH(J1252,Rame!$A:$A,0)-1,MATCH(L1252,Rame!$A$1:$AA$1,0)-1))*IF(G1252="Rame",1,0)</f>
        <v>0</v>
      </c>
      <c r="P1252" s="205">
        <v>0</v>
      </c>
      <c r="Q1252" s="205">
        <f t="shared" ca="1" si="347"/>
        <v>0</v>
      </c>
      <c r="R1252" s="205">
        <f ca="1">+IF(ISERROR(OFFSET(Tabella!$G$1,MATCH(J1252,Tabella!$G:$G,0)-1,MATCH(K1252,Tabella!$G$1:$FG$1,0)-1)=TRUE),0,OFFSET(Tabella!$G$1,MATCH(J1252,Tabella!$G:$G,0)-1,MATCH(K1252,Tabella!$G$1:$AB$1,0)-1))</f>
        <v>0</v>
      </c>
      <c r="S1252" s="205">
        <f ca="1">IF(ISERROR(OFFSET(Ottone!$F$1,MATCH(J1252,Ottone!$A:$A,0)-1,MATCH(K1252,Ottone!$F$1:$FF$1,0)-1)=TRUE),0,OFFSET(Ottone!$F$1,MATCH(J1252,Ottone!$A:$A,0)-1,MATCH(K1252,Ottone!$F$1:$FF$1,0)-1))*IF(G1252="Ottone",1,0)</f>
        <v>0</v>
      </c>
      <c r="T1252" s="205">
        <f ca="1">IF(ISERROR(OFFSET(Rame!$F$1,MATCH(J1252,Rame!$F:$F,0)-1,MATCH(K1252,Rame!$F$1:$FF$1,0)-1)=TRUE),0,OFFSET(Rame!$F$1,MATCH(J1252,Rame!$F:$F,0)-1,MATCH(K1252,Rame!$F$1:$FF$1,0)-1))*IF(G1252="Rame",1,0)</f>
        <v>0</v>
      </c>
      <c r="U1252" s="205">
        <f ca="1">IF(ISERROR(OFFSET(Bronzo!$A$1,MATCH(J1252,Bronzo!$A:$A,0)-1,MATCH(K1252,Bronzo!$A$1:$AA$1,0)-1)=TRUE),0,OFFSET(Bronzo!$A$1,MATCH(J1252,Bronzo!$A:$A,0)-1,MATCH(K1252,Bronzo!$A$1:$AA$1,0)-1))</f>
        <v>0</v>
      </c>
      <c r="V1252" s="205">
        <f t="shared" ca="1" si="348"/>
        <v>0</v>
      </c>
      <c r="W1252" s="204"/>
      <c r="X1252" s="205">
        <v>0</v>
      </c>
      <c r="Y1252" s="206">
        <f t="shared" ca="1" si="349"/>
        <v>0</v>
      </c>
      <c r="Z1252" s="277">
        <f t="shared" si="350"/>
        <v>0</v>
      </c>
      <c r="AA1252" s="203"/>
      <c r="AB1252" s="203">
        <f t="shared" ca="1" si="351"/>
        <v>0</v>
      </c>
      <c r="AC1252" s="238"/>
      <c r="AI1252" s="367">
        <f t="shared" ca="1" si="346"/>
        <v>46092</v>
      </c>
      <c r="AJ1252" s="367" t="b">
        <f t="shared" si="352"/>
        <v>1</v>
      </c>
      <c r="AK1252" s="370" t="str">
        <f t="shared" si="353"/>
        <v/>
      </c>
      <c r="AN1252">
        <f t="shared" si="354"/>
        <v>0</v>
      </c>
      <c r="AO1252">
        <f t="shared" si="355"/>
        <v>1900</v>
      </c>
      <c r="AV1252">
        <f t="shared" si="344"/>
        <v>0</v>
      </c>
      <c r="AW1252">
        <f t="shared" si="345"/>
        <v>0</v>
      </c>
    </row>
    <row r="1253" spans="4:49" ht="15.75" x14ac:dyDescent="0.25">
      <c r="D1253" s="199"/>
      <c r="E1253" s="200"/>
      <c r="F1253" s="287"/>
      <c r="G1253" s="201"/>
      <c r="H1253" s="219"/>
      <c r="I1253" s="202"/>
      <c r="J1253" s="200"/>
      <c r="K1253" s="200"/>
      <c r="L1253" s="203"/>
      <c r="M1253" s="204">
        <f ca="1">IF(ISERROR(OFFSET(Tabella!$A$1,MATCH(J1253,Tabella!$A:$A,0)-1,MATCH(L1253,Tabella!$A$1:$AC$1,0)-1)=TRUE),0,+OFFSET(Tabella!$A$1,MATCH(J1253,Tabella!$A:$A,0)-1,MATCH(L1253,Tabella!$A$1:$AC$1,0)-1))</f>
        <v>0</v>
      </c>
      <c r="N1253" s="205">
        <f ca="1">IF(ISERROR(OFFSET(Ottone!$A$1,MATCH(J1253,Ottone!$A:$A,0)-1,MATCH(L1253,Ottone!$A$1:$Z$1,0)-1)=TRUE),0,OFFSET(Ottone!$A$1,MATCH(J1253,Ottone!$A:$A,0)-1,MATCH(L1253,Ottone!$A$1:$Z$1,0)-1))*IF(G1253="Ottone",1,0)</f>
        <v>0</v>
      </c>
      <c r="O1253" s="205">
        <f ca="1">IF(ISERROR(OFFSET(Rame!$A$1,MATCH(J1253,Rame!$A:$A,0)-1,MATCH(L1253,Rame!$A$1:$AA$1,0)-1)=TRUE),0,OFFSET(Rame!$A$1,MATCH(J1253,Rame!$A:$A,0)-1,MATCH(L1253,Rame!$A$1:$AA$1,0)-1))*IF(G1253="Rame",1,0)</f>
        <v>0</v>
      </c>
      <c r="P1253" s="205">
        <v>0</v>
      </c>
      <c r="Q1253" s="205">
        <f t="shared" ca="1" si="347"/>
        <v>0</v>
      </c>
      <c r="R1253" s="205">
        <f ca="1">+IF(ISERROR(OFFSET(Tabella!$G$1,MATCH(J1253,Tabella!$G:$G,0)-1,MATCH(K1253,Tabella!$G$1:$FG$1,0)-1)=TRUE),0,OFFSET(Tabella!$G$1,MATCH(J1253,Tabella!$G:$G,0)-1,MATCH(K1253,Tabella!$G$1:$AB$1,0)-1))</f>
        <v>0</v>
      </c>
      <c r="S1253" s="205">
        <f ca="1">IF(ISERROR(OFFSET(Ottone!$F$1,MATCH(J1253,Ottone!$A:$A,0)-1,MATCH(K1253,Ottone!$F$1:$FF$1,0)-1)=TRUE),0,OFFSET(Ottone!$F$1,MATCH(J1253,Ottone!$A:$A,0)-1,MATCH(K1253,Ottone!$F$1:$FF$1,0)-1))*IF(G1253="Ottone",1,0)</f>
        <v>0</v>
      </c>
      <c r="T1253" s="205">
        <f ca="1">IF(ISERROR(OFFSET(Rame!$F$1,MATCH(J1253,Rame!$F:$F,0)-1,MATCH(K1253,Rame!$F$1:$FF$1,0)-1)=TRUE),0,OFFSET(Rame!$F$1,MATCH(J1253,Rame!$F:$F,0)-1,MATCH(K1253,Rame!$F$1:$FF$1,0)-1))*IF(G1253="Rame",1,0)</f>
        <v>0</v>
      </c>
      <c r="U1253" s="205">
        <f ca="1">IF(ISERROR(OFFSET(Bronzo!$A$1,MATCH(J1253,Bronzo!$A:$A,0)-1,MATCH(K1253,Bronzo!$A$1:$AA$1,0)-1)=TRUE),0,OFFSET(Bronzo!$A$1,MATCH(J1253,Bronzo!$A:$A,0)-1,MATCH(K1253,Bronzo!$A$1:$AA$1,0)-1))</f>
        <v>0</v>
      </c>
      <c r="V1253" s="205">
        <f t="shared" ca="1" si="348"/>
        <v>0</v>
      </c>
      <c r="W1253" s="204"/>
      <c r="X1253" s="205">
        <v>0</v>
      </c>
      <c r="Y1253" s="206">
        <f t="shared" ca="1" si="349"/>
        <v>0</v>
      </c>
      <c r="Z1253" s="277">
        <f t="shared" si="350"/>
        <v>0</v>
      </c>
      <c r="AA1253" s="203"/>
      <c r="AB1253" s="203">
        <f t="shared" ca="1" si="351"/>
        <v>0</v>
      </c>
      <c r="AC1253" s="238"/>
      <c r="AI1253" s="367">
        <f t="shared" ca="1" si="346"/>
        <v>46092</v>
      </c>
      <c r="AJ1253" s="367" t="b">
        <f t="shared" si="352"/>
        <v>1</v>
      </c>
      <c r="AK1253" s="370" t="str">
        <f t="shared" si="353"/>
        <v/>
      </c>
      <c r="AN1253">
        <f t="shared" si="354"/>
        <v>0</v>
      </c>
      <c r="AO1253">
        <f t="shared" si="355"/>
        <v>1900</v>
      </c>
      <c r="AV1253">
        <f t="shared" ref="AV1253:AV1286" si="356">IF(AC1253="",0,MONTH(AC1253))</f>
        <v>0</v>
      </c>
      <c r="AW1253">
        <f t="shared" ref="AW1253:AW1286" si="357">IF(AC1253="",0,YEAR(AC1253))</f>
        <v>0</v>
      </c>
    </row>
    <row r="1254" spans="4:49" ht="15.75" x14ac:dyDescent="0.25">
      <c r="D1254" s="199"/>
      <c r="E1254" s="200"/>
      <c r="F1254" s="287"/>
      <c r="G1254" s="201"/>
      <c r="H1254" s="219"/>
      <c r="I1254" s="202"/>
      <c r="J1254" s="200"/>
      <c r="K1254" s="200"/>
      <c r="L1254" s="203"/>
      <c r="M1254" s="204">
        <f ca="1">IF(ISERROR(OFFSET(Tabella!$A$1,MATCH(J1254,Tabella!$A:$A,0)-1,MATCH(L1254,Tabella!$A$1:$AC$1,0)-1)=TRUE),0,+OFFSET(Tabella!$A$1,MATCH(J1254,Tabella!$A:$A,0)-1,MATCH(L1254,Tabella!$A$1:$AC$1,0)-1))</f>
        <v>0</v>
      </c>
      <c r="N1254" s="205">
        <f ca="1">IF(ISERROR(OFFSET(Ottone!$A$1,MATCH(J1254,Ottone!$A:$A,0)-1,MATCH(L1254,Ottone!$A$1:$Z$1,0)-1)=TRUE),0,OFFSET(Ottone!$A$1,MATCH(J1254,Ottone!$A:$A,0)-1,MATCH(L1254,Ottone!$A$1:$Z$1,0)-1))*IF(G1254="Ottone",1,0)</f>
        <v>0</v>
      </c>
      <c r="O1254" s="205">
        <f ca="1">IF(ISERROR(OFFSET(Rame!$A$1,MATCH(J1254,Rame!$A:$A,0)-1,MATCH(L1254,Rame!$A$1:$AA$1,0)-1)=TRUE),0,OFFSET(Rame!$A$1,MATCH(J1254,Rame!$A:$A,0)-1,MATCH(L1254,Rame!$A$1:$AA$1,0)-1))*IF(G1254="Rame",1,0)</f>
        <v>0</v>
      </c>
      <c r="P1254" s="205">
        <v>0</v>
      </c>
      <c r="Q1254" s="205">
        <f t="shared" ca="1" si="347"/>
        <v>0</v>
      </c>
      <c r="R1254" s="205">
        <f ca="1">+IF(ISERROR(OFFSET(Tabella!$G$1,MATCH(J1254,Tabella!$G:$G,0)-1,MATCH(K1254,Tabella!$G$1:$FG$1,0)-1)=TRUE),0,OFFSET(Tabella!$G$1,MATCH(J1254,Tabella!$G:$G,0)-1,MATCH(K1254,Tabella!$G$1:$AB$1,0)-1))</f>
        <v>0</v>
      </c>
      <c r="S1254" s="205">
        <f ca="1">IF(ISERROR(OFFSET(Ottone!$F$1,MATCH(J1254,Ottone!$A:$A,0)-1,MATCH(K1254,Ottone!$F$1:$FF$1,0)-1)=TRUE),0,OFFSET(Ottone!$F$1,MATCH(J1254,Ottone!$A:$A,0)-1,MATCH(K1254,Ottone!$F$1:$FF$1,0)-1))*IF(G1254="Ottone",1,0)</f>
        <v>0</v>
      </c>
      <c r="T1254" s="205">
        <f ca="1">IF(ISERROR(OFFSET(Rame!$F$1,MATCH(J1254,Rame!$F:$F,0)-1,MATCH(K1254,Rame!$F$1:$FF$1,0)-1)=TRUE),0,OFFSET(Rame!$F$1,MATCH(J1254,Rame!$F:$F,0)-1,MATCH(K1254,Rame!$F$1:$FF$1,0)-1))*IF(G1254="Rame",1,0)</f>
        <v>0</v>
      </c>
      <c r="U1254" s="205">
        <f ca="1">IF(ISERROR(OFFSET(Bronzo!$A$1,MATCH(J1254,Bronzo!$A:$A,0)-1,MATCH(K1254,Bronzo!$A$1:$AA$1,0)-1)=TRUE),0,OFFSET(Bronzo!$A$1,MATCH(J1254,Bronzo!$A:$A,0)-1,MATCH(K1254,Bronzo!$A$1:$AA$1,0)-1))</f>
        <v>0</v>
      </c>
      <c r="V1254" s="205">
        <f t="shared" ca="1" si="348"/>
        <v>0</v>
      </c>
      <c r="W1254" s="204"/>
      <c r="X1254" s="205">
        <v>0</v>
      </c>
      <c r="Y1254" s="206">
        <f t="shared" ca="1" si="349"/>
        <v>0</v>
      </c>
      <c r="Z1254" s="277">
        <f t="shared" si="350"/>
        <v>0</v>
      </c>
      <c r="AA1254" s="203"/>
      <c r="AB1254" s="203">
        <f t="shared" ca="1" si="351"/>
        <v>0</v>
      </c>
      <c r="AC1254" s="238"/>
      <c r="AI1254" s="367">
        <f t="shared" ca="1" si="346"/>
        <v>46092</v>
      </c>
      <c r="AJ1254" s="367" t="b">
        <f t="shared" si="352"/>
        <v>1</v>
      </c>
      <c r="AK1254" s="370" t="str">
        <f t="shared" si="353"/>
        <v/>
      </c>
      <c r="AN1254">
        <f t="shared" si="354"/>
        <v>0</v>
      </c>
      <c r="AO1254">
        <f t="shared" si="355"/>
        <v>1900</v>
      </c>
      <c r="AV1254">
        <f t="shared" si="356"/>
        <v>0</v>
      </c>
      <c r="AW1254">
        <f t="shared" si="357"/>
        <v>0</v>
      </c>
    </row>
    <row r="1255" spans="4:49" ht="15.75" x14ac:dyDescent="0.25">
      <c r="D1255" s="199"/>
      <c r="E1255" s="200"/>
      <c r="F1255" s="287"/>
      <c r="G1255" s="201"/>
      <c r="H1255" s="219"/>
      <c r="I1255" s="202"/>
      <c r="J1255" s="200"/>
      <c r="K1255" s="200"/>
      <c r="L1255" s="203"/>
      <c r="M1255" s="204">
        <f ca="1">IF(ISERROR(OFFSET(Tabella!$A$1,MATCH(J1255,Tabella!$A:$A,0)-1,MATCH(L1255,Tabella!$A$1:$AC$1,0)-1)=TRUE),0,+OFFSET(Tabella!$A$1,MATCH(J1255,Tabella!$A:$A,0)-1,MATCH(L1255,Tabella!$A$1:$AC$1,0)-1))</f>
        <v>0</v>
      </c>
      <c r="N1255" s="205">
        <f ca="1">IF(ISERROR(OFFSET(Ottone!$A$1,MATCH(J1255,Ottone!$A:$A,0)-1,MATCH(L1255,Ottone!$A$1:$Z$1,0)-1)=TRUE),0,OFFSET(Ottone!$A$1,MATCH(J1255,Ottone!$A:$A,0)-1,MATCH(L1255,Ottone!$A$1:$Z$1,0)-1))*IF(G1255="Ottone",1,0)</f>
        <v>0</v>
      </c>
      <c r="O1255" s="205">
        <f ca="1">IF(ISERROR(OFFSET(Rame!$A$1,MATCH(J1255,Rame!$A:$A,0)-1,MATCH(L1255,Rame!$A$1:$AA$1,0)-1)=TRUE),0,OFFSET(Rame!$A$1,MATCH(J1255,Rame!$A:$A,0)-1,MATCH(L1255,Rame!$A$1:$AA$1,0)-1))*IF(G1255="Rame",1,0)</f>
        <v>0</v>
      </c>
      <c r="P1255" s="205">
        <v>0</v>
      </c>
      <c r="Q1255" s="205">
        <f t="shared" ca="1" si="347"/>
        <v>0</v>
      </c>
      <c r="R1255" s="205">
        <f ca="1">+IF(ISERROR(OFFSET(Tabella!$G$1,MATCH(J1255,Tabella!$G:$G,0)-1,MATCH(K1255,Tabella!$G$1:$FG$1,0)-1)=TRUE),0,OFFSET(Tabella!$G$1,MATCH(J1255,Tabella!$G:$G,0)-1,MATCH(K1255,Tabella!$G$1:$AB$1,0)-1))</f>
        <v>0</v>
      </c>
      <c r="S1255" s="205">
        <f ca="1">IF(ISERROR(OFFSET(Ottone!$F$1,MATCH(J1255,Ottone!$A:$A,0)-1,MATCH(K1255,Ottone!$F$1:$FF$1,0)-1)=TRUE),0,OFFSET(Ottone!$F$1,MATCH(J1255,Ottone!$A:$A,0)-1,MATCH(K1255,Ottone!$F$1:$FF$1,0)-1))*IF(G1255="Ottone",1,0)</f>
        <v>0</v>
      </c>
      <c r="T1255" s="205">
        <f ca="1">IF(ISERROR(OFFSET(Rame!$F$1,MATCH(J1255,Rame!$F:$F,0)-1,MATCH(K1255,Rame!$F$1:$FF$1,0)-1)=TRUE),0,OFFSET(Rame!$F$1,MATCH(J1255,Rame!$F:$F,0)-1,MATCH(K1255,Rame!$F$1:$FF$1,0)-1))*IF(G1255="Rame",1,0)</f>
        <v>0</v>
      </c>
      <c r="U1255" s="205">
        <f ca="1">IF(ISERROR(OFFSET(Bronzo!$A$1,MATCH(J1255,Bronzo!$A:$A,0)-1,MATCH(K1255,Bronzo!$A$1:$AA$1,0)-1)=TRUE),0,OFFSET(Bronzo!$A$1,MATCH(J1255,Bronzo!$A:$A,0)-1,MATCH(K1255,Bronzo!$A$1:$AA$1,0)-1))</f>
        <v>0</v>
      </c>
      <c r="V1255" s="205">
        <f t="shared" ca="1" si="348"/>
        <v>0</v>
      </c>
      <c r="W1255" s="204"/>
      <c r="X1255" s="205">
        <v>0</v>
      </c>
      <c r="Y1255" s="206">
        <f t="shared" ca="1" si="349"/>
        <v>0</v>
      </c>
      <c r="Z1255" s="277">
        <f t="shared" si="350"/>
        <v>0</v>
      </c>
      <c r="AA1255" s="203"/>
      <c r="AB1255" s="203">
        <f t="shared" ca="1" si="351"/>
        <v>0</v>
      </c>
      <c r="AC1255" s="238"/>
      <c r="AI1255" s="367">
        <f t="shared" ca="1" si="346"/>
        <v>46092</v>
      </c>
      <c r="AJ1255" s="367" t="b">
        <f t="shared" si="352"/>
        <v>1</v>
      </c>
      <c r="AK1255" s="370" t="str">
        <f t="shared" si="353"/>
        <v/>
      </c>
      <c r="AN1255">
        <f t="shared" si="354"/>
        <v>0</v>
      </c>
      <c r="AO1255">
        <f t="shared" si="355"/>
        <v>1900</v>
      </c>
      <c r="AV1255">
        <f t="shared" si="356"/>
        <v>0</v>
      </c>
      <c r="AW1255">
        <f t="shared" si="357"/>
        <v>0</v>
      </c>
    </row>
    <row r="1256" spans="4:49" ht="15.75" x14ac:dyDescent="0.25">
      <c r="D1256" s="199"/>
      <c r="E1256" s="200"/>
      <c r="F1256" s="287"/>
      <c r="G1256" s="201"/>
      <c r="H1256" s="219"/>
      <c r="I1256" s="202"/>
      <c r="J1256" s="200"/>
      <c r="K1256" s="200"/>
      <c r="L1256" s="203"/>
      <c r="M1256" s="204">
        <f ca="1">IF(ISERROR(OFFSET(Tabella!$A$1,MATCH(J1256,Tabella!$A:$A,0)-1,MATCH(L1256,Tabella!$A$1:$AC$1,0)-1)=TRUE),0,+OFFSET(Tabella!$A$1,MATCH(J1256,Tabella!$A:$A,0)-1,MATCH(L1256,Tabella!$A$1:$AC$1,0)-1))</f>
        <v>0</v>
      </c>
      <c r="N1256" s="205">
        <f ca="1">IF(ISERROR(OFFSET(Ottone!$A$1,MATCH(J1256,Ottone!$A:$A,0)-1,MATCH(L1256,Ottone!$A$1:$Z$1,0)-1)=TRUE),0,OFFSET(Ottone!$A$1,MATCH(J1256,Ottone!$A:$A,0)-1,MATCH(L1256,Ottone!$A$1:$Z$1,0)-1))*IF(G1256="Ottone",1,0)</f>
        <v>0</v>
      </c>
      <c r="O1256" s="205">
        <f ca="1">IF(ISERROR(OFFSET(Rame!$A$1,MATCH(J1256,Rame!$A:$A,0)-1,MATCH(L1256,Rame!$A$1:$AA$1,0)-1)=TRUE),0,OFFSET(Rame!$A$1,MATCH(J1256,Rame!$A:$A,0)-1,MATCH(L1256,Rame!$A$1:$AA$1,0)-1))*IF(G1256="Rame",1,0)</f>
        <v>0</v>
      </c>
      <c r="P1256" s="205">
        <v>0</v>
      </c>
      <c r="Q1256" s="205">
        <f t="shared" ca="1" si="347"/>
        <v>0</v>
      </c>
      <c r="R1256" s="205">
        <f ca="1">+IF(ISERROR(OFFSET(Tabella!$G$1,MATCH(J1256,Tabella!$G:$G,0)-1,MATCH(K1256,Tabella!$G$1:$FG$1,0)-1)=TRUE),0,OFFSET(Tabella!$G$1,MATCH(J1256,Tabella!$G:$G,0)-1,MATCH(K1256,Tabella!$G$1:$AB$1,0)-1))</f>
        <v>0</v>
      </c>
      <c r="S1256" s="205">
        <f ca="1">IF(ISERROR(OFFSET(Ottone!$F$1,MATCH(J1256,Ottone!$A:$A,0)-1,MATCH(K1256,Ottone!$F$1:$FF$1,0)-1)=TRUE),0,OFFSET(Ottone!$F$1,MATCH(J1256,Ottone!$A:$A,0)-1,MATCH(K1256,Ottone!$F$1:$FF$1,0)-1))*IF(G1256="Ottone",1,0)</f>
        <v>0</v>
      </c>
      <c r="T1256" s="205">
        <f ca="1">IF(ISERROR(OFFSET(Rame!$F$1,MATCH(J1256,Rame!$F:$F,0)-1,MATCH(K1256,Rame!$F$1:$FF$1,0)-1)=TRUE),0,OFFSET(Rame!$F$1,MATCH(J1256,Rame!$F:$F,0)-1,MATCH(K1256,Rame!$F$1:$FF$1,0)-1))*IF(G1256="Rame",1,0)</f>
        <v>0</v>
      </c>
      <c r="U1256" s="205">
        <f ca="1">IF(ISERROR(OFFSET(Bronzo!$A$1,MATCH(J1256,Bronzo!$A:$A,0)-1,MATCH(K1256,Bronzo!$A$1:$AA$1,0)-1)=TRUE),0,OFFSET(Bronzo!$A$1,MATCH(J1256,Bronzo!$A:$A,0)-1,MATCH(K1256,Bronzo!$A$1:$AA$1,0)-1))</f>
        <v>0</v>
      </c>
      <c r="V1256" s="205">
        <f t="shared" ca="1" si="348"/>
        <v>0</v>
      </c>
      <c r="W1256" s="204"/>
      <c r="X1256" s="205">
        <v>0</v>
      </c>
      <c r="Y1256" s="206">
        <f t="shared" ca="1" si="349"/>
        <v>0</v>
      </c>
      <c r="Z1256" s="277">
        <f t="shared" si="350"/>
        <v>0</v>
      </c>
      <c r="AA1256" s="203"/>
      <c r="AB1256" s="203">
        <f t="shared" ca="1" si="351"/>
        <v>0</v>
      </c>
      <c r="AC1256" s="238"/>
      <c r="AI1256" s="367">
        <f t="shared" ca="1" si="346"/>
        <v>46092</v>
      </c>
      <c r="AJ1256" s="367" t="b">
        <f t="shared" si="352"/>
        <v>1</v>
      </c>
      <c r="AK1256" s="370" t="str">
        <f t="shared" si="353"/>
        <v/>
      </c>
      <c r="AN1256">
        <f t="shared" si="354"/>
        <v>0</v>
      </c>
      <c r="AO1256">
        <f t="shared" si="355"/>
        <v>1900</v>
      </c>
      <c r="AV1256">
        <f t="shared" si="356"/>
        <v>0</v>
      </c>
      <c r="AW1256">
        <f t="shared" si="357"/>
        <v>0</v>
      </c>
    </row>
    <row r="1257" spans="4:49" ht="15.75" x14ac:dyDescent="0.25">
      <c r="D1257" s="199"/>
      <c r="E1257" s="200"/>
      <c r="F1257" s="287"/>
      <c r="G1257" s="201"/>
      <c r="H1257" s="219"/>
      <c r="I1257" s="202"/>
      <c r="J1257" s="200"/>
      <c r="K1257" s="200"/>
      <c r="L1257" s="203"/>
      <c r="M1257" s="204">
        <f ca="1">IF(ISERROR(OFFSET(Tabella!$A$1,MATCH(J1257,Tabella!$A:$A,0)-1,MATCH(L1257,Tabella!$A$1:$AC$1,0)-1)=TRUE),0,+OFFSET(Tabella!$A$1,MATCH(J1257,Tabella!$A:$A,0)-1,MATCH(L1257,Tabella!$A$1:$AC$1,0)-1))</f>
        <v>0</v>
      </c>
      <c r="N1257" s="205">
        <f ca="1">IF(ISERROR(OFFSET(Ottone!$A$1,MATCH(J1257,Ottone!$A:$A,0)-1,MATCH(L1257,Ottone!$A$1:$Z$1,0)-1)=TRUE),0,OFFSET(Ottone!$A$1,MATCH(J1257,Ottone!$A:$A,0)-1,MATCH(L1257,Ottone!$A$1:$Z$1,0)-1))*IF(G1257="Ottone",1,0)</f>
        <v>0</v>
      </c>
      <c r="O1257" s="205">
        <f ca="1">IF(ISERROR(OFFSET(Rame!$A$1,MATCH(J1257,Rame!$A:$A,0)-1,MATCH(L1257,Rame!$A$1:$AA$1,0)-1)=TRUE),0,OFFSET(Rame!$A$1,MATCH(J1257,Rame!$A:$A,0)-1,MATCH(L1257,Rame!$A$1:$AA$1,0)-1))*IF(G1257="Rame",1,0)</f>
        <v>0</v>
      </c>
      <c r="P1257" s="205">
        <v>0</v>
      </c>
      <c r="Q1257" s="205">
        <f t="shared" ca="1" si="347"/>
        <v>0</v>
      </c>
      <c r="R1257" s="205">
        <f ca="1">+IF(ISERROR(OFFSET(Tabella!$G$1,MATCH(J1257,Tabella!$G:$G,0)-1,MATCH(K1257,Tabella!$G$1:$FG$1,0)-1)=TRUE),0,OFFSET(Tabella!$G$1,MATCH(J1257,Tabella!$G:$G,0)-1,MATCH(K1257,Tabella!$G$1:$AB$1,0)-1))</f>
        <v>0</v>
      </c>
      <c r="S1257" s="205">
        <f ca="1">IF(ISERROR(OFFSET(Ottone!$F$1,MATCH(J1257,Ottone!$A:$A,0)-1,MATCH(K1257,Ottone!$F$1:$FF$1,0)-1)=TRUE),0,OFFSET(Ottone!$F$1,MATCH(J1257,Ottone!$A:$A,0)-1,MATCH(K1257,Ottone!$F$1:$FF$1,0)-1))*IF(G1257="Ottone",1,0)</f>
        <v>0</v>
      </c>
      <c r="T1257" s="205">
        <f ca="1">IF(ISERROR(OFFSET(Rame!$F$1,MATCH(J1257,Rame!$F:$F,0)-1,MATCH(K1257,Rame!$F$1:$FF$1,0)-1)=TRUE),0,OFFSET(Rame!$F$1,MATCH(J1257,Rame!$F:$F,0)-1,MATCH(K1257,Rame!$F$1:$FF$1,0)-1))*IF(G1257="Rame",1,0)</f>
        <v>0</v>
      </c>
      <c r="U1257" s="205">
        <f ca="1">IF(ISERROR(OFFSET(Bronzo!$A$1,MATCH(J1257,Bronzo!$A:$A,0)-1,MATCH(K1257,Bronzo!$A$1:$AA$1,0)-1)=TRUE),0,OFFSET(Bronzo!$A$1,MATCH(J1257,Bronzo!$A:$A,0)-1,MATCH(K1257,Bronzo!$A$1:$AA$1,0)-1))</f>
        <v>0</v>
      </c>
      <c r="V1257" s="205">
        <f t="shared" ca="1" si="348"/>
        <v>0</v>
      </c>
      <c r="W1257" s="204"/>
      <c r="X1257" s="205">
        <v>0</v>
      </c>
      <c r="Y1257" s="206">
        <f t="shared" ca="1" si="349"/>
        <v>0</v>
      </c>
      <c r="Z1257" s="277">
        <f t="shared" si="350"/>
        <v>0</v>
      </c>
      <c r="AA1257" s="203"/>
      <c r="AB1257" s="203">
        <f t="shared" ca="1" si="351"/>
        <v>0</v>
      </c>
      <c r="AC1257" s="238"/>
      <c r="AI1257" s="367">
        <f t="shared" ca="1" si="346"/>
        <v>46092</v>
      </c>
      <c r="AJ1257" s="367" t="b">
        <f t="shared" si="352"/>
        <v>1</v>
      </c>
      <c r="AK1257" s="370" t="str">
        <f t="shared" si="353"/>
        <v/>
      </c>
      <c r="AN1257">
        <f t="shared" si="354"/>
        <v>0</v>
      </c>
      <c r="AO1257">
        <f t="shared" si="355"/>
        <v>1900</v>
      </c>
      <c r="AV1257">
        <f t="shared" si="356"/>
        <v>0</v>
      </c>
      <c r="AW1257">
        <f t="shared" si="357"/>
        <v>0</v>
      </c>
    </row>
    <row r="1258" spans="4:49" ht="15.75" x14ac:dyDescent="0.25">
      <c r="D1258" s="199"/>
      <c r="E1258" s="200"/>
      <c r="F1258" s="287"/>
      <c r="G1258" s="201"/>
      <c r="H1258" s="219"/>
      <c r="I1258" s="202"/>
      <c r="J1258" s="200"/>
      <c r="K1258" s="200"/>
      <c r="L1258" s="203"/>
      <c r="M1258" s="204">
        <f ca="1">IF(ISERROR(OFFSET(Tabella!$A$1,MATCH(J1258,Tabella!$A:$A,0)-1,MATCH(L1258,Tabella!$A$1:$AC$1,0)-1)=TRUE),0,+OFFSET(Tabella!$A$1,MATCH(J1258,Tabella!$A:$A,0)-1,MATCH(L1258,Tabella!$A$1:$AC$1,0)-1))</f>
        <v>0</v>
      </c>
      <c r="N1258" s="205">
        <f ca="1">IF(ISERROR(OFFSET(Ottone!$A$1,MATCH(J1258,Ottone!$A:$A,0)-1,MATCH(L1258,Ottone!$A$1:$Z$1,0)-1)=TRUE),0,OFFSET(Ottone!$A$1,MATCH(J1258,Ottone!$A:$A,0)-1,MATCH(L1258,Ottone!$A$1:$Z$1,0)-1))*IF(G1258="Ottone",1,0)</f>
        <v>0</v>
      </c>
      <c r="O1258" s="205">
        <f ca="1">IF(ISERROR(OFFSET(Rame!$A$1,MATCH(J1258,Rame!$A:$A,0)-1,MATCH(L1258,Rame!$A$1:$AA$1,0)-1)=TRUE),0,OFFSET(Rame!$A$1,MATCH(J1258,Rame!$A:$A,0)-1,MATCH(L1258,Rame!$A$1:$AA$1,0)-1))*IF(G1258="Rame",1,0)</f>
        <v>0</v>
      </c>
      <c r="P1258" s="205">
        <v>0</v>
      </c>
      <c r="Q1258" s="205">
        <f t="shared" ca="1" si="347"/>
        <v>0</v>
      </c>
      <c r="R1258" s="205">
        <f ca="1">+IF(ISERROR(OFFSET(Tabella!$G$1,MATCH(J1258,Tabella!$G:$G,0)-1,MATCH(K1258,Tabella!$G$1:$FG$1,0)-1)=TRUE),0,OFFSET(Tabella!$G$1,MATCH(J1258,Tabella!$G:$G,0)-1,MATCH(K1258,Tabella!$G$1:$AB$1,0)-1))</f>
        <v>0</v>
      </c>
      <c r="S1258" s="205">
        <f ca="1">IF(ISERROR(OFFSET(Ottone!$F$1,MATCH(J1258,Ottone!$A:$A,0)-1,MATCH(K1258,Ottone!$F$1:$FF$1,0)-1)=TRUE),0,OFFSET(Ottone!$F$1,MATCH(J1258,Ottone!$A:$A,0)-1,MATCH(K1258,Ottone!$F$1:$FF$1,0)-1))*IF(G1258="Ottone",1,0)</f>
        <v>0</v>
      </c>
      <c r="T1258" s="205">
        <f ca="1">IF(ISERROR(OFFSET(Rame!$F$1,MATCH(J1258,Rame!$F:$F,0)-1,MATCH(K1258,Rame!$F$1:$FF$1,0)-1)=TRUE),0,OFFSET(Rame!$F$1,MATCH(J1258,Rame!$F:$F,0)-1,MATCH(K1258,Rame!$F$1:$FF$1,0)-1))*IF(G1258="Rame",1,0)</f>
        <v>0</v>
      </c>
      <c r="U1258" s="205">
        <f ca="1">IF(ISERROR(OFFSET(Bronzo!$A$1,MATCH(J1258,Bronzo!$A:$A,0)-1,MATCH(K1258,Bronzo!$A$1:$AA$1,0)-1)=TRUE),0,OFFSET(Bronzo!$A$1,MATCH(J1258,Bronzo!$A:$A,0)-1,MATCH(K1258,Bronzo!$A$1:$AA$1,0)-1))</f>
        <v>0</v>
      </c>
      <c r="V1258" s="205">
        <f t="shared" ca="1" si="348"/>
        <v>0</v>
      </c>
      <c r="W1258" s="204"/>
      <c r="X1258" s="205">
        <v>0</v>
      </c>
      <c r="Y1258" s="206">
        <f t="shared" ca="1" si="349"/>
        <v>0</v>
      </c>
      <c r="Z1258" s="277">
        <f t="shared" si="350"/>
        <v>0</v>
      </c>
      <c r="AA1258" s="203"/>
      <c r="AB1258" s="203">
        <f t="shared" ca="1" si="351"/>
        <v>0</v>
      </c>
      <c r="AC1258" s="238"/>
      <c r="AI1258" s="367">
        <f t="shared" ca="1" si="346"/>
        <v>46092</v>
      </c>
      <c r="AJ1258" s="367" t="b">
        <f t="shared" si="352"/>
        <v>1</v>
      </c>
      <c r="AK1258" s="370" t="str">
        <f t="shared" si="353"/>
        <v/>
      </c>
      <c r="AN1258">
        <f t="shared" si="354"/>
        <v>0</v>
      </c>
      <c r="AO1258">
        <f t="shared" si="355"/>
        <v>1900</v>
      </c>
      <c r="AV1258">
        <f t="shared" si="356"/>
        <v>0</v>
      </c>
      <c r="AW1258">
        <f t="shared" si="357"/>
        <v>0</v>
      </c>
    </row>
    <row r="1259" spans="4:49" ht="15.75" x14ac:dyDescent="0.25">
      <c r="D1259" s="199"/>
      <c r="E1259" s="200"/>
      <c r="F1259" s="287"/>
      <c r="G1259" s="201"/>
      <c r="H1259" s="219"/>
      <c r="I1259" s="202"/>
      <c r="J1259" s="200"/>
      <c r="K1259" s="200"/>
      <c r="L1259" s="203"/>
      <c r="M1259" s="204">
        <f ca="1">IF(ISERROR(OFFSET(Tabella!$A$1,MATCH(J1259,Tabella!$A:$A,0)-1,MATCH(L1259,Tabella!$A$1:$AC$1,0)-1)=TRUE),0,+OFFSET(Tabella!$A$1,MATCH(J1259,Tabella!$A:$A,0)-1,MATCH(L1259,Tabella!$A$1:$AC$1,0)-1))</f>
        <v>0</v>
      </c>
      <c r="N1259" s="205">
        <f ca="1">IF(ISERROR(OFFSET(Ottone!$A$1,MATCH(J1259,Ottone!$A:$A,0)-1,MATCH(L1259,Ottone!$A$1:$Z$1,0)-1)=TRUE),0,OFFSET(Ottone!$A$1,MATCH(J1259,Ottone!$A:$A,0)-1,MATCH(L1259,Ottone!$A$1:$Z$1,0)-1))*IF(G1259="Ottone",1,0)</f>
        <v>0</v>
      </c>
      <c r="O1259" s="205">
        <f ca="1">IF(ISERROR(OFFSET(Rame!$A$1,MATCH(J1259,Rame!$A:$A,0)-1,MATCH(L1259,Rame!$A$1:$AA$1,0)-1)=TRUE),0,OFFSET(Rame!$A$1,MATCH(J1259,Rame!$A:$A,0)-1,MATCH(L1259,Rame!$A$1:$AA$1,0)-1))*IF(G1259="Rame",1,0)</f>
        <v>0</v>
      </c>
      <c r="P1259" s="205">
        <v>0</v>
      </c>
      <c r="Q1259" s="205">
        <f t="shared" ca="1" si="347"/>
        <v>0</v>
      </c>
      <c r="R1259" s="205">
        <f ca="1">+IF(ISERROR(OFFSET(Tabella!$G$1,MATCH(J1259,Tabella!$G:$G,0)-1,MATCH(K1259,Tabella!$G$1:$FG$1,0)-1)=TRUE),0,OFFSET(Tabella!$G$1,MATCH(J1259,Tabella!$G:$G,0)-1,MATCH(K1259,Tabella!$G$1:$AB$1,0)-1))</f>
        <v>0</v>
      </c>
      <c r="S1259" s="205">
        <f ca="1">IF(ISERROR(OFFSET(Ottone!$F$1,MATCH(J1259,Ottone!$A:$A,0)-1,MATCH(K1259,Ottone!$F$1:$FF$1,0)-1)=TRUE),0,OFFSET(Ottone!$F$1,MATCH(J1259,Ottone!$A:$A,0)-1,MATCH(K1259,Ottone!$F$1:$FF$1,0)-1))*IF(G1259="Ottone",1,0)</f>
        <v>0</v>
      </c>
      <c r="T1259" s="205">
        <f ca="1">IF(ISERROR(OFFSET(Rame!$F$1,MATCH(J1259,Rame!$F:$F,0)-1,MATCH(K1259,Rame!$F$1:$FF$1,0)-1)=TRUE),0,OFFSET(Rame!$F$1,MATCH(J1259,Rame!$F:$F,0)-1,MATCH(K1259,Rame!$F$1:$FF$1,0)-1))*IF(G1259="Rame",1,0)</f>
        <v>0</v>
      </c>
      <c r="U1259" s="205">
        <f ca="1">IF(ISERROR(OFFSET(Bronzo!$A$1,MATCH(J1259,Bronzo!$A:$A,0)-1,MATCH(K1259,Bronzo!$A$1:$AA$1,0)-1)=TRUE),0,OFFSET(Bronzo!$A$1,MATCH(J1259,Bronzo!$A:$A,0)-1,MATCH(K1259,Bronzo!$A$1:$AA$1,0)-1))</f>
        <v>0</v>
      </c>
      <c r="V1259" s="205">
        <f t="shared" ca="1" si="348"/>
        <v>0</v>
      </c>
      <c r="W1259" s="204"/>
      <c r="X1259" s="205">
        <v>0</v>
      </c>
      <c r="Y1259" s="206">
        <f t="shared" ca="1" si="349"/>
        <v>0</v>
      </c>
      <c r="Z1259" s="277">
        <f t="shared" si="350"/>
        <v>0</v>
      </c>
      <c r="AA1259" s="203"/>
      <c r="AB1259" s="203">
        <f t="shared" ca="1" si="351"/>
        <v>0</v>
      </c>
      <c r="AC1259" s="238"/>
      <c r="AI1259" s="367">
        <f t="shared" ca="1" si="346"/>
        <v>46092</v>
      </c>
      <c r="AJ1259" s="367" t="b">
        <f t="shared" si="352"/>
        <v>1</v>
      </c>
      <c r="AK1259" s="370" t="str">
        <f t="shared" si="353"/>
        <v/>
      </c>
      <c r="AN1259">
        <f t="shared" si="354"/>
        <v>0</v>
      </c>
      <c r="AO1259">
        <f t="shared" si="355"/>
        <v>1900</v>
      </c>
      <c r="AV1259">
        <f t="shared" si="356"/>
        <v>0</v>
      </c>
      <c r="AW1259">
        <f t="shared" si="357"/>
        <v>0</v>
      </c>
    </row>
    <row r="1260" spans="4:49" ht="15.75" x14ac:dyDescent="0.25">
      <c r="D1260" s="199"/>
      <c r="E1260" s="200"/>
      <c r="F1260" s="287"/>
      <c r="G1260" s="201"/>
      <c r="H1260" s="219"/>
      <c r="I1260" s="202"/>
      <c r="J1260" s="200"/>
      <c r="K1260" s="200"/>
      <c r="L1260" s="203"/>
      <c r="M1260" s="204">
        <f ca="1">IF(ISERROR(OFFSET(Tabella!$A$1,MATCH(J1260,Tabella!$A:$A,0)-1,MATCH(L1260,Tabella!$A$1:$AC$1,0)-1)=TRUE),0,+OFFSET(Tabella!$A$1,MATCH(J1260,Tabella!$A:$A,0)-1,MATCH(L1260,Tabella!$A$1:$AC$1,0)-1))</f>
        <v>0</v>
      </c>
      <c r="N1260" s="205">
        <f ca="1">IF(ISERROR(OFFSET(Ottone!$A$1,MATCH(J1260,Ottone!$A:$A,0)-1,MATCH(L1260,Ottone!$A$1:$Z$1,0)-1)=TRUE),0,OFFSET(Ottone!$A$1,MATCH(J1260,Ottone!$A:$A,0)-1,MATCH(L1260,Ottone!$A$1:$Z$1,0)-1))*IF(G1260="Ottone",1,0)</f>
        <v>0</v>
      </c>
      <c r="O1260" s="205">
        <f ca="1">IF(ISERROR(OFFSET(Rame!$A$1,MATCH(J1260,Rame!$A:$A,0)-1,MATCH(L1260,Rame!$A$1:$AA$1,0)-1)=TRUE),0,OFFSET(Rame!$A$1,MATCH(J1260,Rame!$A:$A,0)-1,MATCH(L1260,Rame!$A$1:$AA$1,0)-1))*IF(G1260="Rame",1,0)</f>
        <v>0</v>
      </c>
      <c r="P1260" s="205">
        <v>0</v>
      </c>
      <c r="Q1260" s="205">
        <f t="shared" ca="1" si="347"/>
        <v>0</v>
      </c>
      <c r="R1260" s="205">
        <f ca="1">+IF(ISERROR(OFFSET(Tabella!$G$1,MATCH(J1260,Tabella!$G:$G,0)-1,MATCH(K1260,Tabella!$G$1:$FG$1,0)-1)=TRUE),0,OFFSET(Tabella!$G$1,MATCH(J1260,Tabella!$G:$G,0)-1,MATCH(K1260,Tabella!$G$1:$AB$1,0)-1))</f>
        <v>0</v>
      </c>
      <c r="S1260" s="205">
        <f ca="1">IF(ISERROR(OFFSET(Ottone!$F$1,MATCH(J1260,Ottone!$A:$A,0)-1,MATCH(K1260,Ottone!$F$1:$FF$1,0)-1)=TRUE),0,OFFSET(Ottone!$F$1,MATCH(J1260,Ottone!$A:$A,0)-1,MATCH(K1260,Ottone!$F$1:$FF$1,0)-1))*IF(G1260="Ottone",1,0)</f>
        <v>0</v>
      </c>
      <c r="T1260" s="205">
        <f ca="1">IF(ISERROR(OFFSET(Rame!$F$1,MATCH(J1260,Rame!$F:$F,0)-1,MATCH(K1260,Rame!$F$1:$FF$1,0)-1)=TRUE),0,OFFSET(Rame!$F$1,MATCH(J1260,Rame!$F:$F,0)-1,MATCH(K1260,Rame!$F$1:$FF$1,0)-1))*IF(G1260="Rame",1,0)</f>
        <v>0</v>
      </c>
      <c r="U1260" s="205">
        <f ca="1">IF(ISERROR(OFFSET(Bronzo!$A$1,MATCH(J1260,Bronzo!$A:$A,0)-1,MATCH(K1260,Bronzo!$A$1:$AA$1,0)-1)=TRUE),0,OFFSET(Bronzo!$A$1,MATCH(J1260,Bronzo!$A:$A,0)-1,MATCH(K1260,Bronzo!$A$1:$AA$1,0)-1))</f>
        <v>0</v>
      </c>
      <c r="V1260" s="205">
        <f t="shared" ca="1" si="348"/>
        <v>0</v>
      </c>
      <c r="W1260" s="204"/>
      <c r="X1260" s="205">
        <v>0</v>
      </c>
      <c r="Y1260" s="206">
        <f t="shared" ca="1" si="349"/>
        <v>0</v>
      </c>
      <c r="Z1260" s="277">
        <f t="shared" si="350"/>
        <v>0</v>
      </c>
      <c r="AA1260" s="203"/>
      <c r="AB1260" s="203">
        <f t="shared" ca="1" si="351"/>
        <v>0</v>
      </c>
      <c r="AC1260" s="238"/>
      <c r="AI1260" s="367">
        <f t="shared" ca="1" si="346"/>
        <v>46092</v>
      </c>
      <c r="AJ1260" s="367" t="b">
        <f t="shared" si="352"/>
        <v>1</v>
      </c>
      <c r="AK1260" s="370" t="str">
        <f t="shared" si="353"/>
        <v/>
      </c>
      <c r="AN1260">
        <f t="shared" si="354"/>
        <v>0</v>
      </c>
      <c r="AO1260">
        <f t="shared" si="355"/>
        <v>1900</v>
      </c>
      <c r="AV1260">
        <f t="shared" si="356"/>
        <v>0</v>
      </c>
      <c r="AW1260">
        <f t="shared" si="357"/>
        <v>0</v>
      </c>
    </row>
    <row r="1261" spans="4:49" ht="15.75" x14ac:dyDescent="0.25">
      <c r="D1261" s="199"/>
      <c r="E1261" s="200"/>
      <c r="F1261" s="287"/>
      <c r="G1261" s="201"/>
      <c r="H1261" s="219"/>
      <c r="I1261" s="202"/>
      <c r="J1261" s="200"/>
      <c r="K1261" s="200"/>
      <c r="L1261" s="203"/>
      <c r="M1261" s="204">
        <f ca="1">IF(ISERROR(OFFSET(Tabella!$A$1,MATCH(J1261,Tabella!$A:$A,0)-1,MATCH(L1261,Tabella!$A$1:$AC$1,0)-1)=TRUE),0,+OFFSET(Tabella!$A$1,MATCH(J1261,Tabella!$A:$A,0)-1,MATCH(L1261,Tabella!$A$1:$AC$1,0)-1))</f>
        <v>0</v>
      </c>
      <c r="N1261" s="205">
        <f ca="1">IF(ISERROR(OFFSET(Ottone!$A$1,MATCH(J1261,Ottone!$A:$A,0)-1,MATCH(L1261,Ottone!$A$1:$Z$1,0)-1)=TRUE),0,OFFSET(Ottone!$A$1,MATCH(J1261,Ottone!$A:$A,0)-1,MATCH(L1261,Ottone!$A$1:$Z$1,0)-1))*IF(G1261="Ottone",1,0)</f>
        <v>0</v>
      </c>
      <c r="O1261" s="205">
        <f ca="1">IF(ISERROR(OFFSET(Rame!$A$1,MATCH(J1261,Rame!$A:$A,0)-1,MATCH(L1261,Rame!$A$1:$AA$1,0)-1)=TRUE),0,OFFSET(Rame!$A$1,MATCH(J1261,Rame!$A:$A,0)-1,MATCH(L1261,Rame!$A$1:$AA$1,0)-1))*IF(G1261="Rame",1,0)</f>
        <v>0</v>
      </c>
      <c r="P1261" s="205">
        <v>0</v>
      </c>
      <c r="Q1261" s="205">
        <f t="shared" ca="1" si="347"/>
        <v>0</v>
      </c>
      <c r="R1261" s="205">
        <f ca="1">+IF(ISERROR(OFFSET(Tabella!$G$1,MATCH(J1261,Tabella!$G:$G,0)-1,MATCH(K1261,Tabella!$G$1:$FG$1,0)-1)=TRUE),0,OFFSET(Tabella!$G$1,MATCH(J1261,Tabella!$G:$G,0)-1,MATCH(K1261,Tabella!$G$1:$AB$1,0)-1))</f>
        <v>0</v>
      </c>
      <c r="S1261" s="205">
        <f ca="1">IF(ISERROR(OFFSET(Ottone!$F$1,MATCH(J1261,Ottone!$A:$A,0)-1,MATCH(K1261,Ottone!$F$1:$FF$1,0)-1)=TRUE),0,OFFSET(Ottone!$F$1,MATCH(J1261,Ottone!$A:$A,0)-1,MATCH(K1261,Ottone!$F$1:$FF$1,0)-1))*IF(G1261="Ottone",1,0)</f>
        <v>0</v>
      </c>
      <c r="T1261" s="205">
        <f ca="1">IF(ISERROR(OFFSET(Rame!$F$1,MATCH(J1261,Rame!$F:$F,0)-1,MATCH(K1261,Rame!$F$1:$FF$1,0)-1)=TRUE),0,OFFSET(Rame!$F$1,MATCH(J1261,Rame!$F:$F,0)-1,MATCH(K1261,Rame!$F$1:$FF$1,0)-1))*IF(G1261="Rame",1,0)</f>
        <v>0</v>
      </c>
      <c r="U1261" s="205">
        <f ca="1">IF(ISERROR(OFFSET(Bronzo!$A$1,MATCH(J1261,Bronzo!$A:$A,0)-1,MATCH(K1261,Bronzo!$A$1:$AA$1,0)-1)=TRUE),0,OFFSET(Bronzo!$A$1,MATCH(J1261,Bronzo!$A:$A,0)-1,MATCH(K1261,Bronzo!$A$1:$AA$1,0)-1))</f>
        <v>0</v>
      </c>
      <c r="V1261" s="205">
        <f t="shared" ca="1" si="348"/>
        <v>0</v>
      </c>
      <c r="W1261" s="204"/>
      <c r="X1261" s="205">
        <v>0</v>
      </c>
      <c r="Y1261" s="206">
        <f t="shared" ca="1" si="349"/>
        <v>0</v>
      </c>
      <c r="Z1261" s="277">
        <f t="shared" si="350"/>
        <v>0</v>
      </c>
      <c r="AA1261" s="203"/>
      <c r="AB1261" s="203">
        <f t="shared" ca="1" si="351"/>
        <v>0</v>
      </c>
      <c r="AC1261" s="238"/>
      <c r="AI1261" s="367">
        <f t="shared" ca="1" si="346"/>
        <v>46092</v>
      </c>
      <c r="AJ1261" s="367" t="b">
        <f t="shared" si="352"/>
        <v>1</v>
      </c>
      <c r="AK1261" s="370" t="str">
        <f t="shared" si="353"/>
        <v/>
      </c>
      <c r="AN1261">
        <f t="shared" si="354"/>
        <v>0</v>
      </c>
      <c r="AO1261">
        <f t="shared" si="355"/>
        <v>1900</v>
      </c>
      <c r="AV1261">
        <f t="shared" si="356"/>
        <v>0</v>
      </c>
      <c r="AW1261">
        <f t="shared" si="357"/>
        <v>0</v>
      </c>
    </row>
    <row r="1262" spans="4:49" ht="15.75" x14ac:dyDescent="0.25">
      <c r="D1262" s="199"/>
      <c r="E1262" s="200"/>
      <c r="F1262" s="287"/>
      <c r="G1262" s="201"/>
      <c r="H1262" s="219"/>
      <c r="I1262" s="202"/>
      <c r="J1262" s="200"/>
      <c r="K1262" s="200"/>
      <c r="L1262" s="203"/>
      <c r="M1262" s="204">
        <f ca="1">IF(ISERROR(OFFSET(Tabella!$A$1,MATCH(J1262,Tabella!$A:$A,0)-1,MATCH(L1262,Tabella!$A$1:$AC$1,0)-1)=TRUE),0,+OFFSET(Tabella!$A$1,MATCH(J1262,Tabella!$A:$A,0)-1,MATCH(L1262,Tabella!$A$1:$AC$1,0)-1))</f>
        <v>0</v>
      </c>
      <c r="N1262" s="205">
        <f ca="1">IF(ISERROR(OFFSET(Ottone!$A$1,MATCH(J1262,Ottone!$A:$A,0)-1,MATCH(L1262,Ottone!$A$1:$Z$1,0)-1)=TRUE),0,OFFSET(Ottone!$A$1,MATCH(J1262,Ottone!$A:$A,0)-1,MATCH(L1262,Ottone!$A$1:$Z$1,0)-1))*IF(G1262="Ottone",1,0)</f>
        <v>0</v>
      </c>
      <c r="O1262" s="205">
        <f ca="1">IF(ISERROR(OFFSET(Rame!$A$1,MATCH(J1262,Rame!$A:$A,0)-1,MATCH(L1262,Rame!$A$1:$AA$1,0)-1)=TRUE),0,OFFSET(Rame!$A$1,MATCH(J1262,Rame!$A:$A,0)-1,MATCH(L1262,Rame!$A$1:$AA$1,0)-1))*IF(G1262="Rame",1,0)</f>
        <v>0</v>
      </c>
      <c r="P1262" s="205">
        <v>0</v>
      </c>
      <c r="Q1262" s="205">
        <f t="shared" ca="1" si="347"/>
        <v>0</v>
      </c>
      <c r="R1262" s="205">
        <f ca="1">+IF(ISERROR(OFFSET(Tabella!$G$1,MATCH(J1262,Tabella!$G:$G,0)-1,MATCH(K1262,Tabella!$G$1:$FG$1,0)-1)=TRUE),0,OFFSET(Tabella!$G$1,MATCH(J1262,Tabella!$G:$G,0)-1,MATCH(K1262,Tabella!$G$1:$AB$1,0)-1))</f>
        <v>0</v>
      </c>
      <c r="S1262" s="205">
        <f ca="1">IF(ISERROR(OFFSET(Ottone!$F$1,MATCH(J1262,Ottone!$A:$A,0)-1,MATCH(K1262,Ottone!$F$1:$FF$1,0)-1)=TRUE),0,OFFSET(Ottone!$F$1,MATCH(J1262,Ottone!$A:$A,0)-1,MATCH(K1262,Ottone!$F$1:$FF$1,0)-1))*IF(G1262="Ottone",1,0)</f>
        <v>0</v>
      </c>
      <c r="T1262" s="205">
        <f ca="1">IF(ISERROR(OFFSET(Rame!$F$1,MATCH(J1262,Rame!$F:$F,0)-1,MATCH(K1262,Rame!$F$1:$FF$1,0)-1)=TRUE),0,OFFSET(Rame!$F$1,MATCH(J1262,Rame!$F:$F,0)-1,MATCH(K1262,Rame!$F$1:$FF$1,0)-1))*IF(G1262="Rame",1,0)</f>
        <v>0</v>
      </c>
      <c r="U1262" s="205">
        <f ca="1">IF(ISERROR(OFFSET(Bronzo!$A$1,MATCH(J1262,Bronzo!$A:$A,0)-1,MATCH(K1262,Bronzo!$A$1:$AA$1,0)-1)=TRUE),0,OFFSET(Bronzo!$A$1,MATCH(J1262,Bronzo!$A:$A,0)-1,MATCH(K1262,Bronzo!$A$1:$AA$1,0)-1))</f>
        <v>0</v>
      </c>
      <c r="V1262" s="205">
        <f t="shared" ca="1" si="348"/>
        <v>0</v>
      </c>
      <c r="W1262" s="204"/>
      <c r="X1262" s="205">
        <v>0</v>
      </c>
      <c r="Y1262" s="206">
        <f t="shared" ca="1" si="349"/>
        <v>0</v>
      </c>
      <c r="Z1262" s="277">
        <f t="shared" si="350"/>
        <v>0</v>
      </c>
      <c r="AA1262" s="203"/>
      <c r="AB1262" s="203">
        <f t="shared" ca="1" si="351"/>
        <v>0</v>
      </c>
      <c r="AC1262" s="238"/>
      <c r="AI1262" s="367">
        <f t="shared" ca="1" si="346"/>
        <v>46092</v>
      </c>
      <c r="AJ1262" s="367" t="b">
        <f t="shared" si="352"/>
        <v>1</v>
      </c>
      <c r="AK1262" s="370" t="str">
        <f t="shared" si="353"/>
        <v/>
      </c>
      <c r="AN1262">
        <f t="shared" si="354"/>
        <v>0</v>
      </c>
      <c r="AO1262">
        <f t="shared" si="355"/>
        <v>1900</v>
      </c>
      <c r="AV1262">
        <f t="shared" si="356"/>
        <v>0</v>
      </c>
      <c r="AW1262">
        <f t="shared" si="357"/>
        <v>0</v>
      </c>
    </row>
    <row r="1263" spans="4:49" ht="15.75" x14ac:dyDescent="0.25">
      <c r="D1263" s="199"/>
      <c r="E1263" s="200"/>
      <c r="F1263" s="287"/>
      <c r="G1263" s="201"/>
      <c r="H1263" s="219"/>
      <c r="I1263" s="202"/>
      <c r="J1263" s="200"/>
      <c r="K1263" s="200"/>
      <c r="L1263" s="203"/>
      <c r="M1263" s="204">
        <f ca="1">IF(ISERROR(OFFSET(Tabella!$A$1,MATCH(J1263,Tabella!$A:$A,0)-1,MATCH(L1263,Tabella!$A$1:$AC$1,0)-1)=TRUE),0,+OFFSET(Tabella!$A$1,MATCH(J1263,Tabella!$A:$A,0)-1,MATCH(L1263,Tabella!$A$1:$AC$1,0)-1))</f>
        <v>0</v>
      </c>
      <c r="N1263" s="205">
        <f ca="1">IF(ISERROR(OFFSET(Ottone!$A$1,MATCH(J1263,Ottone!$A:$A,0)-1,MATCH(L1263,Ottone!$A$1:$Z$1,0)-1)=TRUE),0,OFFSET(Ottone!$A$1,MATCH(J1263,Ottone!$A:$A,0)-1,MATCH(L1263,Ottone!$A$1:$Z$1,0)-1))*IF(G1263="Ottone",1,0)</f>
        <v>0</v>
      </c>
      <c r="O1263" s="205">
        <f ca="1">IF(ISERROR(OFFSET(Rame!$A$1,MATCH(J1263,Rame!$A:$A,0)-1,MATCH(L1263,Rame!$A$1:$AA$1,0)-1)=TRUE),0,OFFSET(Rame!$A$1,MATCH(J1263,Rame!$A:$A,0)-1,MATCH(L1263,Rame!$A$1:$AA$1,0)-1))*IF(G1263="Rame",1,0)</f>
        <v>0</v>
      </c>
      <c r="P1263" s="205">
        <v>0</v>
      </c>
      <c r="Q1263" s="205">
        <f t="shared" ca="1" si="347"/>
        <v>0</v>
      </c>
      <c r="R1263" s="205">
        <f ca="1">+IF(ISERROR(OFFSET(Tabella!$G$1,MATCH(J1263,Tabella!$G:$G,0)-1,MATCH(K1263,Tabella!$G$1:$FG$1,0)-1)=TRUE),0,OFFSET(Tabella!$G$1,MATCH(J1263,Tabella!$G:$G,0)-1,MATCH(K1263,Tabella!$G$1:$AB$1,0)-1))</f>
        <v>0</v>
      </c>
      <c r="S1263" s="205">
        <f ca="1">IF(ISERROR(OFFSET(Ottone!$F$1,MATCH(J1263,Ottone!$A:$A,0)-1,MATCH(K1263,Ottone!$F$1:$FF$1,0)-1)=TRUE),0,OFFSET(Ottone!$F$1,MATCH(J1263,Ottone!$A:$A,0)-1,MATCH(K1263,Ottone!$F$1:$FF$1,0)-1))*IF(G1263="Ottone",1,0)</f>
        <v>0</v>
      </c>
      <c r="T1263" s="205">
        <f ca="1">IF(ISERROR(OFFSET(Rame!$F$1,MATCH(J1263,Rame!$F:$F,0)-1,MATCH(K1263,Rame!$F$1:$FF$1,0)-1)=TRUE),0,OFFSET(Rame!$F$1,MATCH(J1263,Rame!$F:$F,0)-1,MATCH(K1263,Rame!$F$1:$FF$1,0)-1))*IF(G1263="Rame",1,0)</f>
        <v>0</v>
      </c>
      <c r="U1263" s="205">
        <f ca="1">IF(ISERROR(OFFSET(Bronzo!$A$1,MATCH(J1263,Bronzo!$A:$A,0)-1,MATCH(K1263,Bronzo!$A$1:$AA$1,0)-1)=TRUE),0,OFFSET(Bronzo!$A$1,MATCH(J1263,Bronzo!$A:$A,0)-1,MATCH(K1263,Bronzo!$A$1:$AA$1,0)-1))</f>
        <v>0</v>
      </c>
      <c r="V1263" s="205">
        <f t="shared" ca="1" si="348"/>
        <v>0</v>
      </c>
      <c r="W1263" s="204"/>
      <c r="X1263" s="205">
        <v>0</v>
      </c>
      <c r="Y1263" s="206">
        <f t="shared" ca="1" si="349"/>
        <v>0</v>
      </c>
      <c r="Z1263" s="277">
        <f t="shared" si="350"/>
        <v>0</v>
      </c>
      <c r="AA1263" s="203"/>
      <c r="AB1263" s="203">
        <f t="shared" ca="1" si="351"/>
        <v>0</v>
      </c>
      <c r="AC1263" s="238"/>
      <c r="AI1263" s="367">
        <f t="shared" ca="1" si="346"/>
        <v>46092</v>
      </c>
      <c r="AJ1263" s="367" t="b">
        <f t="shared" si="352"/>
        <v>1</v>
      </c>
      <c r="AK1263" s="370" t="str">
        <f t="shared" si="353"/>
        <v/>
      </c>
      <c r="AN1263">
        <f t="shared" si="354"/>
        <v>0</v>
      </c>
      <c r="AO1263">
        <f t="shared" si="355"/>
        <v>1900</v>
      </c>
      <c r="AV1263">
        <f t="shared" si="356"/>
        <v>0</v>
      </c>
      <c r="AW1263">
        <f t="shared" si="357"/>
        <v>0</v>
      </c>
    </row>
    <row r="1264" spans="4:49" ht="15.75" x14ac:dyDescent="0.25">
      <c r="D1264" s="199"/>
      <c r="E1264" s="200"/>
      <c r="F1264" s="287"/>
      <c r="G1264" s="201"/>
      <c r="H1264" s="219"/>
      <c r="I1264" s="202"/>
      <c r="J1264" s="200"/>
      <c r="K1264" s="200"/>
      <c r="L1264" s="203"/>
      <c r="M1264" s="204">
        <f ca="1">IF(ISERROR(OFFSET(Tabella!$A$1,MATCH(J1264,Tabella!$A:$A,0)-1,MATCH(L1264,Tabella!$A$1:$AC$1,0)-1)=TRUE),0,+OFFSET(Tabella!$A$1,MATCH(J1264,Tabella!$A:$A,0)-1,MATCH(L1264,Tabella!$A$1:$AC$1,0)-1))</f>
        <v>0</v>
      </c>
      <c r="N1264" s="205">
        <f ca="1">IF(ISERROR(OFFSET(Ottone!$A$1,MATCH(J1264,Ottone!$A:$A,0)-1,MATCH(L1264,Ottone!$A$1:$Z$1,0)-1)=TRUE),0,OFFSET(Ottone!$A$1,MATCH(J1264,Ottone!$A:$A,0)-1,MATCH(L1264,Ottone!$A$1:$Z$1,0)-1))*IF(G1264="Ottone",1,0)</f>
        <v>0</v>
      </c>
      <c r="O1264" s="205">
        <f ca="1">IF(ISERROR(OFFSET(Rame!$A$1,MATCH(J1264,Rame!$A:$A,0)-1,MATCH(L1264,Rame!$A$1:$AA$1,0)-1)=TRUE),0,OFFSET(Rame!$A$1,MATCH(J1264,Rame!$A:$A,0)-1,MATCH(L1264,Rame!$A$1:$AA$1,0)-1))*IF(G1264="Rame",1,0)</f>
        <v>0</v>
      </c>
      <c r="P1264" s="205">
        <v>0</v>
      </c>
      <c r="Q1264" s="205">
        <f t="shared" ca="1" si="347"/>
        <v>0</v>
      </c>
      <c r="R1264" s="205">
        <f ca="1">+IF(ISERROR(OFFSET(Tabella!$G$1,MATCH(J1264,Tabella!$G:$G,0)-1,MATCH(K1264,Tabella!$G$1:$FG$1,0)-1)=TRUE),0,OFFSET(Tabella!$G$1,MATCH(J1264,Tabella!$G:$G,0)-1,MATCH(K1264,Tabella!$G$1:$AB$1,0)-1))</f>
        <v>0</v>
      </c>
      <c r="S1264" s="205">
        <f ca="1">IF(ISERROR(OFFSET(Ottone!$F$1,MATCH(J1264,Ottone!$A:$A,0)-1,MATCH(K1264,Ottone!$F$1:$FF$1,0)-1)=TRUE),0,OFFSET(Ottone!$F$1,MATCH(J1264,Ottone!$A:$A,0)-1,MATCH(K1264,Ottone!$F$1:$FF$1,0)-1))*IF(G1264="Ottone",1,0)</f>
        <v>0</v>
      </c>
      <c r="T1264" s="205">
        <f ca="1">IF(ISERROR(OFFSET(Rame!$F$1,MATCH(J1264,Rame!$F:$F,0)-1,MATCH(K1264,Rame!$F$1:$FF$1,0)-1)=TRUE),0,OFFSET(Rame!$F$1,MATCH(J1264,Rame!$F:$F,0)-1,MATCH(K1264,Rame!$F$1:$FF$1,0)-1))*IF(G1264="Rame",1,0)</f>
        <v>0</v>
      </c>
      <c r="U1264" s="205">
        <f ca="1">IF(ISERROR(OFFSET(Bronzo!$A$1,MATCH(J1264,Bronzo!$A:$A,0)-1,MATCH(K1264,Bronzo!$A$1:$AA$1,0)-1)=TRUE),0,OFFSET(Bronzo!$A$1,MATCH(J1264,Bronzo!$A:$A,0)-1,MATCH(K1264,Bronzo!$A$1:$AA$1,0)-1))</f>
        <v>0</v>
      </c>
      <c r="V1264" s="205">
        <f t="shared" ca="1" si="348"/>
        <v>0</v>
      </c>
      <c r="W1264" s="204"/>
      <c r="X1264" s="205">
        <v>0</v>
      </c>
      <c r="Y1264" s="206">
        <f t="shared" ca="1" si="349"/>
        <v>0</v>
      </c>
      <c r="Z1264" s="277">
        <f t="shared" si="350"/>
        <v>0</v>
      </c>
      <c r="AA1264" s="203"/>
      <c r="AB1264" s="203">
        <f t="shared" ca="1" si="351"/>
        <v>0</v>
      </c>
      <c r="AC1264" s="238"/>
      <c r="AI1264" s="367">
        <f t="shared" ca="1" si="346"/>
        <v>46092</v>
      </c>
      <c r="AJ1264" s="367" t="b">
        <f t="shared" si="352"/>
        <v>1</v>
      </c>
      <c r="AK1264" s="370" t="str">
        <f t="shared" si="353"/>
        <v/>
      </c>
      <c r="AN1264">
        <f t="shared" si="354"/>
        <v>0</v>
      </c>
      <c r="AO1264">
        <f t="shared" si="355"/>
        <v>1900</v>
      </c>
      <c r="AV1264">
        <f t="shared" si="356"/>
        <v>0</v>
      </c>
      <c r="AW1264">
        <f t="shared" si="357"/>
        <v>0</v>
      </c>
    </row>
    <row r="1265" spans="4:49" ht="15.75" x14ac:dyDescent="0.25">
      <c r="D1265" s="199"/>
      <c r="E1265" s="200"/>
      <c r="F1265" s="287"/>
      <c r="G1265" s="201"/>
      <c r="H1265" s="219"/>
      <c r="I1265" s="202"/>
      <c r="J1265" s="200"/>
      <c r="K1265" s="200"/>
      <c r="L1265" s="203"/>
      <c r="M1265" s="204">
        <f ca="1">IF(ISERROR(OFFSET(Tabella!$A$1,MATCH(J1265,Tabella!$A:$A,0)-1,MATCH(L1265,Tabella!$A$1:$AC$1,0)-1)=TRUE),0,+OFFSET(Tabella!$A$1,MATCH(J1265,Tabella!$A:$A,0)-1,MATCH(L1265,Tabella!$A$1:$AC$1,0)-1))</f>
        <v>0</v>
      </c>
      <c r="N1265" s="205">
        <f ca="1">IF(ISERROR(OFFSET(Ottone!$A$1,MATCH(J1265,Ottone!$A:$A,0)-1,MATCH(L1265,Ottone!$A$1:$Z$1,0)-1)=TRUE),0,OFFSET(Ottone!$A$1,MATCH(J1265,Ottone!$A:$A,0)-1,MATCH(L1265,Ottone!$A$1:$Z$1,0)-1))*IF(G1265="Ottone",1,0)</f>
        <v>0</v>
      </c>
      <c r="O1265" s="205">
        <f ca="1">IF(ISERROR(OFFSET(Rame!$A$1,MATCH(J1265,Rame!$A:$A,0)-1,MATCH(L1265,Rame!$A$1:$AA$1,0)-1)=TRUE),0,OFFSET(Rame!$A$1,MATCH(J1265,Rame!$A:$A,0)-1,MATCH(L1265,Rame!$A$1:$AA$1,0)-1))*IF(G1265="Rame",1,0)</f>
        <v>0</v>
      </c>
      <c r="P1265" s="205">
        <v>0</v>
      </c>
      <c r="Q1265" s="205">
        <f t="shared" ca="1" si="347"/>
        <v>0</v>
      </c>
      <c r="R1265" s="205">
        <f ca="1">+IF(ISERROR(OFFSET(Tabella!$G$1,MATCH(J1265,Tabella!$G:$G,0)-1,MATCH(K1265,Tabella!$G$1:$FG$1,0)-1)=TRUE),0,OFFSET(Tabella!$G$1,MATCH(J1265,Tabella!$G:$G,0)-1,MATCH(K1265,Tabella!$G$1:$AB$1,0)-1))</f>
        <v>0</v>
      </c>
      <c r="S1265" s="205">
        <f ca="1">IF(ISERROR(OFFSET(Ottone!$F$1,MATCH(J1265,Ottone!$A:$A,0)-1,MATCH(K1265,Ottone!$F$1:$FF$1,0)-1)=TRUE),0,OFFSET(Ottone!$F$1,MATCH(J1265,Ottone!$A:$A,0)-1,MATCH(K1265,Ottone!$F$1:$FF$1,0)-1))*IF(G1265="Ottone",1,0)</f>
        <v>0</v>
      </c>
      <c r="T1265" s="205">
        <f ca="1">IF(ISERROR(OFFSET(Rame!$F$1,MATCH(J1265,Rame!$F:$F,0)-1,MATCH(K1265,Rame!$F$1:$FF$1,0)-1)=TRUE),0,OFFSET(Rame!$F$1,MATCH(J1265,Rame!$F:$F,0)-1,MATCH(K1265,Rame!$F$1:$FF$1,0)-1))*IF(G1265="Rame",1,0)</f>
        <v>0</v>
      </c>
      <c r="U1265" s="205">
        <f ca="1">IF(ISERROR(OFFSET(Bronzo!$A$1,MATCH(J1265,Bronzo!$A:$A,0)-1,MATCH(K1265,Bronzo!$A$1:$AA$1,0)-1)=TRUE),0,OFFSET(Bronzo!$A$1,MATCH(J1265,Bronzo!$A:$A,0)-1,MATCH(K1265,Bronzo!$A$1:$AA$1,0)-1))</f>
        <v>0</v>
      </c>
      <c r="V1265" s="205">
        <f t="shared" ca="1" si="348"/>
        <v>0</v>
      </c>
      <c r="W1265" s="204"/>
      <c r="X1265" s="205">
        <v>0</v>
      </c>
      <c r="Y1265" s="206">
        <f t="shared" ca="1" si="349"/>
        <v>0</v>
      </c>
      <c r="Z1265" s="277">
        <f t="shared" si="350"/>
        <v>0</v>
      </c>
      <c r="AA1265" s="203"/>
      <c r="AB1265" s="203">
        <f t="shared" ca="1" si="351"/>
        <v>0</v>
      </c>
      <c r="AC1265" s="238"/>
      <c r="AI1265" s="367">
        <f t="shared" ca="1" si="346"/>
        <v>46092</v>
      </c>
      <c r="AJ1265" s="367" t="b">
        <f t="shared" si="352"/>
        <v>1</v>
      </c>
      <c r="AK1265" s="370" t="str">
        <f t="shared" si="353"/>
        <v/>
      </c>
      <c r="AN1265">
        <f t="shared" si="354"/>
        <v>0</v>
      </c>
      <c r="AO1265">
        <f t="shared" si="355"/>
        <v>1900</v>
      </c>
      <c r="AV1265">
        <f t="shared" si="356"/>
        <v>0</v>
      </c>
      <c r="AW1265">
        <f t="shared" si="357"/>
        <v>0</v>
      </c>
    </row>
    <row r="1266" spans="4:49" ht="15.75" x14ac:dyDescent="0.25">
      <c r="D1266" s="199"/>
      <c r="E1266" s="200"/>
      <c r="F1266" s="287"/>
      <c r="G1266" s="201"/>
      <c r="H1266" s="219"/>
      <c r="I1266" s="202"/>
      <c r="J1266" s="200"/>
      <c r="K1266" s="200"/>
      <c r="L1266" s="203"/>
      <c r="M1266" s="204">
        <f ca="1">IF(ISERROR(OFFSET(Tabella!$A$1,MATCH(J1266,Tabella!$A:$A,0)-1,MATCH(L1266,Tabella!$A$1:$AC$1,0)-1)=TRUE),0,+OFFSET(Tabella!$A$1,MATCH(J1266,Tabella!$A:$A,0)-1,MATCH(L1266,Tabella!$A$1:$AC$1,0)-1))</f>
        <v>0</v>
      </c>
      <c r="N1266" s="205">
        <f ca="1">IF(ISERROR(OFFSET(Ottone!$A$1,MATCH(J1266,Ottone!$A:$A,0)-1,MATCH(L1266,Ottone!$A$1:$Z$1,0)-1)=TRUE),0,OFFSET(Ottone!$A$1,MATCH(J1266,Ottone!$A:$A,0)-1,MATCH(L1266,Ottone!$A$1:$Z$1,0)-1))*IF(G1266="Ottone",1,0)</f>
        <v>0</v>
      </c>
      <c r="O1266" s="205">
        <f ca="1">IF(ISERROR(OFFSET(Rame!$A$1,MATCH(J1266,Rame!$A:$A,0)-1,MATCH(L1266,Rame!$A$1:$AA$1,0)-1)=TRUE),0,OFFSET(Rame!$A$1,MATCH(J1266,Rame!$A:$A,0)-1,MATCH(L1266,Rame!$A$1:$AA$1,0)-1))*IF(G1266="Rame",1,0)</f>
        <v>0</v>
      </c>
      <c r="P1266" s="205">
        <v>0</v>
      </c>
      <c r="Q1266" s="205">
        <f t="shared" ca="1" si="347"/>
        <v>0</v>
      </c>
      <c r="R1266" s="205">
        <f ca="1">+IF(ISERROR(OFFSET(Tabella!$G$1,MATCH(J1266,Tabella!$G:$G,0)-1,MATCH(K1266,Tabella!$G$1:$FG$1,0)-1)=TRUE),0,OFFSET(Tabella!$G$1,MATCH(J1266,Tabella!$G:$G,0)-1,MATCH(K1266,Tabella!$G$1:$AB$1,0)-1))</f>
        <v>0</v>
      </c>
      <c r="S1266" s="205">
        <f ca="1">IF(ISERROR(OFFSET(Ottone!$F$1,MATCH(J1266,Ottone!$A:$A,0)-1,MATCH(K1266,Ottone!$F$1:$FF$1,0)-1)=TRUE),0,OFFSET(Ottone!$F$1,MATCH(J1266,Ottone!$A:$A,0)-1,MATCH(K1266,Ottone!$F$1:$FF$1,0)-1))*IF(G1266="Ottone",1,0)</f>
        <v>0</v>
      </c>
      <c r="T1266" s="205">
        <f ca="1">IF(ISERROR(OFFSET(Rame!$F$1,MATCH(J1266,Rame!$F:$F,0)-1,MATCH(K1266,Rame!$F$1:$FF$1,0)-1)=TRUE),0,OFFSET(Rame!$F$1,MATCH(J1266,Rame!$F:$F,0)-1,MATCH(K1266,Rame!$F$1:$FF$1,0)-1))*IF(G1266="Rame",1,0)</f>
        <v>0</v>
      </c>
      <c r="U1266" s="205">
        <f ca="1">IF(ISERROR(OFFSET(Bronzo!$A$1,MATCH(J1266,Bronzo!$A:$A,0)-1,MATCH(K1266,Bronzo!$A$1:$AA$1,0)-1)=TRUE),0,OFFSET(Bronzo!$A$1,MATCH(J1266,Bronzo!$A:$A,0)-1,MATCH(K1266,Bronzo!$A$1:$AA$1,0)-1))</f>
        <v>0</v>
      </c>
      <c r="V1266" s="205">
        <f t="shared" ca="1" si="348"/>
        <v>0</v>
      </c>
      <c r="W1266" s="204"/>
      <c r="X1266" s="205">
        <v>0</v>
      </c>
      <c r="Y1266" s="206">
        <f t="shared" ca="1" si="349"/>
        <v>0</v>
      </c>
      <c r="Z1266" s="277">
        <f t="shared" si="350"/>
        <v>0</v>
      </c>
      <c r="AA1266" s="203"/>
      <c r="AB1266" s="203">
        <f t="shared" ca="1" si="351"/>
        <v>0</v>
      </c>
      <c r="AC1266" s="238"/>
      <c r="AI1266" s="367">
        <f t="shared" ca="1" si="346"/>
        <v>46092</v>
      </c>
      <c r="AJ1266" s="367" t="b">
        <f t="shared" si="352"/>
        <v>1</v>
      </c>
      <c r="AK1266" s="370" t="str">
        <f t="shared" si="353"/>
        <v/>
      </c>
      <c r="AN1266">
        <f t="shared" si="354"/>
        <v>0</v>
      </c>
      <c r="AO1266">
        <f t="shared" si="355"/>
        <v>1900</v>
      </c>
      <c r="AV1266">
        <f t="shared" si="356"/>
        <v>0</v>
      </c>
      <c r="AW1266">
        <f t="shared" si="357"/>
        <v>0</v>
      </c>
    </row>
    <row r="1267" spans="4:49" ht="15.75" x14ac:dyDescent="0.25">
      <c r="D1267" s="199"/>
      <c r="E1267" s="200"/>
      <c r="F1267" s="287"/>
      <c r="G1267" s="201"/>
      <c r="H1267" s="219"/>
      <c r="I1267" s="202"/>
      <c r="J1267" s="200"/>
      <c r="K1267" s="200"/>
      <c r="L1267" s="203"/>
      <c r="M1267" s="204">
        <f ca="1">IF(ISERROR(OFFSET(Tabella!$A$1,MATCH(J1267,Tabella!$A:$A,0)-1,MATCH(L1267,Tabella!$A$1:$AC$1,0)-1)=TRUE),0,+OFFSET(Tabella!$A$1,MATCH(J1267,Tabella!$A:$A,0)-1,MATCH(L1267,Tabella!$A$1:$AC$1,0)-1))</f>
        <v>0</v>
      </c>
      <c r="N1267" s="205">
        <f ca="1">IF(ISERROR(OFFSET(Ottone!$A$1,MATCH(J1267,Ottone!$A:$A,0)-1,MATCH(L1267,Ottone!$A$1:$Z$1,0)-1)=TRUE),0,OFFSET(Ottone!$A$1,MATCH(J1267,Ottone!$A:$A,0)-1,MATCH(L1267,Ottone!$A$1:$Z$1,0)-1))*IF(G1267="Ottone",1,0)</f>
        <v>0</v>
      </c>
      <c r="O1267" s="205">
        <f ca="1">IF(ISERROR(OFFSET(Rame!$A$1,MATCH(J1267,Rame!$A:$A,0)-1,MATCH(L1267,Rame!$A$1:$AA$1,0)-1)=TRUE),0,OFFSET(Rame!$A$1,MATCH(J1267,Rame!$A:$A,0)-1,MATCH(L1267,Rame!$A$1:$AA$1,0)-1))*IF(G1267="Rame",1,0)</f>
        <v>0</v>
      </c>
      <c r="P1267" s="205">
        <v>0</v>
      </c>
      <c r="Q1267" s="205">
        <f t="shared" ca="1" si="347"/>
        <v>0</v>
      </c>
      <c r="R1267" s="205">
        <f ca="1">+IF(ISERROR(OFFSET(Tabella!$G$1,MATCH(J1267,Tabella!$G:$G,0)-1,MATCH(K1267,Tabella!$G$1:$FG$1,0)-1)=TRUE),0,OFFSET(Tabella!$G$1,MATCH(J1267,Tabella!$G:$G,0)-1,MATCH(K1267,Tabella!$G$1:$AB$1,0)-1))</f>
        <v>0</v>
      </c>
      <c r="S1267" s="205">
        <f ca="1">IF(ISERROR(OFFSET(Ottone!$F$1,MATCH(J1267,Ottone!$A:$A,0)-1,MATCH(K1267,Ottone!$F$1:$FF$1,0)-1)=TRUE),0,OFFSET(Ottone!$F$1,MATCH(J1267,Ottone!$A:$A,0)-1,MATCH(K1267,Ottone!$F$1:$FF$1,0)-1))*IF(G1267="Ottone",1,0)</f>
        <v>0</v>
      </c>
      <c r="T1267" s="205">
        <f ca="1">IF(ISERROR(OFFSET(Rame!$F$1,MATCH(J1267,Rame!$F:$F,0)-1,MATCH(K1267,Rame!$F$1:$FF$1,0)-1)=TRUE),0,OFFSET(Rame!$F$1,MATCH(J1267,Rame!$F:$F,0)-1,MATCH(K1267,Rame!$F$1:$FF$1,0)-1))*IF(G1267="Rame",1,0)</f>
        <v>0</v>
      </c>
      <c r="U1267" s="205">
        <f ca="1">IF(ISERROR(OFFSET(Bronzo!$A$1,MATCH(J1267,Bronzo!$A:$A,0)-1,MATCH(K1267,Bronzo!$A$1:$AA$1,0)-1)=TRUE),0,OFFSET(Bronzo!$A$1,MATCH(J1267,Bronzo!$A:$A,0)-1,MATCH(K1267,Bronzo!$A$1:$AA$1,0)-1))</f>
        <v>0</v>
      </c>
      <c r="V1267" s="205">
        <f t="shared" ca="1" si="348"/>
        <v>0</v>
      </c>
      <c r="W1267" s="204"/>
      <c r="X1267" s="205">
        <v>0</v>
      </c>
      <c r="Y1267" s="206">
        <f t="shared" ca="1" si="349"/>
        <v>0</v>
      </c>
      <c r="Z1267" s="277">
        <f t="shared" si="350"/>
        <v>0</v>
      </c>
      <c r="AA1267" s="203"/>
      <c r="AB1267" s="203">
        <f t="shared" ca="1" si="351"/>
        <v>0</v>
      </c>
      <c r="AC1267" s="238"/>
      <c r="AI1267" s="367">
        <f t="shared" ca="1" si="346"/>
        <v>46092</v>
      </c>
      <c r="AJ1267" s="367" t="b">
        <f t="shared" si="352"/>
        <v>1</v>
      </c>
      <c r="AK1267" s="370" t="str">
        <f t="shared" si="353"/>
        <v/>
      </c>
      <c r="AN1267">
        <f t="shared" si="354"/>
        <v>0</v>
      </c>
      <c r="AO1267">
        <f t="shared" si="355"/>
        <v>1900</v>
      </c>
      <c r="AV1267">
        <f t="shared" si="356"/>
        <v>0</v>
      </c>
      <c r="AW1267">
        <f t="shared" si="357"/>
        <v>0</v>
      </c>
    </row>
    <row r="1268" spans="4:49" ht="15.75" x14ac:dyDescent="0.25">
      <c r="D1268" s="199"/>
      <c r="E1268" s="200"/>
      <c r="F1268" s="287"/>
      <c r="G1268" s="201"/>
      <c r="H1268" s="219"/>
      <c r="I1268" s="202"/>
      <c r="J1268" s="200"/>
      <c r="K1268" s="200"/>
      <c r="L1268" s="203"/>
      <c r="M1268" s="204">
        <f ca="1">IF(ISERROR(OFFSET(Tabella!$A$1,MATCH(J1268,Tabella!$A:$A,0)-1,MATCH(L1268,Tabella!$A$1:$AC$1,0)-1)=TRUE),0,+OFFSET(Tabella!$A$1,MATCH(J1268,Tabella!$A:$A,0)-1,MATCH(L1268,Tabella!$A$1:$AC$1,0)-1))</f>
        <v>0</v>
      </c>
      <c r="N1268" s="205">
        <f ca="1">IF(ISERROR(OFFSET(Ottone!$A$1,MATCH(J1268,Ottone!$A:$A,0)-1,MATCH(L1268,Ottone!$A$1:$Z$1,0)-1)=TRUE),0,OFFSET(Ottone!$A$1,MATCH(J1268,Ottone!$A:$A,0)-1,MATCH(L1268,Ottone!$A$1:$Z$1,0)-1))*IF(G1268="Ottone",1,0)</f>
        <v>0</v>
      </c>
      <c r="O1268" s="205">
        <f ca="1">IF(ISERROR(OFFSET(Rame!$A$1,MATCH(J1268,Rame!$A:$A,0)-1,MATCH(L1268,Rame!$A$1:$AA$1,0)-1)=TRUE),0,OFFSET(Rame!$A$1,MATCH(J1268,Rame!$A:$A,0)-1,MATCH(L1268,Rame!$A$1:$AA$1,0)-1))*IF(G1268="Rame",1,0)</f>
        <v>0</v>
      </c>
      <c r="P1268" s="205">
        <v>0</v>
      </c>
      <c r="Q1268" s="205">
        <f t="shared" ca="1" si="347"/>
        <v>0</v>
      </c>
      <c r="R1268" s="205">
        <f ca="1">+IF(ISERROR(OFFSET(Tabella!$G$1,MATCH(J1268,Tabella!$G:$G,0)-1,MATCH(K1268,Tabella!$G$1:$FG$1,0)-1)=TRUE),0,OFFSET(Tabella!$G$1,MATCH(J1268,Tabella!$G:$G,0)-1,MATCH(K1268,Tabella!$G$1:$AB$1,0)-1))</f>
        <v>0</v>
      </c>
      <c r="S1268" s="205">
        <f ca="1">IF(ISERROR(OFFSET(Ottone!$F$1,MATCH(J1268,Ottone!$A:$A,0)-1,MATCH(K1268,Ottone!$F$1:$FF$1,0)-1)=TRUE),0,OFFSET(Ottone!$F$1,MATCH(J1268,Ottone!$A:$A,0)-1,MATCH(K1268,Ottone!$F$1:$FF$1,0)-1))*IF(G1268="Ottone",1,0)</f>
        <v>0</v>
      </c>
      <c r="T1268" s="205">
        <f ca="1">IF(ISERROR(OFFSET(Rame!$F$1,MATCH(J1268,Rame!$F:$F,0)-1,MATCH(K1268,Rame!$F$1:$FF$1,0)-1)=TRUE),0,OFFSET(Rame!$F$1,MATCH(J1268,Rame!$F:$F,0)-1,MATCH(K1268,Rame!$F$1:$FF$1,0)-1))*IF(G1268="Rame",1,0)</f>
        <v>0</v>
      </c>
      <c r="U1268" s="205">
        <f ca="1">IF(ISERROR(OFFSET(Bronzo!$A$1,MATCH(J1268,Bronzo!$A:$A,0)-1,MATCH(K1268,Bronzo!$A$1:$AA$1,0)-1)=TRUE),0,OFFSET(Bronzo!$A$1,MATCH(J1268,Bronzo!$A:$A,0)-1,MATCH(K1268,Bronzo!$A$1:$AA$1,0)-1))</f>
        <v>0</v>
      </c>
      <c r="V1268" s="205">
        <f t="shared" ca="1" si="348"/>
        <v>0</v>
      </c>
      <c r="W1268" s="204"/>
      <c r="X1268" s="205">
        <v>0</v>
      </c>
      <c r="Y1268" s="206">
        <f t="shared" ca="1" si="349"/>
        <v>0</v>
      </c>
      <c r="Z1268" s="277">
        <f t="shared" si="350"/>
        <v>0</v>
      </c>
      <c r="AA1268" s="203"/>
      <c r="AB1268" s="203">
        <f t="shared" ca="1" si="351"/>
        <v>0</v>
      </c>
      <c r="AC1268" s="238"/>
      <c r="AI1268" s="367">
        <f t="shared" ca="1" si="346"/>
        <v>46092</v>
      </c>
      <c r="AJ1268" s="367" t="b">
        <f t="shared" si="352"/>
        <v>1</v>
      </c>
      <c r="AK1268" s="370" t="str">
        <f t="shared" si="353"/>
        <v/>
      </c>
      <c r="AN1268">
        <f t="shared" si="354"/>
        <v>0</v>
      </c>
      <c r="AO1268">
        <f t="shared" si="355"/>
        <v>1900</v>
      </c>
      <c r="AV1268">
        <f t="shared" si="356"/>
        <v>0</v>
      </c>
      <c r="AW1268">
        <f t="shared" si="357"/>
        <v>0</v>
      </c>
    </row>
    <row r="1269" spans="4:49" ht="15.75" x14ac:dyDescent="0.25">
      <c r="D1269" s="199"/>
      <c r="E1269" s="200"/>
      <c r="F1269" s="287"/>
      <c r="G1269" s="201"/>
      <c r="H1269" s="219"/>
      <c r="I1269" s="202"/>
      <c r="J1269" s="200"/>
      <c r="K1269" s="200"/>
      <c r="L1269" s="203"/>
      <c r="M1269" s="204">
        <f ca="1">IF(ISERROR(OFFSET(Tabella!$A$1,MATCH(J1269,Tabella!$A:$A,0)-1,MATCH(L1269,Tabella!$A$1:$AC$1,0)-1)=TRUE),0,+OFFSET(Tabella!$A$1,MATCH(J1269,Tabella!$A:$A,0)-1,MATCH(L1269,Tabella!$A$1:$AC$1,0)-1))</f>
        <v>0</v>
      </c>
      <c r="N1269" s="205">
        <f ca="1">IF(ISERROR(OFFSET(Ottone!$A$1,MATCH(J1269,Ottone!$A:$A,0)-1,MATCH(L1269,Ottone!$A$1:$Z$1,0)-1)=TRUE),0,OFFSET(Ottone!$A$1,MATCH(J1269,Ottone!$A:$A,0)-1,MATCH(L1269,Ottone!$A$1:$Z$1,0)-1))*IF(G1269="Ottone",1,0)</f>
        <v>0</v>
      </c>
      <c r="O1269" s="205">
        <f ca="1">IF(ISERROR(OFFSET(Rame!$A$1,MATCH(J1269,Rame!$A:$A,0)-1,MATCH(L1269,Rame!$A$1:$AA$1,0)-1)=TRUE),0,OFFSET(Rame!$A$1,MATCH(J1269,Rame!$A:$A,0)-1,MATCH(L1269,Rame!$A$1:$AA$1,0)-1))*IF(G1269="Rame",1,0)</f>
        <v>0</v>
      </c>
      <c r="P1269" s="205">
        <v>0</v>
      </c>
      <c r="Q1269" s="205">
        <f t="shared" ca="1" si="347"/>
        <v>0</v>
      </c>
      <c r="R1269" s="205">
        <f ca="1">+IF(ISERROR(OFFSET(Tabella!$G$1,MATCH(J1269,Tabella!$G:$G,0)-1,MATCH(K1269,Tabella!$G$1:$FG$1,0)-1)=TRUE),0,OFFSET(Tabella!$G$1,MATCH(J1269,Tabella!$G:$G,0)-1,MATCH(K1269,Tabella!$G$1:$AB$1,0)-1))</f>
        <v>0</v>
      </c>
      <c r="S1269" s="205">
        <f ca="1">IF(ISERROR(OFFSET(Ottone!$F$1,MATCH(J1269,Ottone!$A:$A,0)-1,MATCH(K1269,Ottone!$F$1:$FF$1,0)-1)=TRUE),0,OFFSET(Ottone!$F$1,MATCH(J1269,Ottone!$A:$A,0)-1,MATCH(K1269,Ottone!$F$1:$FF$1,0)-1))*IF(G1269="Ottone",1,0)</f>
        <v>0</v>
      </c>
      <c r="T1269" s="205">
        <f ca="1">IF(ISERROR(OFFSET(Rame!$F$1,MATCH(J1269,Rame!$F:$F,0)-1,MATCH(K1269,Rame!$F$1:$FF$1,0)-1)=TRUE),0,OFFSET(Rame!$F$1,MATCH(J1269,Rame!$F:$F,0)-1,MATCH(K1269,Rame!$F$1:$FF$1,0)-1))*IF(G1269="Rame",1,0)</f>
        <v>0</v>
      </c>
      <c r="U1269" s="205">
        <f ca="1">IF(ISERROR(OFFSET(Bronzo!$A$1,MATCH(J1269,Bronzo!$A:$A,0)-1,MATCH(K1269,Bronzo!$A$1:$AA$1,0)-1)=TRUE),0,OFFSET(Bronzo!$A$1,MATCH(J1269,Bronzo!$A:$A,0)-1,MATCH(K1269,Bronzo!$A$1:$AA$1,0)-1))</f>
        <v>0</v>
      </c>
      <c r="V1269" s="205">
        <f t="shared" ca="1" si="348"/>
        <v>0</v>
      </c>
      <c r="W1269" s="204"/>
      <c r="X1269" s="205">
        <v>0</v>
      </c>
      <c r="Y1269" s="206">
        <f t="shared" ca="1" si="349"/>
        <v>0</v>
      </c>
      <c r="Z1269" s="277">
        <f t="shared" si="350"/>
        <v>0</v>
      </c>
      <c r="AA1269" s="203"/>
      <c r="AB1269" s="203">
        <f t="shared" ca="1" si="351"/>
        <v>0</v>
      </c>
      <c r="AC1269" s="238"/>
      <c r="AI1269" s="367">
        <f t="shared" ca="1" si="346"/>
        <v>46092</v>
      </c>
      <c r="AJ1269" s="367" t="b">
        <f t="shared" si="352"/>
        <v>1</v>
      </c>
      <c r="AK1269" s="370" t="str">
        <f t="shared" si="353"/>
        <v/>
      </c>
      <c r="AN1269">
        <f t="shared" si="354"/>
        <v>0</v>
      </c>
      <c r="AO1269">
        <f t="shared" si="355"/>
        <v>1900</v>
      </c>
      <c r="AV1269">
        <f t="shared" si="356"/>
        <v>0</v>
      </c>
      <c r="AW1269">
        <f t="shared" si="357"/>
        <v>0</v>
      </c>
    </row>
    <row r="1270" spans="4:49" ht="15.75" x14ac:dyDescent="0.25">
      <c r="D1270" s="199"/>
      <c r="E1270" s="200"/>
      <c r="F1270" s="287"/>
      <c r="G1270" s="201"/>
      <c r="H1270" s="219"/>
      <c r="I1270" s="202"/>
      <c r="J1270" s="200"/>
      <c r="K1270" s="200"/>
      <c r="L1270" s="203"/>
      <c r="M1270" s="204">
        <f ca="1">IF(ISERROR(OFFSET(Tabella!$A$1,MATCH(J1270,Tabella!$A:$A,0)-1,MATCH(L1270,Tabella!$A$1:$AC$1,0)-1)=TRUE),0,+OFFSET(Tabella!$A$1,MATCH(J1270,Tabella!$A:$A,0)-1,MATCH(L1270,Tabella!$A$1:$AC$1,0)-1))</f>
        <v>0</v>
      </c>
      <c r="N1270" s="205">
        <f ca="1">IF(ISERROR(OFFSET(Ottone!$A$1,MATCH(J1270,Ottone!$A:$A,0)-1,MATCH(L1270,Ottone!$A$1:$Z$1,0)-1)=TRUE),0,OFFSET(Ottone!$A$1,MATCH(J1270,Ottone!$A:$A,0)-1,MATCH(L1270,Ottone!$A$1:$Z$1,0)-1))*IF(G1270="Ottone",1,0)</f>
        <v>0</v>
      </c>
      <c r="O1270" s="205">
        <f ca="1">IF(ISERROR(OFFSET(Rame!$A$1,MATCH(J1270,Rame!$A:$A,0)-1,MATCH(L1270,Rame!$A$1:$AA$1,0)-1)=TRUE),0,OFFSET(Rame!$A$1,MATCH(J1270,Rame!$A:$A,0)-1,MATCH(L1270,Rame!$A$1:$AA$1,0)-1))*IF(G1270="Rame",1,0)</f>
        <v>0</v>
      </c>
      <c r="P1270" s="205">
        <v>0</v>
      </c>
      <c r="Q1270" s="205">
        <f t="shared" ca="1" si="347"/>
        <v>0</v>
      </c>
      <c r="R1270" s="205">
        <f ca="1">+IF(ISERROR(OFFSET(Tabella!$G$1,MATCH(J1270,Tabella!$G:$G,0)-1,MATCH(K1270,Tabella!$G$1:$FG$1,0)-1)=TRUE),0,OFFSET(Tabella!$G$1,MATCH(J1270,Tabella!$G:$G,0)-1,MATCH(K1270,Tabella!$G$1:$AB$1,0)-1))</f>
        <v>0</v>
      </c>
      <c r="S1270" s="205">
        <f ca="1">IF(ISERROR(OFFSET(Ottone!$F$1,MATCH(J1270,Ottone!$A:$A,0)-1,MATCH(K1270,Ottone!$F$1:$FF$1,0)-1)=TRUE),0,OFFSET(Ottone!$F$1,MATCH(J1270,Ottone!$A:$A,0)-1,MATCH(K1270,Ottone!$F$1:$FF$1,0)-1))*IF(G1270="Ottone",1,0)</f>
        <v>0</v>
      </c>
      <c r="T1270" s="205">
        <f ca="1">IF(ISERROR(OFFSET(Rame!$F$1,MATCH(J1270,Rame!$F:$F,0)-1,MATCH(K1270,Rame!$F$1:$FF$1,0)-1)=TRUE),0,OFFSET(Rame!$F$1,MATCH(J1270,Rame!$F:$F,0)-1,MATCH(K1270,Rame!$F$1:$FF$1,0)-1))*IF(G1270="Rame",1,0)</f>
        <v>0</v>
      </c>
      <c r="U1270" s="205">
        <f ca="1">IF(ISERROR(OFFSET(Bronzo!$A$1,MATCH(J1270,Bronzo!$A:$A,0)-1,MATCH(K1270,Bronzo!$A$1:$AA$1,0)-1)=TRUE),0,OFFSET(Bronzo!$A$1,MATCH(J1270,Bronzo!$A:$A,0)-1,MATCH(K1270,Bronzo!$A$1:$AA$1,0)-1))</f>
        <v>0</v>
      </c>
      <c r="V1270" s="205">
        <f t="shared" ca="1" si="348"/>
        <v>0</v>
      </c>
      <c r="W1270" s="204"/>
      <c r="X1270" s="205">
        <v>0</v>
      </c>
      <c r="Y1270" s="206">
        <f t="shared" ca="1" si="349"/>
        <v>0</v>
      </c>
      <c r="Z1270" s="277">
        <f t="shared" si="350"/>
        <v>0</v>
      </c>
      <c r="AA1270" s="203"/>
      <c r="AB1270" s="203">
        <f t="shared" ca="1" si="351"/>
        <v>0</v>
      </c>
      <c r="AC1270" s="238"/>
      <c r="AI1270" s="367">
        <f t="shared" ca="1" si="346"/>
        <v>46092</v>
      </c>
      <c r="AJ1270" s="367" t="b">
        <f t="shared" si="352"/>
        <v>1</v>
      </c>
      <c r="AK1270" s="370" t="str">
        <f t="shared" si="353"/>
        <v/>
      </c>
      <c r="AN1270">
        <f t="shared" si="354"/>
        <v>0</v>
      </c>
      <c r="AO1270">
        <f t="shared" si="355"/>
        <v>1900</v>
      </c>
      <c r="AV1270">
        <f t="shared" si="356"/>
        <v>0</v>
      </c>
      <c r="AW1270">
        <f t="shared" si="357"/>
        <v>0</v>
      </c>
    </row>
    <row r="1271" spans="4:49" ht="15.75" x14ac:dyDescent="0.25">
      <c r="D1271" s="199"/>
      <c r="E1271" s="200"/>
      <c r="F1271" s="287"/>
      <c r="G1271" s="201"/>
      <c r="H1271" s="219"/>
      <c r="I1271" s="202"/>
      <c r="J1271" s="200"/>
      <c r="K1271" s="200"/>
      <c r="L1271" s="203"/>
      <c r="M1271" s="204">
        <f ca="1">IF(ISERROR(OFFSET(Tabella!$A$1,MATCH(J1271,Tabella!$A:$A,0)-1,MATCH(L1271,Tabella!$A$1:$AC$1,0)-1)=TRUE),0,+OFFSET(Tabella!$A$1,MATCH(J1271,Tabella!$A:$A,0)-1,MATCH(L1271,Tabella!$A$1:$AC$1,0)-1))</f>
        <v>0</v>
      </c>
      <c r="N1271" s="205">
        <f ca="1">IF(ISERROR(OFFSET(Ottone!$A$1,MATCH(J1271,Ottone!$A:$A,0)-1,MATCH(L1271,Ottone!$A$1:$Z$1,0)-1)=TRUE),0,OFFSET(Ottone!$A$1,MATCH(J1271,Ottone!$A:$A,0)-1,MATCH(L1271,Ottone!$A$1:$Z$1,0)-1))*IF(G1271="Ottone",1,0)</f>
        <v>0</v>
      </c>
      <c r="O1271" s="205">
        <f ca="1">IF(ISERROR(OFFSET(Rame!$A$1,MATCH(J1271,Rame!$A:$A,0)-1,MATCH(L1271,Rame!$A$1:$AA$1,0)-1)=TRUE),0,OFFSET(Rame!$A$1,MATCH(J1271,Rame!$A:$A,0)-1,MATCH(L1271,Rame!$A$1:$AA$1,0)-1))*IF(G1271="Rame",1,0)</f>
        <v>0</v>
      </c>
      <c r="P1271" s="205">
        <v>0</v>
      </c>
      <c r="Q1271" s="205">
        <f t="shared" ca="1" si="347"/>
        <v>0</v>
      </c>
      <c r="R1271" s="205">
        <f ca="1">+IF(ISERROR(OFFSET(Tabella!$G$1,MATCH(J1271,Tabella!$G:$G,0)-1,MATCH(K1271,Tabella!$G$1:$FG$1,0)-1)=TRUE),0,OFFSET(Tabella!$G$1,MATCH(J1271,Tabella!$G:$G,0)-1,MATCH(K1271,Tabella!$G$1:$AB$1,0)-1))</f>
        <v>0</v>
      </c>
      <c r="S1271" s="205">
        <f ca="1">IF(ISERROR(OFFSET(Ottone!$F$1,MATCH(J1271,Ottone!$A:$A,0)-1,MATCH(K1271,Ottone!$F$1:$FF$1,0)-1)=TRUE),0,OFFSET(Ottone!$F$1,MATCH(J1271,Ottone!$A:$A,0)-1,MATCH(K1271,Ottone!$F$1:$FF$1,0)-1))*IF(G1271="Ottone",1,0)</f>
        <v>0</v>
      </c>
      <c r="T1271" s="205">
        <f ca="1">IF(ISERROR(OFFSET(Rame!$F$1,MATCH(J1271,Rame!$F:$F,0)-1,MATCH(K1271,Rame!$F$1:$FF$1,0)-1)=TRUE),0,OFFSET(Rame!$F$1,MATCH(J1271,Rame!$F:$F,0)-1,MATCH(K1271,Rame!$F$1:$FF$1,0)-1))*IF(G1271="Rame",1,0)</f>
        <v>0</v>
      </c>
      <c r="U1271" s="205">
        <f ca="1">IF(ISERROR(OFFSET(Bronzo!$A$1,MATCH(J1271,Bronzo!$A:$A,0)-1,MATCH(K1271,Bronzo!$A$1:$AA$1,0)-1)=TRUE),0,OFFSET(Bronzo!$A$1,MATCH(J1271,Bronzo!$A:$A,0)-1,MATCH(K1271,Bronzo!$A$1:$AA$1,0)-1))</f>
        <v>0</v>
      </c>
      <c r="V1271" s="205">
        <f t="shared" ca="1" si="348"/>
        <v>0</v>
      </c>
      <c r="W1271" s="204"/>
      <c r="X1271" s="205">
        <v>0</v>
      </c>
      <c r="Y1271" s="206">
        <f t="shared" ca="1" si="349"/>
        <v>0</v>
      </c>
      <c r="Z1271" s="277">
        <f t="shared" si="350"/>
        <v>0</v>
      </c>
      <c r="AA1271" s="203"/>
      <c r="AB1271" s="203">
        <f t="shared" ca="1" si="351"/>
        <v>0</v>
      </c>
      <c r="AC1271" s="238"/>
      <c r="AI1271" s="367">
        <f t="shared" ca="1" si="346"/>
        <v>46092</v>
      </c>
      <c r="AJ1271" s="367" t="b">
        <f t="shared" si="352"/>
        <v>1</v>
      </c>
      <c r="AK1271" s="370" t="str">
        <f t="shared" si="353"/>
        <v/>
      </c>
      <c r="AN1271">
        <f t="shared" si="354"/>
        <v>0</v>
      </c>
      <c r="AO1271">
        <f t="shared" si="355"/>
        <v>1900</v>
      </c>
      <c r="AV1271">
        <f t="shared" si="356"/>
        <v>0</v>
      </c>
      <c r="AW1271">
        <f t="shared" si="357"/>
        <v>0</v>
      </c>
    </row>
    <row r="1272" spans="4:49" ht="15.75" x14ac:dyDescent="0.25">
      <c r="D1272" s="199"/>
      <c r="E1272" s="200"/>
      <c r="F1272" s="287"/>
      <c r="G1272" s="201"/>
      <c r="H1272" s="219"/>
      <c r="I1272" s="202"/>
      <c r="J1272" s="200"/>
      <c r="K1272" s="200"/>
      <c r="L1272" s="203"/>
      <c r="M1272" s="204">
        <f ca="1">IF(ISERROR(OFFSET(Tabella!$A$1,MATCH(J1272,Tabella!$A:$A,0)-1,MATCH(L1272,Tabella!$A$1:$AC$1,0)-1)=TRUE),0,+OFFSET(Tabella!$A$1,MATCH(J1272,Tabella!$A:$A,0)-1,MATCH(L1272,Tabella!$A$1:$AC$1,0)-1))</f>
        <v>0</v>
      </c>
      <c r="N1272" s="205">
        <f ca="1">IF(ISERROR(OFFSET(Ottone!$A$1,MATCH(J1272,Ottone!$A:$A,0)-1,MATCH(L1272,Ottone!$A$1:$Z$1,0)-1)=TRUE),0,OFFSET(Ottone!$A$1,MATCH(J1272,Ottone!$A:$A,0)-1,MATCH(L1272,Ottone!$A$1:$Z$1,0)-1))*IF(G1272="Ottone",1,0)</f>
        <v>0</v>
      </c>
      <c r="O1272" s="205">
        <f ca="1">IF(ISERROR(OFFSET(Rame!$A$1,MATCH(J1272,Rame!$A:$A,0)-1,MATCH(L1272,Rame!$A$1:$AA$1,0)-1)=TRUE),0,OFFSET(Rame!$A$1,MATCH(J1272,Rame!$A:$A,0)-1,MATCH(L1272,Rame!$A$1:$AA$1,0)-1))*IF(G1272="Rame",1,0)</f>
        <v>0</v>
      </c>
      <c r="P1272" s="205">
        <v>0</v>
      </c>
      <c r="Q1272" s="205">
        <f t="shared" ca="1" si="347"/>
        <v>0</v>
      </c>
      <c r="R1272" s="205">
        <f ca="1">+IF(ISERROR(OFFSET(Tabella!$G$1,MATCH(J1272,Tabella!$G:$G,0)-1,MATCH(K1272,Tabella!$G$1:$FG$1,0)-1)=TRUE),0,OFFSET(Tabella!$G$1,MATCH(J1272,Tabella!$G:$G,0)-1,MATCH(K1272,Tabella!$G$1:$AB$1,0)-1))</f>
        <v>0</v>
      </c>
      <c r="S1272" s="205">
        <f ca="1">IF(ISERROR(OFFSET(Ottone!$F$1,MATCH(J1272,Ottone!$A:$A,0)-1,MATCH(K1272,Ottone!$F$1:$FF$1,0)-1)=TRUE),0,OFFSET(Ottone!$F$1,MATCH(J1272,Ottone!$A:$A,0)-1,MATCH(K1272,Ottone!$F$1:$FF$1,0)-1))*IF(G1272="Ottone",1,0)</f>
        <v>0</v>
      </c>
      <c r="T1272" s="205">
        <f ca="1">IF(ISERROR(OFFSET(Rame!$F$1,MATCH(J1272,Rame!$F:$F,0)-1,MATCH(K1272,Rame!$F$1:$FF$1,0)-1)=TRUE),0,OFFSET(Rame!$F$1,MATCH(J1272,Rame!$F:$F,0)-1,MATCH(K1272,Rame!$F$1:$FF$1,0)-1))*IF(G1272="Rame",1,0)</f>
        <v>0</v>
      </c>
      <c r="U1272" s="205">
        <f ca="1">IF(ISERROR(OFFSET(Bronzo!$A$1,MATCH(J1272,Bronzo!$A:$A,0)-1,MATCH(K1272,Bronzo!$A$1:$AA$1,0)-1)=TRUE),0,OFFSET(Bronzo!$A$1,MATCH(J1272,Bronzo!$A:$A,0)-1,MATCH(K1272,Bronzo!$A$1:$AA$1,0)-1))</f>
        <v>0</v>
      </c>
      <c r="V1272" s="205">
        <f t="shared" ca="1" si="348"/>
        <v>0</v>
      </c>
      <c r="W1272" s="204"/>
      <c r="X1272" s="205">
        <v>0</v>
      </c>
      <c r="Y1272" s="206">
        <f t="shared" ca="1" si="349"/>
        <v>0</v>
      </c>
      <c r="Z1272" s="277">
        <f t="shared" si="350"/>
        <v>0</v>
      </c>
      <c r="AA1272" s="203"/>
      <c r="AB1272" s="203">
        <f t="shared" ca="1" si="351"/>
        <v>0</v>
      </c>
      <c r="AC1272" s="238"/>
      <c r="AI1272" s="367">
        <f t="shared" ca="1" si="346"/>
        <v>46092</v>
      </c>
      <c r="AJ1272" s="367" t="b">
        <f t="shared" si="352"/>
        <v>1</v>
      </c>
      <c r="AK1272" s="370" t="str">
        <f t="shared" si="353"/>
        <v/>
      </c>
      <c r="AN1272">
        <f t="shared" si="354"/>
        <v>0</v>
      </c>
      <c r="AO1272">
        <f t="shared" si="355"/>
        <v>1900</v>
      </c>
      <c r="AV1272">
        <f t="shared" si="356"/>
        <v>0</v>
      </c>
      <c r="AW1272">
        <f t="shared" si="357"/>
        <v>0</v>
      </c>
    </row>
    <row r="1273" spans="4:49" ht="15.75" x14ac:dyDescent="0.25">
      <c r="D1273" s="199"/>
      <c r="E1273" s="200"/>
      <c r="F1273" s="287"/>
      <c r="G1273" s="201"/>
      <c r="H1273" s="219"/>
      <c r="I1273" s="202"/>
      <c r="J1273" s="200"/>
      <c r="K1273" s="200"/>
      <c r="L1273" s="203"/>
      <c r="M1273" s="204">
        <f ca="1">IF(ISERROR(OFFSET(Tabella!$A$1,MATCH(J1273,Tabella!$A:$A,0)-1,MATCH(L1273,Tabella!$A$1:$AC$1,0)-1)=TRUE),0,+OFFSET(Tabella!$A$1,MATCH(J1273,Tabella!$A:$A,0)-1,MATCH(L1273,Tabella!$A$1:$AC$1,0)-1))</f>
        <v>0</v>
      </c>
      <c r="N1273" s="205">
        <f ca="1">IF(ISERROR(OFFSET(Ottone!$A$1,MATCH(J1273,Ottone!$A:$A,0)-1,MATCH(L1273,Ottone!$A$1:$Z$1,0)-1)=TRUE),0,OFFSET(Ottone!$A$1,MATCH(J1273,Ottone!$A:$A,0)-1,MATCH(L1273,Ottone!$A$1:$Z$1,0)-1))*IF(G1273="Ottone",1,0)</f>
        <v>0</v>
      </c>
      <c r="O1273" s="205">
        <f ca="1">IF(ISERROR(OFFSET(Rame!$A$1,MATCH(J1273,Rame!$A:$A,0)-1,MATCH(L1273,Rame!$A$1:$AA$1,0)-1)=TRUE),0,OFFSET(Rame!$A$1,MATCH(J1273,Rame!$A:$A,0)-1,MATCH(L1273,Rame!$A$1:$AA$1,0)-1))*IF(G1273="Rame",1,0)</f>
        <v>0</v>
      </c>
      <c r="P1273" s="205">
        <v>0</v>
      </c>
      <c r="Q1273" s="205">
        <f t="shared" ca="1" si="347"/>
        <v>0</v>
      </c>
      <c r="R1273" s="205">
        <f ca="1">+IF(ISERROR(OFFSET(Tabella!$G$1,MATCH(J1273,Tabella!$G:$G,0)-1,MATCH(K1273,Tabella!$G$1:$FG$1,0)-1)=TRUE),0,OFFSET(Tabella!$G$1,MATCH(J1273,Tabella!$G:$G,0)-1,MATCH(K1273,Tabella!$G$1:$AB$1,0)-1))</f>
        <v>0</v>
      </c>
      <c r="S1273" s="205">
        <f ca="1">IF(ISERROR(OFFSET(Ottone!$F$1,MATCH(J1273,Ottone!$A:$A,0)-1,MATCH(K1273,Ottone!$F$1:$FF$1,0)-1)=TRUE),0,OFFSET(Ottone!$F$1,MATCH(J1273,Ottone!$A:$A,0)-1,MATCH(K1273,Ottone!$F$1:$FF$1,0)-1))*IF(G1273="Ottone",1,0)</f>
        <v>0</v>
      </c>
      <c r="T1273" s="205">
        <f ca="1">IF(ISERROR(OFFSET(Rame!$F$1,MATCH(J1273,Rame!$F:$F,0)-1,MATCH(K1273,Rame!$F$1:$FF$1,0)-1)=TRUE),0,OFFSET(Rame!$F$1,MATCH(J1273,Rame!$F:$F,0)-1,MATCH(K1273,Rame!$F$1:$FF$1,0)-1))*IF(G1273="Rame",1,0)</f>
        <v>0</v>
      </c>
      <c r="U1273" s="205">
        <f ca="1">IF(ISERROR(OFFSET(Bronzo!$A$1,MATCH(J1273,Bronzo!$A:$A,0)-1,MATCH(K1273,Bronzo!$A$1:$AA$1,0)-1)=TRUE),0,OFFSET(Bronzo!$A$1,MATCH(J1273,Bronzo!$A:$A,0)-1,MATCH(K1273,Bronzo!$A$1:$AA$1,0)-1))</f>
        <v>0</v>
      </c>
      <c r="V1273" s="205">
        <f t="shared" ca="1" si="348"/>
        <v>0</v>
      </c>
      <c r="W1273" s="204"/>
      <c r="X1273" s="205">
        <v>0</v>
      </c>
      <c r="Y1273" s="206">
        <f t="shared" ca="1" si="349"/>
        <v>0</v>
      </c>
      <c r="Z1273" s="277">
        <f t="shared" si="350"/>
        <v>0</v>
      </c>
      <c r="AA1273" s="203"/>
      <c r="AB1273" s="203">
        <f t="shared" ca="1" si="351"/>
        <v>0</v>
      </c>
      <c r="AC1273" s="238"/>
      <c r="AI1273" s="367">
        <f t="shared" ca="1" si="346"/>
        <v>46092</v>
      </c>
      <c r="AJ1273" s="367" t="b">
        <f t="shared" si="352"/>
        <v>1</v>
      </c>
      <c r="AK1273" s="370" t="str">
        <f t="shared" si="353"/>
        <v/>
      </c>
      <c r="AN1273">
        <f t="shared" si="354"/>
        <v>0</v>
      </c>
      <c r="AO1273">
        <f t="shared" si="355"/>
        <v>1900</v>
      </c>
      <c r="AV1273">
        <f t="shared" si="356"/>
        <v>0</v>
      </c>
      <c r="AW1273">
        <f t="shared" si="357"/>
        <v>0</v>
      </c>
    </row>
    <row r="1274" spans="4:49" ht="15.75" x14ac:dyDescent="0.25">
      <c r="D1274" s="199"/>
      <c r="E1274" s="200"/>
      <c r="F1274" s="287"/>
      <c r="G1274" s="201"/>
      <c r="H1274" s="219"/>
      <c r="I1274" s="202"/>
      <c r="J1274" s="200"/>
      <c r="K1274" s="200"/>
      <c r="L1274" s="203"/>
      <c r="M1274" s="204">
        <f ca="1">IF(ISERROR(OFFSET(Tabella!$A$1,MATCH(J1274,Tabella!$A:$A,0)-1,MATCH(L1274,Tabella!$A$1:$AC$1,0)-1)=TRUE),0,+OFFSET(Tabella!$A$1,MATCH(J1274,Tabella!$A:$A,0)-1,MATCH(L1274,Tabella!$A$1:$AC$1,0)-1))</f>
        <v>0</v>
      </c>
      <c r="N1274" s="205">
        <f ca="1">IF(ISERROR(OFFSET(Ottone!$A$1,MATCH(J1274,Ottone!$A:$A,0)-1,MATCH(L1274,Ottone!$A$1:$Z$1,0)-1)=TRUE),0,OFFSET(Ottone!$A$1,MATCH(J1274,Ottone!$A:$A,0)-1,MATCH(L1274,Ottone!$A$1:$Z$1,0)-1))*IF(G1274="Ottone",1,0)</f>
        <v>0</v>
      </c>
      <c r="O1274" s="205">
        <f ca="1">IF(ISERROR(OFFSET(Rame!$A$1,MATCH(J1274,Rame!$A:$A,0)-1,MATCH(L1274,Rame!$A$1:$AA$1,0)-1)=TRUE),0,OFFSET(Rame!$A$1,MATCH(J1274,Rame!$A:$A,0)-1,MATCH(L1274,Rame!$A$1:$AA$1,0)-1))*IF(G1274="Rame",1,0)</f>
        <v>0</v>
      </c>
      <c r="P1274" s="205">
        <v>0</v>
      </c>
      <c r="Q1274" s="205">
        <f t="shared" ca="1" si="347"/>
        <v>0</v>
      </c>
      <c r="R1274" s="205">
        <f ca="1">+IF(ISERROR(OFFSET(Tabella!$G$1,MATCH(J1274,Tabella!$G:$G,0)-1,MATCH(K1274,Tabella!$G$1:$FG$1,0)-1)=TRUE),0,OFFSET(Tabella!$G$1,MATCH(J1274,Tabella!$G:$G,0)-1,MATCH(K1274,Tabella!$G$1:$AB$1,0)-1))</f>
        <v>0</v>
      </c>
      <c r="S1274" s="205">
        <f ca="1">IF(ISERROR(OFFSET(Ottone!$F$1,MATCH(J1274,Ottone!$A:$A,0)-1,MATCH(K1274,Ottone!$F$1:$FF$1,0)-1)=TRUE),0,OFFSET(Ottone!$F$1,MATCH(J1274,Ottone!$A:$A,0)-1,MATCH(K1274,Ottone!$F$1:$FF$1,0)-1))*IF(G1274="Ottone",1,0)</f>
        <v>0</v>
      </c>
      <c r="T1274" s="205">
        <f ca="1">IF(ISERROR(OFFSET(Rame!$F$1,MATCH(J1274,Rame!$F:$F,0)-1,MATCH(K1274,Rame!$F$1:$FF$1,0)-1)=TRUE),0,OFFSET(Rame!$F$1,MATCH(J1274,Rame!$F:$F,0)-1,MATCH(K1274,Rame!$F$1:$FF$1,0)-1))*IF(G1274="Rame",1,0)</f>
        <v>0</v>
      </c>
      <c r="U1274" s="205">
        <f ca="1">IF(ISERROR(OFFSET(Bronzo!$A$1,MATCH(J1274,Bronzo!$A:$A,0)-1,MATCH(K1274,Bronzo!$A$1:$AA$1,0)-1)=TRUE),0,OFFSET(Bronzo!$A$1,MATCH(J1274,Bronzo!$A:$A,0)-1,MATCH(K1274,Bronzo!$A$1:$AA$1,0)-1))</f>
        <v>0</v>
      </c>
      <c r="V1274" s="205">
        <f t="shared" ca="1" si="348"/>
        <v>0</v>
      </c>
      <c r="W1274" s="204"/>
      <c r="X1274" s="205">
        <v>0</v>
      </c>
      <c r="Y1274" s="206">
        <f t="shared" ca="1" si="349"/>
        <v>0</v>
      </c>
      <c r="Z1274" s="277">
        <f t="shared" si="350"/>
        <v>0</v>
      </c>
      <c r="AA1274" s="203"/>
      <c r="AB1274" s="203">
        <f t="shared" ca="1" si="351"/>
        <v>0</v>
      </c>
      <c r="AC1274" s="238"/>
      <c r="AI1274" s="367">
        <f t="shared" ca="1" si="346"/>
        <v>46092</v>
      </c>
      <c r="AJ1274" s="367" t="b">
        <f t="shared" si="352"/>
        <v>1</v>
      </c>
      <c r="AK1274" s="370" t="str">
        <f t="shared" si="353"/>
        <v/>
      </c>
      <c r="AN1274">
        <f t="shared" si="354"/>
        <v>0</v>
      </c>
      <c r="AO1274">
        <f t="shared" si="355"/>
        <v>1900</v>
      </c>
      <c r="AV1274">
        <f t="shared" si="356"/>
        <v>0</v>
      </c>
      <c r="AW1274">
        <f t="shared" si="357"/>
        <v>0</v>
      </c>
    </row>
    <row r="1275" spans="4:49" ht="15.75" x14ac:dyDescent="0.25">
      <c r="D1275" s="199"/>
      <c r="E1275" s="200"/>
      <c r="F1275" s="287"/>
      <c r="G1275" s="201"/>
      <c r="H1275" s="219"/>
      <c r="I1275" s="202"/>
      <c r="J1275" s="200"/>
      <c r="K1275" s="200"/>
      <c r="L1275" s="203"/>
      <c r="M1275" s="204">
        <f ca="1">IF(ISERROR(OFFSET(Tabella!$A$1,MATCH(J1275,Tabella!$A:$A,0)-1,MATCH(L1275,Tabella!$A$1:$AC$1,0)-1)=TRUE),0,+OFFSET(Tabella!$A$1,MATCH(J1275,Tabella!$A:$A,0)-1,MATCH(L1275,Tabella!$A$1:$AC$1,0)-1))</f>
        <v>0</v>
      </c>
      <c r="N1275" s="205">
        <f ca="1">IF(ISERROR(OFFSET(Ottone!$A$1,MATCH(J1275,Ottone!$A:$A,0)-1,MATCH(L1275,Ottone!$A$1:$Z$1,0)-1)=TRUE),0,OFFSET(Ottone!$A$1,MATCH(J1275,Ottone!$A:$A,0)-1,MATCH(L1275,Ottone!$A$1:$Z$1,0)-1))*IF(G1275="Ottone",1,0)</f>
        <v>0</v>
      </c>
      <c r="O1275" s="205">
        <f ca="1">IF(ISERROR(OFFSET(Rame!$A$1,MATCH(J1275,Rame!$A:$A,0)-1,MATCH(L1275,Rame!$A$1:$AA$1,0)-1)=TRUE),0,OFFSET(Rame!$A$1,MATCH(J1275,Rame!$A:$A,0)-1,MATCH(L1275,Rame!$A$1:$AA$1,0)-1))*IF(G1275="Rame",1,0)</f>
        <v>0</v>
      </c>
      <c r="P1275" s="205">
        <v>0</v>
      </c>
      <c r="Q1275" s="205">
        <f t="shared" ca="1" si="347"/>
        <v>0</v>
      </c>
      <c r="R1275" s="205">
        <f ca="1">+IF(ISERROR(OFFSET(Tabella!$G$1,MATCH(J1275,Tabella!$G:$G,0)-1,MATCH(K1275,Tabella!$G$1:$FG$1,0)-1)=TRUE),0,OFFSET(Tabella!$G$1,MATCH(J1275,Tabella!$G:$G,0)-1,MATCH(K1275,Tabella!$G$1:$AB$1,0)-1))</f>
        <v>0</v>
      </c>
      <c r="S1275" s="205">
        <f ca="1">IF(ISERROR(OFFSET(Ottone!$F$1,MATCH(J1275,Ottone!$A:$A,0)-1,MATCH(K1275,Ottone!$F$1:$FF$1,0)-1)=TRUE),0,OFFSET(Ottone!$F$1,MATCH(J1275,Ottone!$A:$A,0)-1,MATCH(K1275,Ottone!$F$1:$FF$1,0)-1))*IF(G1275="Ottone",1,0)</f>
        <v>0</v>
      </c>
      <c r="T1275" s="205">
        <f ca="1">IF(ISERROR(OFFSET(Rame!$F$1,MATCH(J1275,Rame!$F:$F,0)-1,MATCH(K1275,Rame!$F$1:$FF$1,0)-1)=TRUE),0,OFFSET(Rame!$F$1,MATCH(J1275,Rame!$F:$F,0)-1,MATCH(K1275,Rame!$F$1:$FF$1,0)-1))*IF(G1275="Rame",1,0)</f>
        <v>0</v>
      </c>
      <c r="U1275" s="205">
        <f ca="1">IF(ISERROR(OFFSET(Bronzo!$A$1,MATCH(J1275,Bronzo!$A:$A,0)-1,MATCH(K1275,Bronzo!$A$1:$AA$1,0)-1)=TRUE),0,OFFSET(Bronzo!$A$1,MATCH(J1275,Bronzo!$A:$A,0)-1,MATCH(K1275,Bronzo!$A$1:$AA$1,0)-1))</f>
        <v>0</v>
      </c>
      <c r="V1275" s="205">
        <f t="shared" ca="1" si="348"/>
        <v>0</v>
      </c>
      <c r="W1275" s="204"/>
      <c r="X1275" s="205">
        <v>0</v>
      </c>
      <c r="Y1275" s="206">
        <f t="shared" ca="1" si="349"/>
        <v>0</v>
      </c>
      <c r="Z1275" s="277">
        <f t="shared" si="350"/>
        <v>0</v>
      </c>
      <c r="AA1275" s="203"/>
      <c r="AB1275" s="203">
        <f t="shared" ca="1" si="351"/>
        <v>0</v>
      </c>
      <c r="AC1275" s="238"/>
      <c r="AI1275" s="367">
        <f t="shared" ca="1" si="346"/>
        <v>46092</v>
      </c>
      <c r="AJ1275" s="367" t="b">
        <f t="shared" si="352"/>
        <v>1</v>
      </c>
      <c r="AK1275" s="370" t="str">
        <f t="shared" si="353"/>
        <v/>
      </c>
      <c r="AN1275">
        <f t="shared" si="354"/>
        <v>0</v>
      </c>
      <c r="AO1275">
        <f t="shared" si="355"/>
        <v>1900</v>
      </c>
      <c r="AV1275">
        <f t="shared" si="356"/>
        <v>0</v>
      </c>
      <c r="AW1275">
        <f t="shared" si="357"/>
        <v>0</v>
      </c>
    </row>
    <row r="1276" spans="4:49" ht="15.75" x14ac:dyDescent="0.25">
      <c r="D1276" s="199"/>
      <c r="E1276" s="200"/>
      <c r="F1276" s="287"/>
      <c r="G1276" s="201"/>
      <c r="H1276" s="219"/>
      <c r="I1276" s="202"/>
      <c r="J1276" s="200"/>
      <c r="K1276" s="200"/>
      <c r="L1276" s="203"/>
      <c r="M1276" s="204">
        <f ca="1">IF(ISERROR(OFFSET(Tabella!$A$1,MATCH(J1276,Tabella!$A:$A,0)-1,MATCH(L1276,Tabella!$A$1:$AC$1,0)-1)=TRUE),0,+OFFSET(Tabella!$A$1,MATCH(J1276,Tabella!$A:$A,0)-1,MATCH(L1276,Tabella!$A$1:$AC$1,0)-1))</f>
        <v>0</v>
      </c>
      <c r="N1276" s="205">
        <f ca="1">IF(ISERROR(OFFSET(Ottone!$A$1,MATCH(J1276,Ottone!$A:$A,0)-1,MATCH(L1276,Ottone!$A$1:$Z$1,0)-1)=TRUE),0,OFFSET(Ottone!$A$1,MATCH(J1276,Ottone!$A:$A,0)-1,MATCH(L1276,Ottone!$A$1:$Z$1,0)-1))*IF(G1276="Ottone",1,0)</f>
        <v>0</v>
      </c>
      <c r="O1276" s="205">
        <f ca="1">IF(ISERROR(OFFSET(Rame!$A$1,MATCH(J1276,Rame!$A:$A,0)-1,MATCH(L1276,Rame!$A$1:$AA$1,0)-1)=TRUE),0,OFFSET(Rame!$A$1,MATCH(J1276,Rame!$A:$A,0)-1,MATCH(L1276,Rame!$A$1:$AA$1,0)-1))*IF(G1276="Rame",1,0)</f>
        <v>0</v>
      </c>
      <c r="P1276" s="205">
        <v>0</v>
      </c>
      <c r="Q1276" s="205">
        <f t="shared" ca="1" si="347"/>
        <v>0</v>
      </c>
      <c r="R1276" s="205">
        <f ca="1">+IF(ISERROR(OFFSET(Tabella!$G$1,MATCH(J1276,Tabella!$G:$G,0)-1,MATCH(K1276,Tabella!$G$1:$FG$1,0)-1)=TRUE),0,OFFSET(Tabella!$G$1,MATCH(J1276,Tabella!$G:$G,0)-1,MATCH(K1276,Tabella!$G$1:$AB$1,0)-1))</f>
        <v>0</v>
      </c>
      <c r="S1276" s="205">
        <f ca="1">IF(ISERROR(OFFSET(Ottone!$F$1,MATCH(J1276,Ottone!$A:$A,0)-1,MATCH(K1276,Ottone!$F$1:$FF$1,0)-1)=TRUE),0,OFFSET(Ottone!$F$1,MATCH(J1276,Ottone!$A:$A,0)-1,MATCH(K1276,Ottone!$F$1:$FF$1,0)-1))*IF(G1276="Ottone",1,0)</f>
        <v>0</v>
      </c>
      <c r="T1276" s="205">
        <f ca="1">IF(ISERROR(OFFSET(Rame!$F$1,MATCH(J1276,Rame!$F:$F,0)-1,MATCH(K1276,Rame!$F$1:$FF$1,0)-1)=TRUE),0,OFFSET(Rame!$F$1,MATCH(J1276,Rame!$F:$F,0)-1,MATCH(K1276,Rame!$F$1:$FF$1,0)-1))*IF(G1276="Rame",1,0)</f>
        <v>0</v>
      </c>
      <c r="U1276" s="205">
        <f ca="1">IF(ISERROR(OFFSET(Bronzo!$A$1,MATCH(J1276,Bronzo!$A:$A,0)-1,MATCH(K1276,Bronzo!$A$1:$AA$1,0)-1)=TRUE),0,OFFSET(Bronzo!$A$1,MATCH(J1276,Bronzo!$A:$A,0)-1,MATCH(K1276,Bronzo!$A$1:$AA$1,0)-1))</f>
        <v>0</v>
      </c>
      <c r="V1276" s="205">
        <f t="shared" ca="1" si="348"/>
        <v>0</v>
      </c>
      <c r="W1276" s="204"/>
      <c r="X1276" s="205">
        <v>0</v>
      </c>
      <c r="Y1276" s="206">
        <f t="shared" ca="1" si="349"/>
        <v>0</v>
      </c>
      <c r="Z1276" s="277">
        <f t="shared" si="350"/>
        <v>0</v>
      </c>
      <c r="AA1276" s="203"/>
      <c r="AB1276" s="203">
        <f t="shared" ca="1" si="351"/>
        <v>0</v>
      </c>
      <c r="AC1276" s="238"/>
      <c r="AI1276" s="367">
        <f t="shared" ca="1" si="346"/>
        <v>46092</v>
      </c>
      <c r="AJ1276" s="367" t="b">
        <f t="shared" si="352"/>
        <v>1</v>
      </c>
      <c r="AK1276" s="370" t="str">
        <f t="shared" si="353"/>
        <v/>
      </c>
      <c r="AN1276">
        <f t="shared" si="354"/>
        <v>0</v>
      </c>
      <c r="AO1276">
        <f t="shared" si="355"/>
        <v>1900</v>
      </c>
      <c r="AV1276">
        <f t="shared" si="356"/>
        <v>0</v>
      </c>
      <c r="AW1276">
        <f t="shared" si="357"/>
        <v>0</v>
      </c>
    </row>
    <row r="1277" spans="4:49" ht="15.75" x14ac:dyDescent="0.25">
      <c r="D1277" s="199"/>
      <c r="E1277" s="200"/>
      <c r="F1277" s="287"/>
      <c r="G1277" s="201"/>
      <c r="H1277" s="219"/>
      <c r="I1277" s="202"/>
      <c r="J1277" s="200"/>
      <c r="K1277" s="200"/>
      <c r="L1277" s="203"/>
      <c r="M1277" s="204">
        <f ca="1">IF(ISERROR(OFFSET(Tabella!$A$1,MATCH(J1277,Tabella!$A:$A,0)-1,MATCH(L1277,Tabella!$A$1:$AC$1,0)-1)=TRUE),0,+OFFSET(Tabella!$A$1,MATCH(J1277,Tabella!$A:$A,0)-1,MATCH(L1277,Tabella!$A$1:$AC$1,0)-1))</f>
        <v>0</v>
      </c>
      <c r="N1277" s="205">
        <f ca="1">IF(ISERROR(OFFSET(Ottone!$A$1,MATCH(J1277,Ottone!$A:$A,0)-1,MATCH(L1277,Ottone!$A$1:$Z$1,0)-1)=TRUE),0,OFFSET(Ottone!$A$1,MATCH(J1277,Ottone!$A:$A,0)-1,MATCH(L1277,Ottone!$A$1:$Z$1,0)-1))*IF(G1277="Ottone",1,0)</f>
        <v>0</v>
      </c>
      <c r="O1277" s="205">
        <f ca="1">IF(ISERROR(OFFSET(Rame!$A$1,MATCH(J1277,Rame!$A:$A,0)-1,MATCH(L1277,Rame!$A$1:$AA$1,0)-1)=TRUE),0,OFFSET(Rame!$A$1,MATCH(J1277,Rame!$A:$A,0)-1,MATCH(L1277,Rame!$A$1:$AA$1,0)-1))*IF(G1277="Rame",1,0)</f>
        <v>0</v>
      </c>
      <c r="P1277" s="205">
        <v>0</v>
      </c>
      <c r="Q1277" s="205">
        <f t="shared" ca="1" si="347"/>
        <v>0</v>
      </c>
      <c r="R1277" s="205">
        <f ca="1">+IF(ISERROR(OFFSET(Tabella!$G$1,MATCH(J1277,Tabella!$G:$G,0)-1,MATCH(K1277,Tabella!$G$1:$FG$1,0)-1)=TRUE),0,OFFSET(Tabella!$G$1,MATCH(J1277,Tabella!$G:$G,0)-1,MATCH(K1277,Tabella!$G$1:$AB$1,0)-1))</f>
        <v>0</v>
      </c>
      <c r="S1277" s="205">
        <f ca="1">IF(ISERROR(OFFSET(Ottone!$F$1,MATCH(J1277,Ottone!$A:$A,0)-1,MATCH(K1277,Ottone!$F$1:$FF$1,0)-1)=TRUE),0,OFFSET(Ottone!$F$1,MATCH(J1277,Ottone!$A:$A,0)-1,MATCH(K1277,Ottone!$F$1:$FF$1,0)-1))*IF(G1277="Ottone",1,0)</f>
        <v>0</v>
      </c>
      <c r="T1277" s="205">
        <f ca="1">IF(ISERROR(OFFSET(Rame!$F$1,MATCH(J1277,Rame!$F:$F,0)-1,MATCH(K1277,Rame!$F$1:$FF$1,0)-1)=TRUE),0,OFFSET(Rame!$F$1,MATCH(J1277,Rame!$F:$F,0)-1,MATCH(K1277,Rame!$F$1:$FF$1,0)-1))*IF(G1277="Rame",1,0)</f>
        <v>0</v>
      </c>
      <c r="U1277" s="205">
        <f ca="1">IF(ISERROR(OFFSET(Bronzo!$A$1,MATCH(J1277,Bronzo!$A:$A,0)-1,MATCH(K1277,Bronzo!$A$1:$AA$1,0)-1)=TRUE),0,OFFSET(Bronzo!$A$1,MATCH(J1277,Bronzo!$A:$A,0)-1,MATCH(K1277,Bronzo!$A$1:$AA$1,0)-1))</f>
        <v>0</v>
      </c>
      <c r="V1277" s="205">
        <f t="shared" ca="1" si="348"/>
        <v>0</v>
      </c>
      <c r="W1277" s="204"/>
      <c r="X1277" s="205">
        <v>0</v>
      </c>
      <c r="Y1277" s="206">
        <f t="shared" ca="1" si="349"/>
        <v>0</v>
      </c>
      <c r="Z1277" s="277">
        <f t="shared" si="350"/>
        <v>0</v>
      </c>
      <c r="AA1277" s="203"/>
      <c r="AB1277" s="203">
        <f t="shared" ca="1" si="351"/>
        <v>0</v>
      </c>
      <c r="AC1277" s="238"/>
      <c r="AI1277" s="367">
        <f t="shared" ca="1" si="346"/>
        <v>46092</v>
      </c>
      <c r="AJ1277" s="367" t="b">
        <f t="shared" si="352"/>
        <v>1</v>
      </c>
      <c r="AK1277" s="370" t="str">
        <f t="shared" si="353"/>
        <v/>
      </c>
      <c r="AN1277">
        <f t="shared" si="354"/>
        <v>0</v>
      </c>
      <c r="AO1277">
        <f t="shared" si="355"/>
        <v>1900</v>
      </c>
      <c r="AV1277">
        <f t="shared" si="356"/>
        <v>0</v>
      </c>
      <c r="AW1277">
        <f t="shared" si="357"/>
        <v>0</v>
      </c>
    </row>
    <row r="1278" spans="4:49" ht="15.75" x14ac:dyDescent="0.25">
      <c r="D1278" s="199"/>
      <c r="E1278" s="200"/>
      <c r="F1278" s="287"/>
      <c r="G1278" s="201"/>
      <c r="H1278" s="219"/>
      <c r="I1278" s="202"/>
      <c r="J1278" s="200"/>
      <c r="K1278" s="200"/>
      <c r="L1278" s="203"/>
      <c r="M1278" s="204">
        <f ca="1">IF(ISERROR(OFFSET(Tabella!$A$1,MATCH(J1278,Tabella!$A:$A,0)-1,MATCH(L1278,Tabella!$A$1:$AC$1,0)-1)=TRUE),0,+OFFSET(Tabella!$A$1,MATCH(J1278,Tabella!$A:$A,0)-1,MATCH(L1278,Tabella!$A$1:$AC$1,0)-1))</f>
        <v>0</v>
      </c>
      <c r="N1278" s="205">
        <f ca="1">IF(ISERROR(OFFSET(Ottone!$A$1,MATCH(J1278,Ottone!$A:$A,0)-1,MATCH(L1278,Ottone!$A$1:$Z$1,0)-1)=TRUE),0,OFFSET(Ottone!$A$1,MATCH(J1278,Ottone!$A:$A,0)-1,MATCH(L1278,Ottone!$A$1:$Z$1,0)-1))*IF(G1278="Ottone",1,0)</f>
        <v>0</v>
      </c>
      <c r="O1278" s="205">
        <f ca="1">IF(ISERROR(OFFSET(Rame!$A$1,MATCH(J1278,Rame!$A:$A,0)-1,MATCH(L1278,Rame!$A$1:$AA$1,0)-1)=TRUE),0,OFFSET(Rame!$A$1,MATCH(J1278,Rame!$A:$A,0)-1,MATCH(L1278,Rame!$A$1:$AA$1,0)-1))*IF(G1278="Rame",1,0)</f>
        <v>0</v>
      </c>
      <c r="P1278" s="205">
        <v>0</v>
      </c>
      <c r="Q1278" s="205">
        <f t="shared" ca="1" si="347"/>
        <v>0</v>
      </c>
      <c r="R1278" s="205">
        <f ca="1">+IF(ISERROR(OFFSET(Tabella!$G$1,MATCH(J1278,Tabella!$G:$G,0)-1,MATCH(K1278,Tabella!$G$1:$FG$1,0)-1)=TRUE),0,OFFSET(Tabella!$G$1,MATCH(J1278,Tabella!$G:$G,0)-1,MATCH(K1278,Tabella!$G$1:$AB$1,0)-1))</f>
        <v>0</v>
      </c>
      <c r="S1278" s="205">
        <f ca="1">IF(ISERROR(OFFSET(Ottone!$F$1,MATCH(J1278,Ottone!$A:$A,0)-1,MATCH(K1278,Ottone!$F$1:$FF$1,0)-1)=TRUE),0,OFFSET(Ottone!$F$1,MATCH(J1278,Ottone!$A:$A,0)-1,MATCH(K1278,Ottone!$F$1:$FF$1,0)-1))*IF(G1278="Ottone",1,0)</f>
        <v>0</v>
      </c>
      <c r="T1278" s="205">
        <f ca="1">IF(ISERROR(OFFSET(Rame!$F$1,MATCH(J1278,Rame!$F:$F,0)-1,MATCH(K1278,Rame!$F$1:$FF$1,0)-1)=TRUE),0,OFFSET(Rame!$F$1,MATCH(J1278,Rame!$F:$F,0)-1,MATCH(K1278,Rame!$F$1:$FF$1,0)-1))*IF(G1278="Rame",1,0)</f>
        <v>0</v>
      </c>
      <c r="U1278" s="205">
        <f ca="1">IF(ISERROR(OFFSET(Bronzo!$A$1,MATCH(J1278,Bronzo!$A:$A,0)-1,MATCH(K1278,Bronzo!$A$1:$AA$1,0)-1)=TRUE),0,OFFSET(Bronzo!$A$1,MATCH(J1278,Bronzo!$A:$A,0)-1,MATCH(K1278,Bronzo!$A$1:$AA$1,0)-1))</f>
        <v>0</v>
      </c>
      <c r="V1278" s="205">
        <f t="shared" ca="1" si="348"/>
        <v>0</v>
      </c>
      <c r="W1278" s="204"/>
      <c r="X1278" s="205">
        <v>0</v>
      </c>
      <c r="Y1278" s="206">
        <f t="shared" ca="1" si="349"/>
        <v>0</v>
      </c>
      <c r="Z1278" s="277">
        <f t="shared" si="350"/>
        <v>0</v>
      </c>
      <c r="AA1278" s="203"/>
      <c r="AB1278" s="203">
        <f t="shared" ca="1" si="351"/>
        <v>0</v>
      </c>
      <c r="AC1278" s="238"/>
      <c r="AI1278" s="367">
        <f t="shared" ca="1" si="346"/>
        <v>46092</v>
      </c>
      <c r="AJ1278" s="367" t="b">
        <f t="shared" si="352"/>
        <v>1</v>
      </c>
      <c r="AK1278" s="370" t="str">
        <f t="shared" si="353"/>
        <v/>
      </c>
      <c r="AN1278">
        <f t="shared" si="354"/>
        <v>0</v>
      </c>
      <c r="AO1278">
        <f t="shared" si="355"/>
        <v>1900</v>
      </c>
      <c r="AV1278">
        <f t="shared" si="356"/>
        <v>0</v>
      </c>
      <c r="AW1278">
        <f t="shared" si="357"/>
        <v>0</v>
      </c>
    </row>
    <row r="1279" spans="4:49" ht="15.75" x14ac:dyDescent="0.25">
      <c r="D1279" s="199"/>
      <c r="E1279" s="200"/>
      <c r="F1279" s="287"/>
      <c r="G1279" s="201"/>
      <c r="H1279" s="219"/>
      <c r="I1279" s="202"/>
      <c r="J1279" s="200"/>
      <c r="K1279" s="200"/>
      <c r="L1279" s="203"/>
      <c r="M1279" s="204">
        <f ca="1">IF(ISERROR(OFFSET(Tabella!$A$1,MATCH(J1279,Tabella!$A:$A,0)-1,MATCH(L1279,Tabella!$A$1:$AC$1,0)-1)=TRUE),0,+OFFSET(Tabella!$A$1,MATCH(J1279,Tabella!$A:$A,0)-1,MATCH(L1279,Tabella!$A$1:$AC$1,0)-1))</f>
        <v>0</v>
      </c>
      <c r="N1279" s="205">
        <f ca="1">IF(ISERROR(OFFSET(Ottone!$A$1,MATCH(J1279,Ottone!$A:$A,0)-1,MATCH(L1279,Ottone!$A$1:$Z$1,0)-1)=TRUE),0,OFFSET(Ottone!$A$1,MATCH(J1279,Ottone!$A:$A,0)-1,MATCH(L1279,Ottone!$A$1:$Z$1,0)-1))*IF(G1279="Ottone",1,0)</f>
        <v>0</v>
      </c>
      <c r="O1279" s="205">
        <f ca="1">IF(ISERROR(OFFSET(Rame!$A$1,MATCH(J1279,Rame!$A:$A,0)-1,MATCH(L1279,Rame!$A$1:$AA$1,0)-1)=TRUE),0,OFFSET(Rame!$A$1,MATCH(J1279,Rame!$A:$A,0)-1,MATCH(L1279,Rame!$A$1:$AA$1,0)-1))*IF(G1279="Rame",1,0)</f>
        <v>0</v>
      </c>
      <c r="P1279" s="205">
        <v>0</v>
      </c>
      <c r="Q1279" s="205">
        <f t="shared" ca="1" si="347"/>
        <v>0</v>
      </c>
      <c r="R1279" s="205">
        <f ca="1">+IF(ISERROR(OFFSET(Tabella!$G$1,MATCH(J1279,Tabella!$G:$G,0)-1,MATCH(K1279,Tabella!$G$1:$FG$1,0)-1)=TRUE),0,OFFSET(Tabella!$G$1,MATCH(J1279,Tabella!$G:$G,0)-1,MATCH(K1279,Tabella!$G$1:$AB$1,0)-1))</f>
        <v>0</v>
      </c>
      <c r="S1279" s="205">
        <f ca="1">IF(ISERROR(OFFSET(Ottone!$F$1,MATCH(J1279,Ottone!$A:$A,0)-1,MATCH(K1279,Ottone!$F$1:$FF$1,0)-1)=TRUE),0,OFFSET(Ottone!$F$1,MATCH(J1279,Ottone!$A:$A,0)-1,MATCH(K1279,Ottone!$F$1:$FF$1,0)-1))*IF(G1279="Ottone",1,0)</f>
        <v>0</v>
      </c>
      <c r="T1279" s="205">
        <f ca="1">IF(ISERROR(OFFSET(Rame!$F$1,MATCH(J1279,Rame!$F:$F,0)-1,MATCH(K1279,Rame!$F$1:$FF$1,0)-1)=TRUE),0,OFFSET(Rame!$F$1,MATCH(J1279,Rame!$F:$F,0)-1,MATCH(K1279,Rame!$F$1:$FF$1,0)-1))*IF(G1279="Rame",1,0)</f>
        <v>0</v>
      </c>
      <c r="U1279" s="205">
        <f ca="1">IF(ISERROR(OFFSET(Bronzo!$A$1,MATCH(J1279,Bronzo!$A:$A,0)-1,MATCH(K1279,Bronzo!$A$1:$AA$1,0)-1)=TRUE),0,OFFSET(Bronzo!$A$1,MATCH(J1279,Bronzo!$A:$A,0)-1,MATCH(K1279,Bronzo!$A$1:$AA$1,0)-1))</f>
        <v>0</v>
      </c>
      <c r="V1279" s="205">
        <f t="shared" ca="1" si="348"/>
        <v>0</v>
      </c>
      <c r="W1279" s="204"/>
      <c r="X1279" s="205">
        <v>0</v>
      </c>
      <c r="Y1279" s="206">
        <f t="shared" ca="1" si="349"/>
        <v>0</v>
      </c>
      <c r="Z1279" s="277">
        <f t="shared" si="350"/>
        <v>0</v>
      </c>
      <c r="AA1279" s="203"/>
      <c r="AB1279" s="203">
        <f t="shared" ca="1" si="351"/>
        <v>0</v>
      </c>
      <c r="AC1279" s="238"/>
      <c r="AI1279" s="367">
        <f t="shared" ca="1" si="346"/>
        <v>46092</v>
      </c>
      <c r="AJ1279" s="367" t="b">
        <f t="shared" si="352"/>
        <v>1</v>
      </c>
      <c r="AK1279" s="370" t="str">
        <f t="shared" si="353"/>
        <v/>
      </c>
      <c r="AN1279">
        <f t="shared" si="354"/>
        <v>0</v>
      </c>
      <c r="AO1279">
        <f t="shared" si="355"/>
        <v>1900</v>
      </c>
      <c r="AV1279">
        <f t="shared" si="356"/>
        <v>0</v>
      </c>
      <c r="AW1279">
        <f t="shared" si="357"/>
        <v>0</v>
      </c>
    </row>
    <row r="1280" spans="4:49" ht="15.75" x14ac:dyDescent="0.25">
      <c r="D1280" s="199"/>
      <c r="E1280" s="200"/>
      <c r="F1280" s="287"/>
      <c r="G1280" s="201"/>
      <c r="H1280" s="219"/>
      <c r="I1280" s="202"/>
      <c r="J1280" s="200"/>
      <c r="K1280" s="200"/>
      <c r="L1280" s="203"/>
      <c r="M1280" s="204">
        <f ca="1">IF(ISERROR(OFFSET(Tabella!$A$1,MATCH(J1280,Tabella!$A:$A,0)-1,MATCH(L1280,Tabella!$A$1:$AC$1,0)-1)=TRUE),0,+OFFSET(Tabella!$A$1,MATCH(J1280,Tabella!$A:$A,0)-1,MATCH(L1280,Tabella!$A$1:$AC$1,0)-1))</f>
        <v>0</v>
      </c>
      <c r="N1280" s="205">
        <f ca="1">IF(ISERROR(OFFSET(Ottone!$A$1,MATCH(J1280,Ottone!$A:$A,0)-1,MATCH(L1280,Ottone!$A$1:$Z$1,0)-1)=TRUE),0,OFFSET(Ottone!$A$1,MATCH(J1280,Ottone!$A:$A,0)-1,MATCH(L1280,Ottone!$A$1:$Z$1,0)-1))*IF(G1280="Ottone",1,0)</f>
        <v>0</v>
      </c>
      <c r="O1280" s="205">
        <f ca="1">IF(ISERROR(OFFSET(Rame!$A$1,MATCH(J1280,Rame!$A:$A,0)-1,MATCH(L1280,Rame!$A$1:$AA$1,0)-1)=TRUE),0,OFFSET(Rame!$A$1,MATCH(J1280,Rame!$A:$A,0)-1,MATCH(L1280,Rame!$A$1:$AA$1,0)-1))*IF(G1280="Rame",1,0)</f>
        <v>0</v>
      </c>
      <c r="P1280" s="205">
        <v>0</v>
      </c>
      <c r="Q1280" s="205">
        <f t="shared" ca="1" si="347"/>
        <v>0</v>
      </c>
      <c r="R1280" s="205">
        <f ca="1">+IF(ISERROR(OFFSET(Tabella!$G$1,MATCH(J1280,Tabella!$G:$G,0)-1,MATCH(K1280,Tabella!$G$1:$FG$1,0)-1)=TRUE),0,OFFSET(Tabella!$G$1,MATCH(J1280,Tabella!$G:$G,0)-1,MATCH(K1280,Tabella!$G$1:$AB$1,0)-1))</f>
        <v>0</v>
      </c>
      <c r="S1280" s="205">
        <f ca="1">IF(ISERROR(OFFSET(Ottone!$F$1,MATCH(J1280,Ottone!$A:$A,0)-1,MATCH(K1280,Ottone!$F$1:$FF$1,0)-1)=TRUE),0,OFFSET(Ottone!$F$1,MATCH(J1280,Ottone!$A:$A,0)-1,MATCH(K1280,Ottone!$F$1:$FF$1,0)-1))*IF(G1280="Ottone",1,0)</f>
        <v>0</v>
      </c>
      <c r="T1280" s="205">
        <f ca="1">IF(ISERROR(OFFSET(Rame!$F$1,MATCH(J1280,Rame!$F:$F,0)-1,MATCH(K1280,Rame!$F$1:$FF$1,0)-1)=TRUE),0,OFFSET(Rame!$F$1,MATCH(J1280,Rame!$F:$F,0)-1,MATCH(K1280,Rame!$F$1:$FF$1,0)-1))*IF(G1280="Rame",1,0)</f>
        <v>0</v>
      </c>
      <c r="U1280" s="205">
        <f ca="1">IF(ISERROR(OFFSET(Bronzo!$A$1,MATCH(J1280,Bronzo!$A:$A,0)-1,MATCH(K1280,Bronzo!$A$1:$AA$1,0)-1)=TRUE),0,OFFSET(Bronzo!$A$1,MATCH(J1280,Bronzo!$A:$A,0)-1,MATCH(K1280,Bronzo!$A$1:$AA$1,0)-1))</f>
        <v>0</v>
      </c>
      <c r="V1280" s="205">
        <f t="shared" ca="1" si="348"/>
        <v>0</v>
      </c>
      <c r="W1280" s="204"/>
      <c r="X1280" s="205">
        <v>0</v>
      </c>
      <c r="Y1280" s="206">
        <f t="shared" ca="1" si="349"/>
        <v>0</v>
      </c>
      <c r="Z1280" s="277">
        <f t="shared" si="350"/>
        <v>0</v>
      </c>
      <c r="AA1280" s="203"/>
      <c r="AB1280" s="203">
        <f t="shared" ca="1" si="351"/>
        <v>0</v>
      </c>
      <c r="AC1280" s="238"/>
      <c r="AI1280" s="367">
        <f t="shared" ref="AI1280:AI1286" ca="1" si="358">TODAY()</f>
        <v>46092</v>
      </c>
      <c r="AJ1280" s="367" t="b">
        <f t="shared" si="352"/>
        <v>1</v>
      </c>
      <c r="AK1280" s="370" t="str">
        <f t="shared" si="353"/>
        <v/>
      </c>
      <c r="AN1280">
        <f t="shared" si="354"/>
        <v>0</v>
      </c>
      <c r="AO1280">
        <f t="shared" si="355"/>
        <v>1900</v>
      </c>
      <c r="AV1280">
        <f t="shared" si="356"/>
        <v>0</v>
      </c>
      <c r="AW1280">
        <f t="shared" si="357"/>
        <v>0</v>
      </c>
    </row>
    <row r="1281" spans="2:49" ht="15.75" x14ac:dyDescent="0.25">
      <c r="D1281" s="199"/>
      <c r="E1281" s="200"/>
      <c r="F1281" s="287"/>
      <c r="G1281" s="201"/>
      <c r="H1281" s="219"/>
      <c r="I1281" s="202"/>
      <c r="J1281" s="200"/>
      <c r="K1281" s="200"/>
      <c r="L1281" s="203"/>
      <c r="M1281" s="204">
        <f ca="1">IF(ISERROR(OFFSET(Tabella!$A$1,MATCH(J1281,Tabella!$A:$A,0)-1,MATCH(L1281,Tabella!$A$1:$AC$1,0)-1)=TRUE),0,+OFFSET(Tabella!$A$1,MATCH(J1281,Tabella!$A:$A,0)-1,MATCH(L1281,Tabella!$A$1:$AC$1,0)-1))</f>
        <v>0</v>
      </c>
      <c r="N1281" s="205">
        <f ca="1">IF(ISERROR(OFFSET(Ottone!$A$1,MATCH(J1281,Ottone!$A:$A,0)-1,MATCH(L1281,Ottone!$A$1:$Z$1,0)-1)=TRUE),0,OFFSET(Ottone!$A$1,MATCH(J1281,Ottone!$A:$A,0)-1,MATCH(L1281,Ottone!$A$1:$Z$1,0)-1))*IF(G1281="Ottone",1,0)</f>
        <v>0</v>
      </c>
      <c r="O1281" s="205">
        <f ca="1">IF(ISERROR(OFFSET(Rame!$A$1,MATCH(J1281,Rame!$A:$A,0)-1,MATCH(L1281,Rame!$A$1:$AA$1,0)-1)=TRUE),0,OFFSET(Rame!$A$1,MATCH(J1281,Rame!$A:$A,0)-1,MATCH(L1281,Rame!$A$1:$AA$1,0)-1))*IF(G1281="Rame",1,0)</f>
        <v>0</v>
      </c>
      <c r="P1281" s="205">
        <v>0</v>
      </c>
      <c r="Q1281" s="205">
        <f t="shared" ca="1" si="347"/>
        <v>0</v>
      </c>
      <c r="R1281" s="205">
        <f ca="1">+IF(ISERROR(OFFSET(Tabella!$G$1,MATCH(J1281,Tabella!$G:$G,0)-1,MATCH(K1281,Tabella!$G$1:$FG$1,0)-1)=TRUE),0,OFFSET(Tabella!$G$1,MATCH(J1281,Tabella!$G:$G,0)-1,MATCH(K1281,Tabella!$G$1:$AB$1,0)-1))</f>
        <v>0</v>
      </c>
      <c r="S1281" s="205">
        <f ca="1">IF(ISERROR(OFFSET(Ottone!$F$1,MATCH(J1281,Ottone!$A:$A,0)-1,MATCH(K1281,Ottone!$F$1:$FF$1,0)-1)=TRUE),0,OFFSET(Ottone!$F$1,MATCH(J1281,Ottone!$A:$A,0)-1,MATCH(K1281,Ottone!$F$1:$FF$1,0)-1))*IF(G1281="Ottone",1,0)</f>
        <v>0</v>
      </c>
      <c r="T1281" s="205">
        <f ca="1">IF(ISERROR(OFFSET(Rame!$F$1,MATCH(J1281,Rame!$F:$F,0)-1,MATCH(K1281,Rame!$F$1:$FF$1,0)-1)=TRUE),0,OFFSET(Rame!$F$1,MATCH(J1281,Rame!$F:$F,0)-1,MATCH(K1281,Rame!$F$1:$FF$1,0)-1))*IF(G1281="Rame",1,0)</f>
        <v>0</v>
      </c>
      <c r="U1281" s="205">
        <f ca="1">IF(ISERROR(OFFSET(Bronzo!$A$1,MATCH(J1281,Bronzo!$A:$A,0)-1,MATCH(K1281,Bronzo!$A$1:$AA$1,0)-1)=TRUE),0,OFFSET(Bronzo!$A$1,MATCH(J1281,Bronzo!$A:$A,0)-1,MATCH(K1281,Bronzo!$A$1:$AA$1,0)-1))</f>
        <v>0</v>
      </c>
      <c r="V1281" s="205">
        <f t="shared" ca="1" si="348"/>
        <v>0</v>
      </c>
      <c r="W1281" s="204"/>
      <c r="X1281" s="205">
        <v>0</v>
      </c>
      <c r="Y1281" s="206">
        <f t="shared" ca="1" si="349"/>
        <v>0</v>
      </c>
      <c r="Z1281" s="277">
        <f t="shared" si="350"/>
        <v>0</v>
      </c>
      <c r="AA1281" s="203"/>
      <c r="AB1281" s="203">
        <f t="shared" ca="1" si="351"/>
        <v>0</v>
      </c>
      <c r="AC1281" s="238"/>
      <c r="AI1281" s="367">
        <f t="shared" ca="1" si="358"/>
        <v>46092</v>
      </c>
      <c r="AJ1281" s="367" t="b">
        <f t="shared" si="352"/>
        <v>1</v>
      </c>
      <c r="AK1281" s="370" t="str">
        <f t="shared" si="353"/>
        <v/>
      </c>
      <c r="AN1281">
        <f t="shared" si="354"/>
        <v>0</v>
      </c>
      <c r="AO1281">
        <f t="shared" si="355"/>
        <v>1900</v>
      </c>
      <c r="AV1281">
        <f t="shared" si="356"/>
        <v>0</v>
      </c>
      <c r="AW1281">
        <f t="shared" si="357"/>
        <v>0</v>
      </c>
    </row>
    <row r="1282" spans="2:49" ht="15.75" x14ac:dyDescent="0.25">
      <c r="D1282" s="199"/>
      <c r="E1282" s="200"/>
      <c r="F1282" s="287"/>
      <c r="G1282" s="201"/>
      <c r="H1282" s="219"/>
      <c r="I1282" s="202"/>
      <c r="J1282" s="200"/>
      <c r="K1282" s="200"/>
      <c r="L1282" s="203"/>
      <c r="M1282" s="204">
        <f ca="1">IF(ISERROR(OFFSET(Tabella!$A$1,MATCH(J1282,Tabella!$A:$A,0)-1,MATCH(L1282,Tabella!$A$1:$AC$1,0)-1)=TRUE),0,+OFFSET(Tabella!$A$1,MATCH(J1282,Tabella!$A:$A,0)-1,MATCH(L1282,Tabella!$A$1:$AC$1,0)-1))</f>
        <v>0</v>
      </c>
      <c r="N1282" s="205">
        <f ca="1">IF(ISERROR(OFFSET(Ottone!$A$1,MATCH(J1282,Ottone!$A:$A,0)-1,MATCH(L1282,Ottone!$A$1:$Z$1,0)-1)=TRUE),0,OFFSET(Ottone!$A$1,MATCH(J1282,Ottone!$A:$A,0)-1,MATCH(L1282,Ottone!$A$1:$Z$1,0)-1))*IF(G1282="Ottone",1,0)</f>
        <v>0</v>
      </c>
      <c r="O1282" s="205">
        <f ca="1">IF(ISERROR(OFFSET(Rame!$A$1,MATCH(J1282,Rame!$A:$A,0)-1,MATCH(L1282,Rame!$A$1:$AA$1,0)-1)=TRUE),0,OFFSET(Rame!$A$1,MATCH(J1282,Rame!$A:$A,0)-1,MATCH(L1282,Rame!$A$1:$AA$1,0)-1))*IF(G1282="Rame",1,0)</f>
        <v>0</v>
      </c>
      <c r="P1282" s="205">
        <v>0</v>
      </c>
      <c r="Q1282" s="205">
        <f t="shared" ca="1" si="347"/>
        <v>0</v>
      </c>
      <c r="R1282" s="205">
        <f ca="1">+IF(ISERROR(OFFSET(Tabella!$G$1,MATCH(J1282,Tabella!$G:$G,0)-1,MATCH(K1282,Tabella!$G$1:$FG$1,0)-1)=TRUE),0,OFFSET(Tabella!$G$1,MATCH(J1282,Tabella!$G:$G,0)-1,MATCH(K1282,Tabella!$G$1:$AB$1,0)-1))</f>
        <v>0</v>
      </c>
      <c r="S1282" s="205">
        <f ca="1">IF(ISERROR(OFFSET(Ottone!$F$1,MATCH(J1282,Ottone!$A:$A,0)-1,MATCH(K1282,Ottone!$F$1:$FF$1,0)-1)=TRUE),0,OFFSET(Ottone!$F$1,MATCH(J1282,Ottone!$A:$A,0)-1,MATCH(K1282,Ottone!$F$1:$FF$1,0)-1))*IF(G1282="Ottone",1,0)</f>
        <v>0</v>
      </c>
      <c r="T1282" s="205">
        <f ca="1">IF(ISERROR(OFFSET(Rame!$F$1,MATCH(J1282,Rame!$F:$F,0)-1,MATCH(K1282,Rame!$F$1:$FF$1,0)-1)=TRUE),0,OFFSET(Rame!$F$1,MATCH(J1282,Rame!$F:$F,0)-1,MATCH(K1282,Rame!$F$1:$FF$1,0)-1))*IF(G1282="Rame",1,0)</f>
        <v>0</v>
      </c>
      <c r="U1282" s="205">
        <f ca="1">IF(ISERROR(OFFSET(Bronzo!$A$1,MATCH(J1282,Bronzo!$A:$A,0)-1,MATCH(K1282,Bronzo!$A$1:$AA$1,0)-1)=TRUE),0,OFFSET(Bronzo!$A$1,MATCH(J1282,Bronzo!$A:$A,0)-1,MATCH(K1282,Bronzo!$A$1:$AA$1,0)-1))</f>
        <v>0</v>
      </c>
      <c r="V1282" s="205">
        <f t="shared" ca="1" si="348"/>
        <v>0</v>
      </c>
      <c r="W1282" s="204"/>
      <c r="X1282" s="205">
        <v>0</v>
      </c>
      <c r="Y1282" s="206">
        <f t="shared" ca="1" si="349"/>
        <v>0</v>
      </c>
      <c r="Z1282" s="277">
        <f t="shared" si="350"/>
        <v>0</v>
      </c>
      <c r="AA1282" s="203"/>
      <c r="AB1282" s="203">
        <f t="shared" ca="1" si="351"/>
        <v>0</v>
      </c>
      <c r="AC1282" s="238"/>
      <c r="AI1282" s="367">
        <f t="shared" ca="1" si="358"/>
        <v>46092</v>
      </c>
      <c r="AJ1282" s="367" t="b">
        <f t="shared" si="352"/>
        <v>1</v>
      </c>
      <c r="AK1282" s="370" t="str">
        <f t="shared" si="353"/>
        <v/>
      </c>
      <c r="AN1282">
        <f t="shared" si="354"/>
        <v>0</v>
      </c>
      <c r="AO1282">
        <f t="shared" si="355"/>
        <v>1900</v>
      </c>
      <c r="AV1282">
        <f t="shared" si="356"/>
        <v>0</v>
      </c>
      <c r="AW1282">
        <f t="shared" si="357"/>
        <v>0</v>
      </c>
    </row>
    <row r="1283" spans="2:49" ht="15.75" x14ac:dyDescent="0.25">
      <c r="D1283" s="199"/>
      <c r="E1283" s="200"/>
      <c r="F1283" s="287"/>
      <c r="G1283" s="201"/>
      <c r="H1283" s="219"/>
      <c r="I1283" s="202"/>
      <c r="J1283" s="200"/>
      <c r="K1283" s="200"/>
      <c r="L1283" s="203"/>
      <c r="M1283" s="204">
        <f ca="1">IF(ISERROR(OFFSET(Tabella!$A$1,MATCH(J1283,Tabella!$A:$A,0)-1,MATCH(L1283,Tabella!$A$1:$AC$1,0)-1)=TRUE),0,+OFFSET(Tabella!$A$1,MATCH(J1283,Tabella!$A:$A,0)-1,MATCH(L1283,Tabella!$A$1:$AC$1,0)-1))</f>
        <v>0</v>
      </c>
      <c r="N1283" s="205">
        <f ca="1">IF(ISERROR(OFFSET(Ottone!$A$1,MATCH(J1283,Ottone!$A:$A,0)-1,MATCH(L1283,Ottone!$A$1:$Z$1,0)-1)=TRUE),0,OFFSET(Ottone!$A$1,MATCH(J1283,Ottone!$A:$A,0)-1,MATCH(L1283,Ottone!$A$1:$Z$1,0)-1))*IF(G1283="Ottone",1,0)</f>
        <v>0</v>
      </c>
      <c r="O1283" s="205">
        <f ca="1">IF(ISERROR(OFFSET(Rame!$A$1,MATCH(J1283,Rame!$A:$A,0)-1,MATCH(L1283,Rame!$A$1:$AA$1,0)-1)=TRUE),0,OFFSET(Rame!$A$1,MATCH(J1283,Rame!$A:$A,0)-1,MATCH(L1283,Rame!$A$1:$AA$1,0)-1))*IF(G1283="Rame",1,0)</f>
        <v>0</v>
      </c>
      <c r="P1283" s="205">
        <v>0</v>
      </c>
      <c r="Q1283" s="205">
        <f t="shared" ca="1" si="347"/>
        <v>0</v>
      </c>
      <c r="R1283" s="205">
        <f ca="1">+IF(ISERROR(OFFSET(Tabella!$G$1,MATCH(J1283,Tabella!$G:$G,0)-1,MATCH(K1283,Tabella!$G$1:$FG$1,0)-1)=TRUE),0,OFFSET(Tabella!$G$1,MATCH(J1283,Tabella!$G:$G,0)-1,MATCH(K1283,Tabella!$G$1:$AB$1,0)-1))</f>
        <v>0</v>
      </c>
      <c r="S1283" s="205">
        <f ca="1">IF(ISERROR(OFFSET(Ottone!$F$1,MATCH(J1283,Ottone!$A:$A,0)-1,MATCH(K1283,Ottone!$F$1:$FF$1,0)-1)=TRUE),0,OFFSET(Ottone!$F$1,MATCH(J1283,Ottone!$A:$A,0)-1,MATCH(K1283,Ottone!$F$1:$FF$1,0)-1))*IF(G1283="Ottone",1,0)</f>
        <v>0</v>
      </c>
      <c r="T1283" s="205">
        <f ca="1">IF(ISERROR(OFFSET(Rame!$F$1,MATCH(J1283,Rame!$F:$F,0)-1,MATCH(K1283,Rame!$F$1:$FF$1,0)-1)=TRUE),0,OFFSET(Rame!$F$1,MATCH(J1283,Rame!$F:$F,0)-1,MATCH(K1283,Rame!$F$1:$FF$1,0)-1))*IF(G1283="Rame",1,0)</f>
        <v>0</v>
      </c>
      <c r="U1283" s="205">
        <f ca="1">IF(ISERROR(OFFSET(Bronzo!$A$1,MATCH(J1283,Bronzo!$A:$A,0)-1,MATCH(K1283,Bronzo!$A$1:$AA$1,0)-1)=TRUE),0,OFFSET(Bronzo!$A$1,MATCH(J1283,Bronzo!$A:$A,0)-1,MATCH(K1283,Bronzo!$A$1:$AA$1,0)-1))</f>
        <v>0</v>
      </c>
      <c r="V1283" s="205">
        <f t="shared" ca="1" si="348"/>
        <v>0</v>
      </c>
      <c r="W1283" s="204"/>
      <c r="X1283" s="205">
        <v>0</v>
      </c>
      <c r="Y1283" s="206">
        <f t="shared" ca="1" si="349"/>
        <v>0</v>
      </c>
      <c r="Z1283" s="277">
        <f t="shared" si="350"/>
        <v>0</v>
      </c>
      <c r="AA1283" s="203"/>
      <c r="AB1283" s="203">
        <f t="shared" ca="1" si="351"/>
        <v>0</v>
      </c>
      <c r="AC1283" s="238"/>
      <c r="AI1283" s="367">
        <f t="shared" ca="1" si="358"/>
        <v>46092</v>
      </c>
      <c r="AJ1283" s="367" t="b">
        <f t="shared" si="352"/>
        <v>1</v>
      </c>
      <c r="AK1283" s="370" t="str">
        <f t="shared" si="353"/>
        <v/>
      </c>
      <c r="AN1283">
        <f t="shared" si="354"/>
        <v>0</v>
      </c>
      <c r="AO1283">
        <f t="shared" si="355"/>
        <v>1900</v>
      </c>
      <c r="AV1283">
        <f t="shared" si="356"/>
        <v>0</v>
      </c>
      <c r="AW1283">
        <f t="shared" si="357"/>
        <v>0</v>
      </c>
    </row>
    <row r="1284" spans="2:49" ht="15.75" x14ac:dyDescent="0.25">
      <c r="D1284" s="199"/>
      <c r="E1284" s="200"/>
      <c r="F1284" s="287"/>
      <c r="G1284" s="201"/>
      <c r="H1284" s="219"/>
      <c r="I1284" s="202"/>
      <c r="J1284" s="200"/>
      <c r="K1284" s="200"/>
      <c r="L1284" s="203"/>
      <c r="M1284" s="204">
        <f ca="1">IF(ISERROR(OFFSET(Tabella!$A$1,MATCH(J1284,Tabella!$A:$A,0)-1,MATCH(L1284,Tabella!$A$1:$AC$1,0)-1)=TRUE),0,+OFFSET(Tabella!$A$1,MATCH(J1284,Tabella!$A:$A,0)-1,MATCH(L1284,Tabella!$A$1:$AC$1,0)-1))</f>
        <v>0</v>
      </c>
      <c r="N1284" s="205">
        <f ca="1">IF(ISERROR(OFFSET(Ottone!$A$1,MATCH(J1284,Ottone!$A:$A,0)-1,MATCH(L1284,Ottone!$A$1:$Z$1,0)-1)=TRUE),0,OFFSET(Ottone!$A$1,MATCH(J1284,Ottone!$A:$A,0)-1,MATCH(L1284,Ottone!$A$1:$Z$1,0)-1))*IF(G1284="Ottone",1,0)</f>
        <v>0</v>
      </c>
      <c r="O1284" s="205">
        <f ca="1">IF(ISERROR(OFFSET(Rame!$A$1,MATCH(J1284,Rame!$A:$A,0)-1,MATCH(L1284,Rame!$A$1:$AA$1,0)-1)=TRUE),0,OFFSET(Rame!$A$1,MATCH(J1284,Rame!$A:$A,0)-1,MATCH(L1284,Rame!$A$1:$AA$1,0)-1))*IF(G1284="Rame",1,0)</f>
        <v>0</v>
      </c>
      <c r="P1284" s="205">
        <v>0</v>
      </c>
      <c r="Q1284" s="205">
        <f t="shared" ca="1" si="347"/>
        <v>0</v>
      </c>
      <c r="R1284" s="205">
        <f ca="1">+IF(ISERROR(OFFSET(Tabella!$G$1,MATCH(J1284,Tabella!$G:$G,0)-1,MATCH(K1284,Tabella!$G$1:$FG$1,0)-1)=TRUE),0,OFFSET(Tabella!$G$1,MATCH(J1284,Tabella!$G:$G,0)-1,MATCH(K1284,Tabella!$G$1:$AB$1,0)-1))</f>
        <v>0</v>
      </c>
      <c r="S1284" s="205">
        <f ca="1">IF(ISERROR(OFFSET(Ottone!$F$1,MATCH(J1284,Ottone!$A:$A,0)-1,MATCH(K1284,Ottone!$F$1:$FF$1,0)-1)=TRUE),0,OFFSET(Ottone!$F$1,MATCH(J1284,Ottone!$A:$A,0)-1,MATCH(K1284,Ottone!$F$1:$FF$1,0)-1))*IF(G1284="Ottone",1,0)</f>
        <v>0</v>
      </c>
      <c r="T1284" s="205">
        <f ca="1">IF(ISERROR(OFFSET(Rame!$F$1,MATCH(J1284,Rame!$F:$F,0)-1,MATCH(K1284,Rame!$F$1:$FF$1,0)-1)=TRUE),0,OFFSET(Rame!$F$1,MATCH(J1284,Rame!$F:$F,0)-1,MATCH(K1284,Rame!$F$1:$FF$1,0)-1))*IF(G1284="Rame",1,0)</f>
        <v>0</v>
      </c>
      <c r="U1284" s="205">
        <f ca="1">IF(ISERROR(OFFSET(Bronzo!$A$1,MATCH(J1284,Bronzo!$A:$A,0)-1,MATCH(K1284,Bronzo!$A$1:$AA$1,0)-1)=TRUE),0,OFFSET(Bronzo!$A$1,MATCH(J1284,Bronzo!$A:$A,0)-1,MATCH(K1284,Bronzo!$A$1:$AA$1,0)-1))</f>
        <v>0</v>
      </c>
      <c r="V1284" s="205">
        <f t="shared" ca="1" si="348"/>
        <v>0</v>
      </c>
      <c r="W1284" s="204"/>
      <c r="X1284" s="205">
        <v>0</v>
      </c>
      <c r="Y1284" s="206">
        <f t="shared" ca="1" si="349"/>
        <v>0</v>
      </c>
      <c r="Z1284" s="277">
        <f t="shared" si="350"/>
        <v>0</v>
      </c>
      <c r="AA1284" s="203"/>
      <c r="AB1284" s="203">
        <f t="shared" ca="1" si="351"/>
        <v>0</v>
      </c>
      <c r="AC1284" s="238"/>
      <c r="AI1284" s="367">
        <f t="shared" ca="1" si="358"/>
        <v>46092</v>
      </c>
      <c r="AJ1284" s="367" t="b">
        <f t="shared" si="352"/>
        <v>1</v>
      </c>
      <c r="AK1284" s="370" t="str">
        <f t="shared" si="353"/>
        <v/>
      </c>
      <c r="AN1284">
        <f t="shared" si="354"/>
        <v>0</v>
      </c>
      <c r="AO1284">
        <f t="shared" si="355"/>
        <v>1900</v>
      </c>
      <c r="AV1284">
        <f t="shared" si="356"/>
        <v>0</v>
      </c>
      <c r="AW1284">
        <f t="shared" si="357"/>
        <v>0</v>
      </c>
    </row>
    <row r="1285" spans="2:49" ht="15.75" x14ac:dyDescent="0.25">
      <c r="D1285" s="199"/>
      <c r="E1285" s="200"/>
      <c r="F1285" s="287"/>
      <c r="G1285" s="201"/>
      <c r="H1285" s="219"/>
      <c r="I1285" s="202"/>
      <c r="J1285" s="200"/>
      <c r="K1285" s="200"/>
      <c r="L1285" s="203"/>
      <c r="M1285" s="204">
        <f ca="1">IF(ISERROR(OFFSET(Tabella!$A$1,MATCH(J1285,Tabella!$A:$A,0)-1,MATCH(L1285,Tabella!$A$1:$AC$1,0)-1)=TRUE),0,+OFFSET(Tabella!$A$1,MATCH(J1285,Tabella!$A:$A,0)-1,MATCH(L1285,Tabella!$A$1:$AC$1,0)-1))</f>
        <v>0</v>
      </c>
      <c r="N1285" s="205">
        <f ca="1">IF(ISERROR(OFFSET(Ottone!$A$1,MATCH(J1285,Ottone!$A:$A,0)-1,MATCH(L1285,Ottone!$A$1:$Z$1,0)-1)=TRUE),0,OFFSET(Ottone!$A$1,MATCH(J1285,Ottone!$A:$A,0)-1,MATCH(L1285,Ottone!$A$1:$Z$1,0)-1))*IF(G1285="Ottone",1,0)</f>
        <v>0</v>
      </c>
      <c r="O1285" s="205">
        <f ca="1">IF(ISERROR(OFFSET(Rame!$A$1,MATCH(J1285,Rame!$A:$A,0)-1,MATCH(L1285,Rame!$A$1:$AA$1,0)-1)=TRUE),0,OFFSET(Rame!$A$1,MATCH(J1285,Rame!$A:$A,0)-1,MATCH(L1285,Rame!$A$1:$AA$1,0)-1))*IF(G1285="Rame",1,0)</f>
        <v>0</v>
      </c>
      <c r="P1285" s="205">
        <v>0</v>
      </c>
      <c r="Q1285" s="205">
        <f t="shared" ca="1" si="347"/>
        <v>0</v>
      </c>
      <c r="R1285" s="205">
        <f ca="1">+IF(ISERROR(OFFSET(Tabella!$G$1,MATCH(J1285,Tabella!$G:$G,0)-1,MATCH(K1285,Tabella!$G$1:$FG$1,0)-1)=TRUE),0,OFFSET(Tabella!$G$1,MATCH(J1285,Tabella!$G:$G,0)-1,MATCH(K1285,Tabella!$G$1:$AB$1,0)-1))</f>
        <v>0</v>
      </c>
      <c r="S1285" s="205">
        <f ca="1">IF(ISERROR(OFFSET(Ottone!$F$1,MATCH(J1285,Ottone!$A:$A,0)-1,MATCH(K1285,Ottone!$F$1:$FF$1,0)-1)=TRUE),0,OFFSET(Ottone!$F$1,MATCH(J1285,Ottone!$A:$A,0)-1,MATCH(K1285,Ottone!$F$1:$FF$1,0)-1))*IF(G1285="Ottone",1,0)</f>
        <v>0</v>
      </c>
      <c r="T1285" s="205">
        <f ca="1">IF(ISERROR(OFFSET(Rame!$F$1,MATCH(J1285,Rame!$F:$F,0)-1,MATCH(K1285,Rame!$F$1:$FF$1,0)-1)=TRUE),0,OFFSET(Rame!$F$1,MATCH(J1285,Rame!$F:$F,0)-1,MATCH(K1285,Rame!$F$1:$FF$1,0)-1))*IF(G1285="Rame",1,0)</f>
        <v>0</v>
      </c>
      <c r="U1285" s="205">
        <f ca="1">IF(ISERROR(OFFSET(Bronzo!$A$1,MATCH(J1285,Bronzo!$A:$A,0)-1,MATCH(K1285,Bronzo!$A$1:$AA$1,0)-1)=TRUE),0,OFFSET(Bronzo!$A$1,MATCH(J1285,Bronzo!$A:$A,0)-1,MATCH(K1285,Bronzo!$A$1:$AA$1,0)-1))</f>
        <v>0</v>
      </c>
      <c r="V1285" s="205">
        <f t="shared" ca="1" si="348"/>
        <v>0</v>
      </c>
      <c r="W1285" s="204"/>
      <c r="X1285" s="205">
        <v>0</v>
      </c>
      <c r="Y1285" s="206">
        <f t="shared" ca="1" si="349"/>
        <v>0</v>
      </c>
      <c r="Z1285" s="277">
        <f t="shared" si="350"/>
        <v>0</v>
      </c>
      <c r="AA1285" s="203"/>
      <c r="AB1285" s="203">
        <f t="shared" ca="1" si="351"/>
        <v>0</v>
      </c>
      <c r="AC1285" s="238"/>
      <c r="AI1285" s="367">
        <f t="shared" ca="1" si="358"/>
        <v>46092</v>
      </c>
      <c r="AJ1285" s="367" t="b">
        <f t="shared" si="352"/>
        <v>1</v>
      </c>
      <c r="AK1285" s="370" t="str">
        <f t="shared" si="353"/>
        <v/>
      </c>
      <c r="AN1285">
        <f t="shared" si="354"/>
        <v>0</v>
      </c>
      <c r="AO1285">
        <f t="shared" si="355"/>
        <v>1900</v>
      </c>
      <c r="AV1285">
        <f t="shared" si="356"/>
        <v>0</v>
      </c>
      <c r="AW1285">
        <f t="shared" si="357"/>
        <v>0</v>
      </c>
    </row>
    <row r="1286" spans="2:49" ht="15.75" x14ac:dyDescent="0.25">
      <c r="D1286" s="199"/>
      <c r="E1286" s="200"/>
      <c r="F1286" s="287"/>
      <c r="G1286" s="201"/>
      <c r="H1286" s="219"/>
      <c r="I1286" s="202"/>
      <c r="J1286" s="200"/>
      <c r="K1286" s="200"/>
      <c r="L1286" s="203"/>
      <c r="M1286" s="204">
        <f ca="1">IF(ISERROR(OFFSET(Tabella!$A$1,MATCH(J1286,Tabella!$A:$A,0)-1,MATCH(L1286,Tabella!$A$1:$AC$1,0)-1)=TRUE),0,+OFFSET(Tabella!$A$1,MATCH(J1286,Tabella!$A:$A,0)-1,MATCH(L1286,Tabella!$A$1:$AC$1,0)-1))</f>
        <v>0</v>
      </c>
      <c r="N1286" s="205">
        <f ca="1">IF(ISERROR(OFFSET(Ottone!$A$1,MATCH(J1286,Ottone!$A:$A,0)-1,MATCH(L1286,Ottone!$A$1:$Z$1,0)-1)=TRUE),0,OFFSET(Ottone!$A$1,MATCH(J1286,Ottone!$A:$A,0)-1,MATCH(L1286,Ottone!$A$1:$Z$1,0)-1))*IF(G1286="Ottone",1,0)</f>
        <v>0</v>
      </c>
      <c r="O1286" s="205">
        <f ca="1">IF(ISERROR(OFFSET(Rame!$A$1,MATCH(J1286,Rame!$A:$A,0)-1,MATCH(L1286,Rame!$A$1:$AA$1,0)-1)=TRUE),0,OFFSET(Rame!$A$1,MATCH(J1286,Rame!$A:$A,0)-1,MATCH(L1286,Rame!$A$1:$AA$1,0)-1))*IF(G1286="Rame",1,0)</f>
        <v>0</v>
      </c>
      <c r="P1286" s="205">
        <v>0</v>
      </c>
      <c r="Q1286" s="205">
        <f t="shared" ca="1" si="347"/>
        <v>0</v>
      </c>
      <c r="R1286" s="205">
        <f ca="1">+IF(ISERROR(OFFSET(Tabella!$G$1,MATCH(J1286,Tabella!$G:$G,0)-1,MATCH(K1286,Tabella!$G$1:$FG$1,0)-1)=TRUE),0,OFFSET(Tabella!$G$1,MATCH(J1286,Tabella!$G:$G,0)-1,MATCH(K1286,Tabella!$G$1:$AB$1,0)-1))</f>
        <v>0</v>
      </c>
      <c r="S1286" s="205">
        <f ca="1">IF(ISERROR(OFFSET(Ottone!$F$1,MATCH(J1286,Ottone!$A:$A,0)-1,MATCH(K1286,Ottone!$F$1:$FF$1,0)-1)=TRUE),0,OFFSET(Ottone!$F$1,MATCH(J1286,Ottone!$A:$A,0)-1,MATCH(K1286,Ottone!$F$1:$FF$1,0)-1))*IF(G1286="Ottone",1,0)</f>
        <v>0</v>
      </c>
      <c r="T1286" s="205">
        <f ca="1">IF(ISERROR(OFFSET(Rame!$F$1,MATCH(J1286,Rame!$F:$F,0)-1,MATCH(K1286,Rame!$F$1:$FF$1,0)-1)=TRUE),0,OFFSET(Rame!$F$1,MATCH(J1286,Rame!$F:$F,0)-1,MATCH(K1286,Rame!$F$1:$FF$1,0)-1))*IF(G1286="Rame",1,0)</f>
        <v>0</v>
      </c>
      <c r="U1286" s="205">
        <f ca="1">IF(ISERROR(OFFSET(Bronzo!$A$1,MATCH(J1286,Bronzo!$A:$A,0)-1,MATCH(K1286,Bronzo!$A$1:$AA$1,0)-1)=TRUE),0,OFFSET(Bronzo!$A$1,MATCH(J1286,Bronzo!$A:$A,0)-1,MATCH(K1286,Bronzo!$A$1:$AA$1,0)-1))</f>
        <v>0</v>
      </c>
      <c r="V1286" s="205">
        <f t="shared" ca="1" si="348"/>
        <v>0</v>
      </c>
      <c r="W1286" s="204"/>
      <c r="X1286" s="205">
        <v>0</v>
      </c>
      <c r="Y1286" s="206">
        <f t="shared" ca="1" si="349"/>
        <v>0</v>
      </c>
      <c r="Z1286" s="277">
        <f t="shared" si="350"/>
        <v>0</v>
      </c>
      <c r="AA1286" s="203"/>
      <c r="AB1286" s="203">
        <f t="shared" ca="1" si="351"/>
        <v>0</v>
      </c>
      <c r="AC1286" s="238"/>
      <c r="AI1286" s="367">
        <f t="shared" ca="1" si="358"/>
        <v>46092</v>
      </c>
      <c r="AJ1286" s="367" t="b">
        <f t="shared" si="352"/>
        <v>1</v>
      </c>
      <c r="AK1286" s="370" t="str">
        <f t="shared" si="353"/>
        <v/>
      </c>
      <c r="AN1286">
        <f t="shared" si="354"/>
        <v>0</v>
      </c>
      <c r="AO1286">
        <f t="shared" si="355"/>
        <v>1900</v>
      </c>
      <c r="AV1286">
        <f t="shared" si="356"/>
        <v>0</v>
      </c>
      <c r="AW1286">
        <f t="shared" si="357"/>
        <v>0</v>
      </c>
    </row>
    <row r="1287" spans="2:49" ht="15.75" x14ac:dyDescent="0.25">
      <c r="D1287" s="199"/>
      <c r="E1287" s="200"/>
      <c r="F1287" s="287"/>
      <c r="G1287" s="201"/>
      <c r="H1287" s="219"/>
      <c r="I1287" s="202"/>
      <c r="J1287" s="200"/>
      <c r="K1287" s="200"/>
      <c r="L1287" s="203"/>
      <c r="M1287" s="204">
        <f ca="1">IF(ISERROR(OFFSET(Tabella!$A$1,MATCH(J1287,Tabella!$A:$A,0)-1,MATCH(L1287,Tabella!$A$1:$AC$1,0)-1)=TRUE),0,+OFFSET(Tabella!$A$1,MATCH(J1287,Tabella!$A:$A,0)-1,MATCH(L1287,Tabella!$A$1:$AC$1,0)-1))</f>
        <v>0</v>
      </c>
      <c r="N1287" s="205">
        <f ca="1">IF(ISERROR(OFFSET(Ottone!$A$1,MATCH(J1287,Ottone!$A:$A,0)-1,MATCH(L1287,Ottone!$A$1:$Z$1,0)-1)=TRUE),0,OFFSET(Ottone!$A$1,MATCH(J1287,Ottone!$A:$A,0)-1,MATCH(L1287,Ottone!$A$1:$Z$1,0)-1))*IF(G1287="Ottone",1,0)</f>
        <v>0</v>
      </c>
      <c r="O1287" s="205">
        <f ca="1">IF(ISERROR(OFFSET(Rame!$A$1,MATCH(J1287,Rame!$A:$A,0)-1,MATCH(L1287,Rame!$A$1:$AA$1,0)-1)=TRUE),0,OFFSET(Rame!$A$1,MATCH(J1287,Rame!$A:$A,0)-1,MATCH(L1287,Rame!$A$1:$AA$1,0)-1))*IF(G1287="Rame",1,0)</f>
        <v>0</v>
      </c>
      <c r="P1287" s="205">
        <v>0</v>
      </c>
      <c r="Q1287" s="205">
        <f t="shared" ref="Q1287:Q1290" ca="1" si="359">SUM(M1287:P1287)</f>
        <v>0</v>
      </c>
      <c r="R1287" s="205">
        <f ca="1">+IF(ISERROR(OFFSET(Tabella!$G$1,MATCH(J1287,Tabella!$G:$G,0)-1,MATCH(K1287,Tabella!$G$1:$FG$1,0)-1)=TRUE),0,OFFSET(Tabella!$G$1,MATCH(J1287,Tabella!$G:$G,0)-1,MATCH(K1287,Tabella!$G$1:$AB$1,0)-1))</f>
        <v>0</v>
      </c>
      <c r="S1287" s="205">
        <f ca="1">IF(ISERROR(OFFSET(Ottone!$F$1,MATCH(J1287,Ottone!$A:$A,0)-1,MATCH(K1287,Ottone!$F$1:$FF$1,0)-1)=TRUE),0,OFFSET(Ottone!$F$1,MATCH(J1287,Ottone!$A:$A,0)-1,MATCH(K1287,Ottone!$F$1:$FF$1,0)-1))*IF(G1287="Ottone",1,0)</f>
        <v>0</v>
      </c>
      <c r="T1287" s="205">
        <f ca="1">IF(ISERROR(OFFSET(Rame!$F$1,MATCH(J1287,Rame!$F:$F,0)-1,MATCH(K1287,Rame!$F$1:$FF$1,0)-1)=TRUE),0,OFFSET(Rame!$F$1,MATCH(J1287,Rame!$F:$F,0)-1,MATCH(K1287,Rame!$F$1:$FF$1,0)-1))*IF(G1287="Rame",1,0)</f>
        <v>0</v>
      </c>
      <c r="U1287" s="205">
        <f ca="1">IF(ISERROR(OFFSET(Bronzo!$A$1,MATCH(J1287,Bronzo!$A:$A,0)-1,MATCH(K1287,Bronzo!$A$1:$AA$1,0)-1)=TRUE),0,OFFSET(Bronzo!$A$1,MATCH(J1287,Bronzo!$A:$A,0)-1,MATCH(K1287,Bronzo!$A$1:$AA$1,0)-1))</f>
        <v>0</v>
      </c>
      <c r="V1287" s="205">
        <f t="shared" ref="V1287:V1290" ca="1" si="360">SUM(R1287:U1287)</f>
        <v>0</v>
      </c>
      <c r="W1287" s="204"/>
      <c r="X1287" s="205">
        <v>0</v>
      </c>
      <c r="Y1287" s="206">
        <f t="shared" ref="Y1287:Y1290" ca="1" si="361">+Q1287+V1287+W1287+X1287</f>
        <v>0</v>
      </c>
      <c r="Z1287" s="277">
        <f t="shared" ref="Z1287:Z1290" si="362">+L1287*F1287</f>
        <v>0</v>
      </c>
      <c r="AA1287" s="203"/>
      <c r="AB1287" s="203">
        <f t="shared" ref="AB1287:AB1290" ca="1" si="363">+AA1287-Y1287-H1287</f>
        <v>0</v>
      </c>
      <c r="AC1287" s="238"/>
      <c r="AI1287" s="367">
        <f t="shared" ca="1" si="40"/>
        <v>46092</v>
      </c>
      <c r="AJ1287" s="367" t="b">
        <f t="shared" ref="AJ1287:AJ1290" si="364">ISBLANK(AC1287)</f>
        <v>1</v>
      </c>
      <c r="AK1287" s="370" t="str">
        <f t="shared" ref="AK1287:AK1290" si="365">IF(AJ1287=FALSE,_xlfn.DAYS(AC1287,AI1287),"")</f>
        <v/>
      </c>
      <c r="AN1287">
        <f t="shared" ref="AN1287:AN1290" si="366">WEEKNUM(AC1287)</f>
        <v>0</v>
      </c>
      <c r="AO1287">
        <f t="shared" ref="AO1287:AO1290" si="367">YEAR(AC1287)</f>
        <v>1900</v>
      </c>
      <c r="AV1287">
        <f t="shared" ref="AV1287:AV1290" si="368">IF(AC1287="",0,MONTH(AC1287))</f>
        <v>0</v>
      </c>
      <c r="AW1287">
        <f t="shared" ref="AW1287:AW1290" si="369">IF(AC1287="",0,YEAR(AC1287))</f>
        <v>0</v>
      </c>
    </row>
    <row r="1288" spans="2:49" ht="15.75" x14ac:dyDescent="0.25">
      <c r="D1288" s="199"/>
      <c r="E1288" s="200"/>
      <c r="F1288" s="287"/>
      <c r="G1288" s="201"/>
      <c r="H1288" s="219"/>
      <c r="I1288" s="202"/>
      <c r="J1288" s="200"/>
      <c r="K1288" s="200"/>
      <c r="L1288" s="203"/>
      <c r="M1288" s="204">
        <f ca="1">IF(ISERROR(OFFSET(Tabella!$A$1,MATCH(J1288,Tabella!$A:$A,0)-1,MATCH(L1288,Tabella!$A$1:$AC$1,0)-1)=TRUE),0,+OFFSET(Tabella!$A$1,MATCH(J1288,Tabella!$A:$A,0)-1,MATCH(L1288,Tabella!$A$1:$AC$1,0)-1))</f>
        <v>0</v>
      </c>
      <c r="N1288" s="205">
        <f ca="1">IF(ISERROR(OFFSET(Ottone!$A$1,MATCH(J1288,Ottone!$A:$A,0)-1,MATCH(L1288,Ottone!$A$1:$Z$1,0)-1)=TRUE),0,OFFSET(Ottone!$A$1,MATCH(J1288,Ottone!$A:$A,0)-1,MATCH(L1288,Ottone!$A$1:$Z$1,0)-1))*IF(G1288="Ottone",1,0)</f>
        <v>0</v>
      </c>
      <c r="O1288" s="205">
        <f ca="1">IF(ISERROR(OFFSET(Rame!$A$1,MATCH(J1288,Rame!$A:$A,0)-1,MATCH(L1288,Rame!$A$1:$AA$1,0)-1)=TRUE),0,OFFSET(Rame!$A$1,MATCH(J1288,Rame!$A:$A,0)-1,MATCH(L1288,Rame!$A$1:$AA$1,0)-1))*IF(G1288="Rame",1,0)</f>
        <v>0</v>
      </c>
      <c r="P1288" s="205">
        <v>0</v>
      </c>
      <c r="Q1288" s="205">
        <f t="shared" ca="1" si="359"/>
        <v>0</v>
      </c>
      <c r="R1288" s="205">
        <f ca="1">+IF(ISERROR(OFFSET(Tabella!$G$1,MATCH(J1288,Tabella!$G:$G,0)-1,MATCH(K1288,Tabella!$G$1:$FG$1,0)-1)=TRUE),0,OFFSET(Tabella!$G$1,MATCH(J1288,Tabella!$G:$G,0)-1,MATCH(K1288,Tabella!$G$1:$AB$1,0)-1))</f>
        <v>0</v>
      </c>
      <c r="S1288" s="205">
        <f ca="1">IF(ISERROR(OFFSET(Ottone!$F$1,MATCH(J1288,Ottone!$A:$A,0)-1,MATCH(K1288,Ottone!$F$1:$FF$1,0)-1)=TRUE),0,OFFSET(Ottone!$F$1,MATCH(J1288,Ottone!$A:$A,0)-1,MATCH(K1288,Ottone!$F$1:$FF$1,0)-1))*IF(G1288="Ottone",1,0)</f>
        <v>0</v>
      </c>
      <c r="T1288" s="205">
        <f ca="1">IF(ISERROR(OFFSET(Rame!$F$1,MATCH(J1288,Rame!$F:$F,0)-1,MATCH(K1288,Rame!$F$1:$FF$1,0)-1)=TRUE),0,OFFSET(Rame!$F$1,MATCH(J1288,Rame!$F:$F,0)-1,MATCH(K1288,Rame!$F$1:$FF$1,0)-1))*IF(G1288="Rame",1,0)</f>
        <v>0</v>
      </c>
      <c r="U1288" s="205">
        <f ca="1">IF(ISERROR(OFFSET(Bronzo!$A$1,MATCH(J1288,Bronzo!$A:$A,0)-1,MATCH(K1288,Bronzo!$A$1:$AA$1,0)-1)=TRUE),0,OFFSET(Bronzo!$A$1,MATCH(J1288,Bronzo!$A:$A,0)-1,MATCH(K1288,Bronzo!$A$1:$AA$1,0)-1))</f>
        <v>0</v>
      </c>
      <c r="V1288" s="205">
        <f t="shared" ca="1" si="360"/>
        <v>0</v>
      </c>
      <c r="W1288" s="204"/>
      <c r="X1288" s="205">
        <v>0</v>
      </c>
      <c r="Y1288" s="206">
        <f t="shared" ca="1" si="361"/>
        <v>0</v>
      </c>
      <c r="Z1288" s="277">
        <f t="shared" si="362"/>
        <v>0</v>
      </c>
      <c r="AA1288" s="203"/>
      <c r="AB1288" s="203">
        <f t="shared" ca="1" si="363"/>
        <v>0</v>
      </c>
      <c r="AC1288" s="238"/>
      <c r="AI1288" s="367">
        <f t="shared" ca="1" si="40"/>
        <v>46092</v>
      </c>
      <c r="AJ1288" s="367" t="b">
        <f t="shared" si="364"/>
        <v>1</v>
      </c>
      <c r="AK1288" s="370" t="str">
        <f t="shared" si="365"/>
        <v/>
      </c>
      <c r="AN1288">
        <f t="shared" si="366"/>
        <v>0</v>
      </c>
      <c r="AO1288">
        <f t="shared" si="367"/>
        <v>1900</v>
      </c>
      <c r="AV1288">
        <f t="shared" si="368"/>
        <v>0</v>
      </c>
      <c r="AW1288">
        <f t="shared" si="369"/>
        <v>0</v>
      </c>
    </row>
    <row r="1289" spans="2:49" ht="15.75" x14ac:dyDescent="0.25">
      <c r="D1289" s="199"/>
      <c r="E1289" s="200"/>
      <c r="F1289" s="287"/>
      <c r="G1289" s="201"/>
      <c r="H1289" s="219"/>
      <c r="I1289" s="202"/>
      <c r="J1289" s="200"/>
      <c r="K1289" s="200"/>
      <c r="L1289" s="203"/>
      <c r="M1289" s="204">
        <f ca="1">IF(ISERROR(OFFSET(Tabella!$A$1,MATCH(J1289,Tabella!$A:$A,0)-1,MATCH(L1289,Tabella!$A$1:$AC$1,0)-1)=TRUE),0,+OFFSET(Tabella!$A$1,MATCH(J1289,Tabella!$A:$A,0)-1,MATCH(L1289,Tabella!$A$1:$AC$1,0)-1))</f>
        <v>0</v>
      </c>
      <c r="N1289" s="205">
        <f ca="1">IF(ISERROR(OFFSET(Ottone!$A$1,MATCH(J1289,Ottone!$A:$A,0)-1,MATCH(L1289,Ottone!$A$1:$Z$1,0)-1)=TRUE),0,OFFSET(Ottone!$A$1,MATCH(J1289,Ottone!$A:$A,0)-1,MATCH(L1289,Ottone!$A$1:$Z$1,0)-1))*IF(G1289="Ottone",1,0)</f>
        <v>0</v>
      </c>
      <c r="O1289" s="205">
        <f ca="1">IF(ISERROR(OFFSET(Rame!$A$1,MATCH(J1289,Rame!$A:$A,0)-1,MATCH(L1289,Rame!$A$1:$AA$1,0)-1)=TRUE),0,OFFSET(Rame!$A$1,MATCH(J1289,Rame!$A:$A,0)-1,MATCH(L1289,Rame!$A$1:$AA$1,0)-1))*IF(G1289="Rame",1,0)</f>
        <v>0</v>
      </c>
      <c r="P1289" s="205">
        <v>0</v>
      </c>
      <c r="Q1289" s="205">
        <f t="shared" ca="1" si="359"/>
        <v>0</v>
      </c>
      <c r="R1289" s="205">
        <f ca="1">+IF(ISERROR(OFFSET(Tabella!$G$1,MATCH(J1289,Tabella!$G:$G,0)-1,MATCH(K1289,Tabella!$G$1:$FG$1,0)-1)=TRUE),0,OFFSET(Tabella!$G$1,MATCH(J1289,Tabella!$G:$G,0)-1,MATCH(K1289,Tabella!$G$1:$AB$1,0)-1))</f>
        <v>0</v>
      </c>
      <c r="S1289" s="205">
        <f ca="1">IF(ISERROR(OFFSET(Ottone!$F$1,MATCH(J1289,Ottone!$A:$A,0)-1,MATCH(K1289,Ottone!$F$1:$FF$1,0)-1)=TRUE),0,OFFSET(Ottone!$F$1,MATCH(J1289,Ottone!$A:$A,0)-1,MATCH(K1289,Ottone!$F$1:$FF$1,0)-1))*IF(G1289="Ottone",1,0)</f>
        <v>0</v>
      </c>
      <c r="T1289" s="205">
        <f ca="1">IF(ISERROR(OFFSET(Rame!$F$1,MATCH(J1289,Rame!$F:$F,0)-1,MATCH(K1289,Rame!$F$1:$FF$1,0)-1)=TRUE),0,OFFSET(Rame!$F$1,MATCH(J1289,Rame!$F:$F,0)-1,MATCH(K1289,Rame!$F$1:$FF$1,0)-1))*IF(G1289="Rame",1,0)</f>
        <v>0</v>
      </c>
      <c r="U1289" s="205">
        <f ca="1">IF(ISERROR(OFFSET(Bronzo!$A$1,MATCH(J1289,Bronzo!$A:$A,0)-1,MATCH(K1289,Bronzo!$A$1:$AA$1,0)-1)=TRUE),0,OFFSET(Bronzo!$A$1,MATCH(J1289,Bronzo!$A:$A,0)-1,MATCH(K1289,Bronzo!$A$1:$AA$1,0)-1))</f>
        <v>0</v>
      </c>
      <c r="V1289" s="205">
        <f t="shared" ca="1" si="360"/>
        <v>0</v>
      </c>
      <c r="W1289" s="204"/>
      <c r="X1289" s="205">
        <v>0</v>
      </c>
      <c r="Y1289" s="206">
        <f t="shared" ca="1" si="361"/>
        <v>0</v>
      </c>
      <c r="Z1289" s="277">
        <f t="shared" si="362"/>
        <v>0</v>
      </c>
      <c r="AA1289" s="203"/>
      <c r="AB1289" s="203">
        <f t="shared" ca="1" si="363"/>
        <v>0</v>
      </c>
      <c r="AC1289" s="238"/>
      <c r="AI1289" s="367">
        <f t="shared" ca="1" si="40"/>
        <v>46092</v>
      </c>
      <c r="AJ1289" s="367" t="b">
        <f t="shared" si="364"/>
        <v>1</v>
      </c>
      <c r="AK1289" s="370" t="str">
        <f t="shared" si="365"/>
        <v/>
      </c>
      <c r="AN1289">
        <f t="shared" si="366"/>
        <v>0</v>
      </c>
      <c r="AO1289">
        <f t="shared" si="367"/>
        <v>1900</v>
      </c>
      <c r="AV1289">
        <f t="shared" si="368"/>
        <v>0</v>
      </c>
      <c r="AW1289">
        <f t="shared" si="369"/>
        <v>0</v>
      </c>
    </row>
    <row r="1290" spans="2:49" ht="15.75" x14ac:dyDescent="0.25">
      <c r="D1290" s="199"/>
      <c r="E1290" s="200"/>
      <c r="F1290" s="287"/>
      <c r="G1290" s="201"/>
      <c r="H1290" s="219"/>
      <c r="I1290" s="202"/>
      <c r="J1290" s="200"/>
      <c r="K1290" s="200"/>
      <c r="L1290" s="203"/>
      <c r="M1290" s="204">
        <f ca="1">IF(ISERROR(OFFSET(Tabella!$A$1,MATCH(J1290,Tabella!$A:$A,0)-1,MATCH(L1290,Tabella!$A$1:$AC$1,0)-1)=TRUE),0,+OFFSET(Tabella!$A$1,MATCH(J1290,Tabella!$A:$A,0)-1,MATCH(L1290,Tabella!$A$1:$AC$1,0)-1))</f>
        <v>0</v>
      </c>
      <c r="N1290" s="205">
        <f ca="1">IF(ISERROR(OFFSET(Ottone!$A$1,MATCH(J1290,Ottone!$A:$A,0)-1,MATCH(L1290,Ottone!$A$1:$Z$1,0)-1)=TRUE),0,OFFSET(Ottone!$A$1,MATCH(J1290,Ottone!$A:$A,0)-1,MATCH(L1290,Ottone!$A$1:$Z$1,0)-1))*IF(G1290="Ottone",1,0)</f>
        <v>0</v>
      </c>
      <c r="O1290" s="205">
        <f ca="1">IF(ISERROR(OFFSET(Rame!$A$1,MATCH(J1290,Rame!$A:$A,0)-1,MATCH(L1290,Rame!$A$1:$AA$1,0)-1)=TRUE),0,OFFSET(Rame!$A$1,MATCH(J1290,Rame!$A:$A,0)-1,MATCH(L1290,Rame!$A$1:$AA$1,0)-1))*IF(G1290="Rame",1,0)</f>
        <v>0</v>
      </c>
      <c r="P1290" s="205">
        <v>0</v>
      </c>
      <c r="Q1290" s="205">
        <f t="shared" ca="1" si="359"/>
        <v>0</v>
      </c>
      <c r="R1290" s="205">
        <f ca="1">+IF(ISERROR(OFFSET(Tabella!$G$1,MATCH(J1290,Tabella!$G:$G,0)-1,MATCH(K1290,Tabella!$G$1:$FG$1,0)-1)=TRUE),0,OFFSET(Tabella!$G$1,MATCH(J1290,Tabella!$G:$G,0)-1,MATCH(K1290,Tabella!$G$1:$AB$1,0)-1))</f>
        <v>0</v>
      </c>
      <c r="S1290" s="205">
        <f ca="1">IF(ISERROR(OFFSET(Ottone!$F$1,MATCH(J1290,Ottone!$A:$A,0)-1,MATCH(K1290,Ottone!$F$1:$FF$1,0)-1)=TRUE),0,OFFSET(Ottone!$F$1,MATCH(J1290,Ottone!$A:$A,0)-1,MATCH(K1290,Ottone!$F$1:$FF$1,0)-1))*IF(G1290="Ottone",1,0)</f>
        <v>0</v>
      </c>
      <c r="T1290" s="205">
        <f ca="1">IF(ISERROR(OFFSET(Rame!$F$1,MATCH(J1290,Rame!$F:$F,0)-1,MATCH(K1290,Rame!$F$1:$FF$1,0)-1)=TRUE),0,OFFSET(Rame!$F$1,MATCH(J1290,Rame!$F:$F,0)-1,MATCH(K1290,Rame!$F$1:$FF$1,0)-1))*IF(G1290="Rame",1,0)</f>
        <v>0</v>
      </c>
      <c r="U1290" s="205">
        <f ca="1">IF(ISERROR(OFFSET(Bronzo!$A$1,MATCH(J1290,Bronzo!$A:$A,0)-1,MATCH(K1290,Bronzo!$A$1:$AA$1,0)-1)=TRUE),0,OFFSET(Bronzo!$A$1,MATCH(J1290,Bronzo!$A:$A,0)-1,MATCH(K1290,Bronzo!$A$1:$AA$1,0)-1))</f>
        <v>0</v>
      </c>
      <c r="V1290" s="205">
        <f t="shared" ca="1" si="360"/>
        <v>0</v>
      </c>
      <c r="W1290" s="204"/>
      <c r="X1290" s="205">
        <v>0</v>
      </c>
      <c r="Y1290" s="206">
        <f t="shared" ca="1" si="361"/>
        <v>0</v>
      </c>
      <c r="Z1290" s="277">
        <f t="shared" si="362"/>
        <v>0</v>
      </c>
      <c r="AA1290" s="203"/>
      <c r="AB1290" s="203">
        <f t="shared" ca="1" si="363"/>
        <v>0</v>
      </c>
      <c r="AC1290" s="238"/>
      <c r="AI1290" s="367">
        <f t="shared" ca="1" si="40"/>
        <v>46092</v>
      </c>
      <c r="AJ1290" s="367" t="b">
        <f t="shared" si="364"/>
        <v>1</v>
      </c>
      <c r="AK1290" s="370" t="str">
        <f t="shared" si="365"/>
        <v/>
      </c>
      <c r="AN1290">
        <f t="shared" si="366"/>
        <v>0</v>
      </c>
      <c r="AO1290">
        <f t="shared" si="367"/>
        <v>1900</v>
      </c>
      <c r="AV1290">
        <f t="shared" si="368"/>
        <v>0</v>
      </c>
      <c r="AW1290">
        <f t="shared" si="369"/>
        <v>0</v>
      </c>
    </row>
    <row r="1291" spans="2:49" s="289" customFormat="1" ht="15.75" x14ac:dyDescent="0.25">
      <c r="B1291" s="289" t="str">
        <f t="shared" ref="B1291" si="370">IF(AK1291=10,"In scadenza","-")</f>
        <v>-</v>
      </c>
      <c r="C1291" s="338"/>
      <c r="D1291" s="217"/>
      <c r="E1291" s="339"/>
      <c r="F1291" s="218"/>
      <c r="G1291" s="340"/>
      <c r="H1291" s="341"/>
      <c r="I1291" s="342"/>
      <c r="J1291" s="339"/>
      <c r="K1291" s="339"/>
      <c r="L1291" s="343"/>
      <c r="M1291" s="344">
        <f ca="1">IF(ISERROR(OFFSET(Tabella!$A$1,MATCH(J1291,Tabella!$A:$A,0)-1,MATCH(L1291,Tabella!$A$1:$AC$1,0)-1)=TRUE),0,+OFFSET(Tabella!$A$1,MATCH(J1291,Tabella!$A:$A,0)-1,MATCH(L1291,Tabella!$A$1:$AC$1,0)-1))</f>
        <v>0</v>
      </c>
      <c r="N1291" s="345">
        <f ca="1">IF(ISERROR(OFFSET(Ottone!$A$1,MATCH(J1291,Ottone!$A:$A,0)-1,MATCH(L1291,Ottone!$A$1:$Z$1,0)-1)=TRUE),0,OFFSET(Ottone!$A$1,MATCH(J1291,Ottone!$A:$A,0)-1,MATCH(L1291,Ottone!$A$1:$Z$1,0)-1))*IF(G1291="Ottone",1,0)</f>
        <v>0</v>
      </c>
      <c r="O1291" s="345">
        <f ca="1">IF(ISERROR(OFFSET(Rame!$A$1,MATCH(J1291,Rame!$A:$A,0)-1,MATCH(L1291,Rame!$A$1:$AA$1,0)-1)=TRUE),0,OFFSET(Rame!$A$1,MATCH(J1291,Rame!$A:$A,0)-1,MATCH(L1291,Rame!$A$1:$AA$1,0)-1))*IF(G1291="Rame",1,0)</f>
        <v>0</v>
      </c>
      <c r="P1291" s="345">
        <v>0</v>
      </c>
      <c r="Q1291" s="345">
        <f t="shared" ref="Q1291" ca="1" si="371">SUM(M1291:P1291)</f>
        <v>0</v>
      </c>
      <c r="R1291" s="345">
        <f ca="1">+IF(ISERROR(OFFSET(Tabella!$G$1,MATCH(J1291,Tabella!$G:$G,0)-1,MATCH(K1291,Tabella!$G$1:$FG$1,0)-1)=TRUE),0,OFFSET(Tabella!$G$1,MATCH(J1291,Tabella!$G:$G,0)-1,MATCH(K1291,Tabella!$G$1:$AB$1,0)-1))</f>
        <v>0</v>
      </c>
      <c r="S1291" s="345">
        <f ca="1">IF(ISERROR(OFFSET(Ottone!$F$1,MATCH(J1291,Ottone!$A:$A,0)-1,MATCH(K1291,Ottone!$F$1:$FF$1,0)-1)=TRUE),0,OFFSET(Ottone!$F$1,MATCH(J1291,Ottone!$A:$A,0)-1,MATCH(K1291,Ottone!$F$1:$FF$1,0)-1))*IF(G1291="Ottone",1,0)</f>
        <v>0</v>
      </c>
      <c r="T1291" s="345">
        <f ca="1">IF(ISERROR(OFFSET(Rame!$F$1,MATCH(J1291,Rame!$F:$F,0)-1,MATCH(K1291,Rame!$F$1:$FF$1,0)-1)=TRUE),0,OFFSET(Rame!$F$1,MATCH(J1291,Rame!$F:$F,0)-1,MATCH(K1291,Rame!$F$1:$FF$1,0)-1))*IF(G1291="Rame",1,0)</f>
        <v>0</v>
      </c>
      <c r="U1291" s="345">
        <f ca="1">IF(ISERROR(OFFSET(Bronzo!$A$1,MATCH(J1291,Bronzo!$A:$A,0)-1,MATCH(K1291,Bronzo!$A$1:$AA$1,0)-1)=TRUE),0,OFFSET(Bronzo!$A$1,MATCH(J1291,Bronzo!$A:$A,0)-1,MATCH(K1291,Bronzo!$A$1:$AA$1,0)-1))</f>
        <v>0</v>
      </c>
      <c r="V1291" s="345">
        <f t="shared" ref="V1291" ca="1" si="372">SUM(R1291:U1291)</f>
        <v>0</v>
      </c>
      <c r="W1291" s="344"/>
      <c r="X1291" s="345">
        <v>0</v>
      </c>
      <c r="Y1291" s="346">
        <f t="shared" ref="Y1291" ca="1" si="373">+Q1291+V1291+W1291+X1291</f>
        <v>0</v>
      </c>
      <c r="Z1291" s="343">
        <f t="shared" ref="Z1291" si="374">+L1291*F1291</f>
        <v>0</v>
      </c>
      <c r="AA1291" s="343"/>
      <c r="AB1291" s="343">
        <f t="shared" ref="AB1291" ca="1" si="375">+AA1291-Y1291-H1291</f>
        <v>0</v>
      </c>
      <c r="AC1291" s="347"/>
      <c r="AI1291" s="367">
        <f t="shared" ref="AI1291" ca="1" si="376">TODAY()</f>
        <v>46092</v>
      </c>
      <c r="AJ1291" s="367" t="b">
        <f t="shared" ref="AJ1291" si="377">ISBLANK(AC1291)</f>
        <v>1</v>
      </c>
      <c r="AK1291" s="370" t="str">
        <f t="shared" ref="AK1291" si="378">IF(AJ1291=FALSE,_xlfn.DAYS(AC1291,AI1291),"")</f>
        <v/>
      </c>
      <c r="AL1291"/>
      <c r="AM1291"/>
      <c r="AN1291">
        <f t="shared" ref="AN1291" si="379">WEEKNUM(AC1291)</f>
        <v>0</v>
      </c>
      <c r="AO1291">
        <f t="shared" ref="AO1291" si="380">YEAR(AC1291)</f>
        <v>1900</v>
      </c>
      <c r="AV1291">
        <f t="shared" ref="AV1291" si="381">IF(AC1291="",0,MONTH(AC1291))</f>
        <v>0</v>
      </c>
      <c r="AW1291">
        <f t="shared" ref="AW1291" si="382">IF(AC1291="",0,YEAR(AC1291))</f>
        <v>0</v>
      </c>
    </row>
    <row r="1292" spans="2:49" ht="16.5" thickBot="1" x14ac:dyDescent="0.3">
      <c r="D1292" s="208"/>
      <c r="E1292" s="208"/>
      <c r="F1292" s="335">
        <f>SUM(F6:F1291)</f>
        <v>565669</v>
      </c>
      <c r="G1292" s="208"/>
      <c r="H1292" s="336"/>
      <c r="I1292" s="211"/>
      <c r="J1292" s="208"/>
      <c r="K1292" s="208"/>
      <c r="L1292" s="212"/>
      <c r="M1292" s="212"/>
      <c r="N1292" s="212"/>
      <c r="O1292" s="212"/>
      <c r="P1292" s="212"/>
      <c r="Q1292" s="212"/>
      <c r="R1292" s="212"/>
      <c r="S1292" s="212"/>
      <c r="T1292" s="212"/>
      <c r="U1292" s="212"/>
      <c r="V1292" s="212"/>
      <c r="W1292" s="212"/>
      <c r="X1292" s="212"/>
      <c r="Y1292" s="212"/>
      <c r="Z1292" s="337">
        <f>SUM(Z6:Z1291)</f>
        <v>37830.270000000004</v>
      </c>
      <c r="AA1292" s="212"/>
      <c r="AB1292" s="212"/>
      <c r="AK1292" s="370"/>
    </row>
    <row r="1293" spans="2:49" ht="15.75" x14ac:dyDescent="0.25">
      <c r="D1293" s="208"/>
      <c r="E1293" s="208"/>
      <c r="F1293" s="209"/>
      <c r="G1293" s="208"/>
      <c r="H1293" s="210"/>
      <c r="I1293" s="211"/>
      <c r="J1293" s="208"/>
      <c r="K1293" s="208"/>
      <c r="L1293" s="212"/>
      <c r="M1293" s="212"/>
      <c r="N1293" s="212"/>
      <c r="O1293" s="212"/>
      <c r="P1293" s="212"/>
      <c r="Q1293" s="221"/>
      <c r="R1293" s="212"/>
      <c r="S1293" s="212"/>
      <c r="T1293" s="212"/>
      <c r="U1293" s="212"/>
      <c r="V1293" s="212"/>
      <c r="W1293" s="212"/>
      <c r="X1293" s="212"/>
      <c r="Y1293" s="212"/>
      <c r="Z1293" s="212"/>
      <c r="AA1293" s="212"/>
      <c r="AB1293" s="212"/>
    </row>
    <row r="1294" spans="2:49" ht="15.75" x14ac:dyDescent="0.25">
      <c r="D1294" s="208"/>
      <c r="E1294" s="208"/>
      <c r="F1294" s="209"/>
      <c r="G1294" s="208"/>
      <c r="H1294" s="210"/>
      <c r="I1294" s="211"/>
      <c r="J1294" s="209"/>
      <c r="K1294" s="208"/>
      <c r="L1294" s="212"/>
      <c r="M1294" s="212"/>
      <c r="N1294" s="212"/>
      <c r="O1294" s="212"/>
      <c r="P1294" s="212"/>
      <c r="Q1294" s="212"/>
      <c r="R1294" s="212"/>
      <c r="S1294" s="212"/>
      <c r="T1294" s="212"/>
      <c r="U1294" s="212"/>
      <c r="V1294" s="212"/>
      <c r="W1294" s="212"/>
      <c r="X1294" s="212"/>
      <c r="Y1294" s="212"/>
      <c r="Z1294" s="212"/>
      <c r="AA1294" s="212"/>
      <c r="AB1294" s="212"/>
      <c r="AH1294" s="158"/>
      <c r="AK1294" s="158"/>
    </row>
    <row r="1295" spans="2:49" ht="16.5" thickBot="1" x14ac:dyDescent="0.3">
      <c r="D1295" s="208"/>
      <c r="E1295" s="208"/>
      <c r="F1295" s="209"/>
      <c r="G1295" s="208"/>
      <c r="H1295" s="210"/>
      <c r="I1295" s="211"/>
      <c r="J1295" s="209"/>
      <c r="K1295" s="208"/>
      <c r="L1295" s="212"/>
      <c r="M1295" s="212"/>
      <c r="N1295" s="212"/>
      <c r="O1295" s="212"/>
      <c r="P1295" s="212"/>
      <c r="Q1295" s="212"/>
      <c r="R1295" s="212"/>
      <c r="S1295" s="212"/>
      <c r="T1295" s="212"/>
      <c r="U1295" s="212"/>
      <c r="V1295" s="212"/>
      <c r="W1295" s="212"/>
      <c r="X1295" s="212"/>
      <c r="Y1295" s="212"/>
      <c r="Z1295" s="212"/>
      <c r="AA1295" s="212"/>
      <c r="AB1295" s="212"/>
    </row>
    <row r="1296" spans="2:49" ht="15.75" x14ac:dyDescent="0.25">
      <c r="D1296" s="208"/>
      <c r="E1296" s="215" t="s">
        <v>60</v>
      </c>
      <c r="F1296" s="216" t="s">
        <v>38</v>
      </c>
      <c r="G1296" s="278" t="s">
        <v>48</v>
      </c>
      <c r="H1296" s="282" t="s">
        <v>294</v>
      </c>
      <c r="I1296" s="294" t="s">
        <v>303</v>
      </c>
      <c r="J1296" s="209"/>
      <c r="K1296" s="208"/>
      <c r="L1296" s="212"/>
      <c r="M1296" s="212"/>
      <c r="N1296" s="212"/>
      <c r="O1296" s="212"/>
      <c r="P1296" s="212"/>
      <c r="Q1296" s="212"/>
      <c r="R1296" s="212"/>
      <c r="S1296" s="212"/>
      <c r="T1296" s="212"/>
      <c r="U1296" s="212"/>
      <c r="V1296" s="212"/>
      <c r="W1296" s="212"/>
      <c r="X1296" s="200"/>
      <c r="Y1296" s="287"/>
      <c r="Z1296" s="201"/>
      <c r="AA1296" s="219"/>
      <c r="AB1296" s="202"/>
      <c r="AC1296" s="200"/>
      <c r="AD1296" s="200"/>
      <c r="AE1296" s="203">
        <v>0.1</v>
      </c>
      <c r="AF1296" s="205"/>
      <c r="AG1296" s="205"/>
      <c r="AH1296" s="205"/>
      <c r="AI1296" s="204"/>
      <c r="AJ1296" s="205">
        <v>0</v>
      </c>
      <c r="AK1296" s="206">
        <v>1.1000000000000001</v>
      </c>
      <c r="AL1296" s="277"/>
      <c r="AM1296" s="203"/>
      <c r="AN1296" s="203">
        <v>2.4100000000000019</v>
      </c>
    </row>
    <row r="1297" spans="3:35" ht="15.75" x14ac:dyDescent="0.25">
      <c r="D1297" s="208"/>
      <c r="E1297" s="217"/>
      <c r="F1297" s="218"/>
      <c r="G1297" s="279"/>
      <c r="H1297" s="152"/>
      <c r="I1297" s="295"/>
      <c r="J1297" s="208"/>
      <c r="K1297" s="208"/>
      <c r="L1297" s="212"/>
      <c r="M1297" s="212"/>
      <c r="N1297" s="212"/>
      <c r="O1297" s="212"/>
      <c r="P1297" s="212"/>
      <c r="Q1297" s="212"/>
      <c r="R1297" s="212"/>
      <c r="S1297" s="212"/>
      <c r="T1297" s="212"/>
      <c r="U1297" s="212"/>
      <c r="V1297" s="212"/>
      <c r="W1297" s="212"/>
      <c r="X1297" s="212"/>
      <c r="Y1297" s="212"/>
      <c r="Z1297" s="212"/>
      <c r="AA1297" s="212"/>
      <c r="AB1297" s="212"/>
    </row>
    <row r="1298" spans="3:35" ht="15.75" x14ac:dyDescent="0.25">
      <c r="D1298" s="208">
        <v>1</v>
      </c>
      <c r="E1298" s="213" t="s">
        <v>213</v>
      </c>
      <c r="F1298" s="95">
        <f>SUMIF(E6:E1291,"abb",F6:F1291)</f>
        <v>0</v>
      </c>
      <c r="G1298" s="280">
        <f>SUMIF(E6:E1291,"abb",Z6:Z1291)</f>
        <v>0</v>
      </c>
      <c r="H1298" s="152">
        <f>SUMIFS(Z$6:Z$1291,E$6:E$1291,"Abb",AG$6:AG$1291,"OK")</f>
        <v>0</v>
      </c>
      <c r="I1298" s="295"/>
      <c r="J1298" s="361"/>
      <c r="K1298" s="208"/>
      <c r="L1298" s="212"/>
      <c r="M1298" s="212"/>
      <c r="N1298" s="212"/>
      <c r="O1298" s="212"/>
      <c r="P1298" s="212"/>
      <c r="Q1298" s="212"/>
      <c r="R1298" s="212"/>
      <c r="S1298" s="212"/>
      <c r="T1298" s="212"/>
      <c r="U1298" s="212"/>
      <c r="V1298" s="212"/>
      <c r="W1298" s="212"/>
      <c r="X1298" s="212"/>
      <c r="Y1298" s="212"/>
      <c r="Z1298" s="212"/>
      <c r="AA1298" s="212"/>
      <c r="AB1298" s="212"/>
    </row>
    <row r="1299" spans="3:35" ht="15.75" x14ac:dyDescent="0.25">
      <c r="D1299" s="208">
        <f>+D1298+1</f>
        <v>2</v>
      </c>
      <c r="E1299" s="214" t="s">
        <v>239</v>
      </c>
      <c r="F1299" s="95">
        <f>SUMIF(E6:E1291,"abbza",F6:F1291)</f>
        <v>0</v>
      </c>
      <c r="G1299" s="280">
        <f>SUMIF(E6:E1291,"abbza",Z6:Z1291)</f>
        <v>0</v>
      </c>
      <c r="H1299" s="152">
        <f>SUMIFS(Z$6:Z$1291,E$6:E$1291,"Abbza",AG$6:AG$1291,"OK")</f>
        <v>0</v>
      </c>
      <c r="I1299" s="295"/>
      <c r="J1299" s="361"/>
      <c r="K1299" s="208"/>
      <c r="L1299" s="212"/>
      <c r="M1299" s="212"/>
      <c r="N1299" s="212"/>
      <c r="O1299" s="212"/>
      <c r="P1299" s="212"/>
      <c r="Q1299" s="212"/>
      <c r="R1299" s="212"/>
      <c r="S1299" s="212"/>
      <c r="T1299" s="212"/>
      <c r="U1299" s="212"/>
      <c r="V1299" s="212"/>
      <c r="W1299" s="386"/>
      <c r="X1299" s="387"/>
      <c r="Y1299" s="200"/>
      <c r="Z1299" s="203"/>
      <c r="AA1299" s="205"/>
      <c r="AB1299" s="205"/>
      <c r="AC1299" s="204"/>
      <c r="AD1299" s="205">
        <v>0</v>
      </c>
      <c r="AE1299" s="206">
        <v>1.1000000000000001</v>
      </c>
      <c r="AF1299" s="206"/>
      <c r="AG1299" s="277"/>
      <c r="AH1299" s="203"/>
      <c r="AI1299" s="203"/>
    </row>
    <row r="1300" spans="3:35" ht="15.75" x14ac:dyDescent="0.25">
      <c r="D1300" s="208">
        <f t="shared" ref="D1300:D1376" si="383">+D1299+1</f>
        <v>3</v>
      </c>
      <c r="E1300" s="214" t="s">
        <v>220</v>
      </c>
      <c r="F1300" s="121">
        <f>SUMIF(E6:E1291,"aeg",F6:F1291)</f>
        <v>0</v>
      </c>
      <c r="G1300" s="301">
        <f>SUMIF(E6:E1291,"aeg",Z6:Z1291)</f>
        <v>0</v>
      </c>
      <c r="H1300" s="152">
        <f>SUMIFS(Z$6:Z$1291,E$6:E$1291,"Aeg",AG$6:AG$1291,"OK")</f>
        <v>0</v>
      </c>
      <c r="I1300" s="295"/>
      <c r="J1300" s="361"/>
      <c r="K1300" s="208"/>
      <c r="L1300" s="212"/>
      <c r="M1300" s="212"/>
      <c r="N1300" s="212"/>
      <c r="O1300" s="212"/>
      <c r="P1300" s="212"/>
      <c r="Q1300" s="212"/>
      <c r="R1300" s="212"/>
      <c r="S1300" s="212"/>
      <c r="T1300" s="212"/>
      <c r="U1300" s="212"/>
      <c r="V1300" s="212"/>
      <c r="W1300" s="212"/>
      <c r="X1300" s="212"/>
      <c r="Y1300" s="212"/>
      <c r="Z1300" s="212"/>
      <c r="AA1300" s="212"/>
      <c r="AB1300" s="212"/>
      <c r="AC1300">
        <f>SUMIF(AC6:AC1291,"",F6:F1291)</f>
        <v>260884</v>
      </c>
    </row>
    <row r="1301" spans="3:35" ht="15.75" x14ac:dyDescent="0.25">
      <c r="C1301" s="244" t="s">
        <v>273</v>
      </c>
      <c r="D1301" s="208">
        <f t="shared" si="383"/>
        <v>4</v>
      </c>
      <c r="E1301" s="239" t="s">
        <v>105</v>
      </c>
      <c r="F1301" s="121">
        <f>SUMIF(E6:E1291,"alge",F6:F1291)</f>
        <v>0</v>
      </c>
      <c r="G1301" s="301">
        <f>SUMIF(E6:E1291,"alge",Z6:Z1291)</f>
        <v>0</v>
      </c>
      <c r="H1301" s="152">
        <f>SUMIFS(Z$6:Z$1291,E$6:E$1291,"Alge",AG$6:AG$1291,"OK")</f>
        <v>0</v>
      </c>
      <c r="I1301" s="295"/>
      <c r="J1301" s="361"/>
      <c r="K1301" s="208"/>
      <c r="L1301" s="212"/>
      <c r="M1301" s="212"/>
      <c r="N1301" s="212"/>
      <c r="O1301" s="212"/>
      <c r="P1301" s="212"/>
      <c r="Q1301" s="212"/>
      <c r="R1301" s="212"/>
      <c r="S1301" s="212"/>
      <c r="T1301" s="212"/>
      <c r="U1301" s="212"/>
      <c r="V1301" s="212"/>
      <c r="W1301" s="212"/>
      <c r="X1301" s="212"/>
      <c r="Y1301" s="277"/>
      <c r="Z1301" s="212"/>
      <c r="AA1301" s="212"/>
      <c r="AB1301" s="212"/>
      <c r="AC1301" s="158">
        <f>+F1292-AC1300</f>
        <v>304785</v>
      </c>
    </row>
    <row r="1302" spans="3:35" ht="15.75" x14ac:dyDescent="0.25">
      <c r="D1302" s="208">
        <f t="shared" si="383"/>
        <v>5</v>
      </c>
      <c r="E1302" s="327" t="s">
        <v>357</v>
      </c>
      <c r="F1302" s="121">
        <f>SUMIF(E6:E1291,"alstom",F6:F1291)</f>
        <v>0</v>
      </c>
      <c r="G1302" s="301">
        <f>SUMIF(E6:E1291,"alstom",Z6:Z1291)</f>
        <v>0</v>
      </c>
      <c r="H1302" s="152">
        <f>SUMIFS(Z$6:Z$1291,E$6:E$1291,"Alstom",AG$6:AG$1291,"OK")</f>
        <v>0</v>
      </c>
      <c r="I1302" s="295"/>
      <c r="J1302" s="361"/>
      <c r="K1302" s="208"/>
      <c r="L1302" s="212"/>
      <c r="M1302" s="212"/>
      <c r="N1302" s="212"/>
      <c r="O1302" s="212"/>
      <c r="P1302" s="212"/>
      <c r="Q1302" s="212"/>
      <c r="R1302" s="212"/>
      <c r="S1302" s="212"/>
      <c r="T1302" s="212"/>
      <c r="U1302" s="212"/>
      <c r="V1302" s="212"/>
      <c r="W1302" s="212"/>
      <c r="X1302" s="212"/>
      <c r="Y1302" s="212"/>
      <c r="Z1302" s="212"/>
      <c r="AA1302" s="212"/>
      <c r="AB1302" s="212"/>
    </row>
    <row r="1303" spans="3:35" ht="15.75" x14ac:dyDescent="0.25">
      <c r="D1303" s="208">
        <f t="shared" si="383"/>
        <v>6</v>
      </c>
      <c r="E1303" s="103" t="s">
        <v>113</v>
      </c>
      <c r="F1303" s="121">
        <f>SUMIF(E6:E1291,"amer",F6:F1291)</f>
        <v>5120</v>
      </c>
      <c r="G1303" s="301">
        <f>SUMIF(E6:E1291,"amer",Z6:Z1291)</f>
        <v>712</v>
      </c>
      <c r="H1303" s="152">
        <f>SUMIFS(Z$6:Z$1291,E$6:E$1291,"Amer",AG$6:AG$1291,"OK")</f>
        <v>112</v>
      </c>
      <c r="I1303" s="295">
        <f>SUMIFS(F$6:F$1291,E$6:E$1291,"amer",AG$6:AG$1291,"OK")</f>
        <v>1120</v>
      </c>
      <c r="J1303" s="221"/>
      <c r="K1303" s="208"/>
      <c r="L1303" s="212"/>
      <c r="M1303" s="212"/>
      <c r="N1303" s="212"/>
      <c r="O1303" s="212"/>
      <c r="P1303" s="212"/>
      <c r="Q1303" s="212"/>
      <c r="R1303" s="212"/>
      <c r="S1303" s="212"/>
      <c r="T1303" s="212"/>
      <c r="U1303" s="212"/>
      <c r="V1303" s="212"/>
      <c r="W1303" s="212"/>
      <c r="X1303" s="212"/>
      <c r="Y1303" s="212"/>
      <c r="Z1303" s="212"/>
      <c r="AA1303" s="212"/>
      <c r="AB1303" s="212"/>
    </row>
    <row r="1304" spans="3:35" ht="15.75" x14ac:dyDescent="0.25">
      <c r="D1304" s="208">
        <f t="shared" si="383"/>
        <v>7</v>
      </c>
      <c r="E1304" s="103" t="s">
        <v>265</v>
      </c>
      <c r="F1304" s="121">
        <f>SUMIF(E6:E1291,"arcansas",F6:F1291)</f>
        <v>0</v>
      </c>
      <c r="G1304" s="301">
        <f>SUMIF(E6:E1291,"arcansas",Z6:Z1291)</f>
        <v>0</v>
      </c>
      <c r="H1304" s="152">
        <f>SUMIFS(Z$6:Z$1291,E$6:E$1291,"Arcansas",AG$6:AG$1291,"OK")</f>
        <v>0</v>
      </c>
      <c r="I1304" s="295"/>
      <c r="J1304" s="361"/>
      <c r="K1304" s="208"/>
      <c r="L1304" s="212"/>
      <c r="M1304" s="212"/>
      <c r="N1304" s="212"/>
      <c r="O1304" s="212"/>
      <c r="P1304" s="212"/>
      <c r="Q1304" s="212"/>
      <c r="R1304" s="212"/>
      <c r="S1304" s="212"/>
      <c r="T1304" s="212"/>
      <c r="U1304" s="212"/>
      <c r="V1304" s="212"/>
      <c r="W1304" s="212"/>
      <c r="X1304" s="212"/>
      <c r="Y1304" s="212"/>
      <c r="Z1304" s="212"/>
      <c r="AA1304" s="212"/>
      <c r="AB1304" s="212"/>
    </row>
    <row r="1305" spans="3:35" ht="15.75" x14ac:dyDescent="0.25">
      <c r="D1305" s="208">
        <f t="shared" si="383"/>
        <v>8</v>
      </c>
      <c r="E1305" s="103" t="s">
        <v>394</v>
      </c>
      <c r="F1305" s="121">
        <f>SUMIF(E$6:E$1291,"arteche",F$6:F$1291)</f>
        <v>0</v>
      </c>
      <c r="G1305" s="301">
        <f>SUMIF(E$6:E$1291,"arteche",Z$6:Z$1291)</f>
        <v>0</v>
      </c>
      <c r="H1305" s="152">
        <f>SUMIFS(Z$6:Z$1291,E$6:E$1291,"arteche",AG$6:AG$1291,"OK")</f>
        <v>0</v>
      </c>
      <c r="I1305" s="295">
        <f>SUMIFS(F$6:F$1291,E$6:E$1291,"arteche",AG$6:AG$1291,"OK")</f>
        <v>0</v>
      </c>
      <c r="J1305" s="361"/>
      <c r="K1305" s="208"/>
      <c r="L1305" s="212"/>
      <c r="M1305" s="212"/>
      <c r="N1305" s="212"/>
      <c r="O1305" s="212"/>
      <c r="P1305" s="212"/>
      <c r="Q1305" s="212"/>
      <c r="R1305" s="212"/>
      <c r="S1305" s="212"/>
      <c r="T1305" s="212"/>
      <c r="U1305" s="212"/>
      <c r="V1305" s="212"/>
      <c r="W1305" s="212"/>
      <c r="X1305" s="212"/>
      <c r="Y1305" s="212"/>
      <c r="Z1305" s="212"/>
      <c r="AA1305" s="212"/>
      <c r="AB1305" s="212"/>
    </row>
    <row r="1306" spans="3:35" ht="15.75" x14ac:dyDescent="0.25">
      <c r="D1306" s="208">
        <f t="shared" si="383"/>
        <v>9</v>
      </c>
      <c r="E1306" s="103" t="s">
        <v>221</v>
      </c>
      <c r="F1306" s="121">
        <f>SUMIF(E6:E1291,"artel",F6:F1291)</f>
        <v>0</v>
      </c>
      <c r="G1306" s="301">
        <f>SUMIF(E6:E1291,"artel",Z6:Z1291)</f>
        <v>0</v>
      </c>
      <c r="H1306" s="152">
        <f>SUMIFS(Z$6:Z$1291,E$6:E$1291,"Artel",AG$6:AG$1291,"OK")</f>
        <v>0</v>
      </c>
      <c r="I1306" s="295"/>
      <c r="J1306" s="361"/>
      <c r="K1306" s="208"/>
      <c r="L1306" s="212"/>
      <c r="M1306" s="212"/>
      <c r="N1306" s="212"/>
      <c r="O1306" s="212"/>
      <c r="P1306" s="212"/>
      <c r="Q1306" s="212"/>
      <c r="R1306" s="212"/>
      <c r="S1306" s="212"/>
      <c r="T1306" s="212"/>
      <c r="U1306" s="212"/>
      <c r="V1306" s="212"/>
      <c r="W1306" s="212"/>
      <c r="X1306" s="212"/>
      <c r="Y1306" s="212"/>
      <c r="Z1306" s="212"/>
      <c r="AA1306" s="212"/>
      <c r="AB1306" s="212"/>
    </row>
    <row r="1307" spans="3:35" ht="15.75" x14ac:dyDescent="0.25">
      <c r="D1307" s="208">
        <f t="shared" si="383"/>
        <v>10</v>
      </c>
      <c r="E1307" s="103" t="s">
        <v>293</v>
      </c>
      <c r="F1307" s="121">
        <f>SUMIF(E$6:E$1291,"automation",F$6:F$1291)</f>
        <v>0</v>
      </c>
      <c r="G1307" s="301">
        <f>SUMIF(E6:E1291,"automation",Z6:Z1291)</f>
        <v>0</v>
      </c>
      <c r="H1307" s="152">
        <f>SUMIFS(Z$6:Z$1291,E$6:E$1291,"Automation",AG$6:AG$1291,"OK")</f>
        <v>0</v>
      </c>
      <c r="I1307" s="295">
        <f>SUMIFS(F$6:F$1291,E$6:E$1291,"automation",AG$6:AG$1291,"OK")</f>
        <v>0</v>
      </c>
      <c r="J1307" s="361"/>
      <c r="K1307" s="208"/>
      <c r="L1307" s="212"/>
      <c r="M1307" s="212"/>
      <c r="N1307" s="212"/>
      <c r="O1307" s="212"/>
      <c r="P1307" s="212"/>
      <c r="Q1307" s="212"/>
      <c r="R1307" s="212"/>
      <c r="S1307" s="212"/>
      <c r="T1307" s="212"/>
      <c r="U1307" s="212"/>
      <c r="V1307" s="212"/>
      <c r="W1307" s="212"/>
      <c r="X1307" s="212"/>
      <c r="Y1307" s="212"/>
      <c r="Z1307" s="212"/>
      <c r="AA1307" s="212"/>
      <c r="AB1307" s="212"/>
    </row>
    <row r="1308" spans="3:35" ht="15.75" x14ac:dyDescent="0.25">
      <c r="D1308" s="208">
        <f t="shared" si="383"/>
        <v>11</v>
      </c>
      <c r="E1308" s="103" t="s">
        <v>211</v>
      </c>
      <c r="F1308" s="121">
        <f>SUMIF(E6:E1291,"baietti",F6:F1291)</f>
        <v>0</v>
      </c>
      <c r="G1308" s="301">
        <f>SUMIF(E6:E1291,"baietti",Z6:Z1291)</f>
        <v>0</v>
      </c>
      <c r="H1308" s="152">
        <f>SUMIFS(Z$6:Z$1291,E$6:E$1291,"Baietti",AG$6:AG$1291,"OK")</f>
        <v>0</v>
      </c>
      <c r="I1308" s="295"/>
      <c r="J1308" s="361"/>
      <c r="K1308" s="208"/>
      <c r="L1308" s="212"/>
      <c r="M1308" s="212"/>
      <c r="N1308" s="212"/>
      <c r="O1308" s="212"/>
      <c r="P1308" s="212"/>
      <c r="Q1308" s="212"/>
      <c r="R1308" s="212"/>
      <c r="S1308" s="212"/>
      <c r="T1308" s="212"/>
      <c r="U1308" s="212"/>
      <c r="V1308" s="212"/>
      <c r="W1308" s="212"/>
      <c r="X1308" s="212"/>
      <c r="Y1308" s="212"/>
      <c r="Z1308" s="212"/>
      <c r="AA1308" s="212"/>
      <c r="AB1308" s="212"/>
    </row>
    <row r="1309" spans="3:35" ht="15.75" x14ac:dyDescent="0.25">
      <c r="D1309" s="208">
        <f t="shared" si="383"/>
        <v>12</v>
      </c>
      <c r="E1309" s="103" t="s">
        <v>371</v>
      </c>
      <c r="F1309" s="121">
        <f>SUMIF(E$6:E$1291,"bcv",F$6:F$1291)</f>
        <v>2900</v>
      </c>
      <c r="G1309" s="301">
        <f>SUMIF(E$6:E$1291,"bcv",Z$6:Z$1291)</f>
        <v>435</v>
      </c>
      <c r="H1309" s="152">
        <f>SUMIFS(Z$6:Z$1291,E$6:E$1291,"Bcv",AG$6:AG$1291,"OK")</f>
        <v>0</v>
      </c>
      <c r="I1309" s="295">
        <f>SUMIFS(F$6:F$1291,E$6:E$1291,"bcv",AG$6:AG$1291,"OK")</f>
        <v>0</v>
      </c>
      <c r="J1309" s="361"/>
      <c r="K1309" s="208"/>
      <c r="L1309" s="212"/>
      <c r="M1309" s="212"/>
      <c r="N1309" s="212"/>
      <c r="O1309" s="212"/>
      <c r="P1309" s="212"/>
      <c r="Q1309" s="212"/>
      <c r="R1309" s="212"/>
      <c r="S1309" s="212"/>
      <c r="T1309" s="212"/>
      <c r="U1309" s="212"/>
      <c r="V1309" s="212"/>
      <c r="W1309" s="212"/>
      <c r="X1309" s="212"/>
      <c r="Y1309" s="212"/>
      <c r="Z1309" s="212"/>
      <c r="AA1309" s="212"/>
      <c r="AB1309" s="212"/>
    </row>
    <row r="1310" spans="3:35" ht="15.75" x14ac:dyDescent="0.25">
      <c r="C1310" s="244" t="s">
        <v>273</v>
      </c>
      <c r="D1310" s="208">
        <f t="shared" si="383"/>
        <v>13</v>
      </c>
      <c r="E1310" s="240" t="s">
        <v>236</v>
      </c>
      <c r="F1310" s="121">
        <f>SUMIF(E6:E1291,"bmi",F6:F1291)</f>
        <v>0</v>
      </c>
      <c r="G1310" s="301">
        <f>SUMIF(E6:E1291,"bmi",Z6:Z1291)</f>
        <v>0</v>
      </c>
      <c r="H1310" s="152">
        <f>SUMIFS(Z$6:Z$1291,E$6:E$1291,"BMI",AG$6:AG$1291,"OK")</f>
        <v>0</v>
      </c>
      <c r="I1310" s="295"/>
      <c r="J1310" s="361"/>
      <c r="K1310" s="208"/>
      <c r="L1310" s="212"/>
      <c r="M1310" s="212"/>
      <c r="N1310" s="212"/>
      <c r="O1310" s="212"/>
      <c r="P1310" s="212"/>
      <c r="Q1310" s="212"/>
      <c r="R1310" s="212"/>
      <c r="S1310" s="212"/>
      <c r="T1310" s="212"/>
      <c r="U1310" s="212"/>
      <c r="V1310" s="212"/>
      <c r="W1310" s="212"/>
      <c r="X1310" s="212"/>
      <c r="Y1310" s="212"/>
      <c r="Z1310" s="212"/>
      <c r="AA1310" s="212"/>
      <c r="AB1310" s="212"/>
    </row>
    <row r="1311" spans="3:35" ht="15.75" x14ac:dyDescent="0.25">
      <c r="C1311" s="244" t="s">
        <v>273</v>
      </c>
      <c r="D1311" s="208">
        <f t="shared" si="383"/>
        <v>14</v>
      </c>
      <c r="E1311" s="240" t="s">
        <v>222</v>
      </c>
      <c r="F1311" s="121">
        <f>SUMIF(E$6:E$1291,"bastia",F$6:F$1291)</f>
        <v>0</v>
      </c>
      <c r="G1311" s="301">
        <f>SUMIF(E$6:E$1291,"bastia",Z$6:Z$1291)</f>
        <v>0</v>
      </c>
      <c r="H1311" s="152">
        <f>SUMIFS(Z$6:Z$1291,E$6:E$1291,"Bastia",AG$6:AG$1291,"OK")</f>
        <v>0</v>
      </c>
      <c r="I1311" s="295"/>
      <c r="J1311" s="361"/>
      <c r="K1311" s="208"/>
      <c r="L1311" s="212"/>
      <c r="M1311" s="212"/>
      <c r="N1311" s="212"/>
      <c r="O1311" s="212"/>
      <c r="P1311" s="212"/>
      <c r="Q1311" s="212"/>
      <c r="R1311" s="212"/>
      <c r="S1311" s="212"/>
      <c r="T1311" s="212"/>
      <c r="U1311" s="212"/>
      <c r="V1311" s="212"/>
      <c r="W1311" s="212"/>
      <c r="X1311" s="212"/>
      <c r="Y1311" s="212"/>
      <c r="Z1311" s="212"/>
      <c r="AA1311" s="212"/>
      <c r="AB1311" s="212"/>
    </row>
    <row r="1312" spans="3:35" ht="15.75" x14ac:dyDescent="0.25">
      <c r="D1312" s="208">
        <f t="shared" si="383"/>
        <v>15</v>
      </c>
      <c r="E1312" s="305" t="s">
        <v>334</v>
      </c>
      <c r="F1312" s="121">
        <f>SUMIF(E$6:E$1291,"be.tube",F$6:F$1291)</f>
        <v>0</v>
      </c>
      <c r="G1312" s="301">
        <f>SUMIF(E$6:E$1291,"be.tube",Z$6:Z$1291)</f>
        <v>0</v>
      </c>
      <c r="H1312" s="152">
        <f>SUMIFS(Z$6:Z$1291,E$6:E$1291,"be.tube",AG$6:AG$1291,"OK")</f>
        <v>0</v>
      </c>
      <c r="I1312" s="295"/>
      <c r="J1312" s="361"/>
      <c r="K1312" s="208"/>
      <c r="L1312" s="212"/>
      <c r="M1312" s="212"/>
      <c r="N1312" s="212"/>
      <c r="O1312" s="212"/>
      <c r="P1312" s="212"/>
      <c r="Q1312" s="212"/>
      <c r="R1312" s="212"/>
      <c r="S1312" s="212"/>
      <c r="T1312" s="212"/>
      <c r="U1312" s="212"/>
      <c r="V1312" s="212"/>
      <c r="W1312" s="212"/>
      <c r="X1312" s="212"/>
      <c r="Y1312" s="212"/>
      <c r="Z1312" s="212"/>
      <c r="AA1312" s="212"/>
      <c r="AB1312" s="212"/>
    </row>
    <row r="1313" spans="3:28" ht="15.75" x14ac:dyDescent="0.25">
      <c r="D1313" s="208">
        <f t="shared" si="383"/>
        <v>16</v>
      </c>
      <c r="E1313" s="305" t="s">
        <v>333</v>
      </c>
      <c r="F1313" s="121">
        <f>SUMIF(E$6:E$1291,"best",F$6:F$1291)</f>
        <v>0</v>
      </c>
      <c r="G1313" s="301">
        <f>SUMIF(E$6:E$1291,"best",Z$6:Z$1291)</f>
        <v>0</v>
      </c>
      <c r="H1313" s="152">
        <f>SUMIFS(Z$6:Z$1291,E$6:E$1291,"Best",AG$6:AG$1291,"OK")</f>
        <v>0</v>
      </c>
      <c r="I1313" s="295"/>
      <c r="J1313" s="361"/>
      <c r="K1313" s="208"/>
      <c r="L1313" s="212"/>
      <c r="M1313" s="212"/>
      <c r="N1313" s="212"/>
      <c r="O1313" s="212"/>
      <c r="P1313" s="212"/>
      <c r="Q1313" s="212"/>
      <c r="R1313" s="212"/>
      <c r="S1313" s="212"/>
      <c r="T1313" s="212"/>
      <c r="U1313" s="212"/>
      <c r="V1313" s="212"/>
      <c r="W1313" s="212"/>
      <c r="X1313" s="212"/>
      <c r="Y1313" s="212"/>
      <c r="Z1313" s="212"/>
      <c r="AA1313" s="212"/>
      <c r="AB1313" s="212"/>
    </row>
    <row r="1314" spans="3:28" ht="15.75" x14ac:dyDescent="0.25">
      <c r="D1314" s="208">
        <f t="shared" si="383"/>
        <v>17</v>
      </c>
      <c r="E1314" s="103" t="s">
        <v>95</v>
      </c>
      <c r="F1314" s="121">
        <f>SUMIF(E$6:E$1291,"braga",F$6:F$1291)</f>
        <v>606</v>
      </c>
      <c r="G1314" s="301">
        <f>SUMIF(E$6:E$1291,"braga",Z$6:Z$1291)</f>
        <v>42.42</v>
      </c>
      <c r="H1314" s="152">
        <f>SUMIFS(Z$6:Z$1291,E$6:E$1291,"Braga",AG$6:AG$1291,"OK")</f>
        <v>42.42</v>
      </c>
      <c r="I1314" s="295">
        <f>SUMIFS(F$6:F$1291,E$6:E$1291,"braga",AG$6:AG$1291,"OK")</f>
        <v>606</v>
      </c>
      <c r="J1314" s="361"/>
      <c r="K1314" s="208"/>
      <c r="L1314" s="212"/>
      <c r="M1314" s="212"/>
      <c r="N1314" s="212"/>
      <c r="O1314" s="212"/>
      <c r="P1314" s="212"/>
      <c r="Q1314" s="212"/>
      <c r="R1314" s="212"/>
      <c r="S1314" s="212"/>
      <c r="T1314" s="212"/>
      <c r="U1314" s="212"/>
      <c r="V1314" s="212"/>
      <c r="W1314" s="212"/>
      <c r="X1314" s="212"/>
      <c r="Y1314" s="212"/>
      <c r="Z1314" s="212"/>
      <c r="AA1314" s="212"/>
      <c r="AB1314" s="212"/>
    </row>
    <row r="1315" spans="3:28" ht="15.75" x14ac:dyDescent="0.25">
      <c r="D1315" s="208">
        <f t="shared" si="383"/>
        <v>18</v>
      </c>
      <c r="E1315" s="103" t="s">
        <v>392</v>
      </c>
      <c r="F1315" s="121">
        <f>SUMIF(E$6:E$1291,"brioschi",F$6:F$1291)</f>
        <v>0</v>
      </c>
      <c r="G1315" s="301">
        <f>SUMIF(E$6:E$1291,"brioschi",Z$6:Z$1291)</f>
        <v>0</v>
      </c>
      <c r="H1315" s="152">
        <f>SUMIFS(Z$6:Z$1291,E$6:E$1291,"Brioschi",AG$6:AG$1291,"OK")</f>
        <v>0</v>
      </c>
      <c r="I1315" s="295">
        <f>SUMIFS(F$6:F$1291,E$6:E$1291,"brioschi",AG$6:AG$1291,"OK")</f>
        <v>0</v>
      </c>
      <c r="J1315" s="361"/>
      <c r="K1315" s="208"/>
      <c r="L1315" s="212"/>
      <c r="M1315" s="212"/>
      <c r="N1315" s="212"/>
      <c r="O1315" s="212"/>
      <c r="P1315" s="212"/>
      <c r="Q1315" s="212"/>
      <c r="R1315" s="212"/>
      <c r="S1315" s="212"/>
      <c r="T1315" s="212"/>
      <c r="U1315" s="212"/>
      <c r="V1315" s="212"/>
      <c r="W1315" s="212"/>
      <c r="X1315" s="212"/>
      <c r="Y1315" s="212"/>
      <c r="Z1315" s="212"/>
      <c r="AA1315" s="212"/>
      <c r="AB1315" s="212"/>
    </row>
    <row r="1316" spans="3:28" ht="15.75" x14ac:dyDescent="0.25">
      <c r="C1316" s="244" t="s">
        <v>273</v>
      </c>
      <c r="D1316" s="208">
        <f t="shared" si="383"/>
        <v>19</v>
      </c>
      <c r="E1316" s="240" t="s">
        <v>223</v>
      </c>
      <c r="F1316" s="121">
        <f>SUMIF(E6:E1291,"bollani",F6:F1291)</f>
        <v>0</v>
      </c>
      <c r="G1316" s="301">
        <f>SUMIF(E6:E1291,"bollani",Z6:Z1291)</f>
        <v>0</v>
      </c>
      <c r="H1316" s="152">
        <f>SUMIFS(Z$6:Z$1291,E$6:E$1291,"Bollani",AG$6:AG$1291,"OK")</f>
        <v>0</v>
      </c>
      <c r="I1316" s="295"/>
      <c r="J1316" s="361"/>
      <c r="K1316" s="208"/>
      <c r="L1316" s="212"/>
      <c r="M1316" s="212"/>
      <c r="N1316" s="212"/>
      <c r="O1316" s="212"/>
      <c r="P1316" s="212"/>
      <c r="Q1316" s="212"/>
      <c r="R1316" s="212"/>
      <c r="S1316" s="212"/>
      <c r="T1316" s="212"/>
      <c r="U1316" s="212"/>
      <c r="V1316" s="212"/>
      <c r="W1316" s="212"/>
      <c r="X1316" s="212"/>
      <c r="Y1316" s="212"/>
      <c r="Z1316" s="212"/>
      <c r="AA1316" s="212"/>
      <c r="AB1316" s="212"/>
    </row>
    <row r="1317" spans="3:28" ht="15.75" x14ac:dyDescent="0.25">
      <c r="D1317" s="208"/>
      <c r="E1317" s="103" t="s">
        <v>427</v>
      </c>
      <c r="F1317" s="121">
        <f>SUMIF(E6:E1292,"botter",F6:F1292)</f>
        <v>0</v>
      </c>
      <c r="G1317" s="301">
        <f>SUMIF(E6:E1292,"botter",Z6:Z1292)</f>
        <v>0</v>
      </c>
      <c r="H1317" s="152">
        <f>SUMIFS(Z$6:Z$1291,E$6:E$1291,"Botter",AG$6:AG$1291,"OK")</f>
        <v>0</v>
      </c>
      <c r="I1317" s="295"/>
      <c r="J1317" s="361"/>
      <c r="K1317" s="208"/>
      <c r="L1317" s="212"/>
      <c r="M1317" s="212"/>
      <c r="N1317" s="212"/>
      <c r="O1317" s="212"/>
      <c r="P1317" s="212"/>
      <c r="Q1317" s="212"/>
      <c r="R1317" s="212"/>
      <c r="S1317" s="212"/>
      <c r="T1317" s="212"/>
      <c r="U1317" s="212"/>
      <c r="V1317" s="212"/>
      <c r="W1317" s="212"/>
      <c r="X1317" s="212"/>
      <c r="Y1317" s="212"/>
      <c r="Z1317" s="212"/>
      <c r="AA1317" s="212"/>
      <c r="AB1317" s="212"/>
    </row>
    <row r="1318" spans="3:28" ht="15.75" x14ac:dyDescent="0.25">
      <c r="D1318" s="208">
        <f>+D1316+1</f>
        <v>20</v>
      </c>
      <c r="E1318" s="103" t="s">
        <v>263</v>
      </c>
      <c r="F1318" s="121">
        <f>SUMIF(E$6:E$1291,"Bticino",F$6:F$1291)</f>
        <v>10940</v>
      </c>
      <c r="G1318" s="301">
        <f>SUMIF(E$6:E$1291,"Bticino",Z$6:Z$1291)</f>
        <v>765.80000000000007</v>
      </c>
      <c r="H1318" s="152">
        <f>SUMIFS(Z$6:Z$1291,E$6:E$1291,"Bticino",AG$6:AG$1291,"OK")</f>
        <v>0</v>
      </c>
      <c r="I1318" s="295">
        <f>SUMIFS(F$6:F$1291,E$6:E$1291,"bticino",AG$6:AG$1291,"OK")</f>
        <v>0</v>
      </c>
      <c r="J1318" s="361"/>
      <c r="K1318" s="208"/>
      <c r="L1318" s="212"/>
      <c r="M1318" s="212"/>
      <c r="N1318" s="212"/>
      <c r="O1318" s="212"/>
      <c r="P1318" s="212"/>
      <c r="Q1318" s="212"/>
      <c r="R1318" s="212"/>
      <c r="S1318" s="212"/>
      <c r="T1318" s="212"/>
      <c r="U1318" s="212"/>
      <c r="V1318" s="212"/>
      <c r="W1318" s="212"/>
      <c r="X1318" s="212"/>
      <c r="Y1318" s="212"/>
      <c r="Z1318" s="212"/>
      <c r="AA1318" s="212"/>
      <c r="AB1318" s="212"/>
    </row>
    <row r="1319" spans="3:28" ht="15.75" x14ac:dyDescent="0.25">
      <c r="C1319" s="244" t="s">
        <v>273</v>
      </c>
      <c r="D1319" s="208">
        <f t="shared" si="383"/>
        <v>21</v>
      </c>
      <c r="E1319" s="240" t="s">
        <v>224</v>
      </c>
      <c r="F1319" s="121">
        <f>SUMIF(E6:E1291,"catis",F6:F1291)</f>
        <v>0</v>
      </c>
      <c r="G1319" s="301">
        <f>SUMIF(E6:E1291,"catis",Z6:Z1291)</f>
        <v>0</v>
      </c>
      <c r="H1319" s="152">
        <f>SUMIFS(Z$6:Z$1291,E$6:E$1291,"Catis",AG$6:AG$1291,"OK")</f>
        <v>0</v>
      </c>
      <c r="I1319" s="295"/>
      <c r="J1319" s="361"/>
      <c r="K1319" s="208"/>
      <c r="L1319" s="212"/>
      <c r="M1319" s="212"/>
      <c r="N1319" s="212"/>
      <c r="O1319" s="212"/>
      <c r="P1319" s="212"/>
      <c r="Q1319" s="212"/>
      <c r="R1319" s="212"/>
      <c r="S1319" s="212"/>
      <c r="T1319" s="212"/>
      <c r="U1319" s="212"/>
      <c r="V1319" s="212"/>
      <c r="W1319" s="212"/>
      <c r="X1319" s="212"/>
      <c r="Y1319" s="212"/>
      <c r="Z1319" s="212"/>
      <c r="AA1319" s="212"/>
      <c r="AB1319" s="212"/>
    </row>
    <row r="1320" spans="3:28" ht="15.75" x14ac:dyDescent="0.25">
      <c r="D1320" s="208">
        <f t="shared" si="383"/>
        <v>22</v>
      </c>
      <c r="E1320" s="103" t="s">
        <v>245</v>
      </c>
      <c r="F1320" s="121">
        <f>SUMIF(E6:E1291,"cabur",F6:F1291)</f>
        <v>500</v>
      </c>
      <c r="G1320" s="301">
        <f>SUMIF(E6:E1291,"cabur",Z6:Z1291)</f>
        <v>75</v>
      </c>
      <c r="H1320" s="152">
        <f>SUMIFS(Z$6:Z$1291,E$6:E$1291,"Cabur",AG$6:AG$1291,"OK")</f>
        <v>0</v>
      </c>
      <c r="I1320" s="295"/>
      <c r="J1320" s="361"/>
      <c r="K1320" s="208"/>
      <c r="L1320" s="212"/>
      <c r="M1320" s="212"/>
      <c r="N1320" s="212"/>
      <c r="O1320" s="212"/>
      <c r="P1320" s="212"/>
      <c r="Q1320" s="212"/>
      <c r="R1320" s="212"/>
      <c r="S1320" s="212"/>
      <c r="T1320" s="212"/>
      <c r="U1320" s="212"/>
      <c r="V1320" s="212"/>
      <c r="W1320" s="212"/>
      <c r="X1320" s="212"/>
      <c r="Y1320" s="212"/>
      <c r="Z1320" s="212"/>
      <c r="AA1320" s="212"/>
      <c r="AB1320" s="212"/>
    </row>
    <row r="1321" spans="3:28" ht="15.75" x14ac:dyDescent="0.25">
      <c r="C1321" s="244" t="s">
        <v>391</v>
      </c>
      <c r="D1321" s="208">
        <f t="shared" si="383"/>
        <v>23</v>
      </c>
      <c r="E1321" s="307" t="s">
        <v>329</v>
      </c>
      <c r="F1321" s="121">
        <f>SUMIF(E6:E1291,"carbognin",F6:F1291)</f>
        <v>0</v>
      </c>
      <c r="G1321" s="301">
        <f>SUMIF(E6:E1291,"carbognin",Z6:Z1291)</f>
        <v>0</v>
      </c>
      <c r="H1321" s="152">
        <f>SUMIFS(Z$6:Z$1291,E$6:E$1291,"Carbognin",AG$6:AG$1291,"OK")</f>
        <v>0</v>
      </c>
      <c r="I1321" s="295">
        <f>SUMIFS(F$6:F$1291,E$6:E$1291,"carbognin",AG$6:AG$1291,"OK")</f>
        <v>0</v>
      </c>
      <c r="J1321" s="361"/>
      <c r="K1321" s="208"/>
      <c r="L1321" s="212"/>
      <c r="M1321" s="212"/>
      <c r="N1321" s="212"/>
      <c r="O1321" s="212"/>
      <c r="P1321" s="212"/>
      <c r="Q1321" s="212"/>
      <c r="R1321" s="212"/>
      <c r="S1321" s="212"/>
      <c r="T1321" s="212"/>
      <c r="U1321" s="212"/>
      <c r="V1321" s="212"/>
      <c r="W1321" s="212"/>
      <c r="X1321" s="212"/>
      <c r="Y1321" s="212"/>
      <c r="Z1321" s="212"/>
      <c r="AA1321" s="212"/>
      <c r="AB1321" s="212"/>
    </row>
    <row r="1322" spans="3:28" ht="15.75" x14ac:dyDescent="0.25">
      <c r="C1322" s="244" t="s">
        <v>273</v>
      </c>
      <c r="D1322" s="208">
        <f t="shared" si="383"/>
        <v>24</v>
      </c>
      <c r="E1322" s="240" t="s">
        <v>225</v>
      </c>
      <c r="F1322" s="121">
        <f>SUMIF(E$6:E$1291,"cea 2",F$6:F$1291)</f>
        <v>0</v>
      </c>
      <c r="G1322" s="301">
        <f>SUMIF(E$6:E$1291,"cea 2",Z$6:Z$1291)</f>
        <v>0</v>
      </c>
      <c r="H1322" s="152">
        <f>SUMIFS(Z$6:Z$1291,E$6:E$1291,"Cea 2",AG$6:AG$1291,"OK")</f>
        <v>0</v>
      </c>
      <c r="I1322" s="295"/>
      <c r="J1322" s="361"/>
      <c r="K1322" s="208"/>
      <c r="L1322" s="212"/>
      <c r="M1322" s="212"/>
      <c r="N1322" s="212"/>
      <c r="O1322" s="212"/>
      <c r="P1322" s="212"/>
      <c r="Q1322" s="212"/>
      <c r="R1322" s="212"/>
      <c r="S1322" s="212"/>
      <c r="T1322" s="212"/>
      <c r="U1322" s="212"/>
      <c r="V1322" s="212"/>
      <c r="W1322" s="212"/>
      <c r="X1322" s="212"/>
      <c r="Y1322" s="212"/>
      <c r="Z1322" s="212"/>
      <c r="AA1322" s="212"/>
      <c r="AB1322" s="212"/>
    </row>
    <row r="1323" spans="3:28" ht="15.75" x14ac:dyDescent="0.25">
      <c r="D1323" s="208">
        <f t="shared" si="383"/>
        <v>25</v>
      </c>
      <c r="E1323" s="305" t="s">
        <v>331</v>
      </c>
      <c r="F1323" s="121">
        <f>SUMIF(E$6:E$1291,"cem",F$6:F$1291)</f>
        <v>0</v>
      </c>
      <c r="G1323" s="301">
        <f>SUMIF(E$6:E$1291,"cem",Z$6:Z$1291)</f>
        <v>0</v>
      </c>
      <c r="H1323" s="152">
        <f>SUMIFS(Z$6:Z$1291,E$6:E$1291,"Cem",AG$6:AG$1291,"OK")</f>
        <v>0</v>
      </c>
      <c r="I1323" s="295">
        <f>SUMIFS(F$6:F$1291,E$6:E$1291,"cem",AG$6:AG$1291,"OK")</f>
        <v>0</v>
      </c>
      <c r="J1323" s="361"/>
      <c r="K1323" s="208"/>
      <c r="L1323" s="212"/>
      <c r="M1323" s="212"/>
      <c r="N1323" s="212"/>
      <c r="O1323" s="212"/>
      <c r="P1323" s="212"/>
      <c r="Q1323" s="212"/>
      <c r="R1323" s="212"/>
      <c r="S1323" s="212"/>
      <c r="T1323" s="212"/>
      <c r="U1323" s="212"/>
      <c r="V1323" s="212"/>
      <c r="W1323" s="212"/>
      <c r="X1323" s="212"/>
      <c r="Y1323" s="212"/>
      <c r="Z1323" s="212"/>
      <c r="AA1323" s="212"/>
      <c r="AB1323" s="212"/>
    </row>
    <row r="1324" spans="3:28" ht="15.75" x14ac:dyDescent="0.25">
      <c r="C1324" s="244" t="s">
        <v>273</v>
      </c>
      <c r="D1324" s="208">
        <f t="shared" si="383"/>
        <v>26</v>
      </c>
      <c r="E1324" s="240" t="s">
        <v>226</v>
      </c>
      <c r="F1324" s="121">
        <f>SUMIF(E6:E1291,"chimimetal",F6:F1291)</f>
        <v>0</v>
      </c>
      <c r="G1324" s="301">
        <f>SUMIF(E6:E1291,"chimimetal",Z6:Z1291)</f>
        <v>0</v>
      </c>
      <c r="H1324" s="152">
        <f>SUMIFS(Z$6:Z$1291,E$6:E$1291,"Chimimetal",AG$6:AG$1291,"OK")</f>
        <v>0</v>
      </c>
      <c r="I1324" s="295"/>
      <c r="J1324" s="361"/>
      <c r="K1324" s="208"/>
      <c r="L1324" s="212"/>
      <c r="M1324" s="212"/>
      <c r="N1324" s="212"/>
      <c r="O1324" s="212"/>
      <c r="P1324" s="212"/>
      <c r="Q1324" s="212"/>
      <c r="R1324" s="212"/>
      <c r="S1324" s="212"/>
      <c r="T1324" s="212"/>
      <c r="U1324" s="212"/>
      <c r="V1324" s="212"/>
      <c r="W1324" s="212"/>
      <c r="X1324" s="212"/>
      <c r="Y1324" s="212"/>
      <c r="Z1324" s="212"/>
      <c r="AA1324" s="212"/>
      <c r="AB1324" s="212"/>
    </row>
    <row r="1325" spans="3:28" ht="15.75" x14ac:dyDescent="0.25">
      <c r="D1325" s="208">
        <f t="shared" si="383"/>
        <v>27</v>
      </c>
      <c r="E1325" s="103" t="s">
        <v>114</v>
      </c>
      <c r="F1325" s="121">
        <f>SUMIF(E6:E1291,"colombo",F6:F1291)</f>
        <v>0</v>
      </c>
      <c r="G1325" s="301">
        <f>SUMIF(E6:E1291,"colombo",Z6:Z1291)</f>
        <v>0</v>
      </c>
      <c r="H1325" s="152">
        <f>SUMIFS(Z$6:Z$1291,E$6:E$1291,"Colombo",AG$6:AG$1291,"OK")</f>
        <v>0</v>
      </c>
      <c r="I1325" s="295">
        <f>SUMIFS(F$6:F$1291,E$6:E$1291,"Colombo",AG$6:AG$1291,"OK")</f>
        <v>0</v>
      </c>
      <c r="J1325" s="361"/>
      <c r="K1325" s="208"/>
      <c r="L1325" s="212"/>
      <c r="M1325" s="212"/>
      <c r="N1325" s="212"/>
      <c r="O1325" s="212"/>
      <c r="P1325" s="212"/>
      <c r="Q1325" s="212"/>
      <c r="R1325" s="212"/>
      <c r="S1325" s="212"/>
      <c r="T1325" s="212"/>
      <c r="U1325" s="212"/>
      <c r="V1325" s="212"/>
      <c r="W1325" s="212"/>
      <c r="X1325" s="212"/>
      <c r="Y1325" s="212"/>
      <c r="Z1325" s="212"/>
      <c r="AA1325" s="212"/>
      <c r="AB1325" s="212"/>
    </row>
    <row r="1326" spans="3:28" ht="15.75" x14ac:dyDescent="0.25">
      <c r="D1326" s="208">
        <f t="shared" si="383"/>
        <v>28</v>
      </c>
      <c r="E1326" s="103" t="s">
        <v>227</v>
      </c>
      <c r="F1326" s="121">
        <f>SUMIF(E6:E1291,"cta",F6:F1291)</f>
        <v>0</v>
      </c>
      <c r="G1326" s="301">
        <f>SUMIF(E6:E1291,"CTA",Z6:Z1291)</f>
        <v>0</v>
      </c>
      <c r="H1326" s="152">
        <f>SUMIFS(Z$6:Z$1291,E$6:E$1291,"Cta",AG$6:AG$1291,"OK")</f>
        <v>0</v>
      </c>
      <c r="I1326" s="295"/>
      <c r="J1326" s="361"/>
      <c r="K1326" s="208"/>
      <c r="L1326" s="212"/>
      <c r="M1326" s="212"/>
      <c r="N1326" s="212"/>
      <c r="O1326" s="212"/>
      <c r="P1326" s="212"/>
      <c r="Q1326" s="212"/>
      <c r="R1326" s="212"/>
      <c r="S1326" s="212"/>
      <c r="T1326" s="212"/>
      <c r="U1326" s="212"/>
      <c r="V1326" s="212"/>
      <c r="W1326" s="212"/>
      <c r="X1326" s="212"/>
      <c r="Y1326" s="212"/>
      <c r="Z1326" s="212"/>
      <c r="AA1326" s="212"/>
      <c r="AB1326" s="212"/>
    </row>
    <row r="1327" spans="3:28" ht="15.75" x14ac:dyDescent="0.25">
      <c r="D1327" s="208">
        <f t="shared" si="383"/>
        <v>29</v>
      </c>
      <c r="E1327" s="103" t="s">
        <v>228</v>
      </c>
      <c r="F1327" s="121">
        <f>SUMIF(E$6:E$1291,"CTS",F$6:F$1291)</f>
        <v>1252</v>
      </c>
      <c r="G1327" s="301">
        <f>SUMIF(E$6:E$1291,"CTS",Z$6:Z$1291)</f>
        <v>355.65</v>
      </c>
      <c r="H1327" s="152">
        <f>SUMIFS(Z$6:Z$1291,E$6:E$1291,"Cts",AG$6:AG$1291,"OK")</f>
        <v>203.7</v>
      </c>
      <c r="I1327" s="295">
        <f>SUMIFS(F$6:F$1291,E$6:E$1291,"Cts",AG$6:AG$1291,"OK")</f>
        <v>679</v>
      </c>
      <c r="J1327" s="361"/>
      <c r="K1327" s="208"/>
      <c r="L1327" s="212"/>
      <c r="M1327" s="212"/>
      <c r="N1327" s="212"/>
      <c r="O1327" s="212"/>
      <c r="P1327" s="212"/>
      <c r="Q1327" s="212"/>
      <c r="R1327" s="212"/>
      <c r="S1327" s="212"/>
      <c r="T1327" s="212"/>
      <c r="U1327" s="212"/>
      <c r="V1327" s="212"/>
      <c r="W1327" s="212"/>
      <c r="X1327" s="212"/>
      <c r="Y1327" s="212"/>
      <c r="Z1327" s="212"/>
      <c r="AA1327" s="212"/>
      <c r="AB1327" s="212"/>
    </row>
    <row r="1328" spans="3:28" ht="15.75" x14ac:dyDescent="0.25">
      <c r="D1328" s="208">
        <f t="shared" si="383"/>
        <v>30</v>
      </c>
      <c r="E1328" s="103" t="s">
        <v>390</v>
      </c>
      <c r="F1328" s="121">
        <f>SUMIF(E$6:E$1291,"derbio",F$6:F$1291)</f>
        <v>0</v>
      </c>
      <c r="G1328" s="301">
        <f>SUMIF(E$6:E$1291,"derbio",Z$6:Z$1291)</f>
        <v>0</v>
      </c>
      <c r="H1328" s="152">
        <f>SUMIFS(Z$6:Z$1291,E$6:E$1291,"derbio",AG$6:AG$1291,"OK")</f>
        <v>0</v>
      </c>
      <c r="I1328" s="295">
        <f>SUMIFS(F$6:F$1291,E$6:E$1291,"derbio",AG$6:AG$1291,"OK")</f>
        <v>0</v>
      </c>
      <c r="J1328" s="361"/>
      <c r="K1328" s="208"/>
      <c r="L1328" s="212"/>
      <c r="M1328" s="212"/>
      <c r="N1328" s="212"/>
      <c r="O1328" s="212"/>
      <c r="P1328" s="212"/>
      <c r="Q1328" s="212"/>
      <c r="R1328" s="212"/>
      <c r="S1328" s="212"/>
      <c r="T1328" s="212"/>
      <c r="U1328" s="212"/>
      <c r="V1328" s="212"/>
      <c r="W1328" s="212"/>
      <c r="X1328" s="212"/>
      <c r="Y1328" s="212"/>
      <c r="Z1328" s="212"/>
      <c r="AA1328" s="212"/>
      <c r="AB1328" s="212"/>
    </row>
    <row r="1329" spans="3:28" ht="15.75" x14ac:dyDescent="0.25">
      <c r="D1329" s="208">
        <f t="shared" si="383"/>
        <v>31</v>
      </c>
      <c r="E1329" s="103" t="s">
        <v>237</v>
      </c>
      <c r="F1329" s="121">
        <f>SUMIF(E6:E1291,"duesse",F6:F1291)</f>
        <v>0</v>
      </c>
      <c r="G1329" s="301">
        <f>SUMIF(E6:E1291,"duesse",Z6:Z1291)</f>
        <v>0</v>
      </c>
      <c r="H1329" s="152">
        <f>SUMIFS(Z$6:Z$1291,E$6:E$1291,"Duesse",AG$6:AG$1291,"OK")</f>
        <v>0</v>
      </c>
      <c r="I1329" s="295"/>
      <c r="J1329" s="361"/>
      <c r="K1329" s="208"/>
      <c r="L1329" s="212"/>
      <c r="M1329" s="212"/>
      <c r="N1329" s="212"/>
      <c r="O1329" s="212"/>
      <c r="P1329" s="212"/>
      <c r="Q1329" s="212"/>
      <c r="R1329" s="212"/>
      <c r="S1329" s="212"/>
      <c r="T1329" s="212"/>
      <c r="U1329" s="212"/>
      <c r="V1329" s="212"/>
      <c r="W1329" s="212"/>
      <c r="X1329" s="212"/>
      <c r="Y1329" s="212"/>
      <c r="Z1329" s="212"/>
      <c r="AA1329" s="212"/>
      <c r="AB1329" s="212"/>
    </row>
    <row r="1330" spans="3:28" ht="15.75" x14ac:dyDescent="0.25">
      <c r="C1330" s="244" t="s">
        <v>273</v>
      </c>
      <c r="D1330" s="208">
        <f t="shared" si="383"/>
        <v>32</v>
      </c>
      <c r="E1330" s="240" t="s">
        <v>256</v>
      </c>
      <c r="F1330" s="121">
        <f>SUMIF(E6:E1291,"ea",F6:F1291)</f>
        <v>0</v>
      </c>
      <c r="G1330" s="301">
        <f>SUMIF(E6:E1291,"ea",Z6:Z1291)</f>
        <v>0</v>
      </c>
      <c r="H1330" s="152">
        <f>SUMIFS(Z$6:Z$1291,E$6:E$1291,"Ea",AG$6:AG$1291,"OK")</f>
        <v>0</v>
      </c>
      <c r="I1330" s="295"/>
      <c r="J1330" s="361"/>
      <c r="K1330" s="208"/>
      <c r="L1330" s="212"/>
      <c r="M1330" s="212"/>
      <c r="N1330" s="212"/>
      <c r="O1330" s="212"/>
      <c r="P1330" s="212"/>
      <c r="Q1330" s="212"/>
      <c r="R1330" s="212"/>
      <c r="S1330" s="212"/>
      <c r="T1330" s="212"/>
      <c r="U1330" s="212"/>
      <c r="V1330" s="212"/>
      <c r="W1330" s="212"/>
      <c r="X1330" s="212"/>
      <c r="Y1330" s="212"/>
      <c r="Z1330" s="212"/>
      <c r="AA1330" s="212"/>
      <c r="AB1330" s="212"/>
    </row>
    <row r="1331" spans="3:28" ht="15.75" x14ac:dyDescent="0.25">
      <c r="D1331" s="208">
        <f t="shared" si="383"/>
        <v>33</v>
      </c>
      <c r="E1331" s="103" t="s">
        <v>219</v>
      </c>
      <c r="F1331" s="121">
        <f>SUMIF(E6:E1291,"ebg",F6:F1291)</f>
        <v>2340</v>
      </c>
      <c r="G1331" s="301">
        <f>SUMIF(E6:E1291,"ebg",Z6:Z1291)</f>
        <v>167</v>
      </c>
      <c r="H1331" s="152">
        <f>SUMIFS(Z$6:Z$1291,E$6:E$1291,"Ebg",AG$6:AG$1291,"OK")</f>
        <v>67</v>
      </c>
      <c r="I1331" s="295"/>
      <c r="J1331" s="361"/>
      <c r="K1331" s="208"/>
      <c r="L1331" s="212"/>
      <c r="M1331" s="212"/>
      <c r="N1331" s="212"/>
      <c r="O1331" s="212"/>
      <c r="P1331" s="212"/>
      <c r="Q1331" s="212"/>
      <c r="R1331" s="212"/>
      <c r="S1331" s="212"/>
      <c r="T1331" s="212"/>
      <c r="U1331" s="212"/>
      <c r="V1331" s="212"/>
      <c r="W1331" s="212"/>
      <c r="X1331" s="212"/>
      <c r="Y1331" s="212"/>
      <c r="Z1331" s="212"/>
      <c r="AA1331" s="212"/>
      <c r="AB1331" s="212"/>
    </row>
    <row r="1332" spans="3:28" ht="15.75" x14ac:dyDescent="0.25">
      <c r="D1332" s="208">
        <f t="shared" si="383"/>
        <v>34</v>
      </c>
      <c r="E1332" s="103" t="s">
        <v>330</v>
      </c>
      <c r="F1332" s="121">
        <f>SUMIF(E6:E1291,"efacec",F6:F1291)</f>
        <v>41759</v>
      </c>
      <c r="G1332" s="301">
        <f>SUMIF(E6:E1291,"efacec",Z6:Z1291)</f>
        <v>2923.13</v>
      </c>
      <c r="H1332" s="152">
        <f>SUMIFS(Z$6:Z$1291,E$6:E$1291,"Efacec",AG$6:AG$1291,"OK")</f>
        <v>1423.38</v>
      </c>
      <c r="I1332" s="295">
        <f>SUMIFS(F$6:F$1291,E$6:E$1291,"efacec",AG$6:AG$1291,"OK")</f>
        <v>20334</v>
      </c>
      <c r="J1332" s="361"/>
      <c r="K1332" s="208"/>
      <c r="L1332" s="212"/>
      <c r="M1332" s="212"/>
      <c r="N1332" s="212"/>
      <c r="O1332" s="212"/>
      <c r="P1332" s="212"/>
      <c r="Q1332" s="212"/>
      <c r="R1332" s="212"/>
      <c r="S1332" s="212"/>
      <c r="T1332" s="212"/>
      <c r="U1332" s="212"/>
      <c r="V1332" s="212"/>
      <c r="W1332" s="212"/>
      <c r="X1332" s="212"/>
      <c r="Y1332" s="212"/>
      <c r="Z1332" s="212"/>
      <c r="AA1332" s="212"/>
      <c r="AB1332" s="212"/>
    </row>
    <row r="1333" spans="3:28" ht="15.75" x14ac:dyDescent="0.25">
      <c r="D1333" s="208">
        <f t="shared" si="383"/>
        <v>35</v>
      </c>
      <c r="E1333" s="103" t="s">
        <v>235</v>
      </c>
      <c r="F1333" s="121">
        <f>SUMIF(E6:E1291,"eht",F6:F1291)</f>
        <v>0</v>
      </c>
      <c r="G1333" s="301">
        <f>SUMIF(E6:E1291,"eht",Z6:Z1291)</f>
        <v>0</v>
      </c>
      <c r="H1333" s="152">
        <f>SUMIFS(Z$6:Z$1291,E$6:E$1291,"Eht",AG$6:AG$1291,"OK")</f>
        <v>0</v>
      </c>
      <c r="I1333" s="295"/>
      <c r="J1333" s="361"/>
      <c r="K1333" s="208"/>
      <c r="L1333" s="212"/>
      <c r="M1333" s="212"/>
      <c r="N1333" s="212"/>
      <c r="O1333" s="212"/>
      <c r="P1333" s="212"/>
      <c r="Q1333" s="212"/>
      <c r="R1333" s="212"/>
      <c r="S1333" s="212"/>
      <c r="T1333" s="212"/>
      <c r="U1333" s="212"/>
      <c r="V1333" s="212"/>
      <c r="W1333" s="212"/>
      <c r="X1333" s="212"/>
      <c r="Y1333" s="212"/>
      <c r="Z1333" s="212"/>
      <c r="AA1333" s="212"/>
      <c r="AB1333" s="212"/>
    </row>
    <row r="1334" spans="3:28" ht="15.75" x14ac:dyDescent="0.25">
      <c r="C1334" s="244" t="s">
        <v>273</v>
      </c>
      <c r="D1334" s="208">
        <f t="shared" si="383"/>
        <v>36</v>
      </c>
      <c r="E1334" s="306" t="s">
        <v>229</v>
      </c>
      <c r="F1334" s="121">
        <f>SUMIF(E6:E1291,"ELAST",F6:F1291)</f>
        <v>0</v>
      </c>
      <c r="G1334" s="301">
        <f>SUMIF(E6:E1291,"elast",Z6:Z1291)</f>
        <v>0</v>
      </c>
      <c r="H1334" s="152">
        <f>SUMIFS(Z$6:Z$1291,E$6:E$1291,"Elast",AG$6:AG$1291,"OK")</f>
        <v>0</v>
      </c>
      <c r="I1334" s="295"/>
      <c r="J1334" s="361"/>
      <c r="K1334" s="208"/>
      <c r="L1334" s="212"/>
      <c r="M1334" s="212"/>
      <c r="N1334" s="212"/>
      <c r="O1334" s="212"/>
      <c r="P1334" s="212"/>
      <c r="Q1334" s="212"/>
      <c r="R1334" s="212"/>
      <c r="S1334" s="212"/>
      <c r="T1334" s="212"/>
      <c r="U1334" s="212"/>
      <c r="V1334" s="212"/>
      <c r="W1334" s="212"/>
      <c r="X1334" s="212"/>
      <c r="Y1334" s="212"/>
      <c r="Z1334" s="212"/>
      <c r="AA1334" s="212"/>
      <c r="AB1334" s="212"/>
    </row>
    <row r="1335" spans="3:28" ht="15.75" x14ac:dyDescent="0.25">
      <c r="D1335" s="208">
        <f t="shared" si="383"/>
        <v>37</v>
      </c>
      <c r="E1335" s="103" t="s">
        <v>111</v>
      </c>
      <c r="F1335" s="121">
        <f>SUMIF(E6:E1291,"elca",F6:F1291)</f>
        <v>0</v>
      </c>
      <c r="G1335" s="301">
        <f>SUMIF(E6:E1291,"elca",Z6:Z1291)</f>
        <v>0</v>
      </c>
      <c r="H1335" s="152">
        <f>SUMIFS(Z$6:Z$1291,E$6:E$1291,"Elca",AG$6:AG$1291,"OK")</f>
        <v>0</v>
      </c>
      <c r="I1335" s="295">
        <f>SUMIFS(F$6:F$1291,E$6:E$1291,"Elca",AG$6:AG$1291,"OK")</f>
        <v>0</v>
      </c>
      <c r="J1335" s="361"/>
      <c r="K1335" s="208"/>
      <c r="L1335" s="212"/>
      <c r="M1335" s="212"/>
      <c r="N1335" s="212"/>
      <c r="O1335" s="212"/>
      <c r="P1335" s="212"/>
      <c r="Q1335" s="212"/>
      <c r="R1335" s="212"/>
      <c r="S1335" s="212"/>
      <c r="T1335" s="212"/>
      <c r="U1335" s="212"/>
      <c r="V1335" s="212"/>
      <c r="W1335" s="212"/>
      <c r="X1335" s="212"/>
      <c r="Y1335" s="212"/>
      <c r="Z1335" s="212"/>
      <c r="AA1335" s="212"/>
      <c r="AB1335" s="212"/>
    </row>
    <row r="1336" spans="3:28" ht="15.75" x14ac:dyDescent="0.25">
      <c r="D1336" s="208">
        <f t="shared" si="383"/>
        <v>38</v>
      </c>
      <c r="E1336" s="103" t="s">
        <v>365</v>
      </c>
      <c r="F1336" s="121">
        <f>SUMIF(E$6:E$1291,"Elesa",F$6:F$1291)</f>
        <v>0</v>
      </c>
      <c r="G1336" s="301">
        <f>SUMIF(E$6:E$1291,"elesa",Z$6:Z$1291)</f>
        <v>0</v>
      </c>
      <c r="H1336" s="152">
        <f>SUMIFS(Z$6:Z$1291,E$6:E$1291,"elesa",AG$6:AG$1291,"OK")</f>
        <v>0</v>
      </c>
      <c r="I1336" s="295">
        <f>SUMIFS(F$6:F$1291,E$6:E$1291,"elesa",AG$6:AG$1291,"OK")</f>
        <v>0</v>
      </c>
      <c r="J1336" s="361"/>
      <c r="K1336" s="208"/>
      <c r="L1336" s="212"/>
      <c r="M1336" s="212"/>
      <c r="N1336" s="212"/>
      <c r="O1336" s="212"/>
      <c r="P1336" s="212"/>
      <c r="Q1336" s="212"/>
      <c r="R1336" s="212"/>
      <c r="S1336" s="212"/>
      <c r="T1336" s="212"/>
      <c r="U1336" s="212"/>
      <c r="V1336" s="212"/>
      <c r="W1336" s="212"/>
      <c r="X1336" s="212"/>
      <c r="Y1336" s="212"/>
      <c r="Z1336" s="212"/>
      <c r="AA1336" s="212"/>
      <c r="AB1336" s="212"/>
    </row>
    <row r="1337" spans="3:28" ht="15.75" x14ac:dyDescent="0.25">
      <c r="D1337" s="208">
        <f t="shared" si="383"/>
        <v>39</v>
      </c>
      <c r="E1337" s="103" t="s">
        <v>230</v>
      </c>
      <c r="F1337" s="121">
        <f>SUMIF(E6:E1291,"elektra",F6:F1291)</f>
        <v>0</v>
      </c>
      <c r="G1337" s="301">
        <f>SUMIF(E6:E1291,"elektra",Z6:Z1291)</f>
        <v>0</v>
      </c>
      <c r="H1337" s="152">
        <f>SUMIFS(Z$6:Z$1291,E$6:E$1291,"Elektra",AG$6:AG$1291,"OK")</f>
        <v>0</v>
      </c>
      <c r="I1337" s="295">
        <f>SUMIFS(F$6:F$1291,E$6:E$1291,"Elektra",AG$6:AG$1291,"OK")</f>
        <v>0</v>
      </c>
      <c r="J1337" s="361"/>
      <c r="K1337" s="208"/>
      <c r="L1337" s="212"/>
      <c r="M1337" s="212"/>
      <c r="N1337" s="212"/>
      <c r="O1337" s="212"/>
      <c r="P1337" s="212"/>
      <c r="Q1337" s="212"/>
      <c r="R1337" s="212"/>
      <c r="S1337" s="212"/>
      <c r="T1337" s="212"/>
      <c r="U1337" s="212"/>
      <c r="V1337" s="212"/>
      <c r="W1337" s="212"/>
      <c r="X1337" s="212"/>
      <c r="Y1337" s="212"/>
      <c r="Z1337" s="212"/>
      <c r="AA1337" s="212"/>
      <c r="AB1337" s="212"/>
    </row>
    <row r="1338" spans="3:28" ht="15.75" x14ac:dyDescent="0.25">
      <c r="D1338" s="208">
        <f t="shared" si="383"/>
        <v>40</v>
      </c>
      <c r="E1338" s="103" t="s">
        <v>106</v>
      </c>
      <c r="F1338" s="121">
        <f>SUMIF(E6:E1291,"eletrafo",F6:F1291)</f>
        <v>500</v>
      </c>
      <c r="G1338" s="301">
        <f>SUMIF(E6:E1291,"eletrafo",Z6:Z1291)</f>
        <v>35</v>
      </c>
      <c r="H1338" s="152">
        <f>SUMIFS(Z$6:Z$1291,E$6:E$1291,"Eletrafo",AG$6:AG$1291,"OK")</f>
        <v>0</v>
      </c>
      <c r="I1338" s="295">
        <f>SUMIFS(F$6:F$1291,E$6:E$1291,"Eletrafo",AG$6:AG$1291,"OK")</f>
        <v>0</v>
      </c>
      <c r="J1338" s="361"/>
      <c r="K1338" s="208"/>
      <c r="L1338" s="212"/>
      <c r="M1338" s="212"/>
      <c r="N1338" s="212"/>
      <c r="O1338" s="212"/>
      <c r="P1338" s="212"/>
      <c r="Q1338" s="212"/>
      <c r="R1338" s="212"/>
      <c r="S1338" s="212"/>
      <c r="T1338" s="212"/>
      <c r="U1338" s="212"/>
      <c r="V1338" s="212"/>
      <c r="W1338" s="212"/>
      <c r="X1338" s="212"/>
      <c r="Y1338" s="212"/>
      <c r="Z1338" s="212"/>
      <c r="AA1338" s="212"/>
      <c r="AB1338" s="212"/>
    </row>
    <row r="1339" spans="3:28" ht="15.75" x14ac:dyDescent="0.25">
      <c r="D1339" s="208">
        <f t="shared" si="383"/>
        <v>41</v>
      </c>
      <c r="E1339" s="103" t="s">
        <v>199</v>
      </c>
      <c r="F1339" s="121">
        <f>SUMIF(E6:E1291,"elettromil",F6:F1291)</f>
        <v>0</v>
      </c>
      <c r="G1339" s="301">
        <f>SUMIF(E6:E1291,"elettromil",Z6:Z1291)</f>
        <v>0</v>
      </c>
      <c r="H1339" s="152">
        <f>SUMIFS(Z$6:Z$1291,E$6:E$1291,"Elettromil",AG$6:AG$1291,"OK")</f>
        <v>0</v>
      </c>
      <c r="I1339" s="295">
        <f>SUMIFS(F$6:F$1291,E$6:E$1291,"ELETTROMIL",AG$6:AG$1291,"OK")</f>
        <v>0</v>
      </c>
      <c r="J1339" s="361"/>
      <c r="K1339" s="208"/>
      <c r="L1339" s="212"/>
      <c r="M1339" s="212"/>
      <c r="N1339" s="212"/>
      <c r="O1339" s="212"/>
      <c r="P1339" s="212"/>
      <c r="Q1339" s="212"/>
      <c r="R1339" s="212"/>
      <c r="S1339" s="212"/>
      <c r="T1339" s="212"/>
      <c r="U1339" s="212"/>
      <c r="V1339" s="212"/>
      <c r="W1339" s="212"/>
      <c r="X1339" s="212"/>
      <c r="Y1339" s="212"/>
      <c r="Z1339" s="212"/>
      <c r="AA1339" s="212"/>
      <c r="AB1339" s="212"/>
    </row>
    <row r="1340" spans="3:28" ht="15.75" x14ac:dyDescent="0.25">
      <c r="C1340" s="244" t="s">
        <v>273</v>
      </c>
      <c r="D1340" s="208">
        <f t="shared" si="383"/>
        <v>42</v>
      </c>
      <c r="E1340" s="240" t="s">
        <v>91</v>
      </c>
      <c r="F1340" s="121">
        <f>SUMIF(E6:E1291,"elettroplastica",F6:F1291)</f>
        <v>0</v>
      </c>
      <c r="G1340" s="301">
        <f>SUMIF(E6:E1291,"elettropalstica",Z6:Z1291)</f>
        <v>0</v>
      </c>
      <c r="H1340" s="152">
        <f>SUMIFS(Z$6:Z$1291,E$6:E$1291,"Elettroplastica",AG$6:AG$1291,"OK")</f>
        <v>0</v>
      </c>
      <c r="I1340" s="295"/>
      <c r="J1340" s="361"/>
      <c r="K1340" s="208"/>
      <c r="L1340" s="212"/>
      <c r="M1340" s="212"/>
      <c r="N1340" s="212"/>
      <c r="O1340" s="212"/>
      <c r="P1340" s="212"/>
      <c r="Q1340" s="212"/>
      <c r="R1340" s="212"/>
      <c r="S1340" s="212"/>
      <c r="T1340" s="212"/>
      <c r="U1340" s="212"/>
      <c r="V1340" s="212"/>
      <c r="W1340" s="212"/>
      <c r="X1340" s="212"/>
      <c r="Y1340" s="212"/>
      <c r="Z1340" s="212"/>
      <c r="AA1340" s="212"/>
      <c r="AB1340" s="212"/>
    </row>
    <row r="1341" spans="3:28" ht="15.75" x14ac:dyDescent="0.25">
      <c r="C1341" s="244" t="s">
        <v>273</v>
      </c>
      <c r="D1341" s="208">
        <f t="shared" si="383"/>
        <v>43</v>
      </c>
      <c r="E1341" s="307" t="s">
        <v>295</v>
      </c>
      <c r="F1341" s="121">
        <f>SUMIF(E6:E1291,"elhand",F6:F1291)</f>
        <v>0</v>
      </c>
      <c r="G1341" s="301">
        <f>SUMIF(E6:E1291,"elhand",Z6:Z1291)</f>
        <v>0</v>
      </c>
      <c r="H1341" s="152">
        <f>SUMIFS(Z$6:Z$1291,E$6:E$1291,"elhand",AG$6:AG$1291,"OK")</f>
        <v>0</v>
      </c>
      <c r="I1341" s="295">
        <f>SUMIFS(F$6:F$1291,E$6:E$1291,"elhand",AG$6:AG$1291,"OK")</f>
        <v>0</v>
      </c>
      <c r="J1341" s="361"/>
      <c r="K1341" s="208"/>
      <c r="L1341" s="212"/>
      <c r="M1341" s="212"/>
      <c r="N1341" s="212"/>
      <c r="O1341" s="212"/>
      <c r="P1341" s="212"/>
      <c r="Q1341" s="212"/>
      <c r="R1341" s="212"/>
      <c r="S1341" s="212"/>
      <c r="T1341" s="212"/>
      <c r="U1341" s="212"/>
      <c r="V1341" s="212"/>
      <c r="W1341" s="212"/>
      <c r="X1341" s="212"/>
      <c r="Y1341" s="212"/>
      <c r="Z1341" s="212"/>
      <c r="AA1341" s="212"/>
      <c r="AB1341" s="212"/>
    </row>
    <row r="1342" spans="3:28" ht="15.75" x14ac:dyDescent="0.25">
      <c r="D1342" s="208">
        <f t="shared" si="383"/>
        <v>44</v>
      </c>
      <c r="E1342" s="103" t="s">
        <v>104</v>
      </c>
      <c r="F1342" s="121">
        <f>SUMIF(E6:E1291,"elpicast",F6:F1291)</f>
        <v>69783</v>
      </c>
      <c r="G1342" s="301">
        <f>SUMIF(E6:E1291,"elpicast",Z6:Z1291)</f>
        <v>4884.8100000000004</v>
      </c>
      <c r="H1342" s="152">
        <f>SUMIFS(Z$6:Z$1291,E$6:E$1291,"Elpicast",AG$6:AG$1291,"OK")</f>
        <v>1776.8100000000004</v>
      </c>
      <c r="I1342" s="295">
        <f>SUMIFS(F$6:F$1291,E$6:E$1291,"elpicast",AG$6:AG$1291,"OK")</f>
        <v>25383</v>
      </c>
      <c r="J1342" s="361"/>
      <c r="K1342" s="208"/>
      <c r="L1342" s="212"/>
      <c r="M1342" s="212"/>
      <c r="N1342" s="212"/>
      <c r="O1342" s="212"/>
      <c r="P1342" s="212"/>
      <c r="Q1342" s="212"/>
      <c r="R1342" s="212"/>
      <c r="S1342" s="212"/>
      <c r="T1342" s="212"/>
      <c r="U1342" s="212"/>
      <c r="V1342" s="212"/>
      <c r="W1342" s="212"/>
      <c r="X1342" s="212"/>
      <c r="Y1342" s="212"/>
      <c r="Z1342" s="212"/>
      <c r="AA1342" s="212"/>
      <c r="AB1342" s="212"/>
    </row>
    <row r="1343" spans="3:28" ht="15.75" x14ac:dyDescent="0.25">
      <c r="D1343" s="208">
        <f t="shared" si="383"/>
        <v>45</v>
      </c>
      <c r="E1343" s="103" t="s">
        <v>97</v>
      </c>
      <c r="F1343" s="121">
        <f>SUMIF(E6:E1291,"emg",F6:F1291)</f>
        <v>1900</v>
      </c>
      <c r="G1343" s="301">
        <f>SUMIF(E6:E1291,"emg",Z6:Z1291)</f>
        <v>125</v>
      </c>
      <c r="H1343" s="152">
        <f>SUMIFS(Z$6:Z$1291,E$6:E$1291,"Emg",AG$6:AG$1291,"OK")</f>
        <v>0</v>
      </c>
      <c r="I1343" s="295">
        <f>SUMIFS(F$6:F$1291,E$6:E$1291,"emg",AG$6:AG$1291,"OK")</f>
        <v>0</v>
      </c>
      <c r="J1343" s="361"/>
      <c r="K1343" s="208"/>
      <c r="L1343" s="212"/>
      <c r="M1343" s="212"/>
      <c r="N1343" s="212"/>
      <c r="O1343" s="212"/>
      <c r="P1343" s="212"/>
      <c r="Q1343" s="212"/>
      <c r="R1343" s="212"/>
      <c r="S1343" s="212"/>
      <c r="T1343" s="212"/>
      <c r="U1343" s="212"/>
      <c r="V1343" s="212"/>
      <c r="W1343" s="212"/>
      <c r="X1343" s="212"/>
      <c r="Y1343" s="212"/>
      <c r="Z1343" s="212"/>
      <c r="AA1343" s="212"/>
      <c r="AB1343" s="212"/>
    </row>
    <row r="1344" spans="3:28" ht="15.75" x14ac:dyDescent="0.25">
      <c r="D1344" s="208"/>
      <c r="E1344" s="103" t="s">
        <v>462</v>
      </c>
      <c r="F1344" s="121">
        <f>SUMIF(E6:E1292,"eservice",F6:F1292)</f>
        <v>0</v>
      </c>
      <c r="G1344" s="301">
        <f>SUMIF(E6:E1292,"eservice",Z6:Z1292)</f>
        <v>0</v>
      </c>
      <c r="H1344" s="152">
        <f>SUMIFS(Z$6:Z$1291,E$6:E$1291,"eservice",AG$6:AG$1291,"OK")</f>
        <v>0</v>
      </c>
      <c r="I1344" s="295">
        <f>SUMIFS(F$6:F$1291,E$6:E$1291,"eservice",AG$6:AG$1291,"OK")</f>
        <v>0</v>
      </c>
      <c r="J1344" s="361"/>
      <c r="K1344" s="208"/>
      <c r="L1344" s="212"/>
      <c r="M1344" s="212"/>
      <c r="N1344" s="212"/>
      <c r="O1344" s="212"/>
      <c r="P1344" s="212"/>
      <c r="Q1344" s="212"/>
      <c r="R1344" s="212"/>
      <c r="S1344" s="212"/>
      <c r="T1344" s="212"/>
      <c r="U1344" s="212"/>
      <c r="V1344" s="212"/>
      <c r="W1344" s="212"/>
      <c r="X1344" s="212"/>
      <c r="Y1344" s="212"/>
      <c r="Z1344" s="212"/>
      <c r="AA1344" s="212"/>
      <c r="AB1344" s="212"/>
    </row>
    <row r="1345" spans="3:28" ht="15.75" x14ac:dyDescent="0.25">
      <c r="D1345" s="208">
        <f>+D1343+1</f>
        <v>46</v>
      </c>
      <c r="E1345" s="103" t="s">
        <v>258</v>
      </c>
      <c r="F1345" s="121">
        <f>SUMIF(E6:E1291,"espa",F6:F1291)</f>
        <v>0</v>
      </c>
      <c r="G1345" s="301">
        <f>SUMIF(E6:E1291,"espa",Z6:Z1291)</f>
        <v>0</v>
      </c>
      <c r="H1345" s="152">
        <f>SUMIFS(Z$6:Z$1291,E$6:E$1291,"Espa",AG$6:AG$1291,"OK")</f>
        <v>0</v>
      </c>
      <c r="I1345" s="295">
        <f>SUMIFS(F$6:F$1291,E$6:E$1291,"ESPA",AG$6:AG$1291,"OK")</f>
        <v>0</v>
      </c>
      <c r="J1345" s="361"/>
      <c r="K1345" s="208"/>
      <c r="L1345" s="212"/>
      <c r="M1345" s="212"/>
      <c r="N1345" s="212"/>
      <c r="O1345" s="212"/>
      <c r="P1345" s="212"/>
      <c r="Q1345" s="212"/>
      <c r="R1345" s="212"/>
      <c r="S1345" s="212"/>
      <c r="T1345" s="212"/>
      <c r="U1345" s="212"/>
      <c r="V1345" s="212"/>
      <c r="W1345" s="212"/>
      <c r="X1345" s="212"/>
      <c r="Y1345" s="212"/>
      <c r="Z1345" s="212"/>
      <c r="AA1345" s="212"/>
      <c r="AB1345" s="212"/>
    </row>
    <row r="1346" spans="3:28" ht="15.75" x14ac:dyDescent="0.25">
      <c r="D1346" s="208">
        <f t="shared" si="383"/>
        <v>47</v>
      </c>
      <c r="E1346" s="103" t="s">
        <v>373</v>
      </c>
      <c r="F1346" s="121">
        <f>SUMIF(E$6:E$1291,"fabero",F$6:F$1291)</f>
        <v>0</v>
      </c>
      <c r="G1346" s="301">
        <f>SUMIF(E$6:E$1291,"fabero",Z$6:Z$1291)</f>
        <v>0</v>
      </c>
      <c r="H1346" s="152">
        <f>SUMIFS(Z$6:Z$1291,E$6:E$1291,"Fabero",AG$6:AG$1291,"OK")</f>
        <v>0</v>
      </c>
      <c r="I1346" s="295">
        <f>SUMIFS(F$6:F$1291,E$6:E$1291,"fabero",AG$6:AG$1291,"OK")</f>
        <v>0</v>
      </c>
      <c r="J1346" s="361"/>
      <c r="K1346" s="208"/>
      <c r="L1346" s="212"/>
      <c r="M1346" s="212"/>
      <c r="N1346" s="212"/>
      <c r="O1346" s="212"/>
      <c r="P1346" s="212"/>
      <c r="Q1346" s="212"/>
      <c r="R1346" s="212"/>
      <c r="S1346" s="212"/>
      <c r="T1346" s="212"/>
      <c r="U1346" s="212"/>
      <c r="V1346" s="212"/>
      <c r="W1346" s="212"/>
      <c r="X1346" s="212"/>
      <c r="Y1346" s="212"/>
      <c r="Z1346" s="212"/>
      <c r="AA1346" s="212"/>
      <c r="AB1346" s="212"/>
    </row>
    <row r="1347" spans="3:28" ht="15.75" x14ac:dyDescent="0.25">
      <c r="D1347" s="208">
        <f t="shared" si="383"/>
        <v>48</v>
      </c>
      <c r="E1347" s="103" t="s">
        <v>242</v>
      </c>
      <c r="F1347" s="121">
        <f>SUMIF(E$6:E$1291,"fashion",F$6:F$1291)</f>
        <v>0</v>
      </c>
      <c r="G1347" s="301">
        <f>SUMIF(E$6:E$1291,"fashion",Z$6:Z$1291)</f>
        <v>0</v>
      </c>
      <c r="H1347" s="152">
        <f>SUMIFS(Z$6:Z$1291,E$6:E$1291,"Fashion",AG$6:AG$1291,"OK")</f>
        <v>0</v>
      </c>
      <c r="I1347" s="295">
        <f>SUMIFS(F$6:F$1291,E$6:E$1291,"fashion",AG$6:AG$1291,"OK")</f>
        <v>0</v>
      </c>
      <c r="J1347" s="361"/>
      <c r="K1347" s="208"/>
      <c r="L1347" s="212"/>
      <c r="M1347" s="212"/>
      <c r="N1347" s="212"/>
      <c r="O1347" s="212"/>
      <c r="P1347" s="212"/>
      <c r="Q1347" s="212"/>
      <c r="R1347" s="212"/>
      <c r="S1347" s="212"/>
      <c r="T1347" s="212"/>
      <c r="U1347" s="212"/>
      <c r="V1347" s="212"/>
      <c r="W1347" s="212"/>
      <c r="X1347" s="212"/>
      <c r="Y1347" s="212"/>
      <c r="Z1347" s="212"/>
      <c r="AA1347" s="212"/>
      <c r="AB1347" s="212"/>
    </row>
    <row r="1348" spans="3:28" ht="15.75" x14ac:dyDescent="0.25">
      <c r="D1348" s="208">
        <f t="shared" si="383"/>
        <v>49</v>
      </c>
      <c r="E1348" s="103" t="s">
        <v>338</v>
      </c>
      <c r="F1348" s="121">
        <f>SUMIF(E$6:E$1291,"facem",F$6:F$1291)</f>
        <v>0</v>
      </c>
      <c r="G1348" s="301">
        <f>SUMIF(E$6:E$1291,"facem",Z$6:Z$1291)</f>
        <v>0</v>
      </c>
      <c r="H1348" s="152">
        <f>SUMIFS(Z$6:Z$1291,E$6:E$1291,"Facem",AG$6:AG$1291,"OK")</f>
        <v>0</v>
      </c>
      <c r="I1348" s="295">
        <f>SUMIFS(F$6:F$1291,E$6:E$1291,"facem",AG$6:AG$1291,"OK")</f>
        <v>0</v>
      </c>
      <c r="J1348" s="361"/>
      <c r="K1348" s="208"/>
      <c r="L1348" s="212"/>
      <c r="M1348" s="212"/>
      <c r="N1348" s="212"/>
      <c r="O1348" s="212"/>
      <c r="P1348" s="212"/>
      <c r="Q1348" s="212"/>
      <c r="R1348" s="212"/>
      <c r="S1348" s="212"/>
      <c r="T1348" s="212"/>
      <c r="U1348" s="212"/>
      <c r="V1348" s="212"/>
      <c r="W1348" s="212"/>
      <c r="X1348" s="212"/>
      <c r="Y1348" s="212"/>
      <c r="Z1348" s="212"/>
      <c r="AA1348" s="212"/>
      <c r="AB1348" s="212"/>
    </row>
    <row r="1349" spans="3:28" ht="15.75" x14ac:dyDescent="0.25">
      <c r="C1349" s="244" t="s">
        <v>273</v>
      </c>
      <c r="D1349" s="208">
        <f t="shared" si="383"/>
        <v>50</v>
      </c>
      <c r="E1349" s="307" t="s">
        <v>240</v>
      </c>
      <c r="F1349" s="121">
        <f>SUMIF(E6:E1292,"fat",F6:F1292)</f>
        <v>0</v>
      </c>
      <c r="G1349" s="301">
        <f>SUMIF(E6:E1292,"fat",Z6:Z1292)</f>
        <v>0</v>
      </c>
      <c r="H1349" s="152">
        <f>SUMIFS(Z$6:Z$1291,E$6:E$1291,"Fat",AG$6:AG$1291,"OK")</f>
        <v>0</v>
      </c>
      <c r="I1349" s="295"/>
      <c r="J1349" s="361"/>
      <c r="K1349" s="208"/>
      <c r="L1349" s="212"/>
      <c r="M1349" s="212"/>
      <c r="N1349" s="212"/>
      <c r="O1349" s="212"/>
      <c r="P1349" s="212"/>
      <c r="Q1349" s="212"/>
      <c r="R1349" s="212"/>
      <c r="S1349" s="212"/>
      <c r="T1349" s="212"/>
      <c r="U1349" s="212"/>
      <c r="V1349" s="212"/>
      <c r="W1349" s="212"/>
      <c r="X1349" s="212"/>
      <c r="Y1349" s="212"/>
      <c r="Z1349" s="212"/>
      <c r="AA1349" s="212"/>
      <c r="AB1349" s="212"/>
    </row>
    <row r="1350" spans="3:28" ht="15.75" x14ac:dyDescent="0.25">
      <c r="D1350" s="208">
        <f t="shared" si="383"/>
        <v>51</v>
      </c>
      <c r="E1350" s="103" t="s">
        <v>100</v>
      </c>
      <c r="F1350" s="121">
        <f>SUMIF(E6:E1291,"fdueg",F6:F1291)</f>
        <v>0</v>
      </c>
      <c r="G1350" s="301">
        <f>SUMIF(E6:E1291,"fdueg",Z6:Z1291)</f>
        <v>0</v>
      </c>
      <c r="H1350" s="152">
        <f>SUMIFS(Z$6:Z$1291,E$6:E$1291,"FdueG",AG$6:AG$1291,"OK")</f>
        <v>0</v>
      </c>
      <c r="I1350" s="295">
        <f>SUMIFS(F$6:F$1291,E$6:E$1291,"Fdueg",AG$6:AG$1291,"OK")</f>
        <v>0</v>
      </c>
      <c r="J1350" s="361"/>
      <c r="K1350" s="208"/>
      <c r="L1350" s="212"/>
      <c r="M1350" s="212"/>
      <c r="N1350" s="212"/>
      <c r="O1350" s="212"/>
      <c r="P1350" s="212"/>
      <c r="Q1350" s="212"/>
      <c r="R1350" s="212"/>
      <c r="S1350" s="212"/>
      <c r="T1350" s="212"/>
      <c r="U1350" s="212"/>
      <c r="V1350" s="212"/>
      <c r="W1350" s="212"/>
      <c r="X1350" s="212"/>
      <c r="Y1350" s="212"/>
      <c r="Z1350" s="212"/>
      <c r="AA1350" s="212"/>
      <c r="AB1350" s="212"/>
    </row>
    <row r="1351" spans="3:28" ht="15.75" x14ac:dyDescent="0.25">
      <c r="D1351" s="208">
        <f t="shared" si="383"/>
        <v>52</v>
      </c>
      <c r="E1351" s="103" t="s">
        <v>262</v>
      </c>
      <c r="F1351" s="121">
        <f>SUMIF(E6:E1291,"feem",F6:F1291)</f>
        <v>0</v>
      </c>
      <c r="G1351" s="301">
        <f>SUMIF(E6:E1291,"feem",Z6:Z1291)</f>
        <v>0</v>
      </c>
      <c r="H1351" s="152">
        <f>SUMIFS(Z$6:Z$1291,E$6:E$1291,"Feem",AG$6:AG$1291,"OK")</f>
        <v>0</v>
      </c>
      <c r="I1351" s="295">
        <f>SUMIFS(F$6:F$1291,E$6:E$1291,"FEEM",AG$6:AG$1291,"OK")</f>
        <v>0</v>
      </c>
      <c r="J1351" s="361"/>
      <c r="K1351" s="208"/>
      <c r="L1351" s="212"/>
      <c r="M1351" s="212"/>
      <c r="N1351" s="212"/>
      <c r="O1351" s="212"/>
      <c r="P1351" s="212"/>
      <c r="Q1351" s="212"/>
      <c r="R1351" s="212"/>
      <c r="S1351" s="212"/>
      <c r="T1351" s="212"/>
      <c r="U1351" s="212"/>
      <c r="V1351" s="212"/>
      <c r="W1351" s="212"/>
      <c r="X1351" s="212"/>
      <c r="Y1351" s="212"/>
      <c r="Z1351" s="212"/>
      <c r="AA1351" s="212"/>
      <c r="AB1351" s="212"/>
    </row>
    <row r="1352" spans="3:28" ht="15.75" x14ac:dyDescent="0.25">
      <c r="C1352" s="244" t="s">
        <v>273</v>
      </c>
      <c r="D1352" s="208">
        <f t="shared" si="383"/>
        <v>53</v>
      </c>
      <c r="E1352" s="240" t="s">
        <v>231</v>
      </c>
      <c r="F1352" s="121">
        <f>SUMIF(E6:E1291,"fenaroli",F6:F1291)</f>
        <v>0</v>
      </c>
      <c r="G1352" s="301">
        <f>SUMIF(E6:E1291,"fenaroli",Z6:Z1291)</f>
        <v>0</v>
      </c>
      <c r="H1352" s="152">
        <f>SUMIFS(Z$6:Z$1291,E$6:E$1291,"Fenaroli",AG$6:AG$1291,"OK")</f>
        <v>0</v>
      </c>
      <c r="I1352" s="295"/>
      <c r="J1352" s="361"/>
      <c r="K1352" s="208"/>
      <c r="L1352" s="212"/>
      <c r="M1352" s="212"/>
      <c r="N1352" s="212"/>
      <c r="O1352" s="212"/>
      <c r="P1352" s="212"/>
      <c r="Q1352" s="212"/>
      <c r="R1352" s="212"/>
      <c r="S1352" s="212"/>
      <c r="T1352" s="212"/>
      <c r="U1352" s="212"/>
      <c r="V1352" s="212"/>
      <c r="W1352" s="212"/>
      <c r="X1352" s="212"/>
      <c r="Y1352" s="212"/>
      <c r="Z1352" s="212"/>
      <c r="AA1352" s="212"/>
      <c r="AB1352" s="212"/>
    </row>
    <row r="1353" spans="3:28" ht="15.75" x14ac:dyDescent="0.25">
      <c r="D1353" s="208"/>
      <c r="E1353" s="103" t="s">
        <v>398</v>
      </c>
      <c r="F1353" s="121">
        <f>SUMIF(E6:E1292,"fenix",F6:F1292)</f>
        <v>0</v>
      </c>
      <c r="G1353" s="301">
        <f>SUMIF(E6:E1292,"fenix",Z6:Z1292)</f>
        <v>0</v>
      </c>
      <c r="H1353" s="152">
        <f>SUMIFS(Z$6:Z$1291,E$6:E$1291,"Fenix",AG$6:AG$1291,"OK")</f>
        <v>0</v>
      </c>
      <c r="I1353" s="295">
        <f>SUMIFS(F$6:F$1291,E$6:E$1291,"Fenix",AG$6:AG$1291,"OK")</f>
        <v>0</v>
      </c>
      <c r="J1353" s="361"/>
      <c r="K1353" s="208"/>
      <c r="L1353" s="212"/>
      <c r="M1353" s="212"/>
      <c r="N1353" s="212"/>
      <c r="O1353" s="212"/>
      <c r="P1353" s="212"/>
      <c r="Q1353" s="212"/>
      <c r="R1353" s="212"/>
      <c r="S1353" s="212"/>
      <c r="T1353" s="212"/>
      <c r="U1353" s="212"/>
      <c r="V1353" s="212"/>
      <c r="W1353" s="212"/>
      <c r="X1353" s="212"/>
      <c r="Y1353" s="212"/>
      <c r="Z1353" s="212"/>
      <c r="AA1353" s="212"/>
      <c r="AB1353" s="212"/>
    </row>
    <row r="1354" spans="3:28" ht="15.75" x14ac:dyDescent="0.25">
      <c r="D1354" s="208">
        <f>+D1352+1</f>
        <v>54</v>
      </c>
      <c r="E1354" s="103" t="s">
        <v>335</v>
      </c>
      <c r="F1354" s="121">
        <f>SUMIF(E6:E1291,"fmt",F6:F1291)</f>
        <v>0</v>
      </c>
      <c r="G1354" s="301">
        <f>SUMIF(E6:E1291,"fmt",Z6:Z1291)</f>
        <v>0</v>
      </c>
      <c r="H1354" s="152">
        <f>SUMIFS(Z$6:Z$1291,E$6:E$1291,"Fmt",AG$6:AG$1291,"OK")</f>
        <v>0</v>
      </c>
      <c r="I1354" s="295">
        <f>SUMIFS(F$6:F$1291,E$6:E$1291,"Fmt",AG$6:AG$1291,"OK")</f>
        <v>0</v>
      </c>
      <c r="J1354" s="361"/>
      <c r="K1354" s="208"/>
      <c r="L1354" s="212"/>
      <c r="M1354" s="212"/>
      <c r="N1354" s="212"/>
      <c r="O1354" s="212"/>
      <c r="P1354" s="212"/>
      <c r="Q1354" s="212"/>
      <c r="R1354" s="212"/>
      <c r="S1354" s="212"/>
      <c r="T1354" s="212"/>
      <c r="U1354" s="212"/>
      <c r="V1354" s="212"/>
      <c r="W1354" s="212"/>
      <c r="X1354" s="212"/>
      <c r="Y1354" s="212"/>
      <c r="Z1354" s="212"/>
      <c r="AA1354" s="212"/>
      <c r="AB1354" s="212"/>
    </row>
    <row r="1355" spans="3:28" ht="15.75" x14ac:dyDescent="0.25">
      <c r="D1355" s="208">
        <f t="shared" si="383"/>
        <v>55</v>
      </c>
      <c r="E1355" s="103" t="s">
        <v>359</v>
      </c>
      <c r="F1355" s="121">
        <f>SUMIF(E6:E1291,"ftm",F6:F1291)</f>
        <v>0</v>
      </c>
      <c r="G1355" s="301">
        <f>SUMIF(E6:E1291,"ftm",Z6:Z1291)</f>
        <v>0</v>
      </c>
      <c r="H1355" s="152">
        <f>SUMIFS(Z$6:Z$1291,E$6:E$1291,"ftm",AG$6:AG$1291,"OK")</f>
        <v>0</v>
      </c>
      <c r="I1355" s="295">
        <f>SUMIFS(F$6:F$1291,E$6:E$1291,"ftm",AG$6:AG$1291,"OK")</f>
        <v>0</v>
      </c>
      <c r="J1355" s="361"/>
      <c r="K1355" s="208"/>
      <c r="L1355" s="212"/>
      <c r="M1355" s="212"/>
      <c r="N1355" s="212"/>
      <c r="O1355" s="212"/>
      <c r="P1355" s="212"/>
      <c r="Q1355" s="212"/>
      <c r="R1355" s="212"/>
      <c r="S1355" s="212"/>
      <c r="T1355" s="212"/>
      <c r="U1355" s="212"/>
      <c r="V1355" s="212"/>
      <c r="W1355" s="212"/>
      <c r="X1355" s="212"/>
      <c r="Y1355" s="212"/>
      <c r="Z1355" s="212"/>
      <c r="AA1355" s="212"/>
      <c r="AB1355" s="212"/>
    </row>
    <row r="1356" spans="3:28" ht="15.75" x14ac:dyDescent="0.25">
      <c r="C1356" s="244" t="s">
        <v>273</v>
      </c>
      <c r="D1356" s="208">
        <f t="shared" si="383"/>
        <v>56</v>
      </c>
      <c r="E1356" s="240" t="s">
        <v>271</v>
      </c>
      <c r="F1356" s="121">
        <f>SUMIF(E6:E1291,"gct",F6:F1291)</f>
        <v>0</v>
      </c>
      <c r="G1356" s="301">
        <f>SUMIF(E6:E1291,"gct",Z6:Z1291)</f>
        <v>0</v>
      </c>
      <c r="H1356" s="152">
        <f>SUMIFS(Z$6:Z$1291,E$6:E$1291,"Gct",AG$6:AG$1291,"OK")</f>
        <v>0</v>
      </c>
      <c r="I1356" s="295"/>
      <c r="J1356" s="361"/>
      <c r="K1356" s="208"/>
      <c r="L1356" s="212"/>
      <c r="M1356" s="212"/>
      <c r="N1356" s="212"/>
      <c r="O1356" s="212"/>
      <c r="P1356" s="212"/>
      <c r="Q1356" s="212"/>
      <c r="R1356" s="212"/>
      <c r="S1356" s="212"/>
      <c r="T1356" s="212"/>
      <c r="U1356" s="212"/>
      <c r="V1356" s="212"/>
      <c r="W1356" s="212"/>
      <c r="X1356" s="212"/>
      <c r="Y1356" s="212"/>
      <c r="Z1356" s="212"/>
      <c r="AA1356" s="212"/>
      <c r="AB1356" s="212"/>
    </row>
    <row r="1357" spans="3:28" ht="15.75" x14ac:dyDescent="0.25">
      <c r="D1357" s="208">
        <f t="shared" si="383"/>
        <v>57</v>
      </c>
      <c r="E1357" s="103" t="s">
        <v>232</v>
      </c>
      <c r="F1357" s="121">
        <f>SUMIF(E6:E1291,"gbe",F6:F1291)</f>
        <v>16699</v>
      </c>
      <c r="G1357" s="301">
        <f>SUMIF(E6:E1291,"gbe",Z6:Z1291)</f>
        <v>977.73</v>
      </c>
      <c r="H1357" s="152">
        <f>SUMIFS(Z$6:Z$1291,E$6:E$1291,"GBE",AG$6:AG$1291,"OK")</f>
        <v>518.23</v>
      </c>
      <c r="I1357" s="295">
        <f>SUMIFS(F$6:F$1291,E$6:E$1291,"GBE",AG$6:AG$1291,"OK")</f>
        <v>8049</v>
      </c>
      <c r="J1357" s="361"/>
      <c r="K1357" s="208"/>
      <c r="L1357" s="212"/>
      <c r="M1357" s="212"/>
      <c r="N1357" s="212"/>
      <c r="O1357" s="212"/>
      <c r="P1357" s="212"/>
      <c r="Q1357" s="212"/>
      <c r="R1357" s="212"/>
      <c r="S1357" s="212"/>
      <c r="T1357" s="212"/>
      <c r="U1357" s="212"/>
      <c r="V1357" s="212"/>
      <c r="W1357" s="212"/>
      <c r="X1357" s="212"/>
      <c r="Y1357" s="212"/>
      <c r="Z1357" s="212"/>
      <c r="AA1357" s="212"/>
      <c r="AB1357" s="212"/>
    </row>
    <row r="1358" spans="3:28" ht="15.75" x14ac:dyDescent="0.25">
      <c r="D1358" s="208">
        <f t="shared" si="383"/>
        <v>58</v>
      </c>
      <c r="E1358" s="103" t="s">
        <v>257</v>
      </c>
      <c r="F1358" s="121">
        <f>SUMIF(E6:E1291,"gauss",F6:F1291)</f>
        <v>1286</v>
      </c>
      <c r="G1358" s="301">
        <f>SUMIF(E6:E1291,"gauss",Z6:Z1291)</f>
        <v>90.02000000000001</v>
      </c>
      <c r="H1358" s="152">
        <f>SUMIFS(Z$6:Z$1291,E$6:E$1291,"Gauss",AG$6:AG$1291,"OK")</f>
        <v>90.02000000000001</v>
      </c>
      <c r="I1358" s="295">
        <f>SUMIFS(F$6:F$1291,E$6:E$1291,"Gauss",AG$6:AG$1291,"OK")</f>
        <v>1286</v>
      </c>
      <c r="J1358" s="361"/>
      <c r="K1358" s="208"/>
      <c r="L1358" s="212"/>
      <c r="M1358" s="212"/>
      <c r="N1358" s="212"/>
      <c r="O1358" s="212"/>
      <c r="P1358" s="212"/>
      <c r="Q1358" s="212"/>
      <c r="R1358" s="212"/>
      <c r="S1358" s="212"/>
      <c r="T1358" s="212"/>
      <c r="U1358" s="212"/>
      <c r="V1358" s="212"/>
      <c r="W1358" s="212"/>
      <c r="X1358" s="212"/>
      <c r="Y1358" s="212"/>
      <c r="Z1358" s="212"/>
      <c r="AA1358" s="212"/>
      <c r="AB1358" s="212"/>
    </row>
    <row r="1359" spans="3:28" ht="15.75" x14ac:dyDescent="0.25">
      <c r="D1359" s="208">
        <f t="shared" si="383"/>
        <v>59</v>
      </c>
      <c r="E1359" s="103" t="s">
        <v>162</v>
      </c>
      <c r="F1359" s="121">
        <f>SUMIF(E$6:E$1291,"galliera",F$6:F$1291)</f>
        <v>2819</v>
      </c>
      <c r="G1359" s="301">
        <f>SUMIF(E$6:E$1291,"galliera",Z$6:Z$1291)</f>
        <v>443.3</v>
      </c>
      <c r="H1359" s="152">
        <f>SUMIFS(Z$6:Z$1291,E$6:E$1291,"Galliera",AG$6:AG$1291,"OK")</f>
        <v>47.800000000000004</v>
      </c>
      <c r="I1359" s="295">
        <f>SUMIFS(F$6:F$1291,E$6:E$1291,"GALLIERA",AG$6:AG$1291,"OK")</f>
        <v>239</v>
      </c>
      <c r="J1359" s="361"/>
      <c r="K1359" s="208"/>
      <c r="L1359" s="212"/>
      <c r="M1359" s="212"/>
      <c r="N1359" s="212"/>
      <c r="O1359" s="212"/>
      <c r="P1359" s="212"/>
      <c r="Q1359" s="212"/>
      <c r="R1359" s="212"/>
      <c r="S1359" s="212"/>
      <c r="T1359" s="212"/>
      <c r="U1359" s="212"/>
      <c r="V1359" s="212"/>
      <c r="W1359" s="212"/>
      <c r="X1359" s="212"/>
      <c r="Y1359" s="212"/>
      <c r="Z1359" s="212"/>
      <c r="AA1359" s="212"/>
      <c r="AB1359" s="212"/>
    </row>
    <row r="1360" spans="3:28" ht="15.75" x14ac:dyDescent="0.25">
      <c r="D1360" s="208">
        <f t="shared" si="383"/>
        <v>60</v>
      </c>
      <c r="E1360" s="103" t="s">
        <v>336</v>
      </c>
      <c r="F1360" s="121">
        <f>SUMIF(E$6:E$1291,"gedelsa",F$6:F$1291)</f>
        <v>1000</v>
      </c>
      <c r="G1360" s="301">
        <f>SUMIF(E$6:E$1291,"gedelsa",Z$6:Z$1291)</f>
        <v>150</v>
      </c>
      <c r="H1360" s="152">
        <f>SUMIFS(Z$6:Z$1291,E$6:E$1291,"gedelsa",AG$6:AG$1291,"OK")</f>
        <v>0</v>
      </c>
      <c r="I1360" s="295">
        <f>SUMIFS(F$6:F$1291,E$6:E$1291,"gedelsa",AG$6:AG$1291,"OK")</f>
        <v>0</v>
      </c>
      <c r="J1360" s="361"/>
      <c r="K1360" s="208"/>
      <c r="L1360" s="212"/>
      <c r="M1360" s="212"/>
      <c r="N1360" s="212"/>
      <c r="O1360" s="212"/>
      <c r="P1360" s="212"/>
      <c r="Q1360" s="212"/>
      <c r="R1360" s="212"/>
      <c r="S1360" s="212"/>
      <c r="T1360" s="212"/>
      <c r="U1360" s="212"/>
      <c r="V1360" s="212"/>
      <c r="W1360" s="212"/>
      <c r="X1360" s="212"/>
      <c r="Y1360" s="212"/>
      <c r="Z1360" s="212"/>
      <c r="AA1360" s="212"/>
      <c r="AB1360" s="212"/>
    </row>
    <row r="1361" spans="3:28" ht="15.75" x14ac:dyDescent="0.25">
      <c r="D1361" s="208"/>
      <c r="E1361" s="103" t="s">
        <v>423</v>
      </c>
      <c r="F1361" s="121">
        <f>SUMIF(E$6:E$1291,"gen set",F$6:F$1291)</f>
        <v>2300</v>
      </c>
      <c r="G1361" s="301">
        <f>SUMIF(E$6:E$1291,"gen set",Z$6:Z$1291)</f>
        <v>299</v>
      </c>
      <c r="H1361" s="152">
        <f>SUMIFS(Z$6:Z$1291,E$6:E$1291,"gen set",AG$6:AG$1291,"OK")</f>
        <v>0</v>
      </c>
      <c r="I1361" s="295">
        <f>SUMIFS(F$6:F$1291,E$6:E$1291,"gen set",AG$6:AG$1291,"OK")</f>
        <v>0</v>
      </c>
      <c r="J1361" s="361"/>
      <c r="K1361" s="208"/>
      <c r="L1361" s="212"/>
      <c r="M1361" s="212"/>
      <c r="N1361" s="212"/>
      <c r="O1361" s="212"/>
      <c r="P1361" s="212"/>
      <c r="Q1361" s="212"/>
      <c r="R1361" s="212"/>
      <c r="S1361" s="212"/>
      <c r="T1361" s="212"/>
      <c r="U1361" s="212"/>
      <c r="V1361" s="212"/>
      <c r="W1361" s="212"/>
      <c r="X1361" s="212"/>
      <c r="Y1361" s="212"/>
      <c r="Z1361" s="212"/>
      <c r="AA1361" s="212"/>
      <c r="AB1361" s="212"/>
    </row>
    <row r="1362" spans="3:28" ht="15.75" x14ac:dyDescent="0.25">
      <c r="D1362" s="208">
        <f>+D1360+1</f>
        <v>61</v>
      </c>
      <c r="E1362" s="103" t="s">
        <v>253</v>
      </c>
      <c r="F1362" s="121">
        <f>SUMIF(E6:E1291,"getra",F6:F1291)</f>
        <v>0</v>
      </c>
      <c r="G1362" s="301">
        <f>SUMIF(E6:E1291,"getra",Z6:Z1291)</f>
        <v>0</v>
      </c>
      <c r="H1362" s="152">
        <f>SUMIFS(Z$6:Z$1291,E$6:E$1291,"Getra",AG$6:AG$1291,"OK")</f>
        <v>0</v>
      </c>
      <c r="I1362" s="295">
        <f>SUMIFS(F$6:F$1291,E$6:E$1291,"GETRA",AG$6:AG$1291,"OK")</f>
        <v>0</v>
      </c>
      <c r="J1362" s="361"/>
      <c r="K1362" s="208"/>
      <c r="L1362" s="212"/>
      <c r="M1362" s="212"/>
      <c r="N1362" s="212"/>
      <c r="O1362" s="212"/>
      <c r="P1362" s="212"/>
      <c r="Q1362" s="212"/>
      <c r="R1362" s="212"/>
      <c r="S1362" s="212"/>
      <c r="T1362" s="212"/>
      <c r="U1362" s="212"/>
      <c r="V1362" s="212"/>
      <c r="W1362" s="212"/>
      <c r="X1362" s="212"/>
      <c r="Y1362" s="212"/>
      <c r="Z1362" s="212"/>
      <c r="AA1362" s="212"/>
      <c r="AB1362" s="212"/>
    </row>
    <row r="1363" spans="3:28" ht="15.75" x14ac:dyDescent="0.25">
      <c r="D1363" s="208">
        <f t="shared" si="383"/>
        <v>62</v>
      </c>
      <c r="E1363" s="103" t="s">
        <v>298</v>
      </c>
      <c r="F1363" s="121">
        <f>SUMIF(E6:E1292,"getra power",F6:F1292)</f>
        <v>0</v>
      </c>
      <c r="G1363" s="301">
        <f>SUMIF(E6:E1292,"getra power",Z6:Z1292)</f>
        <v>0</v>
      </c>
      <c r="H1363" s="152">
        <f>SUMIFS(Z$6:Z$1291,E$6:E$1291,"Getra power",AG$6:AG$1291,"OK")</f>
        <v>0</v>
      </c>
      <c r="I1363" s="295"/>
      <c r="J1363" s="361"/>
      <c r="K1363" s="208"/>
      <c r="L1363" s="212"/>
      <c r="M1363" s="212"/>
      <c r="N1363" s="212"/>
      <c r="O1363" s="212"/>
      <c r="P1363" s="212"/>
      <c r="Q1363" s="212"/>
      <c r="R1363" s="212"/>
      <c r="S1363" s="212"/>
      <c r="T1363" s="212"/>
      <c r="U1363" s="212"/>
      <c r="V1363" s="212"/>
      <c r="W1363" s="212"/>
      <c r="X1363" s="212"/>
      <c r="Y1363" s="212"/>
      <c r="Z1363" s="212"/>
      <c r="AA1363" s="212"/>
      <c r="AB1363" s="212"/>
    </row>
    <row r="1364" spans="3:28" ht="15.75" x14ac:dyDescent="0.25">
      <c r="D1364" s="208">
        <f t="shared" si="383"/>
        <v>63</v>
      </c>
      <c r="E1364" s="103" t="s">
        <v>233</v>
      </c>
      <c r="F1364" s="121">
        <f>SUMIF(E6:E1291,"gida",F6:F1291)</f>
        <v>0</v>
      </c>
      <c r="G1364" s="301">
        <f>SUMIF(E6:E1291,"gida",Z6:Z1291)</f>
        <v>0</v>
      </c>
      <c r="H1364" s="152">
        <f>SUMIFS(Z$6:Z$1291,E$6:E$1291,"Gida",AG$6:AG$1291,"OK")</f>
        <v>0</v>
      </c>
      <c r="I1364" s="295"/>
      <c r="J1364" s="361"/>
      <c r="K1364" s="208"/>
      <c r="L1364" s="212"/>
      <c r="M1364" s="212"/>
      <c r="N1364" s="212"/>
      <c r="O1364" s="212"/>
      <c r="P1364" s="212"/>
      <c r="Q1364" s="212"/>
      <c r="R1364" s="212"/>
      <c r="S1364" s="212"/>
      <c r="T1364" s="212"/>
      <c r="U1364" s="212"/>
      <c r="V1364" s="212"/>
      <c r="W1364" s="212"/>
      <c r="X1364" s="212"/>
      <c r="Y1364" s="212"/>
      <c r="Z1364" s="212"/>
      <c r="AA1364" s="212"/>
      <c r="AB1364" s="212"/>
    </row>
    <row r="1365" spans="3:28" ht="15.75" x14ac:dyDescent="0.25">
      <c r="C1365" s="244" t="s">
        <v>273</v>
      </c>
      <c r="D1365" s="208">
        <f t="shared" si="383"/>
        <v>64</v>
      </c>
      <c r="E1365" s="240" t="s">
        <v>118</v>
      </c>
      <c r="F1365" s="121">
        <f>SUMIF(E6:E1291,"giussani",F6:F1291)</f>
        <v>0</v>
      </c>
      <c r="G1365" s="301">
        <f>SUMIF(E6:E1291,"giussani",Z6:Z1291)</f>
        <v>0</v>
      </c>
      <c r="H1365" s="152">
        <f>SUMIFS(Z$6:Z$1291,E$6:E$1291,"Giussani",AG$6:AG$1291,"OK")</f>
        <v>0</v>
      </c>
      <c r="I1365" s="295"/>
      <c r="J1365" s="361"/>
      <c r="K1365" s="208"/>
      <c r="L1365" s="212"/>
      <c r="M1365" s="212"/>
      <c r="N1365" s="212"/>
      <c r="O1365" s="212"/>
      <c r="P1365" s="212"/>
      <c r="Q1365" s="212"/>
      <c r="R1365" s="212"/>
      <c r="S1365" s="212"/>
      <c r="T1365" s="212"/>
      <c r="U1365" s="212"/>
      <c r="V1365" s="212"/>
      <c r="W1365" s="212"/>
      <c r="X1365" s="212"/>
      <c r="Y1365" s="212"/>
      <c r="Z1365" s="212"/>
      <c r="AA1365" s="212"/>
      <c r="AB1365" s="212"/>
    </row>
    <row r="1366" spans="3:28" ht="15.75" x14ac:dyDescent="0.25">
      <c r="D1366" s="208">
        <f t="shared" si="383"/>
        <v>65</v>
      </c>
      <c r="E1366" s="103" t="s">
        <v>395</v>
      </c>
      <c r="F1366" s="95">
        <f>SUMIF(E$6:E$1291,"Givi",F$6:F$1291)</f>
        <v>0</v>
      </c>
      <c r="G1366" s="302">
        <f>SUMIF(E$6:E$1291,"givi",Z$6:Z$1291)</f>
        <v>0</v>
      </c>
      <c r="H1366" s="152">
        <f>SUMIFS(Z$6:Z$1291,E$6:E$1291,"givi",AG$6:AG$1291,"OK")</f>
        <v>0</v>
      </c>
      <c r="I1366" s="296">
        <f>SUMIFS(F$6:F$1291,E$6:E$1291,"givi",AG$6:AG$1291,"OK")</f>
        <v>0</v>
      </c>
      <c r="J1366" s="361"/>
      <c r="K1366" s="208"/>
      <c r="L1366" s="212"/>
      <c r="M1366" s="212"/>
      <c r="N1366" s="212"/>
      <c r="O1366" s="212"/>
      <c r="P1366" s="212"/>
      <c r="Q1366" s="212"/>
      <c r="R1366" s="212"/>
      <c r="S1366" s="212"/>
      <c r="T1366" s="212"/>
      <c r="U1366" s="212"/>
      <c r="V1366" s="212"/>
      <c r="W1366" s="212"/>
      <c r="X1366" s="212"/>
      <c r="Y1366" s="212"/>
      <c r="Z1366" s="212"/>
      <c r="AA1366" s="212"/>
      <c r="AB1366" s="212"/>
    </row>
    <row r="1367" spans="3:28" ht="15.75" x14ac:dyDescent="0.25">
      <c r="D1367" s="208">
        <f t="shared" si="383"/>
        <v>66</v>
      </c>
      <c r="E1367" s="103" t="s">
        <v>250</v>
      </c>
      <c r="F1367" s="121">
        <f>SUMIF(E6:E1291,"glenair",F6:F1291)</f>
        <v>0</v>
      </c>
      <c r="G1367" s="301">
        <f>SUMIF(E6:E1291,"glenair",Z6:Z1291)</f>
        <v>0</v>
      </c>
      <c r="H1367" s="152">
        <f>SUMIFS(Z$6:Z$1291,E$6:E$1291,"Glenair",AG$6:AG$1291,"OK")</f>
        <v>0</v>
      </c>
      <c r="I1367" s="295">
        <f>SUMIFS(F$6:F$1291,E$6:E$1291,"GLENAIR",AG$6:AG$1291,"OK")</f>
        <v>0</v>
      </c>
      <c r="J1367" s="361"/>
      <c r="K1367" s="208"/>
      <c r="L1367" s="212"/>
      <c r="M1367" s="212"/>
      <c r="N1367" s="212"/>
      <c r="O1367" s="212"/>
      <c r="P1367" s="212"/>
      <c r="Q1367" s="212"/>
      <c r="R1367" s="212"/>
      <c r="S1367" s="212"/>
      <c r="T1367" s="212"/>
      <c r="U1367" s="212"/>
      <c r="V1367" s="212"/>
      <c r="W1367" s="212"/>
      <c r="X1367" s="212"/>
      <c r="Y1367" s="212"/>
      <c r="Z1367" s="212"/>
      <c r="AA1367" s="212"/>
      <c r="AB1367" s="212"/>
    </row>
    <row r="1368" spans="3:28" ht="15.75" x14ac:dyDescent="0.25">
      <c r="D1368" s="208">
        <f t="shared" si="383"/>
        <v>67</v>
      </c>
      <c r="E1368" s="103" t="s">
        <v>126</v>
      </c>
      <c r="F1368" s="121">
        <f>SUMIF(E6:E1291,"gts",F6:F1291)</f>
        <v>0</v>
      </c>
      <c r="G1368" s="301">
        <f>SUMIF(E6:E1291,"gts",Z6:Z1291)</f>
        <v>0</v>
      </c>
      <c r="H1368" s="152">
        <f>SUMIFS(Z$6:Z$1291,E$6:E$1291,"GTS",AG$6:AG$1291,"OK")</f>
        <v>0</v>
      </c>
      <c r="I1368" s="295">
        <f>SUMIFS(F$6:F$1291,E$6:E$1291,"GTS",AG$6:AG$1291,"OK")</f>
        <v>0</v>
      </c>
      <c r="J1368" s="361"/>
      <c r="K1368" s="208"/>
      <c r="L1368" s="212"/>
      <c r="M1368" s="212"/>
      <c r="N1368" s="212"/>
      <c r="O1368" s="212"/>
      <c r="P1368" s="212"/>
      <c r="Q1368" s="212"/>
      <c r="R1368" s="212"/>
      <c r="S1368" s="212"/>
      <c r="T1368" s="212"/>
      <c r="U1368" s="212"/>
      <c r="V1368" s="212"/>
      <c r="W1368" s="212"/>
      <c r="X1368" s="212"/>
      <c r="Y1368" s="212"/>
      <c r="Z1368" s="212"/>
      <c r="AA1368" s="212"/>
      <c r="AB1368" s="212"/>
    </row>
    <row r="1369" spans="3:28" ht="15.75" x14ac:dyDescent="0.25">
      <c r="C1369" s="244" t="s">
        <v>273</v>
      </c>
      <c r="D1369" s="208">
        <f t="shared" si="383"/>
        <v>68</v>
      </c>
      <c r="E1369" s="307" t="s">
        <v>204</v>
      </c>
      <c r="F1369" s="121">
        <f>SUMIF(E6:E1291,"hammond",F6:F1291)</f>
        <v>0</v>
      </c>
      <c r="G1369" s="301">
        <f>SUMIF(E6:E1291,"hammond",Z6:Z1291)</f>
        <v>0</v>
      </c>
      <c r="H1369" s="152">
        <f>SUMIFS(Z$6:Z$1291,E$6:E$1291,"Hammond",AG$6:AG$1291,"OK")</f>
        <v>0</v>
      </c>
      <c r="I1369" s="295"/>
      <c r="J1369" s="361"/>
      <c r="K1369" s="208"/>
      <c r="L1369" s="212"/>
      <c r="M1369" s="212"/>
      <c r="N1369" s="212"/>
      <c r="O1369" s="212"/>
      <c r="P1369" s="212"/>
      <c r="Q1369" s="212"/>
      <c r="R1369" s="212"/>
      <c r="S1369" s="212"/>
      <c r="T1369" s="212"/>
      <c r="U1369" s="212"/>
      <c r="V1369" s="212"/>
      <c r="W1369" s="212"/>
      <c r="X1369" s="212"/>
      <c r="Y1369" s="212"/>
      <c r="Z1369" s="212"/>
      <c r="AA1369" s="212"/>
      <c r="AB1369" s="212"/>
    </row>
    <row r="1370" spans="3:28" ht="15.75" x14ac:dyDescent="0.25">
      <c r="D1370" s="208">
        <f t="shared" si="383"/>
        <v>69</v>
      </c>
      <c r="E1370" s="103" t="s">
        <v>340</v>
      </c>
      <c r="F1370" s="121">
        <f>SUMIF(E6:E1291,"htt",F6:F1291)</f>
        <v>0</v>
      </c>
      <c r="G1370" s="301">
        <f>SUMIF(E6:E1291,"htt",Z6:Z1291)</f>
        <v>0</v>
      </c>
      <c r="H1370" s="152">
        <f>SUMIFS(Z$6:Z$1291,E$6:E$1291,"htt",AG$6:AG$1291,"OK")</f>
        <v>0</v>
      </c>
      <c r="I1370" s="295">
        <f>SUMIFS(F$6:F$1291,E$6:E$1291,"htt",AG$6:AG$1291,"OK")</f>
        <v>0</v>
      </c>
      <c r="J1370" s="361"/>
      <c r="K1370" s="208"/>
      <c r="L1370" s="212"/>
      <c r="M1370" s="212"/>
      <c r="N1370" s="212"/>
      <c r="O1370" s="212"/>
      <c r="P1370" s="212"/>
      <c r="Q1370" s="212"/>
      <c r="R1370" s="212"/>
      <c r="S1370" s="212"/>
      <c r="T1370" s="212"/>
      <c r="U1370" s="212"/>
      <c r="V1370" s="212"/>
      <c r="W1370" s="212"/>
      <c r="X1370" s="212"/>
      <c r="Y1370" s="212"/>
      <c r="Z1370" s="212"/>
      <c r="AA1370" s="212"/>
      <c r="AB1370" s="212"/>
    </row>
    <row r="1371" spans="3:28" ht="15.75" x14ac:dyDescent="0.25">
      <c r="C1371" s="244" t="s">
        <v>273</v>
      </c>
      <c r="D1371" s="208">
        <f t="shared" si="383"/>
        <v>70</v>
      </c>
      <c r="E1371" s="240" t="s">
        <v>234</v>
      </c>
      <c r="F1371" s="121">
        <f>SUMIF(E6:E1291,"ibs",F6:F1291)</f>
        <v>0</v>
      </c>
      <c r="G1371" s="301">
        <f>SUMIF(E6:E1291,"ibs",Z6:Z1291)</f>
        <v>0</v>
      </c>
      <c r="H1371" s="152">
        <f>SUMIFS(Z$6:Z$1291,E$6:E$1291,"IBS",AG$6:AG$1291,"OK")</f>
        <v>0</v>
      </c>
      <c r="I1371" s="295"/>
      <c r="J1371" s="361"/>
      <c r="K1371" s="208"/>
      <c r="L1371" s="212"/>
      <c r="M1371" s="212"/>
      <c r="N1371" s="212"/>
      <c r="O1371" s="212"/>
      <c r="P1371" s="212"/>
      <c r="Q1371" s="212"/>
      <c r="R1371" s="212"/>
      <c r="S1371" s="212"/>
      <c r="T1371" s="212"/>
      <c r="U1371" s="212"/>
      <c r="V1371" s="212"/>
      <c r="W1371" s="212"/>
      <c r="X1371" s="212"/>
      <c r="Y1371" s="212"/>
      <c r="Z1371" s="212"/>
      <c r="AA1371" s="212"/>
      <c r="AB1371" s="212"/>
    </row>
    <row r="1372" spans="3:28" ht="15.75" x14ac:dyDescent="0.25">
      <c r="D1372" s="208">
        <f t="shared" si="383"/>
        <v>71</v>
      </c>
      <c r="E1372" s="103" t="s">
        <v>93</v>
      </c>
      <c r="F1372" s="121">
        <f>SUMIF(E6:E1291,"icar",F6:F1291)</f>
        <v>0</v>
      </c>
      <c r="G1372" s="301">
        <f>SUMIF(E6:E1291,"icar",Z6:Z1291)</f>
        <v>0</v>
      </c>
      <c r="H1372" s="152">
        <f>SUMIFS(Z$6:Z$1291,E$6:E$1291,"Icar",AG$6:AG$1291,"OK")</f>
        <v>0</v>
      </c>
      <c r="I1372" s="295"/>
      <c r="J1372" s="361"/>
      <c r="K1372" s="208"/>
      <c r="L1372" s="212"/>
      <c r="M1372" s="212"/>
      <c r="N1372" s="212"/>
      <c r="O1372" s="212"/>
      <c r="P1372" s="212"/>
      <c r="Q1372" s="212"/>
      <c r="R1372" s="212"/>
      <c r="S1372" s="212"/>
      <c r="T1372" s="212"/>
      <c r="U1372" s="212"/>
      <c r="V1372" s="212"/>
      <c r="W1372" s="212"/>
      <c r="X1372" s="212"/>
      <c r="Y1372" s="212"/>
      <c r="Z1372" s="212"/>
      <c r="AA1372" s="212"/>
      <c r="AB1372" s="212"/>
    </row>
    <row r="1373" spans="3:28" ht="15.75" x14ac:dyDescent="0.25">
      <c r="D1373" s="208">
        <f t="shared" si="383"/>
        <v>72</v>
      </c>
      <c r="E1373" s="103" t="s">
        <v>301</v>
      </c>
      <c r="F1373" s="121">
        <f>SUMIF(E6:E1291,"ice",F6:F1291)</f>
        <v>0</v>
      </c>
      <c r="G1373" s="301">
        <f>SUMIF(E6:E1291,"ice",Z6:Z1291)</f>
        <v>0</v>
      </c>
      <c r="H1373" s="152">
        <f>SUMIFS(Z$6:Z$1291,E$6:E$1291,"Ice",AG$6:AG$1291,"OK")</f>
        <v>0</v>
      </c>
      <c r="I1373" s="295">
        <f>SUMIFS(F$6:F$1291,E$6:E$1291,"ICE",AG$6:AG$1291,"OK")</f>
        <v>0</v>
      </c>
      <c r="J1373" s="361"/>
      <c r="K1373" s="208"/>
      <c r="L1373" s="212"/>
      <c r="M1373" s="212"/>
      <c r="N1373" s="212"/>
      <c r="O1373" s="212"/>
      <c r="P1373" s="212"/>
      <c r="Q1373" s="212"/>
      <c r="R1373" s="212"/>
      <c r="S1373" s="212"/>
      <c r="T1373" s="212"/>
      <c r="U1373" s="212"/>
      <c r="V1373" s="212"/>
      <c r="W1373" s="212"/>
      <c r="X1373" s="212"/>
      <c r="Y1373" s="212"/>
      <c r="Z1373" s="212"/>
      <c r="AA1373" s="212"/>
      <c r="AB1373" s="212"/>
    </row>
    <row r="1374" spans="3:28" ht="15.75" x14ac:dyDescent="0.25">
      <c r="D1374" s="208">
        <f t="shared" si="383"/>
        <v>73</v>
      </c>
      <c r="E1374" s="103" t="s">
        <v>254</v>
      </c>
      <c r="F1374" s="121">
        <f>SUMIF(E6:E1291,"imefy",F6:F1291)</f>
        <v>0</v>
      </c>
      <c r="G1374" s="301">
        <f>SUMIF(E6:E1291,"imefy",Z6:Z1291)</f>
        <v>0</v>
      </c>
      <c r="H1374" s="152">
        <f>SUMIFS(Z$6:Z$1291,E$6:E$1291,"Imefy",AG$6:AG$1291,"OK")</f>
        <v>0</v>
      </c>
      <c r="I1374" s="295">
        <f>SUMIFS(F$6:F$1291,E$6:E$1291,"Imefy",AG$6:AG$1291,"OK")</f>
        <v>0</v>
      </c>
      <c r="J1374" s="361"/>
      <c r="K1374" s="208"/>
      <c r="L1374" s="212"/>
      <c r="M1374" s="212"/>
      <c r="N1374" s="212"/>
      <c r="O1374" s="212"/>
      <c r="P1374" s="212"/>
      <c r="Q1374" s="212"/>
      <c r="R1374" s="212"/>
      <c r="S1374" s="212"/>
      <c r="T1374" s="212"/>
      <c r="U1374" s="212"/>
      <c r="V1374" s="212"/>
      <c r="W1374" s="212"/>
      <c r="X1374" s="212"/>
      <c r="Y1374" s="212"/>
      <c r="Z1374" s="212"/>
      <c r="AA1374" s="212"/>
      <c r="AB1374" s="212"/>
    </row>
    <row r="1375" spans="3:28" ht="15.75" x14ac:dyDescent="0.25">
      <c r="D1375" s="208">
        <f t="shared" si="383"/>
        <v>74</v>
      </c>
      <c r="E1375" s="103" t="s">
        <v>210</v>
      </c>
      <c r="F1375" s="121">
        <f>SUMIF(E6:E1291,"intermagnetics",F6:F1291)</f>
        <v>70199</v>
      </c>
      <c r="G1375" s="301">
        <f>SUMIF(E6:E1291,"intermagnetics",Z6:Z1291)</f>
        <v>2879.9</v>
      </c>
      <c r="H1375" s="152">
        <f>SUMIFS(Z$6:Z$1291,E$6:E$1291,"Intermagnetics",AG$6:AG$1291,"OK")</f>
        <v>49.900000000000006</v>
      </c>
      <c r="I1375" s="295">
        <f>SUMIFS(F$6:F$1291,E$6:E$1291,"intermagnetics",AG$6:AG$1291,"OK")</f>
        <v>499</v>
      </c>
      <c r="J1375" s="361"/>
      <c r="K1375" s="208"/>
      <c r="L1375" s="212"/>
      <c r="M1375" s="212"/>
      <c r="N1375" s="212"/>
      <c r="O1375" s="212"/>
      <c r="P1375" s="212"/>
      <c r="Q1375" s="212"/>
      <c r="R1375" s="212"/>
      <c r="S1375" s="212"/>
      <c r="T1375" s="212"/>
      <c r="U1375" s="212"/>
      <c r="V1375" s="212"/>
      <c r="W1375" s="212"/>
      <c r="X1375" s="212"/>
      <c r="Y1375" s="212"/>
      <c r="Z1375" s="212"/>
      <c r="AA1375" s="212"/>
      <c r="AB1375" s="212"/>
    </row>
    <row r="1376" spans="3:28" ht="15.75" x14ac:dyDescent="0.25">
      <c r="D1376" s="208">
        <f t="shared" si="383"/>
        <v>75</v>
      </c>
      <c r="E1376" s="103" t="s">
        <v>296</v>
      </c>
      <c r="F1376" s="121">
        <f>SUMIF(E6:E1291,"ips",F6:F1291)</f>
        <v>0</v>
      </c>
      <c r="G1376" s="301">
        <f>SUMIF(E6:E1291,"ips",Z6:Z1291)</f>
        <v>0</v>
      </c>
      <c r="H1376" s="152">
        <f>SUMIFS(Z$6:Z$1291,E$6:E$1291,"Ips",AG$6:AG$1291,"OK")</f>
        <v>0</v>
      </c>
      <c r="I1376" s="295"/>
      <c r="J1376" s="361"/>
      <c r="K1376" s="208"/>
      <c r="L1376" s="212"/>
      <c r="M1376" s="212"/>
      <c r="N1376" s="212"/>
      <c r="O1376" s="212"/>
      <c r="P1376" s="212"/>
      <c r="Q1376" s="212"/>
      <c r="R1376" s="212"/>
      <c r="S1376" s="212"/>
      <c r="T1376" s="212"/>
      <c r="U1376" s="212"/>
      <c r="V1376" s="212"/>
      <c r="W1376" s="212"/>
      <c r="X1376" s="212"/>
      <c r="Y1376" s="212"/>
      <c r="Z1376" s="212"/>
      <c r="AA1376" s="212"/>
      <c r="AB1376" s="212"/>
    </row>
    <row r="1377" spans="3:28" ht="15.75" x14ac:dyDescent="0.25">
      <c r="D1377" s="208">
        <f t="shared" ref="D1377:D1446" si="384">+D1376+1</f>
        <v>76</v>
      </c>
      <c r="E1377" s="103" t="s">
        <v>268</v>
      </c>
      <c r="F1377" s="121">
        <f>SUMIF(E6:E1291,"iskra",F6:F1291)</f>
        <v>0</v>
      </c>
      <c r="G1377" s="301">
        <f>SUMIF(E6:E1291,"iskra",Z6:Z1291)</f>
        <v>0</v>
      </c>
      <c r="H1377" s="152">
        <f>SUMIFS(Z$6:Z$1291,E$6:E$1291,"Iskra",AG$6:AG$1291,"OK")</f>
        <v>0</v>
      </c>
      <c r="I1377" s="295"/>
      <c r="J1377" s="361"/>
      <c r="K1377" s="208"/>
      <c r="L1377" s="212"/>
      <c r="M1377" s="212"/>
      <c r="N1377" s="212"/>
      <c r="O1377" s="212"/>
      <c r="P1377" s="212"/>
      <c r="Q1377" s="212"/>
      <c r="R1377" s="212"/>
      <c r="S1377" s="212"/>
      <c r="T1377" s="212"/>
      <c r="U1377" s="212"/>
      <c r="V1377" s="212"/>
      <c r="W1377" s="212"/>
      <c r="X1377" s="212"/>
      <c r="Y1377" s="212"/>
      <c r="Z1377" s="212"/>
      <c r="AA1377" s="212"/>
      <c r="AB1377" s="212"/>
    </row>
    <row r="1378" spans="3:28" ht="15.75" x14ac:dyDescent="0.25">
      <c r="D1378" s="208">
        <f t="shared" si="384"/>
        <v>77</v>
      </c>
      <c r="E1378" s="103" t="s">
        <v>241</v>
      </c>
      <c r="F1378" s="95">
        <f>SUMIF(E6:E1291,"italweber",F6:F1291)</f>
        <v>0</v>
      </c>
      <c r="G1378" s="302">
        <f>SUMIF(E6:E1291,"italweber",Z6:Z1291)</f>
        <v>0</v>
      </c>
      <c r="H1378" s="152">
        <f>SUMIFS(Z$6:Z$1291,E$6:E$1291,"Italweber",AG$6:AG$1291,"OK")</f>
        <v>0</v>
      </c>
      <c r="I1378" s="296">
        <f>SUMIFS(F$6:F$1291,E$6:E$1291,"ITALWEBER",AG$6:AG$1291,"OK")</f>
        <v>0</v>
      </c>
      <c r="J1378" s="233"/>
      <c r="L1378" s="212"/>
      <c r="Q1378" s="104"/>
    </row>
    <row r="1379" spans="3:28" ht="15.75" x14ac:dyDescent="0.25">
      <c r="D1379" s="208">
        <f t="shared" si="384"/>
        <v>78</v>
      </c>
      <c r="E1379" s="103" t="s">
        <v>205</v>
      </c>
      <c r="F1379" s="95">
        <f>SUMIF(E6:E1291,"Ite",F6:F1291)</f>
        <v>0</v>
      </c>
      <c r="G1379" s="302">
        <f>SUMIF(E6:E1291,"Ite",Z6:Z1291)</f>
        <v>0</v>
      </c>
      <c r="H1379" s="152">
        <f>SUMIFS(Z$6:Z$1291,E$6:E$1291,"Ite",AG$6:AG$1291,"OK")</f>
        <v>0</v>
      </c>
      <c r="I1379" s="296"/>
      <c r="J1379" s="233"/>
      <c r="L1379" s="212"/>
      <c r="Q1379" s="104"/>
    </row>
    <row r="1380" spans="3:28" ht="15.75" x14ac:dyDescent="0.25">
      <c r="D1380" s="208"/>
      <c r="E1380" s="103" t="s">
        <v>400</v>
      </c>
      <c r="F1380" s="95">
        <f>SUMIF(E6:E1292,"LOMBARDO",F6:F1292)</f>
        <v>0</v>
      </c>
      <c r="G1380" s="302">
        <f>SUMIF(E6:E1292,"lombardo",Z6:Z1292)</f>
        <v>0</v>
      </c>
      <c r="H1380" s="152">
        <f>SUMIFS(Z$6:Z$1291,E$6:E$1291,"lombardo",AG$6:AG$1291,"OK")</f>
        <v>0</v>
      </c>
      <c r="I1380" s="296"/>
      <c r="J1380" s="233"/>
      <c r="L1380" s="212"/>
      <c r="Q1380" s="104"/>
    </row>
    <row r="1381" spans="3:28" ht="15.75" x14ac:dyDescent="0.25">
      <c r="D1381" s="208">
        <f>+D1379+1</f>
        <v>79</v>
      </c>
      <c r="E1381" s="103" t="s">
        <v>332</v>
      </c>
      <c r="F1381" s="95">
        <f>SUMIF(E6:E1291,"jara",F6:F1291)</f>
        <v>0</v>
      </c>
      <c r="G1381" s="302">
        <f>SUMIF(E6:E1291,"jara",Z6:Z1291)</f>
        <v>0</v>
      </c>
      <c r="H1381" s="152">
        <f>SUMIFS(Z$6:Z$1291,E$6:E$1291,"jara",AG$6:AG$1291,"OK")</f>
        <v>0</v>
      </c>
      <c r="I1381" s="296"/>
      <c r="J1381" s="233"/>
      <c r="L1381" s="212"/>
      <c r="Q1381" s="104"/>
    </row>
    <row r="1382" spans="3:28" ht="15.75" x14ac:dyDescent="0.25">
      <c r="C1382" s="244" t="s">
        <v>273</v>
      </c>
      <c r="D1382" s="208">
        <f t="shared" si="384"/>
        <v>80</v>
      </c>
      <c r="E1382" s="240" t="s">
        <v>171</v>
      </c>
      <c r="F1382" s="95">
        <f>SUMIF(E6:E1291,"jast",F6:F1291)</f>
        <v>0</v>
      </c>
      <c r="G1382" s="302">
        <f>SUMIF(E6:E1291,"jast",Z6:Z1291)</f>
        <v>0</v>
      </c>
      <c r="H1382" s="152">
        <f>SUMIFS(Z$6:Z$1291,E$6:E$1291,"Jast",AG$6:AG$1291,"OK")</f>
        <v>0</v>
      </c>
      <c r="I1382" s="296"/>
      <c r="J1382" s="233"/>
      <c r="L1382" s="212"/>
      <c r="Q1382" s="104"/>
    </row>
    <row r="1383" spans="3:28" ht="15.75" x14ac:dyDescent="0.25">
      <c r="C1383" s="244" t="s">
        <v>273</v>
      </c>
      <c r="D1383" s="208">
        <f t="shared" si="384"/>
        <v>81</v>
      </c>
      <c r="E1383" s="240" t="s">
        <v>163</v>
      </c>
      <c r="F1383" s="95">
        <f>SUMIF(E$6:E$1291,"KM",F$6:F$1291)</f>
        <v>0</v>
      </c>
      <c r="G1383" s="302">
        <f>SUMIF(E$6:E$1291,"KM",Z$6:Z$1291)</f>
        <v>0</v>
      </c>
      <c r="H1383" s="152">
        <f>SUMIFS(Z$6:Z$1291,E$6:E$1291,"KM",AG$6:AG$1291,"OK")</f>
        <v>0</v>
      </c>
      <c r="I1383" s="296"/>
      <c r="J1383" s="233"/>
      <c r="L1383" s="212"/>
      <c r="Q1383" s="104"/>
    </row>
    <row r="1384" spans="3:28" ht="15.75" x14ac:dyDescent="0.25">
      <c r="D1384" s="208">
        <f t="shared" si="384"/>
        <v>82</v>
      </c>
      <c r="E1384" s="103" t="s">
        <v>393</v>
      </c>
      <c r="F1384" s="95">
        <f>SUMIF(E$6:E$1291,"leam",F$6:F$1291)</f>
        <v>0</v>
      </c>
      <c r="G1384" s="302">
        <f>SUMIF(E$6:E$1291,"leam",Z$6:Z$1291)</f>
        <v>0</v>
      </c>
      <c r="H1384" s="152">
        <f>SUMIFS(Z$6:Z$1291,E$6:E$1291,"leam",AG$6:AG$1291,"OK")</f>
        <v>0</v>
      </c>
      <c r="I1384" s="296">
        <f>SUMIFS(F$6:F$1291,E$6:E$1291,"leam",AG$6:AG$1291,"OK")</f>
        <v>0</v>
      </c>
      <c r="J1384" s="233"/>
      <c r="L1384" s="212"/>
      <c r="Q1384" s="104"/>
    </row>
    <row r="1385" spans="3:28" ht="15.75" x14ac:dyDescent="0.25">
      <c r="D1385" s="208">
        <f t="shared" si="384"/>
        <v>83</v>
      </c>
      <c r="E1385" s="305" t="s">
        <v>339</v>
      </c>
      <c r="F1385" s="95">
        <f>SUMIF(E6:E1291,"Lifasa",F6:F1291)</f>
        <v>0</v>
      </c>
      <c r="G1385" s="302">
        <f>SUMIF(E6:E1291,"lifasa",Z6:Z1291)</f>
        <v>0</v>
      </c>
      <c r="H1385" s="152">
        <f>SUMIFS(Z$6:Z$1291,E$6:E$1291,"lifasa",AG$6:AG$1291,"OK")</f>
        <v>0</v>
      </c>
      <c r="I1385" s="296">
        <f>SUMIFS(F$6:F$1291,E$6:E$1291,"lifasa",AG$6:AG$1291,"OK")</f>
        <v>0</v>
      </c>
      <c r="J1385" s="233"/>
      <c r="L1385" s="212"/>
      <c r="Q1385" s="104"/>
    </row>
    <row r="1386" spans="3:28" ht="15.75" x14ac:dyDescent="0.25">
      <c r="D1386" s="208">
        <f t="shared" si="384"/>
        <v>84</v>
      </c>
      <c r="E1386" s="189" t="s">
        <v>116</v>
      </c>
      <c r="F1386" s="95">
        <f>SUMIF(E6:E1291,"Mace",F6:F1291)</f>
        <v>0</v>
      </c>
      <c r="G1386" s="302">
        <f>SUMIF(E6:E1291,"Mace",Z6:Z1291)</f>
        <v>0</v>
      </c>
      <c r="H1386" s="152">
        <f>SUMIFS(Z$6:Z$1291,E$6:E$1291,"Mace",AG$6:AG$1291,"OK")</f>
        <v>0</v>
      </c>
      <c r="I1386" s="296">
        <f>SUMIFS(F$6:F$1291,E$6:E$1291,"mace",AG$6:AG$1291,"OK")</f>
        <v>0</v>
      </c>
      <c r="J1386" s="233"/>
      <c r="L1386" s="212"/>
      <c r="Q1386" s="104"/>
    </row>
    <row r="1387" spans="3:28" ht="15.75" x14ac:dyDescent="0.25">
      <c r="D1387" s="208">
        <f t="shared" si="384"/>
        <v>85</v>
      </c>
      <c r="E1387" s="103" t="s">
        <v>396</v>
      </c>
      <c r="F1387" s="95">
        <f>SUMIF(E$6:E$1291,"Mangoldt",F$6:F$1291)</f>
        <v>7256</v>
      </c>
      <c r="G1387" s="302">
        <f>SUMIF(E$6:E$1291,"Mangoldt",Z$6:Z$1291)</f>
        <v>725.60000000000014</v>
      </c>
      <c r="H1387" s="152">
        <f>SUMIFS(Z$6:Z$1291,E$6:E$1291,"Mangoldt",AG$6:AG$1291,"OK")</f>
        <v>605.60000000000014</v>
      </c>
      <c r="I1387" s="296">
        <f>SUMIFS(F$6:F$1291,E$6:E$1291,"mangoldt",AG$6:AG$1291,"OK")</f>
        <v>6056</v>
      </c>
      <c r="J1387" s="233"/>
      <c r="L1387" s="212"/>
      <c r="Q1387" s="104"/>
    </row>
    <row r="1388" spans="3:28" ht="15.75" x14ac:dyDescent="0.25">
      <c r="D1388" s="208">
        <f t="shared" si="384"/>
        <v>86</v>
      </c>
      <c r="E1388" s="103" t="s">
        <v>260</v>
      </c>
      <c r="F1388" s="95">
        <f>SUMIF(E6:E1291,"Mec",F6:F1291)</f>
        <v>4682</v>
      </c>
      <c r="G1388" s="302">
        <f>SUMIF(E6:E1291,"Mec",Z6:Z1291)</f>
        <v>327.74</v>
      </c>
      <c r="H1388" s="152">
        <f>SUMIFS(Z$6:Z$1291,E$6:E$1291,"Mec",AG$6:AG$1291,"OK")</f>
        <v>150.5</v>
      </c>
      <c r="I1388" s="296">
        <f>SUMIFS(F$6:F$1291,E$6:E$1291,"mec",AG$6:AG$1291,"OK")</f>
        <v>2150</v>
      </c>
      <c r="J1388" s="233"/>
      <c r="L1388" s="212"/>
      <c r="Q1388" s="104"/>
    </row>
    <row r="1389" spans="3:28" ht="15.75" x14ac:dyDescent="0.25">
      <c r="D1389" s="208">
        <f t="shared" si="384"/>
        <v>87</v>
      </c>
      <c r="E1389" s="189" t="s">
        <v>92</v>
      </c>
      <c r="F1389" s="95">
        <f>SUMIF(E$6:E$1291,"Meca",F$6:F$1291)</f>
        <v>19975</v>
      </c>
      <c r="G1389" s="302">
        <f>SUMIF(E$6:E$1291,"Meca",Z$6:Z$1291)</f>
        <v>1452.89</v>
      </c>
      <c r="H1389" s="152">
        <f>SUMIFS(Z$6:Z$1291,E$6:E$1291,"Meca",AG$6:AG$1291,"OK")</f>
        <v>262.89000000000004</v>
      </c>
      <c r="I1389" s="296">
        <f>SUMIFS(F$6:F$1291,E$6:E$1291,"meca",AG$6:AG$1291,"OK")</f>
        <v>2975</v>
      </c>
      <c r="J1389" s="233"/>
      <c r="L1389" s="212"/>
      <c r="Q1389" s="104"/>
    </row>
    <row r="1390" spans="3:28" ht="15.75" x14ac:dyDescent="0.25">
      <c r="D1390" s="208">
        <f t="shared" si="384"/>
        <v>88</v>
      </c>
      <c r="E1390" s="103" t="s">
        <v>375</v>
      </c>
      <c r="F1390" s="95">
        <f>SUMIF(E$6:E$1291,"Metaltrasfo",F$6:F$1291)</f>
        <v>0</v>
      </c>
      <c r="G1390" s="302">
        <f>SUMIF(E$6:E$1291,"Metaltrasfo",Z$6:Z$1291)</f>
        <v>0</v>
      </c>
      <c r="H1390" s="152">
        <f>SUMIFS(Z$6:Z$1291,E$6:E$1291,"Metaltrasfo",AG$6:AG$1291,"OK")</f>
        <v>0</v>
      </c>
      <c r="I1390" s="296">
        <f>SUMIFS(F$6:F$1291,E$6:E$1291,"metaltrasfo",AG$6:AG$1291,"OK")</f>
        <v>0</v>
      </c>
      <c r="J1390" s="233"/>
      <c r="L1390" s="212"/>
      <c r="Q1390" s="104"/>
    </row>
    <row r="1391" spans="3:28" ht="15.75" x14ac:dyDescent="0.25">
      <c r="D1391" s="208">
        <f t="shared" si="384"/>
        <v>89</v>
      </c>
      <c r="E1391" s="103" t="s">
        <v>304</v>
      </c>
      <c r="F1391" s="95">
        <f>SUMIF(E$6:E$1291,"Meth",F$6:F$1291)</f>
        <v>0</v>
      </c>
      <c r="G1391" s="302">
        <f>SUMIF(E$6:E$1291,"Meth",Z$6:Z$1291)</f>
        <v>0</v>
      </c>
      <c r="H1391" s="152">
        <f>SUMIFS(Z$6:Z$1291,E$6:E$1291,"Meth",AG$6:AG$1291,"OK")</f>
        <v>0</v>
      </c>
      <c r="I1391" s="296">
        <f>SUMIFS(F$6:F$1291,E$6:E$1291,"meth",AG$6:AG$1291,"OK")</f>
        <v>0</v>
      </c>
      <c r="J1391" s="233"/>
      <c r="L1391" s="212"/>
      <c r="Q1391" s="104"/>
    </row>
    <row r="1392" spans="3:28" ht="15.75" x14ac:dyDescent="0.25">
      <c r="D1392" s="208">
        <f t="shared" si="384"/>
        <v>90</v>
      </c>
      <c r="E1392" s="189" t="s">
        <v>108</v>
      </c>
      <c r="F1392" s="95">
        <f>SUMIF(E6:E1291,"MF",F6:F1291)</f>
        <v>30182</v>
      </c>
      <c r="G1392" s="302">
        <f>SUMIF(E6:E1291,"MF",Z6:Z1291)</f>
        <v>2112.7399999999998</v>
      </c>
      <c r="H1392" s="152">
        <f>SUMIFS(Z$6:Z$1291,E$6:E$1291,"MF",AG$6:AG$1291,"OK")</f>
        <v>887.74000000000012</v>
      </c>
      <c r="I1392" s="296">
        <f>SUMIFS(F$6:F$1291,E$6:E$1291,"mf",AG$6:AG$1291,"OK")</f>
        <v>12682</v>
      </c>
      <c r="J1392" s="233"/>
      <c r="L1392" s="212"/>
      <c r="Q1392" s="104"/>
    </row>
    <row r="1393" spans="3:17" ht="15.75" x14ac:dyDescent="0.25">
      <c r="D1393" s="208">
        <f t="shared" si="384"/>
        <v>91</v>
      </c>
      <c r="E1393" s="103" t="s">
        <v>125</v>
      </c>
      <c r="F1393" s="95">
        <f>SUMIF(E6:E1291,"MG",F6:F1291)</f>
        <v>0</v>
      </c>
      <c r="G1393" s="302">
        <f>SUMIF(E6:E1291,"MG",Z6:Z1291)</f>
        <v>0</v>
      </c>
      <c r="H1393" s="152">
        <f>SUMIFS(Z$6:Z$1291,E$6:E$1291,"MG",AG$6:AG$1291,"OK")</f>
        <v>0</v>
      </c>
      <c r="I1393" s="296">
        <f>SUMIFS(F$6:F$1291,E$6:E$1291,"mg",AG$6:AG$1291,"OK")</f>
        <v>0</v>
      </c>
      <c r="J1393" s="233"/>
      <c r="L1393" s="212"/>
      <c r="Q1393" s="104"/>
    </row>
    <row r="1394" spans="3:17" ht="15.75" x14ac:dyDescent="0.25">
      <c r="D1394" s="208">
        <f t="shared" si="384"/>
        <v>92</v>
      </c>
      <c r="E1394" s="103" t="s">
        <v>269</v>
      </c>
      <c r="F1394" s="95">
        <f>SUMIF(E6:E1291,"MINIFABER",F6:F1291)</f>
        <v>9956</v>
      </c>
      <c r="G1394" s="302">
        <f>SUMIF(E6:E1291,"Minifaber",Z6:Z1291)</f>
        <v>1291.1199999999999</v>
      </c>
      <c r="H1394" s="152">
        <f>SUMIFS(Z$6:Z$1291,E$6:E$1291,"Minifaber",AG$6:AG$1291,"OK")</f>
        <v>452.12</v>
      </c>
      <c r="I1394" s="296">
        <f>SUMIFS(F$6:F$1291,E$6:E$1291,"minifaber",AG$6:AG$1291,"OK")</f>
        <v>3656</v>
      </c>
      <c r="J1394" s="233"/>
      <c r="L1394" s="212"/>
      <c r="Q1394" s="104"/>
    </row>
    <row r="1395" spans="3:17" ht="15.75" x14ac:dyDescent="0.25">
      <c r="D1395" s="208">
        <f t="shared" si="384"/>
        <v>93</v>
      </c>
      <c r="E1395" s="103" t="s">
        <v>191</v>
      </c>
      <c r="F1395" s="95">
        <f>SUMIF(E6:E1291,"mottura",F6:F1291)</f>
        <v>0</v>
      </c>
      <c r="G1395" s="302">
        <f>SUMIF(E6:E1291,"Mottura",Z6:Z1291)</f>
        <v>0</v>
      </c>
      <c r="H1395" s="152">
        <f>SUMIFS(Z$6:Z$1291,E$6:E$1291,"Mottura",AG$6:AG$1291,"OK")</f>
        <v>0</v>
      </c>
      <c r="I1395" s="299">
        <f>SUMIFS(F$6:F$1291,E$6:E$1291,"mottura",AG$6:AG$1291,"OK")</f>
        <v>0</v>
      </c>
      <c r="J1395" s="233"/>
      <c r="K1395" s="158"/>
      <c r="L1395" s="212"/>
      <c r="Q1395" s="104"/>
    </row>
    <row r="1396" spans="3:17" ht="15.75" x14ac:dyDescent="0.25">
      <c r="D1396" s="208">
        <f t="shared" si="384"/>
        <v>94</v>
      </c>
      <c r="E1396" s="103" t="s">
        <v>206</v>
      </c>
      <c r="F1396" s="95">
        <f>SUMIF(E6:E1291,"Montrucchio",F6:F1291)</f>
        <v>0</v>
      </c>
      <c r="G1396" s="302">
        <f>SUMIF(E6:E1291,"Montrucchio",Z6:Z1291)</f>
        <v>0</v>
      </c>
      <c r="H1396" s="152">
        <f>SUMIFS(Z$6:Z$1291,E$6:E$1291,"Montrucchio",AG$6:AG$1291,"OK")</f>
        <v>0</v>
      </c>
      <c r="I1396" s="296"/>
      <c r="J1396" s="233"/>
      <c r="L1396" s="212"/>
      <c r="Q1396" s="104"/>
    </row>
    <row r="1397" spans="3:17" ht="15.75" x14ac:dyDescent="0.25">
      <c r="C1397" s="244" t="s">
        <v>273</v>
      </c>
      <c r="D1397" s="208">
        <f t="shared" si="384"/>
        <v>95</v>
      </c>
      <c r="E1397" s="241" t="s">
        <v>101</v>
      </c>
      <c r="F1397" s="95">
        <f>SUMIF(E6:E1291,"MP",F6:F1291)</f>
        <v>0</v>
      </c>
      <c r="G1397" s="302">
        <f>SUMIF(E6:E1291,"MP",Z6:Z1291)</f>
        <v>0</v>
      </c>
      <c r="H1397" s="152">
        <f>SUMIFS(Z$6:Z$1291,E$6:E$1291,"MP",AG$6:AG$1291,"OK")</f>
        <v>0</v>
      </c>
      <c r="I1397" s="296"/>
      <c r="J1397" s="233"/>
      <c r="L1397" s="212"/>
      <c r="Q1397" s="104"/>
    </row>
    <row r="1398" spans="3:17" ht="15.75" x14ac:dyDescent="0.25">
      <c r="C1398" s="244" t="s">
        <v>273</v>
      </c>
      <c r="D1398" s="208">
        <f t="shared" si="384"/>
        <v>96</v>
      </c>
      <c r="E1398" s="240" t="s">
        <v>209</v>
      </c>
      <c r="F1398" s="95">
        <f>SUMIF(E6:E1291,"MTP",F6:F1291)</f>
        <v>0</v>
      </c>
      <c r="G1398" s="302">
        <f>SUMIF(E6:E1291,"MTP",Z6:Z1291)</f>
        <v>0</v>
      </c>
      <c r="H1398" s="152">
        <f>SUMIFS(Z$6:Z$1291,E$6:E$1291,"Mtp",AG$6:AG$1291,"OK")</f>
        <v>0</v>
      </c>
      <c r="I1398" s="296"/>
      <c r="J1398" s="233"/>
      <c r="L1398" s="212"/>
      <c r="Q1398" s="104"/>
    </row>
    <row r="1399" spans="3:17" ht="15.75" x14ac:dyDescent="0.25">
      <c r="D1399" s="208">
        <f t="shared" si="384"/>
        <v>97</v>
      </c>
      <c r="E1399" s="103" t="s">
        <v>360</v>
      </c>
      <c r="F1399" s="95">
        <f>SUMIF(E$6:E$1291,"Necom",F$6:F$1291)</f>
        <v>0</v>
      </c>
      <c r="G1399" s="302">
        <f>SUMIF(E$6:E$1291,"Necom",Z$6:Z$1291)</f>
        <v>0</v>
      </c>
      <c r="H1399" s="152">
        <f>SUMIFS(Z$6:Z$1291,E$6:E$1291,"Necom",AG$6:AG$1291,"OK")</f>
        <v>0</v>
      </c>
      <c r="I1399" s="296">
        <f>SUMIFS(F$6:F$1291,E$6:E$1291,"necom",AG$6:AG$1291,"OK")</f>
        <v>0</v>
      </c>
      <c r="J1399" s="233"/>
      <c r="L1399" s="212"/>
      <c r="Q1399" s="104"/>
    </row>
    <row r="1400" spans="3:17" ht="15.75" x14ac:dyDescent="0.25">
      <c r="D1400" s="208">
        <f t="shared" si="384"/>
        <v>98</v>
      </c>
      <c r="E1400" s="103" t="s">
        <v>374</v>
      </c>
      <c r="F1400" s="95">
        <f>SUMIF(E$6:E$1291,"Nts",F$6:F$1291)</f>
        <v>0</v>
      </c>
      <c r="G1400" s="302">
        <f>SUMIF(E$6:E$1291,"Nts",Z$6:Z$1291)</f>
        <v>0</v>
      </c>
      <c r="H1400" s="152">
        <f>SUMIFS(Z$6:Z$1291,E$6:E$1291,"Nts",AG$6:AG$1291,"OK")</f>
        <v>0</v>
      </c>
      <c r="I1400" s="296">
        <f>SUMIFS(F$6:F$1291,E$6:E$1291,"nts",AG$6:AG$1291,"OK")</f>
        <v>0</v>
      </c>
      <c r="J1400" s="233"/>
      <c r="L1400" s="212"/>
      <c r="Q1400" s="104"/>
    </row>
    <row r="1401" spans="3:17" ht="15.75" x14ac:dyDescent="0.25">
      <c r="D1401" s="208">
        <f t="shared" si="384"/>
        <v>99</v>
      </c>
      <c r="E1401" s="103" t="s">
        <v>261</v>
      </c>
      <c r="F1401" s="95">
        <f>SUMIF(E6:E1291,"new cta",F6:F1291)</f>
        <v>0</v>
      </c>
      <c r="G1401" s="302">
        <f>SUMIF(E6:E1291,"new cta",Z6:Z1291)</f>
        <v>0</v>
      </c>
      <c r="H1401" s="152">
        <f>SUMIFS(Z$6:Z$1291,E$6:E$1291,"New Cta",AG$6:AG$1291,"OK")</f>
        <v>0</v>
      </c>
      <c r="I1401" s="296"/>
      <c r="J1401" s="233"/>
      <c r="L1401" s="212"/>
      <c r="Q1401" s="104"/>
    </row>
    <row r="1402" spans="3:17" ht="15.75" x14ac:dyDescent="0.25">
      <c r="D1402" s="208">
        <f t="shared" si="384"/>
        <v>100</v>
      </c>
      <c r="E1402" s="189" t="s">
        <v>102</v>
      </c>
      <c r="F1402" s="95">
        <f>SUMIF(E6:E1291,"Newton",F6:F1291)</f>
        <v>48481</v>
      </c>
      <c r="G1402" s="302">
        <f>SUMIF(E6:E1291,"Newton",Z6:Z1291)</f>
        <v>3588.5800000000008</v>
      </c>
      <c r="H1402" s="152">
        <f>SUMIFS(Z$6:Z$1291,E$6:E$1291,"Newton",AG$6:AG$1291,"OK")</f>
        <v>1196.08</v>
      </c>
      <c r="I1402" s="296">
        <f>SUMIFS(F$6:F$1291,E$6:E$1291,"newton",AG$6:AG$1291,"OK")</f>
        <v>16231</v>
      </c>
      <c r="J1402" s="233"/>
      <c r="L1402" s="212"/>
      <c r="Q1402" s="104"/>
    </row>
    <row r="1403" spans="3:17" ht="15.75" x14ac:dyDescent="0.25">
      <c r="D1403" s="208">
        <f t="shared" si="384"/>
        <v>101</v>
      </c>
      <c r="E1403" s="103" t="s">
        <v>251</v>
      </c>
      <c r="F1403" s="95">
        <f>SUMIF(E6:E1291,"Ocrem",F6:F1291)</f>
        <v>0</v>
      </c>
      <c r="G1403" s="302">
        <f>SUMIF(E6:E1291,"ocrem",Z6:Z1291)</f>
        <v>0</v>
      </c>
      <c r="H1403" s="152">
        <f>SUMIFS(Z$6:Z$1291,E$6:E$1291,"Ocrem",AG$6:AG$1291,"OK")</f>
        <v>0</v>
      </c>
      <c r="I1403" s="296">
        <f>SUMIFS(F$6:F$1291,E$6:E$1291,"ocrem",AG$6:AG$1291,"OK")</f>
        <v>0</v>
      </c>
      <c r="J1403" s="233"/>
      <c r="L1403" s="212"/>
      <c r="Q1403" s="104"/>
    </row>
    <row r="1404" spans="3:17" ht="15.75" x14ac:dyDescent="0.25">
      <c r="D1404" s="208">
        <f t="shared" si="384"/>
        <v>102</v>
      </c>
      <c r="E1404" s="103" t="s">
        <v>246</v>
      </c>
      <c r="F1404" s="95">
        <f>SUMIF(E6:E1291,"Ocrev",F6:F1291)</f>
        <v>800</v>
      </c>
      <c r="G1404" s="302">
        <f>SUMIF(E6:E1291,"ocrev",Z6:Z1291)</f>
        <v>80</v>
      </c>
      <c r="H1404" s="152">
        <f>SUMIFS(Z$6:Z$1291,E$6:E$1291,"Ocrev",AG$6:AG$1291,"OK")</f>
        <v>80</v>
      </c>
      <c r="I1404" s="296">
        <f>SUMIFS(F$6:F$1291,E$6:E$1291,"ocrev",AG$6:AG$1291,"OK")</f>
        <v>800</v>
      </c>
      <c r="J1404" s="233"/>
      <c r="L1404" s="212"/>
      <c r="Q1404" s="104"/>
    </row>
    <row r="1405" spans="3:17" ht="15.75" x14ac:dyDescent="0.25">
      <c r="C1405" s="244" t="s">
        <v>273</v>
      </c>
      <c r="D1405" s="208">
        <f t="shared" si="384"/>
        <v>103</v>
      </c>
      <c r="E1405" s="240" t="s">
        <v>249</v>
      </c>
      <c r="F1405" s="95">
        <f>SUMIF(E3:E1291,"Okram",F3:F1291)</f>
        <v>0</v>
      </c>
      <c r="G1405" s="302">
        <f>SUMIF(E3:E1291,"okram",Z3:Z1291)</f>
        <v>0</v>
      </c>
      <c r="H1405" s="152">
        <f>SUMIFS(Z$6:Z$1291,E$6:E$1291,"Okram",AG$6:AG$1291,"OK")</f>
        <v>0</v>
      </c>
      <c r="I1405" s="296"/>
      <c r="J1405" s="233"/>
      <c r="L1405" s="212"/>
      <c r="Q1405" s="104"/>
    </row>
    <row r="1406" spans="3:17" ht="15.75" x14ac:dyDescent="0.25">
      <c r="D1406" s="208">
        <f t="shared" si="384"/>
        <v>104</v>
      </c>
      <c r="E1406" s="189" t="s">
        <v>207</v>
      </c>
      <c r="F1406" s="95">
        <f>SUMIF(E6:E1291,"ortea",F6:F1291)</f>
        <v>1522</v>
      </c>
      <c r="G1406" s="302">
        <f>SUMIF(E6:E1291,"ortea",Z6:Z1291)</f>
        <v>152.20000000000002</v>
      </c>
      <c r="H1406" s="152">
        <f>SUMIFS(Z$6:Z$1291,E$6:E$1291,"Ortea",AG$6:AG$1291,"OK")</f>
        <v>152.20000000000002</v>
      </c>
      <c r="I1406" s="296">
        <f>SUMIFS(F$6:F$1291,E$6:E$1291,"ortea",AG$6:AG$1291,"OK")</f>
        <v>1522</v>
      </c>
      <c r="J1406" s="233"/>
      <c r="L1406" s="212"/>
      <c r="Q1406" s="104"/>
    </row>
    <row r="1407" spans="3:17" ht="15.75" x14ac:dyDescent="0.25">
      <c r="D1407" s="208"/>
      <c r="E1407" s="103" t="s">
        <v>419</v>
      </c>
      <c r="F1407" s="95">
        <f>SUMIF(E6:E1292,"ottavi",F6:F1292)</f>
        <v>0</v>
      </c>
      <c r="G1407" s="302">
        <f>SUMIF(E6:E1292,"ottavi",Z6:Z1292)</f>
        <v>0</v>
      </c>
      <c r="H1407" s="152">
        <f>SUMIFS(Z$6:Z$1291,E$6:E$1291,"Ottavi",AG$6:AG$1291,"OK")</f>
        <v>0</v>
      </c>
      <c r="I1407" s="296">
        <f>SUMIFS(F$6:F$1291,E$6:E$1291,"ottavi",AG$6:AG$1291,"OK")</f>
        <v>0</v>
      </c>
      <c r="J1407" s="233"/>
      <c r="L1407" s="212"/>
      <c r="Q1407" s="104"/>
    </row>
    <row r="1408" spans="3:17" ht="15.75" x14ac:dyDescent="0.25">
      <c r="D1408" s="208"/>
      <c r="E1408" s="103" t="s">
        <v>403</v>
      </c>
      <c r="F1408" s="95">
        <f>SUMIF(E6:E1292,"pat",F6:F1292)</f>
        <v>0</v>
      </c>
      <c r="G1408" s="302">
        <f>SUMIF(E6:E1292,"pat",Z6:Z1292)</f>
        <v>0</v>
      </c>
      <c r="H1408" s="152">
        <f>SUMIFS(Z$6:Z$1291,E$6:E$1291,"pat",AG$6:AG$1291,"OK")</f>
        <v>0</v>
      </c>
      <c r="I1408" s="296">
        <f>SUMIFS(F$6:F$1291,E$6:E$1291,"pat",AG$6:AG$1291,"OK")</f>
        <v>0</v>
      </c>
      <c r="J1408" s="233"/>
      <c r="L1408" s="212"/>
      <c r="Q1408" s="104"/>
    </row>
    <row r="1409" spans="3:17" ht="15.75" x14ac:dyDescent="0.25">
      <c r="C1409" s="244" t="s">
        <v>273</v>
      </c>
      <c r="D1409" s="208">
        <f>+D1406+1</f>
        <v>105</v>
      </c>
      <c r="E1409" s="240" t="s">
        <v>198</v>
      </c>
      <c r="F1409" s="95">
        <f>SUMIF(E6:E1291,"Pcm",F6:F1291)</f>
        <v>0</v>
      </c>
      <c r="G1409" s="302">
        <f>SUMIF(E6:E1291,"pcm",Z6:Z1291)</f>
        <v>0</v>
      </c>
      <c r="H1409" s="152">
        <f>SUMIFS(Z$6:Z$1291,E$6:E$1291,"PMC",AG$6:AG$1291,"OK")</f>
        <v>0</v>
      </c>
      <c r="I1409" s="296"/>
      <c r="J1409" s="233"/>
      <c r="L1409" s="212"/>
      <c r="Q1409" s="104"/>
    </row>
    <row r="1410" spans="3:17" ht="15.75" x14ac:dyDescent="0.25">
      <c r="D1410" s="208">
        <f t="shared" si="384"/>
        <v>106</v>
      </c>
      <c r="E1410" s="189" t="s">
        <v>98</v>
      </c>
      <c r="F1410" s="95">
        <f>SUMIF(E6:E1291,"Piola",F6:F1291)</f>
        <v>0</v>
      </c>
      <c r="G1410" s="302">
        <f>SUMIF(E6:E1291,"Piola",Z6:Z1291)</f>
        <v>0</v>
      </c>
      <c r="H1410" s="152">
        <f>SUMIFS(Z$6:Z$1291,E$6:E$1291,"Piola",AG$6:AG$1291,"OK")</f>
        <v>0</v>
      </c>
      <c r="I1410" s="296"/>
      <c r="J1410" s="233"/>
      <c r="L1410" s="212"/>
      <c r="Q1410" s="104"/>
    </row>
    <row r="1411" spans="3:17" ht="15.75" x14ac:dyDescent="0.25">
      <c r="D1411" s="208">
        <f t="shared" si="384"/>
        <v>107</v>
      </c>
      <c r="E1411" s="189" t="s">
        <v>103</v>
      </c>
      <c r="F1411" s="95">
        <f>SUMIF(E6:E1291,"Piossasco",F6:F1291)</f>
        <v>14900</v>
      </c>
      <c r="G1411" s="302">
        <f>SUMIF(E6:E1291,"Piossasco",Z6:Z1291)</f>
        <v>1232</v>
      </c>
      <c r="H1411" s="152">
        <f>SUMIFS(Z$6:Z$1291,E$6:E$1291,"Piossasco",AG$6:AG$1291,"OK")</f>
        <v>0</v>
      </c>
      <c r="I1411" s="296">
        <f>SUMIFS(F$6:F$1291,E$6:E$1291,"piossasco",AG$6:AG$1291,"OK")</f>
        <v>0</v>
      </c>
      <c r="J1411" s="233"/>
      <c r="L1411" s="212"/>
      <c r="Q1411" s="104"/>
    </row>
    <row r="1412" spans="3:17" ht="15.75" x14ac:dyDescent="0.25">
      <c r="D1412" s="208">
        <f t="shared" si="384"/>
        <v>108</v>
      </c>
      <c r="E1412" s="103" t="s">
        <v>341</v>
      </c>
      <c r="F1412" s="95">
        <f>SUMIF(E6:E1291,"PM",F6:F1291)</f>
        <v>0</v>
      </c>
      <c r="G1412" s="302">
        <f>SUMIF(E6:E1291,"PM",Z6:Z1291)</f>
        <v>0</v>
      </c>
      <c r="H1412" s="152">
        <f>SUMIFS(Z$6:Z$1291,E$6:E$1291,"PM",AG$6:AG$1291,"OK")</f>
        <v>0</v>
      </c>
      <c r="I1412" s="296">
        <f>SUMIFS(F$6:F$1291,E$6:E$1291,"pM",AG$6:AG$1291,"OK")</f>
        <v>0</v>
      </c>
      <c r="J1412" s="233"/>
      <c r="L1412" s="212"/>
      <c r="Q1412" s="104"/>
    </row>
    <row r="1413" spans="3:17" ht="15.75" x14ac:dyDescent="0.25">
      <c r="D1413" s="208">
        <f t="shared" si="384"/>
        <v>109</v>
      </c>
      <c r="E1413" s="305" t="s">
        <v>252</v>
      </c>
      <c r="F1413" s="363">
        <f>SUMIF(E6:E1291,"Power europe",F6:F1291)</f>
        <v>1450</v>
      </c>
      <c r="G1413" s="364">
        <f>SUMIF(E6:E1291,"Power europe",Z6:Z1291)</f>
        <v>145</v>
      </c>
      <c r="H1413" s="365">
        <f>SUMIFS(Z$6:Z$1291,E$6:E$1291,"Power europe",AG$6:AG$1291,"OK")</f>
        <v>0</v>
      </c>
      <c r="I1413" s="299">
        <f>SUMIFS(F$6:F$1291,E$6:E$1291,"power europe",AG$6:AG$1291,"OK")</f>
        <v>0</v>
      </c>
      <c r="J1413" s="233"/>
      <c r="L1413" s="212"/>
      <c r="Q1413" s="104"/>
    </row>
    <row r="1414" spans="3:17" ht="15.75" x14ac:dyDescent="0.25">
      <c r="D1414" s="208">
        <f t="shared" si="384"/>
        <v>110</v>
      </c>
      <c r="E1414" s="103" t="s">
        <v>172</v>
      </c>
      <c r="F1414" s="95">
        <f>SUMIF(E$6:E$1291,"pol",F$6:F$1291)</f>
        <v>0</v>
      </c>
      <c r="G1414" s="302">
        <f>SUMIF(E$6:E$1291,"pol",Z$6:Z$1291)</f>
        <v>0</v>
      </c>
      <c r="H1414" s="152">
        <f>SUMIFS(Z$6:Z$1291,E$6:E$1291,"Pol",AG$6:AG$1291,"OK")</f>
        <v>0</v>
      </c>
      <c r="I1414" s="296"/>
      <c r="J1414" s="233"/>
      <c r="L1414" s="212"/>
      <c r="Q1414" s="104"/>
    </row>
    <row r="1415" spans="3:17" ht="15.75" x14ac:dyDescent="0.25">
      <c r="D1415" s="208">
        <f t="shared" si="384"/>
        <v>111</v>
      </c>
      <c r="E1415" s="103" t="s">
        <v>367</v>
      </c>
      <c r="F1415" s="95">
        <f>SUMIF(E$6:E$1291,"progetto stampi",F$6:F$1291)</f>
        <v>0</v>
      </c>
      <c r="G1415" s="302">
        <f>SUMIF(E$6:E$1291,"progetto stampi",Z$6:Z$1291)</f>
        <v>0</v>
      </c>
      <c r="H1415" s="152">
        <f>SUMIFS(Z$6:Z$1291,E$6:E$1291,"progetto stampi",AG$6:AG$1291,"OK")</f>
        <v>0</v>
      </c>
      <c r="I1415" s="296">
        <f>SUMIFS(F$6:F$1291,E$6:E$1291,"progetto stampi",AG$6:AG$1291,"OK")</f>
        <v>0</v>
      </c>
      <c r="J1415" s="233"/>
      <c r="L1415" s="212"/>
      <c r="Q1415" s="104"/>
    </row>
    <row r="1416" spans="3:17" ht="15.75" x14ac:dyDescent="0.25">
      <c r="D1416" s="208">
        <f t="shared" si="384"/>
        <v>112</v>
      </c>
      <c r="E1416" s="103" t="s">
        <v>194</v>
      </c>
      <c r="F1416" s="95">
        <f>SUMIF(E6:E1291,"progress",F6:F1291)</f>
        <v>0</v>
      </c>
      <c r="G1416" s="302">
        <f>SUMIF(E6:E1291,"Progress",Z6:Z1291)</f>
        <v>0</v>
      </c>
      <c r="H1416" s="152">
        <f>SUMIFS(Z$6:Z$1291,E$6:E$1291,"Progress",AG$6:AG$1291,"OK")</f>
        <v>0</v>
      </c>
      <c r="I1416" s="296">
        <f>SUMIFS(F$6:F$1291,E$6:E$1291,"progress",AG$6:AG$1291,"OK")</f>
        <v>0</v>
      </c>
      <c r="J1416" s="233"/>
      <c r="L1416" s="212"/>
      <c r="Q1416" s="104"/>
    </row>
    <row r="1417" spans="3:17" ht="15.75" x14ac:dyDescent="0.25">
      <c r="D1417" s="208">
        <f t="shared" si="384"/>
        <v>113</v>
      </c>
      <c r="E1417" s="189" t="s">
        <v>115</v>
      </c>
      <c r="F1417" s="95">
        <f>SUMIF(E6:E1291,"project",F6:F1291)</f>
        <v>0</v>
      </c>
      <c r="G1417" s="302">
        <f>SUMIF(E6:E1291,"Project",Z6:Z1291)</f>
        <v>0</v>
      </c>
      <c r="H1417" s="152">
        <f>SUMIFS(Z$6:Z$1291,E$6:E$1291,"Project",AG$6:AG$1291,"OK")</f>
        <v>0</v>
      </c>
      <c r="I1417" s="296"/>
      <c r="J1417" s="233"/>
      <c r="L1417" s="212"/>
      <c r="Q1417" s="104"/>
    </row>
    <row r="1418" spans="3:17" ht="15.75" x14ac:dyDescent="0.25">
      <c r="D1418" s="208">
        <f t="shared" si="384"/>
        <v>114</v>
      </c>
      <c r="E1418" s="103" t="s">
        <v>195</v>
      </c>
      <c r="F1418" s="95">
        <f>SUMIF(E$6:E$1291,"rapeti",F$6:F$1291)</f>
        <v>522</v>
      </c>
      <c r="G1418" s="302">
        <f>SUMIF(E$6:E$1291,"rapeti",Z$6:Z$1291)</f>
        <v>36.540000000000006</v>
      </c>
      <c r="H1418" s="152">
        <f>SUMIFS(Z$6:Z$1291,E$6:E$1291,"Rapeti",AG$6:AG$1291,"OK")</f>
        <v>36.540000000000006</v>
      </c>
      <c r="I1418" s="296">
        <f>SUMIFS(F$6:F$1291,E$6:E$1291,"rapeti",AG$6:AG$1291,"OK")</f>
        <v>522</v>
      </c>
      <c r="J1418" s="233"/>
      <c r="L1418" s="212"/>
      <c r="Q1418" s="104"/>
    </row>
    <row r="1419" spans="3:17" ht="15.75" x14ac:dyDescent="0.25">
      <c r="D1419" s="208">
        <f t="shared" si="384"/>
        <v>115</v>
      </c>
      <c r="E1419" s="103" t="s">
        <v>372</v>
      </c>
      <c r="F1419" s="95">
        <f>SUMIF(E$6:E$1291,"rasera",F$6:F$1291)</f>
        <v>0</v>
      </c>
      <c r="G1419" s="302">
        <f>SUMIF(E$6:E$1291,"rasera",Z$6:Z$1291)</f>
        <v>0</v>
      </c>
      <c r="H1419" s="152">
        <f>SUMIFS(Z$6:Z$1291,E$6:E$1291,"Rasera",AG$6:AG$1291,"OK")</f>
        <v>0</v>
      </c>
      <c r="I1419" s="296">
        <f>SUMIFS(F$6:F$1291,E$6:E$1291,"rasera",AG$6:AG$1291,"OK")</f>
        <v>0</v>
      </c>
      <c r="J1419" s="233"/>
      <c r="L1419" s="212"/>
      <c r="Q1419" s="104"/>
    </row>
    <row r="1420" spans="3:17" ht="15.75" x14ac:dyDescent="0.25">
      <c r="C1420" s="244" t="s">
        <v>273</v>
      </c>
      <c r="D1420" s="208">
        <f t="shared" si="384"/>
        <v>116</v>
      </c>
      <c r="E1420" s="240" t="s">
        <v>270</v>
      </c>
      <c r="F1420" s="95">
        <f>SUMIF(E6:E1291,"ratto",F6:F1291)</f>
        <v>0</v>
      </c>
      <c r="G1420" s="302">
        <f>SUMIF(E6:E1291,"ratto",Z6:Z1291)</f>
        <v>0</v>
      </c>
      <c r="H1420" s="152">
        <f>SUMIFS(Z$6:Z$1291,E$6:E$1291,"Ratto",AG$6:AG$1291,"OK")</f>
        <v>0</v>
      </c>
      <c r="I1420" s="296"/>
      <c r="J1420" s="233"/>
      <c r="L1420" s="212"/>
      <c r="Q1420" s="104"/>
    </row>
    <row r="1421" spans="3:17" ht="15.75" x14ac:dyDescent="0.25">
      <c r="D1421" s="208"/>
      <c r="E1421" s="103" t="s">
        <v>425</v>
      </c>
      <c r="F1421" s="95">
        <f>SUMIF(E6:E1292,"rausch",F6:F1292)</f>
        <v>0</v>
      </c>
      <c r="G1421" s="302">
        <f>SUMIF(E6:E1292,"rausch",Z6:Z1292)</f>
        <v>0</v>
      </c>
      <c r="H1421" s="152">
        <f>SUMIFS(Z$6:Z$1291,E$6:E$1291,"Rausch",AG$6:AG$1291,"OK")</f>
        <v>0</v>
      </c>
      <c r="I1421" s="296">
        <f>SUMIFS(F$6:F$1291,E$6:E$1291,"rausch",AG$6:AG$1291,"OK")</f>
        <v>0</v>
      </c>
      <c r="J1421" s="233"/>
      <c r="L1421" s="212"/>
      <c r="Q1421" s="104"/>
    </row>
    <row r="1422" spans="3:17" ht="15.75" x14ac:dyDescent="0.25">
      <c r="C1422" s="244" t="s">
        <v>273</v>
      </c>
      <c r="D1422" s="208">
        <f>+D1420+1</f>
        <v>117</v>
      </c>
      <c r="E1422" s="240" t="s">
        <v>255</v>
      </c>
      <c r="F1422" s="95">
        <f>SUMIF(E6:E1291,"Rizzi",F6:F1291)</f>
        <v>0</v>
      </c>
      <c r="G1422" s="302">
        <f>SUMIF(E6:E1291,"rizzi",Z6:Z1291)</f>
        <v>0</v>
      </c>
      <c r="H1422" s="152">
        <f>SUMIFS(Z$6:Z$1291,E$6:E$1291,"Rizzi",AG$6:AG$1291,"OK")</f>
        <v>0</v>
      </c>
      <c r="I1422" s="296"/>
      <c r="J1422" s="233"/>
      <c r="L1422" s="212"/>
      <c r="Q1422" s="104"/>
    </row>
    <row r="1423" spans="3:17" ht="15.75" x14ac:dyDescent="0.25">
      <c r="D1423" s="208"/>
      <c r="E1423" s="103" t="s">
        <v>426</v>
      </c>
      <c r="F1423" s="95">
        <f>SUMIF(E6:E1292,"Rotech",F6:F1292)</f>
        <v>0</v>
      </c>
      <c r="G1423" s="302">
        <f>SUMIF(E6:E1292,"rotech",Z6:Z1292)</f>
        <v>0</v>
      </c>
      <c r="H1423" s="152">
        <f>SUMIFS(Z$6:Z$1291,E$6:E$1291,"Rotech",AG$6:AG$1291,"OK")</f>
        <v>0</v>
      </c>
      <c r="I1423" s="296">
        <f>SUMIFS(F$6:F$1291,E$6:E$1291,"valle",AG$6:AG$1291,"OK")</f>
        <v>0</v>
      </c>
      <c r="J1423" s="233"/>
      <c r="L1423" s="212"/>
      <c r="Q1423" s="104"/>
    </row>
    <row r="1424" spans="3:17" ht="15.75" x14ac:dyDescent="0.25">
      <c r="D1424" s="208">
        <f>+D1422+1</f>
        <v>118</v>
      </c>
      <c r="E1424" s="103" t="s">
        <v>364</v>
      </c>
      <c r="F1424" s="98">
        <f>SUMIF(E$6:E$1291,"SBG",F$6:F$1291)</f>
        <v>0</v>
      </c>
      <c r="G1424" s="303">
        <f>SUMIF(E$6:E$1291,"SBG",Z$6:Z$1291)</f>
        <v>0</v>
      </c>
      <c r="H1424" s="152">
        <f>SUMIFS(Z$6:Z$1291,E$6:E$1291,"SBG",AG$6:AG$1291,"OK")</f>
        <v>0</v>
      </c>
      <c r="I1424" s="296">
        <f>SUMIFS(F$6:F$1291,E$6:E$1291,"SBG",AG$6:AG$1291,"OK")</f>
        <v>0</v>
      </c>
      <c r="J1424" s="233"/>
      <c r="L1424" s="212"/>
      <c r="Q1424" s="104"/>
    </row>
    <row r="1425" spans="3:17" ht="15.75" x14ac:dyDescent="0.25">
      <c r="D1425" s="208">
        <f t="shared" si="384"/>
        <v>119</v>
      </c>
      <c r="E1425" s="103" t="s">
        <v>214</v>
      </c>
      <c r="F1425" s="95">
        <f>SUMIF(E$6:E$1291,"scm",F$6:F$1291)</f>
        <v>0</v>
      </c>
      <c r="G1425" s="302">
        <f>SUMIF(E$6:E$1291,"scm",Z$6:Z$1291)</f>
        <v>0</v>
      </c>
      <c r="H1425" s="152">
        <f>SUMIFS(Z$6:Z$1291,E$6:E$1291,"SCM",AG$6:AG$1291,"OK")</f>
        <v>0</v>
      </c>
      <c r="I1425" s="296"/>
      <c r="J1425" s="233"/>
      <c r="L1425" s="212"/>
      <c r="Q1425" s="104"/>
    </row>
    <row r="1426" spans="3:17" ht="15.75" x14ac:dyDescent="0.25">
      <c r="C1426" s="244" t="s">
        <v>273</v>
      </c>
      <c r="D1426" s="208">
        <f t="shared" si="384"/>
        <v>120</v>
      </c>
      <c r="E1426" s="240" t="s">
        <v>197</v>
      </c>
      <c r="F1426" s="95">
        <f>SUMIF(E$6:E$1291,"sea",F$6:F$1291)</f>
        <v>0</v>
      </c>
      <c r="G1426" s="302">
        <f>SUMIF(E$6:E$1291,"sea",Z$6:Z$1291)</f>
        <v>0</v>
      </c>
      <c r="H1426" s="152">
        <f>SUMIFS(Z$6:Z$1291,E$6:E$1291,"Sea",AG$6:AG$1291,"OK")</f>
        <v>0</v>
      </c>
      <c r="I1426" s="296"/>
      <c r="J1426" s="233"/>
      <c r="L1426" s="212"/>
      <c r="Q1426" s="104"/>
    </row>
    <row r="1427" spans="3:17" ht="15.75" x14ac:dyDescent="0.25">
      <c r="D1427" s="208">
        <f t="shared" si="384"/>
        <v>121</v>
      </c>
      <c r="E1427" s="103" t="s">
        <v>358</v>
      </c>
      <c r="F1427" s="95">
        <f>SUMIF(E$6:E$1291,"seMar",F$6:F$1291)</f>
        <v>0</v>
      </c>
      <c r="G1427" s="302">
        <f>SUMIF(E$6:E$1291,"semar",Z$6:Z$1291)</f>
        <v>0</v>
      </c>
      <c r="H1427" s="152">
        <f>SUMIFS(Z$6:Z$1291,E$6:E$1291,"Semar",AG$6:AG$1291,"OK")</f>
        <v>0</v>
      </c>
      <c r="I1427" s="296"/>
      <c r="J1427" s="233"/>
      <c r="L1427" s="212"/>
      <c r="Q1427" s="104"/>
    </row>
    <row r="1428" spans="3:17" ht="15.75" x14ac:dyDescent="0.25">
      <c r="D1428" s="208">
        <f t="shared" si="384"/>
        <v>122</v>
      </c>
      <c r="E1428" s="103" t="s">
        <v>361</v>
      </c>
      <c r="F1428" s="95">
        <f>SUMIF(E$6:E$1291,"sgb",F$6:F$1291)</f>
        <v>0</v>
      </c>
      <c r="G1428" s="302">
        <f>SUMIF(E$6:E$1291,"sgb",Z$6:Z$1291)</f>
        <v>0</v>
      </c>
      <c r="H1428" s="152">
        <f>SUMIFS(Z$6:Z$1291,E$6:E$1291,"SGB",AG$6:AG$1291,"OK")</f>
        <v>0</v>
      </c>
      <c r="I1428" s="296"/>
      <c r="J1428" s="233"/>
      <c r="L1428" s="212"/>
      <c r="Q1428" s="104"/>
    </row>
    <row r="1429" spans="3:17" ht="15.75" x14ac:dyDescent="0.25">
      <c r="D1429" s="208">
        <f t="shared" si="384"/>
        <v>123</v>
      </c>
      <c r="E1429" s="103" t="s">
        <v>170</v>
      </c>
      <c r="F1429" s="95">
        <f>SUMIF(E6:E1291,"sgm",F6:F1291)</f>
        <v>4200</v>
      </c>
      <c r="G1429" s="302">
        <f>SUMIF(E6:E1291,"sgm",Z6:Z1291)</f>
        <v>294</v>
      </c>
      <c r="H1429" s="152">
        <f>SUMIFS(Z$6:Z$1291,E$6:E$1291,"SGM",AG$6:AG$1291,"OK")</f>
        <v>294</v>
      </c>
      <c r="I1429" s="296">
        <f>SUMIFS(F$6:F$1291,E$6:E$1291,"sgm",AG$6:AG$1291,"OK")</f>
        <v>4200</v>
      </c>
      <c r="J1429" s="233"/>
      <c r="L1429" s="212"/>
    </row>
    <row r="1430" spans="3:17" ht="15.75" x14ac:dyDescent="0.25">
      <c r="D1430" s="208">
        <f t="shared" si="384"/>
        <v>124</v>
      </c>
      <c r="E1430" s="103" t="s">
        <v>208</v>
      </c>
      <c r="F1430" s="95">
        <f>SUMIF(E6:E1291,"siltech",F6:F1291)</f>
        <v>20089</v>
      </c>
      <c r="G1430" s="302">
        <f>SUMIF(E6:E1291,"siltech",Z6:Z1291)</f>
        <v>1406.23</v>
      </c>
      <c r="H1430" s="152">
        <f>SUMIFS(Z$6:Z$1291,E$6:E$1291,"Siltech",AG$6:AG$1291,"OK")</f>
        <v>443.73</v>
      </c>
      <c r="I1430" s="296">
        <f>SUMIFS(F$6:F$1291,E$6:E$1291,"siltech",AG$6:AG$1291,"OK")</f>
        <v>6339</v>
      </c>
      <c r="J1430" s="233"/>
      <c r="L1430" s="212"/>
    </row>
    <row r="1431" spans="3:17" ht="15.75" x14ac:dyDescent="0.25">
      <c r="D1431" s="208">
        <f t="shared" si="384"/>
        <v>125</v>
      </c>
      <c r="E1431" s="366" t="s">
        <v>109</v>
      </c>
      <c r="F1431" s="95">
        <f>SUMIF(E6:E1291,"Sirmet",F6:F1291)</f>
        <v>0</v>
      </c>
      <c r="G1431" s="302">
        <f>SUMIF(E6:E1291,"SIRMET",Z6:Z1291)</f>
        <v>0</v>
      </c>
      <c r="H1431" s="152">
        <f>SUMIFS(Z$6:Z$1291,E$6:E$1291,"Sirmet",AG$6:AG$1291,"OK")</f>
        <v>0</v>
      </c>
      <c r="I1431" s="296"/>
      <c r="J1431" s="233"/>
      <c r="L1431" s="212"/>
    </row>
    <row r="1432" spans="3:17" ht="15.75" x14ac:dyDescent="0.25">
      <c r="D1432" s="208">
        <f t="shared" si="384"/>
        <v>126</v>
      </c>
      <c r="E1432" s="103" t="s">
        <v>259</v>
      </c>
      <c r="F1432" s="95">
        <f>SUMIF(E6:E1291,"tamura",F6:F1291)</f>
        <v>38773</v>
      </c>
      <c r="G1432" s="302">
        <f>SUMIF(E6:E1291,"tamura",Z6:Z1291)</f>
        <v>2040.6500000000003</v>
      </c>
      <c r="H1432" s="152">
        <f>SUMIFS(Z$6:Z$1291,E$6:E$1291,"Tamura",AG$6:AG$1291,"OK")</f>
        <v>1043.95</v>
      </c>
      <c r="I1432" s="296">
        <f>SUMIFS(F$6:F$1291,E$6:E$1291,"tamura",AG$6:AG$1291,"OK")</f>
        <v>19363</v>
      </c>
      <c r="J1432" s="233"/>
      <c r="L1432" s="212"/>
    </row>
    <row r="1433" spans="3:17" ht="15.75" x14ac:dyDescent="0.25">
      <c r="C1433" s="244" t="s">
        <v>273</v>
      </c>
      <c r="D1433" s="208">
        <f t="shared" si="384"/>
        <v>127</v>
      </c>
      <c r="E1433" s="241" t="s">
        <v>107</v>
      </c>
      <c r="F1433" s="95">
        <f>SUMIF(E6:E1291,"Tecnomintra",F6:F1291)</f>
        <v>0</v>
      </c>
      <c r="G1433" s="302">
        <f>SUMIF(E6:E1291,"Tecnomintra",Z6:Z1291)</f>
        <v>0</v>
      </c>
      <c r="H1433" s="152">
        <f>SUMIFS(Z$6:Z$1291,E$6:E$1291,"Tecnomitra",AG$6:AG$1291,"OK")</f>
        <v>0</v>
      </c>
      <c r="I1433" s="296"/>
      <c r="J1433" s="233"/>
      <c r="L1433" s="212"/>
    </row>
    <row r="1434" spans="3:17" ht="15.75" x14ac:dyDescent="0.25">
      <c r="C1434" s="244" t="s">
        <v>273</v>
      </c>
      <c r="D1434" s="208">
        <f t="shared" si="384"/>
        <v>128</v>
      </c>
      <c r="E1434" s="240" t="s">
        <v>264</v>
      </c>
      <c r="F1434" s="95">
        <f>SUMIF(E6:E1291,"Telecomponenti",F6:F1291)</f>
        <v>0</v>
      </c>
      <c r="G1434" s="302">
        <f>SUMIF(E6:E1291,"telecomponenti",Z6:Z1291)</f>
        <v>0</v>
      </c>
      <c r="H1434" s="152">
        <f>SUMIFS(Z$6:Z$1291,E$6:E$1291,"Telecomponenti",AG$6:AG$1291,"OK")</f>
        <v>0</v>
      </c>
      <c r="I1434" s="296"/>
      <c r="J1434" s="233"/>
      <c r="L1434" s="212"/>
    </row>
    <row r="1435" spans="3:17" ht="15.75" x14ac:dyDescent="0.25">
      <c r="D1435" s="208">
        <f t="shared" si="384"/>
        <v>129</v>
      </c>
      <c r="E1435" s="103" t="s">
        <v>193</v>
      </c>
      <c r="F1435" s="95">
        <f>SUMIF(E6:E1291,"Tesar",F6:F1291)</f>
        <v>0</v>
      </c>
      <c r="G1435" s="302">
        <f>SUMIF(E6:E1291,"Tesar",Z6:Z1291)</f>
        <v>0</v>
      </c>
      <c r="H1435" s="152">
        <f>SUMIFS(Z$6:Z$1291,E$6:E$1291,"Tesar",AG$6:AG$1291,"OK")</f>
        <v>0</v>
      </c>
      <c r="I1435" s="296">
        <f>SUMIFS(F$6:F$1291,E$6:E$1291,"tesar",AG$6:AG$1291,"OK")</f>
        <v>0</v>
      </c>
      <c r="J1435" s="233"/>
      <c r="K1435" s="158"/>
      <c r="L1435" s="212"/>
    </row>
    <row r="1436" spans="3:17" ht="15.75" x14ac:dyDescent="0.25">
      <c r="D1436" s="208">
        <f t="shared" si="384"/>
        <v>130</v>
      </c>
      <c r="E1436" s="153" t="s">
        <v>401</v>
      </c>
      <c r="F1436" s="95">
        <f>SUMIF(E6:E1291,"Tesar pl",F6:F1291)</f>
        <v>645</v>
      </c>
      <c r="G1436" s="302">
        <f>SUMIF(E6:E1291,"Tesar pl",Z6:Z1291)</f>
        <v>96.75</v>
      </c>
      <c r="H1436" s="152">
        <f>SUMIFS(Z$6:Z$1291,E$6:E$1291,"Tesar pl",AG$6:AG$1291,"OK")</f>
        <v>96.75</v>
      </c>
      <c r="I1436" s="296">
        <f>SUMIFS(F$6:F$1291,E$6:E$1291,"tesar pl",AG$6:AG$1291,"OK")</f>
        <v>645</v>
      </c>
      <c r="J1436" s="233"/>
      <c r="K1436" s="158"/>
      <c r="L1436" s="212"/>
    </row>
    <row r="1437" spans="3:17" ht="15.75" x14ac:dyDescent="0.25">
      <c r="D1437" s="208">
        <f t="shared" si="384"/>
        <v>131</v>
      </c>
      <c r="E1437" s="153" t="s">
        <v>247</v>
      </c>
      <c r="F1437" s="95">
        <f>SUMIF(E6:E1291,"Tironi",F6:F1291)</f>
        <v>0</v>
      </c>
      <c r="G1437" s="302">
        <f>SUMIF(E6:E1291,"Tironi",Z6:Z1291)</f>
        <v>0</v>
      </c>
      <c r="H1437" s="152">
        <f>SUMIFS(Z$6:Z$1291,E$6:E$1291,"Tironi",AG$6:AG$1291,"OK")</f>
        <v>0</v>
      </c>
      <c r="I1437" s="296"/>
      <c r="J1437" s="233"/>
      <c r="L1437" s="212"/>
    </row>
    <row r="1438" spans="3:17" ht="15.75" x14ac:dyDescent="0.25">
      <c r="D1438" s="208">
        <f t="shared" si="384"/>
        <v>132</v>
      </c>
      <c r="E1438" s="153" t="s">
        <v>212</v>
      </c>
      <c r="F1438" s="95">
        <f>SUMIF(E6:E1291,"Tmc",F6:F1291)</f>
        <v>112068</v>
      </c>
      <c r="G1438" s="302">
        <f>SUMIF(E6:E1291,"Tmc",Z6:Z1291)</f>
        <v>5685.9500000000007</v>
      </c>
      <c r="H1438" s="152">
        <f>SUMIFS(Z$6:Z$1291,E$6:E$1291,"Tmc",AG$6:AG$1291,"OK")</f>
        <v>3783.3000000000011</v>
      </c>
      <c r="I1438" s="296">
        <f>SUMIFS(F$6:F$1291,E$6:E$1291,"tmc",AG$6:AG$1291,"OK")</f>
        <v>74765</v>
      </c>
      <c r="J1438" s="233"/>
      <c r="K1438" s="158"/>
      <c r="L1438" s="212"/>
    </row>
    <row r="1439" spans="3:17" ht="15.75" x14ac:dyDescent="0.25">
      <c r="D1439" s="208">
        <f t="shared" si="384"/>
        <v>133</v>
      </c>
      <c r="E1439" s="153" t="s">
        <v>592</v>
      </c>
      <c r="F1439" s="95">
        <f>SUMIF(E6:E1291,"Tranceria vicenza",F6:F1291)</f>
        <v>4804</v>
      </c>
      <c r="G1439" s="302">
        <f>SUMIF(E6:E1291,"Tranceria vicenza",Z6:Z1291)</f>
        <v>541.52</v>
      </c>
      <c r="H1439" s="152">
        <f>SUMIFS(Z$6:Z$1291,E$6:E$1291,"Tranceria vicenza",AG$6:AG$1291,"OK")</f>
        <v>31.720000000000002</v>
      </c>
      <c r="I1439" s="296">
        <f>SUMIFS(F$6:F$1291,E$6:E$1291,"tranceria vicenza",AG$6:AG$1291,"OK")</f>
        <v>244</v>
      </c>
      <c r="J1439" s="233"/>
      <c r="K1439" s="158"/>
      <c r="L1439" s="212"/>
    </row>
    <row r="1440" spans="3:17" ht="15.75" x14ac:dyDescent="0.25">
      <c r="D1440" s="208">
        <f t="shared" si="384"/>
        <v>134</v>
      </c>
      <c r="E1440" s="153" t="s">
        <v>376</v>
      </c>
      <c r="F1440" s="98">
        <f>SUMIF(E6:E1291,"trafa",F6:F1291)</f>
        <v>1973</v>
      </c>
      <c r="G1440" s="303">
        <f>SUMIF(E6:E1292,"Trafa",Z6:Z1292)</f>
        <v>178.91000000000003</v>
      </c>
      <c r="H1440" s="152">
        <f>SUMIFS(Z$6:Z$1291,E$6:E$1291,"Trafa",AG$6:AG$1291,"OK")</f>
        <v>157.91000000000003</v>
      </c>
      <c r="I1440" s="296">
        <f>SUMIFS(F$6:F$1291,E$6:E$1291,"trafa",AG$6:AG$1291,"OK")</f>
        <v>1673</v>
      </c>
      <c r="J1440" s="233"/>
      <c r="K1440" s="158"/>
      <c r="L1440" s="212"/>
    </row>
    <row r="1441" spans="3:12" ht="15.75" x14ac:dyDescent="0.25">
      <c r="D1441" s="208">
        <f t="shared" si="384"/>
        <v>135</v>
      </c>
      <c r="E1441" s="153" t="s">
        <v>421</v>
      </c>
      <c r="F1441" s="95">
        <f>SUMIF(E$6:E$1291,"trafoCOOP",F$6:F$1291)</f>
        <v>3932</v>
      </c>
      <c r="G1441" s="302">
        <f>SUMIF(E$6:E$1291,"trafocoop",Z$6:Z$1291)</f>
        <v>315.74</v>
      </c>
      <c r="H1441" s="152">
        <f>SUMIFS(Z$6:Z$1291,E$6:E$1291,"trafocoop",AG$6:AG$1291,"OK")</f>
        <v>103.74000000000001</v>
      </c>
      <c r="I1441" s="296">
        <f>SUMIFS(F$6:F$1291,E$6:E$1291,"trafocoop",AG$6:AG$1291,"OK")</f>
        <v>1482</v>
      </c>
      <c r="J1441" s="233"/>
      <c r="K1441" s="158"/>
      <c r="L1441" s="212"/>
    </row>
    <row r="1442" spans="3:12" ht="15.75" x14ac:dyDescent="0.25">
      <c r="C1442" s="244" t="s">
        <v>391</v>
      </c>
      <c r="D1442" s="208">
        <f t="shared" si="384"/>
        <v>136</v>
      </c>
      <c r="E1442" s="372" t="s">
        <v>90</v>
      </c>
      <c r="F1442" s="98">
        <f>SUMIF(E6:E1291,"Trafomec",F6:F1291)</f>
        <v>0</v>
      </c>
      <c r="G1442" s="303">
        <f>SUMIF(E6:E1291,"Trafomec",Z6:Z1291)</f>
        <v>0</v>
      </c>
      <c r="H1442" s="152">
        <f>SUMIFS(Z$6:Z$1291,E$6:E$1291,"Trafomec",AG$6:AG$1291,"OK")</f>
        <v>0</v>
      </c>
      <c r="I1442" s="296"/>
      <c r="J1442" s="233"/>
      <c r="K1442" s="158"/>
      <c r="L1442" s="212"/>
    </row>
    <row r="1443" spans="3:12" ht="15.75" x14ac:dyDescent="0.25">
      <c r="C1443" s="244" t="s">
        <v>391</v>
      </c>
      <c r="D1443" s="208">
        <f t="shared" si="384"/>
        <v>137</v>
      </c>
      <c r="E1443" s="372" t="s">
        <v>192</v>
      </c>
      <c r="F1443" s="98">
        <f>SUMIF(E6:E1291,"Trafomec SRL",F6:F1291)</f>
        <v>0</v>
      </c>
      <c r="G1443" s="304">
        <f>SUMIF(E6:E1291,"Trafomec SRL",Z6:Z1291)</f>
        <v>0</v>
      </c>
      <c r="H1443" s="152">
        <f>SUMIFS(Z$6:Z$1291,E$6:E$1291,"Trafomec Srl",AG$6:AG$1291,"OK")</f>
        <v>0</v>
      </c>
      <c r="I1443" s="296"/>
      <c r="J1443" s="233"/>
      <c r="L1443" s="212"/>
    </row>
    <row r="1444" spans="3:12" ht="15.75" x14ac:dyDescent="0.25">
      <c r="D1444" s="208">
        <f t="shared" si="384"/>
        <v>138</v>
      </c>
      <c r="E1444" s="153" t="s">
        <v>238</v>
      </c>
      <c r="F1444" s="98">
        <f>SUMIF(E6:E1291,"trasfoproject",F6:F1291)</f>
        <v>4900</v>
      </c>
      <c r="G1444" s="304">
        <f>SUMIF(E6:E1291,"trasfoproject",Z6:Z1291)</f>
        <v>343</v>
      </c>
      <c r="H1444" s="152">
        <f>SUMIFS(Z$6:Z$1291,E$6:E$1291,"Trasfoproject",AG$6:AG$1291,"OK")</f>
        <v>0</v>
      </c>
      <c r="I1444" s="296">
        <f>SUMIFS(F$6:F$1291,E$6:E$1291,"trasfoproject",AG$6:AG$1291,"OK")</f>
        <v>0</v>
      </c>
      <c r="J1444" s="233"/>
      <c r="K1444" s="158"/>
      <c r="L1444" s="212"/>
    </row>
    <row r="1445" spans="3:12" ht="15.75" x14ac:dyDescent="0.25">
      <c r="D1445" s="208">
        <f t="shared" si="384"/>
        <v>139</v>
      </c>
      <c r="E1445" s="153" t="s">
        <v>169</v>
      </c>
      <c r="F1445" s="98">
        <f>SUMIF(E6:E1291,"trasfor",F6:F1291)</f>
        <v>0</v>
      </c>
      <c r="G1445" s="303">
        <f>SUMIF(E6:E1291,"trasfor",Z6:Z1291)</f>
        <v>0</v>
      </c>
      <c r="H1445" s="152">
        <f>SUMIFS(Z$6:Z$1291,E$6:E$1291,"Trasfor",AG$6:AG$1291,"OK")</f>
        <v>0</v>
      </c>
      <c r="I1445" s="296">
        <f>SUMIFS(F$6:F$1291,E$6:E$1291,"trasfor",AG$6:AG$1291,"OK")</f>
        <v>0</v>
      </c>
      <c r="J1445" s="233"/>
      <c r="L1445" s="212"/>
    </row>
    <row r="1446" spans="3:12" ht="15.75" x14ac:dyDescent="0.25">
      <c r="D1446" s="208">
        <f t="shared" si="384"/>
        <v>140</v>
      </c>
      <c r="E1446" s="153" t="s">
        <v>218</v>
      </c>
      <c r="F1446" s="98">
        <f>SUMIF(E6:E1291,"trasfotec",F6:F1291)</f>
        <v>0</v>
      </c>
      <c r="G1446" s="303">
        <f>SUMIF(E6:E1291,"trasfotec",Z6:Z1291)</f>
        <v>0</v>
      </c>
      <c r="H1446" s="152">
        <f>SUMIFS(Z$6:Z$1291,E$6:E$1291,"Trasfotec",AG$6:AG$1291,"OK")</f>
        <v>0</v>
      </c>
      <c r="I1446" s="296"/>
      <c r="J1446" s="233"/>
      <c r="L1446" s="212"/>
    </row>
    <row r="1447" spans="3:12" ht="15.75" x14ac:dyDescent="0.25">
      <c r="C1447" s="244" t="s">
        <v>273</v>
      </c>
      <c r="D1447" s="208">
        <f t="shared" ref="D1447:D1456" si="385">+D1446+1</f>
        <v>141</v>
      </c>
      <c r="E1447" s="374" t="s">
        <v>300</v>
      </c>
      <c r="F1447" s="98">
        <f>SUMIF(E6:E1291,"utk",F6:F1291)</f>
        <v>0</v>
      </c>
      <c r="G1447" s="303">
        <f>SUMIF(E6:E1291,"utk",Z6:Z1291)</f>
        <v>0</v>
      </c>
      <c r="H1447" s="152">
        <f>SUMIFS(Z$6:Z$1291,E$6:E$1291,"utk",AG$6:AG$1291,"OK")</f>
        <v>0</v>
      </c>
      <c r="I1447" s="296">
        <f>SUMIFS(F$6:F$1291,E$6:E$1291,"utk",AG$6:AG$1291,"OK")</f>
        <v>0</v>
      </c>
      <c r="J1447" s="233"/>
      <c r="K1447" s="158"/>
      <c r="L1447" s="212"/>
    </row>
    <row r="1448" spans="3:12" ht="15.75" x14ac:dyDescent="0.25">
      <c r="D1448" s="208">
        <f t="shared" si="385"/>
        <v>142</v>
      </c>
      <c r="E1448" s="153" t="s">
        <v>402</v>
      </c>
      <c r="F1448" s="98">
        <f>SUMIF(E$6:E$1291,"vallee",F$6:F$1291)</f>
        <v>2656</v>
      </c>
      <c r="G1448" s="303">
        <f>SUMIF(E$6:E$1291,"vallee",Z$6:Z$1291)</f>
        <v>422.34999999999997</v>
      </c>
      <c r="H1448" s="152">
        <f>SUMIFS(Z$6:Z$1291,E$6:E$1291,"Vallee",AG$6:AG$1291,"OK")</f>
        <v>302.34999999999997</v>
      </c>
      <c r="I1448" s="296">
        <f>SUMIFS(F$6:F$1291,E$6:E$1291,"vallee",AG$6:AG$1291,"OK")</f>
        <v>1856</v>
      </c>
      <c r="J1448" s="233"/>
      <c r="L1448" s="212"/>
    </row>
    <row r="1449" spans="3:12" ht="15.75" x14ac:dyDescent="0.25">
      <c r="C1449" s="244" t="s">
        <v>273</v>
      </c>
      <c r="D1449" s="208">
        <f t="shared" si="385"/>
        <v>143</v>
      </c>
      <c r="E1449" s="374" t="s">
        <v>337</v>
      </c>
      <c r="F1449" s="98">
        <f>SUMIF(E$6:E$1291,"varat",F$6:F$1291)</f>
        <v>0</v>
      </c>
      <c r="G1449" s="303">
        <f>SUMIF(E$6:E$1291,"varat",Z$6:Z$1291)</f>
        <v>0</v>
      </c>
      <c r="H1449" s="152">
        <f>SUMIFS(Z$6:Z$1291,E$6:E$1291,"Varat",AG$6:AG$1291,"OK")</f>
        <v>0</v>
      </c>
      <c r="I1449" s="296">
        <f>SUMIFS(F$6:F$1291,E$6:E$1291,"varat",AG$6:AG$1291,"OK")</f>
        <v>0</v>
      </c>
      <c r="J1449" s="233"/>
      <c r="L1449" s="212"/>
    </row>
    <row r="1450" spans="3:12" ht="15.75" x14ac:dyDescent="0.25">
      <c r="D1450" s="208">
        <f t="shared" si="385"/>
        <v>144</v>
      </c>
      <c r="E1450" s="153" t="s">
        <v>327</v>
      </c>
      <c r="F1450" s="98">
        <f>SUMIF(E$6:E$1291,"vazzoler",F$6:F$1291)</f>
        <v>0</v>
      </c>
      <c r="G1450" s="303">
        <f>SUMIF(E$6:E$1291,"vazzoler",Z$6:Z$1291)</f>
        <v>0</v>
      </c>
      <c r="H1450" s="152">
        <f>SUMIFS(Z$6:Z$1291,E$6:E$1291,"Vazzoler",AG$6:AG$1291,"OK")</f>
        <v>0</v>
      </c>
      <c r="I1450" s="296">
        <f>SUMIFS(F$6:F$1291,E$6:E$1291,"vazzoler",AG$6:AG$1291,"OK")</f>
        <v>0</v>
      </c>
      <c r="J1450" s="233"/>
      <c r="L1450" s="212"/>
    </row>
    <row r="1451" spans="3:12" ht="15.75" x14ac:dyDescent="0.25">
      <c r="C1451" s="244" t="s">
        <v>273</v>
      </c>
      <c r="D1451" s="208">
        <f t="shared" si="385"/>
        <v>145</v>
      </c>
      <c r="E1451" s="374" t="s">
        <v>366</v>
      </c>
      <c r="F1451" s="98">
        <f>SUMIF(E$6:E$1291,"WEG",F$6:F$1291)</f>
        <v>0</v>
      </c>
      <c r="G1451" s="303">
        <f>SUMIF(E$6:E$1291,"WEG",Z$6:Z$1291)</f>
        <v>0</v>
      </c>
      <c r="H1451" s="152">
        <f>SUMIFS(Z$6:Z$1291,E$6:E$1291,"WEG",AG$6:AG$1291,"OK")</f>
        <v>0</v>
      </c>
      <c r="I1451" s="296">
        <f>SUMIFS(F$6:F$1291,E$6:E$1291,"WEG",AG$6:AG$1291,"OK")</f>
        <v>0</v>
      </c>
      <c r="J1451" s="233"/>
      <c r="L1451" s="212"/>
    </row>
    <row r="1452" spans="3:12" ht="15.75" x14ac:dyDescent="0.25">
      <c r="D1452" s="208">
        <f t="shared" si="385"/>
        <v>146</v>
      </c>
      <c r="E1452" s="190" t="s">
        <v>117</v>
      </c>
      <c r="F1452" s="98">
        <f>SUMIF(E6:E1291,"Wetter",F6:F1291)</f>
        <v>0</v>
      </c>
      <c r="G1452" s="303">
        <f>SUMIF(E6:E1291,"Wetter",Z6:Z1291)</f>
        <v>0</v>
      </c>
      <c r="H1452" s="152">
        <f>SUMIFS(Z$6:Z$1291,E$6:E$1291,"Wetter",AG$6:AG$1291,"OK")</f>
        <v>0</v>
      </c>
      <c r="I1452" s="296"/>
      <c r="J1452" s="233"/>
      <c r="K1452" s="158"/>
      <c r="L1452" s="212"/>
    </row>
    <row r="1453" spans="3:12" ht="15.75" x14ac:dyDescent="0.25">
      <c r="D1453" s="208">
        <f t="shared" si="385"/>
        <v>147</v>
      </c>
      <c r="E1453" s="153" t="s">
        <v>248</v>
      </c>
      <c r="F1453" s="98">
        <f>SUMIF(E6:E1291,"Zanetti",F6:F1291)</f>
        <v>0</v>
      </c>
      <c r="G1453" s="303">
        <f>SUMIF(E6:E1291,"Zanetti",Z6:Z1291)</f>
        <v>0</v>
      </c>
      <c r="H1453" s="152">
        <f>SUMIFS(Z$6:Z$1291,E$6:E$1291,"Zanetti",AG$6:AG$1291,"OK")</f>
        <v>0</v>
      </c>
      <c r="I1453" s="296">
        <f>SUMIFS(F$6:F$1291,E$6:E$1291,"zANETTI",AG$6:AG$1291,"OK")</f>
        <v>0</v>
      </c>
      <c r="J1453" s="233"/>
      <c r="L1453" s="212"/>
    </row>
    <row r="1454" spans="3:12" ht="15.75" x14ac:dyDescent="0.25">
      <c r="C1454" s="244" t="s">
        <v>391</v>
      </c>
      <c r="D1454" s="208">
        <f t="shared" si="385"/>
        <v>148</v>
      </c>
      <c r="E1454" s="372" t="s">
        <v>299</v>
      </c>
      <c r="F1454" s="373">
        <f>SUMIF(E6:E1291,"Zennaro",F6:F1291)</f>
        <v>0</v>
      </c>
      <c r="G1454" s="303">
        <f>SUMIF(E6:E1291,"Zennaro",Z6:Z1291)</f>
        <v>0</v>
      </c>
      <c r="H1454" s="152">
        <f>SUMIFS(Z$6:Z$1291,E$6:E$1291,"Zennaro",AG$6:AG$1291,"OK")</f>
        <v>0</v>
      </c>
      <c r="I1454" s="296">
        <f>SUMIFS(F$6:F$1291,E$6:E$1291,"zennaro",AG$6:AG$1291,"OK")</f>
        <v>0</v>
      </c>
      <c r="J1454" s="233"/>
      <c r="L1454" s="212"/>
    </row>
    <row r="1455" spans="3:12" ht="15.75" x14ac:dyDescent="0.25">
      <c r="D1455" s="208">
        <f t="shared" si="385"/>
        <v>149</v>
      </c>
      <c r="E1455" s="371" t="s">
        <v>99</v>
      </c>
      <c r="F1455" s="98">
        <f>SUMIF(E6:E1291,"zucchiatti",F6:F1291)</f>
        <v>0</v>
      </c>
      <c r="G1455" s="303">
        <f>SUMIF(E6:E1291,"zucchiatti",Z6:Z1291)</f>
        <v>0</v>
      </c>
      <c r="H1455" s="152">
        <f>SUMIFS(Z$6:Z$1291,E$6:E$1291,"Zucchiatti",AG$6:AG$1291,"OK")</f>
        <v>0</v>
      </c>
      <c r="I1455" s="296">
        <f>SUMIFS(F$6:F$1291,E$6:E$1291,"zucchiatti",AG$6:AG$1291,"OK")</f>
        <v>0</v>
      </c>
      <c r="J1455" s="233"/>
      <c r="L1455" s="212"/>
    </row>
    <row r="1456" spans="3:12" ht="15.75" x14ac:dyDescent="0.25">
      <c r="D1456" s="208">
        <f t="shared" si="385"/>
        <v>150</v>
      </c>
      <c r="E1456" s="153" t="s">
        <v>312</v>
      </c>
      <c r="F1456" s="98">
        <f>SUMIF(E6:E1291,"zurc",F6:F1291)</f>
        <v>0</v>
      </c>
      <c r="G1456" s="303">
        <f>SUMIF(E6:E1291,"zurc",Z6:Z1291)</f>
        <v>0</v>
      </c>
      <c r="H1456" s="152">
        <f>SUMIFS(Z$6:Z$1291,E$6:E$1291,"Zurc",AG$6:AG$1291,"OK")</f>
        <v>0</v>
      </c>
      <c r="I1456" s="296">
        <f>SUMIFS(F$6:F$1291,E$6:E$1291,"zurc",AG$6:AG$1291,"OK")</f>
        <v>0</v>
      </c>
      <c r="J1456" s="233"/>
      <c r="L1456" s="212"/>
    </row>
    <row r="1457" spans="5:26" ht="15.75" thickBot="1" x14ac:dyDescent="0.3">
      <c r="E1457" s="178"/>
      <c r="F1457" s="98"/>
      <c r="G1457" s="281"/>
      <c r="H1457" s="283"/>
      <c r="I1457" s="297"/>
      <c r="J1457" s="158"/>
    </row>
    <row r="1458" spans="5:26" ht="15.75" thickBot="1" x14ac:dyDescent="0.3">
      <c r="E1458" s="177" t="s">
        <v>196</v>
      </c>
      <c r="F1458" s="284">
        <f>SUM(F1298:F1457)</f>
        <v>565669</v>
      </c>
      <c r="G1458" s="285">
        <f>SUM(G1297:G1457)</f>
        <v>37830.270000000004</v>
      </c>
      <c r="H1458" s="292">
        <f>SUM(H1297:H1457)</f>
        <v>14412.380000000001</v>
      </c>
      <c r="I1458" s="293">
        <f>SUM(I1297:I1457)</f>
        <v>215356</v>
      </c>
      <c r="J1458" s="81"/>
      <c r="L1458" s="158"/>
    </row>
    <row r="1459" spans="5:26" x14ac:dyDescent="0.25">
      <c r="F1459" s="158">
        <f>+F1458-F1292</f>
        <v>0</v>
      </c>
      <c r="G1459" s="81"/>
      <c r="H1459" s="158"/>
      <c r="I1459" s="158"/>
      <c r="X1459" s="245"/>
    </row>
    <row r="1460" spans="5:26" ht="15.75" thickBot="1" x14ac:dyDescent="0.3">
      <c r="F1460" s="158"/>
      <c r="G1460" s="158"/>
      <c r="H1460" s="158"/>
      <c r="I1460" s="158"/>
    </row>
    <row r="1461" spans="5:26" x14ac:dyDescent="0.25">
      <c r="E1461" s="236" t="s">
        <v>266</v>
      </c>
      <c r="F1461" s="234">
        <f>COUNTA(E1297:E1457)</f>
        <v>159</v>
      </c>
    </row>
    <row r="1462" spans="5:26" x14ac:dyDescent="0.25">
      <c r="E1462" s="242" t="s">
        <v>267</v>
      </c>
      <c r="F1462" s="243">
        <f>COUNTIF(F1297:F1457,"&gt;0")</f>
        <v>38</v>
      </c>
      <c r="H1462" s="81"/>
    </row>
    <row r="1463" spans="5:26" x14ac:dyDescent="0.25">
      <c r="E1463" s="242" t="s">
        <v>272</v>
      </c>
      <c r="F1463" s="243">
        <f>COUNTIF(C1297:C1457,"p")</f>
        <v>35</v>
      </c>
      <c r="I1463" s="158"/>
    </row>
    <row r="1464" spans="5:26" ht="15.75" thickBot="1" x14ac:dyDescent="0.3">
      <c r="E1464" s="237" t="s">
        <v>274</v>
      </c>
      <c r="F1464" s="235">
        <f>+F1461-F1463</f>
        <v>124</v>
      </c>
    </row>
    <row r="1465" spans="5:26" x14ac:dyDescent="0.25">
      <c r="F1465" s="158"/>
    </row>
    <row r="1466" spans="5:26" ht="15.75" thickBot="1" x14ac:dyDescent="0.3">
      <c r="F1466" s="158"/>
    </row>
    <row r="1467" spans="5:26" ht="15.75" thickBot="1" x14ac:dyDescent="0.3">
      <c r="F1467" s="412" t="s">
        <v>4</v>
      </c>
      <c r="G1467" s="413"/>
      <c r="H1467" s="414"/>
      <c r="I1467" s="412" t="s">
        <v>6</v>
      </c>
      <c r="J1467" s="413"/>
      <c r="K1467" s="414"/>
      <c r="L1467" s="274" t="s">
        <v>5</v>
      </c>
      <c r="M1467" s="275"/>
      <c r="N1467" s="275"/>
      <c r="O1467" s="275"/>
      <c r="P1467" s="275"/>
      <c r="Q1467" s="275"/>
      <c r="R1467" s="275"/>
      <c r="S1467" s="275"/>
      <c r="T1467" s="275"/>
      <c r="U1467" s="275"/>
      <c r="V1467" s="275"/>
      <c r="W1467" s="275"/>
      <c r="X1467" s="274" t="s">
        <v>173</v>
      </c>
      <c r="Y1467" s="275"/>
      <c r="Z1467" s="328"/>
    </row>
    <row r="1468" spans="5:26" ht="15.75" thickBot="1" x14ac:dyDescent="0.3">
      <c r="E1468" s="179" t="s">
        <v>201</v>
      </c>
      <c r="F1468" s="226" t="str">
        <f>IF(F1481+I1481+L1481+X1481=F1292,"Kg","Errore")</f>
        <v>Errore</v>
      </c>
      <c r="G1468" s="226" t="str">
        <f>IF(G1481+J1481+V1481+Y1481=Z1292,"Commissioni","Errore")</f>
        <v>Errore</v>
      </c>
      <c r="H1468" s="227" t="s">
        <v>203</v>
      </c>
      <c r="I1468" s="226" t="s">
        <v>202</v>
      </c>
      <c r="J1468" s="226" t="s">
        <v>200</v>
      </c>
      <c r="K1468" s="227" t="s">
        <v>203</v>
      </c>
      <c r="L1468" s="226" t="s">
        <v>202</v>
      </c>
      <c r="V1468" s="226" t="s">
        <v>200</v>
      </c>
      <c r="W1468" s="227" t="s">
        <v>203</v>
      </c>
      <c r="X1468" s="247" t="s">
        <v>202</v>
      </c>
      <c r="Y1468" s="226" t="s">
        <v>200</v>
      </c>
      <c r="Z1468" s="227" t="s">
        <v>203</v>
      </c>
    </row>
    <row r="1469" spans="5:26" x14ac:dyDescent="0.25">
      <c r="E1469" s="330"/>
      <c r="F1469" s="331">
        <f>SUMIFS($F$6:$F$1291,$G$6:$G$1291,"alluminio",$L$6:$L$1291,"")</f>
        <v>0</v>
      </c>
      <c r="G1469" s="332">
        <f>SUMIFS($Z$6:$Z$1291,$G$6:$G$1291,"alluminio",$L$6:$L$1291,"")</f>
        <v>0</v>
      </c>
      <c r="H1469" s="333">
        <f>+F1469*E1469</f>
        <v>0</v>
      </c>
      <c r="I1469" s="331">
        <f>SUMIFS($F$6:$F$1291,$G$6:$G$1291,"rame",$L$6:$L$1291,"")</f>
        <v>0</v>
      </c>
      <c r="J1469" s="332">
        <f>SUMIFS($Z$6:$Z$1291,$G$6:$G$1291,"RAME",$L$6:$L$1291,"")</f>
        <v>0</v>
      </c>
      <c r="K1469" s="333">
        <f>+I1469*E1469</f>
        <v>0</v>
      </c>
      <c r="L1469" s="334">
        <f>SUMIFS($F$6:$F$1291,$G$6:$G$1291,"ottone",$L$6:$L$1291,"")</f>
        <v>0</v>
      </c>
      <c r="V1469" s="332">
        <f>SUMIFS($Z$6:$Z$1291,$G$6:$G$1291,"ottone",$L$6:$L$1291,"")</f>
        <v>0</v>
      </c>
      <c r="W1469" s="333">
        <f t="shared" ref="W1469:W1480" si="386">+L1469*E1469</f>
        <v>0</v>
      </c>
      <c r="X1469" s="334">
        <f>SUMIFS($F$6:$F$1291,$G$6:$G$1291,"Bronzo",$L$6:$L$1291,"")</f>
        <v>0</v>
      </c>
      <c r="Y1469" s="332">
        <f>SUMIFS($Z$6:$Z$1291,$G$6:$G$1291,"bronzo",$L$6:$L$1291,"")</f>
        <v>0</v>
      </c>
      <c r="Z1469" s="333">
        <f t="shared" ref="Z1469:Z1480" si="387">+X1469*E1469</f>
        <v>0</v>
      </c>
    </row>
    <row r="1470" spans="5:26" x14ac:dyDescent="0.25">
      <c r="E1470" s="223">
        <v>0.04</v>
      </c>
      <c r="F1470" s="230">
        <f>SUMIFS($F$6:$F$1291,$G$6:$G$1291,"alluminio",$L$6:$L$1291,0.04)</f>
        <v>3730</v>
      </c>
      <c r="G1470" s="224">
        <f>SUMIFS($Z$6:$Z$1291,$G$6:$G$1291,"alluminio",$L$6:$L$1291,0.04)</f>
        <v>149.20000000000002</v>
      </c>
      <c r="H1470" s="225">
        <f>+F1470*E1470</f>
        <v>149.20000000000002</v>
      </c>
      <c r="I1470" s="230">
        <f>SUMIFS($F$6:$F$1291,$G$6:$G$1291,"rame",$L$6:$L$1291,0.04)</f>
        <v>0</v>
      </c>
      <c r="J1470" s="224">
        <f>SUMIFS($Z$6:$Z$1291,$G$6:$G$1291,"RAME",$L$6:$L$1291,0.04)</f>
        <v>0</v>
      </c>
      <c r="K1470" s="225">
        <f t="shared" ref="K1470:K1480" si="388">+I1470*E1470</f>
        <v>0</v>
      </c>
      <c r="L1470" s="329">
        <f>SUMIFS($F$6:$F$1291,$G$6:$G$1291,"ottone",$L$6:$L$1291,0.04)</f>
        <v>0</v>
      </c>
      <c r="M1470" s="289"/>
      <c r="N1470" s="289"/>
      <c r="O1470" s="289"/>
      <c r="P1470" s="289"/>
      <c r="Q1470" s="289"/>
      <c r="R1470" s="289"/>
      <c r="S1470" s="289"/>
      <c r="T1470" s="289"/>
      <c r="U1470" s="289"/>
      <c r="V1470" s="224">
        <f>SUMIFS($Z$6:$Z$1291,$G$6:$G$1291,"ottone",$L$6:$L$1291,0.04)</f>
        <v>0</v>
      </c>
      <c r="W1470" s="225">
        <f t="shared" si="386"/>
        <v>0</v>
      </c>
      <c r="X1470" s="253">
        <f>SUMIFS($F$6:$F$1291,$G$6:$G$1291,"Bronzo",$L$6:$L$1291,0.04)</f>
        <v>0</v>
      </c>
      <c r="Y1470" s="224">
        <f>SUMIFS($Z$6:$Z$1291,$G$6:$G$1291,"bronzo",$L$6:$L$1291,0.04)</f>
        <v>0</v>
      </c>
      <c r="Z1470" s="225">
        <f t="shared" si="387"/>
        <v>0</v>
      </c>
    </row>
    <row r="1471" spans="5:26" x14ac:dyDescent="0.25">
      <c r="E1471" s="223">
        <v>0.05</v>
      </c>
      <c r="F1471" s="230">
        <f>SUMIFS($F$6:$F$1291,$G$6:$G$1291,"alluminio",$L$6:$L$1291,0.05)</f>
        <v>185346</v>
      </c>
      <c r="G1471" s="224">
        <f>SUMIFS($Z$6:$Z$1291,$G$6:$G$1291,"alluminio",$L$6:$L$1291,0.05)</f>
        <v>9267.3000000000011</v>
      </c>
      <c r="H1471" s="225">
        <f>+F1471*E1471</f>
        <v>9267.3000000000011</v>
      </c>
      <c r="I1471" s="230">
        <f>SUMIFS($F$6:$F$1291,$G$6:$G$1291,"rame",$L$6:$L$1291,0.05)</f>
        <v>500</v>
      </c>
      <c r="J1471" s="224">
        <f>SUMIFS($Z$6:$Z$1291,$G$6:$G$1291,"RAME",$L$6:$L$1291,0.05)</f>
        <v>25</v>
      </c>
      <c r="K1471" s="225">
        <f t="shared" si="388"/>
        <v>25</v>
      </c>
      <c r="L1471" s="230">
        <f>SUMIFS($F$6:$F$1291,$G$6:$G$1291,"ottone",$L$6:$L$1291,0.05)</f>
        <v>0</v>
      </c>
      <c r="V1471" s="224">
        <f>SUMIFS($Z$6:$Z$1291,$G$6:$G$1291,"ottone",$L$6:$L$1291,0.05)</f>
        <v>0</v>
      </c>
      <c r="W1471" s="225">
        <f t="shared" si="386"/>
        <v>0</v>
      </c>
      <c r="X1471" s="253">
        <f>SUMIFS($F$6:$F$1291,$G$6:$G$1291,"bronzo",$L$6:$L$1291,0.05)</f>
        <v>0</v>
      </c>
      <c r="Y1471" s="224">
        <f>SUMIFS($Z$6:$Z$1291,$G$6:$G$1291,"bronzo",$L$6:$L$1291,0.05)</f>
        <v>0</v>
      </c>
      <c r="Z1471" s="225">
        <f t="shared" si="387"/>
        <v>0</v>
      </c>
    </row>
    <row r="1472" spans="5:26" x14ac:dyDescent="0.25">
      <c r="E1472" s="223">
        <v>0.06</v>
      </c>
      <c r="F1472" s="230">
        <f>SUMIFS($F$6:$F$1291,$G$6:$G$1291,"alluminio",$L$6:$L$1291,0.06)</f>
        <v>0</v>
      </c>
      <c r="G1472" s="224">
        <f>SUMIFS($Z$6:$Z$1291,$G$6:$G$1291,"alluminio",$L$6:$L$1291,0.06)</f>
        <v>0</v>
      </c>
      <c r="H1472" s="225">
        <f>+F1472*E1472</f>
        <v>0</v>
      </c>
      <c r="I1472" s="230">
        <f>SUMIFS($F$6:$F$1291,$G$6:$G$1291,"rame",$L$6:$L$1291,0.06)</f>
        <v>0</v>
      </c>
      <c r="J1472" s="224">
        <f>SUMIFS($Z$6:$Z$1291,$G$6:$G$1291,"RAME",$L$6:$L$1291,0.06)</f>
        <v>0</v>
      </c>
      <c r="K1472" s="225">
        <f>+I1472*E1472</f>
        <v>0</v>
      </c>
      <c r="L1472" s="230">
        <f>SUMIFS($F$6:$F$1291,$G$6:$G$1291,"ottone",$L$6:$L$1291,0.06)</f>
        <v>0</v>
      </c>
      <c r="V1472" s="224">
        <f>SUMIFS($Z$6:$Z$1291,$G$6:$G$1291,"ottone",$L$6:$L$1291,0.06)</f>
        <v>0</v>
      </c>
      <c r="W1472" s="225">
        <f t="shared" si="386"/>
        <v>0</v>
      </c>
      <c r="X1472" s="253">
        <f>SUMIFS($F$6:$F$1291,$G$6:$G$1291,"bronzo",$L$6:$L$1291,0.06)</f>
        <v>0</v>
      </c>
      <c r="Y1472" s="224">
        <f>SUMIFS($Z$6:$Z$1291,$G$6:$G$1291,"bronzo",$L$6:$L$1291,0.06)</f>
        <v>0</v>
      </c>
      <c r="Z1472" s="225">
        <f t="shared" si="387"/>
        <v>0</v>
      </c>
    </row>
    <row r="1473" spans="5:26" x14ac:dyDescent="0.25">
      <c r="E1473" s="223">
        <v>7.0000000000000007E-2</v>
      </c>
      <c r="F1473" s="230">
        <f>SUMIFS($F$6:$F$1291,$G$6:$G$1291,"alluminio",$L$6:$L$1291,0.07)</f>
        <v>270969</v>
      </c>
      <c r="G1473" s="224">
        <f>SUMIFS($Z$6:$Z$1291,$G$6:$G$1291,"alluminio",$L$6:$L$1291,0.07)</f>
        <v>18967.829999999998</v>
      </c>
      <c r="H1473" s="225">
        <f t="shared" ref="H1473:H1480" si="389">+F1473*E1473</f>
        <v>18967.830000000002</v>
      </c>
      <c r="I1473" s="230">
        <f>SUMIFS($F$6:$F$1291,$G$6:$G$1291,"rame",$L$6:$L$1291,0.07)</f>
        <v>0</v>
      </c>
      <c r="J1473" s="224">
        <f>SUMIFS($Z$6:$Z$1291,$G$6:$G$1291,"RAME",$L$6:$L$1291,0.07)</f>
        <v>0</v>
      </c>
      <c r="K1473" s="225">
        <f t="shared" si="388"/>
        <v>0</v>
      </c>
      <c r="L1473" s="230">
        <f>SUMIFS($F$6:$F$1291,$G$6:$G$1291,"ottone",$L$6:$L$1291,0.07)</f>
        <v>0</v>
      </c>
      <c r="V1473" s="251">
        <f>SUMIFS($Z$6:$Z$1291,$G$6:$G$1291,"ottone",$L$6:$L$1291,0.07)</f>
        <v>0</v>
      </c>
      <c r="W1473" s="252">
        <f t="shared" si="386"/>
        <v>0</v>
      </c>
      <c r="X1473" s="253">
        <f>SUMIFS($F$6:$F$1291,$G$6:$G$1291,"bronzo",$L$6:$L$1291,0.07)</f>
        <v>0</v>
      </c>
      <c r="Y1473" s="224">
        <f>SUMIFS($Z$6:$Z$1291,$G$6:$G$1291,"bronzo",$L$6:$L$1291,0.07)</f>
        <v>0</v>
      </c>
      <c r="Z1473" s="225">
        <f t="shared" si="387"/>
        <v>0</v>
      </c>
    </row>
    <row r="1474" spans="5:26" x14ac:dyDescent="0.25">
      <c r="E1474" s="184">
        <v>0.1</v>
      </c>
      <c r="F1474" s="250">
        <f>SUMIFS($F$6:$F$1291,$G$6:$G$1291,"alluminio",$L$6:$L$1291,0.1)</f>
        <v>19785</v>
      </c>
      <c r="G1474" s="180">
        <f>SUMIFS($Z$6:$Z$1291,$G$6:$G$1291,"alluminio",$L$6:$L$1291,0.1)</f>
        <v>1978.5</v>
      </c>
      <c r="H1474" s="181">
        <f t="shared" si="389"/>
        <v>1978.5</v>
      </c>
      <c r="I1474" s="250">
        <f>SUMIFS($F$6:$F$1291,$G$6:$G$1291,"RAME",$L$6:$L$1291,0.1)</f>
        <v>15618</v>
      </c>
      <c r="J1474" s="180">
        <f>SUMIFS($Z$6:$Z$1291,$G$6:$G$1291,"RAME",$L$6:$L$1291,0.1)</f>
        <v>1561.8</v>
      </c>
      <c r="K1474" s="181">
        <f t="shared" si="388"/>
        <v>1561.8000000000002</v>
      </c>
      <c r="L1474" s="250">
        <f>SUMIFS($F$6:$F$1291,$G$6:$G$1291,"ottone",$L$6:$L$1291,0.1)</f>
        <v>1120</v>
      </c>
      <c r="V1474" s="254">
        <f>SUMIFS($Z$6:$Z$1291,$G$6:$G$1291,"ottone",$L$6:$L$1291,0.1)</f>
        <v>112</v>
      </c>
      <c r="W1474" s="255">
        <f t="shared" si="386"/>
        <v>112</v>
      </c>
      <c r="X1474" s="256">
        <f>SUMIFS($F$6:$F$1291,$G$6:$G$1291,"bronzo",$L$6:$L$1291,0.1)</f>
        <v>0</v>
      </c>
      <c r="Y1474" s="180">
        <f>SUMIFS($Z$6:$Z$1291,$G$6:$G$1291,"bronzo",$L$6:$L$1291,0.1)</f>
        <v>0</v>
      </c>
      <c r="Z1474" s="181">
        <f t="shared" si="387"/>
        <v>0</v>
      </c>
    </row>
    <row r="1475" spans="5:26" x14ac:dyDescent="0.25">
      <c r="E1475" s="185">
        <v>0.15</v>
      </c>
      <c r="F1475" s="231">
        <f>SUMIFS($F$6:$F$1291,$G$6:$G$1291,"alluminio",$L$6:$L$1291,0.15)</f>
        <v>0</v>
      </c>
      <c r="G1475" s="228">
        <f>SUMIFS($Z$6:$Z$1291,$G$6:$G$1291,"alluminio",$L$6:$L$1291,0.15)</f>
        <v>0</v>
      </c>
      <c r="H1475" s="229">
        <f t="shared" si="389"/>
        <v>0</v>
      </c>
      <c r="I1475" s="231">
        <f>SUMIFS($F$6:$F$1291,$G$6:$G$1291,"RAME",$L$6:$L$1291,0.15)</f>
        <v>11926</v>
      </c>
      <c r="J1475" s="228">
        <f>SUMIFS($Z$6:$Z$1291,$G$6:$G$1291,"RAME",$L$6:$L$1291,0.15)</f>
        <v>1788.9</v>
      </c>
      <c r="K1475" s="229">
        <f t="shared" si="388"/>
        <v>1788.8999999999999</v>
      </c>
      <c r="L1475" s="231">
        <f>SUMIFS($F$6:$F$1291,$G$6:$G$1291,"ottone",$L$6:$L$1291,0.15)</f>
        <v>4500</v>
      </c>
      <c r="V1475" s="228">
        <f>SUMIFS($Z$6:$Z$1291,$G$6:$G$1291,"ottone",$L$6:$L$1291,0.15)</f>
        <v>675</v>
      </c>
      <c r="W1475" s="229">
        <f t="shared" si="386"/>
        <v>675</v>
      </c>
      <c r="X1475" s="248">
        <f>SUMIFS($F$6:$F$1291,$G$6:$G$1291,"bronzo",$L$6:$L$1291,0.15)</f>
        <v>0</v>
      </c>
      <c r="Y1475" s="228">
        <f>SUMIFS($Z$6:$Z$1291,$G$6:$G$1291,"bronzo",$L$6:$L$1291,0.15)</f>
        <v>0</v>
      </c>
      <c r="Z1475" s="229">
        <f t="shared" si="387"/>
        <v>0</v>
      </c>
    </row>
    <row r="1476" spans="5:26" x14ac:dyDescent="0.25">
      <c r="E1476" s="185">
        <v>0.2</v>
      </c>
      <c r="F1476" s="231">
        <f>SUMIFS($F$6:$F$1291,$G$6:$G$1291,"alluminio",$L$6:$L$1291,0.2)</f>
        <v>689</v>
      </c>
      <c r="G1476" s="228">
        <f>SUMIFS($Z$6:$Z$1291,$G$6:$G$1291,"alluminio",$L$6:$L$1291,0.2)</f>
        <v>137.80000000000001</v>
      </c>
      <c r="H1476" s="229">
        <f t="shared" si="389"/>
        <v>137.80000000000001</v>
      </c>
      <c r="I1476" s="231">
        <f>SUMIFS($F$6:$F$1291,$G$6:$G$1291,"RAME",$L$6:$L$1291,0.2)</f>
        <v>479</v>
      </c>
      <c r="J1476" s="228">
        <f>SUMIFS($Z$6:$Z$1291,$G$6:$G$1291,"RAME",$L$6:$L$1291,0.2)</f>
        <v>95.800000000000011</v>
      </c>
      <c r="K1476" s="229">
        <f t="shared" si="388"/>
        <v>95.800000000000011</v>
      </c>
      <c r="L1476" s="231">
        <f>SUMIFS($F$6:$F$1291,$G$6:$G$1291,"ottone",$L$6:$L$1291,0.2)</f>
        <v>0</v>
      </c>
      <c r="V1476" s="228">
        <f>SUMIFS($Z$6:$Z$1291,$G$6:$G$1291,"OTTONE",$L$6:$L$1291,0.2)</f>
        <v>0</v>
      </c>
      <c r="W1476" s="229">
        <f t="shared" si="386"/>
        <v>0</v>
      </c>
      <c r="X1476" s="248">
        <f>SUMIFS($F$6:$F$1291,$G$6:$G$1291,"bronzo",$L$6:$L$1291,0.2)</f>
        <v>0</v>
      </c>
      <c r="Y1476" s="228">
        <f>SUMIFS($Z$6:$Z$1291,$G$6:$G$1291,"bronzo",$L$6:$L$1291,0.2)</f>
        <v>0</v>
      </c>
      <c r="Z1476" s="229">
        <f t="shared" si="387"/>
        <v>0</v>
      </c>
    </row>
    <row r="1477" spans="5:26" x14ac:dyDescent="0.25">
      <c r="E1477" s="185">
        <v>0.25</v>
      </c>
      <c r="F1477" s="231">
        <f>SUMIFS($F$6:$F$1291,$G$6:$G$1291,"alluminio",$L$6:$L$1291,0.25)</f>
        <v>0</v>
      </c>
      <c r="G1477" s="228">
        <f>SUMIFS($Z$6:$Z$1291,$G$6:$G$1291,"alluminio",$L$6:$L$1291,0.25)</f>
        <v>0</v>
      </c>
      <c r="H1477" s="229">
        <f t="shared" si="389"/>
        <v>0</v>
      </c>
      <c r="I1477" s="231">
        <f>SUMIFS($F$6:$F$1291,$G$6:$G$1291,"RAME",$L$6:$L$1291,0.25)</f>
        <v>0</v>
      </c>
      <c r="J1477" s="228">
        <f>SUMIFS($Z$6:$Z$1291,$G$6:$G$1291,"RAME",$L$6:$L$1291,0.25)</f>
        <v>0</v>
      </c>
      <c r="K1477" s="229">
        <f t="shared" si="388"/>
        <v>0</v>
      </c>
      <c r="L1477" s="231">
        <f>SUMIFS($F$6:$F$1291,$G$6:$G$1291,"ottone",$L$6:$L$1291,0.25)</f>
        <v>0</v>
      </c>
      <c r="V1477" s="228">
        <f>SUMIFS($Z$6:$Z$1291,$G$6:$G$1291,"OTTONE",$L$6:$L$1291,0.3)</f>
        <v>0</v>
      </c>
      <c r="W1477" s="229">
        <f t="shared" si="386"/>
        <v>0</v>
      </c>
      <c r="X1477" s="248">
        <f>SUMIFS($F$6:$F$1291,$G$6:$G$1291,"bronzo",$L$6:$L$1291,30)</f>
        <v>0</v>
      </c>
      <c r="Y1477" s="228">
        <f>SUMIFS($Z$6:$Z$1291,$G$6:$G$1291,"bronzo",$L$6:$L$1291,0.3)</f>
        <v>0</v>
      </c>
      <c r="Z1477" s="229">
        <f t="shared" si="387"/>
        <v>0</v>
      </c>
    </row>
    <row r="1478" spans="5:26" x14ac:dyDescent="0.25">
      <c r="E1478" s="185">
        <v>0.3</v>
      </c>
      <c r="F1478" s="231">
        <f>SUMIFS($F$6:$F$1291,$G$6:$G$1291,"alluminio",$L$6:$L$1291,0.3)</f>
        <v>1119</v>
      </c>
      <c r="G1478" s="228">
        <f>SUMIFS($Z$6:$Z$1291,$G$6:$G$1291,"alluminio",$L$6:$L$1291,0.3)</f>
        <v>335.7</v>
      </c>
      <c r="H1478" s="229">
        <f>+F1478*E1478</f>
        <v>335.7</v>
      </c>
      <c r="I1478" s="231">
        <f>SUMIFS($F$6:$F$1291,$G$6:$G$1291,"RAME",$L$6:$L$1291,0.3)</f>
        <v>0</v>
      </c>
      <c r="J1478" s="228">
        <f>SUMIFS($Z$6:$Z$1291,$G$6:$G$1291,"RAME",$L$6:$L$1291,0.3)</f>
        <v>0</v>
      </c>
      <c r="K1478" s="229">
        <f>+I1478*E1478</f>
        <v>0</v>
      </c>
      <c r="L1478" s="231">
        <f>SUMIFS($F$6:$F$1291,$G$6:$G$1291,"ottone",$L$6:$L$1291,0.3)</f>
        <v>0</v>
      </c>
      <c r="V1478" s="228">
        <f>SUMIFS($Z$6:$Z$1291,$G$6:$G$1291,"OTTONE",$L$6:$L$1291,0.25)</f>
        <v>0</v>
      </c>
      <c r="W1478" s="229">
        <f t="shared" si="386"/>
        <v>0</v>
      </c>
      <c r="X1478" s="248">
        <f>SUMIFS($F$6:$F$1291,$G$6:$G$1291,"bronzo",$L$6:$L$1291,0.25)</f>
        <v>0</v>
      </c>
      <c r="Y1478" s="228">
        <f>SUMIFS($Z$6:$Z$1291,$G$6:$G$1291,"bronzo",$L$6:$L$1291,0.25)</f>
        <v>0</v>
      </c>
      <c r="Z1478" s="229">
        <f t="shared" si="387"/>
        <v>0</v>
      </c>
    </row>
    <row r="1479" spans="5:26" x14ac:dyDescent="0.25">
      <c r="E1479" s="185">
        <v>0.35</v>
      </c>
      <c r="F1479" s="231">
        <f>SUMIFS($F$6:$F$1291,$G$6:$G$1291,"alluminio",$L$6:$L$1291,0.35)</f>
        <v>0</v>
      </c>
      <c r="G1479" s="228">
        <f>SUMIFS($Z$6:$Z$1291,$G$6:$G$1291,"alluminio",$L$6:$L$1291,0.35)</f>
        <v>0</v>
      </c>
      <c r="H1479" s="229">
        <f t="shared" si="389"/>
        <v>0</v>
      </c>
      <c r="I1479" s="231">
        <f>SUMIFS($F$6:$F$1291,$G$6:$G$1291,"RAME",$L$6:$L$1291,0.35)</f>
        <v>0</v>
      </c>
      <c r="J1479" s="228">
        <f>SUMIFS($Z$6:$Z$1291,$G$6:$G$1291,"RAME",$L$6:$L$1291,0.35)</f>
        <v>0</v>
      </c>
      <c r="K1479" s="229">
        <f t="shared" si="388"/>
        <v>0</v>
      </c>
      <c r="L1479" s="231">
        <f>SUMIFS($F$6:$F$1291,$G$6:$G$1291,"ottone",$L$6:$L$1291,0.35)</f>
        <v>0</v>
      </c>
      <c r="V1479" s="228">
        <f>SUMIFS($Z$6:$Z$1291,$G$6:$G$1291,"OTTONE",$L$6:$L$1291,0.35)</f>
        <v>0</v>
      </c>
      <c r="W1479" s="229">
        <f t="shared" si="386"/>
        <v>0</v>
      </c>
      <c r="X1479" s="248">
        <f>SUMIFS($F$6:$F$1291,$G$6:$G$1291,"bronzo",$L$6:$L$1291,0.35)</f>
        <v>0</v>
      </c>
      <c r="Y1479" s="228">
        <f>SUMIFS($Z$6:$Z$1291,$G$6:$G$1291,"bronzo",$L$6:$L$1291,0.35)</f>
        <v>0</v>
      </c>
      <c r="Z1479" s="229">
        <f t="shared" si="387"/>
        <v>0</v>
      </c>
    </row>
    <row r="1480" spans="5:26" ht="15.75" thickBot="1" x14ac:dyDescent="0.3">
      <c r="E1480" s="185">
        <v>0.55000000000000004</v>
      </c>
      <c r="F1480" s="232">
        <f>SUMIFS($F$6:$F$1291,$G$6:$G$1291,"alluminio",$L$6:$L$1291,0.55)</f>
        <v>0</v>
      </c>
      <c r="G1480" s="182">
        <f>SUMIFS($Z$6:$Z$1291,$G$6:$G$1291,"alluminio",$L$6:$L$1291,0.55)</f>
        <v>0</v>
      </c>
      <c r="H1480" s="183">
        <f t="shared" si="389"/>
        <v>0</v>
      </c>
      <c r="I1480" s="232">
        <f>SUMIFS($F$6:$F$1291,$G$6:$G$1291,"RAME",$L$6:$L$1291,0.55)</f>
        <v>0</v>
      </c>
      <c r="J1480" s="182">
        <f>SUMIFS($Z$6:$Z$1291,$G$6:$G$1291,"RAME",$L$6:$L$1291,0.55)</f>
        <v>0</v>
      </c>
      <c r="K1480" s="183">
        <f t="shared" si="388"/>
        <v>0</v>
      </c>
      <c r="L1480" s="232">
        <f>SUMIFS($F$6:$F$1291,$G$6:$G$1291,"ottone",$L$6:$L$1291,0.55)</f>
        <v>0</v>
      </c>
      <c r="V1480" s="182">
        <f>SUMIFS($Z$6:$Z$1291,$G$6:$G$1291,"OTTONE",$L$6:$L$1291,0.55)</f>
        <v>0</v>
      </c>
      <c r="W1480" s="183">
        <f t="shared" si="386"/>
        <v>0</v>
      </c>
      <c r="X1480" s="249">
        <f>SUMIFS($F$6:$F$1291,$G$6:$G$1291,"bronzo",$L$6:$L$1291,0.55)</f>
        <v>0</v>
      </c>
      <c r="Y1480" s="182">
        <f>SUMIFS($Z$6:$Z$1291,$G$6:$G$1291,"bronzo",$L$6:$L$1291,0.55)</f>
        <v>0</v>
      </c>
      <c r="Z1480" s="183">
        <f t="shared" si="387"/>
        <v>0</v>
      </c>
    </row>
    <row r="1481" spans="5:26" ht="15.75" thickBot="1" x14ac:dyDescent="0.3">
      <c r="E1481" s="71"/>
      <c r="F1481" s="186">
        <f>SUM(F1469:F1480)</f>
        <v>481638</v>
      </c>
      <c r="G1481" s="187">
        <f>SUM(G1470:G1480)</f>
        <v>30836.33</v>
      </c>
      <c r="H1481" s="188">
        <f>SUM(H1470:H1480)</f>
        <v>30836.33</v>
      </c>
      <c r="I1481" s="186">
        <f>SUM(I1469:I1480)</f>
        <v>28523</v>
      </c>
      <c r="J1481" s="187">
        <f>SUM(J1469:J1480)</f>
        <v>3471.5</v>
      </c>
      <c r="K1481" s="188">
        <f>SUM(K1469:K1480)</f>
        <v>3471.5</v>
      </c>
      <c r="L1481" s="186">
        <f>SUM(L1469:P1480)</f>
        <v>5620</v>
      </c>
      <c r="V1481" s="187">
        <f>SUM(V1469:V1480)</f>
        <v>787</v>
      </c>
      <c r="W1481" s="246">
        <f>SUM(W1469:W1480)</f>
        <v>787</v>
      </c>
      <c r="X1481" s="186">
        <f>SUM(X1469:X1480)</f>
        <v>0</v>
      </c>
      <c r="Y1481" s="187">
        <f>SUM(Y1469:Y1480)</f>
        <v>0</v>
      </c>
      <c r="Z1481" s="188">
        <f>SUM(Z1469:Z1480)</f>
        <v>0</v>
      </c>
    </row>
    <row r="1483" spans="5:26" x14ac:dyDescent="0.25">
      <c r="F1483" s="276"/>
      <c r="I1483" s="233"/>
      <c r="L1483" s="233"/>
    </row>
    <row r="1484" spans="5:26" x14ac:dyDescent="0.25">
      <c r="F1484" s="84">
        <f>+F1481+I1481+L1481+X1481</f>
        <v>515781</v>
      </c>
    </row>
    <row r="1485" spans="5:26" x14ac:dyDescent="0.25">
      <c r="F1485" s="158">
        <f>+F1484-F1458</f>
        <v>-49888</v>
      </c>
    </row>
    <row r="1487" spans="5:26" x14ac:dyDescent="0.25">
      <c r="F1487" s="84"/>
    </row>
    <row r="1488" spans="5:26" x14ac:dyDescent="0.25">
      <c r="F1488" s="158"/>
    </row>
    <row r="1490" spans="6:6" x14ac:dyDescent="0.25">
      <c r="F1490">
        <v>384665</v>
      </c>
    </row>
    <row r="1491" spans="6:6" x14ac:dyDescent="0.25">
      <c r="F1491" s="84">
        <f>+F1490-F1481</f>
        <v>-96973</v>
      </c>
    </row>
  </sheetData>
  <autoFilter ref="A5:AW904">
    <filterColumn colId="32">
      <customFilters>
        <customFilter operator="notEqual" val=" "/>
      </customFilters>
    </filterColumn>
  </autoFilter>
  <dataConsolidate/>
  <mergeCells count="2">
    <mergeCell ref="I1467:K1467"/>
    <mergeCell ref="F1467:H1467"/>
  </mergeCells>
  <phoneticPr fontId="19" type="noConversion"/>
  <conditionalFormatting sqref="F5">
    <cfRule type="containsText" dxfId="7" priority="28" stopIfTrue="1" operator="containsText" text="ERRORE KG">
      <formula>NOT(ISERROR(SEARCH("ERRORE KG",F5)))</formula>
    </cfRule>
    <cfRule type="colorScale" priority="29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Z5">
    <cfRule type="containsText" dxfId="6" priority="27" stopIfTrue="1" operator="containsText" text="ERRORE COMMISSIONI">
      <formula>NOT(ISERROR(SEARCH("ERRORE COMMISSIONI",Z5)))</formula>
    </cfRule>
  </conditionalFormatting>
  <conditionalFormatting sqref="AC6:AC1291">
    <cfRule type="expression" priority="22" stopIfTrue="1">
      <formula>AC6=0</formula>
    </cfRule>
    <cfRule type="expression" dxfId="5" priority="23" stopIfTrue="1">
      <formula>AC6&lt;TODAY()</formula>
    </cfRule>
  </conditionalFormatting>
  <conditionalFormatting sqref="F1468:F1469">
    <cfRule type="containsText" dxfId="4" priority="17" stopIfTrue="1" operator="containsText" text="errore">
      <formula>NOT(ISERROR(SEARCH("errore",F1468)))</formula>
    </cfRule>
  </conditionalFormatting>
  <conditionalFormatting sqref="G1468:G1469">
    <cfRule type="containsText" dxfId="3" priority="16" stopIfTrue="1" operator="containsText" text="errore">
      <formula>NOT(ISERROR(SEARCH("errore",G1468)))</formula>
    </cfRule>
  </conditionalFormatting>
  <conditionalFormatting sqref="B6:B1291">
    <cfRule type="containsText" dxfId="2" priority="8" operator="containsText" text="in scadenza">
      <formula>NOT(ISERROR(SEARCH("in scadenza",B6)))</formula>
    </cfRule>
  </conditionalFormatting>
  <dataValidations xWindow="132" yWindow="413" count="5">
    <dataValidation type="list" allowBlank="1" showInputMessage="1" showErrorMessage="1" sqref="L1292:L1456">
      <formula1>IF(G1292="Alluminio",ProvvAl2,IF(G1292="Bronzo",ProvvBr,ProvvCu2))</formula1>
    </dataValidation>
    <dataValidation type="list" allowBlank="1" showInputMessage="1" showErrorMessage="1" sqref="Z1299 AE1296:AF1296 M28:Q29 L6:L1291">
      <formula1>IF(G6="Alluminio",ProvvAl3,IF(G6="Bronzo",ProvvBr,ProvvCu3))</formula1>
    </dataValidation>
    <dataValidation type="list" allowBlank="1" showInputMessage="1" showErrorMessage="1" sqref="AD1296 Y1299 K6:K1377">
      <formula1>IF(G6="Alluminio",LargAl,IF(G6="Bronzo",LargBr,LarCu))</formula1>
    </dataValidation>
    <dataValidation type="list" allowBlank="1" showInputMessage="1" showErrorMessage="1" sqref="X1299 AC1296 J6:J1291">
      <formula1>IF(G6="Alluminio",Alu,IF(G6="Bronzo",Br,Cu))</formula1>
    </dataValidation>
    <dataValidation type="list" allowBlank="1" showInputMessage="1" showErrorMessage="1" sqref="Z1296 G6:G1295">
      <formula1>Materiale2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topLeftCell="A40" workbookViewId="0">
      <selection activeCell="B71" sqref="B71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308"/>
      <c r="B3" s="415">
        <v>2022</v>
      </c>
      <c r="C3" s="415"/>
    </row>
    <row r="4" spans="1:3" ht="16.5" thickBot="1" x14ac:dyDescent="0.3">
      <c r="A4" s="309"/>
      <c r="B4" s="416" t="s">
        <v>342</v>
      </c>
      <c r="C4" s="417"/>
    </row>
    <row r="5" spans="1:3" ht="16.5" thickBot="1" x14ac:dyDescent="0.3">
      <c r="A5" s="310" t="s">
        <v>277</v>
      </c>
      <c r="B5" s="311" t="s">
        <v>343</v>
      </c>
      <c r="C5" s="312" t="s">
        <v>38</v>
      </c>
    </row>
    <row r="6" spans="1:3" x14ac:dyDescent="0.25">
      <c r="A6" s="315" t="s">
        <v>344</v>
      </c>
      <c r="B6" s="316">
        <f>SUMIFS(Calkos!Z$6:Z$1291,Calkos!$AV$6:$AV$1291,1,Calkos!$AW$6:$AW$1291,2022)</f>
        <v>0</v>
      </c>
      <c r="C6" s="317">
        <f>SUMIFS(Calkos!F$6:F$1291,Calkos!$AV$6:$AV$1291,1,Calkos!$AW$6:$AW$1291,2022)</f>
        <v>0</v>
      </c>
    </row>
    <row r="7" spans="1:3" x14ac:dyDescent="0.25">
      <c r="A7" s="318" t="s">
        <v>345</v>
      </c>
      <c r="B7" s="319">
        <f>SUMIFS(Calkos!Z$6:Z$1291,Calkos!$AV$6:$AV$1291,2,Calkos!$AW$6:$AW$1291,2022)</f>
        <v>0</v>
      </c>
      <c r="C7" s="320">
        <f>SUMIFS(Calkos!F$6:F$1291,Calkos!$AV$6:$AV$1291,2,Calkos!$AW$6:$AW$1291,2022)</f>
        <v>0</v>
      </c>
    </row>
    <row r="8" spans="1:3" x14ac:dyDescent="0.25">
      <c r="A8" s="318" t="s">
        <v>346</v>
      </c>
      <c r="B8" s="319">
        <f>SUMIFS(Calkos!Z$6:Z$1291,Calkos!$AV$6:$AV$1291,3,Calkos!$AW$6:$AW$1291,2022)</f>
        <v>0</v>
      </c>
      <c r="C8" s="320">
        <f>SUMIFS(Calkos!F$6:F$1291,Calkos!$AV$6:$AV$1291,3,Calkos!$AW$6:$AW$1291,2022)</f>
        <v>0</v>
      </c>
    </row>
    <row r="9" spans="1:3" x14ac:dyDescent="0.25">
      <c r="A9" s="318" t="s">
        <v>347</v>
      </c>
      <c r="B9" s="319">
        <f>SUMIFS(Calkos!Z$6:Z$1291,Calkos!$AV$6:$AV$1291,4,Calkos!$AW$6:$AW$1291,2022)</f>
        <v>0</v>
      </c>
      <c r="C9" s="320">
        <f>SUMIFS(Calkos!F$6:F$1291,Calkos!$AV$6:$AV$1291,4,Calkos!$AW$6:$AW$1291,2022)</f>
        <v>0</v>
      </c>
    </row>
    <row r="10" spans="1:3" x14ac:dyDescent="0.25">
      <c r="A10" s="318" t="s">
        <v>348</v>
      </c>
      <c r="B10" s="319">
        <f>SUMIFS(Calkos!Z$6:Z$1291,Calkos!$AV$6:$AV$1291,5,Calkos!$AW$6:$AW$1291,2022)</f>
        <v>0</v>
      </c>
      <c r="C10" s="320">
        <f>SUMIFS(Calkos!F$6:F$1291,Calkos!$AV$6:$AV$1291,5,Calkos!$AW$6:$AW$1291,2022)</f>
        <v>0</v>
      </c>
    </row>
    <row r="11" spans="1:3" x14ac:dyDescent="0.25">
      <c r="A11" s="318" t="s">
        <v>349</v>
      </c>
      <c r="B11" s="319">
        <f>SUMIFS(Calkos!Z$6:Z$1291,Calkos!$AV$6:$AV$1291,6,Calkos!$AW$6:$AW$1291,2022)</f>
        <v>0</v>
      </c>
      <c r="C11" s="320">
        <f>SUMIFS(Calkos!F$6:F$1291,Calkos!$AV$6:$AV$1291,6,Calkos!$AW$6:$AW$1291,2022)</f>
        <v>0</v>
      </c>
    </row>
    <row r="12" spans="1:3" x14ac:dyDescent="0.25">
      <c r="A12" s="318" t="s">
        <v>350</v>
      </c>
      <c r="B12" s="319">
        <f>SUMIFS(Calkos!Z$6:Z$1291,Calkos!$AV$6:$AV$1291,7,Calkos!$AW$6:$AW$1291,2022)</f>
        <v>0</v>
      </c>
      <c r="C12" s="320">
        <f>SUMIFS(Calkos!F$6:F$1291,Calkos!$AV$6:$AV$1291,7,Calkos!$AW$6:$AW$1291,2022)</f>
        <v>0</v>
      </c>
    </row>
    <row r="13" spans="1:3" x14ac:dyDescent="0.25">
      <c r="A13" s="318" t="s">
        <v>351</v>
      </c>
      <c r="B13" s="319">
        <f>SUMIFS(Calkos!Z$6:Z$1291,Calkos!$AV$6:$AV$1291,8,Calkos!$AW$6:$AW$1291,2022)</f>
        <v>0</v>
      </c>
      <c r="C13" s="320">
        <f>SUMIFS(Calkos!F$6:F$1291,Calkos!$AV$6:$AV$1291,8,Calkos!$AW$6:$AW$1291,2022)</f>
        <v>0</v>
      </c>
    </row>
    <row r="14" spans="1:3" x14ac:dyDescent="0.25">
      <c r="A14" s="318" t="s">
        <v>352</v>
      </c>
      <c r="B14" s="319">
        <f>SUMIFS(Calkos!Z$6:Z$1291,Calkos!$AV$6:$AV$1291,9,Calkos!$AW$6:$AW$1291,2022)</f>
        <v>0</v>
      </c>
      <c r="C14" s="320">
        <f>SUMIFS(Calkos!F$6:F$1291,Calkos!$AV$6:$AV$1291,9,Calkos!$AW$6:$AW$1291,2022)</f>
        <v>0</v>
      </c>
    </row>
    <row r="15" spans="1:3" x14ac:dyDescent="0.25">
      <c r="A15" s="318" t="s">
        <v>353</v>
      </c>
      <c r="B15" s="319">
        <f>SUMIFS(Calkos!Z$6:Z$1291,Calkos!$AV$6:$AV$1291,10,Calkos!$AW$6:$AW$1291,2022)</f>
        <v>0</v>
      </c>
      <c r="C15" s="320">
        <f>SUMIFS(Calkos!F$6:F$1291,Calkos!$AV$6:$AV$1291,10,Calkos!$AW$6:$AW$1291,2022)</f>
        <v>0</v>
      </c>
    </row>
    <row r="16" spans="1:3" x14ac:dyDescent="0.25">
      <c r="A16" s="318" t="s">
        <v>354</v>
      </c>
      <c r="B16" s="319">
        <f>SUMIFS(Calkos!Z$6:Z$1291,Calkos!$AV$6:$AV$1291,11,Calkos!$AW$6:$AW$1291,2022)</f>
        <v>0</v>
      </c>
      <c r="C16" s="320">
        <f>SUMIFS(Calkos!F$6:F$1291,Calkos!$AV$6:$AV$1291,11,Calkos!$AW$6:$AW$1291,2022)</f>
        <v>0</v>
      </c>
    </row>
    <row r="17" spans="1:3" ht="15.75" thickBot="1" x14ac:dyDescent="0.3">
      <c r="A17" s="321" t="s">
        <v>355</v>
      </c>
      <c r="B17" s="322">
        <f>SUMIFS(Calkos!Z$6:Z$1291,Calkos!$AV$6:$AV$1291,12,Calkos!$AW$6:$AW$1291,2022)</f>
        <v>0</v>
      </c>
      <c r="C17" s="323">
        <f>SUMIFS(Calkos!F$6:F$1291,Calkos!$AV$6:$AV$1291,12,Calkos!$AW$6:$AW$1291,2022)</f>
        <v>0</v>
      </c>
    </row>
    <row r="18" spans="1:3" ht="16.5" thickBot="1" x14ac:dyDescent="0.3">
      <c r="B18" s="314">
        <f>SUM(B6:B17)</f>
        <v>0</v>
      </c>
      <c r="C18" s="313">
        <f>SUM(C6:C17)</f>
        <v>0</v>
      </c>
    </row>
    <row r="21" spans="1:3" ht="19.5" thickBot="1" x14ac:dyDescent="0.35">
      <c r="A21" s="308"/>
      <c r="B21" s="415">
        <v>2023</v>
      </c>
      <c r="C21" s="415"/>
    </row>
    <row r="22" spans="1:3" ht="16.5" thickBot="1" x14ac:dyDescent="0.3">
      <c r="A22" s="309"/>
      <c r="B22" s="416" t="s">
        <v>342</v>
      </c>
      <c r="C22" s="417"/>
    </row>
    <row r="23" spans="1:3" ht="16.5" thickBot="1" x14ac:dyDescent="0.3">
      <c r="A23" s="310" t="s">
        <v>277</v>
      </c>
      <c r="B23" s="311" t="s">
        <v>343</v>
      </c>
      <c r="C23" s="312" t="s">
        <v>38</v>
      </c>
    </row>
    <row r="24" spans="1:3" x14ac:dyDescent="0.25">
      <c r="A24" s="315" t="s">
        <v>377</v>
      </c>
      <c r="B24" s="316">
        <f>SUMIFS(Calkos!Z$6:Z$1291,Calkos!$AV$6:$AV$1291,1,Calkos!$AW$6:$AW$1291,2023)</f>
        <v>0</v>
      </c>
      <c r="C24" s="317">
        <f>SUMIFS(Calkos!F$6:F$1291,Calkos!$AV$6:$AV$1291,1,Calkos!$AW$6:$AW$1291,2023)</f>
        <v>0</v>
      </c>
    </row>
    <row r="25" spans="1:3" x14ac:dyDescent="0.25">
      <c r="A25" s="318" t="s">
        <v>378</v>
      </c>
      <c r="B25" s="319">
        <f>SUMIFS(Calkos!Z$6:Z$1291,Calkos!$AV$6:$AV$1291,2,Calkos!$AW$6:$AW$1291,2023)</f>
        <v>0</v>
      </c>
      <c r="C25" s="320">
        <f>SUMIFS(Calkos!F$6:F$1291,Calkos!$AV$6:$AV$1291,2,Calkos!$AW$6:$AW$1291,2023)</f>
        <v>0</v>
      </c>
    </row>
    <row r="26" spans="1:3" x14ac:dyDescent="0.25">
      <c r="A26" s="318" t="s">
        <v>379</v>
      </c>
      <c r="B26" s="319">
        <f>SUMIFS(Calkos!Z$6:Z$1291,Calkos!$AV$6:$AV$1291,3,Calkos!$AW$6:$AW$1291,2023)</f>
        <v>0</v>
      </c>
      <c r="C26" s="320">
        <f>SUMIFS(Calkos!F$6:F$1291,Calkos!$AV$6:$AV$1291,3,Calkos!$AW$6:$AW$1291,2023)</f>
        <v>0</v>
      </c>
    </row>
    <row r="27" spans="1:3" x14ac:dyDescent="0.25">
      <c r="A27" s="318" t="s">
        <v>380</v>
      </c>
      <c r="B27" s="319">
        <f>SUMIFS(Calkos!Z$6:Z$1291,Calkos!$AV$6:$AV$1291,4,Calkos!$AW$6:$AW$1291,2023)</f>
        <v>0</v>
      </c>
      <c r="C27" s="320">
        <f>SUMIFS(Calkos!F$6:F$1291,Calkos!$AV$6:$AV$1291,4,Calkos!$AW$6:$AW$1291,2023)</f>
        <v>0</v>
      </c>
    </row>
    <row r="28" spans="1:3" x14ac:dyDescent="0.25">
      <c r="A28" s="318" t="s">
        <v>381</v>
      </c>
      <c r="B28" s="319">
        <f>SUMIFS(Calkos!Z$6:Z$1291,Calkos!$AV$6:$AV$1291,5,Calkos!$AW$6:$AW$1291,2023)</f>
        <v>0</v>
      </c>
      <c r="C28" s="320">
        <f>SUMIFS(Calkos!F$6:F$1291,Calkos!$AV$6:$AV$1291,5,Calkos!$AW$6:$AW$1291,2023)</f>
        <v>0</v>
      </c>
    </row>
    <row r="29" spans="1:3" x14ac:dyDescent="0.25">
      <c r="A29" s="318" t="s">
        <v>382</v>
      </c>
      <c r="B29" s="319">
        <f>SUMIFS(Calkos!Z$6:Z$1291,Calkos!$AV$6:$AV$1291,6,Calkos!$AW$6:$AW$1291,2023)</f>
        <v>0</v>
      </c>
      <c r="C29" s="320">
        <f>SUMIFS(Calkos!F$6:F$1291,Calkos!$AV$6:$AV$1291,6,Calkos!$AW$6:$AW$1291,2023)</f>
        <v>0</v>
      </c>
    </row>
    <row r="30" spans="1:3" x14ac:dyDescent="0.25">
      <c r="A30" s="318" t="s">
        <v>383</v>
      </c>
      <c r="B30" s="319">
        <f>SUMIFS(Calkos!Z$6:Z$1291,Calkos!$AV$6:$AV$1291,7,Calkos!$AW$6:$AW$1291,2023)</f>
        <v>0</v>
      </c>
      <c r="C30" s="320">
        <f>SUMIFS(Calkos!F$6:F$1291,Calkos!$AV$6:$AV$1291,7,Calkos!$AW$6:$AW$1291,2023)</f>
        <v>0</v>
      </c>
    </row>
    <row r="31" spans="1:3" x14ac:dyDescent="0.25">
      <c r="A31" s="318" t="s">
        <v>384</v>
      </c>
      <c r="B31" s="319">
        <f>SUMIFS(Calkos!Z$6:Z$1291,Calkos!$AV$6:$AV$1291,8,Calkos!$AW$6:$AW$1291,2023)</f>
        <v>0</v>
      </c>
      <c r="C31" s="320">
        <f>SUMIFS(Calkos!F$6:F$1291,Calkos!$AV$6:$AV$1291,8,Calkos!$AW$6:$AW$1291,2023)</f>
        <v>0</v>
      </c>
    </row>
    <row r="32" spans="1:3" x14ac:dyDescent="0.25">
      <c r="A32" s="318" t="s">
        <v>385</v>
      </c>
      <c r="B32" s="319">
        <f>SUMIFS(Calkos!Z$6:Z$1291,Calkos!$AV$6:$AV$1291,9,Calkos!$AW$6:$AW$1291,2023)</f>
        <v>0</v>
      </c>
      <c r="C32" s="320">
        <f>SUMIFS(Calkos!F$6:F$1291,Calkos!$AV$6:$AV$1291,9,Calkos!$AW$6:$AW$1291,2023)</f>
        <v>0</v>
      </c>
    </row>
    <row r="33" spans="1:3" x14ac:dyDescent="0.25">
      <c r="A33" s="318" t="s">
        <v>386</v>
      </c>
      <c r="B33" s="319">
        <f>SUMIFS(Calkos!Z$6:Z$1291,Calkos!$AV$6:$AV$1291,10,Calkos!$AW$6:$AW$1291,2023)</f>
        <v>0</v>
      </c>
      <c r="C33" s="320">
        <f>SUMIFS(Calkos!F$6:F$1291,Calkos!$AV$6:$AV$1291,10,Calkos!$AW$6:$AW$1291,2023)</f>
        <v>0</v>
      </c>
    </row>
    <row r="34" spans="1:3" x14ac:dyDescent="0.25">
      <c r="A34" s="318" t="s">
        <v>387</v>
      </c>
      <c r="B34" s="319">
        <f>SUMIFS(Calkos!Z$6:Z$1291,Calkos!$AV$6:$AV$1291,11,Calkos!$AW$6:$AW$1291,2023)</f>
        <v>0</v>
      </c>
      <c r="C34" s="320">
        <f>SUMIFS(Calkos!F$6:F$1291,Calkos!$AV$6:$AV$1291,11,Calkos!$AW$6:$AW$1291,2023)</f>
        <v>0</v>
      </c>
    </row>
    <row r="35" spans="1:3" ht="15.75" thickBot="1" x14ac:dyDescent="0.3">
      <c r="A35" s="321" t="s">
        <v>388</v>
      </c>
      <c r="B35" s="322">
        <f>SUMIFS(Calkos!Z$6:Z$1291,Calkos!$AV$6:$AV$1291,12,Calkos!$AW$6:$AW$1291,2023)</f>
        <v>0</v>
      </c>
      <c r="C35" s="323">
        <f>SUMIFS(Calkos!F$6:F$1291,Calkos!$AV$6:$AV$1291,12,Calkos!$AW$6:$AW$1291,2023)</f>
        <v>0</v>
      </c>
    </row>
    <row r="36" spans="1:3" ht="16.5" thickBot="1" x14ac:dyDescent="0.3">
      <c r="B36" s="314">
        <f>SUM(B24:B35)</f>
        <v>0</v>
      </c>
      <c r="C36" s="313">
        <f>SUM(C24:C35)</f>
        <v>0</v>
      </c>
    </row>
    <row r="39" spans="1:3" ht="19.5" thickBot="1" x14ac:dyDescent="0.35">
      <c r="A39" s="308"/>
      <c r="B39" s="415">
        <v>2026</v>
      </c>
      <c r="C39" s="415"/>
    </row>
    <row r="40" spans="1:3" ht="16.5" thickBot="1" x14ac:dyDescent="0.3">
      <c r="A40" s="309"/>
      <c r="B40" s="416" t="s">
        <v>342</v>
      </c>
      <c r="C40" s="417"/>
    </row>
    <row r="41" spans="1:3" ht="16.5" thickBot="1" x14ac:dyDescent="0.3">
      <c r="A41" s="310" t="s">
        <v>277</v>
      </c>
      <c r="B41" s="311" t="s">
        <v>343</v>
      </c>
      <c r="C41" s="312" t="s">
        <v>38</v>
      </c>
    </row>
    <row r="42" spans="1:3" x14ac:dyDescent="0.25">
      <c r="A42" s="315" t="s">
        <v>431</v>
      </c>
      <c r="B42" s="316">
        <f>SUMIFS(Calkos!Z$6:Z$1291,Calkos!$AV$6:$AV$1291,1,Calkos!$AW$6:$AW$1291,2026)</f>
        <v>6295.5</v>
      </c>
      <c r="C42" s="317">
        <f>SUMIFS(Calkos!F$6:F$1291,Calkos!$AV$6:$AV$1291,1,Calkos!$AW$6:$AW$1291,2026)</f>
        <v>91900</v>
      </c>
    </row>
    <row r="43" spans="1:3" x14ac:dyDescent="0.25">
      <c r="A43" s="318" t="s">
        <v>432</v>
      </c>
      <c r="B43" s="319">
        <f>SUMIFS(Calkos!Z$6:Z$1291,Calkos!$AV$6:$AV$1291,2,Calkos!$AW$6:$AW$1291,2026)</f>
        <v>3625.75</v>
      </c>
      <c r="C43" s="320">
        <f>SUMIFS(Calkos!F$6:F$1291,Calkos!$AV$6:$AV$1291,2,Calkos!$AW$6:$AW$1291,2026)</f>
        <v>57825</v>
      </c>
    </row>
    <row r="44" spans="1:3" x14ac:dyDescent="0.25">
      <c r="A44" s="318" t="s">
        <v>433</v>
      </c>
      <c r="B44" s="319">
        <f>SUMIFS(Calkos!Z$6:Z$1291,Calkos!$AV$6:$AV$1291,3,Calkos!$AW$6:$AW$1291,2026)</f>
        <v>1554.0000000000002</v>
      </c>
      <c r="C44" s="320">
        <f>SUMIFS(Calkos!F$6:F$1291,Calkos!$AV$6:$AV$1291,3,Calkos!$AW$6:$AW$1291,2026)</f>
        <v>21900</v>
      </c>
    </row>
    <row r="45" spans="1:3" x14ac:dyDescent="0.25">
      <c r="A45" s="318" t="s">
        <v>434</v>
      </c>
      <c r="B45" s="319">
        <f>SUMIFS(Calkos!Z$6:Z$1291,Calkos!$AV$6:$AV$1291,4,Calkos!$AW$6:$AW$1291,2026)</f>
        <v>0</v>
      </c>
      <c r="C45" s="320">
        <f>SUMIFS(Calkos!F$6:F$1291,Calkos!$AV$6:$AV$1291,4,Calkos!$AW$6:$AW$1291,2026)</f>
        <v>0</v>
      </c>
    </row>
    <row r="46" spans="1:3" x14ac:dyDescent="0.25">
      <c r="A46" s="318" t="s">
        <v>435</v>
      </c>
      <c r="B46" s="319">
        <f>SUMIFS(Calkos!Z$6:Z$1291,Calkos!$AV$6:$AV$1291,5,Calkos!$AW$6:$AW$1291,2026)</f>
        <v>0</v>
      </c>
      <c r="C46" s="320">
        <f>SUMIFS(Calkos!F$6:F$1291,Calkos!$AV$6:$AV$1291,5,Calkos!$AW$6:$AW$1291,2026)</f>
        <v>0</v>
      </c>
    </row>
    <row r="47" spans="1:3" x14ac:dyDescent="0.25">
      <c r="A47" s="318" t="s">
        <v>436</v>
      </c>
      <c r="B47" s="319">
        <f>SUMIFS(Calkos!Z$6:Z$1291,Calkos!$AV$6:$AV$1291,6,Calkos!$AW$6:$AW$1291,2026)</f>
        <v>752.50000000000011</v>
      </c>
      <c r="C47" s="320">
        <f>SUMIFS(Calkos!F$6:F$1291,Calkos!$AV$6:$AV$1291,6,Calkos!$AW$6:$AW$1291,2026)</f>
        <v>10750</v>
      </c>
    </row>
    <row r="48" spans="1:3" x14ac:dyDescent="0.25">
      <c r="A48" s="318" t="s">
        <v>437</v>
      </c>
      <c r="B48" s="319">
        <f>SUMIFS(Calkos!Z$6:Z$1291,Calkos!$AV$6:$AV$1291,7,Calkos!$AW$6:$AW$1291,2026)</f>
        <v>0</v>
      </c>
      <c r="C48" s="320">
        <f>SUMIFS(Calkos!F$6:F$1291,Calkos!$AV$6:$AV$1291,7,Calkos!$AW$6:$AW$1291,2026)</f>
        <v>0</v>
      </c>
    </row>
    <row r="49" spans="1:5" x14ac:dyDescent="0.25">
      <c r="A49" s="318" t="s">
        <v>438</v>
      </c>
      <c r="B49" s="319">
        <f>SUMIFS(Calkos!Z$6:Z$1291,Calkos!$AV$6:$AV$1291,8,Calkos!$AW$6:$AW$1291,2026)</f>
        <v>0</v>
      </c>
      <c r="C49" s="320">
        <f>SUMIFS(Calkos!F$6:F$1291,Calkos!$AV$6:$AV$1291,8,Calkos!$AW$6:$AW$1291,2026)</f>
        <v>0</v>
      </c>
    </row>
    <row r="50" spans="1:5" x14ac:dyDescent="0.25">
      <c r="A50" s="318" t="s">
        <v>439</v>
      </c>
      <c r="B50" s="319">
        <f>SUMIFS(Calkos!Z$6:Z$1291,Calkos!$AV$6:$AV$1291,9,Calkos!$AW$6:$AW$1291,2026)</f>
        <v>0</v>
      </c>
      <c r="C50" s="320">
        <f>SUMIFS(Calkos!F$6:F$1291,Calkos!$AV$6:$AV$1291,9,Calkos!$AW$6:$AW$1291,2026)</f>
        <v>0</v>
      </c>
    </row>
    <row r="51" spans="1:5" x14ac:dyDescent="0.25">
      <c r="A51" s="318" t="s">
        <v>440</v>
      </c>
      <c r="B51" s="319">
        <f>SUMIFS(Calkos!Z$6:Z$1291,Calkos!$AV$6:$AV$1291,10,Calkos!$AW$6:$AW$1291,2026)</f>
        <v>0</v>
      </c>
      <c r="C51" s="320">
        <f>SUMIFS(Calkos!F$6:F$1291,Calkos!$AV$6:$AV$1291,10,Calkos!$AW$6:$AW$1291,2026)</f>
        <v>0</v>
      </c>
      <c r="E51" s="319">
        <f>SUMIFS(Calkos!AC$6:AC$1291,Calkos!$AV$6:$AV$1291,11,Calkos!$AW$6:$AW$1291,2024)</f>
        <v>0</v>
      </c>
    </row>
    <row r="52" spans="1:5" x14ac:dyDescent="0.25">
      <c r="A52" s="318" t="s">
        <v>441</v>
      </c>
      <c r="B52" s="319">
        <f>SUMIFS(Calkos!Z$6:Z$1291,Calkos!$AV$6:$AV$1291,11,Calkos!$AW$6:$AW$1291,2026)</f>
        <v>0</v>
      </c>
      <c r="C52" s="320">
        <f>SUMIFS(Calkos!F$6:F$1291,Calkos!$AV$6:$AV$1291,11,Calkos!$AW$6:$AW$1291,2026)</f>
        <v>0</v>
      </c>
    </row>
    <row r="53" spans="1:5" ht="15.75" thickBot="1" x14ac:dyDescent="0.3">
      <c r="A53" s="321" t="s">
        <v>442</v>
      </c>
      <c r="B53" s="322">
        <f>SUMIFS(Calkos!Z$6:Z$1291,Calkos!$AV$6:$AV$1291,12,Calkos!$AW$6:$AW$1291,2026)</f>
        <v>0</v>
      </c>
      <c r="C53" s="320">
        <f>SUMIFS(Calkos!F$6:F$1291,Calkos!$AV$6:$AV$1291,12,Calkos!$AW$6:$AW$1291,2026)</f>
        <v>0</v>
      </c>
    </row>
    <row r="54" spans="1:5" ht="16.5" thickBot="1" x14ac:dyDescent="0.3">
      <c r="B54" s="314">
        <f>SUM(B42:B53)</f>
        <v>12227.75</v>
      </c>
      <c r="C54" s="313">
        <f>SUM(C42:C53)</f>
        <v>182375</v>
      </c>
    </row>
    <row r="57" spans="1:5" ht="19.5" thickBot="1" x14ac:dyDescent="0.35">
      <c r="A57" s="308"/>
      <c r="B57" s="415">
        <v>2025</v>
      </c>
      <c r="C57" s="415"/>
    </row>
    <row r="58" spans="1:5" ht="16.5" thickBot="1" x14ac:dyDescent="0.3">
      <c r="A58" s="309"/>
      <c r="B58" s="416" t="s">
        <v>342</v>
      </c>
      <c r="C58" s="417"/>
    </row>
    <row r="59" spans="1:5" ht="16.5" thickBot="1" x14ac:dyDescent="0.3">
      <c r="A59" s="310" t="s">
        <v>277</v>
      </c>
      <c r="B59" s="311" t="s">
        <v>343</v>
      </c>
      <c r="C59" s="312" t="s">
        <v>38</v>
      </c>
    </row>
    <row r="60" spans="1:5" x14ac:dyDescent="0.25">
      <c r="A60" s="315" t="s">
        <v>405</v>
      </c>
      <c r="B60" s="316">
        <f>SUMIFS(Calkos!Z$6:Z$1291,Calkos!$AV$6:$AV$1291,1,Calkos!$AW$6:$AW$1291,2025)</f>
        <v>0</v>
      </c>
      <c r="C60" s="317">
        <f>SUMIFS(Calkos!F$6:F$1291,Calkos!$AV$6:$AV$1291,1,Calkos!$AW$6:$AW$1291,2025)</f>
        <v>0</v>
      </c>
    </row>
    <row r="61" spans="1:5" x14ac:dyDescent="0.25">
      <c r="A61" s="318" t="s">
        <v>407</v>
      </c>
      <c r="B61" s="319">
        <f>SUMIFS(Calkos!Z$6:Z$1291,Calkos!$AV$6:$AV$1291,2,Calkos!$AW$6:$AW$1291,2025)</f>
        <v>0</v>
      </c>
      <c r="C61" s="320">
        <f>SUMIFS(Calkos!F$6:F$1291,Calkos!$AV$6:$AV$1291,2,Calkos!$AW$6:$AW$1291,2025)</f>
        <v>0</v>
      </c>
    </row>
    <row r="62" spans="1:5" x14ac:dyDescent="0.25">
      <c r="A62" s="318" t="s">
        <v>408</v>
      </c>
      <c r="B62" s="319">
        <f>SUMIFS(Calkos!Z$6:Z$1291,Calkos!$AV$6:$AV$1291,3,Calkos!$AW$6:$AW$1291,2025)</f>
        <v>0</v>
      </c>
      <c r="C62" s="320">
        <f>SUMIFS(Calkos!F$6:F$1291,Calkos!$AV$6:$AV$1291,3,Calkos!$AW$6:$AW$1291,2025)</f>
        <v>0</v>
      </c>
    </row>
    <row r="63" spans="1:5" x14ac:dyDescent="0.25">
      <c r="A63" s="318" t="s">
        <v>409</v>
      </c>
      <c r="B63" s="319">
        <f>SUMIFS(Calkos!Z$6:Z$1291,Calkos!$AV$6:$AV$1291,4,Calkos!$AW$6:$AW$1291,2025)</f>
        <v>0</v>
      </c>
      <c r="C63" s="320">
        <f>SUMIFS(Calkos!F$6:F$1291,Calkos!$AV$6:$AV$1291,4,Calkos!$AW$6:$AW$1291,2025)</f>
        <v>0</v>
      </c>
    </row>
    <row r="64" spans="1:5" x14ac:dyDescent="0.25">
      <c r="A64" s="318" t="s">
        <v>410</v>
      </c>
      <c r="B64" s="319">
        <f>SUMIFS(Calkos!Z$6:Z$1291,Calkos!$AV$6:$AV$1291,5,Calkos!$AW$6:$AW$1291,2025)</f>
        <v>0</v>
      </c>
      <c r="C64" s="320">
        <f>SUMIFS(Calkos!F$6:F$1291,Calkos!$AV$6:$AV$1291,5,Calkos!$AW$6:$AW$1291,2025)</f>
        <v>0</v>
      </c>
    </row>
    <row r="65" spans="1:3" x14ac:dyDescent="0.25">
      <c r="A65" s="318" t="s">
        <v>411</v>
      </c>
      <c r="B65" s="319">
        <f>SUMIFS(Calkos!Z$6:Z$1291,Calkos!$AV$6:$AV$1291,6,Calkos!$AW$6:$AW$1291,2025)</f>
        <v>0</v>
      </c>
      <c r="C65" s="320">
        <f>SUMIFS(Calkos!F$6:F$1291,Calkos!$AV$6:$AV$1291,6,Calkos!$AW$6:$AW$1291,2025)</f>
        <v>0</v>
      </c>
    </row>
    <row r="66" spans="1:3" x14ac:dyDescent="0.25">
      <c r="A66" s="318" t="s">
        <v>412</v>
      </c>
      <c r="B66" s="319">
        <f>SUMIFS(Calkos!Z$6:Z$1291,Calkos!$AV$6:$AV$1291,7,Calkos!$AW$6:$AW$1291,2025)</f>
        <v>0</v>
      </c>
      <c r="C66" s="320">
        <f>SUMIFS(Calkos!F$6:F$1291,Calkos!$AV$6:$AV$1291,7,Calkos!$AW$6:$AW$1291,2025)</f>
        <v>0</v>
      </c>
    </row>
    <row r="67" spans="1:3" x14ac:dyDescent="0.25">
      <c r="A67" s="318" t="s">
        <v>413</v>
      </c>
      <c r="B67" s="319">
        <f>SUMIFS(Calkos!Z$6:Z$1291,Calkos!$AV$6:$AV$1291,8,Calkos!$AW$6:$AW$1291,2025)</f>
        <v>0</v>
      </c>
      <c r="C67" s="320">
        <f>SUMIFS(Calkos!F$6:F$1291,Calkos!$AV$6:$AV$1291,8,Calkos!$AW$6:$AW$1291,2025)</f>
        <v>0</v>
      </c>
    </row>
    <row r="68" spans="1:3" x14ac:dyDescent="0.25">
      <c r="A68" s="318" t="s">
        <v>414</v>
      </c>
      <c r="B68" s="319">
        <f>SUMIFS(Calkos!Z$6:Z$1291,Calkos!$AV$6:$AV$1291,9,Calkos!$AW$6:$AW$1291,2025)</f>
        <v>0</v>
      </c>
      <c r="C68" s="320">
        <f>SUMIFS(Calkos!F$6:F$1291,Calkos!$AV$6:$AV$1291,9,Calkos!$AW$6:$AW$1291,2025)</f>
        <v>0</v>
      </c>
    </row>
    <row r="69" spans="1:3" x14ac:dyDescent="0.25">
      <c r="A69" s="318" t="s">
        <v>415</v>
      </c>
      <c r="B69" s="319">
        <f>SUMIFS(Calkos!Z$6:Z$1291,Calkos!$AV$6:$AV$1291,10,Calkos!$AW$6:$AW$1291,2025)</f>
        <v>101.50000000000001</v>
      </c>
      <c r="C69" s="320">
        <f>SUMIFS(Calkos!F$6:F$1291,Calkos!$AV$6:$AV$1291,10,Calkos!$AW$6:$AW$1291,2025)</f>
        <v>1550</v>
      </c>
    </row>
    <row r="70" spans="1:3" x14ac:dyDescent="0.25">
      <c r="A70" s="318" t="s">
        <v>416</v>
      </c>
      <c r="B70" s="319">
        <f>SUMIFS(Calkos!Z$6:Z$1291,Calkos!$AV$6:$AV$1291,11,Calkos!$AW$6:$AW$1291,2025)</f>
        <v>3020.75</v>
      </c>
      <c r="C70" s="320">
        <f>SUMIFS(Calkos!F$6:F$1291,Calkos!$AV$6:$AV$1291,11,Calkos!$AW$6:$AW$1291,2025)</f>
        <v>38195</v>
      </c>
    </row>
    <row r="71" spans="1:3" ht="15.75" thickBot="1" x14ac:dyDescent="0.3">
      <c r="A71" s="321" t="s">
        <v>417</v>
      </c>
      <c r="B71" s="322">
        <f>SUMIFS(Calkos!Z$6:Z$1292,Calkos!$AV$6:$AV$1292,12,Calkos!$AW$6:$AW$1292,2025)</f>
        <v>5362.0900000000011</v>
      </c>
      <c r="C71" s="323">
        <f>SUMIFS(Calkos!F$6:F$1292,Calkos!$AV$6:$AV$1292,12,Calkos!$AW$6:$AW$1292,2025)</f>
        <v>82665</v>
      </c>
    </row>
    <row r="72" spans="1:3" ht="16.5" thickBot="1" x14ac:dyDescent="0.3">
      <c r="B72" s="314">
        <f>SUM(B60:B71)</f>
        <v>8484.34</v>
      </c>
      <c r="C72" s="313">
        <f>SUM(C60:C71)</f>
        <v>122410</v>
      </c>
    </row>
    <row r="80" spans="1:3" ht="19.5" thickBot="1" x14ac:dyDescent="0.35">
      <c r="B80" s="415" t="s">
        <v>356</v>
      </c>
      <c r="C80" s="415"/>
    </row>
    <row r="81" spans="2:3" ht="15.75" x14ac:dyDescent="0.25">
      <c r="B81" s="416" t="s">
        <v>342</v>
      </c>
      <c r="C81" s="417"/>
    </row>
    <row r="82" spans="2:3" ht="16.5" thickBot="1" x14ac:dyDescent="0.3">
      <c r="B82" s="324" t="str">
        <f>IF(B88=0,"Euro","Errore")</f>
        <v>Errore</v>
      </c>
      <c r="C82" s="312" t="str">
        <f>IF(C88=0,"Kg","Errore")</f>
        <v>Errore</v>
      </c>
    </row>
    <row r="83" spans="2:3" ht="16.5" thickBot="1" x14ac:dyDescent="0.3">
      <c r="B83" s="325">
        <f>+B18+B36+B54+B72</f>
        <v>20712.09</v>
      </c>
      <c r="C83" s="326">
        <f>+C18+C36+C54+C72</f>
        <v>304785</v>
      </c>
    </row>
    <row r="86" spans="2:3" x14ac:dyDescent="0.25">
      <c r="B86" s="316">
        <f>SUMIFS(Calkos!Z$6:Z$1291,Calkos!$AV$6:$AV$1291,0,Calkos!$AW$6:$AW$1291,0)</f>
        <v>16708.779999999995</v>
      </c>
      <c r="C86" s="317">
        <f>SUMIFS(Calkos!F$6:F$1291,Calkos!$AV$6:$AV$1291,0,Calkos!$AW$6:$AW$1291,0)</f>
        <v>252916</v>
      </c>
    </row>
    <row r="88" spans="2:3" x14ac:dyDescent="0.25">
      <c r="B88" s="81">
        <f>+B83+B86-Calkos!Z1292</f>
        <v>-409.40000000000873</v>
      </c>
      <c r="C88" s="158">
        <f>+C83+C86-Calkos!F1292</f>
        <v>-7968</v>
      </c>
    </row>
    <row r="91" spans="2:3" x14ac:dyDescent="0.25">
      <c r="B91" s="385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18" t="s">
        <v>389</v>
      </c>
      <c r="C3" s="418"/>
      <c r="D3" s="418"/>
      <c r="F3" s="418" t="s">
        <v>397</v>
      </c>
      <c r="G3" s="418"/>
      <c r="H3" s="418"/>
      <c r="J3" s="418" t="s">
        <v>406</v>
      </c>
      <c r="K3" s="418"/>
      <c r="L3" s="418"/>
    </row>
    <row r="4" spans="1:12" ht="39.75" thickBot="1" x14ac:dyDescent="0.3">
      <c r="B4" s="352" t="s">
        <v>362</v>
      </c>
      <c r="C4" s="353" t="s">
        <v>38</v>
      </c>
      <c r="D4" s="359" t="s">
        <v>363</v>
      </c>
      <c r="F4" s="352" t="s">
        <v>362</v>
      </c>
      <c r="G4" s="353" t="s">
        <v>38</v>
      </c>
      <c r="H4" s="359" t="s">
        <v>363</v>
      </c>
      <c r="J4" s="352" t="s">
        <v>362</v>
      </c>
      <c r="K4" s="353" t="s">
        <v>38</v>
      </c>
      <c r="L4" s="359" t="s">
        <v>363</v>
      </c>
    </row>
    <row r="5" spans="1:12" x14ac:dyDescent="0.25">
      <c r="B5" s="349">
        <v>1</v>
      </c>
      <c r="C5" s="354">
        <f>SUMIFS(Calkos!$F$6:$F$1291,Calkos!$AN$6:$AN$1291,1,Calkos!$AO$6:$AO$1291,2023)</f>
        <v>0</v>
      </c>
      <c r="D5" s="358"/>
      <c r="F5" s="349">
        <v>1</v>
      </c>
      <c r="G5" s="354">
        <f>SUMIFS(Calkos!$F$6:$F$1291,Calkos!$AN$6:$AN$1291,1,Calkos!$AO$6:$AO$1291,2024)</f>
        <v>0</v>
      </c>
      <c r="H5" s="358"/>
      <c r="J5" s="349">
        <v>1</v>
      </c>
      <c r="K5" s="354">
        <f>SUMIFS(Calkos!$F$6:$F$1291,Calkos!$AN$6:$AN$1291,1,Calkos!$AO$6:$AO$1291,2025)</f>
        <v>0</v>
      </c>
      <c r="L5" s="358"/>
    </row>
    <row r="6" spans="1:12" x14ac:dyDescent="0.25">
      <c r="B6" s="350">
        <f>+B5+1</f>
        <v>2</v>
      </c>
      <c r="C6" s="355">
        <f>SUMIFS(Calkos!$F$6:$F$1291,Calkos!$AN$6:$AN$1291,2,Calkos!$AO$6:$AO$1291,2023)</f>
        <v>0</v>
      </c>
      <c r="D6" s="320"/>
      <c r="F6" s="350">
        <f>+F5+1</f>
        <v>2</v>
      </c>
      <c r="G6" s="355">
        <f>SUMIFS(Calkos!$F$6:$F$1291,Calkos!$AN$6:$AN$1291,2,Calkos!$AO$6:$AO$1291,2024)</f>
        <v>0</v>
      </c>
      <c r="H6" s="320"/>
      <c r="J6" s="350">
        <f>+J5+1</f>
        <v>2</v>
      </c>
      <c r="K6" s="355">
        <f>SUMIFS(Calkos!$F$6:$F$1291,Calkos!$AN$6:$AN$1291,2,Calkos!$AO$6:$AO$1291,2025)</f>
        <v>0</v>
      </c>
      <c r="L6" s="320"/>
    </row>
    <row r="7" spans="1:12" x14ac:dyDescent="0.25">
      <c r="B7" s="350">
        <f t="shared" ref="B7:B57" si="0">+B6+1</f>
        <v>3</v>
      </c>
      <c r="C7" s="355">
        <f>SUMIFS(Calkos!$F$6:$F$1291,Calkos!$AN$6:$AN$1291,3,Calkos!$AO$6:$AO$1291,2023)</f>
        <v>0</v>
      </c>
      <c r="D7" s="320"/>
      <c r="F7" s="350">
        <f t="shared" ref="F7:F57" si="1">+F6+1</f>
        <v>3</v>
      </c>
      <c r="G7" s="355">
        <f>SUMIFS(Calkos!$F$6:$F$1291,Calkos!$AN$6:$AN$1291,3,Calkos!$AO$6:$AO$1291,2024)</f>
        <v>0</v>
      </c>
      <c r="H7" s="320"/>
      <c r="J7" s="350">
        <f t="shared" ref="J7:J57" si="2">+J6+1</f>
        <v>3</v>
      </c>
      <c r="K7" s="355">
        <f>SUMIFS(Calkos!$F$6:$F$1291,Calkos!$AN$6:$AN$1291,3,Calkos!$AO$6:$AO$1291,2025)</f>
        <v>0</v>
      </c>
      <c r="L7" s="320"/>
    </row>
    <row r="8" spans="1:12" x14ac:dyDescent="0.25">
      <c r="B8" s="350">
        <f t="shared" si="0"/>
        <v>4</v>
      </c>
      <c r="C8" s="355">
        <f>SUMIFS(Calkos!$F$6:$F$1291,Calkos!$AN$6:$AN$1291,4,Calkos!$AO$6:$AO$1291,2023)</f>
        <v>0</v>
      </c>
      <c r="D8" s="320"/>
      <c r="F8" s="350">
        <f t="shared" si="1"/>
        <v>4</v>
      </c>
      <c r="G8" s="355">
        <f>SUMIFS(Calkos!$F$6:$F$1291,Calkos!$AN$6:$AN$1291,4,Calkos!$AO$6:$AO$1291,2024)</f>
        <v>0</v>
      </c>
      <c r="H8" s="320"/>
      <c r="J8" s="350">
        <f t="shared" si="2"/>
        <v>4</v>
      </c>
      <c r="K8" s="355">
        <f>SUMIFS(Calkos!$F$6:$F$1291,Calkos!$AN$6:$AN$1291,4,Calkos!$AO$6:$AO$1291,2025)</f>
        <v>0</v>
      </c>
      <c r="L8" s="320"/>
    </row>
    <row r="9" spans="1:12" x14ac:dyDescent="0.25">
      <c r="B9" s="350">
        <f t="shared" si="0"/>
        <v>5</v>
      </c>
      <c r="C9" s="355">
        <f>SUMIFS(Calkos!$F$6:$F$1291,Calkos!$AN$6:$AN$1291,5,Calkos!$AO$6:$AO$1291,2023)</f>
        <v>0</v>
      </c>
      <c r="D9" s="320"/>
      <c r="F9" s="350">
        <f t="shared" si="1"/>
        <v>5</v>
      </c>
      <c r="G9" s="355">
        <f>SUMIFS(Calkos!$F$6:$F$1291,Calkos!$AN$6:$AN$1291,5,Calkos!$AO$6:$AO$1291,2024)</f>
        <v>0</v>
      </c>
      <c r="H9" s="320"/>
      <c r="J9" s="350">
        <f t="shared" si="2"/>
        <v>5</v>
      </c>
      <c r="K9" s="355">
        <f>SUMIFS(Calkos!$F$6:$F$1291,Calkos!$AN$6:$AN$1291,5,Calkos!$AO$6:$AO$1291,2025)</f>
        <v>0</v>
      </c>
      <c r="L9" s="320"/>
    </row>
    <row r="10" spans="1:12" x14ac:dyDescent="0.25">
      <c r="B10" s="350">
        <f t="shared" si="0"/>
        <v>6</v>
      </c>
      <c r="C10" s="355">
        <f>SUMIFS(Calkos!$F$6:$F$1291,Calkos!$AN$6:$AN$1291,6,Calkos!$AO$6:$AO$1291,2023)</f>
        <v>0</v>
      </c>
      <c r="D10" s="320"/>
      <c r="F10" s="350">
        <f t="shared" si="1"/>
        <v>6</v>
      </c>
      <c r="G10" s="355">
        <f>SUMIFS(Calkos!$F$6:$F$1291,Calkos!$AN$6:$AN$1291,6,Calkos!$AO$6:$AO$1291,2024)</f>
        <v>0</v>
      </c>
      <c r="H10" s="320"/>
      <c r="J10" s="350">
        <f t="shared" si="2"/>
        <v>6</v>
      </c>
      <c r="K10" s="355">
        <f>SUMIFS(Calkos!$F$6:$F$1291,Calkos!$AN$6:$AN$1291,6,Calkos!$AO$6:$AO$1291,2025)</f>
        <v>0</v>
      </c>
      <c r="L10" s="320"/>
    </row>
    <row r="11" spans="1:12" x14ac:dyDescent="0.25">
      <c r="B11" s="350">
        <f t="shared" si="0"/>
        <v>7</v>
      </c>
      <c r="C11" s="355">
        <f>SUMIFS(Calkos!$F$6:$F$1291,Calkos!$AN$6:$AN$1291,7,Calkos!$AO$6:$AO$1291,2023)</f>
        <v>0</v>
      </c>
      <c r="D11" s="320"/>
      <c r="F11" s="350">
        <f t="shared" si="1"/>
        <v>7</v>
      </c>
      <c r="G11" s="355">
        <f>SUMIFS(Calkos!$F$6:$F$1291,Calkos!$AN$6:$AN$1291,7,Calkos!$AO$6:$AO$1291,2024)</f>
        <v>0</v>
      </c>
      <c r="H11" s="320"/>
      <c r="J11" s="350">
        <f t="shared" si="2"/>
        <v>7</v>
      </c>
      <c r="K11" s="355">
        <f>SUMIFS(Calkos!$F$6:$F$1291,Calkos!$AN$6:$AN$1291,7,Calkos!$AO$6:$AO$1291,2025)</f>
        <v>0</v>
      </c>
      <c r="L11" s="320"/>
    </row>
    <row r="12" spans="1:12" x14ac:dyDescent="0.25">
      <c r="B12" s="350">
        <f t="shared" si="0"/>
        <v>8</v>
      </c>
      <c r="C12" s="355">
        <f>SUMIFS(Calkos!$F$6:$F$1291,Calkos!$AN$6:$AN$1291,8,Calkos!$AO$6:$AO$1291,2023)</f>
        <v>0</v>
      </c>
      <c r="D12" s="320"/>
      <c r="F12" s="350">
        <f t="shared" si="1"/>
        <v>8</v>
      </c>
      <c r="G12" s="355">
        <f>SUMIFS(Calkos!$F$6:$F$1291,Calkos!$AN$6:$AN$1291,8,Calkos!$AO$6:$AO$1291,2024)</f>
        <v>0</v>
      </c>
      <c r="H12" s="320"/>
      <c r="J12" s="350">
        <f t="shared" si="2"/>
        <v>8</v>
      </c>
      <c r="K12" s="355">
        <f>SUMIFS(Calkos!$F$6:$F$1291,Calkos!$AN$6:$AN$1291,8,Calkos!$AO$6:$AO$1291,2025)</f>
        <v>0</v>
      </c>
      <c r="L12" s="320"/>
    </row>
    <row r="13" spans="1:12" x14ac:dyDescent="0.25">
      <c r="B13" s="350">
        <f t="shared" si="0"/>
        <v>9</v>
      </c>
      <c r="C13" s="355">
        <f>SUMIFS(Calkos!$F$6:$F$1291,Calkos!$AN$6:$AN$1291,9,Calkos!$AO$6:$AO$1291,2023)</f>
        <v>0</v>
      </c>
      <c r="D13" s="320"/>
      <c r="F13" s="350">
        <f t="shared" si="1"/>
        <v>9</v>
      </c>
      <c r="G13" s="355">
        <f>SUMIFS(Calkos!$F$6:$F$1291,Calkos!$AN$6:$AN$1291,9,Calkos!$AO$6:$AO$1291,2024)</f>
        <v>0</v>
      </c>
      <c r="H13" s="320"/>
      <c r="J13" s="350">
        <f t="shared" si="2"/>
        <v>9</v>
      </c>
      <c r="K13" s="355">
        <f>SUMIFS(Calkos!$F$6:$F$1291,Calkos!$AN$6:$AN$1291,9,Calkos!$AO$6:$AO$1291,2025)</f>
        <v>0</v>
      </c>
      <c r="L13" s="320"/>
    </row>
    <row r="14" spans="1:12" x14ac:dyDescent="0.25">
      <c r="B14" s="350">
        <f t="shared" si="0"/>
        <v>10</v>
      </c>
      <c r="C14" s="355">
        <f>SUMIFS(Calkos!$F$6:$F$1291,Calkos!$AN$6:$AN$1291,10,Calkos!$AO$6:$AO$1291,2023)</f>
        <v>0</v>
      </c>
      <c r="D14" s="320"/>
      <c r="F14" s="350">
        <f t="shared" si="1"/>
        <v>10</v>
      </c>
      <c r="G14" s="355">
        <f>SUMIFS(Calkos!$F$6:$F$1291,Calkos!$AN$6:$AN$1291,10,Calkos!$AO$6:$AO$1291,2024)</f>
        <v>0</v>
      </c>
      <c r="H14" s="320"/>
      <c r="J14" s="350">
        <f t="shared" si="2"/>
        <v>10</v>
      </c>
      <c r="K14" s="355">
        <f>SUMIFS(Calkos!$F$6:$F$1291,Calkos!$AN$6:$AN$1291,10,Calkos!$AO$6:$AO$1291,2025)</f>
        <v>0</v>
      </c>
      <c r="L14" s="320"/>
    </row>
    <row r="15" spans="1:12" x14ac:dyDescent="0.25">
      <c r="B15" s="350">
        <f t="shared" si="0"/>
        <v>11</v>
      </c>
      <c r="C15" s="355">
        <f>SUMIFS(Calkos!$F$6:$F$1291,Calkos!$AN$6:$AN$1291,11,Calkos!$AO$6:$AO$1291,2023)</f>
        <v>0</v>
      </c>
      <c r="D15" s="320"/>
      <c r="F15" s="350">
        <f t="shared" si="1"/>
        <v>11</v>
      </c>
      <c r="G15" s="355">
        <f>SUMIFS(Calkos!$F$6:$F$1291,Calkos!$AN$6:$AN$1291,11,Calkos!$AO$6:$AO$1291,2024)</f>
        <v>0</v>
      </c>
      <c r="H15" s="320"/>
      <c r="J15" s="350">
        <f t="shared" si="2"/>
        <v>11</v>
      </c>
      <c r="K15" s="355">
        <f>SUMIFS(Calkos!$F$6:$F$1291,Calkos!$AN$6:$AN$1291,11,Calkos!$AO$6:$AO$1291,2025)</f>
        <v>0</v>
      </c>
      <c r="L15" s="320"/>
    </row>
    <row r="16" spans="1:12" x14ac:dyDescent="0.25">
      <c r="B16" s="350">
        <f t="shared" si="0"/>
        <v>12</v>
      </c>
      <c r="C16" s="355">
        <f>SUMIFS(Calkos!$F$6:$F$1291,Calkos!$AN$6:$AN$1291,12,Calkos!$AO$6:$AO$1291,2023)</f>
        <v>0</v>
      </c>
      <c r="D16" s="320"/>
      <c r="F16" s="350">
        <f t="shared" si="1"/>
        <v>12</v>
      </c>
      <c r="G16" s="355">
        <f>SUMIFS(Calkos!$F$6:$F$1291,Calkos!$AN$6:$AN$1291,12,Calkos!$AO$6:$AO$1291,2024)</f>
        <v>0</v>
      </c>
      <c r="H16" s="320"/>
      <c r="J16" s="350">
        <f t="shared" si="2"/>
        <v>12</v>
      </c>
      <c r="K16" s="355">
        <f>SUMIFS(Calkos!$F$6:$F$1291,Calkos!$AN$6:$AN$1291,12,Calkos!$AO$6:$AO$1291,2025)</f>
        <v>0</v>
      </c>
      <c r="L16" s="320"/>
    </row>
    <row r="17" spans="2:12" x14ac:dyDescent="0.25">
      <c r="B17" s="350">
        <f t="shared" si="0"/>
        <v>13</v>
      </c>
      <c r="C17" s="355">
        <f>SUMIFS(Calkos!$F$6:$F$1291,Calkos!$AN$6:$AN$1291,13,Calkos!$AO$6:$AO$1291,2023)</f>
        <v>0</v>
      </c>
      <c r="D17" s="320"/>
      <c r="F17" s="350">
        <f t="shared" si="1"/>
        <v>13</v>
      </c>
      <c r="G17" s="355">
        <f>SUMIFS(Calkos!$F$6:$F$1291,Calkos!$AN$6:$AN$1291,13,Calkos!$AO$6:$AO$1291,2024)</f>
        <v>0</v>
      </c>
      <c r="H17" s="320"/>
      <c r="J17" s="350">
        <f t="shared" si="2"/>
        <v>13</v>
      </c>
      <c r="K17" s="355">
        <f>SUMIFS(Calkos!$F$6:$F$1291,Calkos!$AN$6:$AN$1291,13,Calkos!$AO$6:$AO$1291,2025)</f>
        <v>0</v>
      </c>
      <c r="L17" s="320"/>
    </row>
    <row r="18" spans="2:12" x14ac:dyDescent="0.25">
      <c r="B18" s="350">
        <f t="shared" si="0"/>
        <v>14</v>
      </c>
      <c r="C18" s="355">
        <f>SUMIFS(Calkos!$F$6:$F$1291,Calkos!$AN$6:$AN$1291,14,Calkos!$AO$6:$AO$1291,2023)</f>
        <v>0</v>
      </c>
      <c r="D18" s="320"/>
      <c r="F18" s="350">
        <f t="shared" si="1"/>
        <v>14</v>
      </c>
      <c r="G18" s="355">
        <f>SUMIFS(Calkos!$F$6:$F$1291,Calkos!$AN$6:$AN$1291,14,Calkos!$AO$6:$AO$1291,2024)</f>
        <v>0</v>
      </c>
      <c r="H18" s="320"/>
      <c r="J18" s="350">
        <f t="shared" si="2"/>
        <v>14</v>
      </c>
      <c r="K18" s="355">
        <f>SUMIFS(Calkos!$F$6:$F$1291,Calkos!$AN$6:$AN$1291,14,Calkos!$AO$6:$AO$1291,2025)</f>
        <v>0</v>
      </c>
      <c r="L18" s="320"/>
    </row>
    <row r="19" spans="2:12" x14ac:dyDescent="0.25">
      <c r="B19" s="350">
        <f t="shared" si="0"/>
        <v>15</v>
      </c>
      <c r="C19" s="355">
        <f>SUMIFS(Calkos!$F$6:$F$1291,Calkos!$AN$6:$AN$1291,15,Calkos!$AO$6:$AO$1291,2023)</f>
        <v>0</v>
      </c>
      <c r="D19" s="320"/>
      <c r="F19" s="350">
        <f t="shared" si="1"/>
        <v>15</v>
      </c>
      <c r="G19" s="355">
        <f>SUMIFS(Calkos!$F$6:$F$1291,Calkos!$AN$6:$AN$1291,15,Calkos!$AO$6:$AO$1291,2024)</f>
        <v>0</v>
      </c>
      <c r="H19" s="320"/>
      <c r="J19" s="350">
        <f t="shared" si="2"/>
        <v>15</v>
      </c>
      <c r="K19" s="355">
        <f>SUMIFS(Calkos!$F$6:$F$1291,Calkos!$AN$6:$AN$1291,15,Calkos!$AO$6:$AO$1291,2025)</f>
        <v>0</v>
      </c>
      <c r="L19" s="320"/>
    </row>
    <row r="20" spans="2:12" x14ac:dyDescent="0.25">
      <c r="B20" s="350">
        <f t="shared" si="0"/>
        <v>16</v>
      </c>
      <c r="C20" s="355">
        <f>SUMIFS(Calkos!$F$6:$F$1291,Calkos!$AN$6:$AN$1291,16,Calkos!$AO$6:$AO$1291,2023)</f>
        <v>0</v>
      </c>
      <c r="D20" s="320"/>
      <c r="F20" s="350">
        <f t="shared" si="1"/>
        <v>16</v>
      </c>
      <c r="G20" s="355">
        <f>SUMIFS(Calkos!$F$6:$F$1291,Calkos!$AN$6:$AN$1291,16,Calkos!$AO$6:$AO$1291,2024)</f>
        <v>0</v>
      </c>
      <c r="H20" s="320"/>
      <c r="J20" s="350">
        <f t="shared" si="2"/>
        <v>16</v>
      </c>
      <c r="K20" s="355">
        <f>SUMIFS(Calkos!$F$6:$F$1291,Calkos!$AN$6:$AN$1291,16,Calkos!$AO$6:$AO$1291,2025)</f>
        <v>0</v>
      </c>
      <c r="L20" s="320"/>
    </row>
    <row r="21" spans="2:12" x14ac:dyDescent="0.25">
      <c r="B21" s="350">
        <f t="shared" si="0"/>
        <v>17</v>
      </c>
      <c r="C21" s="355">
        <f>SUMIFS(Calkos!$F$6:$F$1291,Calkos!$AN$6:$AN$1291,17,Calkos!$AO$6:$AO$1291,2023)</f>
        <v>0</v>
      </c>
      <c r="D21" s="320"/>
      <c r="F21" s="350">
        <f t="shared" si="1"/>
        <v>17</v>
      </c>
      <c r="G21" s="355">
        <f>SUMIFS(Calkos!$F$6:$F$1291,Calkos!$AN$6:$AN$1291,17,Calkos!$AO$6:$AO$1291,2024)</f>
        <v>0</v>
      </c>
      <c r="H21" s="320"/>
      <c r="J21" s="350">
        <f t="shared" si="2"/>
        <v>17</v>
      </c>
      <c r="K21" s="355">
        <f>SUMIFS(Calkos!$F$6:$F$1291,Calkos!$AN$6:$AN$1291,17,Calkos!$AO$6:$AO$1291,2025)</f>
        <v>0</v>
      </c>
      <c r="L21" s="320"/>
    </row>
    <row r="22" spans="2:12" x14ac:dyDescent="0.25">
      <c r="B22" s="350">
        <f t="shared" si="0"/>
        <v>18</v>
      </c>
      <c r="C22" s="355">
        <f>SUMIFS(Calkos!$F$6:$F$1291,Calkos!$AN$6:$AN$1291,18,Calkos!$AO$6:$AO$1291,2023)</f>
        <v>0</v>
      </c>
      <c r="D22" s="320"/>
      <c r="F22" s="350">
        <f t="shared" si="1"/>
        <v>18</v>
      </c>
      <c r="G22" s="355">
        <f>SUMIFS(Calkos!$F$6:$F$1291,Calkos!$AN$6:$AN$1291,18,Calkos!$AO$6:$AO$1291,2024)</f>
        <v>0</v>
      </c>
      <c r="H22" s="320"/>
      <c r="J22" s="350">
        <f t="shared" si="2"/>
        <v>18</v>
      </c>
      <c r="K22" s="355">
        <f>SUMIFS(Calkos!$F$6:$F$1291,Calkos!$AN$6:$AN$1291,18,Calkos!$AO$6:$AO$1291,2025)</f>
        <v>0</v>
      </c>
      <c r="L22" s="320"/>
    </row>
    <row r="23" spans="2:12" x14ac:dyDescent="0.25">
      <c r="B23" s="350">
        <f t="shared" si="0"/>
        <v>19</v>
      </c>
      <c r="C23" s="355">
        <f>SUMIFS(Calkos!$F$6:$F$1291,Calkos!$AN$6:$AN$1291,19,Calkos!$AO$6:$AO$1291,2023)</f>
        <v>0</v>
      </c>
      <c r="D23" s="320"/>
      <c r="F23" s="350">
        <f t="shared" si="1"/>
        <v>19</v>
      </c>
      <c r="G23" s="355">
        <f>SUMIFS(Calkos!$F$6:$F$1291,Calkos!$AN$6:$AN$1291,19,Calkos!$AO$6:$AO$1291,2024)</f>
        <v>0</v>
      </c>
      <c r="H23" s="320"/>
      <c r="J23" s="350">
        <f t="shared" si="2"/>
        <v>19</v>
      </c>
      <c r="K23" s="355">
        <f>SUMIFS(Calkos!$F$6:$F$1291,Calkos!$AN$6:$AN$1291,19,Calkos!$AO$6:$AO$1291,2025)</f>
        <v>0</v>
      </c>
      <c r="L23" s="320"/>
    </row>
    <row r="24" spans="2:12" x14ac:dyDescent="0.25">
      <c r="B24" s="350">
        <f t="shared" si="0"/>
        <v>20</v>
      </c>
      <c r="C24" s="355">
        <f>SUMIFS(Calkos!$F$6:$F$1291,Calkos!$AN$6:$AN$1291,20,Calkos!$AO$6:$AO$1291,2023)</f>
        <v>0</v>
      </c>
      <c r="D24" s="320"/>
      <c r="F24" s="350">
        <f t="shared" si="1"/>
        <v>20</v>
      </c>
      <c r="G24" s="355">
        <f>SUMIFS(Calkos!$F$6:$F$1291,Calkos!$AN$6:$AN$1291,20,Calkos!$AO$6:$AO$1291,2024)</f>
        <v>0</v>
      </c>
      <c r="H24" s="320"/>
      <c r="J24" s="350">
        <f t="shared" si="2"/>
        <v>20</v>
      </c>
      <c r="K24" s="355">
        <f>SUMIFS(Calkos!$F$6:$F$1291,Calkos!$AN$6:$AN$1291,20,Calkos!$AO$6:$AO$1291,2025)</f>
        <v>0</v>
      </c>
      <c r="L24" s="320"/>
    </row>
    <row r="25" spans="2:12" x14ac:dyDescent="0.25">
      <c r="B25" s="350">
        <f t="shared" si="0"/>
        <v>21</v>
      </c>
      <c r="C25" s="355">
        <f>SUMIFS(Calkos!$F$6:$F$1291,Calkos!$AN$6:$AN$1291,21,Calkos!$AO$6:$AO$1291,2023)</f>
        <v>0</v>
      </c>
      <c r="D25" s="320"/>
      <c r="F25" s="350">
        <f t="shared" si="1"/>
        <v>21</v>
      </c>
      <c r="G25" s="355">
        <f>SUMIFS(Calkos!$F$6:$F$1291,Calkos!$AN$6:$AN$1291,21,Calkos!$AO$6:$AO$1291,2024)</f>
        <v>0</v>
      </c>
      <c r="H25" s="320"/>
      <c r="J25" s="350">
        <f t="shared" si="2"/>
        <v>21</v>
      </c>
      <c r="K25" s="355">
        <f>SUMIFS(Calkos!$F$6:$F$1291,Calkos!$AN$6:$AN$1291,21,Calkos!$AO$6:$AO$1291,2025)</f>
        <v>0</v>
      </c>
      <c r="L25" s="320"/>
    </row>
    <row r="26" spans="2:12" x14ac:dyDescent="0.25">
      <c r="B26" s="350">
        <f t="shared" si="0"/>
        <v>22</v>
      </c>
      <c r="C26" s="355">
        <f>SUMIFS(Calkos!$F$6:$F$1291,Calkos!$AN$6:$AN$1291,22,Calkos!$AO$6:$AO$1291,2023)</f>
        <v>0</v>
      </c>
      <c r="D26" s="320"/>
      <c r="F26" s="350">
        <f t="shared" si="1"/>
        <v>22</v>
      </c>
      <c r="G26" s="355">
        <f>SUMIFS(Calkos!$F$6:$F$1291,Calkos!$AN$6:$AN$1291,22,Calkos!$AO$6:$AO$1291,2024)</f>
        <v>0</v>
      </c>
      <c r="H26" s="320"/>
      <c r="J26" s="350">
        <f t="shared" si="2"/>
        <v>22</v>
      </c>
      <c r="K26" s="355">
        <f>SUMIFS(Calkos!$F$6:$F$1291,Calkos!$AN$6:$AN$1291,22,Calkos!$AO$6:$AO$1291,2025)</f>
        <v>0</v>
      </c>
      <c r="L26" s="320"/>
    </row>
    <row r="27" spans="2:12" x14ac:dyDescent="0.25">
      <c r="B27" s="350">
        <f t="shared" si="0"/>
        <v>23</v>
      </c>
      <c r="C27" s="355">
        <f>SUMIFS(Calkos!$F$6:$F$1291,Calkos!$AN$6:$AN$1291,23,Calkos!$AO$6:$AO$1291,2023)</f>
        <v>0</v>
      </c>
      <c r="D27" s="320"/>
      <c r="F27" s="350">
        <f t="shared" si="1"/>
        <v>23</v>
      </c>
      <c r="G27" s="355">
        <f>SUMIFS(Calkos!$F$6:$F$1291,Calkos!$AN$6:$AN$1291,23,Calkos!$AO$6:$AO$1291,2024)</f>
        <v>0</v>
      </c>
      <c r="H27" s="320"/>
      <c r="J27" s="350">
        <f t="shared" si="2"/>
        <v>23</v>
      </c>
      <c r="K27" s="355">
        <f>SUMIFS(Calkos!$F$6:$F$1291,Calkos!$AN$6:$AN$1291,23,Calkos!$AO$6:$AO$1291,2025)</f>
        <v>0</v>
      </c>
      <c r="L27" s="320"/>
    </row>
    <row r="28" spans="2:12" x14ac:dyDescent="0.25">
      <c r="B28" s="350">
        <f t="shared" si="0"/>
        <v>24</v>
      </c>
      <c r="C28" s="355">
        <f>SUMIFS(Calkos!$F$6:$F$1291,Calkos!$AN$6:$AN$1291,24,Calkos!$AO$6:$AO$1291,2023)</f>
        <v>0</v>
      </c>
      <c r="D28" s="320"/>
      <c r="F28" s="350">
        <f t="shared" si="1"/>
        <v>24</v>
      </c>
      <c r="G28" s="355">
        <f>SUMIFS(Calkos!$F$6:$F$1291,Calkos!$AN$6:$AN$1291,24,Calkos!$AO$6:$AO$1291,2024)</f>
        <v>0</v>
      </c>
      <c r="H28" s="320"/>
      <c r="J28" s="350">
        <f t="shared" si="2"/>
        <v>24</v>
      </c>
      <c r="K28" s="355">
        <f>SUMIFS(Calkos!$F$6:$F$1291,Calkos!$AN$6:$AN$1291,24,Calkos!$AO$6:$AO$1291,2054)</f>
        <v>0</v>
      </c>
      <c r="L28" s="320"/>
    </row>
    <row r="29" spans="2:12" x14ac:dyDescent="0.25">
      <c r="B29" s="350">
        <f t="shared" si="0"/>
        <v>25</v>
      </c>
      <c r="C29" s="355">
        <f>SUMIFS(Calkos!$F$6:$F$1291,Calkos!$AN$6:$AN$1291,25,Calkos!$AO$6:$AO$1291,2023)</f>
        <v>0</v>
      </c>
      <c r="D29" s="320"/>
      <c r="F29" s="350">
        <f t="shared" si="1"/>
        <v>25</v>
      </c>
      <c r="G29" s="355">
        <f>SUMIFS(Calkos!$F$6:$F$1291,Calkos!$AN$6:$AN$1291,25,Calkos!$AO$6:$AO$1291,2024)</f>
        <v>0</v>
      </c>
      <c r="H29" s="320"/>
      <c r="J29" s="350">
        <f t="shared" si="2"/>
        <v>25</v>
      </c>
      <c r="K29" s="355">
        <f>SUMIFS(Calkos!$F$6:$F$1291,Calkos!$AN$6:$AN$1291,25,Calkos!$AO$6:$AO$1291,2054)</f>
        <v>0</v>
      </c>
      <c r="L29" s="320"/>
    </row>
    <row r="30" spans="2:12" x14ac:dyDescent="0.25">
      <c r="B30" s="350">
        <f t="shared" si="0"/>
        <v>26</v>
      </c>
      <c r="C30" s="355">
        <f>SUMIFS(Calkos!$F$6:$F$1291,Calkos!$AN$6:$AN$1291,26,Calkos!$AO$6:$AO$1291,2023)</f>
        <v>0</v>
      </c>
      <c r="D30" s="320"/>
      <c r="F30" s="350">
        <f t="shared" si="1"/>
        <v>26</v>
      </c>
      <c r="G30" s="355">
        <f>SUMIFS(Calkos!$F$6:$F$1291,Calkos!$AN$6:$AN$1291,26,Calkos!$AO$6:$AO$1291,2024)</f>
        <v>0</v>
      </c>
      <c r="H30" s="320"/>
      <c r="J30" s="350">
        <f t="shared" si="2"/>
        <v>26</v>
      </c>
      <c r="K30" s="355">
        <f>SUMIFS(Calkos!$F$6:$F$1291,Calkos!$AN$6:$AN$1291,26,Calkos!$AO$6:$AO$1291,2054)</f>
        <v>0</v>
      </c>
      <c r="L30" s="320"/>
    </row>
    <row r="31" spans="2:12" x14ac:dyDescent="0.25">
      <c r="B31" s="350">
        <f t="shared" si="0"/>
        <v>27</v>
      </c>
      <c r="C31" s="355">
        <f>SUMIFS(Calkos!$F$6:$F$1291,Calkos!$AN$6:$AN$1291,27,Calkos!$AO$6:$AO$1291,2023)</f>
        <v>0</v>
      </c>
      <c r="D31" s="320"/>
      <c r="F31" s="350">
        <f t="shared" si="1"/>
        <v>27</v>
      </c>
      <c r="G31" s="355">
        <f>SUMIFS(Calkos!$F$6:$F$1291,Calkos!$AN$6:$AN$1291,27,Calkos!$AO$6:$AO$1291,2024)</f>
        <v>0</v>
      </c>
      <c r="H31" s="320"/>
      <c r="J31" s="350">
        <f t="shared" si="2"/>
        <v>27</v>
      </c>
      <c r="K31" s="355">
        <f>SUMIFS(Calkos!$F$6:$F$1291,Calkos!$AN$6:$AN$1291,27,Calkos!$AO$6:$AO$1291,2054)</f>
        <v>0</v>
      </c>
      <c r="L31" s="320"/>
    </row>
    <row r="32" spans="2:12" x14ac:dyDescent="0.25">
      <c r="B32" s="350">
        <f t="shared" si="0"/>
        <v>28</v>
      </c>
      <c r="C32" s="355">
        <f>SUMIFS(Calkos!$F$6:$F$1291,Calkos!$AN$6:$AN$1291,28,Calkos!$AO$6:$AO$1291,2023)</f>
        <v>0</v>
      </c>
      <c r="D32" s="320"/>
      <c r="F32" s="350">
        <f t="shared" si="1"/>
        <v>28</v>
      </c>
      <c r="G32" s="355">
        <f>SUMIFS(Calkos!$F$6:$F$1291,Calkos!$AN$6:$AN$1291,28,Calkos!$AO$6:$AO$1291,2024)</f>
        <v>0</v>
      </c>
      <c r="H32" s="320"/>
      <c r="J32" s="350">
        <f t="shared" si="2"/>
        <v>28</v>
      </c>
      <c r="K32" s="355">
        <f>SUMIFS(Calkos!$F$6:$F$1291,Calkos!$AN$6:$AN$1291,28,Calkos!$AO$6:$AO$1291,2054)</f>
        <v>0</v>
      </c>
      <c r="L32" s="320"/>
    </row>
    <row r="33" spans="2:12" x14ac:dyDescent="0.25">
      <c r="B33" s="350">
        <f t="shared" si="0"/>
        <v>29</v>
      </c>
      <c r="C33" s="355">
        <f>SUMIFS(Calkos!$F$6:$F$1291,Calkos!$AN$6:$AN$1291,29,Calkos!$AO$6:$AO$1291,2023)</f>
        <v>0</v>
      </c>
      <c r="D33" s="320"/>
      <c r="F33" s="350">
        <f t="shared" si="1"/>
        <v>29</v>
      </c>
      <c r="G33" s="355">
        <f>SUMIFS(Calkos!$F$6:$F$1291,Calkos!$AN$6:$AN$1291,29,Calkos!$AO$6:$AO$1291,2024)</f>
        <v>0</v>
      </c>
      <c r="H33" s="320"/>
      <c r="J33" s="350">
        <f t="shared" si="2"/>
        <v>29</v>
      </c>
      <c r="K33" s="355">
        <f>SUMIFS(Calkos!$F$6:$F$1291,Calkos!$AN$6:$AN$1291,29,Calkos!$AO$6:$AO$1291,2054)</f>
        <v>0</v>
      </c>
      <c r="L33" s="320"/>
    </row>
    <row r="34" spans="2:12" x14ac:dyDescent="0.25">
      <c r="B34" s="350">
        <f t="shared" si="0"/>
        <v>30</v>
      </c>
      <c r="C34" s="355">
        <f>SUMIFS(Calkos!$F$6:$F$1291,Calkos!$AN$6:$AN$1291,30,Calkos!$AO$6:$AO$1291,2023)</f>
        <v>0</v>
      </c>
      <c r="D34" s="320"/>
      <c r="F34" s="350">
        <f t="shared" si="1"/>
        <v>30</v>
      </c>
      <c r="G34" s="355">
        <f>SUMIFS(Calkos!$F$6:$F$1291,Calkos!$AN$6:$AN$1291,30,Calkos!$AO$6:$AO$1291,2024)</f>
        <v>0</v>
      </c>
      <c r="H34" s="320"/>
      <c r="J34" s="350">
        <f t="shared" si="2"/>
        <v>30</v>
      </c>
      <c r="K34" s="355">
        <f>SUMIFS(Calkos!$F$6:$F$1291,Calkos!$AN$6:$AN$1291,30,Calkos!$AO$6:$AO$1291,2054)</f>
        <v>0</v>
      </c>
      <c r="L34" s="320"/>
    </row>
    <row r="35" spans="2:12" x14ac:dyDescent="0.25">
      <c r="B35" s="350">
        <f t="shared" si="0"/>
        <v>31</v>
      </c>
      <c r="C35" s="355">
        <f>SUMIFS(Calkos!$F$6:$F$1291,Calkos!$AN$6:$AN$1291,31,Calkos!$AO$6:$AO$1291,2023)</f>
        <v>0</v>
      </c>
      <c r="D35" s="320"/>
      <c r="F35" s="350">
        <f t="shared" si="1"/>
        <v>31</v>
      </c>
      <c r="G35" s="355">
        <f>SUMIFS(Calkos!$F$6:$F$1291,Calkos!$AN$6:$AN$1291,31,Calkos!$AO$6:$AO$1291,2024)</f>
        <v>0</v>
      </c>
      <c r="H35" s="320"/>
      <c r="J35" s="350">
        <f t="shared" si="2"/>
        <v>31</v>
      </c>
      <c r="K35" s="355">
        <f>SUMIFS(Calkos!$F$6:$F$1291,Calkos!$AN$6:$AN$1291,31,Calkos!$AO$6:$AO$1291,2054)</f>
        <v>0</v>
      </c>
      <c r="L35" s="320"/>
    </row>
    <row r="36" spans="2:12" x14ac:dyDescent="0.25">
      <c r="B36" s="350">
        <f t="shared" si="0"/>
        <v>32</v>
      </c>
      <c r="C36" s="355">
        <f>SUMIFS(Calkos!$F$6:$F$1291,Calkos!$AN$6:$AN$1291,32,Calkos!$AO$6:$AO$1291,2023)</f>
        <v>0</v>
      </c>
      <c r="D36" s="320"/>
      <c r="F36" s="350">
        <f t="shared" si="1"/>
        <v>32</v>
      </c>
      <c r="G36" s="355">
        <f>SUMIFS(Calkos!$F$6:$F$1291,Calkos!$AN$6:$AN$1291,32,Calkos!$AO$6:$AO$1291,2024)</f>
        <v>0</v>
      </c>
      <c r="H36" s="320"/>
      <c r="J36" s="350">
        <f t="shared" si="2"/>
        <v>32</v>
      </c>
      <c r="K36" s="355">
        <f>SUMIFS(Calkos!$F$6:$F$1291,Calkos!$AN$6:$AN$1291,32,Calkos!$AO$6:$AO$1291,2054)</f>
        <v>0</v>
      </c>
      <c r="L36" s="320"/>
    </row>
    <row r="37" spans="2:12" x14ac:dyDescent="0.25">
      <c r="B37" s="350">
        <f t="shared" si="0"/>
        <v>33</v>
      </c>
      <c r="C37" s="355">
        <f>SUMIFS(Calkos!$F$6:$F$1291,Calkos!$AN$6:$AN$1291,33,Calkos!$AO$6:$AO$1291,2023)</f>
        <v>0</v>
      </c>
      <c r="D37" s="320"/>
      <c r="F37" s="350">
        <f t="shared" si="1"/>
        <v>33</v>
      </c>
      <c r="G37" s="355">
        <f>SUMIFS(Calkos!$F$6:$F$1291,Calkos!$AN$6:$AN$1291,33,Calkos!$AO$6:$AO$1291,2024)</f>
        <v>0</v>
      </c>
      <c r="H37" s="320"/>
      <c r="J37" s="350">
        <f t="shared" si="2"/>
        <v>33</v>
      </c>
      <c r="K37" s="355">
        <f>SUMIFS(Calkos!$F$6:$F$1291,Calkos!$AN$6:$AN$1291,33,Calkos!$AO$6:$AO$1291,2025)</f>
        <v>0</v>
      </c>
      <c r="L37" s="320"/>
    </row>
    <row r="38" spans="2:12" x14ac:dyDescent="0.25">
      <c r="B38" s="350">
        <f t="shared" si="0"/>
        <v>34</v>
      </c>
      <c r="C38" s="355">
        <f>SUMIFS(Calkos!$F$6:$F$1291,Calkos!$AN$6:$AN$1291,34,Calkos!$AO$6:$AO$1291,2023)</f>
        <v>0</v>
      </c>
      <c r="D38" s="320"/>
      <c r="F38" s="350">
        <f t="shared" si="1"/>
        <v>34</v>
      </c>
      <c r="G38" s="355">
        <f>SUMIFS(Calkos!$F$6:$F$1291,Calkos!$AN$6:$AN$1291,34,Calkos!$AO$6:$AO$1291,2024)</f>
        <v>0</v>
      </c>
      <c r="H38" s="320"/>
      <c r="J38" s="350">
        <f t="shared" si="2"/>
        <v>34</v>
      </c>
      <c r="K38" s="355">
        <f>SUMIFS(Calkos!$F$6:$F$1291,Calkos!$AN$6:$AN$1291,34,Calkos!$AO$6:$AO$1291,2025)</f>
        <v>0</v>
      </c>
      <c r="L38" s="320"/>
    </row>
    <row r="39" spans="2:12" x14ac:dyDescent="0.25">
      <c r="B39" s="350">
        <f t="shared" si="0"/>
        <v>35</v>
      </c>
      <c r="C39" s="355">
        <f>SUMIFS(Calkos!$F$6:$F$1291,Calkos!$AN$6:$AN$1291,35,Calkos!$AO$6:$AO$1291,2023)</f>
        <v>0</v>
      </c>
      <c r="D39" s="320"/>
      <c r="F39" s="350">
        <f t="shared" si="1"/>
        <v>35</v>
      </c>
      <c r="G39" s="355">
        <f>SUMIFS(Calkos!$F$6:$F$1291,Calkos!$AN$6:$AN$1291,35,Calkos!$AO$6:$AO$1291,2024)</f>
        <v>0</v>
      </c>
      <c r="H39" s="320"/>
      <c r="J39" s="350">
        <f t="shared" si="2"/>
        <v>35</v>
      </c>
      <c r="K39" s="355">
        <f>SUMIFS(Calkos!$F$6:$F$1291,Calkos!$AN$6:$AN$1291,35,Calkos!$AO$6:$AO$1291,2025)</f>
        <v>0</v>
      </c>
      <c r="L39" s="320"/>
    </row>
    <row r="40" spans="2:12" x14ac:dyDescent="0.25">
      <c r="B40" s="350">
        <f t="shared" si="0"/>
        <v>36</v>
      </c>
      <c r="C40" s="355">
        <f>SUMIFS(Calkos!$F$6:$F$1291,Calkos!$AN$6:$AN$1291,36,Calkos!$AO$6:$AO$1291,2023)</f>
        <v>0</v>
      </c>
      <c r="D40" s="320"/>
      <c r="F40" s="350">
        <f t="shared" si="1"/>
        <v>36</v>
      </c>
      <c r="G40" s="355">
        <f>SUMIFS(Calkos!$F$6:$F$1291,Calkos!$AN$6:$AN$1291,36,Calkos!$AO$6:$AO$1291,2024)</f>
        <v>0</v>
      </c>
      <c r="H40" s="320"/>
      <c r="J40" s="350">
        <f t="shared" si="2"/>
        <v>36</v>
      </c>
      <c r="K40" s="355">
        <f>SUMIFS(Calkos!$F$6:$F$1291,Calkos!$AN$6:$AN$1291,36,Calkos!$AO$6:$AO$1291,2025)</f>
        <v>0</v>
      </c>
      <c r="L40" s="320"/>
    </row>
    <row r="41" spans="2:12" x14ac:dyDescent="0.25">
      <c r="B41" s="350">
        <f t="shared" si="0"/>
        <v>37</v>
      </c>
      <c r="C41" s="355">
        <f>SUMIFS(Calkos!$F$6:$F$1291,Calkos!$AN$6:$AN$1291,37,Calkos!$AO$6:$AO$1291,2023)</f>
        <v>0</v>
      </c>
      <c r="D41" s="320"/>
      <c r="F41" s="350">
        <f t="shared" si="1"/>
        <v>37</v>
      </c>
      <c r="G41" s="355">
        <f>SUMIFS(Calkos!$F$6:$F$1291,Calkos!$AN$6:$AN$1291,37,Calkos!$AO$6:$AO$1291,2024)</f>
        <v>0</v>
      </c>
      <c r="H41" s="320"/>
      <c r="J41" s="350">
        <f t="shared" si="2"/>
        <v>37</v>
      </c>
      <c r="K41" s="355">
        <f>SUMIFS(Calkos!$F$6:$F$1291,Calkos!$AN$6:$AN$1291,37,Calkos!$AO$6:$AO$1291,2025)</f>
        <v>0</v>
      </c>
      <c r="L41" s="320"/>
    </row>
    <row r="42" spans="2:12" x14ac:dyDescent="0.25">
      <c r="B42" s="350">
        <f t="shared" si="0"/>
        <v>38</v>
      </c>
      <c r="C42" s="355">
        <f>SUMIFS(Calkos!$F$6:$F$1291,Calkos!$AN$6:$AN$1291,38,Calkos!$AO$6:$AO$1291,2023)</f>
        <v>0</v>
      </c>
      <c r="D42" s="320"/>
      <c r="F42" s="350">
        <f t="shared" si="1"/>
        <v>38</v>
      </c>
      <c r="G42" s="355">
        <f>SUMIFS(Calkos!$F$6:$F$1291,Calkos!$AN$6:$AN$1291,38,Calkos!$AO$6:$AO$1291,2024)</f>
        <v>0</v>
      </c>
      <c r="H42" s="320"/>
      <c r="J42" s="350">
        <f t="shared" si="2"/>
        <v>38</v>
      </c>
      <c r="K42" s="355">
        <f>SUMIFS(Calkos!$F$6:$F$1291,Calkos!$AN$6:$AN$1291,38,Calkos!$AO$6:$AO$1291,2025)</f>
        <v>0</v>
      </c>
      <c r="L42" s="320"/>
    </row>
    <row r="43" spans="2:12" x14ac:dyDescent="0.25">
      <c r="B43" s="350">
        <f t="shared" si="0"/>
        <v>39</v>
      </c>
      <c r="C43" s="355">
        <f>SUMIFS(Calkos!$F$6:$F$1291,Calkos!$AN$6:$AN$1291,39,Calkos!$AO$6:$AO$1291,2023)</f>
        <v>0</v>
      </c>
      <c r="D43" s="320"/>
      <c r="F43" s="350">
        <f t="shared" si="1"/>
        <v>39</v>
      </c>
      <c r="G43" s="355">
        <f>SUMIFS(Calkos!$F$6:$F$1291,Calkos!$AN$6:$AN$1291,39,Calkos!$AO$6:$AO$1291,2024)</f>
        <v>0</v>
      </c>
      <c r="H43" s="320"/>
      <c r="J43" s="350">
        <f t="shared" si="2"/>
        <v>39</v>
      </c>
      <c r="K43" s="355">
        <f>SUMIFS(Calkos!$F$6:$F$1291,Calkos!$AN$6:$AN$1291,39,Calkos!$AO$6:$AO$1291,2025)</f>
        <v>0</v>
      </c>
      <c r="L43" s="320"/>
    </row>
    <row r="44" spans="2:12" x14ac:dyDescent="0.25">
      <c r="B44" s="350">
        <f t="shared" si="0"/>
        <v>40</v>
      </c>
      <c r="C44" s="355">
        <f>SUMIFS(Calkos!$F$6:$F$1291,Calkos!$AN$6:$AN$1291,40,Calkos!$AO$6:$AO$1291,2023)</f>
        <v>0</v>
      </c>
      <c r="D44" s="320"/>
      <c r="F44" s="350">
        <f t="shared" si="1"/>
        <v>40</v>
      </c>
      <c r="G44" s="355">
        <f>SUMIFS(Calkos!$F$6:$F$1291,Calkos!$AN$6:$AN$1291,40,Calkos!$AO$6:$AO$1291,2024)</f>
        <v>0</v>
      </c>
      <c r="H44" s="320"/>
      <c r="J44" s="350">
        <f t="shared" si="2"/>
        <v>40</v>
      </c>
      <c r="K44" s="355">
        <f>SUMIFS(Calkos!$F$6:$F$1291,Calkos!$AN$6:$AN$1291,40,Calkos!$AO$6:$AO$1291,2025)</f>
        <v>850</v>
      </c>
      <c r="L44" s="320"/>
    </row>
    <row r="45" spans="2:12" x14ac:dyDescent="0.25">
      <c r="B45" s="350">
        <f t="shared" si="0"/>
        <v>41</v>
      </c>
      <c r="C45" s="355">
        <f>SUMIFS(Calkos!$F$6:$F$1291,Calkos!$AN$6:$AN$1291,41,Calkos!$AO$6:$AO$1291,2023)</f>
        <v>0</v>
      </c>
      <c r="D45" s="320"/>
      <c r="F45" s="350">
        <f t="shared" si="1"/>
        <v>41</v>
      </c>
      <c r="G45" s="355">
        <f>SUMIFS(Calkos!$F$6:$F$1291,Calkos!$AN$6:$AN$1291,41,Calkos!$AO$6:$AO$1291,2024)</f>
        <v>0</v>
      </c>
      <c r="H45" s="320"/>
      <c r="J45" s="350">
        <f t="shared" si="2"/>
        <v>41</v>
      </c>
      <c r="K45" s="355">
        <f>SUMIFS(Calkos!$F$6:$F$1291,Calkos!$AN$6:$AN$1291,41,Calkos!$AO$6:$AO$1291,2025)</f>
        <v>0</v>
      </c>
      <c r="L45" s="320"/>
    </row>
    <row r="46" spans="2:12" x14ac:dyDescent="0.25">
      <c r="B46" s="350">
        <f t="shared" si="0"/>
        <v>42</v>
      </c>
      <c r="C46" s="355">
        <f>SUMIFS(Calkos!$F$6:$F$1291,Calkos!$AN$6:$AN$1291,42,Calkos!$AO$6:$AO$1291,2023)</f>
        <v>0</v>
      </c>
      <c r="D46" s="320"/>
      <c r="F46" s="350">
        <f t="shared" si="1"/>
        <v>42</v>
      </c>
      <c r="G46" s="355">
        <f>SUMIFS(Calkos!$F$6:$F$1291,Calkos!$AN$6:$AN$1291,42,Calkos!$AO$6:$AO$1291,2024)</f>
        <v>0</v>
      </c>
      <c r="H46" s="320"/>
      <c r="J46" s="350">
        <f t="shared" si="2"/>
        <v>42</v>
      </c>
      <c r="K46" s="355">
        <f>SUMIFS(Calkos!$F$6:$F$1291,Calkos!$AN$6:$AN$1291,42,Calkos!$AO$6:$AO$1291,2025)</f>
        <v>350</v>
      </c>
      <c r="L46" s="320"/>
    </row>
    <row r="47" spans="2:12" x14ac:dyDescent="0.25">
      <c r="B47" s="350">
        <f t="shared" si="0"/>
        <v>43</v>
      </c>
      <c r="C47" s="355">
        <f>SUMIFS(Calkos!$F$6:$F$1291,Calkos!$AN$6:$AN$1291,43,Calkos!$AO$6:$AO$1291,2023)</f>
        <v>0</v>
      </c>
      <c r="D47" s="320"/>
      <c r="F47" s="350">
        <f t="shared" si="1"/>
        <v>43</v>
      </c>
      <c r="G47" s="355">
        <f>SUMIFS(Calkos!$F$6:$F$1291,Calkos!$AN$6:$AN$1291,43,Calkos!$AO$6:$AO$1291,2021)</f>
        <v>0</v>
      </c>
      <c r="H47" s="320"/>
      <c r="J47" s="350">
        <f t="shared" si="2"/>
        <v>43</v>
      </c>
      <c r="K47" s="355">
        <f>SUMIFS(Calkos!$F$6:$F$1291,Calkos!$AN$6:$AN$1291,43,Calkos!$AO$6:$AO$1291,2025)</f>
        <v>0</v>
      </c>
      <c r="L47" s="320"/>
    </row>
    <row r="48" spans="2:12" x14ac:dyDescent="0.25">
      <c r="B48" s="350">
        <f t="shared" si="0"/>
        <v>44</v>
      </c>
      <c r="C48" s="355">
        <f>SUMIFS(Calkos!$F$6:$F$1291,Calkos!$AN$6:$AN$1291,44,Calkos!$AO$6:$AO$1291,2023)</f>
        <v>0</v>
      </c>
      <c r="D48" s="320"/>
      <c r="F48" s="350">
        <f t="shared" si="1"/>
        <v>44</v>
      </c>
      <c r="G48" s="355">
        <f>SUMIFS(Calkos!$F$6:$F$1291,Calkos!$AN$6:$AN$1291,44,Calkos!$AO$6:$AO$1291,2024)</f>
        <v>0</v>
      </c>
      <c r="H48" s="320"/>
      <c r="J48" s="350">
        <f t="shared" si="2"/>
        <v>44</v>
      </c>
      <c r="K48" s="355">
        <f>SUMIFS(Calkos!$F$6:$F$1291,Calkos!$AN$6:$AN$1291,44,Calkos!$AO$6:$AO$1291,2025)</f>
        <v>350</v>
      </c>
      <c r="L48" s="320"/>
    </row>
    <row r="49" spans="2:12" x14ac:dyDescent="0.25">
      <c r="B49" s="350">
        <f t="shared" si="0"/>
        <v>45</v>
      </c>
      <c r="C49" s="355">
        <f>SUMIFS(Calkos!$F$6:$F$1291,Calkos!$AN$6:$AN$1291,45,Calkos!$AO$6:$AO$1291,2023)</f>
        <v>0</v>
      </c>
      <c r="D49" s="320"/>
      <c r="F49" s="350">
        <f t="shared" si="1"/>
        <v>45</v>
      </c>
      <c r="G49" s="355">
        <f>SUMIFS(Calkos!$F$6:$F$1291,Calkos!$AN$6:$AN$1291,45,Calkos!$AO$6:$AO$1291,2024)</f>
        <v>0</v>
      </c>
      <c r="H49" s="320"/>
      <c r="J49" s="350">
        <f t="shared" si="2"/>
        <v>45</v>
      </c>
      <c r="K49" s="355">
        <f>SUMIFS(Calkos!$F$6:$F$1291,Calkos!$AN$6:$AN$1291,45,Calkos!$AO$6:$AO$1291,2025)</f>
        <v>300</v>
      </c>
      <c r="L49" s="320"/>
    </row>
    <row r="50" spans="2:12" x14ac:dyDescent="0.25">
      <c r="B50" s="350">
        <f t="shared" si="0"/>
        <v>46</v>
      </c>
      <c r="C50" s="355">
        <f>SUMIFS(Calkos!$F$6:$F$1291,Calkos!$AN$6:$AN$1291,46,Calkos!$AO$6:$AO$1291,2023)</f>
        <v>0</v>
      </c>
      <c r="D50" s="320"/>
      <c r="F50" s="350">
        <f t="shared" si="1"/>
        <v>46</v>
      </c>
      <c r="G50" s="355">
        <f>SUMIFS(Calkos!$F$6:$F$1291,Calkos!$AN$6:$AN$1291,46,Calkos!$AO$6:$AO$1291,2024)</f>
        <v>0</v>
      </c>
      <c r="H50" s="320"/>
      <c r="J50" s="350">
        <f t="shared" si="2"/>
        <v>46</v>
      </c>
      <c r="K50" s="355">
        <f>SUMIFS(Calkos!$F$6:$F$1291,Calkos!$AN$6:$AN$1291,46,Calkos!$AO$6:$AO$1291,2025)</f>
        <v>0</v>
      </c>
      <c r="L50" s="320"/>
    </row>
    <row r="51" spans="2:12" x14ac:dyDescent="0.25">
      <c r="B51" s="350">
        <f t="shared" si="0"/>
        <v>47</v>
      </c>
      <c r="C51" s="355">
        <f>SUMIFS(Calkos!$F$6:$F$1291,Calkos!$AN$6:$AN$1291,47,Calkos!$AO$6:$AO$1291,2023)</f>
        <v>0</v>
      </c>
      <c r="D51" s="320"/>
      <c r="F51" s="350">
        <f t="shared" si="1"/>
        <v>47</v>
      </c>
      <c r="G51" s="355">
        <f>SUMIFS(Calkos!$F$6:$F$1291,Calkos!$AN$6:$AN$1291,47,Calkos!$AO$6:$AO$1291,2024)</f>
        <v>0</v>
      </c>
      <c r="H51" s="320"/>
      <c r="J51" s="350">
        <f t="shared" si="2"/>
        <v>47</v>
      </c>
      <c r="K51" s="355">
        <f>SUMIFS(Calkos!$F$6:$F$1291,Calkos!$AN$6:$AN$1291,47,Calkos!$AO$6:$AO$1291,2025)</f>
        <v>6300</v>
      </c>
      <c r="L51" s="320"/>
    </row>
    <row r="52" spans="2:12" x14ac:dyDescent="0.25">
      <c r="B52" s="350">
        <f t="shared" si="0"/>
        <v>48</v>
      </c>
      <c r="C52" s="355">
        <f>SUMIFS(Calkos!$F$6:$F$1291,Calkos!$AN$6:$AN$1291,48,Calkos!$AO$6:$AO$1291,2023)</f>
        <v>0</v>
      </c>
      <c r="D52" s="320"/>
      <c r="F52" s="350">
        <f t="shared" si="1"/>
        <v>48</v>
      </c>
      <c r="G52" s="355">
        <f>SUMIFS(Calkos!$F$6:$F$1291,Calkos!$AN$6:$AN$1291,48,Calkos!$AO$6:$AO$1291,2024)</f>
        <v>0</v>
      </c>
      <c r="H52" s="320"/>
      <c r="J52" s="350">
        <f t="shared" si="2"/>
        <v>48</v>
      </c>
      <c r="K52" s="355">
        <f>SUMIFS(Calkos!$F$6:$F$1291,Calkos!$AN$6:$AN$1291,48,Calkos!$AO$6:$AO$1291,2025)</f>
        <v>25145</v>
      </c>
      <c r="L52" s="320"/>
    </row>
    <row r="53" spans="2:12" x14ac:dyDescent="0.25">
      <c r="B53" s="350">
        <f t="shared" si="0"/>
        <v>49</v>
      </c>
      <c r="C53" s="355">
        <f>SUMIFS(Calkos!$F$6:$F$1291,Calkos!$AN$6:$AN$1291,49,Calkos!$AO$6:$AO$1291,2023)</f>
        <v>0</v>
      </c>
      <c r="D53" s="320"/>
      <c r="F53" s="350">
        <f t="shared" si="1"/>
        <v>49</v>
      </c>
      <c r="G53" s="355">
        <f>SUMIFS(Calkos!$F$6:$F$1291,Calkos!$AN$6:$AN$1291,49,Calkos!$AO$6:$AO$1291,2024)</f>
        <v>0</v>
      </c>
      <c r="H53" s="320"/>
      <c r="J53" s="350">
        <f t="shared" si="2"/>
        <v>49</v>
      </c>
      <c r="K53" s="355">
        <f>SUMIFS(Calkos!$F$6:$F$1291,Calkos!$AN$6:$AN$1291,49,Calkos!$AO$6:$AO$1291,2025)</f>
        <v>65705</v>
      </c>
      <c r="L53" s="320"/>
    </row>
    <row r="54" spans="2:12" x14ac:dyDescent="0.25">
      <c r="B54" s="350">
        <f t="shared" si="0"/>
        <v>50</v>
      </c>
      <c r="C54" s="355">
        <f>SUMIFS(Calkos!$F$6:$F$1291,Calkos!$AN$6:$AN$1291,50,Calkos!$AO$6:$AO$1291,2023)</f>
        <v>0</v>
      </c>
      <c r="D54" s="320"/>
      <c r="F54" s="350">
        <f t="shared" si="1"/>
        <v>50</v>
      </c>
      <c r="G54" s="355">
        <f>SUMIFS(Calkos!$F$6:$F$1291,Calkos!$AN$6:$AN$1291,50,Calkos!$AO$6:$AO$1291,2024)</f>
        <v>0</v>
      </c>
      <c r="H54" s="320"/>
      <c r="J54" s="350">
        <f t="shared" si="2"/>
        <v>50</v>
      </c>
      <c r="K54" s="355">
        <f>SUMIFS(Calkos!$F$6:$F$1291,Calkos!$AN$6:$AN$1291,50,Calkos!$AO$6:$AO$1291,2025)</f>
        <v>21610</v>
      </c>
      <c r="L54" s="320"/>
    </row>
    <row r="55" spans="2:12" x14ac:dyDescent="0.25">
      <c r="B55" s="350">
        <f t="shared" si="0"/>
        <v>51</v>
      </c>
      <c r="C55" s="355">
        <f>SUMIFS(Calkos!$F$6:$F$1291,Calkos!$AN$6:$AN$1291,51,Calkos!$AO$6:$AO$1291,2023)</f>
        <v>0</v>
      </c>
      <c r="D55" s="320"/>
      <c r="F55" s="350">
        <f t="shared" si="1"/>
        <v>51</v>
      </c>
      <c r="G55" s="355">
        <f>SUMIFS(Calkos!$F$6:$F$1291,Calkos!$AN$6:$AN$1291,50,Calkos!$AO$6:$AO$1291,2024)</f>
        <v>0</v>
      </c>
      <c r="H55" s="320"/>
      <c r="J55" s="350">
        <f t="shared" si="2"/>
        <v>51</v>
      </c>
      <c r="K55" s="355">
        <f>SUMIFS(Calkos!$F$6:$F$1291,Calkos!$AN$6:$AN$1291,51,Calkos!$AO$6:$AO$1291,2025)</f>
        <v>1800</v>
      </c>
      <c r="L55" s="320"/>
    </row>
    <row r="56" spans="2:12" x14ac:dyDescent="0.25">
      <c r="B56" s="350">
        <f t="shared" si="0"/>
        <v>52</v>
      </c>
      <c r="C56" s="355">
        <f>SUMIFS(Calkos!$F$6:$F$1291,Calkos!$AN$6:$AN$1291,52,Calkos!$AO$6:$AO$1291,2023)</f>
        <v>0</v>
      </c>
      <c r="D56" s="320"/>
      <c r="F56" s="350">
        <f t="shared" si="1"/>
        <v>52</v>
      </c>
      <c r="G56" s="355">
        <f>SUMIFS(Calkos!$F$6:$F$1291,Calkos!$AN$6:$AN$1291,52,Calkos!$AO$6:$AO$1291,2024)</f>
        <v>0</v>
      </c>
      <c r="H56" s="320"/>
      <c r="J56" s="350">
        <f t="shared" si="2"/>
        <v>52</v>
      </c>
      <c r="K56" s="355">
        <f>SUMIFS(Calkos!$F$6:$F$1291,Calkos!$AN$6:$AN$1291,52,Calkos!$AO$6:$AO$1291,2025)</f>
        <v>0</v>
      </c>
      <c r="L56" s="320"/>
    </row>
    <row r="57" spans="2:12" ht="15.75" thickBot="1" x14ac:dyDescent="0.3">
      <c r="B57" s="351">
        <f t="shared" si="0"/>
        <v>53</v>
      </c>
      <c r="C57" s="356">
        <f>SUMIFS(Calkos!$F$6:$F$1291,Calkos!$AN$6:$AN$1291,53,Calkos!$AO$6:$AO$1291,2023)</f>
        <v>0</v>
      </c>
      <c r="D57" s="357"/>
      <c r="F57" s="351">
        <f t="shared" si="1"/>
        <v>53</v>
      </c>
      <c r="G57" s="356">
        <f>SUMIFS(Calkos!$F$6:$F$1291,Calkos!$AN$6:$AN$1291,53,Calkos!$AO$6:$AO$1291,2024)</f>
        <v>0</v>
      </c>
      <c r="H57" s="357"/>
      <c r="J57" s="351">
        <f t="shared" si="2"/>
        <v>53</v>
      </c>
      <c r="K57" s="356">
        <f>SUMIFS(Calkos!$F$6:$F$1291,Calkos!$AN$6:$AN$1291,53,Calkos!$AO$6:$AO$1291,2025)</f>
        <v>0</v>
      </c>
      <c r="L57" s="357"/>
    </row>
    <row r="58" spans="2:12" ht="15.75" thickBot="1" x14ac:dyDescent="0.3">
      <c r="C58" s="348">
        <f>SUM(C5:C57)</f>
        <v>0</v>
      </c>
      <c r="G58" s="348">
        <f>SUM(G5:G57)</f>
        <v>0</v>
      </c>
      <c r="K58" s="348">
        <f>SUM(K5:K57)</f>
        <v>122410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SUMIF(Calkos!$AC6:$AC1291,"",Calkos!$F6:$F1291)</f>
        <v>260884</v>
      </c>
      <c r="C63" s="158">
        <f>+Calkos!$F1292</f>
        <v>565669</v>
      </c>
      <c r="D63" s="158">
        <f>+C63-B63</f>
        <v>304785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4" t="s">
        <v>67</v>
      </c>
    </row>
    <row r="2" spans="2:19" ht="21" x14ac:dyDescent="0.35">
      <c r="P2" s="54"/>
    </row>
    <row r="3" spans="2:19" ht="21" x14ac:dyDescent="0.35">
      <c r="P3" s="54"/>
    </row>
    <row r="4" spans="2:19" ht="15.75" thickBot="1" x14ac:dyDescent="0.3">
      <c r="P4" s="29" t="s">
        <v>57</v>
      </c>
    </row>
    <row r="5" spans="2:19" ht="15.75" thickBot="1" x14ac:dyDescent="0.3">
      <c r="B5" s="62"/>
      <c r="C5" s="63"/>
      <c r="D5" s="63"/>
      <c r="E5" s="64" t="s">
        <v>78</v>
      </c>
      <c r="F5" s="64"/>
      <c r="G5" s="63"/>
      <c r="H5" s="74"/>
      <c r="I5" s="71"/>
      <c r="J5" s="63"/>
      <c r="K5" s="63"/>
      <c r="L5" s="64" t="s">
        <v>79</v>
      </c>
      <c r="M5" s="64"/>
      <c r="N5" s="63"/>
      <c r="O5" s="65"/>
    </row>
    <row r="6" spans="2:19" ht="24" x14ac:dyDescent="0.25">
      <c r="B6" s="67" t="s">
        <v>80</v>
      </c>
      <c r="C6" s="61" t="s">
        <v>81</v>
      </c>
      <c r="D6" s="61" t="s">
        <v>82</v>
      </c>
      <c r="E6" s="61" t="s">
        <v>83</v>
      </c>
      <c r="F6" s="61" t="s">
        <v>84</v>
      </c>
      <c r="G6" s="61" t="s">
        <v>85</v>
      </c>
      <c r="H6" s="75" t="s">
        <v>86</v>
      </c>
      <c r="I6" s="72" t="s">
        <v>80</v>
      </c>
      <c r="J6" s="61" t="s">
        <v>81</v>
      </c>
      <c r="K6" s="61" t="s">
        <v>82</v>
      </c>
      <c r="L6" s="61" t="s">
        <v>83</v>
      </c>
      <c r="M6" s="61" t="s">
        <v>84</v>
      </c>
      <c r="N6" s="61" t="s">
        <v>85</v>
      </c>
      <c r="O6" s="161" t="s">
        <v>86</v>
      </c>
      <c r="P6" s="163" t="s">
        <v>55</v>
      </c>
      <c r="Q6" s="78" t="s">
        <v>54</v>
      </c>
      <c r="R6" s="79" t="s">
        <v>56</v>
      </c>
    </row>
    <row r="7" spans="2:19" ht="15.75" thickBot="1" x14ac:dyDescent="0.3">
      <c r="B7" s="68" t="e">
        <f>SUMIFS(Calkos!#REF!,Calkos!#REF!,"Alluminio",Calkos!#REF!,0.07,Calkos!#REF!,"Giussani")</f>
        <v>#REF!</v>
      </c>
      <c r="C7" s="69" t="e">
        <f>SUMIFS(Calkos!#REF!,Calkos!#REF!,"Alluminio",Calkos!#REF!,0.1,Calkos!#REF!,"Giussani")</f>
        <v>#REF!</v>
      </c>
      <c r="D7" s="69" t="e">
        <f>SUMIFS(Calkos!#REF!,Calkos!#REF!,"Alluminio",Calkos!#REF!,0.18,Calkos!#REF!,"Giussani")</f>
        <v>#REF!</v>
      </c>
      <c r="E7" s="69" t="e">
        <f>SUMIFS(Calkos!#REF!,Calkos!#REF!,"Rame",Calkos!#REF!,0.1,Calkos!#REF!,"Giussani")</f>
        <v>#REF!</v>
      </c>
      <c r="F7" s="69" t="e">
        <f>SUMIFS(Calkos!#REF!,Calkos!#REF!,"Rame",Calkos!#REF!,0.18,Calkos!#REF!,"Giussani")</f>
        <v>#REF!</v>
      </c>
      <c r="G7" s="69" t="e">
        <f>SUMIFS(Calkos!#REF!,Calkos!#REF!,"Ottone",Calkos!#REF!,0.1,Calkos!#REF!,"Giussani")</f>
        <v>#REF!</v>
      </c>
      <c r="H7" s="76" t="e">
        <f>SUMIFS(Calkos!#REF!,Calkos!#REF!,"Ottone",Calkos!#REF!,0.18,Calkos!#REF!,"Giussani")</f>
        <v>#REF!</v>
      </c>
      <c r="I7" s="73" t="e">
        <f>SUMIFS(Calkos!#REF!,Calkos!#REF!,"Alluminio",Calkos!#REF!,0.07,Calkos!#REF!,"Giussani")</f>
        <v>#REF!</v>
      </c>
      <c r="J7" s="70" t="e">
        <f>SUMIFS(Calkos!#REF!,Calkos!#REF!,"Alluminio",Calkos!#REF!,0.1,Calkos!#REF!,"Giussani")</f>
        <v>#REF!</v>
      </c>
      <c r="K7" s="70" t="e">
        <f>SUMIFS(Calkos!#REF!,Calkos!#REF!,"Alluminio",Calkos!#REF!,0.18,Calkos!#REF!,"Giussani")</f>
        <v>#REF!</v>
      </c>
      <c r="L7" s="70" t="e">
        <f>SUMIFS(Calkos!#REF!,Calkos!#REF!,"Rame",Calkos!#REF!,0.1,Calkos!#REF!,"Giussani")</f>
        <v>#REF!</v>
      </c>
      <c r="M7" s="70" t="e">
        <f>SUMIFS(Calkos!#REF!,Calkos!#REF!,"Rame",Calkos!#REF!,0.18,Calkos!#REF!,"Giussani")</f>
        <v>#REF!</v>
      </c>
      <c r="N7" s="70" t="e">
        <f>SUMIFS(Calkos!#REF!,Calkos!#REF!,"Ottone",Calkos!#REF!,0.1,Calkos!#REF!,"Giussani")</f>
        <v>#REF!</v>
      </c>
      <c r="O7" s="162" t="e">
        <f>SUMIFS(Calkos!#REF!,Calkos!#REF!,"Ottone",Calkos!#REF!,0.18,Calkos!#REF!,"Giussani")</f>
        <v>#REF!</v>
      </c>
      <c r="P7" s="15" t="e">
        <f>SUMIF(Calkos!#REF!,"Giussani",Calkos!#REF!)</f>
        <v>#REF!</v>
      </c>
      <c r="Q7" s="160" t="e">
        <f>SUMIF(Calkos!#REF!,"Giussani",Calkos!#REF!)</f>
        <v>#REF!</v>
      </c>
      <c r="R7" s="16" t="e">
        <f>+Q7*40%</f>
        <v>#REF!</v>
      </c>
    </row>
    <row r="9" spans="2:19" x14ac:dyDescent="0.25">
      <c r="O9" s="30"/>
      <c r="P9" s="31"/>
      <c r="Q9" s="31"/>
      <c r="R9" s="31"/>
      <c r="S9" s="32"/>
    </row>
    <row r="11" spans="2:19" ht="15.75" thickBot="1" x14ac:dyDescent="0.3">
      <c r="P11" s="29" t="s">
        <v>58</v>
      </c>
    </row>
    <row r="12" spans="2:19" ht="15.75" thickBot="1" x14ac:dyDescent="0.3">
      <c r="B12" s="62"/>
      <c r="C12" s="63"/>
      <c r="D12" s="63"/>
      <c r="E12" s="64" t="s">
        <v>78</v>
      </c>
      <c r="F12" s="64"/>
      <c r="G12" s="63"/>
      <c r="H12" s="74"/>
      <c r="I12" s="71"/>
      <c r="J12" s="63"/>
      <c r="K12" s="63"/>
      <c r="L12" s="64" t="s">
        <v>79</v>
      </c>
      <c r="M12" s="64"/>
      <c r="N12" s="63"/>
      <c r="O12" s="65"/>
    </row>
    <row r="13" spans="2:19" ht="24" x14ac:dyDescent="0.25">
      <c r="B13" s="67" t="s">
        <v>80</v>
      </c>
      <c r="C13" s="61" t="s">
        <v>81</v>
      </c>
      <c r="D13" s="61" t="s">
        <v>82</v>
      </c>
      <c r="E13" s="61" t="s">
        <v>83</v>
      </c>
      <c r="F13" s="61" t="s">
        <v>84</v>
      </c>
      <c r="G13" s="61" t="s">
        <v>85</v>
      </c>
      <c r="H13" s="75" t="s">
        <v>86</v>
      </c>
      <c r="I13" s="72" t="s">
        <v>80</v>
      </c>
      <c r="J13" s="61" t="s">
        <v>81</v>
      </c>
      <c r="K13" s="61" t="s">
        <v>82</v>
      </c>
      <c r="L13" s="61" t="s">
        <v>83</v>
      </c>
      <c r="M13" s="61" t="s">
        <v>84</v>
      </c>
      <c r="N13" s="61" t="s">
        <v>85</v>
      </c>
      <c r="O13" s="161" t="s">
        <v>86</v>
      </c>
      <c r="P13" s="163" t="s">
        <v>55</v>
      </c>
      <c r="Q13" s="78" t="s">
        <v>54</v>
      </c>
      <c r="R13" s="79" t="s">
        <v>56</v>
      </c>
    </row>
    <row r="14" spans="2:19" ht="15.75" thickBot="1" x14ac:dyDescent="0.3">
      <c r="B14" s="68" t="e">
        <f>SUMIFS(Calkos!#REF!,Calkos!#REF!,"Alluminio",Calkos!#REF!,0.07,Calkos!#REF!,"Wetter")</f>
        <v>#REF!</v>
      </c>
      <c r="C14" s="69" t="e">
        <f>SUMIFS(Calkos!#REF!,Calkos!#REF!,"Alluminio",Calkos!#REF!,0.1,Calkos!#REF!,"Wetter")</f>
        <v>#REF!</v>
      </c>
      <c r="D14" s="69" t="e">
        <f>SUMIFS(Calkos!#REF!,Calkos!#REF!,"Alluminio",Calkos!#REF!,0.18,Calkos!#REF!,"Wetter")</f>
        <v>#REF!</v>
      </c>
      <c r="E14" s="69" t="e">
        <f>SUMIFS(Calkos!#REF!,Calkos!#REF!,"Rame",Calkos!#REF!,0.1,Calkos!#REF!,"Wetter")</f>
        <v>#REF!</v>
      </c>
      <c r="F14" s="69" t="e">
        <f>SUMIFS(Calkos!#REF!,Calkos!#REF!,"Rame",Calkos!#REF!,0.18,Calkos!#REF!,"Wetter")</f>
        <v>#REF!</v>
      </c>
      <c r="G14" s="69" t="e">
        <f>SUMIFS(Calkos!#REF!,Calkos!#REF!,"Ottone",Calkos!#REF!,0.1,Calkos!#REF!,"wetter")</f>
        <v>#REF!</v>
      </c>
      <c r="H14" s="76" t="e">
        <f>SUMIFS(Calkos!#REF!,Calkos!#REF!,"Ottone",Calkos!#REF!,0.18,Calkos!#REF!,"wetter")</f>
        <v>#REF!</v>
      </c>
      <c r="I14" s="73" t="e">
        <f>SUMIFS(Calkos!#REF!,Calkos!#REF!,"Alluminio",Calkos!#REF!,0.07,Calkos!#REF!,"Wetter")</f>
        <v>#REF!</v>
      </c>
      <c r="J14" s="70" t="e">
        <f>SUMIFS(Calkos!#REF!,Calkos!#REF!,"Alluminio",Calkos!#REF!,0.1,Calkos!#REF!,"Wetter")</f>
        <v>#REF!</v>
      </c>
      <c r="K14" s="70" t="e">
        <f>SUMIFS(Calkos!#REF!,Calkos!#REF!,"Alluminio",Calkos!#REF!,0.18,Calkos!#REF!,"Wetter")</f>
        <v>#REF!</v>
      </c>
      <c r="L14" s="70" t="e">
        <f>SUMIFS(Calkos!#REF!,Calkos!#REF!,"Rame",Calkos!#REF!,0.1,Calkos!#REF!,"Wetter")</f>
        <v>#REF!</v>
      </c>
      <c r="M14" s="70" t="e">
        <f>SUMIFS(Calkos!#REF!,Calkos!#REF!,"Rame",Calkos!#REF!,0.18,Calkos!#REF!,"wetter")</f>
        <v>#REF!</v>
      </c>
      <c r="N14" s="70" t="e">
        <f>SUMIFS(Calkos!#REF!,Calkos!#REF!,"Ottone",Calkos!#REF!,0.1,Calkos!#REF!,"Wetter")</f>
        <v>#REF!</v>
      </c>
      <c r="O14" s="162" t="e">
        <f>SUMIFS(Calkos!#REF!,Calkos!#REF!,"Ottone",Calkos!#REF!,0.18,Calkos!#REF!,"Wetter")</f>
        <v>#REF!</v>
      </c>
      <c r="P14" s="15" t="e">
        <f>SUMIF(Calkos!#REF!,"Wetter",Calkos!F5:F5)</f>
        <v>#REF!</v>
      </c>
      <c r="Q14" s="160" t="e">
        <f>SUMIF(Calkos!#REF!,"Wetter",Calkos!#REF!)</f>
        <v>#REF!</v>
      </c>
      <c r="R14" s="16" t="e">
        <f>+Q14*40%</f>
        <v>#REF!</v>
      </c>
    </row>
    <row r="17" spans="2:23" ht="15.75" thickBot="1" x14ac:dyDescent="0.3">
      <c r="P17" s="29" t="s">
        <v>164</v>
      </c>
    </row>
    <row r="18" spans="2:23" ht="15.75" thickBot="1" x14ac:dyDescent="0.3">
      <c r="B18" s="62"/>
      <c r="C18" s="63"/>
      <c r="D18" s="63"/>
      <c r="E18" s="64" t="s">
        <v>78</v>
      </c>
      <c r="F18" s="64"/>
      <c r="G18" s="63"/>
      <c r="H18" s="74"/>
      <c r="I18" s="71"/>
      <c r="J18" s="63"/>
      <c r="K18" s="63"/>
      <c r="L18" s="64" t="s">
        <v>79</v>
      </c>
      <c r="M18" s="64"/>
      <c r="N18" s="63"/>
      <c r="O18" s="65"/>
    </row>
    <row r="19" spans="2:23" ht="24" x14ac:dyDescent="0.25">
      <c r="B19" s="67" t="s">
        <v>80</v>
      </c>
      <c r="C19" s="61" t="s">
        <v>81</v>
      </c>
      <c r="D19" s="61" t="s">
        <v>82</v>
      </c>
      <c r="E19" s="61" t="s">
        <v>83</v>
      </c>
      <c r="F19" s="61" t="s">
        <v>84</v>
      </c>
      <c r="G19" s="61" t="s">
        <v>85</v>
      </c>
      <c r="H19" s="75" t="s">
        <v>86</v>
      </c>
      <c r="I19" s="72" t="s">
        <v>80</v>
      </c>
      <c r="J19" s="61" t="s">
        <v>81</v>
      </c>
      <c r="K19" s="61" t="s">
        <v>82</v>
      </c>
      <c r="L19" s="61" t="s">
        <v>83</v>
      </c>
      <c r="M19" s="61" t="s">
        <v>84</v>
      </c>
      <c r="N19" s="61" t="s">
        <v>85</v>
      </c>
      <c r="O19" s="161" t="s">
        <v>86</v>
      </c>
      <c r="P19" s="163" t="s">
        <v>55</v>
      </c>
      <c r="Q19" s="78" t="s">
        <v>54</v>
      </c>
      <c r="R19" s="79" t="s">
        <v>56</v>
      </c>
    </row>
    <row r="20" spans="2:23" ht="15.75" thickBot="1" x14ac:dyDescent="0.3">
      <c r="B20" s="68" t="e">
        <f>SUMIFS(Calkos!#REF!,Calkos!#REF!,"Alluminio",Calkos!#REF!,0.07,Calkos!#REF!,"elast")</f>
        <v>#REF!</v>
      </c>
      <c r="C20" s="69" t="e">
        <f>SUMIFS(Calkos!#REF!,Calkos!#REF!,"Alluminio",Calkos!#REF!,0.1,Calkos!#REF!,"elast")</f>
        <v>#REF!</v>
      </c>
      <c r="D20" s="69" t="e">
        <f>SUMIFS(Calkos!#REF!,Calkos!#REF!,"Alluminio",Calkos!#REF!,0.18,Calkos!#REF!,"elast")</f>
        <v>#REF!</v>
      </c>
      <c r="E20" s="69" t="e">
        <f>SUMIFS(Calkos!#REF!,Calkos!#REF!,"Rame",Calkos!#REF!,0.1,Calkos!#REF!,"elast")</f>
        <v>#REF!</v>
      </c>
      <c r="F20" s="69" t="e">
        <f>SUMIFS(Calkos!#REF!,Calkos!#REF!,"Rame",Calkos!#REF!,0.18,Calkos!#REF!,"elast")</f>
        <v>#REF!</v>
      </c>
      <c r="G20" s="69" t="e">
        <f>SUMIFS(Calkos!#REF!,Calkos!#REF!,"Ottone",Calkos!#REF!,0.1,Calkos!#REF!,"elast")</f>
        <v>#REF!</v>
      </c>
      <c r="H20" s="76" t="e">
        <f>SUMIFS(Calkos!#REF!,Calkos!#REF!,"Ottone",Calkos!#REF!,0.18,Calkos!#REF!,"elast")</f>
        <v>#REF!</v>
      </c>
      <c r="I20" s="73" t="e">
        <f>SUMIFS(Calkos!#REF!,Calkos!#REF!,"Alluminio",Calkos!#REF!,0.07,Calkos!#REF!,"elast")</f>
        <v>#REF!</v>
      </c>
      <c r="J20" s="70" t="e">
        <f>SUMIFS(Calkos!#REF!,Calkos!#REF!,"Alluminio",Calkos!#REF!,0.1,Calkos!#REF!,"elast")</f>
        <v>#REF!</v>
      </c>
      <c r="K20" s="70" t="e">
        <f>SUMIFS(Calkos!#REF!,Calkos!#REF!,"Alluminio",Calkos!#REF!,0.18,Calkos!#REF!,"elast")</f>
        <v>#REF!</v>
      </c>
      <c r="L20" s="70" t="e">
        <f>SUMIFS(Calkos!#REF!,Calkos!#REF!,"Rame",Calkos!#REF!,0.1,Calkos!#REF!,"elast")</f>
        <v>#REF!</v>
      </c>
      <c r="M20" s="70" t="e">
        <f>SUMIFS(Calkos!#REF!,Calkos!#REF!,"Rame",Calkos!#REF!,0.18,Calkos!#REF!,"elast")</f>
        <v>#REF!</v>
      </c>
      <c r="N20" s="70" t="e">
        <f>SUMIFS(Calkos!#REF!,Calkos!#REF!,"Ottone",Calkos!#REF!,0.1,Calkos!#REF!,"elast")</f>
        <v>#REF!</v>
      </c>
      <c r="O20" s="162" t="e">
        <f>SUMIFS(Calkos!#REF!,Calkos!#REF!,"Ottone",Calkos!#REF!,0.18,Calkos!#REF!,"elast")</f>
        <v>#REF!</v>
      </c>
      <c r="P20" s="15" t="e">
        <f>SUMIF(Calkos!#REF!,"Wetter",Calkos!#REF!)</f>
        <v>#REF!</v>
      </c>
      <c r="Q20" s="160" t="e">
        <f>SUMIF(Calkos!#REF!,"Wetter",Calkos!#REF!)</f>
        <v>#REF!</v>
      </c>
      <c r="R20" s="16" t="e">
        <f>+Q20*40%</f>
        <v>#REF!</v>
      </c>
    </row>
    <row r="23" spans="2:23" ht="15.75" thickBot="1" x14ac:dyDescent="0.3">
      <c r="P23" s="29" t="s">
        <v>165</v>
      </c>
    </row>
    <row r="24" spans="2:23" ht="15.75" thickBot="1" x14ac:dyDescent="0.3">
      <c r="B24" s="62"/>
      <c r="C24" s="63"/>
      <c r="D24" s="63"/>
      <c r="E24" s="64" t="s">
        <v>78</v>
      </c>
      <c r="F24" s="64"/>
      <c r="G24" s="63"/>
      <c r="H24" s="74"/>
      <c r="I24" s="71"/>
      <c r="J24" s="63"/>
      <c r="K24" s="63"/>
      <c r="L24" s="64" t="s">
        <v>79</v>
      </c>
      <c r="M24" s="64"/>
      <c r="N24" s="63"/>
      <c r="O24" s="65"/>
    </row>
    <row r="25" spans="2:23" ht="24" x14ac:dyDescent="0.25">
      <c r="B25" s="67" t="s">
        <v>80</v>
      </c>
      <c r="C25" s="61" t="s">
        <v>81</v>
      </c>
      <c r="D25" s="61" t="s">
        <v>82</v>
      </c>
      <c r="E25" s="61" t="s">
        <v>83</v>
      </c>
      <c r="F25" s="61" t="s">
        <v>84</v>
      </c>
      <c r="G25" s="61" t="s">
        <v>85</v>
      </c>
      <c r="H25" s="75" t="s">
        <v>86</v>
      </c>
      <c r="I25" s="72" t="s">
        <v>80</v>
      </c>
      <c r="J25" s="61" t="s">
        <v>81</v>
      </c>
      <c r="K25" s="61" t="s">
        <v>82</v>
      </c>
      <c r="L25" s="61" t="s">
        <v>83</v>
      </c>
      <c r="M25" s="61" t="s">
        <v>84</v>
      </c>
      <c r="N25" s="61" t="s">
        <v>85</v>
      </c>
      <c r="O25" s="161" t="s">
        <v>86</v>
      </c>
      <c r="P25" s="163" t="s">
        <v>55</v>
      </c>
      <c r="Q25" s="78" t="s">
        <v>54</v>
      </c>
      <c r="R25" s="79" t="s">
        <v>56</v>
      </c>
    </row>
    <row r="26" spans="2:23" ht="15.75" thickBot="1" x14ac:dyDescent="0.3">
      <c r="B26" s="68" t="e">
        <f>SUMIFS(Calkos!#REF!,Calkos!#REF!,"Alluminio",Calkos!#REF!,0.07,Calkos!#REF!,"km")</f>
        <v>#REF!</v>
      </c>
      <c r="C26" s="69" t="e">
        <f>SUMIFS(Calkos!#REF!,Calkos!#REF!,"Alluminio",Calkos!#REF!,0.1,Calkos!#REF!,"km")</f>
        <v>#REF!</v>
      </c>
      <c r="D26" s="69" t="e">
        <f>SUMIFS(Calkos!#REF!,Calkos!#REF!,"Alluminio",Calkos!#REF!,0.18,Calkos!#REF!,"km")</f>
        <v>#REF!</v>
      </c>
      <c r="E26" s="69" t="e">
        <f>SUMIFS(Calkos!#REF!,Calkos!#REF!,"Rame",Calkos!#REF!,0.1,Calkos!#REF!,"km")</f>
        <v>#REF!</v>
      </c>
      <c r="F26" s="69" t="e">
        <f>SUMIFS(Calkos!#REF!,Calkos!#REF!,"Rame",Calkos!#REF!,0.18,Calkos!#REF!,"km")</f>
        <v>#REF!</v>
      </c>
      <c r="G26" s="69" t="e">
        <f>SUMIFS(Calkos!#REF!,Calkos!#REF!,"Ottone",Calkos!#REF!,0.1,Calkos!#REF!,"km")</f>
        <v>#REF!</v>
      </c>
      <c r="H26" s="76" t="e">
        <f>SUMIFS(Calkos!#REF!,Calkos!#REF!,"Ottone",Calkos!#REF!,0.18,Calkos!#REF!,"km")</f>
        <v>#REF!</v>
      </c>
      <c r="I26" s="73" t="e">
        <f>SUMIFS(Calkos!#REF!,Calkos!#REF!,"Alluminio",Calkos!#REF!,0.07,Calkos!#REF!,"km")</f>
        <v>#REF!</v>
      </c>
      <c r="J26" s="70" t="e">
        <f>SUMIFS(Calkos!#REF!,Calkos!#REF!,"Alluminio",Calkos!#REF!,0.1,Calkos!#REF!,"km")</f>
        <v>#REF!</v>
      </c>
      <c r="K26" s="70" t="e">
        <f>SUMIFS(Calkos!#REF!,Calkos!#REF!,"Alluminio",Calkos!#REF!,0.18,Calkos!#REF!,"km")</f>
        <v>#REF!</v>
      </c>
      <c r="L26" s="70" t="e">
        <f>SUMIFS(Calkos!#REF!,Calkos!#REF!,"Rame",Calkos!#REF!,0.1,Calkos!#REF!,"km")</f>
        <v>#REF!</v>
      </c>
      <c r="M26" s="70" t="e">
        <f>SUMIFS(Calkos!#REF!,Calkos!#REF!,"Rame",Calkos!#REF!,0.18,Calkos!#REF!,"km")</f>
        <v>#REF!</v>
      </c>
      <c r="N26" s="70" t="e">
        <f>SUMIFS(Calkos!#REF!,Calkos!#REF!,"Ottone",Calkos!#REF!,0.1,Calkos!#REF!,"km")</f>
        <v>#REF!</v>
      </c>
      <c r="O26" s="162" t="e">
        <f>SUMIFS(Calkos!#REF!,Calkos!#REF!,"Ottone",Calkos!#REF!,0.18,Calkos!#REF!,"km")</f>
        <v>#REF!</v>
      </c>
      <c r="P26" s="15" t="e">
        <f>SUMIF(Calkos!#REF!,"KM",Calkos!#REF!)</f>
        <v>#REF!</v>
      </c>
      <c r="Q26" s="160" t="e">
        <f>SUMIF(Calkos!#REF!,"KM",Calkos!#REF!)</f>
        <v>#REF!</v>
      </c>
      <c r="R26" s="16" t="e">
        <f>+Q26*40%</f>
        <v>#REF!</v>
      </c>
    </row>
    <row r="29" spans="2:23" ht="15.75" thickBot="1" x14ac:dyDescent="0.3">
      <c r="P29" s="29" t="s">
        <v>166</v>
      </c>
    </row>
    <row r="30" spans="2:23" ht="15.75" thickBot="1" x14ac:dyDescent="0.3">
      <c r="B30" s="62"/>
      <c r="C30" s="63"/>
      <c r="D30" s="63"/>
      <c r="E30" s="64" t="s">
        <v>78</v>
      </c>
      <c r="F30" s="64"/>
      <c r="G30" s="63"/>
      <c r="H30" s="74"/>
      <c r="I30" s="71"/>
      <c r="J30" s="63"/>
      <c r="K30" s="63"/>
      <c r="L30" s="64" t="s">
        <v>79</v>
      </c>
      <c r="M30" s="64"/>
      <c r="N30" s="63"/>
      <c r="O30" s="65"/>
    </row>
    <row r="31" spans="2:23" ht="24" x14ac:dyDescent="0.25">
      <c r="B31" s="67" t="s">
        <v>80</v>
      </c>
      <c r="C31" s="61" t="s">
        <v>81</v>
      </c>
      <c r="D31" s="61" t="s">
        <v>82</v>
      </c>
      <c r="E31" s="61" t="s">
        <v>83</v>
      </c>
      <c r="F31" s="61" t="s">
        <v>84</v>
      </c>
      <c r="G31" s="61" t="s">
        <v>85</v>
      </c>
      <c r="H31" s="75" t="s">
        <v>86</v>
      </c>
      <c r="I31" s="72" t="s">
        <v>80</v>
      </c>
      <c r="J31" s="61" t="s">
        <v>81</v>
      </c>
      <c r="K31" s="61" t="s">
        <v>82</v>
      </c>
      <c r="L31" s="61" t="s">
        <v>83</v>
      </c>
      <c r="M31" s="61" t="s">
        <v>84</v>
      </c>
      <c r="N31" s="61" t="s">
        <v>85</v>
      </c>
      <c r="O31" s="161" t="s">
        <v>86</v>
      </c>
      <c r="P31" s="163" t="s">
        <v>55</v>
      </c>
      <c r="Q31" s="78" t="s">
        <v>54</v>
      </c>
      <c r="R31" s="79" t="s">
        <v>56</v>
      </c>
      <c r="W31" s="81" t="e">
        <f>+R14+R20+R26+R44</f>
        <v>#REF!</v>
      </c>
    </row>
    <row r="32" spans="2:23" ht="15.75" thickBot="1" x14ac:dyDescent="0.3">
      <c r="B32" s="68" t="e">
        <f>SUMIFS(Calkos!#REF!,Calkos!#REF!,"Alluminio",Calkos!#REF!,0.07,Calkos!#REF!,"masolini")</f>
        <v>#REF!</v>
      </c>
      <c r="C32" s="69" t="e">
        <f>SUMIFS(Calkos!#REF!,Calkos!#REF!,"Alluminio",Calkos!#REF!,0.1,Calkos!#REF!,"masolini")</f>
        <v>#REF!</v>
      </c>
      <c r="D32" s="69" t="e">
        <f>SUMIFS(Calkos!#REF!,Calkos!#REF!,"Alluminio",Calkos!#REF!,0.18,Calkos!#REF!,"masolini")</f>
        <v>#REF!</v>
      </c>
      <c r="E32" s="69" t="e">
        <f>SUMIFS(Calkos!#REF!,Calkos!#REF!,"Rame",Calkos!#REF!,0.1,Calkos!#REF!,"masolini")</f>
        <v>#REF!</v>
      </c>
      <c r="F32" s="69" t="e">
        <f>SUMIFS(Calkos!#REF!,Calkos!#REF!,"Rame",Calkos!#REF!,0.18,Calkos!#REF!,"masolini")</f>
        <v>#REF!</v>
      </c>
      <c r="G32" s="69" t="e">
        <f>SUMIFS(Calkos!#REF!,Calkos!#REF!,"Ottone",Calkos!#REF!,0.1,Calkos!#REF!,"masolini")</f>
        <v>#REF!</v>
      </c>
      <c r="H32" s="76" t="e">
        <f>SUMIFS(Calkos!#REF!,Calkos!#REF!,"Ottone",Calkos!#REF!,0.18,Calkos!#REF!,"masolini")</f>
        <v>#REF!</v>
      </c>
      <c r="I32" s="73" t="e">
        <f>SUMIFS(Calkos!#REF!,Calkos!#REF!,"Alluminio",Calkos!#REF!,0.07,Calkos!#REF!,"masolini")</f>
        <v>#REF!</v>
      </c>
      <c r="J32" s="70" t="e">
        <f>SUMIFS(Calkos!#REF!,Calkos!#REF!,"Alluminio",Calkos!#REF!,0.1,Calkos!#REF!,"masolini")</f>
        <v>#REF!</v>
      </c>
      <c r="K32" s="70" t="e">
        <f>SUMIFS(Calkos!#REF!,Calkos!#REF!,"Alluminio",Calkos!#REF!,0.18,Calkos!#REF!,"masolini")</f>
        <v>#REF!</v>
      </c>
      <c r="L32" s="70" t="e">
        <f>SUMIFS(Calkos!#REF!,Calkos!#REF!,"Rame",Calkos!#REF!,0.1,Calkos!#REF!,"masolini")</f>
        <v>#REF!</v>
      </c>
      <c r="M32" s="70" t="e">
        <f>SUMIFS(Calkos!#REF!,Calkos!#REF!,"Rame",Calkos!#REF!,0.18,Calkos!#REF!,"masolini")</f>
        <v>#REF!</v>
      </c>
      <c r="N32" s="70" t="e">
        <f>SUMIFS(Calkos!#REF!,Calkos!#REF!,"Ottone",Calkos!#REF!,0.1,Calkos!#REF!,"masolini")</f>
        <v>#REF!</v>
      </c>
      <c r="O32" s="162" t="e">
        <f>SUMIFS(Calkos!#REF!,Calkos!#REF!,"Ottone",Calkos!#REF!,0.18,Calkos!#REF!,"masolini")</f>
        <v>#REF!</v>
      </c>
      <c r="P32" s="15" t="e">
        <f>SUMIF(Calkos!#REF!,"Masolini",Calkos!#REF!)</f>
        <v>#REF!</v>
      </c>
      <c r="Q32" s="160" t="e">
        <f>SUMIF(Calkos!#REF!,"Masolini",Calkos!#REF!)</f>
        <v>#REF!</v>
      </c>
      <c r="R32" s="16" t="e">
        <f>+Q32*40%</f>
        <v>#REF!</v>
      </c>
    </row>
    <row r="35" spans="2:18" ht="15.75" thickBot="1" x14ac:dyDescent="0.3">
      <c r="P35" s="29" t="s">
        <v>167</v>
      </c>
    </row>
    <row r="36" spans="2:18" ht="15.75" thickBot="1" x14ac:dyDescent="0.3">
      <c r="B36" s="62"/>
      <c r="C36" s="63"/>
      <c r="D36" s="63"/>
      <c r="E36" s="64" t="s">
        <v>78</v>
      </c>
      <c r="F36" s="64"/>
      <c r="G36" s="63"/>
      <c r="H36" s="74"/>
      <c r="I36" s="71"/>
      <c r="J36" s="63"/>
      <c r="K36" s="63"/>
      <c r="L36" s="64" t="s">
        <v>79</v>
      </c>
      <c r="M36" s="64"/>
      <c r="N36" s="63"/>
      <c r="O36" s="65"/>
    </row>
    <row r="37" spans="2:18" ht="24" x14ac:dyDescent="0.25">
      <c r="B37" s="67" t="s">
        <v>80</v>
      </c>
      <c r="C37" s="61" t="s">
        <v>81</v>
      </c>
      <c r="D37" s="61" t="s">
        <v>82</v>
      </c>
      <c r="E37" s="61" t="s">
        <v>83</v>
      </c>
      <c r="F37" s="61" t="s">
        <v>84</v>
      </c>
      <c r="G37" s="61" t="s">
        <v>85</v>
      </c>
      <c r="H37" s="75" t="s">
        <v>86</v>
      </c>
      <c r="I37" s="72" t="s">
        <v>80</v>
      </c>
      <c r="J37" s="61" t="s">
        <v>81</v>
      </c>
      <c r="K37" s="61" t="s">
        <v>82</v>
      </c>
      <c r="L37" s="61" t="s">
        <v>83</v>
      </c>
      <c r="M37" s="61" t="s">
        <v>84</v>
      </c>
      <c r="N37" s="61" t="s">
        <v>85</v>
      </c>
      <c r="O37" s="161" t="s">
        <v>86</v>
      </c>
      <c r="P37" s="163" t="s">
        <v>55</v>
      </c>
      <c r="Q37" s="78" t="s">
        <v>54</v>
      </c>
      <c r="R37" s="79" t="s">
        <v>56</v>
      </c>
    </row>
    <row r="38" spans="2:18" ht="15.75" thickBot="1" x14ac:dyDescent="0.3">
      <c r="B38" s="68" t="e">
        <f>SUMIFS(Calkos!#REF!,Calkos!#REF!,"Alluminio",Calkos!#REF!,0.07,Calkos!#REF!,"mg")</f>
        <v>#REF!</v>
      </c>
      <c r="C38" s="69" t="e">
        <f>SUMIFS(Calkos!#REF!,Calkos!#REF!,"Alluminio",Calkos!#REF!,0.1,Calkos!#REF!,"mg")</f>
        <v>#REF!</v>
      </c>
      <c r="D38" s="69" t="e">
        <f>SUMIFS(Calkos!#REF!,Calkos!#REF!,"Alluminio",Calkos!#REF!,0.18,Calkos!#REF!,"mg")</f>
        <v>#REF!</v>
      </c>
      <c r="E38" s="69" t="e">
        <f>SUMIFS(Calkos!#REF!,Calkos!#REF!,"Rame",Calkos!#REF!,0.1,Calkos!#REF!,"mg")</f>
        <v>#REF!</v>
      </c>
      <c r="F38" s="69" t="e">
        <f>SUMIFS(Calkos!#REF!,Calkos!#REF!,"Rame",Calkos!#REF!,0.18,Calkos!#REF!,"mg")</f>
        <v>#REF!</v>
      </c>
      <c r="G38" s="69" t="e">
        <f>SUMIFS(Calkos!#REF!,Calkos!#REF!,"Ottone",Calkos!#REF!,0.1,Calkos!#REF!,"mg")</f>
        <v>#REF!</v>
      </c>
      <c r="H38" s="76" t="e">
        <f>SUMIFS(Calkos!#REF!,Calkos!#REF!,"Ottone",Calkos!#REF!,0.18,Calkos!#REF!,"mg")</f>
        <v>#REF!</v>
      </c>
      <c r="I38" s="73" t="e">
        <f>SUMIFS(Calkos!#REF!,Calkos!#REF!,"Alluminio",Calkos!#REF!,0.07,Calkos!#REF!,"mg")</f>
        <v>#REF!</v>
      </c>
      <c r="J38" s="70" t="e">
        <f>SUMIFS(Calkos!#REF!,Calkos!#REF!,"Alluminio",Calkos!#REF!,0.1,Calkos!#REF!,"mg")</f>
        <v>#REF!</v>
      </c>
      <c r="K38" s="70" t="e">
        <f>SUMIFS(Calkos!#REF!,Calkos!#REF!,"Alluminio",Calkos!#REF!,0.18,Calkos!#REF!,"mg")</f>
        <v>#REF!</v>
      </c>
      <c r="L38" s="70" t="e">
        <f>SUMIFS(Calkos!#REF!,Calkos!#REF!,"Rame",Calkos!#REF!,0.1,Calkos!#REF!,"mg")</f>
        <v>#REF!</v>
      </c>
      <c r="M38" s="70" t="e">
        <f>SUMIFS(Calkos!#REF!,Calkos!#REF!,"Rame",Calkos!#REF!,0.18,Calkos!#REF!,"mg")</f>
        <v>#REF!</v>
      </c>
      <c r="N38" s="70" t="e">
        <f>SUMIFS(Calkos!#REF!,Calkos!#REF!,"Ottone",Calkos!#REF!,0.1,Calkos!#REF!,"mg")</f>
        <v>#REF!</v>
      </c>
      <c r="O38" s="162" t="e">
        <f>SUMIFS(Calkos!#REF!,Calkos!#REF!,"Ottone",Calkos!#REF!,0.18,Calkos!#REF!,"mg")</f>
        <v>#REF!</v>
      </c>
      <c r="P38" s="15" t="e">
        <f>SUMIF(Calkos!#REF!,"MG",Calkos!#REF!)</f>
        <v>#REF!</v>
      </c>
      <c r="Q38" s="160" t="e">
        <f>SUMIF(Calkos!#REF!,"MG",Calkos!#REF!)</f>
        <v>#REF!</v>
      </c>
      <c r="R38" s="16" t="e">
        <f>+Q38*40%</f>
        <v>#REF!</v>
      </c>
    </row>
    <row r="39" spans="2:18" x14ac:dyDescent="0.25">
      <c r="I39" s="159"/>
      <c r="J39" s="159"/>
      <c r="K39" s="159"/>
      <c r="L39" s="159"/>
      <c r="M39" s="159"/>
      <c r="N39" s="159"/>
      <c r="O39" s="159"/>
      <c r="P39" s="11"/>
      <c r="Q39" s="44"/>
      <c r="R39" s="44"/>
    </row>
    <row r="40" spans="2:18" x14ac:dyDescent="0.25">
      <c r="I40" s="159"/>
      <c r="J40" s="159"/>
      <c r="K40" s="159"/>
      <c r="L40" s="159"/>
      <c r="M40" s="159"/>
      <c r="N40" s="159"/>
      <c r="O40" s="159"/>
      <c r="P40" s="11"/>
      <c r="Q40" s="44"/>
      <c r="R40" s="44"/>
    </row>
    <row r="41" spans="2:18" ht="15.75" thickBot="1" x14ac:dyDescent="0.3">
      <c r="P41" s="29" t="s">
        <v>168</v>
      </c>
    </row>
    <row r="42" spans="2:18" ht="15.75" thickBot="1" x14ac:dyDescent="0.3">
      <c r="B42" s="62"/>
      <c r="C42" s="63"/>
      <c r="D42" s="63"/>
      <c r="E42" s="64" t="s">
        <v>78</v>
      </c>
      <c r="F42" s="64"/>
      <c r="G42" s="63"/>
      <c r="H42" s="74"/>
      <c r="I42" s="71"/>
      <c r="J42" s="63"/>
      <c r="K42" s="63"/>
      <c r="L42" s="64" t="s">
        <v>79</v>
      </c>
      <c r="M42" s="64"/>
      <c r="N42" s="63"/>
      <c r="O42" s="65"/>
    </row>
    <row r="43" spans="2:18" ht="24" x14ac:dyDescent="0.25">
      <c r="B43" s="67" t="s">
        <v>80</v>
      </c>
      <c r="C43" s="61" t="s">
        <v>81</v>
      </c>
      <c r="D43" s="61" t="s">
        <v>82</v>
      </c>
      <c r="E43" s="61" t="s">
        <v>83</v>
      </c>
      <c r="F43" s="61" t="s">
        <v>84</v>
      </c>
      <c r="G43" s="61" t="s">
        <v>85</v>
      </c>
      <c r="H43" s="75" t="s">
        <v>86</v>
      </c>
      <c r="I43" s="72" t="s">
        <v>80</v>
      </c>
      <c r="J43" s="61" t="s">
        <v>81</v>
      </c>
      <c r="K43" s="61" t="s">
        <v>82</v>
      </c>
      <c r="L43" s="61" t="s">
        <v>83</v>
      </c>
      <c r="M43" s="61" t="s">
        <v>84</v>
      </c>
      <c r="N43" s="61" t="s">
        <v>85</v>
      </c>
      <c r="O43" s="161" t="s">
        <v>86</v>
      </c>
      <c r="P43" s="163" t="s">
        <v>55</v>
      </c>
      <c r="Q43" s="78" t="s">
        <v>54</v>
      </c>
      <c r="R43" s="79" t="s">
        <v>56</v>
      </c>
    </row>
    <row r="44" spans="2:18" ht="15.75" thickBot="1" x14ac:dyDescent="0.3">
      <c r="B44" s="68" t="e">
        <f>SUMIFS(Calkos!#REF!,Calkos!#REF!,"Alluminio",Calkos!#REF!,0.07,Calkos!#REF!,"fenaroli")</f>
        <v>#REF!</v>
      </c>
      <c r="C44" s="69" t="e">
        <f>SUMIFS(Calkos!#REF!,Calkos!#REF!,"Alluminio",Calkos!#REF!,0.1,Calkos!#REF!,"fenaroli")</f>
        <v>#REF!</v>
      </c>
      <c r="D44" s="69" t="e">
        <f>SUMIFS(Calkos!#REF!,Calkos!#REF!,"Alluminio",Calkos!#REF!,0.18,Calkos!#REF!,"fenaroli")</f>
        <v>#REF!</v>
      </c>
      <c r="E44" s="69" t="e">
        <f>SUMIFS(Calkos!#REF!,Calkos!#REF!,"Rame",Calkos!#REF!,0.1,Calkos!#REF!,"fenaroli")</f>
        <v>#REF!</v>
      </c>
      <c r="F44" s="69" t="e">
        <f>SUMIFS(Calkos!#REF!,Calkos!#REF!,"Rame",Calkos!#REF!,0.18,Calkos!#REF!,"fenaroli")</f>
        <v>#REF!</v>
      </c>
      <c r="G44" s="69" t="e">
        <f>SUMIFS(Calkos!#REF!,Calkos!#REF!,"Ottone",Calkos!#REF!,0.1,Calkos!#REF!,"fenaroli")</f>
        <v>#REF!</v>
      </c>
      <c r="H44" s="76" t="e">
        <f>SUMIFS(Calkos!#REF!,Calkos!#REF!,"Ottone",Calkos!#REF!,0.18,Calkos!#REF!,"fenaroli")</f>
        <v>#REF!</v>
      </c>
      <c r="I44" s="73" t="e">
        <f>SUMIFS(Calkos!#REF!,Calkos!#REF!,"Alluminio",Calkos!#REF!,0.07,Calkos!#REF!,"fenaroli")</f>
        <v>#REF!</v>
      </c>
      <c r="J44" s="70" t="e">
        <f>SUMIFS(Calkos!#REF!,Calkos!#REF!,"Alluminio",Calkos!#REF!,0.1,Calkos!#REF!,"fenaroli")</f>
        <v>#REF!</v>
      </c>
      <c r="K44" s="70" t="e">
        <f>SUMIFS(Calkos!#REF!,Calkos!#REF!,"Alluminio",Calkos!#REF!,0.18,Calkos!#REF!,"fenaroli")</f>
        <v>#REF!</v>
      </c>
      <c r="L44" s="70" t="e">
        <f>SUMIFS(Calkos!#REF!,Calkos!#REF!,"Rame",Calkos!#REF!,0.1,Calkos!#REF!,"fenaroli")</f>
        <v>#REF!</v>
      </c>
      <c r="M44" s="70" t="e">
        <f>SUMIFS(Calkos!#REF!,Calkos!#REF!,"Rame",Calkos!#REF!,0.18,Calkos!#REF!,"fenaroli")</f>
        <v>#REF!</v>
      </c>
      <c r="N44" s="70" t="e">
        <f>SUMIFS(Calkos!#REF!,Calkos!#REF!,"Ottone",Calkos!#REF!,0.1,Calkos!#REF!,"fenaroli")</f>
        <v>#REF!</v>
      </c>
      <c r="O44" s="162" t="e">
        <f>SUMIFS(Calkos!#REF!,Calkos!#REF!,"Ottone",Calkos!#REF!,0.18,Calkos!#REF!,"fenaroli")</f>
        <v>#REF!</v>
      </c>
      <c r="P44" s="15" t="e">
        <f>SUMIF(Calkos!#REF!,"Fenaroli",Calkos!#REF!)</f>
        <v>#REF!</v>
      </c>
      <c r="Q44" s="160" t="e">
        <f>SUMIF(Calkos!#REF!,"Fenaroli",Calkos!#REF!)</f>
        <v>#REF!</v>
      </c>
      <c r="R44" s="16" t="e">
        <f>+Q44*0.4</f>
        <v>#REF!</v>
      </c>
    </row>
    <row r="45" spans="2:18" x14ac:dyDescent="0.25">
      <c r="I45" s="159"/>
      <c r="J45" s="159"/>
      <c r="K45" s="159"/>
      <c r="L45" s="159"/>
      <c r="M45" s="159"/>
      <c r="N45" s="159"/>
      <c r="O45" s="159"/>
      <c r="P45" s="11"/>
      <c r="Q45" s="44"/>
      <c r="R45" s="44"/>
    </row>
    <row r="46" spans="2:18" x14ac:dyDescent="0.25">
      <c r="I46" s="159"/>
      <c r="J46" s="159"/>
      <c r="K46" s="159"/>
      <c r="L46" s="159"/>
      <c r="M46" s="159"/>
      <c r="N46" s="159"/>
      <c r="O46" s="159"/>
      <c r="P46" s="11"/>
      <c r="Q46" s="44"/>
      <c r="R46" s="44"/>
    </row>
    <row r="47" spans="2:18" x14ac:dyDescent="0.25">
      <c r="I47" s="159"/>
      <c r="J47" s="159"/>
      <c r="K47" s="159"/>
      <c r="L47" s="159"/>
      <c r="M47" s="159"/>
      <c r="N47" s="159"/>
      <c r="O47" s="159"/>
      <c r="P47" s="11"/>
      <c r="Q47" s="44"/>
      <c r="R47" s="44"/>
    </row>
    <row r="48" spans="2:18" x14ac:dyDescent="0.25">
      <c r="I48" s="159"/>
      <c r="J48" s="159"/>
      <c r="K48" s="159"/>
      <c r="L48" s="159"/>
      <c r="M48" s="159"/>
      <c r="N48" s="159"/>
      <c r="O48" s="159"/>
      <c r="P48" s="11"/>
      <c r="Q48" s="44"/>
      <c r="R48" s="44"/>
    </row>
    <row r="49" spans="2:19" x14ac:dyDescent="0.25">
      <c r="I49" s="159"/>
      <c r="J49" s="159"/>
      <c r="K49" s="159"/>
      <c r="L49" s="159"/>
      <c r="M49" s="159"/>
      <c r="N49" s="159"/>
      <c r="O49" s="159"/>
      <c r="P49" s="11"/>
      <c r="Q49" s="44"/>
      <c r="R49" s="44"/>
    </row>
    <row r="51" spans="2:19" x14ac:dyDescent="0.25">
      <c r="O51" s="30"/>
      <c r="P51" s="31"/>
      <c r="Q51" s="31"/>
      <c r="R51" s="31"/>
      <c r="S51" s="32"/>
    </row>
    <row r="53" spans="2:19" ht="15.75" thickBot="1" x14ac:dyDescent="0.3"/>
    <row r="54" spans="2:19" ht="15.75" thickBot="1" x14ac:dyDescent="0.3">
      <c r="B54" s="62"/>
      <c r="C54" s="63"/>
      <c r="D54" s="63"/>
      <c r="E54" s="64" t="s">
        <v>78</v>
      </c>
      <c r="F54" s="64"/>
      <c r="G54" s="63"/>
      <c r="H54" s="74"/>
      <c r="I54" s="71"/>
      <c r="J54" s="63"/>
      <c r="K54" s="63"/>
      <c r="L54" s="64" t="s">
        <v>79</v>
      </c>
      <c r="M54" s="64"/>
      <c r="N54" s="63"/>
      <c r="O54" s="65"/>
      <c r="P54" s="29" t="s">
        <v>56</v>
      </c>
    </row>
    <row r="55" spans="2:19" ht="24" x14ac:dyDescent="0.25">
      <c r="B55" s="67" t="s">
        <v>80</v>
      </c>
      <c r="C55" s="61" t="s">
        <v>81</v>
      </c>
      <c r="D55" s="61" t="s">
        <v>82</v>
      </c>
      <c r="E55" s="61" t="s">
        <v>83</v>
      </c>
      <c r="F55" s="61" t="s">
        <v>84</v>
      </c>
      <c r="G55" s="61" t="s">
        <v>85</v>
      </c>
      <c r="H55" s="75" t="s">
        <v>86</v>
      </c>
      <c r="I55" s="72" t="s">
        <v>80</v>
      </c>
      <c r="J55" s="61" t="s">
        <v>81</v>
      </c>
      <c r="K55" s="61" t="s">
        <v>82</v>
      </c>
      <c r="L55" s="61" t="s">
        <v>83</v>
      </c>
      <c r="M55" s="61" t="s">
        <v>84</v>
      </c>
      <c r="N55" s="61" t="s">
        <v>85</v>
      </c>
      <c r="O55" s="61" t="s">
        <v>86</v>
      </c>
      <c r="P55" s="25" t="s">
        <v>55</v>
      </c>
      <c r="Q55" s="26" t="s">
        <v>54</v>
      </c>
      <c r="R55" s="27" t="s">
        <v>56</v>
      </c>
    </row>
    <row r="56" spans="2:19" ht="15.75" thickBot="1" x14ac:dyDescent="0.3">
      <c r="B56" s="68" t="e">
        <f>SUMIFS(Calkos!#REF!,Calkos!#REF!,"Alluminio",Calkos!#REF!,0.07,Calkos!#REF!,"Luca")</f>
        <v>#REF!</v>
      </c>
      <c r="C56" s="69" t="e">
        <f>SUMIFS(Calkos!#REF!,Calkos!#REF!,"Alluminio",Calkos!#REF!,0.1,Calkos!#REF!,"luca")</f>
        <v>#REF!</v>
      </c>
      <c r="D56" s="69" t="e">
        <f>SUMIFS(Calkos!#REF!,Calkos!#REF!,"Alluminio",Calkos!#REF!,0.18,Calkos!#REF!,"luca")</f>
        <v>#REF!</v>
      </c>
      <c r="E56" s="69" t="e">
        <f>SUMIFS(Calkos!#REF!,Calkos!#REF!,"Rame",Calkos!#REF!,0.1,Calkos!#REF!,"Luca")</f>
        <v>#REF!</v>
      </c>
      <c r="F56" s="69" t="e">
        <f>SUMIFS(Calkos!#REF!,Calkos!#REF!,"Rame",Calkos!#REF!,0.18,Calkos!#REF!,"Luca")</f>
        <v>#REF!</v>
      </c>
      <c r="G56" s="69" t="e">
        <f>SUMIFS(Calkos!#REF!,Calkos!#REF!,"Ottone",Calkos!#REF!,0.1,Calkos!#REF!,"luca")</f>
        <v>#REF!</v>
      </c>
      <c r="H56" s="76" t="e">
        <f>SUMIFS(Calkos!#REF!,Calkos!#REF!,"Ottone",Calkos!#REF!,0.18,Calkos!#REF!,"Luca")</f>
        <v>#REF!</v>
      </c>
      <c r="I56" s="73" t="e">
        <f>SUMIFS(Calkos!#REF!,Calkos!#REF!,"Alluminio",Calkos!#REF!,0.07,Calkos!#REF!,"Luca")</f>
        <v>#REF!</v>
      </c>
      <c r="J56" s="70" t="e">
        <f>SUMIFS(Calkos!#REF!,Calkos!#REF!,"Alluminio",Calkos!#REF!,0.1,Calkos!#REF!,"luca")</f>
        <v>#REF!</v>
      </c>
      <c r="K56" s="70" t="e">
        <f>SUMIFS(Calkos!#REF!,Calkos!#REF!,"Alluminio",Calkos!#REF!,0.18,Calkos!#REF!,"luca")</f>
        <v>#REF!</v>
      </c>
      <c r="L56" s="70" t="e">
        <f>SUMIFS(Calkos!#REF!,Calkos!#REF!,"Rame",Calkos!#REF!,0.1,Calkos!#REF!,"Luca")</f>
        <v>#REF!</v>
      </c>
      <c r="M56" s="70" t="e">
        <f>SUMIFS(Calkos!#REF!,Calkos!#REF!,"Rame",Calkos!#REF!,0.18,Calkos!#REF!,"luca")</f>
        <v>#REF!</v>
      </c>
      <c r="N56" s="70" t="e">
        <f>SUMIFS(Calkos!#REF!,Calkos!#REF!,"Ottone",Calkos!#REF!,0.1,Calkos!#REF!,"luca")</f>
        <v>#REF!</v>
      </c>
      <c r="O56" s="70" t="e">
        <f>SUMIFS(Calkos!#REF!,Calkos!#REF!,"Ottone",Calkos!#REF!,0.18,Calkos!#REF!,"luca")</f>
        <v>#REF!</v>
      </c>
      <c r="P56" s="15" t="e">
        <f>SUMIF(Calkos!#REF!,"luca",Calkos!#REF!)</f>
        <v>#REF!</v>
      </c>
      <c r="Q56" s="160" t="e">
        <f>SUMIF(Calkos!#REF!,"Luca",Calkos!#REF!)</f>
        <v>#REF!</v>
      </c>
      <c r="R56" s="16" t="e">
        <f>+Q56*40%</f>
        <v>#REF!</v>
      </c>
    </row>
    <row r="57" spans="2:19" x14ac:dyDescent="0.25">
      <c r="P57" s="11"/>
      <c r="Q57" s="44"/>
      <c r="R57" s="44"/>
    </row>
    <row r="58" spans="2:19" x14ac:dyDescent="0.25">
      <c r="O58" s="30"/>
      <c r="P58" s="31"/>
      <c r="Q58" s="31"/>
      <c r="R58" s="31"/>
      <c r="S58" s="32"/>
    </row>
    <row r="59" spans="2:19" x14ac:dyDescent="0.25">
      <c r="P59" s="11"/>
      <c r="Q59" s="44"/>
      <c r="R59" s="44"/>
    </row>
    <row r="60" spans="2:19" ht="19.5" thickBot="1" x14ac:dyDescent="0.35">
      <c r="P60" s="52" t="s">
        <v>66</v>
      </c>
      <c r="Q60" s="53"/>
    </row>
    <row r="61" spans="2:19" ht="18.75" x14ac:dyDescent="0.3">
      <c r="P61" s="45" t="s">
        <v>63</v>
      </c>
      <c r="Q61" s="46" t="e">
        <f>+P56</f>
        <v>#REF!</v>
      </c>
    </row>
    <row r="62" spans="2:19" ht="18.75" x14ac:dyDescent="0.3">
      <c r="P62" s="47" t="s">
        <v>62</v>
      </c>
      <c r="Q62" s="48" t="e">
        <f>+R56</f>
        <v>#REF!</v>
      </c>
    </row>
    <row r="63" spans="2:19" ht="19.5" thickBot="1" x14ac:dyDescent="0.35">
      <c r="P63" s="47" t="s">
        <v>64</v>
      </c>
      <c r="Q63" s="49" t="e">
        <f>+(Q62/2)*23%</f>
        <v>#REF!</v>
      </c>
    </row>
    <row r="64" spans="2:19" ht="19.5" thickBot="1" x14ac:dyDescent="0.35">
      <c r="P64" s="50" t="s">
        <v>65</v>
      </c>
      <c r="Q64" s="51" t="e">
        <f>+Q62-Q63</f>
        <v>#REF!</v>
      </c>
    </row>
    <row r="65" spans="15:19" x14ac:dyDescent="0.25">
      <c r="P65" s="11"/>
      <c r="Q65" s="44"/>
      <c r="R65" s="44"/>
    </row>
    <row r="66" spans="15:19" x14ac:dyDescent="0.25">
      <c r="O66" s="30"/>
      <c r="P66" s="31"/>
      <c r="Q66" s="31"/>
      <c r="R66" s="31"/>
      <c r="S66" s="32"/>
    </row>
    <row r="67" spans="15:19" ht="15.75" thickBot="1" x14ac:dyDescent="0.3">
      <c r="P67" s="29" t="s">
        <v>59</v>
      </c>
    </row>
    <row r="68" spans="15:19" ht="24.75" thickBot="1" x14ac:dyDescent="0.3">
      <c r="P68" s="25" t="s">
        <v>55</v>
      </c>
      <c r="Q68" s="26" t="s">
        <v>54</v>
      </c>
      <c r="R68" s="27" t="s">
        <v>56</v>
      </c>
    </row>
    <row r="69" spans="15:19" x14ac:dyDescent="0.25">
      <c r="O69" s="41" t="s">
        <v>60</v>
      </c>
      <c r="P69" s="10" t="e">
        <f>+P7+P14+P20+P26+P32+P38+P44</f>
        <v>#REF!</v>
      </c>
      <c r="Q69" s="33" t="e">
        <f>+Q7+Q14+Q20+Q26+Q32+Q38+Q44</f>
        <v>#REF!</v>
      </c>
      <c r="R69" s="34" t="e">
        <f>+R7+R14+R20+R26+R32+R38+R44</f>
        <v>#REF!</v>
      </c>
    </row>
    <row r="70" spans="15:19" ht="15.75" thickBot="1" x14ac:dyDescent="0.3">
      <c r="O70" s="42" t="s">
        <v>61</v>
      </c>
      <c r="P70" s="35" t="e">
        <f>+P56</f>
        <v>#REF!</v>
      </c>
      <c r="Q70" s="36" t="e">
        <f>+Q56</f>
        <v>#REF!</v>
      </c>
      <c r="R70" s="37" t="e">
        <f>+R56</f>
        <v>#REF!</v>
      </c>
    </row>
    <row r="71" spans="15:19" ht="15.75" thickBot="1" x14ac:dyDescent="0.3">
      <c r="O71" s="43" t="s">
        <v>50</v>
      </c>
      <c r="P71" s="38" t="e">
        <f>+P69-P70</f>
        <v>#REF!</v>
      </c>
      <c r="Q71" s="39" t="e">
        <f>+Q69-Q70</f>
        <v>#REF!</v>
      </c>
      <c r="R71" s="40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4" t="s">
        <v>67</v>
      </c>
    </row>
    <row r="2" spans="2:5" ht="21" x14ac:dyDescent="0.35">
      <c r="B2" s="54"/>
    </row>
    <row r="3" spans="2:5" ht="21" x14ac:dyDescent="0.35">
      <c r="B3" s="54"/>
    </row>
    <row r="4" spans="2:5" x14ac:dyDescent="0.25">
      <c r="B4" s="29" t="s">
        <v>57</v>
      </c>
    </row>
    <row r="5" spans="2:5" ht="15.75" thickBot="1" x14ac:dyDescent="0.3"/>
    <row r="6" spans="2:5" ht="24" x14ac:dyDescent="0.25">
      <c r="B6" s="77" t="s">
        <v>55</v>
      </c>
      <c r="C6" s="78" t="s">
        <v>54</v>
      </c>
      <c r="D6" s="79" t="s">
        <v>56</v>
      </c>
    </row>
    <row r="7" spans="2:5" ht="15.75" thickBot="1" x14ac:dyDescent="0.3">
      <c r="B7" s="66" t="e">
        <f>+'Luke SkyWalker'!P7</f>
        <v>#REF!</v>
      </c>
      <c r="C7" s="81" t="e">
        <f>+'Luke SkyWalker'!Q7</f>
        <v>#REF!</v>
      </c>
      <c r="D7" s="16" t="e">
        <f>+'Luke SkyWalker'!R7</f>
        <v>#REF!</v>
      </c>
    </row>
    <row r="9" spans="2:5" x14ac:dyDescent="0.25">
      <c r="B9" s="31"/>
      <c r="C9" s="31"/>
      <c r="D9" s="31"/>
      <c r="E9" s="32"/>
    </row>
    <row r="11" spans="2:5" x14ac:dyDescent="0.25">
      <c r="B11" s="29" t="s">
        <v>58</v>
      </c>
    </row>
    <row r="12" spans="2:5" ht="15.75" thickBot="1" x14ac:dyDescent="0.3"/>
    <row r="13" spans="2:5" ht="24" x14ac:dyDescent="0.25">
      <c r="B13" s="77" t="s">
        <v>55</v>
      </c>
      <c r="C13" s="78" t="s">
        <v>54</v>
      </c>
      <c r="D13" s="79" t="s">
        <v>56</v>
      </c>
    </row>
    <row r="14" spans="2:5" ht="15.75" thickBot="1" x14ac:dyDescent="0.3">
      <c r="B14" s="66" t="e">
        <f>SUM(#REF!)</f>
        <v>#REF!</v>
      </c>
      <c r="C14" s="16" t="e">
        <f>SUM(#REF!)</f>
        <v>#REF!</v>
      </c>
      <c r="D14" s="16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31"/>
      <c r="C16" s="31"/>
      <c r="D16" s="31"/>
      <c r="E16" s="32"/>
    </row>
    <row r="19" spans="2:5" ht="15.75" thickBot="1" x14ac:dyDescent="0.3">
      <c r="B19" s="29" t="s">
        <v>56</v>
      </c>
    </row>
    <row r="20" spans="2:5" ht="24" x14ac:dyDescent="0.25">
      <c r="B20" s="25" t="s">
        <v>55</v>
      </c>
      <c r="C20" s="26" t="s">
        <v>54</v>
      </c>
      <c r="D20" s="27" t="s">
        <v>56</v>
      </c>
    </row>
    <row r="21" spans="2:5" ht="15.75" thickBot="1" x14ac:dyDescent="0.3">
      <c r="B21" s="15" t="e">
        <f>SUM(#REF!)</f>
        <v>#REF!</v>
      </c>
      <c r="C21" s="16" t="e">
        <f>SUM(#REF!)</f>
        <v>#REF!</v>
      </c>
      <c r="D21" s="16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4"/>
      <c r="D22" s="44"/>
    </row>
    <row r="23" spans="2:5" x14ac:dyDescent="0.25">
      <c r="B23" s="31"/>
      <c r="C23" s="31"/>
      <c r="D23" s="31"/>
      <c r="E23" s="32"/>
    </row>
    <row r="24" spans="2:5" x14ac:dyDescent="0.25">
      <c r="B24" s="11"/>
      <c r="C24" s="44"/>
      <c r="D24" s="44"/>
    </row>
    <row r="25" spans="2:5" ht="19.5" thickBot="1" x14ac:dyDescent="0.35">
      <c r="B25" s="52" t="s">
        <v>66</v>
      </c>
      <c r="C25" s="53"/>
    </row>
    <row r="26" spans="2:5" ht="18.75" x14ac:dyDescent="0.3">
      <c r="B26" s="45" t="s">
        <v>63</v>
      </c>
      <c r="C26" s="46" t="e">
        <f>+B21</f>
        <v>#REF!</v>
      </c>
    </row>
    <row r="27" spans="2:5" ht="18.75" x14ac:dyDescent="0.3">
      <c r="B27" s="47" t="s">
        <v>62</v>
      </c>
      <c r="C27" s="48" t="e">
        <f>+D21</f>
        <v>#REF!</v>
      </c>
    </row>
    <row r="28" spans="2:5" ht="19.5" thickBot="1" x14ac:dyDescent="0.35">
      <c r="B28" s="47" t="s">
        <v>64</v>
      </c>
      <c r="C28" s="49" t="e">
        <f>+(C27/2)*23%</f>
        <v>#REF!</v>
      </c>
    </row>
    <row r="29" spans="2:5" ht="19.5" thickBot="1" x14ac:dyDescent="0.35">
      <c r="B29" s="50" t="s">
        <v>65</v>
      </c>
      <c r="C29" s="51" t="e">
        <f>+C27-C28</f>
        <v>#REF!</v>
      </c>
    </row>
    <row r="30" spans="2:5" x14ac:dyDescent="0.25">
      <c r="B30" s="11"/>
      <c r="C30" s="44"/>
      <c r="D30" s="44"/>
    </row>
    <row r="31" spans="2:5" x14ac:dyDescent="0.25">
      <c r="B31" s="31"/>
      <c r="C31" s="31"/>
      <c r="D31" s="31"/>
      <c r="E31" s="32"/>
    </row>
    <row r="32" spans="2:5" ht="15.75" thickBot="1" x14ac:dyDescent="0.3">
      <c r="B32" s="29" t="s">
        <v>59</v>
      </c>
    </row>
    <row r="33" spans="2:4" ht="24" x14ac:dyDescent="0.25">
      <c r="B33" s="25" t="s">
        <v>55</v>
      </c>
      <c r="C33" s="26" t="s">
        <v>54</v>
      </c>
      <c r="D33" s="27" t="s">
        <v>56</v>
      </c>
    </row>
    <row r="34" spans="2:4" x14ac:dyDescent="0.25">
      <c r="B34" s="10" t="e">
        <f>+B7+B14</f>
        <v>#REF!</v>
      </c>
      <c r="C34" s="33" t="e">
        <f>+C7+C14</f>
        <v>#REF!</v>
      </c>
      <c r="D34" s="34" t="e">
        <f>+D7+D14</f>
        <v>#REF!</v>
      </c>
    </row>
    <row r="35" spans="2:4" ht="15.75" thickBot="1" x14ac:dyDescent="0.3">
      <c r="B35" s="35" t="e">
        <f>+B21</f>
        <v>#REF!</v>
      </c>
      <c r="C35" s="36" t="e">
        <f>+C21</f>
        <v>#REF!</v>
      </c>
      <c r="D35" s="37" t="e">
        <f>+D21</f>
        <v>#REF!</v>
      </c>
    </row>
    <row r="36" spans="2:4" ht="15.75" thickBot="1" x14ac:dyDescent="0.3">
      <c r="B36" s="38" t="e">
        <f>+B34-B35</f>
        <v>#REF!</v>
      </c>
      <c r="C36" s="39" t="e">
        <f>+C34-C35</f>
        <v>#REF!</v>
      </c>
      <c r="D36" s="40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4" t="s">
        <v>68</v>
      </c>
    </row>
    <row r="3" spans="1:10" ht="15.75" thickBot="1" x14ac:dyDescent="0.3">
      <c r="B3" s="207" t="s">
        <v>215</v>
      </c>
      <c r="H3" s="29" t="s">
        <v>70</v>
      </c>
    </row>
    <row r="4" spans="1:10" ht="24" x14ac:dyDescent="0.25">
      <c r="B4" s="25" t="s">
        <v>55</v>
      </c>
      <c r="C4" s="26" t="s">
        <v>54</v>
      </c>
      <c r="D4" s="27" t="s">
        <v>69</v>
      </c>
      <c r="F4" s="58"/>
      <c r="H4" s="25" t="s">
        <v>55</v>
      </c>
      <c r="I4" s="26" t="s">
        <v>54</v>
      </c>
      <c r="J4" s="27" t="s">
        <v>69</v>
      </c>
    </row>
    <row r="5" spans="1:10" ht="15.75" thickBot="1" x14ac:dyDescent="0.3">
      <c r="B5" s="15"/>
      <c r="C5" s="16"/>
      <c r="D5" s="28"/>
      <c r="F5" s="58"/>
      <c r="H5" s="15"/>
      <c r="I5" s="16"/>
      <c r="J5" s="28"/>
    </row>
    <row r="6" spans="1:10" x14ac:dyDescent="0.25">
      <c r="F6" s="58"/>
    </row>
    <row r="7" spans="1:10" x14ac:dyDescent="0.25">
      <c r="A7" s="30"/>
      <c r="B7" s="31"/>
      <c r="C7" s="31"/>
      <c r="D7" s="31"/>
      <c r="E7" s="32"/>
      <c r="F7" s="58"/>
      <c r="G7" s="30"/>
      <c r="H7" s="31"/>
      <c r="I7" s="31"/>
      <c r="J7" s="31"/>
    </row>
    <row r="8" spans="1:10" x14ac:dyDescent="0.25">
      <c r="F8" s="58"/>
    </row>
    <row r="9" spans="1:10" ht="15.75" thickBot="1" x14ac:dyDescent="0.3">
      <c r="B9" s="207" t="s">
        <v>216</v>
      </c>
      <c r="F9" s="58"/>
      <c r="H9" s="29" t="s">
        <v>71</v>
      </c>
    </row>
    <row r="10" spans="1:10" ht="24" x14ac:dyDescent="0.25">
      <c r="B10" s="25" t="s">
        <v>55</v>
      </c>
      <c r="C10" s="26" t="s">
        <v>54</v>
      </c>
      <c r="D10" s="27" t="s">
        <v>69</v>
      </c>
      <c r="F10" s="58"/>
      <c r="H10" s="25" t="s">
        <v>55</v>
      </c>
      <c r="I10" s="26" t="s">
        <v>54</v>
      </c>
      <c r="J10" s="27" t="s">
        <v>69</v>
      </c>
    </row>
    <row r="11" spans="1:10" ht="15.75" thickBot="1" x14ac:dyDescent="0.3">
      <c r="B11" s="15"/>
      <c r="C11" s="16"/>
      <c r="D11" s="28"/>
      <c r="F11" s="58"/>
      <c r="H11" s="15"/>
      <c r="I11" s="16"/>
      <c r="J11" s="28"/>
    </row>
    <row r="12" spans="1:10" x14ac:dyDescent="0.25">
      <c r="F12" s="58"/>
    </row>
    <row r="13" spans="1:10" x14ac:dyDescent="0.25">
      <c r="A13" s="30"/>
      <c r="B13" s="31"/>
      <c r="C13" s="31"/>
      <c r="D13" s="31"/>
      <c r="E13" s="32"/>
      <c r="F13" s="58"/>
      <c r="H13" s="31"/>
      <c r="I13" s="31"/>
      <c r="J13" s="31"/>
    </row>
    <row r="14" spans="1:10" x14ac:dyDescent="0.25">
      <c r="F14" s="58"/>
    </row>
    <row r="15" spans="1:10" ht="15.75" thickBot="1" x14ac:dyDescent="0.3">
      <c r="B15" s="207" t="s">
        <v>217</v>
      </c>
      <c r="F15" s="58"/>
      <c r="H15" s="29" t="s">
        <v>72</v>
      </c>
    </row>
    <row r="16" spans="1:10" ht="24" x14ac:dyDescent="0.25">
      <c r="B16" s="25" t="s">
        <v>55</v>
      </c>
      <c r="C16" s="26" t="s">
        <v>54</v>
      </c>
      <c r="D16" s="27" t="s">
        <v>69</v>
      </c>
      <c r="F16" s="58"/>
      <c r="H16" s="25" t="s">
        <v>55</v>
      </c>
      <c r="I16" s="26" t="s">
        <v>54</v>
      </c>
      <c r="J16" s="27" t="s">
        <v>69</v>
      </c>
    </row>
    <row r="17" spans="1:10" ht="15.75" thickBot="1" x14ac:dyDescent="0.3">
      <c r="B17" s="15"/>
      <c r="C17" s="16"/>
      <c r="D17" s="28"/>
      <c r="F17" s="58"/>
      <c r="H17" s="15"/>
      <c r="I17" s="16"/>
      <c r="J17" s="28"/>
    </row>
    <row r="18" spans="1:10" x14ac:dyDescent="0.25">
      <c r="B18" s="56"/>
      <c r="C18" s="57"/>
      <c r="D18" s="57"/>
      <c r="F18" s="58"/>
    </row>
    <row r="19" spans="1:10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</row>
    <row r="21" spans="1:10" ht="15.75" thickBot="1" x14ac:dyDescent="0.3">
      <c r="B21" s="29" t="s">
        <v>73</v>
      </c>
      <c r="F21" s="58"/>
      <c r="H21" s="29" t="s">
        <v>74</v>
      </c>
    </row>
    <row r="22" spans="1:10" ht="24" x14ac:dyDescent="0.25">
      <c r="B22" s="25" t="s">
        <v>55</v>
      </c>
      <c r="C22" s="26" t="s">
        <v>54</v>
      </c>
      <c r="D22" s="27" t="s">
        <v>69</v>
      </c>
      <c r="F22" s="58"/>
      <c r="H22" s="25" t="s">
        <v>55</v>
      </c>
      <c r="I22" s="26" t="s">
        <v>54</v>
      </c>
      <c r="J22" s="27" t="s">
        <v>69</v>
      </c>
    </row>
    <row r="23" spans="1:10" ht="15.75" thickBot="1" x14ac:dyDescent="0.3">
      <c r="B23" s="15"/>
      <c r="C23" s="16"/>
      <c r="D23" s="28"/>
      <c r="F23" s="58"/>
      <c r="H23" s="15"/>
      <c r="I23" s="16"/>
      <c r="J23" s="28"/>
    </row>
    <row r="24" spans="1:10" ht="12.75" customHeight="1" x14ac:dyDescent="0.25"/>
    <row r="27" spans="1:10" x14ac:dyDescent="0.25">
      <c r="A27" s="30"/>
      <c r="B27" s="31"/>
      <c r="C27" s="31"/>
      <c r="D27" s="31"/>
      <c r="E27" s="32"/>
      <c r="F27" s="58"/>
    </row>
    <row r="29" spans="1:10" ht="15.75" thickBot="1" x14ac:dyDescent="0.3">
      <c r="B29" s="29" t="s">
        <v>69</v>
      </c>
    </row>
    <row r="30" spans="1:10" ht="24" x14ac:dyDescent="0.25">
      <c r="B30" s="25" t="s">
        <v>55</v>
      </c>
      <c r="C30" s="26" t="s">
        <v>54</v>
      </c>
      <c r="D30" s="27" t="s">
        <v>69</v>
      </c>
    </row>
    <row r="31" spans="1:10" ht="15.75" thickBot="1" x14ac:dyDescent="0.3">
      <c r="B31" s="15"/>
      <c r="C31" s="16"/>
      <c r="D31" s="28"/>
    </row>
    <row r="32" spans="1:10" x14ac:dyDescent="0.25">
      <c r="B32" s="11"/>
      <c r="C32" s="44"/>
      <c r="D32" s="44"/>
    </row>
    <row r="33" spans="1:5" x14ac:dyDescent="0.25">
      <c r="B33" s="11"/>
      <c r="C33" s="44"/>
      <c r="D33" s="44"/>
    </row>
    <row r="34" spans="1:5" x14ac:dyDescent="0.25">
      <c r="A34" s="30"/>
      <c r="B34" s="31"/>
      <c r="C34" s="31"/>
      <c r="D34" s="31"/>
      <c r="E34" s="32"/>
    </row>
    <row r="35" spans="1:5" x14ac:dyDescent="0.25">
      <c r="B35" s="11"/>
      <c r="C35" s="44"/>
      <c r="D35" s="44"/>
    </row>
    <row r="36" spans="1:5" ht="19.5" thickBot="1" x14ac:dyDescent="0.35">
      <c r="B36" s="52" t="s">
        <v>66</v>
      </c>
      <c r="C36" s="53"/>
    </row>
    <row r="37" spans="1:5" ht="18.75" x14ac:dyDescent="0.3">
      <c r="B37" s="45" t="s">
        <v>63</v>
      </c>
      <c r="C37" s="46">
        <f>+B31</f>
        <v>0</v>
      </c>
    </row>
    <row r="38" spans="1:5" ht="18.75" x14ac:dyDescent="0.3">
      <c r="B38" s="47" t="s">
        <v>62</v>
      </c>
      <c r="C38" s="48">
        <f>+D31</f>
        <v>0</v>
      </c>
    </row>
    <row r="39" spans="1:5" ht="18.75" x14ac:dyDescent="0.3">
      <c r="B39" s="47" t="s">
        <v>75</v>
      </c>
      <c r="C39" s="59">
        <f>+C38*22%</f>
        <v>0</v>
      </c>
    </row>
    <row r="40" spans="1:5" ht="18.75" x14ac:dyDescent="0.3">
      <c r="B40" s="47" t="s">
        <v>65</v>
      </c>
      <c r="C40" s="59">
        <f>+C38+C39</f>
        <v>0</v>
      </c>
    </row>
    <row r="41" spans="1:5" ht="19.5" thickBot="1" x14ac:dyDescent="0.35">
      <c r="B41" s="47" t="s">
        <v>64</v>
      </c>
      <c r="C41" s="49">
        <f>+(C38/2)*23%</f>
        <v>0</v>
      </c>
    </row>
    <row r="42" spans="1:5" ht="38.25" thickBot="1" x14ac:dyDescent="0.35">
      <c r="B42" s="60" t="s">
        <v>76</v>
      </c>
      <c r="C42" s="51">
        <f>+C38-C41</f>
        <v>0</v>
      </c>
    </row>
    <row r="43" spans="1:5" x14ac:dyDescent="0.25">
      <c r="B43" s="11"/>
      <c r="C43" s="44"/>
      <c r="D43" s="44"/>
    </row>
    <row r="44" spans="1:5" x14ac:dyDescent="0.25">
      <c r="A44" s="30"/>
      <c r="B44" s="31"/>
      <c r="C44" s="31"/>
      <c r="D44" s="31"/>
      <c r="E44" s="32"/>
    </row>
    <row r="45" spans="1:5" ht="15.75" thickBot="1" x14ac:dyDescent="0.3">
      <c r="B45" s="29" t="s">
        <v>59</v>
      </c>
    </row>
    <row r="46" spans="1:5" ht="24.75" thickBot="1" x14ac:dyDescent="0.3">
      <c r="B46" s="25" t="s">
        <v>55</v>
      </c>
      <c r="C46" s="26" t="s">
        <v>54</v>
      </c>
      <c r="D46" s="27" t="s">
        <v>69</v>
      </c>
    </row>
    <row r="47" spans="1:5" x14ac:dyDescent="0.25">
      <c r="A47" s="41" t="s">
        <v>60</v>
      </c>
      <c r="B47" s="10">
        <f>+B5+B11+B17+B23+H5+H11+H17+H23</f>
        <v>0</v>
      </c>
      <c r="C47" s="33">
        <f>+C5+C11+C17+C23+I5+I11+I17+I23</f>
        <v>0</v>
      </c>
      <c r="D47" s="34">
        <f>+D5+D11+D17+D23+J5+J11+J17+J23</f>
        <v>0</v>
      </c>
    </row>
    <row r="48" spans="1:5" ht="15.75" thickBot="1" x14ac:dyDescent="0.3">
      <c r="A48" s="42" t="s">
        <v>77</v>
      </c>
      <c r="B48" s="35">
        <f>+B47-B31</f>
        <v>0</v>
      </c>
      <c r="C48" s="36">
        <f>+C31</f>
        <v>0</v>
      </c>
      <c r="D48" s="37">
        <f>+D31</f>
        <v>0</v>
      </c>
    </row>
    <row r="49" spans="1:4" ht="15.75" thickBot="1" x14ac:dyDescent="0.3">
      <c r="A49" s="43" t="s">
        <v>50</v>
      </c>
      <c r="B49" s="38">
        <f>+B47-B48</f>
        <v>0</v>
      </c>
      <c r="C49" s="39">
        <f>+C47-C48</f>
        <v>0</v>
      </c>
      <c r="D49" s="40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19" t="s">
        <v>275</v>
      </c>
      <c r="B2" s="419"/>
    </row>
    <row r="4" spans="1:3" ht="15.75" thickBot="1" x14ac:dyDescent="0.3">
      <c r="A4" s="420" t="s">
        <v>276</v>
      </c>
      <c r="B4" s="420"/>
      <c r="C4" s="420"/>
    </row>
    <row r="5" spans="1:3" ht="15.75" thickBot="1" x14ac:dyDescent="0.3">
      <c r="A5" s="258" t="s">
        <v>277</v>
      </c>
      <c r="B5" s="259" t="s">
        <v>278</v>
      </c>
      <c r="C5" s="260" t="s">
        <v>94</v>
      </c>
    </row>
    <row r="6" spans="1:3" x14ac:dyDescent="0.25">
      <c r="A6" s="261" t="s">
        <v>279</v>
      </c>
      <c r="B6" s="262">
        <f>SUMIFS(Calkos!$F$6:$F$1291,Calkos!$AL$6:$AL$1291,1,Calkos!$AO$6:$AO$1291,2018)</f>
        <v>0</v>
      </c>
      <c r="C6" s="263">
        <f>SUMIFS(Calkos!$Z$6:$Z$1291,Calkos!$AL$6:$AL$1291,1,Calkos!$AO$6:$AO$1291,2018)</f>
        <v>0</v>
      </c>
    </row>
    <row r="7" spans="1:3" x14ac:dyDescent="0.25">
      <c r="A7" s="264" t="s">
        <v>280</v>
      </c>
      <c r="B7" s="265">
        <f>SUMIFS(Calkos!$F$6:$F$1291,Calkos!$AL$6:$AL$1291,2,Calkos!$AO$6:$AO$1291,2018)</f>
        <v>0</v>
      </c>
      <c r="C7" s="266">
        <f>SUMIFS(Calkos!$Z$6:$Z$1291,Calkos!$AL$6:$AL$1291,2,Calkos!$AO$6:$AO$1291,2018)</f>
        <v>0</v>
      </c>
    </row>
    <row r="8" spans="1:3" x14ac:dyDescent="0.25">
      <c r="A8" s="264" t="s">
        <v>281</v>
      </c>
      <c r="B8" s="265">
        <f>SUMIFS(Calkos!$F$6:$F$1291,Calkos!$AL$6:$AL$1291,3,Calkos!$AO$6:$AO$1291,2018)</f>
        <v>0</v>
      </c>
      <c r="C8" s="266">
        <f>SUMIFS(Calkos!$Z$6:$Z$1291,Calkos!$AL$6:$AL$1291,3,Calkos!$AO$6:$AO$1291,2018)</f>
        <v>0</v>
      </c>
    </row>
    <row r="9" spans="1:3" x14ac:dyDescent="0.25">
      <c r="A9" s="264" t="s">
        <v>282</v>
      </c>
      <c r="B9" s="265">
        <f>SUMIFS(Calkos!$F$6:$F$1291,Calkos!$AL$6:$AL$1291,4,Calkos!$AO$6:$AO$1291,2018)</f>
        <v>0</v>
      </c>
      <c r="C9" s="266">
        <f>SUMIFS(Calkos!$Z$6:$Z$1291,Calkos!$AL$6:$AL$1291,4,Calkos!$AO$6:$AO$1291,2018)</f>
        <v>0</v>
      </c>
    </row>
    <row r="10" spans="1:3" x14ac:dyDescent="0.25">
      <c r="A10" s="264" t="s">
        <v>283</v>
      </c>
      <c r="B10" s="265">
        <f>SUMIFS(Calkos!$F$6:$F$1291,Calkos!$AL$6:$AL$1291,5,Calkos!$AO$6:$AO$1291,2018)</f>
        <v>0</v>
      </c>
      <c r="C10" s="266">
        <f>SUMIFS(Calkos!$Z$6:$Z$1291,Calkos!$AL$6:$AL$1291,5,Calkos!$AO$6:$AO$1291,2018)</f>
        <v>0</v>
      </c>
    </row>
    <row r="11" spans="1:3" x14ac:dyDescent="0.25">
      <c r="A11" s="264" t="s">
        <v>284</v>
      </c>
      <c r="B11" s="265">
        <f>SUMIFS(Calkos!$F$6:$F$1291,Calkos!$AL$6:$AL$1291,6,Calkos!$AO$6:$AO$1291,2018)</f>
        <v>0</v>
      </c>
      <c r="C11" s="266">
        <f>SUMIFS(Calkos!$Z$6:$Z$1291,Calkos!$AL$6:$AL$1291,6,Calkos!$AO$6:$AO$1291,2018)</f>
        <v>0</v>
      </c>
    </row>
    <row r="12" spans="1:3" x14ac:dyDescent="0.25">
      <c r="A12" s="264" t="s">
        <v>285</v>
      </c>
      <c r="B12" s="265">
        <f>SUMIFS(Calkos!$F$6:$F$1291,Calkos!$AL$6:$AL$1291,7,Calkos!$AO$6:$AO$1291,2018)</f>
        <v>0</v>
      </c>
      <c r="C12" s="266">
        <f>SUMIFS(Calkos!$Z$6:$Z$1291,Calkos!$AL$6:$AL$1291,7,Calkos!$AO$6:$AO$1291,2018)</f>
        <v>0</v>
      </c>
    </row>
    <row r="13" spans="1:3" x14ac:dyDescent="0.25">
      <c r="A13" s="264" t="s">
        <v>286</v>
      </c>
      <c r="B13" s="265">
        <f>SUMIFS(Calkos!$F$6:$F$1291,Calkos!$AL$6:$AL$1291,8,Calkos!$AO$6:$AO$1291,2018)</f>
        <v>0</v>
      </c>
      <c r="C13" s="266">
        <f>SUMIFS(Calkos!$Z$6:$Z$1291,Calkos!$AL$6:$AL$1291,8,Calkos!$AO$6:$AO$1291,2018)</f>
        <v>0</v>
      </c>
    </row>
    <row r="14" spans="1:3" x14ac:dyDescent="0.25">
      <c r="A14" s="267" t="s">
        <v>287</v>
      </c>
      <c r="B14" s="265">
        <f>SUMIFS(Calkos!$F$6:$F$1291,Calkos!$AL$6:$AL$1291,9,Calkos!$AO$6:$AO$1291,2018)</f>
        <v>0</v>
      </c>
      <c r="C14" s="266">
        <f>SUMIFS(Calkos!$Z$6:$Z$1291,Calkos!$AL$6:$AL$1291,9,Calkos!$AO$6:$AO$1291,2018)</f>
        <v>0</v>
      </c>
    </row>
    <row r="15" spans="1:3" x14ac:dyDescent="0.25">
      <c r="A15" s="264" t="s">
        <v>288</v>
      </c>
      <c r="B15" s="265">
        <f>SUMIFS(Calkos!$F$6:$F$1291,Calkos!$AL$6:$AL$1291,10,Calkos!$AO$6:$AO$1291,2018)</f>
        <v>0</v>
      </c>
      <c r="C15" s="266">
        <f>SUMIFS(Calkos!$Z$6:$Z$1291,Calkos!$AL$6:$AL$1291,10,Calkos!$AO$6:$AO$1291,2018)</f>
        <v>0</v>
      </c>
    </row>
    <row r="16" spans="1:3" x14ac:dyDescent="0.25">
      <c r="A16" s="264" t="s">
        <v>289</v>
      </c>
      <c r="B16" s="265">
        <f>SUMIFS(Calkos!$F$6:$F$1291,Calkos!$AL$6:$AL$1291,11,Calkos!$AO$6:$AO$1291,2018)</f>
        <v>0</v>
      </c>
      <c r="C16" s="266">
        <f>SUMIFS(Calkos!$Z$6:$Z$1291,Calkos!$AL$6:$AL$1291,11,Calkos!$AO$6:$AO$1291,2018)</f>
        <v>0</v>
      </c>
    </row>
    <row r="17" spans="1:3" ht="15.75" thickBot="1" x14ac:dyDescent="0.3">
      <c r="A17" s="268" t="s">
        <v>290</v>
      </c>
      <c r="B17" s="269">
        <f>SUMIFS(Calkos!$F$6:$F$1291,Calkos!$AL$6:$AL$1291,12,Calkos!$AO$6:$AO$1291,2018)</f>
        <v>0</v>
      </c>
      <c r="C17" s="270">
        <f>SUMIFS(Calkos!$Z$6:$Z$1291,Calkos!$AL$6:$AL$1291,12,Calkos!$AO$6:$AO$1291,2018)</f>
        <v>0</v>
      </c>
    </row>
    <row r="18" spans="1:3" ht="15.75" thickBot="1" x14ac:dyDescent="0.3">
      <c r="A18" s="257"/>
      <c r="B18" s="271">
        <f>SUM(B6:B17)</f>
        <v>0</v>
      </c>
      <c r="C18" s="272">
        <f>SUM(C6:C17)</f>
        <v>0</v>
      </c>
    </row>
    <row r="20" spans="1:3" ht="15.75" thickBot="1" x14ac:dyDescent="0.3">
      <c r="A20" s="420" t="s">
        <v>291</v>
      </c>
      <c r="B20" s="420"/>
      <c r="C20" s="420"/>
    </row>
    <row r="21" spans="1:3" ht="15.75" thickBot="1" x14ac:dyDescent="0.3">
      <c r="A21" s="258" t="s">
        <v>277</v>
      </c>
      <c r="B21" s="259" t="s">
        <v>278</v>
      </c>
      <c r="C21" s="260" t="s">
        <v>94</v>
      </c>
    </row>
    <row r="22" spans="1:3" x14ac:dyDescent="0.25">
      <c r="A22" s="261" t="s">
        <v>279</v>
      </c>
      <c r="B22" s="262">
        <f>SUMIFS(Calkos!$F$6:$F$1291,Calkos!$AL$6:$AL$1291,1,Calkos!$AO$6:$AO$1291,2019)</f>
        <v>0</v>
      </c>
      <c r="C22" s="263">
        <f>SUMIFS(Calkos!$Z$6:$Z$1291,Calkos!$AL$6:$AL$1291,1,Calkos!$AO$6:$AO$1291,2019)</f>
        <v>0</v>
      </c>
    </row>
    <row r="23" spans="1:3" x14ac:dyDescent="0.25">
      <c r="A23" s="264" t="s">
        <v>280</v>
      </c>
      <c r="B23" s="265">
        <f>SUMIFS(Calkos!$F$6:$F$1291,Calkos!$AL$6:$AL$1291,2,Calkos!$AO$6:$AO$1291,2019)</f>
        <v>0</v>
      </c>
      <c r="C23" s="266">
        <f>SUMIFS(Calkos!$Z$6:$Z$1291,Calkos!$AL$6:$AL$1291,2,Calkos!$AO$6:$AO$1291,2019)</f>
        <v>0</v>
      </c>
    </row>
    <row r="24" spans="1:3" x14ac:dyDescent="0.25">
      <c r="A24" s="264" t="s">
        <v>281</v>
      </c>
      <c r="B24" s="265">
        <f>SUMIFS(Calkos!$F$6:$F$1291,Calkos!$AL$6:$AL$1291,3,Calkos!$AO$6:$AO$1291,2019)</f>
        <v>0</v>
      </c>
      <c r="C24" s="266">
        <f>SUMIFS(Calkos!$Z$6:$Z$1291,Calkos!$AL$6:$AL$1291,3,Calkos!$AO$6:$AO$1291,2019)</f>
        <v>0</v>
      </c>
    </row>
    <row r="25" spans="1:3" x14ac:dyDescent="0.25">
      <c r="A25" s="264" t="s">
        <v>282</v>
      </c>
      <c r="B25" s="265">
        <f>SUMIFS(Calkos!$F$6:$F$1291,Calkos!$AL$6:$AL$1291,4,Calkos!$AO$6:$AO$1291,2019)</f>
        <v>0</v>
      </c>
      <c r="C25" s="266">
        <f>SUMIFS(Calkos!$Z$6:$Z$1291,Calkos!$AL$6:$AL$1291,4,Calkos!$AO$6:$AO$1291,2019)</f>
        <v>0</v>
      </c>
    </row>
    <row r="26" spans="1:3" x14ac:dyDescent="0.25">
      <c r="A26" s="264" t="s">
        <v>283</v>
      </c>
      <c r="B26" s="265">
        <f>SUMIFS(Calkos!$F$6:$F$1291,Calkos!$AL$6:$AL$1291,5,Calkos!$AO$6:$AO$1291,2019)</f>
        <v>0</v>
      </c>
      <c r="C26" s="266">
        <f>SUMIFS(Calkos!$Z$6:$Z$1291,Calkos!$AL$6:$AL$1291,5,Calkos!$AO$6:$AO$1291,2019)</f>
        <v>0</v>
      </c>
    </row>
    <row r="27" spans="1:3" x14ac:dyDescent="0.25">
      <c r="A27" s="264" t="s">
        <v>284</v>
      </c>
      <c r="B27" s="265">
        <f>SUMIFS(Calkos!$F$6:$F$1291,Calkos!$AL$6:$AL$1291,6,Calkos!$AO$6:$AO$1291,2019)</f>
        <v>0</v>
      </c>
      <c r="C27" s="266">
        <f>SUMIFS(Calkos!$Z$6:$Z$1291,Calkos!$AL$6:$AL$1291,6,Calkos!$AO$6:$AO$1291,2019)</f>
        <v>0</v>
      </c>
    </row>
    <row r="28" spans="1:3" x14ac:dyDescent="0.25">
      <c r="A28" s="264" t="s">
        <v>285</v>
      </c>
      <c r="B28" s="265">
        <f>SUMIFS(Calkos!$F$6:$F$1291,Calkos!$AL$6:$AL$1291,7,Calkos!$AO$6:$AO$1291,2019)</f>
        <v>0</v>
      </c>
      <c r="C28" s="266">
        <f>SUMIFS(Calkos!$Z$6:$Z$1291,Calkos!$AL$6:$AL$1291,7,Calkos!$AO$6:$AO$1291,2019)</f>
        <v>0</v>
      </c>
    </row>
    <row r="29" spans="1:3" x14ac:dyDescent="0.25">
      <c r="A29" s="264" t="s">
        <v>286</v>
      </c>
      <c r="B29" s="265">
        <f>SUMIFS(Calkos!$F$6:$F$1291,Calkos!$AL$6:$AL$1291,8,Calkos!$AO$6:$AO$1291,2019)</f>
        <v>0</v>
      </c>
      <c r="C29" s="266">
        <f>SUMIFS(Calkos!$Z$6:$Z$1291,Calkos!$AL$6:$AL$1291,8,Calkos!$AO$6:$AO$1291,2019)</f>
        <v>0</v>
      </c>
    </row>
    <row r="30" spans="1:3" x14ac:dyDescent="0.25">
      <c r="A30" s="267" t="s">
        <v>287</v>
      </c>
      <c r="B30" s="265">
        <f>SUMIFS(Calkos!$F$6:$F$1291,Calkos!$AL$6:$AL$1291,9,Calkos!$AO$6:$AO$1291,2019)</f>
        <v>0</v>
      </c>
      <c r="C30" s="266">
        <f>SUMIFS(Calkos!$Z$6:$Z$1291,Calkos!$AL$6:$AL$1291,9,Calkos!$AO$6:$AO$1291,2019)</f>
        <v>0</v>
      </c>
    </row>
    <row r="31" spans="1:3" x14ac:dyDescent="0.25">
      <c r="A31" s="264" t="s">
        <v>288</v>
      </c>
      <c r="B31" s="265">
        <f>SUMIFS(Calkos!$F$6:$F$1291,Calkos!$AL$6:$AL$1291,10,Calkos!$AO$6:$AO$1291,2019)</f>
        <v>0</v>
      </c>
      <c r="C31" s="266">
        <f>SUMIFS(Calkos!$Z$6:$Z$1291,Calkos!$AL$6:$AL$1291,10,Calkos!$AO$6:$AO$1291,2019)</f>
        <v>0</v>
      </c>
    </row>
    <row r="32" spans="1:3" x14ac:dyDescent="0.25">
      <c r="A32" s="264" t="s">
        <v>289</v>
      </c>
      <c r="B32" s="265">
        <f>SUMIFS(Calkos!$F$6:$F$1291,Calkos!$AL$6:$AL$1291,11,Calkos!$AO$6:$AO$1291,2019)</f>
        <v>0</v>
      </c>
      <c r="C32" s="266">
        <f>SUMIFS(Calkos!$Z$6:$Z$1291,Calkos!$AL$6:$AL$1291,11,Calkos!$AO$6:$AO$1291,2019)</f>
        <v>0</v>
      </c>
    </row>
    <row r="33" spans="1:3" ht="15.75" thickBot="1" x14ac:dyDescent="0.3">
      <c r="A33" s="268" t="s">
        <v>290</v>
      </c>
      <c r="B33" s="269">
        <f>SUMIFS(Calkos!$F$6:$F$1291,Calkos!$AL$6:$AL$1291,12,Calkos!$AO$6:$AO$1291,2019)</f>
        <v>0</v>
      </c>
      <c r="C33" s="270">
        <f>SUMIFS(Calkos!$Z$6:$Z$1291,Calkos!$AL$6:$AL$1291,12,Calkos!$AO$6:$AO$1291,2019)</f>
        <v>0</v>
      </c>
    </row>
    <row r="34" spans="1:3" ht="15.75" thickBot="1" x14ac:dyDescent="0.3">
      <c r="A34" s="257"/>
      <c r="B34" s="271">
        <f>SUM(B22:B33)</f>
        <v>0</v>
      </c>
      <c r="C34" s="272">
        <f>SUM(C22:C33)</f>
        <v>0</v>
      </c>
    </row>
    <row r="37" spans="1:3" x14ac:dyDescent="0.25">
      <c r="A37">
        <f>COUNTIF(Calkos!AC6:AC1291,"&gt;0")</f>
        <v>143</v>
      </c>
      <c r="B37">
        <f>COUNTIF(Calkos!AL6:AL1291,"&gt;0")</f>
        <v>0</v>
      </c>
      <c r="C37">
        <f>COUNTIF(Calkos!AO6:AO1291,"&gt;0")</f>
        <v>1278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28</vt:i4>
      </vt:variant>
    </vt:vector>
  </HeadingPairs>
  <TitlesOfParts>
    <vt:vector size="45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Consegna</vt:lpstr>
      <vt:lpstr>Settimana</vt:lpstr>
      <vt:lpstr>Luke SkyWalker</vt:lpstr>
      <vt:lpstr>Luca</vt:lpstr>
      <vt:lpstr>Ivan</vt:lpstr>
      <vt:lpstr>Riepilogo consegne</vt:lpstr>
      <vt:lpstr>_Alu2</vt:lpstr>
      <vt:lpstr>Al</vt:lpstr>
      <vt:lpstr>Alu</vt:lpstr>
      <vt:lpstr>Area_check_Zero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Cella_Destinazione_SI</vt:lpstr>
      <vt:lpstr>Cu</vt:lpstr>
      <vt:lpstr>ella_Destinazione_NO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2026-03-11T09:23:42Z</dcterms:modified>
</cp:coreProperties>
</file>