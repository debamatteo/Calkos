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ercorso\"/>
    </mc:Choice>
  </mc:AlternateContent>
  <bookViews>
    <workbookView xWindow="-120" yWindow="-120" windowWidth="29040" windowHeight="15720" tabRatio="604" firstSheet="1" activeTab="1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comm.'!$A$4:$S$406</definedName>
  </definedNames>
  <calcPr calcId="162913"/>
</workbook>
</file>

<file path=xl/calcChain.xml><?xml version="1.0" encoding="utf-8"?>
<calcChain xmlns="http://schemas.openxmlformats.org/spreadsheetml/2006/main">
  <c r="I5" i="10" l="1"/>
  <c r="J5" i="10"/>
  <c r="K5" i="10" s="1"/>
  <c r="J6" i="10"/>
  <c r="K6" i="10" s="1"/>
  <c r="I6" i="10"/>
  <c r="J385" i="10"/>
  <c r="K385" i="10" s="1"/>
  <c r="I385" i="10"/>
  <c r="J384" i="10"/>
  <c r="K384" i="10" s="1"/>
  <c r="I384" i="10"/>
  <c r="J383" i="10"/>
  <c r="K383" i="10" s="1"/>
  <c r="I383" i="10"/>
  <c r="J382" i="10"/>
  <c r="K382" i="10" s="1"/>
  <c r="I382" i="10"/>
  <c r="J381" i="10"/>
  <c r="K381" i="10" s="1"/>
  <c r="L381" i="10" s="1"/>
  <c r="I381" i="10"/>
  <c r="J380" i="10"/>
  <c r="K380" i="10" s="1"/>
  <c r="L380" i="10" s="1"/>
  <c r="N380" i="10" s="1"/>
  <c r="I380" i="10"/>
  <c r="J379" i="10"/>
  <c r="K379" i="10" s="1"/>
  <c r="L379" i="10" s="1"/>
  <c r="N379" i="10" s="1"/>
  <c r="I379" i="10"/>
  <c r="J378" i="10"/>
  <c r="K378" i="10" s="1"/>
  <c r="L378" i="10" s="1"/>
  <c r="N378" i="10" s="1"/>
  <c r="I378" i="10"/>
  <c r="J377" i="10"/>
  <c r="K377" i="10" s="1"/>
  <c r="I377" i="10"/>
  <c r="L377" i="10" s="1"/>
  <c r="N377" i="10" s="1"/>
  <c r="K376" i="10"/>
  <c r="L376" i="10" s="1"/>
  <c r="N376" i="10" s="1"/>
  <c r="J376" i="10"/>
  <c r="I376" i="10"/>
  <c r="J375" i="10"/>
  <c r="K375" i="10" s="1"/>
  <c r="I375" i="10"/>
  <c r="J374" i="10"/>
  <c r="K374" i="10" s="1"/>
  <c r="I374" i="10"/>
  <c r="J373" i="10"/>
  <c r="K373" i="10" s="1"/>
  <c r="I373" i="10"/>
  <c r="J372" i="10"/>
  <c r="K372" i="10" s="1"/>
  <c r="L372" i="10" s="1"/>
  <c r="N372" i="10" s="1"/>
  <c r="I372" i="10"/>
  <c r="J371" i="10"/>
  <c r="K371" i="10" s="1"/>
  <c r="L371" i="10" s="1"/>
  <c r="N371" i="10" s="1"/>
  <c r="I371" i="10"/>
  <c r="J370" i="10"/>
  <c r="K370" i="10" s="1"/>
  <c r="L370" i="10" s="1"/>
  <c r="N370" i="10" s="1"/>
  <c r="I370" i="10"/>
  <c r="J369" i="10"/>
  <c r="K369" i="10" s="1"/>
  <c r="L369" i="10" s="1"/>
  <c r="N369" i="10" s="1"/>
  <c r="I369" i="10"/>
  <c r="J368" i="10"/>
  <c r="K368" i="10" s="1"/>
  <c r="I368" i="10"/>
  <c r="J367" i="10"/>
  <c r="K367" i="10" s="1"/>
  <c r="I367" i="10"/>
  <c r="L367" i="10" s="1"/>
  <c r="N367" i="10" s="1"/>
  <c r="J402" i="10"/>
  <c r="K402" i="10" s="1"/>
  <c r="I402" i="10"/>
  <c r="J401" i="10"/>
  <c r="K401" i="10" s="1"/>
  <c r="I401" i="10"/>
  <c r="L401" i="10" s="1"/>
  <c r="N401" i="10" s="1"/>
  <c r="J400" i="10"/>
  <c r="K400" i="10" s="1"/>
  <c r="I400" i="10"/>
  <c r="J360" i="10"/>
  <c r="K360" i="10" s="1"/>
  <c r="I360" i="10"/>
  <c r="L360" i="10" s="1"/>
  <c r="N360" i="10" s="1"/>
  <c r="J359" i="10"/>
  <c r="K359" i="10" s="1"/>
  <c r="I359" i="10"/>
  <c r="J358" i="10"/>
  <c r="K358" i="10" s="1"/>
  <c r="I358" i="10"/>
  <c r="L358" i="10" s="1"/>
  <c r="N358" i="10" s="1"/>
  <c r="J357" i="10"/>
  <c r="K357" i="10" s="1"/>
  <c r="I357" i="10"/>
  <c r="J356" i="10"/>
  <c r="K356" i="10" s="1"/>
  <c r="I356" i="10"/>
  <c r="L356" i="10" s="1"/>
  <c r="N356" i="10" s="1"/>
  <c r="J355" i="10"/>
  <c r="K355" i="10" s="1"/>
  <c r="I355" i="10"/>
  <c r="J354" i="10"/>
  <c r="K354" i="10" s="1"/>
  <c r="I354" i="10"/>
  <c r="L354" i="10" s="1"/>
  <c r="N354" i="10" s="1"/>
  <c r="J353" i="10"/>
  <c r="K353" i="10" s="1"/>
  <c r="I353" i="10"/>
  <c r="J352" i="10"/>
  <c r="K352" i="10" s="1"/>
  <c r="I352" i="10"/>
  <c r="J351" i="10"/>
  <c r="K351" i="10" s="1"/>
  <c r="I351" i="10"/>
  <c r="J350" i="10"/>
  <c r="K350" i="10" s="1"/>
  <c r="I350" i="10"/>
  <c r="L350" i="10" s="1"/>
  <c r="N350" i="10" s="1"/>
  <c r="J349" i="10"/>
  <c r="K349" i="10" s="1"/>
  <c r="I349" i="10"/>
  <c r="J348" i="10"/>
  <c r="K348" i="10" s="1"/>
  <c r="I348" i="10"/>
  <c r="J347" i="10"/>
  <c r="K347" i="10" s="1"/>
  <c r="I347" i="10"/>
  <c r="J346" i="10"/>
  <c r="K346" i="10"/>
  <c r="L346" i="10" s="1"/>
  <c r="N346" i="10" s="1"/>
  <c r="I346" i="10"/>
  <c r="J345" i="10"/>
  <c r="K345" i="10" s="1"/>
  <c r="I345" i="10"/>
  <c r="J344" i="10"/>
  <c r="K344" i="10" s="1"/>
  <c r="L344" i="10" s="1"/>
  <c r="N344" i="10" s="1"/>
  <c r="I344" i="10"/>
  <c r="J396" i="10"/>
  <c r="K396" i="10" s="1"/>
  <c r="L396" i="10" s="1"/>
  <c r="N396" i="10" s="1"/>
  <c r="I396" i="10"/>
  <c r="J395" i="10"/>
  <c r="K395" i="10" s="1"/>
  <c r="I395" i="10"/>
  <c r="J394" i="10"/>
  <c r="K394" i="10" s="1"/>
  <c r="I394" i="10"/>
  <c r="J393" i="10"/>
  <c r="K393" i="10" s="1"/>
  <c r="I393" i="10"/>
  <c r="J392" i="10"/>
  <c r="K392" i="10" s="1"/>
  <c r="I392" i="10"/>
  <c r="J391" i="10"/>
  <c r="K391" i="10" s="1"/>
  <c r="I391" i="10"/>
  <c r="J390" i="10"/>
  <c r="K390" i="10" s="1"/>
  <c r="I390" i="10"/>
  <c r="J389" i="10"/>
  <c r="K389" i="10" s="1"/>
  <c r="I389" i="10"/>
  <c r="J388" i="10"/>
  <c r="K388" i="10" s="1"/>
  <c r="L388" i="10" s="1"/>
  <c r="I388" i="10"/>
  <c r="J387" i="10"/>
  <c r="K387" i="10" s="1"/>
  <c r="I387" i="10"/>
  <c r="L387" i="10" s="1"/>
  <c r="N387" i="10" s="1"/>
  <c r="J386" i="10"/>
  <c r="K386" i="10" s="1"/>
  <c r="I386" i="10"/>
  <c r="J366" i="10"/>
  <c r="K366" i="10"/>
  <c r="L366" i="10" s="1"/>
  <c r="N366" i="10" s="1"/>
  <c r="I366" i="10"/>
  <c r="J365" i="10"/>
  <c r="K365" i="10" s="1"/>
  <c r="I365" i="10"/>
  <c r="J364" i="10"/>
  <c r="K364" i="10" s="1"/>
  <c r="L364" i="10" s="1"/>
  <c r="N364" i="10" s="1"/>
  <c r="I364" i="10"/>
  <c r="J363" i="10"/>
  <c r="K363" i="10" s="1"/>
  <c r="I363" i="10"/>
  <c r="L363" i="10" s="1"/>
  <c r="N363" i="10" s="1"/>
  <c r="J362" i="10"/>
  <c r="K362" i="10" s="1"/>
  <c r="L362" i="10" s="1"/>
  <c r="N362" i="10" s="1"/>
  <c r="I362" i="10"/>
  <c r="J361" i="10"/>
  <c r="K361" i="10" s="1"/>
  <c r="I361" i="10"/>
  <c r="I325" i="10"/>
  <c r="J325" i="10"/>
  <c r="K325" i="10" s="1"/>
  <c r="I326" i="10"/>
  <c r="J326" i="10"/>
  <c r="K326" i="10" s="1"/>
  <c r="I327" i="10"/>
  <c r="J327" i="10"/>
  <c r="K327" i="10" s="1"/>
  <c r="I328" i="10"/>
  <c r="J328" i="10"/>
  <c r="K328" i="10" s="1"/>
  <c r="I329" i="10"/>
  <c r="J329" i="10"/>
  <c r="K329" i="10" s="1"/>
  <c r="I330" i="10"/>
  <c r="J330" i="10"/>
  <c r="K330" i="10" s="1"/>
  <c r="I331" i="10"/>
  <c r="J331" i="10"/>
  <c r="K331" i="10" s="1"/>
  <c r="I332" i="10"/>
  <c r="J332" i="10"/>
  <c r="K332" i="10" s="1"/>
  <c r="L332" i="10" s="1"/>
  <c r="N332" i="10" s="1"/>
  <c r="I333" i="10"/>
  <c r="J333" i="10"/>
  <c r="K333" i="10" s="1"/>
  <c r="I334" i="10"/>
  <c r="J334" i="10"/>
  <c r="K334" i="10" s="1"/>
  <c r="I335" i="10"/>
  <c r="J335" i="10"/>
  <c r="K335" i="10" s="1"/>
  <c r="I336" i="10"/>
  <c r="J336" i="10"/>
  <c r="K336" i="10" s="1"/>
  <c r="I337" i="10"/>
  <c r="L337" i="10" s="1"/>
  <c r="N337" i="10" s="1"/>
  <c r="J337" i="10"/>
  <c r="K337" i="10" s="1"/>
  <c r="I338" i="10"/>
  <c r="J338" i="10"/>
  <c r="K338" i="10" s="1"/>
  <c r="I339" i="10"/>
  <c r="J339" i="10"/>
  <c r="K339" i="10" s="1"/>
  <c r="I340" i="10"/>
  <c r="J340" i="10"/>
  <c r="K340" i="10" s="1"/>
  <c r="I341" i="10"/>
  <c r="L341" i="10" s="1"/>
  <c r="N341" i="10" s="1"/>
  <c r="J341" i="10"/>
  <c r="K341" i="10" s="1"/>
  <c r="I342" i="10"/>
  <c r="J342" i="10"/>
  <c r="K342" i="10" s="1"/>
  <c r="I11" i="10"/>
  <c r="L11" i="10" s="1"/>
  <c r="N11" i="10" s="1"/>
  <c r="I10" i="10"/>
  <c r="I9" i="10"/>
  <c r="I8" i="10"/>
  <c r="D419" i="10"/>
  <c r="J302" i="10"/>
  <c r="K302" i="10" s="1"/>
  <c r="I302" i="10"/>
  <c r="J301" i="10"/>
  <c r="K301" i="10" s="1"/>
  <c r="I301" i="10"/>
  <c r="L301" i="10" s="1"/>
  <c r="N301" i="10" s="1"/>
  <c r="J300" i="10"/>
  <c r="K300" i="10" s="1"/>
  <c r="I300" i="10"/>
  <c r="J299" i="10"/>
  <c r="K299" i="10" s="1"/>
  <c r="I299" i="10"/>
  <c r="L299" i="10" s="1"/>
  <c r="N299" i="10" s="1"/>
  <c r="J298" i="10"/>
  <c r="K298" i="10" s="1"/>
  <c r="I298" i="10"/>
  <c r="J297" i="10"/>
  <c r="K297" i="10" s="1"/>
  <c r="I297" i="10"/>
  <c r="L297" i="10" s="1"/>
  <c r="N297" i="10" s="1"/>
  <c r="J296" i="10"/>
  <c r="K296" i="10" s="1"/>
  <c r="L296" i="10" s="1"/>
  <c r="N296" i="10" s="1"/>
  <c r="I296" i="10"/>
  <c r="J295" i="10"/>
  <c r="K295" i="10" s="1"/>
  <c r="I295" i="10"/>
  <c r="J294" i="10"/>
  <c r="K294" i="10" s="1"/>
  <c r="I294" i="10"/>
  <c r="J293" i="10"/>
  <c r="K293" i="10" s="1"/>
  <c r="I293" i="10"/>
  <c r="L293" i="10" s="1"/>
  <c r="N293" i="10" s="1"/>
  <c r="J292" i="10"/>
  <c r="K292" i="10" s="1"/>
  <c r="I292" i="10"/>
  <c r="J291" i="10"/>
  <c r="K291" i="10" s="1"/>
  <c r="I291" i="10"/>
  <c r="J290" i="10"/>
  <c r="K290" i="10" s="1"/>
  <c r="I290" i="10"/>
  <c r="J289" i="10"/>
  <c r="K289" i="10"/>
  <c r="L289" i="10" s="1"/>
  <c r="N289" i="10" s="1"/>
  <c r="I289" i="10"/>
  <c r="J288" i="10"/>
  <c r="K288" i="10"/>
  <c r="I288" i="10"/>
  <c r="J287" i="10"/>
  <c r="K287" i="10" s="1"/>
  <c r="I287" i="10"/>
  <c r="J286" i="10"/>
  <c r="K286" i="10" s="1"/>
  <c r="I286" i="10"/>
  <c r="L286" i="10" s="1"/>
  <c r="N286" i="10" s="1"/>
  <c r="J285" i="10"/>
  <c r="K285" i="10" s="1"/>
  <c r="I285" i="10"/>
  <c r="J284" i="10"/>
  <c r="K284" i="10" s="1"/>
  <c r="L284" i="10" s="1"/>
  <c r="N284" i="10" s="1"/>
  <c r="I284" i="10"/>
  <c r="J283" i="10"/>
  <c r="K283" i="10" s="1"/>
  <c r="I283" i="10"/>
  <c r="L283" i="10" s="1"/>
  <c r="N283" i="10" s="1"/>
  <c r="J282" i="10"/>
  <c r="K282" i="10" s="1"/>
  <c r="I282" i="10"/>
  <c r="J281" i="10"/>
  <c r="K281" i="10"/>
  <c r="L281" i="10" s="1"/>
  <c r="N281" i="10" s="1"/>
  <c r="I281" i="10"/>
  <c r="J280" i="10"/>
  <c r="K280" i="10"/>
  <c r="I280" i="10"/>
  <c r="J279" i="10"/>
  <c r="K279" i="10" s="1"/>
  <c r="I279" i="10"/>
  <c r="J278" i="10"/>
  <c r="K278" i="10" s="1"/>
  <c r="I278" i="10"/>
  <c r="J277" i="10"/>
  <c r="K277" i="10" s="1"/>
  <c r="I277" i="10"/>
  <c r="J276" i="10"/>
  <c r="K276" i="10" s="1"/>
  <c r="I276" i="10"/>
  <c r="J275" i="10"/>
  <c r="K275" i="10" s="1"/>
  <c r="I275" i="10"/>
  <c r="L275" i="10" s="1"/>
  <c r="N275" i="10" s="1"/>
  <c r="J274" i="10"/>
  <c r="K274" i="10" s="1"/>
  <c r="I274" i="10"/>
  <c r="J273" i="10"/>
  <c r="K273" i="10" s="1"/>
  <c r="I273" i="10"/>
  <c r="L273" i="10" s="1"/>
  <c r="N273" i="10" s="1"/>
  <c r="J272" i="10"/>
  <c r="K272" i="10" s="1"/>
  <c r="I272" i="10"/>
  <c r="J271" i="10"/>
  <c r="K271" i="10" s="1"/>
  <c r="I271" i="10"/>
  <c r="L271" i="10" s="1"/>
  <c r="N271" i="10" s="1"/>
  <c r="J270" i="10"/>
  <c r="K270" i="10" s="1"/>
  <c r="L270" i="10" s="1"/>
  <c r="N270" i="10" s="1"/>
  <c r="I270" i="10"/>
  <c r="J269" i="10"/>
  <c r="K269" i="10" s="1"/>
  <c r="I269" i="10"/>
  <c r="L269" i="10" s="1"/>
  <c r="N269" i="10" s="1"/>
  <c r="J268" i="10"/>
  <c r="K268" i="10" s="1"/>
  <c r="I268" i="10"/>
  <c r="J267" i="10"/>
  <c r="K267" i="10" s="1"/>
  <c r="I267" i="10"/>
  <c r="J266" i="10"/>
  <c r="K266" i="10" s="1"/>
  <c r="I266" i="10"/>
  <c r="J265" i="10"/>
  <c r="K265" i="10" s="1"/>
  <c r="I265" i="10"/>
  <c r="J264" i="10"/>
  <c r="K264" i="10" s="1"/>
  <c r="L264" i="10" s="1"/>
  <c r="N264" i="10" s="1"/>
  <c r="I264" i="10"/>
  <c r="J263" i="10"/>
  <c r="K263" i="10"/>
  <c r="I263" i="10"/>
  <c r="J262" i="10"/>
  <c r="K262" i="10" s="1"/>
  <c r="L262" i="10" s="1"/>
  <c r="N262" i="10" s="1"/>
  <c r="I262" i="10"/>
  <c r="J261" i="10"/>
  <c r="K261" i="10"/>
  <c r="I261" i="10"/>
  <c r="J260" i="10"/>
  <c r="K260" i="10" s="1"/>
  <c r="L260" i="10" s="1"/>
  <c r="N260" i="10" s="1"/>
  <c r="I260" i="10"/>
  <c r="J259" i="10"/>
  <c r="K259" i="10"/>
  <c r="I259" i="10"/>
  <c r="J258" i="10"/>
  <c r="K258" i="10" s="1"/>
  <c r="I258" i="10"/>
  <c r="J257" i="10"/>
  <c r="K257" i="10" s="1"/>
  <c r="L257" i="10" s="1"/>
  <c r="N257" i="10" s="1"/>
  <c r="I257" i="10"/>
  <c r="J256" i="10"/>
  <c r="K256" i="10" s="1"/>
  <c r="I256" i="10"/>
  <c r="J255" i="10"/>
  <c r="K255" i="10" s="1"/>
  <c r="I255" i="10"/>
  <c r="J254" i="10"/>
  <c r="K254" i="10" s="1"/>
  <c r="L254" i="10" s="1"/>
  <c r="N254" i="10" s="1"/>
  <c r="I254" i="10"/>
  <c r="J253" i="10"/>
  <c r="K253" i="10" s="1"/>
  <c r="I253" i="10"/>
  <c r="J252" i="10"/>
  <c r="K252" i="10" s="1"/>
  <c r="L252" i="10" s="1"/>
  <c r="N252" i="10" s="1"/>
  <c r="I252" i="10"/>
  <c r="J251" i="10"/>
  <c r="K251" i="10" s="1"/>
  <c r="I251" i="10"/>
  <c r="J250" i="10"/>
  <c r="K250" i="10" s="1"/>
  <c r="I250" i="10"/>
  <c r="J249" i="10"/>
  <c r="K249" i="10" s="1"/>
  <c r="I249" i="10"/>
  <c r="J248" i="10"/>
  <c r="K248" i="10" s="1"/>
  <c r="I248" i="10"/>
  <c r="J247" i="10"/>
  <c r="K247" i="10" s="1"/>
  <c r="I247" i="10"/>
  <c r="J246" i="10"/>
  <c r="K246" i="10"/>
  <c r="I246" i="10"/>
  <c r="J245" i="10"/>
  <c r="K245" i="10"/>
  <c r="I245" i="10"/>
  <c r="J244" i="10"/>
  <c r="K244" i="10" s="1"/>
  <c r="I244" i="10"/>
  <c r="J243" i="10"/>
  <c r="K243" i="10" s="1"/>
  <c r="I243" i="10"/>
  <c r="J242" i="10"/>
  <c r="K242" i="10" s="1"/>
  <c r="I242" i="10"/>
  <c r="J241" i="10"/>
  <c r="K241" i="10" s="1"/>
  <c r="I241" i="10"/>
  <c r="J240" i="10"/>
  <c r="K240" i="10" s="1"/>
  <c r="I240" i="10"/>
  <c r="L240" i="10" s="1"/>
  <c r="J239" i="10"/>
  <c r="K239" i="10" s="1"/>
  <c r="I239" i="10"/>
  <c r="J238" i="10"/>
  <c r="K238" i="10"/>
  <c r="I238" i="10"/>
  <c r="J237" i="10"/>
  <c r="K237" i="10" s="1"/>
  <c r="I237" i="10"/>
  <c r="J236" i="10"/>
  <c r="K236" i="10" s="1"/>
  <c r="I236" i="10"/>
  <c r="L236" i="10" s="1"/>
  <c r="N236" i="10" s="1"/>
  <c r="J235" i="10"/>
  <c r="K235" i="10" s="1"/>
  <c r="I235" i="10"/>
  <c r="J234" i="10"/>
  <c r="K234" i="10" s="1"/>
  <c r="I234" i="10"/>
  <c r="L234" i="10" s="1"/>
  <c r="N234" i="10" s="1"/>
  <c r="J233" i="10"/>
  <c r="K233" i="10" s="1"/>
  <c r="L233" i="10" s="1"/>
  <c r="I233" i="10"/>
  <c r="J232" i="10"/>
  <c r="K232" i="10" s="1"/>
  <c r="I232" i="10"/>
  <c r="L232" i="10" s="1"/>
  <c r="N232" i="10" s="1"/>
  <c r="J231" i="10"/>
  <c r="K231" i="10" s="1"/>
  <c r="I231" i="10"/>
  <c r="J230" i="10"/>
  <c r="K230" i="10" s="1"/>
  <c r="L230" i="10" s="1"/>
  <c r="N230" i="10" s="1"/>
  <c r="I230" i="10"/>
  <c r="J229" i="10"/>
  <c r="K229" i="10" s="1"/>
  <c r="I229" i="10"/>
  <c r="L229" i="10"/>
  <c r="N229" i="10" s="1"/>
  <c r="J228" i="10"/>
  <c r="K228" i="10" s="1"/>
  <c r="I228" i="10"/>
  <c r="J227" i="10"/>
  <c r="K227" i="10"/>
  <c r="I227" i="10"/>
  <c r="J226" i="10"/>
  <c r="K226" i="10" s="1"/>
  <c r="L226" i="10" s="1"/>
  <c r="N226" i="10" s="1"/>
  <c r="I226" i="10"/>
  <c r="J225" i="10"/>
  <c r="K225" i="10" s="1"/>
  <c r="I225" i="10"/>
  <c r="J224" i="10"/>
  <c r="K224" i="10" s="1"/>
  <c r="I224" i="10"/>
  <c r="J223" i="10"/>
  <c r="K223" i="10" s="1"/>
  <c r="I223" i="10"/>
  <c r="J222" i="10"/>
  <c r="K222" i="10"/>
  <c r="L222" i="10" s="1"/>
  <c r="N222" i="10" s="1"/>
  <c r="I222" i="10"/>
  <c r="J221" i="10"/>
  <c r="K221" i="10" s="1"/>
  <c r="I221" i="10"/>
  <c r="J220" i="10"/>
  <c r="K220" i="10" s="1"/>
  <c r="I220" i="10"/>
  <c r="J219" i="10"/>
  <c r="K219" i="10" s="1"/>
  <c r="I219" i="10"/>
  <c r="J218" i="10"/>
  <c r="K218" i="10" s="1"/>
  <c r="I218" i="10"/>
  <c r="J217" i="10"/>
  <c r="K217" i="10" s="1"/>
  <c r="I217" i="10"/>
  <c r="J216" i="10"/>
  <c r="K216" i="10" s="1"/>
  <c r="I216" i="10"/>
  <c r="J215" i="10"/>
  <c r="K215" i="10" s="1"/>
  <c r="I215" i="10"/>
  <c r="J214" i="10"/>
  <c r="K214" i="10" s="1"/>
  <c r="I214" i="10"/>
  <c r="J213" i="10"/>
  <c r="K213" i="10" s="1"/>
  <c r="L213" i="10" s="1"/>
  <c r="N213" i="10" s="1"/>
  <c r="I213" i="10"/>
  <c r="J212" i="10"/>
  <c r="K212" i="10"/>
  <c r="I212" i="10"/>
  <c r="L212" i="10" s="1"/>
  <c r="N212" i="10" s="1"/>
  <c r="J211" i="10"/>
  <c r="K211" i="10" s="1"/>
  <c r="L211" i="10" s="1"/>
  <c r="N211" i="10" s="1"/>
  <c r="I211" i="10"/>
  <c r="J210" i="10"/>
  <c r="K210" i="10" s="1"/>
  <c r="I210" i="10"/>
  <c r="J209" i="10"/>
  <c r="K209" i="10" s="1"/>
  <c r="I209" i="10"/>
  <c r="J208" i="10"/>
  <c r="K208" i="10"/>
  <c r="I208" i="10"/>
  <c r="J207" i="10"/>
  <c r="K207" i="10" s="1"/>
  <c r="I207" i="10"/>
  <c r="J206" i="10"/>
  <c r="K206" i="10" s="1"/>
  <c r="L206" i="10" s="1"/>
  <c r="N206" i="10" s="1"/>
  <c r="I206" i="10"/>
  <c r="J205" i="10"/>
  <c r="K205" i="10" s="1"/>
  <c r="I205" i="10"/>
  <c r="J204" i="10"/>
  <c r="K204" i="10" s="1"/>
  <c r="I204" i="10"/>
  <c r="J203" i="10"/>
  <c r="K203" i="10" s="1"/>
  <c r="I203" i="10"/>
  <c r="J202" i="10"/>
  <c r="K202" i="10" s="1"/>
  <c r="I202" i="10"/>
  <c r="J201" i="10"/>
  <c r="K201" i="10" s="1"/>
  <c r="I201" i="10"/>
  <c r="J200" i="10"/>
  <c r="K200" i="10" s="1"/>
  <c r="I200" i="10"/>
  <c r="J199" i="10"/>
  <c r="K199" i="10" s="1"/>
  <c r="I199" i="10"/>
  <c r="L199" i="10" s="1"/>
  <c r="N199" i="10" s="1"/>
  <c r="J198" i="10"/>
  <c r="K198" i="10" s="1"/>
  <c r="L198" i="10" s="1"/>
  <c r="I198" i="10"/>
  <c r="J197" i="10"/>
  <c r="K197" i="10" s="1"/>
  <c r="I197" i="10"/>
  <c r="J196" i="10"/>
  <c r="K196" i="10" s="1"/>
  <c r="I196" i="10"/>
  <c r="J195" i="10"/>
  <c r="K195" i="10" s="1"/>
  <c r="I195" i="10"/>
  <c r="J194" i="10"/>
  <c r="K194" i="10"/>
  <c r="I194" i="10"/>
  <c r="J193" i="10"/>
  <c r="K193" i="10" s="1"/>
  <c r="L193" i="10" s="1"/>
  <c r="N193" i="10" s="1"/>
  <c r="I193" i="10"/>
  <c r="J192" i="10"/>
  <c r="K192" i="10" s="1"/>
  <c r="L192" i="10" s="1"/>
  <c r="I192" i="10"/>
  <c r="J191" i="10"/>
  <c r="K191" i="10"/>
  <c r="I191" i="10"/>
  <c r="J190" i="10"/>
  <c r="K190" i="10" s="1"/>
  <c r="L190" i="10" s="1"/>
  <c r="N190" i="10" s="1"/>
  <c r="I190" i="10"/>
  <c r="J189" i="10"/>
  <c r="K189" i="10" s="1"/>
  <c r="I189" i="10"/>
  <c r="J188" i="10"/>
  <c r="K188" i="10" s="1"/>
  <c r="I188" i="10"/>
  <c r="J187" i="10"/>
  <c r="K187" i="10"/>
  <c r="I187" i="10"/>
  <c r="J186" i="10"/>
  <c r="K186" i="10" s="1"/>
  <c r="I186" i="10"/>
  <c r="L186" i="10" s="1"/>
  <c r="N186" i="10" s="1"/>
  <c r="J185" i="10"/>
  <c r="K185" i="10" s="1"/>
  <c r="I185" i="10"/>
  <c r="J184" i="10"/>
  <c r="K184" i="10" s="1"/>
  <c r="I184" i="10"/>
  <c r="J183" i="10"/>
  <c r="K183" i="10" s="1"/>
  <c r="I183" i="10"/>
  <c r="J182" i="10"/>
  <c r="K182" i="10" s="1"/>
  <c r="I182" i="10"/>
  <c r="J181" i="10"/>
  <c r="K181" i="10" s="1"/>
  <c r="I181" i="10"/>
  <c r="J180" i="10"/>
  <c r="K180" i="10" s="1"/>
  <c r="I180" i="10"/>
  <c r="L180" i="10" s="1"/>
  <c r="N180" i="10" s="1"/>
  <c r="J179" i="10"/>
  <c r="K179" i="10" s="1"/>
  <c r="I179" i="10"/>
  <c r="J178" i="10"/>
  <c r="K178" i="10"/>
  <c r="I178" i="10"/>
  <c r="J177" i="10"/>
  <c r="K177" i="10"/>
  <c r="I177" i="10"/>
  <c r="J176" i="10"/>
  <c r="K176" i="10" s="1"/>
  <c r="I176" i="10"/>
  <c r="J175" i="10"/>
  <c r="K175" i="10" s="1"/>
  <c r="I175" i="10"/>
  <c r="L175" i="10" s="1"/>
  <c r="N175" i="10" s="1"/>
  <c r="J174" i="10"/>
  <c r="K174" i="10" s="1"/>
  <c r="I174" i="10"/>
  <c r="J173" i="10"/>
  <c r="K173" i="10" s="1"/>
  <c r="L173" i="10" s="1"/>
  <c r="N173" i="10" s="1"/>
  <c r="I173" i="10"/>
  <c r="J172" i="10"/>
  <c r="K172" i="10" s="1"/>
  <c r="I172" i="10"/>
  <c r="J171" i="10"/>
  <c r="K171" i="10" s="1"/>
  <c r="L171" i="10" s="1"/>
  <c r="N171" i="10" s="1"/>
  <c r="I171" i="10"/>
  <c r="J170" i="10"/>
  <c r="K170" i="10" s="1"/>
  <c r="I170" i="10"/>
  <c r="J169" i="10"/>
  <c r="K169" i="10" s="1"/>
  <c r="L169" i="10" s="1"/>
  <c r="N169" i="10" s="1"/>
  <c r="I169" i="10"/>
  <c r="J168" i="10"/>
  <c r="K168" i="10" s="1"/>
  <c r="I168" i="10"/>
  <c r="J167" i="10"/>
  <c r="K167" i="10" s="1"/>
  <c r="L167" i="10" s="1"/>
  <c r="N167" i="10" s="1"/>
  <c r="I167" i="10"/>
  <c r="J166" i="10"/>
  <c r="K166" i="10" s="1"/>
  <c r="I166" i="10"/>
  <c r="J165" i="10"/>
  <c r="K165" i="10" s="1"/>
  <c r="I165" i="10"/>
  <c r="L165" i="10" s="1"/>
  <c r="N165" i="10" s="1"/>
  <c r="J164" i="10"/>
  <c r="K164" i="10" s="1"/>
  <c r="I164" i="10"/>
  <c r="J163" i="10"/>
  <c r="K163" i="10" s="1"/>
  <c r="I163" i="10"/>
  <c r="J162" i="10"/>
  <c r="K162" i="10" s="1"/>
  <c r="I162" i="10"/>
  <c r="J161" i="10"/>
  <c r="K161" i="10"/>
  <c r="I161" i="10"/>
  <c r="J160" i="10"/>
  <c r="K160" i="10" s="1"/>
  <c r="I160" i="10"/>
  <c r="J159" i="10"/>
  <c r="K159" i="10" s="1"/>
  <c r="I159" i="10"/>
  <c r="J158" i="10"/>
  <c r="K158" i="10" s="1"/>
  <c r="I158" i="10"/>
  <c r="J157" i="10"/>
  <c r="K157" i="10"/>
  <c r="I157" i="10"/>
  <c r="J156" i="10"/>
  <c r="K156" i="10" s="1"/>
  <c r="I156" i="10"/>
  <c r="L156" i="10" s="1"/>
  <c r="N156" i="10" s="1"/>
  <c r="J155" i="10"/>
  <c r="K155" i="10" s="1"/>
  <c r="I155" i="10"/>
  <c r="J154" i="10"/>
  <c r="K154" i="10" s="1"/>
  <c r="I154" i="10"/>
  <c r="L154" i="10" s="1"/>
  <c r="N154" i="10" s="1"/>
  <c r="J153" i="10"/>
  <c r="K153" i="10" s="1"/>
  <c r="I153" i="10"/>
  <c r="J152" i="10"/>
  <c r="K152" i="10" s="1"/>
  <c r="I152" i="10"/>
  <c r="J151" i="10"/>
  <c r="K151" i="10" s="1"/>
  <c r="I151" i="10"/>
  <c r="J150" i="10"/>
  <c r="K150" i="10" s="1"/>
  <c r="I150" i="10"/>
  <c r="J149" i="10"/>
  <c r="K149" i="10" s="1"/>
  <c r="I149" i="10"/>
  <c r="J148" i="10"/>
  <c r="K148" i="10" s="1"/>
  <c r="I148" i="10"/>
  <c r="J147" i="10"/>
  <c r="K147" i="10"/>
  <c r="I147" i="10"/>
  <c r="L147" i="10" s="1"/>
  <c r="N147" i="10" s="1"/>
  <c r="J146" i="10"/>
  <c r="K146" i="10" s="1"/>
  <c r="I146" i="10"/>
  <c r="J145" i="10"/>
  <c r="K145" i="10" s="1"/>
  <c r="I145" i="10"/>
  <c r="J144" i="10"/>
  <c r="K144" i="10" s="1"/>
  <c r="I144" i="10"/>
  <c r="J143" i="10"/>
  <c r="K143" i="10" s="1"/>
  <c r="I143" i="10"/>
  <c r="L143" i="10" s="1"/>
  <c r="N143" i="10" s="1"/>
  <c r="J142" i="10"/>
  <c r="K142" i="10" s="1"/>
  <c r="L142" i="10" s="1"/>
  <c r="N142" i="10" s="1"/>
  <c r="I142" i="10"/>
  <c r="J141" i="10"/>
  <c r="K141" i="10" s="1"/>
  <c r="I141" i="10"/>
  <c r="J140" i="10"/>
  <c r="K140" i="10" s="1"/>
  <c r="I140" i="10"/>
  <c r="J139" i="10"/>
  <c r="K139" i="10"/>
  <c r="I139" i="10"/>
  <c r="J138" i="10"/>
  <c r="K138" i="10"/>
  <c r="I138" i="10"/>
  <c r="L138" i="10" s="1"/>
  <c r="N138" i="10" s="1"/>
  <c r="J137" i="10"/>
  <c r="K137" i="10" s="1"/>
  <c r="L137" i="10" s="1"/>
  <c r="N137" i="10" s="1"/>
  <c r="I137" i="10"/>
  <c r="J136" i="10"/>
  <c r="K136" i="10" s="1"/>
  <c r="I136" i="10"/>
  <c r="L136" i="10" s="1"/>
  <c r="N136" i="10" s="1"/>
  <c r="J135" i="10"/>
  <c r="K135" i="10" s="1"/>
  <c r="I135" i="10"/>
  <c r="J134" i="10"/>
  <c r="K134" i="10" s="1"/>
  <c r="I134" i="10"/>
  <c r="L134" i="10" s="1"/>
  <c r="N134" i="10" s="1"/>
  <c r="J133" i="10"/>
  <c r="K133" i="10" s="1"/>
  <c r="I133" i="10"/>
  <c r="J132" i="10"/>
  <c r="K132" i="10" s="1"/>
  <c r="I132" i="10"/>
  <c r="L132" i="10" s="1"/>
  <c r="N132" i="10" s="1"/>
  <c r="J131" i="10"/>
  <c r="K131" i="10" s="1"/>
  <c r="I131" i="10"/>
  <c r="J130" i="10"/>
  <c r="K130" i="10" s="1"/>
  <c r="I130" i="10"/>
  <c r="L130" i="10" s="1"/>
  <c r="N130" i="10" s="1"/>
  <c r="J129" i="10"/>
  <c r="K129" i="10" s="1"/>
  <c r="I129" i="10"/>
  <c r="J128" i="10"/>
  <c r="K128" i="10" s="1"/>
  <c r="I128" i="10"/>
  <c r="L128" i="10" s="1"/>
  <c r="N128" i="10" s="1"/>
  <c r="J127" i="10"/>
  <c r="K127" i="10" s="1"/>
  <c r="I127" i="10"/>
  <c r="J126" i="10"/>
  <c r="K126" i="10" s="1"/>
  <c r="I126" i="10"/>
  <c r="L126" i="10" s="1"/>
  <c r="N126" i="10" s="1"/>
  <c r="J125" i="10"/>
  <c r="K125" i="10" s="1"/>
  <c r="L125" i="10" s="1"/>
  <c r="N125" i="10" s="1"/>
  <c r="I125" i="10"/>
  <c r="J124" i="10"/>
  <c r="K124" i="10" s="1"/>
  <c r="I124" i="10"/>
  <c r="J123" i="10"/>
  <c r="K123" i="10" s="1"/>
  <c r="I123" i="10"/>
  <c r="J122" i="10"/>
  <c r="K122" i="10" s="1"/>
  <c r="I122" i="10"/>
  <c r="J121" i="10"/>
  <c r="K121" i="10" s="1"/>
  <c r="L121" i="10" s="1"/>
  <c r="I121" i="10"/>
  <c r="J120" i="10"/>
  <c r="K120" i="10" s="1"/>
  <c r="I120" i="10"/>
  <c r="L120" i="10" s="1"/>
  <c r="N120" i="10" s="1"/>
  <c r="J119" i="10"/>
  <c r="K119" i="10" s="1"/>
  <c r="L119" i="10" s="1"/>
  <c r="N119" i="10" s="1"/>
  <c r="I119" i="10"/>
  <c r="J118" i="10"/>
  <c r="K118" i="10" s="1"/>
  <c r="L118" i="10" s="1"/>
  <c r="N118" i="10" s="1"/>
  <c r="I118" i="10"/>
  <c r="J117" i="10"/>
  <c r="K117" i="10" s="1"/>
  <c r="I117" i="10"/>
  <c r="L117" i="10" s="1"/>
  <c r="N117" i="10" s="1"/>
  <c r="J116" i="10"/>
  <c r="K116" i="10" s="1"/>
  <c r="I116" i="10"/>
  <c r="J115" i="10"/>
  <c r="K115" i="10" s="1"/>
  <c r="I115" i="10"/>
  <c r="J114" i="10"/>
  <c r="K114" i="10" s="1"/>
  <c r="I114" i="10"/>
  <c r="J113" i="10"/>
  <c r="K113" i="10" s="1"/>
  <c r="I113" i="10"/>
  <c r="J112" i="10"/>
  <c r="K112" i="10" s="1"/>
  <c r="L112" i="10" s="1"/>
  <c r="I112" i="10"/>
  <c r="J111" i="10"/>
  <c r="K111" i="10" s="1"/>
  <c r="I111" i="10"/>
  <c r="L111" i="10" s="1"/>
  <c r="N111" i="10" s="1"/>
  <c r="J110" i="10"/>
  <c r="K110" i="10" s="1"/>
  <c r="I110" i="10"/>
  <c r="J109" i="10"/>
  <c r="K109" i="10" s="1"/>
  <c r="I109" i="10"/>
  <c r="J108" i="10"/>
  <c r="K108" i="10" s="1"/>
  <c r="L108" i="10" s="1"/>
  <c r="N108" i="10" s="1"/>
  <c r="I108" i="10"/>
  <c r="J107" i="10"/>
  <c r="K107" i="10" s="1"/>
  <c r="I107" i="10"/>
  <c r="J106" i="10"/>
  <c r="K106" i="10" s="1"/>
  <c r="I106" i="10"/>
  <c r="J105" i="10"/>
  <c r="K105" i="10" s="1"/>
  <c r="I105" i="10"/>
  <c r="J104" i="10"/>
  <c r="K104" i="10" s="1"/>
  <c r="L104" i="10" s="1"/>
  <c r="N104" i="10" s="1"/>
  <c r="I104" i="10"/>
  <c r="J103" i="10"/>
  <c r="K103" i="10" s="1"/>
  <c r="I103" i="10"/>
  <c r="L103" i="10" s="1"/>
  <c r="N103" i="10" s="1"/>
  <c r="J102" i="10"/>
  <c r="K102" i="10" s="1"/>
  <c r="L102" i="10" s="1"/>
  <c r="N102" i="10" s="1"/>
  <c r="I102" i="10"/>
  <c r="J101" i="10"/>
  <c r="K101" i="10" s="1"/>
  <c r="I101" i="10"/>
  <c r="J100" i="10"/>
  <c r="K100" i="10" s="1"/>
  <c r="L100" i="10" s="1"/>
  <c r="N100" i="10" s="1"/>
  <c r="I100" i="10"/>
  <c r="J99" i="10"/>
  <c r="K99" i="10"/>
  <c r="I99" i="10"/>
  <c r="L99" i="10" s="1"/>
  <c r="N99" i="10" s="1"/>
  <c r="J98" i="10"/>
  <c r="K98" i="10" s="1"/>
  <c r="I98" i="10"/>
  <c r="J97" i="10"/>
  <c r="K97" i="10" s="1"/>
  <c r="I97" i="10"/>
  <c r="J96" i="10"/>
  <c r="K96" i="10" s="1"/>
  <c r="L96" i="10" s="1"/>
  <c r="N96" i="10" s="1"/>
  <c r="I96" i="10"/>
  <c r="J95" i="10"/>
  <c r="K95" i="10" s="1"/>
  <c r="I95" i="10"/>
  <c r="J94" i="10"/>
  <c r="K94" i="10" s="1"/>
  <c r="I94" i="10"/>
  <c r="J93" i="10"/>
  <c r="K93" i="10" s="1"/>
  <c r="I93" i="10"/>
  <c r="J92" i="10"/>
  <c r="K92" i="10" s="1"/>
  <c r="I92" i="10"/>
  <c r="J91" i="10"/>
  <c r="K91" i="10" s="1"/>
  <c r="I91" i="10"/>
  <c r="J90" i="10"/>
  <c r="K90" i="10" s="1"/>
  <c r="L90" i="10" s="1"/>
  <c r="N90" i="10" s="1"/>
  <c r="I90" i="10"/>
  <c r="J89" i="10"/>
  <c r="K89" i="10" s="1"/>
  <c r="I89" i="10"/>
  <c r="L89" i="10" s="1"/>
  <c r="N89" i="10" s="1"/>
  <c r="J88" i="10"/>
  <c r="K88" i="10" s="1"/>
  <c r="I88" i="10"/>
  <c r="J87" i="10"/>
  <c r="K87" i="10" s="1"/>
  <c r="I87" i="10"/>
  <c r="L87" i="10" s="1"/>
  <c r="J86" i="10"/>
  <c r="K86" i="10" s="1"/>
  <c r="I86" i="10"/>
  <c r="J85" i="10"/>
  <c r="K85" i="10" s="1"/>
  <c r="I85" i="10"/>
  <c r="L85" i="10" s="1"/>
  <c r="N85" i="10" s="1"/>
  <c r="J84" i="10"/>
  <c r="K84" i="10" s="1"/>
  <c r="I84" i="10"/>
  <c r="J83" i="10"/>
  <c r="K83" i="10" s="1"/>
  <c r="I83" i="10"/>
  <c r="J82" i="10"/>
  <c r="K82" i="10" s="1"/>
  <c r="I82" i="10"/>
  <c r="J81" i="10"/>
  <c r="K81" i="10"/>
  <c r="I81" i="10"/>
  <c r="L81" i="10" s="1"/>
  <c r="N81" i="10" s="1"/>
  <c r="J80" i="10"/>
  <c r="K80" i="10" s="1"/>
  <c r="I80" i="10"/>
  <c r="J79" i="10"/>
  <c r="K79" i="10" s="1"/>
  <c r="I79" i="10"/>
  <c r="J78" i="10"/>
  <c r="K78" i="10" s="1"/>
  <c r="I78" i="10"/>
  <c r="J77" i="10"/>
  <c r="K77" i="10" s="1"/>
  <c r="I77" i="10"/>
  <c r="J76" i="10"/>
  <c r="K76" i="10" s="1"/>
  <c r="L76" i="10" s="1"/>
  <c r="N76" i="10" s="1"/>
  <c r="I76" i="10"/>
  <c r="J75" i="10"/>
  <c r="K75" i="10" s="1"/>
  <c r="I75" i="10"/>
  <c r="J74" i="10"/>
  <c r="K74" i="10" s="1"/>
  <c r="L74" i="10" s="1"/>
  <c r="N74" i="10" s="1"/>
  <c r="I74" i="10"/>
  <c r="J73" i="10"/>
  <c r="K73" i="10" s="1"/>
  <c r="I73" i="10"/>
  <c r="J72" i="10"/>
  <c r="K72" i="10" s="1"/>
  <c r="L72" i="10" s="1"/>
  <c r="I72" i="10"/>
  <c r="J71" i="10"/>
  <c r="K71" i="10"/>
  <c r="I71" i="10"/>
  <c r="L71" i="10" s="1"/>
  <c r="N71" i="10" s="1"/>
  <c r="J70" i="10"/>
  <c r="K70" i="10" s="1"/>
  <c r="I70" i="10"/>
  <c r="J69" i="10"/>
  <c r="K69" i="10" s="1"/>
  <c r="I69" i="10"/>
  <c r="L69" i="10" s="1"/>
  <c r="N69" i="10" s="1"/>
  <c r="J68" i="10"/>
  <c r="K68" i="10" s="1"/>
  <c r="L68" i="10" s="1"/>
  <c r="N68" i="10" s="1"/>
  <c r="I68" i="10"/>
  <c r="J67" i="10"/>
  <c r="K67" i="10" s="1"/>
  <c r="I67" i="10"/>
  <c r="J66" i="10"/>
  <c r="K66" i="10" s="1"/>
  <c r="I66" i="10"/>
  <c r="J65" i="10"/>
  <c r="K65" i="10" s="1"/>
  <c r="L65" i="10" s="1"/>
  <c r="N65" i="10" s="1"/>
  <c r="I65" i="10"/>
  <c r="J64" i="10"/>
  <c r="K64" i="10" s="1"/>
  <c r="I64" i="10"/>
  <c r="L64" i="10" s="1"/>
  <c r="N64" i="10" s="1"/>
  <c r="J63" i="10"/>
  <c r="K63" i="10" s="1"/>
  <c r="L63" i="10" s="1"/>
  <c r="N63" i="10" s="1"/>
  <c r="I63" i="10"/>
  <c r="J62" i="10"/>
  <c r="K62" i="10" s="1"/>
  <c r="I62" i="10"/>
  <c r="J61" i="10"/>
  <c r="K61" i="10" s="1"/>
  <c r="I61" i="10"/>
  <c r="J60" i="10"/>
  <c r="K60" i="10" s="1"/>
  <c r="I60" i="10"/>
  <c r="J59" i="10"/>
  <c r="K59" i="10" s="1"/>
  <c r="I59" i="10"/>
  <c r="J58" i="10"/>
  <c r="K58" i="10" s="1"/>
  <c r="I58" i="10"/>
  <c r="J57" i="10"/>
  <c r="K57" i="10" s="1"/>
  <c r="I57" i="10"/>
  <c r="J56" i="10"/>
  <c r="K56" i="10" s="1"/>
  <c r="I56" i="10"/>
  <c r="L56" i="10" s="1"/>
  <c r="J55" i="10"/>
  <c r="K55" i="10" s="1"/>
  <c r="L55" i="10" s="1"/>
  <c r="N55" i="10" s="1"/>
  <c r="I55" i="10"/>
  <c r="J54" i="10"/>
  <c r="K54" i="10" s="1"/>
  <c r="I54" i="10"/>
  <c r="J53" i="10"/>
  <c r="K53" i="10" s="1"/>
  <c r="L53" i="10" s="1"/>
  <c r="N53" i="10" s="1"/>
  <c r="I53" i="10"/>
  <c r="J52" i="10"/>
  <c r="K52" i="10" s="1"/>
  <c r="I52" i="10"/>
  <c r="J51" i="10"/>
  <c r="K51" i="10" s="1"/>
  <c r="L51" i="10" s="1"/>
  <c r="N51" i="10" s="1"/>
  <c r="I51" i="10"/>
  <c r="J50" i="10"/>
  <c r="K50" i="10" s="1"/>
  <c r="I50" i="10"/>
  <c r="J49" i="10"/>
  <c r="K49" i="10" s="1"/>
  <c r="I49" i="10"/>
  <c r="J48" i="10"/>
  <c r="K48" i="10" s="1"/>
  <c r="I48" i="10"/>
  <c r="J47" i="10"/>
  <c r="K47" i="10" s="1"/>
  <c r="I47" i="10"/>
  <c r="J46" i="10"/>
  <c r="K46" i="10" s="1"/>
  <c r="I46" i="10"/>
  <c r="J45" i="10"/>
  <c r="K45" i="10" s="1"/>
  <c r="I45" i="10"/>
  <c r="J44" i="10"/>
  <c r="K44" i="10" s="1"/>
  <c r="I44" i="10"/>
  <c r="J43" i="10"/>
  <c r="K43" i="10" s="1"/>
  <c r="I43" i="10"/>
  <c r="J42" i="10"/>
  <c r="K42" i="10" s="1"/>
  <c r="I42" i="10"/>
  <c r="L42" i="10" s="1"/>
  <c r="N42" i="10" s="1"/>
  <c r="J41" i="10"/>
  <c r="K41" i="10" s="1"/>
  <c r="L41" i="10" s="1"/>
  <c r="N41" i="10" s="1"/>
  <c r="I41" i="10"/>
  <c r="J40" i="10"/>
  <c r="K40" i="10" s="1"/>
  <c r="L40" i="10" s="1"/>
  <c r="N40" i="10" s="1"/>
  <c r="I40" i="10"/>
  <c r="J39" i="10"/>
  <c r="K39" i="10" s="1"/>
  <c r="I39" i="10"/>
  <c r="J38" i="10"/>
  <c r="K38" i="10" s="1"/>
  <c r="I38" i="10"/>
  <c r="J37" i="10"/>
  <c r="K37" i="10" s="1"/>
  <c r="I37" i="10"/>
  <c r="J36" i="10"/>
  <c r="K36" i="10" s="1"/>
  <c r="I36" i="10"/>
  <c r="J35" i="10"/>
  <c r="K35" i="10" s="1"/>
  <c r="I35" i="10"/>
  <c r="J34" i="10"/>
  <c r="K34" i="10" s="1"/>
  <c r="I34" i="10"/>
  <c r="J33" i="10"/>
  <c r="K33" i="10" s="1"/>
  <c r="I33" i="10"/>
  <c r="J32" i="10"/>
  <c r="K32" i="10" s="1"/>
  <c r="I32" i="10"/>
  <c r="J31" i="10"/>
  <c r="K31" i="10" s="1"/>
  <c r="I31" i="10"/>
  <c r="J30" i="10"/>
  <c r="K30" i="10" s="1"/>
  <c r="I30" i="10"/>
  <c r="J29" i="10"/>
  <c r="K29" i="10" s="1"/>
  <c r="I29" i="10"/>
  <c r="J28" i="10"/>
  <c r="K28" i="10" s="1"/>
  <c r="I28" i="10"/>
  <c r="J27" i="10"/>
  <c r="K27" i="10" s="1"/>
  <c r="I27" i="10"/>
  <c r="J26" i="10"/>
  <c r="K26" i="10" s="1"/>
  <c r="I26" i="10"/>
  <c r="J25" i="10"/>
  <c r="K25" i="10"/>
  <c r="I25" i="10"/>
  <c r="J24" i="10"/>
  <c r="K24" i="10" s="1"/>
  <c r="L24" i="10" s="1"/>
  <c r="N24" i="10" s="1"/>
  <c r="I24" i="10"/>
  <c r="J23" i="10"/>
  <c r="K23" i="10" s="1"/>
  <c r="I23" i="10"/>
  <c r="J22" i="10"/>
  <c r="K22" i="10" s="1"/>
  <c r="I22" i="10"/>
  <c r="L22" i="10" s="1"/>
  <c r="N22" i="10" s="1"/>
  <c r="J21" i="10"/>
  <c r="K21" i="10" s="1"/>
  <c r="I21" i="10"/>
  <c r="J20" i="10"/>
  <c r="K20" i="10" s="1"/>
  <c r="I20" i="10"/>
  <c r="L20" i="10" s="1"/>
  <c r="N20" i="10" s="1"/>
  <c r="J19" i="10"/>
  <c r="K19" i="10" s="1"/>
  <c r="I19" i="10"/>
  <c r="L19" i="10" s="1"/>
  <c r="N19" i="10" s="1"/>
  <c r="J18" i="10"/>
  <c r="K18" i="10" s="1"/>
  <c r="L18" i="10" s="1"/>
  <c r="N18" i="10" s="1"/>
  <c r="I18" i="10"/>
  <c r="J17" i="10"/>
  <c r="K17" i="10" s="1"/>
  <c r="I17" i="10"/>
  <c r="L17" i="10" s="1"/>
  <c r="N17" i="10" s="1"/>
  <c r="J16" i="10"/>
  <c r="K16" i="10" s="1"/>
  <c r="I16" i="10"/>
  <c r="J15" i="10"/>
  <c r="K15" i="10" s="1"/>
  <c r="I15" i="10"/>
  <c r="J14" i="10"/>
  <c r="K14" i="10" s="1"/>
  <c r="L14" i="10" s="1"/>
  <c r="N14" i="10" s="1"/>
  <c r="I14" i="10"/>
  <c r="J13" i="10"/>
  <c r="K13" i="10" s="1"/>
  <c r="I13" i="10"/>
  <c r="J12" i="10"/>
  <c r="K12" i="10" s="1"/>
  <c r="I12" i="10"/>
  <c r="J11" i="10"/>
  <c r="K11" i="10" s="1"/>
  <c r="J10" i="10"/>
  <c r="K10" i="10" s="1"/>
  <c r="L10" i="10" s="1"/>
  <c r="N10" i="10" s="1"/>
  <c r="J9" i="10"/>
  <c r="K9" i="10" s="1"/>
  <c r="L9" i="10" s="1"/>
  <c r="N9" i="10" s="1"/>
  <c r="J8" i="10"/>
  <c r="K8" i="10"/>
  <c r="L8" i="10" s="1"/>
  <c r="N8" i="10" s="1"/>
  <c r="J7" i="10"/>
  <c r="I7" i="10"/>
  <c r="L7" i="10" s="1"/>
  <c r="S349" i="10"/>
  <c r="R349" i="10"/>
  <c r="J405" i="10"/>
  <c r="K405" i="10" s="1"/>
  <c r="I405" i="10"/>
  <c r="S348" i="10"/>
  <c r="R348" i="10"/>
  <c r="J404" i="10"/>
  <c r="K404" i="10"/>
  <c r="I404" i="10"/>
  <c r="L404" i="10" s="1"/>
  <c r="N404" i="10" s="1"/>
  <c r="S347" i="10"/>
  <c r="R347" i="10"/>
  <c r="J403" i="10"/>
  <c r="K403" i="10" s="1"/>
  <c r="I403" i="10"/>
  <c r="S346" i="10"/>
  <c r="R346" i="10"/>
  <c r="J399" i="10"/>
  <c r="K399" i="10" s="1"/>
  <c r="I399" i="10"/>
  <c r="L399" i="10" s="1"/>
  <c r="N399" i="10" s="1"/>
  <c r="S345" i="10"/>
  <c r="R345" i="10"/>
  <c r="J398" i="10"/>
  <c r="K398" i="10"/>
  <c r="L398" i="10" s="1"/>
  <c r="N398" i="10" s="1"/>
  <c r="I398" i="10"/>
  <c r="S344" i="10"/>
  <c r="R344" i="10"/>
  <c r="J397" i="10"/>
  <c r="K397" i="10" s="1"/>
  <c r="I397" i="10"/>
  <c r="S343" i="10"/>
  <c r="R343" i="10"/>
  <c r="J343" i="10"/>
  <c r="K343" i="10" s="1"/>
  <c r="L343" i="10" s="1"/>
  <c r="N343" i="10" s="1"/>
  <c r="I343" i="10"/>
  <c r="S342" i="10"/>
  <c r="R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B29" i="12"/>
  <c r="S324" i="10"/>
  <c r="R324" i="10"/>
  <c r="J324" i="10"/>
  <c r="K324" i="10" s="1"/>
  <c r="I324" i="10"/>
  <c r="S323" i="10"/>
  <c r="R323" i="10"/>
  <c r="J323" i="10"/>
  <c r="K323" i="10" s="1"/>
  <c r="I323" i="10"/>
  <c r="S322" i="10"/>
  <c r="R322" i="10"/>
  <c r="J322" i="10"/>
  <c r="K322" i="10"/>
  <c r="L322" i="10" s="1"/>
  <c r="N322" i="10" s="1"/>
  <c r="I322" i="10"/>
  <c r="S321" i="10"/>
  <c r="R321" i="10"/>
  <c r="J321" i="10"/>
  <c r="K321" i="10" s="1"/>
  <c r="I321" i="10"/>
  <c r="S320" i="10"/>
  <c r="R320" i="10"/>
  <c r="J320" i="10"/>
  <c r="K320" i="10" s="1"/>
  <c r="I320" i="10"/>
  <c r="S319" i="10"/>
  <c r="R319" i="10"/>
  <c r="J319" i="10"/>
  <c r="K319" i="10" s="1"/>
  <c r="L319" i="10" s="1"/>
  <c r="N319" i="10" s="1"/>
  <c r="I319" i="10"/>
  <c r="S318" i="10"/>
  <c r="R318" i="10"/>
  <c r="J318" i="10"/>
  <c r="K318" i="10" s="1"/>
  <c r="L318" i="10" s="1"/>
  <c r="I318" i="10"/>
  <c r="S317" i="10"/>
  <c r="R317" i="10"/>
  <c r="J317" i="10"/>
  <c r="K317" i="10" s="1"/>
  <c r="I317" i="10"/>
  <c r="S316" i="10"/>
  <c r="R316" i="10"/>
  <c r="J316" i="10"/>
  <c r="K316" i="10" s="1"/>
  <c r="I316" i="10"/>
  <c r="S315" i="10"/>
  <c r="R315" i="10"/>
  <c r="J315" i="10"/>
  <c r="K315" i="10" s="1"/>
  <c r="I315" i="10"/>
  <c r="S314" i="10"/>
  <c r="R314" i="10"/>
  <c r="J314" i="10"/>
  <c r="K314" i="10" s="1"/>
  <c r="L314" i="10" s="1"/>
  <c r="N314" i="10" s="1"/>
  <c r="I314" i="10"/>
  <c r="S313" i="10"/>
  <c r="R313" i="10"/>
  <c r="J313" i="10"/>
  <c r="K313" i="10" s="1"/>
  <c r="I313" i="10"/>
  <c r="S312" i="10"/>
  <c r="R312" i="10"/>
  <c r="J312" i="10"/>
  <c r="K312" i="10" s="1"/>
  <c r="I312" i="10"/>
  <c r="L312" i="10" s="1"/>
  <c r="N312" i="10" s="1"/>
  <c r="S311" i="10"/>
  <c r="R311" i="10"/>
  <c r="J311" i="10"/>
  <c r="K311" i="10" s="1"/>
  <c r="I311" i="10"/>
  <c r="S310" i="10"/>
  <c r="R310" i="10"/>
  <c r="J310" i="10"/>
  <c r="K310" i="10" s="1"/>
  <c r="I310" i="10"/>
  <c r="S309" i="10"/>
  <c r="R309" i="10"/>
  <c r="J309" i="10"/>
  <c r="K309" i="10" s="1"/>
  <c r="I309" i="10"/>
  <c r="L309" i="10" s="1"/>
  <c r="N309" i="10" s="1"/>
  <c r="S308" i="10"/>
  <c r="R308" i="10"/>
  <c r="J308" i="10"/>
  <c r="K308" i="10" s="1"/>
  <c r="I308" i="10"/>
  <c r="L308" i="10" s="1"/>
  <c r="N308" i="10" s="1"/>
  <c r="S307" i="10"/>
  <c r="R307" i="10"/>
  <c r="J307" i="10"/>
  <c r="K307" i="10" s="1"/>
  <c r="I307" i="10"/>
  <c r="S306" i="10"/>
  <c r="R306" i="10"/>
  <c r="J306" i="10"/>
  <c r="K306" i="10" s="1"/>
  <c r="I306" i="10"/>
  <c r="S305" i="10"/>
  <c r="R305" i="10"/>
  <c r="J305" i="10"/>
  <c r="K305" i="10" s="1"/>
  <c r="I305" i="10"/>
  <c r="L305" i="10" s="1"/>
  <c r="S304" i="10"/>
  <c r="R304" i="10"/>
  <c r="J304" i="10"/>
  <c r="K304" i="10" s="1"/>
  <c r="I304" i="10"/>
  <c r="S303" i="10"/>
  <c r="R303" i="10"/>
  <c r="J303" i="10"/>
  <c r="K303" i="10" s="1"/>
  <c r="I303" i="10"/>
  <c r="L303" i="10" s="1"/>
  <c r="N303" i="10" s="1"/>
  <c r="E427" i="10"/>
  <c r="D427" i="10"/>
  <c r="D417" i="10"/>
  <c r="D414" i="10"/>
  <c r="J406" i="10"/>
  <c r="K406" i="10" s="1"/>
  <c r="L406" i="10" s="1"/>
  <c r="N406" i="10" s="1"/>
  <c r="I406" i="10"/>
  <c r="D407" i="10"/>
  <c r="D465" i="10" s="1"/>
  <c r="D415" i="10"/>
  <c r="D416" i="10"/>
  <c r="P3" i="10"/>
  <c r="D434" i="10"/>
  <c r="D437" i="10"/>
  <c r="D431" i="10"/>
  <c r="A6" i="9"/>
  <c r="B6" i="9"/>
  <c r="C6" i="9"/>
  <c r="D6" i="9" s="1"/>
  <c r="E6" i="9" s="1"/>
  <c r="A10" i="9"/>
  <c r="B10" i="9" s="1"/>
  <c r="E10" i="9" s="1"/>
  <c r="B15" i="9" s="1"/>
  <c r="C10" i="9"/>
  <c r="D10" i="9" s="1"/>
  <c r="A5" i="6"/>
  <c r="B5" i="6" s="1"/>
  <c r="E5" i="6" s="1"/>
  <c r="B10" i="6" s="1"/>
  <c r="C5" i="6"/>
  <c r="D5" i="6"/>
  <c r="F6" i="7"/>
  <c r="H6" i="7" s="1"/>
  <c r="J6" i="7" s="1"/>
  <c r="L6" i="7" s="1"/>
  <c r="I6" i="7"/>
  <c r="M6" i="7"/>
  <c r="F7" i="7"/>
  <c r="H7" i="7"/>
  <c r="I7" i="7"/>
  <c r="M7" i="7"/>
  <c r="N7" i="7"/>
  <c r="F8" i="7"/>
  <c r="H8" i="7" s="1"/>
  <c r="I8" i="7"/>
  <c r="Q8" i="7" s="1"/>
  <c r="M8" i="7"/>
  <c r="F9" i="7"/>
  <c r="H9" i="7"/>
  <c r="O9" i="7" s="1"/>
  <c r="I9" i="7"/>
  <c r="M9" i="7"/>
  <c r="F10" i="7"/>
  <c r="H10" i="7" s="1"/>
  <c r="I10" i="7"/>
  <c r="Q10" i="7"/>
  <c r="M10" i="7"/>
  <c r="F11" i="7"/>
  <c r="H11" i="7" s="1"/>
  <c r="I11" i="7"/>
  <c r="M11" i="7"/>
  <c r="F12" i="7"/>
  <c r="H12" i="7" s="1"/>
  <c r="I12" i="7"/>
  <c r="M12" i="7"/>
  <c r="F13" i="7"/>
  <c r="H13" i="7"/>
  <c r="I13" i="7"/>
  <c r="Q13" i="7" s="1"/>
  <c r="M13" i="7"/>
  <c r="O13" i="7" s="1"/>
  <c r="R13" i="7" s="1"/>
  <c r="F14" i="7"/>
  <c r="H14" i="7" s="1"/>
  <c r="I14" i="7"/>
  <c r="J14" i="7" s="1"/>
  <c r="L14" i="7" s="1"/>
  <c r="M14" i="7"/>
  <c r="N14" i="7" s="1"/>
  <c r="F15" i="7"/>
  <c r="H15" i="7" s="1"/>
  <c r="I15" i="7"/>
  <c r="M15" i="7"/>
  <c r="F16" i="7"/>
  <c r="H16" i="7"/>
  <c r="I16" i="7"/>
  <c r="J16" i="7" s="1"/>
  <c r="Q16" i="7"/>
  <c r="M16" i="7"/>
  <c r="F17" i="7"/>
  <c r="H17" i="7"/>
  <c r="I17" i="7"/>
  <c r="M17" i="7"/>
  <c r="F18" i="7"/>
  <c r="H18" i="7" s="1"/>
  <c r="I18" i="7"/>
  <c r="Q18" i="7" s="1"/>
  <c r="M18" i="7"/>
  <c r="F19" i="7"/>
  <c r="H19" i="7"/>
  <c r="K19" i="7" s="1"/>
  <c r="I19" i="7"/>
  <c r="M19" i="7"/>
  <c r="N19" i="7" s="1"/>
  <c r="R350" i="10"/>
  <c r="S350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6" i="7"/>
  <c r="Q17" i="7"/>
  <c r="N10" i="7"/>
  <c r="P10" i="7" s="1"/>
  <c r="Q7" i="7"/>
  <c r="Q14" i="7"/>
  <c r="Q12" i="7"/>
  <c r="B4" i="5"/>
  <c r="C4" i="5" s="1"/>
  <c r="Q19" i="7"/>
  <c r="N16" i="7"/>
  <c r="L16" i="7"/>
  <c r="O16" i="7"/>
  <c r="R16" i="7" s="1"/>
  <c r="K16" i="7"/>
  <c r="K7" i="7"/>
  <c r="J7" i="7"/>
  <c r="L7" i="7" s="1"/>
  <c r="O7" i="7"/>
  <c r="O19" i="7"/>
  <c r="R19" i="7"/>
  <c r="J19" i="7"/>
  <c r="L19" i="7" s="1"/>
  <c r="K12" i="7"/>
  <c r="O17" i="7"/>
  <c r="R17" i="7" s="1"/>
  <c r="N17" i="7"/>
  <c r="K17" i="7"/>
  <c r="T10" i="7"/>
  <c r="U10" i="7"/>
  <c r="P17" i="7"/>
  <c r="V17" i="7" s="1"/>
  <c r="X17" i="7" s="1"/>
  <c r="T17" i="7"/>
  <c r="U17" i="7" s="1"/>
  <c r="E417" i="10"/>
  <c r="P19" i="7"/>
  <c r="T19" i="7"/>
  <c r="U19" i="7"/>
  <c r="K13" i="7"/>
  <c r="J13" i="7"/>
  <c r="L13" i="7" s="1"/>
  <c r="N13" i="7"/>
  <c r="T13" i="7" s="1"/>
  <c r="U13" i="7" s="1"/>
  <c r="K6" i="7"/>
  <c r="N9" i="7"/>
  <c r="P9" i="7" s="1"/>
  <c r="C7" i="5"/>
  <c r="F418" i="10"/>
  <c r="R7" i="7"/>
  <c r="O8" i="7"/>
  <c r="R8" i="7"/>
  <c r="O6" i="7"/>
  <c r="R6" i="7" s="1"/>
  <c r="J17" i="7"/>
  <c r="L17" i="7" s="1"/>
  <c r="E418" i="10"/>
  <c r="P13" i="7"/>
  <c r="S13" i="7" s="1"/>
  <c r="F427" i="10"/>
  <c r="C8" i="12"/>
  <c r="O3" i="10"/>
  <c r="F416" i="10"/>
  <c r="C13" i="12"/>
  <c r="E419" i="10"/>
  <c r="E414" i="10"/>
  <c r="C17" i="12"/>
  <c r="B44" i="12"/>
  <c r="C45" i="12"/>
  <c r="C28" i="12"/>
  <c r="B64" i="12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B18" i="12" s="1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72" i="12" s="1"/>
  <c r="B17" i="12"/>
  <c r="B25" i="12"/>
  <c r="C32" i="12"/>
  <c r="C70" i="12"/>
  <c r="B24" i="12"/>
  <c r="B36" i="12" s="1"/>
  <c r="B70" i="12"/>
  <c r="C68" i="12"/>
  <c r="C66" i="12"/>
  <c r="B30" i="12"/>
  <c r="C48" i="12"/>
  <c r="N233" i="10"/>
  <c r="B52" i="12"/>
  <c r="B67" i="12"/>
  <c r="C50" i="12"/>
  <c r="B68" i="12"/>
  <c r="B65" i="12"/>
  <c r="C9" i="12"/>
  <c r="C6" i="12"/>
  <c r="B63" i="12"/>
  <c r="B13" i="12"/>
  <c r="B43" i="12"/>
  <c r="C64" i="12"/>
  <c r="C31" i="12"/>
  <c r="B12" i="12"/>
  <c r="B9" i="12"/>
  <c r="L292" i="10"/>
  <c r="N292" i="10" s="1"/>
  <c r="N56" i="10"/>
  <c r="B34" i="12"/>
  <c r="B14" i="12"/>
  <c r="N121" i="10"/>
  <c r="L188" i="10"/>
  <c r="N188" i="10" s="1"/>
  <c r="N240" i="10"/>
  <c r="L86" i="10"/>
  <c r="N86" i="10"/>
  <c r="L277" i="10"/>
  <c r="N277" i="10"/>
  <c r="N381" i="10"/>
  <c r="L385" i="10"/>
  <c r="N385" i="10" s="1"/>
  <c r="L129" i="10"/>
  <c r="N129" i="10" s="1"/>
  <c r="L141" i="10"/>
  <c r="N141" i="10" s="1"/>
  <c r="L183" i="10"/>
  <c r="N183" i="10" s="1"/>
  <c r="N198" i="10"/>
  <c r="L215" i="10"/>
  <c r="N215" i="10" s="1"/>
  <c r="L345" i="10"/>
  <c r="N345" i="10" s="1"/>
  <c r="L352" i="10"/>
  <c r="N352" i="10" s="1"/>
  <c r="L48" i="10"/>
  <c r="N48" i="10"/>
  <c r="L317" i="10"/>
  <c r="N317" i="10" s="1"/>
  <c r="L15" i="10"/>
  <c r="N15" i="10" s="1"/>
  <c r="L23" i="10"/>
  <c r="N23" i="10" s="1"/>
  <c r="L73" i="10"/>
  <c r="N73" i="10"/>
  <c r="L91" i="10"/>
  <c r="N91" i="10" s="1"/>
  <c r="L92" i="10"/>
  <c r="N92" i="10" s="1"/>
  <c r="L94" i="10"/>
  <c r="N94" i="10" s="1"/>
  <c r="L182" i="10"/>
  <c r="N182" i="10" s="1"/>
  <c r="L216" i="10"/>
  <c r="N216" i="10" s="1"/>
  <c r="L239" i="10"/>
  <c r="N239" i="10"/>
  <c r="L258" i="10"/>
  <c r="N258" i="10" s="1"/>
  <c r="L274" i="10"/>
  <c r="N274" i="10" s="1"/>
  <c r="L280" i="10"/>
  <c r="N280" i="10" s="1"/>
  <c r="L402" i="10"/>
  <c r="N402" i="10" s="1"/>
  <c r="L405" i="10"/>
  <c r="N405" i="10"/>
  <c r="L78" i="10"/>
  <c r="N78" i="10" s="1"/>
  <c r="L107" i="10"/>
  <c r="N107" i="10" s="1"/>
  <c r="L181" i="10"/>
  <c r="N181" i="10" s="1"/>
  <c r="L218" i="10"/>
  <c r="N218" i="10" s="1"/>
  <c r="L320" i="10"/>
  <c r="N320" i="10" s="1"/>
  <c r="L37" i="10"/>
  <c r="N37" i="10" s="1"/>
  <c r="L46" i="10"/>
  <c r="N46" i="10" s="1"/>
  <c r="L60" i="10"/>
  <c r="N60" i="10"/>
  <c r="L66" i="10"/>
  <c r="N66" i="10" s="1"/>
  <c r="L95" i="10"/>
  <c r="N95" i="10" s="1"/>
  <c r="L98" i="10"/>
  <c r="N98" i="10" s="1"/>
  <c r="L109" i="10"/>
  <c r="N109" i="10" s="1"/>
  <c r="L139" i="10"/>
  <c r="N139" i="10" s="1"/>
  <c r="L151" i="10"/>
  <c r="N151" i="10" s="1"/>
  <c r="L158" i="10"/>
  <c r="N158" i="10" s="1"/>
  <c r="L168" i="10"/>
  <c r="N168" i="10" s="1"/>
  <c r="L170" i="10"/>
  <c r="N170" i="10" s="1"/>
  <c r="L172" i="10"/>
  <c r="N172" i="10"/>
  <c r="L200" i="10"/>
  <c r="N200" i="10" s="1"/>
  <c r="L231" i="10"/>
  <c r="N231" i="10" s="1"/>
  <c r="L238" i="10"/>
  <c r="N238" i="10" s="1"/>
  <c r="L246" i="10"/>
  <c r="N246" i="10" s="1"/>
  <c r="L251" i="10"/>
  <c r="N251" i="10" s="1"/>
  <c r="N305" i="10"/>
  <c r="L185" i="10"/>
  <c r="N185" i="10" s="1"/>
  <c r="L306" i="10"/>
  <c r="N306" i="10" s="1"/>
  <c r="L315" i="10"/>
  <c r="N315" i="10"/>
  <c r="L321" i="10"/>
  <c r="N321" i="10"/>
  <c r="L397" i="10"/>
  <c r="N397" i="10" s="1"/>
  <c r="L12" i="10"/>
  <c r="N12" i="10" s="1"/>
  <c r="L16" i="10"/>
  <c r="N16" i="10" s="1"/>
  <c r="L21" i="10"/>
  <c r="N21" i="10" s="1"/>
  <c r="L33" i="10"/>
  <c r="N33" i="10" s="1"/>
  <c r="L36" i="10"/>
  <c r="N36" i="10" s="1"/>
  <c r="L54" i="10"/>
  <c r="N54" i="10"/>
  <c r="N72" i="10"/>
  <c r="L79" i="10"/>
  <c r="N79" i="10" s="1"/>
  <c r="L82" i="10"/>
  <c r="N82" i="10" s="1"/>
  <c r="N87" i="10"/>
  <c r="L114" i="10"/>
  <c r="N114" i="10" s="1"/>
  <c r="L162" i="10"/>
  <c r="N162" i="10"/>
  <c r="L178" i="10"/>
  <c r="N178" i="10" s="1"/>
  <c r="N192" i="10"/>
  <c r="L228" i="10"/>
  <c r="N228" i="10" s="1"/>
  <c r="L243" i="10"/>
  <c r="N243" i="10" s="1"/>
  <c r="L294" i="10"/>
  <c r="N294" i="10" s="1"/>
  <c r="L357" i="10"/>
  <c r="N357" i="10"/>
  <c r="L394" i="10"/>
  <c r="N394" i="10" s="1"/>
  <c r="L353" i="10"/>
  <c r="N353" i="10"/>
  <c r="N388" i="10"/>
  <c r="L349" i="10"/>
  <c r="N349" i="10" s="1"/>
  <c r="L313" i="10"/>
  <c r="N313" i="10" s="1"/>
  <c r="L45" i="10"/>
  <c r="N45" i="10" s="1"/>
  <c r="L58" i="10"/>
  <c r="N58" i="10"/>
  <c r="L157" i="10"/>
  <c r="N157" i="10" s="1"/>
  <c r="L311" i="10"/>
  <c r="N311" i="10"/>
  <c r="N318" i="10"/>
  <c r="L84" i="10"/>
  <c r="N84" i="10" s="1"/>
  <c r="L105" i="10"/>
  <c r="N105" i="10" s="1"/>
  <c r="L127" i="10"/>
  <c r="N127" i="10" s="1"/>
  <c r="L161" i="10"/>
  <c r="N161" i="10" s="1"/>
  <c r="L177" i="10"/>
  <c r="N177" i="10" s="1"/>
  <c r="L189" i="10"/>
  <c r="N189" i="10" s="1"/>
  <c r="L209" i="10"/>
  <c r="N209" i="10" s="1"/>
  <c r="L225" i="10"/>
  <c r="N225" i="10" s="1"/>
  <c r="L347" i="10"/>
  <c r="N347" i="10" s="1"/>
  <c r="L351" i="10"/>
  <c r="N351" i="10"/>
  <c r="L355" i="10"/>
  <c r="N355" i="10" s="1"/>
  <c r="L307" i="10"/>
  <c r="N307" i="10" s="1"/>
  <c r="L324" i="10"/>
  <c r="N324" i="10" s="1"/>
  <c r="L27" i="10"/>
  <c r="N27" i="10" s="1"/>
  <c r="L28" i="10"/>
  <c r="N28" i="10"/>
  <c r="L31" i="10"/>
  <c r="N31" i="10" s="1"/>
  <c r="L43" i="10"/>
  <c r="N43" i="10" s="1"/>
  <c r="L67" i="10"/>
  <c r="N67" i="10" s="1"/>
  <c r="L80" i="10"/>
  <c r="N80" i="10" s="1"/>
  <c r="N112" i="10"/>
  <c r="L148" i="10"/>
  <c r="N148" i="10" s="1"/>
  <c r="L390" i="10"/>
  <c r="N390" i="10" s="1"/>
  <c r="L359" i="10"/>
  <c r="N359" i="10"/>
  <c r="L50" i="10"/>
  <c r="N50" i="10" s="1"/>
  <c r="L52" i="10"/>
  <c r="N52" i="10" s="1"/>
  <c r="L83" i="10"/>
  <c r="N83" i="10" s="1"/>
  <c r="L93" i="10"/>
  <c r="N93" i="10" s="1"/>
  <c r="L123" i="10"/>
  <c r="N123" i="10"/>
  <c r="L179" i="10"/>
  <c r="N179" i="10" s="1"/>
  <c r="L197" i="10"/>
  <c r="N197" i="10" s="1"/>
  <c r="L235" i="10"/>
  <c r="N235" i="10" s="1"/>
  <c r="L259" i="10"/>
  <c r="N259" i="10" s="1"/>
  <c r="L298" i="10"/>
  <c r="N298" i="10"/>
  <c r="L302" i="10"/>
  <c r="N302" i="10" s="1"/>
  <c r="L327" i="10"/>
  <c r="N327" i="10" s="1"/>
  <c r="L44" i="10"/>
  <c r="N44" i="10"/>
  <c r="L106" i="10"/>
  <c r="N106" i="10" s="1"/>
  <c r="L135" i="10"/>
  <c r="N135" i="10" s="1"/>
  <c r="L196" i="10"/>
  <c r="N196" i="10"/>
  <c r="L204" i="10"/>
  <c r="N204" i="10" s="1"/>
  <c r="L210" i="10"/>
  <c r="N210" i="10" s="1"/>
  <c r="L223" i="10"/>
  <c r="N223" i="10" s="1"/>
  <c r="L237" i="10"/>
  <c r="N237" i="10" s="1"/>
  <c r="L256" i="10"/>
  <c r="N256" i="10"/>
  <c r="L266" i="10"/>
  <c r="N266" i="10" s="1"/>
  <c r="L268" i="10"/>
  <c r="N268" i="10" s="1"/>
  <c r="L276" i="10"/>
  <c r="N276" i="10" s="1"/>
  <c r="L278" i="10"/>
  <c r="N278" i="10" s="1"/>
  <c r="L389" i="10"/>
  <c r="N389" i="10"/>
  <c r="L395" i="10"/>
  <c r="N395" i="10" s="1"/>
  <c r="L290" i="10"/>
  <c r="N290" i="10" s="1"/>
  <c r="L334" i="10"/>
  <c r="N334" i="10" s="1"/>
  <c r="L393" i="10"/>
  <c r="N393" i="10"/>
  <c r="L316" i="10"/>
  <c r="N316" i="10" s="1"/>
  <c r="L38" i="10"/>
  <c r="N38" i="10" s="1"/>
  <c r="L97" i="10"/>
  <c r="N97" i="10" s="1"/>
  <c r="L115" i="10"/>
  <c r="N115" i="10" s="1"/>
  <c r="L150" i="10"/>
  <c r="N150" i="10"/>
  <c r="L287" i="10"/>
  <c r="N287" i="10" s="1"/>
  <c r="L116" i="10"/>
  <c r="N116" i="10" s="1"/>
  <c r="L146" i="10"/>
  <c r="N146" i="10"/>
  <c r="L155" i="10"/>
  <c r="N155" i="10" s="1"/>
  <c r="L194" i="10"/>
  <c r="N194" i="10" s="1"/>
  <c r="L202" i="10"/>
  <c r="N202" i="10" s="1"/>
  <c r="L261" i="10"/>
  <c r="N261" i="10"/>
  <c r="L267" i="10"/>
  <c r="N267" i="10" s="1"/>
  <c r="L392" i="10"/>
  <c r="N392" i="10"/>
  <c r="L214" i="10"/>
  <c r="N214" i="10" s="1"/>
  <c r="L217" i="10"/>
  <c r="N217" i="10" s="1"/>
  <c r="L219" i="10"/>
  <c r="N219" i="10"/>
  <c r="L227" i="10"/>
  <c r="N227" i="10" s="1"/>
  <c r="L247" i="10"/>
  <c r="N247" i="10" s="1"/>
  <c r="L272" i="10"/>
  <c r="N272" i="10" s="1"/>
  <c r="L285" i="10"/>
  <c r="N285" i="10" s="1"/>
  <c r="L295" i="10"/>
  <c r="N295" i="10" s="1"/>
  <c r="L342" i="10"/>
  <c r="N342" i="10" s="1"/>
  <c r="L391" i="10"/>
  <c r="N391" i="10" s="1"/>
  <c r="L326" i="10"/>
  <c r="N326" i="10" s="1"/>
  <c r="L361" i="10"/>
  <c r="N361" i="10" s="1"/>
  <c r="L365" i="10"/>
  <c r="N365" i="10" s="1"/>
  <c r="L340" i="10"/>
  <c r="N340" i="10" s="1"/>
  <c r="L325" i="10"/>
  <c r="N325" i="10" s="1"/>
  <c r="L338" i="10"/>
  <c r="N338" i="10" s="1"/>
  <c r="L331" i="10"/>
  <c r="N331" i="10" s="1"/>
  <c r="L330" i="10"/>
  <c r="N330" i="10"/>
  <c r="L336" i="10"/>
  <c r="N336" i="10" s="1"/>
  <c r="L329" i="10"/>
  <c r="N329" i="10"/>
  <c r="L328" i="10"/>
  <c r="N328" i="10" s="1"/>
  <c r="C86" i="12"/>
  <c r="C65" i="12"/>
  <c r="C18" i="12"/>
  <c r="L6" i="10" l="1"/>
  <c r="N6" i="10" s="1"/>
  <c r="L323" i="10"/>
  <c r="N323" i="10" s="1"/>
  <c r="L205" i="10"/>
  <c r="N205" i="10" s="1"/>
  <c r="L263" i="10"/>
  <c r="N263" i="10" s="1"/>
  <c r="L310" i="10"/>
  <c r="N310" i="10" s="1"/>
  <c r="L403" i="10"/>
  <c r="N403" i="10" s="1"/>
  <c r="L13" i="10"/>
  <c r="N13" i="10" s="1"/>
  <c r="L29" i="10"/>
  <c r="N29" i="10" s="1"/>
  <c r="L35" i="10"/>
  <c r="N35" i="10" s="1"/>
  <c r="L39" i="10"/>
  <c r="N39" i="10" s="1"/>
  <c r="L145" i="10"/>
  <c r="N145" i="10" s="1"/>
  <c r="L149" i="10"/>
  <c r="N149" i="10" s="1"/>
  <c r="L159" i="10"/>
  <c r="N159" i="10" s="1"/>
  <c r="L191" i="10"/>
  <c r="N191" i="10" s="1"/>
  <c r="L195" i="10"/>
  <c r="N195" i="10" s="1"/>
  <c r="L201" i="10"/>
  <c r="N201" i="10" s="1"/>
  <c r="L242" i="10"/>
  <c r="N242" i="10" s="1"/>
  <c r="L244" i="10"/>
  <c r="N244" i="10" s="1"/>
  <c r="L245" i="10"/>
  <c r="N245" i="10" s="1"/>
  <c r="L253" i="10"/>
  <c r="N253" i="10" s="1"/>
  <c r="L255" i="10"/>
  <c r="N255" i="10" s="1"/>
  <c r="L265" i="10"/>
  <c r="N265" i="10" s="1"/>
  <c r="L288" i="10"/>
  <c r="N288" i="10" s="1"/>
  <c r="L291" i="10"/>
  <c r="N291" i="10" s="1"/>
  <c r="L374" i="10"/>
  <c r="N374" i="10" s="1"/>
  <c r="E416" i="10"/>
  <c r="E463" i="10" s="1"/>
  <c r="E466" i="10" s="1"/>
  <c r="L26" i="10"/>
  <c r="N26" i="10" s="1"/>
  <c r="L30" i="10"/>
  <c r="N30" i="10" s="1"/>
  <c r="L70" i="10"/>
  <c r="N70" i="10" s="1"/>
  <c r="L75" i="10"/>
  <c r="N75" i="10" s="1"/>
  <c r="L88" i="10"/>
  <c r="N88" i="10" s="1"/>
  <c r="L131" i="10"/>
  <c r="N131" i="10" s="1"/>
  <c r="L153" i="10"/>
  <c r="N153" i="10" s="1"/>
  <c r="L163" i="10"/>
  <c r="N163" i="10" s="1"/>
  <c r="L174" i="10"/>
  <c r="N174" i="10" s="1"/>
  <c r="L207" i="10"/>
  <c r="N207" i="10" s="1"/>
  <c r="L249" i="10"/>
  <c r="N249" i="10" s="1"/>
  <c r="L250" i="10"/>
  <c r="N250" i="10" s="1"/>
  <c r="L279" i="10"/>
  <c r="N279" i="10" s="1"/>
  <c r="L386" i="10"/>
  <c r="N386" i="10" s="1"/>
  <c r="L400" i="10"/>
  <c r="N400" i="10" s="1"/>
  <c r="L25" i="10"/>
  <c r="N25" i="10" s="1"/>
  <c r="L47" i="10"/>
  <c r="N47" i="10" s="1"/>
  <c r="L49" i="10"/>
  <c r="N49" i="10" s="1"/>
  <c r="L59" i="10"/>
  <c r="N59" i="10" s="1"/>
  <c r="L110" i="10"/>
  <c r="N110" i="10" s="1"/>
  <c r="L164" i="10"/>
  <c r="N164" i="10" s="1"/>
  <c r="L166" i="10"/>
  <c r="N166" i="10" s="1"/>
  <c r="L208" i="10"/>
  <c r="N208" i="10" s="1"/>
  <c r="L241" i="10"/>
  <c r="N241" i="10" s="1"/>
  <c r="L339" i="10"/>
  <c r="N339" i="10" s="1"/>
  <c r="L335" i="10"/>
  <c r="N335" i="10" s="1"/>
  <c r="L333" i="10"/>
  <c r="N333" i="10" s="1"/>
  <c r="L375" i="10"/>
  <c r="N375" i="10" s="1"/>
  <c r="L382" i="10"/>
  <c r="N382" i="10" s="1"/>
  <c r="L384" i="10"/>
  <c r="N384" i="10" s="1"/>
  <c r="B84" i="12"/>
  <c r="F463" i="10"/>
  <c r="C84" i="12"/>
  <c r="C88" i="12" s="1"/>
  <c r="C83" i="12" s="1"/>
  <c r="D463" i="10"/>
  <c r="D467" i="10" s="1"/>
  <c r="B11" i="6"/>
  <c r="B12" i="6" s="1"/>
  <c r="B14" i="6" s="1"/>
  <c r="B13" i="6"/>
  <c r="J12" i="7"/>
  <c r="L12" i="7" s="1"/>
  <c r="O12" i="7"/>
  <c r="R12" i="7" s="1"/>
  <c r="N12" i="7"/>
  <c r="L304" i="10"/>
  <c r="N304" i="10" s="1"/>
  <c r="L368" i="10"/>
  <c r="N368" i="10" s="1"/>
  <c r="L383" i="10"/>
  <c r="N383" i="10" s="1"/>
  <c r="T9" i="7"/>
  <c r="U9" i="7" s="1"/>
  <c r="Q15" i="7"/>
  <c r="L62" i="10"/>
  <c r="N62" i="10" s="1"/>
  <c r="L101" i="10"/>
  <c r="N101" i="10" s="1"/>
  <c r="L124" i="10"/>
  <c r="N124" i="10" s="1"/>
  <c r="L152" i="10"/>
  <c r="N152" i="10" s="1"/>
  <c r="L221" i="10"/>
  <c r="N221" i="10" s="1"/>
  <c r="L348" i="10"/>
  <c r="N348" i="10" s="1"/>
  <c r="L373" i="10"/>
  <c r="N373" i="10" s="1"/>
  <c r="P14" i="7"/>
  <c r="T14" i="7"/>
  <c r="U14" i="7" s="1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L34" i="10"/>
  <c r="N34" i="10" s="1"/>
  <c r="L57" i="10"/>
  <c r="N57" i="10" s="1"/>
  <c r="L113" i="10"/>
  <c r="N113" i="10" s="1"/>
  <c r="L184" i="10"/>
  <c r="N184" i="10" s="1"/>
  <c r="B18" i="9"/>
  <c r="B16" i="9"/>
  <c r="B17" i="9" s="1"/>
  <c r="B19" i="9" s="1"/>
  <c r="K14" i="7"/>
  <c r="O14" i="7"/>
  <c r="R14" i="7" s="1"/>
  <c r="O11" i="7"/>
  <c r="R11" i="7" s="1"/>
  <c r="N11" i="7"/>
  <c r="V19" i="7"/>
  <c r="X19" i="7" s="1"/>
  <c r="S19" i="7"/>
  <c r="T7" i="7"/>
  <c r="U7" i="7" s="1"/>
  <c r="P7" i="7"/>
  <c r="K10" i="7"/>
  <c r="J10" i="7"/>
  <c r="L10" i="7" s="1"/>
  <c r="O10" i="7"/>
  <c r="R10" i="7" s="1"/>
  <c r="V10" i="7" s="1"/>
  <c r="X10" i="7" s="1"/>
  <c r="L133" i="10"/>
  <c r="N133" i="10" s="1"/>
  <c r="L144" i="10"/>
  <c r="N144" i="10" s="1"/>
  <c r="L160" i="10"/>
  <c r="N160" i="10" s="1"/>
  <c r="L176" i="10"/>
  <c r="N176" i="10" s="1"/>
  <c r="L282" i="10"/>
  <c r="N282" i="10" s="1"/>
  <c r="V13" i="7"/>
  <c r="X13" i="7" s="1"/>
  <c r="N6" i="7"/>
  <c r="L187" i="10"/>
  <c r="N187" i="10" s="1"/>
  <c r="J11" i="7"/>
  <c r="L11" i="7" s="1"/>
  <c r="K9" i="7"/>
  <c r="R9" i="7"/>
  <c r="V9" i="7" s="1"/>
  <c r="X9" i="7" s="1"/>
  <c r="J9" i="7"/>
  <c r="L9" i="7" s="1"/>
  <c r="Q9" i="7"/>
  <c r="S9" i="7" s="1"/>
  <c r="L32" i="10"/>
  <c r="N32" i="10" s="1"/>
  <c r="L77" i="10"/>
  <c r="N77" i="10" s="1"/>
  <c r="L122" i="10"/>
  <c r="N122" i="10" s="1"/>
  <c r="L203" i="10"/>
  <c r="N203" i="10" s="1"/>
  <c r="L224" i="10"/>
  <c r="N224" i="10" s="1"/>
  <c r="L248" i="10"/>
  <c r="N248" i="10" s="1"/>
  <c r="J15" i="7"/>
  <c r="L15" i="7" s="1"/>
  <c r="K11" i="7"/>
  <c r="P16" i="7"/>
  <c r="T16" i="7"/>
  <c r="U16" i="7" s="1"/>
  <c r="L61" i="10"/>
  <c r="N61" i="10" s="1"/>
  <c r="L140" i="10"/>
  <c r="N140" i="10" s="1"/>
  <c r="L220" i="10"/>
  <c r="N220" i="10" s="1"/>
  <c r="L300" i="10"/>
  <c r="N300" i="10" s="1"/>
  <c r="L5" i="10"/>
  <c r="N5" i="10" s="1"/>
  <c r="S17" i="7"/>
  <c r="N407" i="10" l="1"/>
  <c r="N4" i="10" s="1"/>
  <c r="B86" i="12"/>
  <c r="B88" i="12" s="1"/>
  <c r="B83" i="12" s="1"/>
  <c r="D4" i="10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V15" i="7" l="1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</calcChain>
</file>

<file path=xl/sharedStrings.xml><?xml version="1.0" encoding="utf-8"?>
<sst xmlns="http://schemas.openxmlformats.org/spreadsheetml/2006/main" count="166" uniqueCount="118">
  <si>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</si>
  <si>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</si>
  <si>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</si>
  <si>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</si>
  <si>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</si>
  <si>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</si>
  <si>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</si>
  <si>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</si>
  <si>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</si>
  <si>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</si>
  <si>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</si>
  <si>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</si>
  <si>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</si>
  <si>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</si>
  <si>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</si>
  <si>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</si>
  <si>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</si>
  <si>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</si>
  <si>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</si>
  <si>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</si>
  <si>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</si>
  <si>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</si>
  <si>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</si>
  <si>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</si>
  <si>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</si>
  <si>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</si>
  <si>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</si>
  <si>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</si>
  <si>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</si>
  <si>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</si>
  <si>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</si>
  <si>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</si>
  <si>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</si>
  <si>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</si>
  <si>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</si>
  <si>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</si>
  <si>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</si>
  <si>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</si>
  <si>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</si>
  <si>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</si>
  <si>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</si>
  <si>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</si>
  <si>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</si>
  <si>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</si>
  <si>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</si>
  <si>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</si>
  <si>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</si>
  <si>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</si>
  <si>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</si>
  <si>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</si>
  <si>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</si>
  <si>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</si>
  <si>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</si>
  <si>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</si>
  <si>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</si>
  <si>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</si>
  <si>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</si>
  <si>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</si>
  <si>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</si>
  <si>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</si>
  <si>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</si>
  <si>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</si>
  <si>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</si>
  <si>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</si>
  <si>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</si>
  <si>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</si>
  <si>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</si>
  <si>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</si>
  <si>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</si>
  <si>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</si>
  <si>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</si>
  <si>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</si>
  <si>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</si>
  <si>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</si>
  <si>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</si>
  <si>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</si>
  <si>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</si>
  <si>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</si>
  <si>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</si>
  <si>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</si>
  <si>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</si>
  <si>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</si>
  <si>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</si>
  <si>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</si>
  <si>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</si>
  <si>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</si>
  <si>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</si>
  <si>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</si>
  <si>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</si>
  <si>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</si>
  <si>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</si>
  <si>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</si>
  <si>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</si>
  <si>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</si>
  <si>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</si>
  <si>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</si>
  <si>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</si>
  <si>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</si>
  <si>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</si>
  <si>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</si>
  <si>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</si>
  <si>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</si>
  <si>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</si>
  <si>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</si>
  <si>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</si>
  <si>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</si>
  <si>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</si>
  <si>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</si>
  <si>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</si>
  <si>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</si>
  <si>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</si>
  <si>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</si>
  <si>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</si>
  <si>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</si>
  <si>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</si>
  <si>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</si>
  <si>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OK</t>
  </si>
  <si>
    <t>FINE_TABELLA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</si>
</sst>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1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1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4" fontId="0" fillId="0" borderId="12" xfId="0" applyNumberFormat="1" applyBorder="1" applyProtection="1">
      <protection locked="0"/>
    </xf>
    <xf numFmtId="4" fontId="0" fillId="0" borderId="32" xfId="0" applyNumberFormat="1" applyBorder="1" applyProtection="1">
      <protection locked="0"/>
    </xf>
    <xf numFmtId="44" fontId="0" fillId="0" borderId="12" xfId="0" applyNumberFormat="1" applyBorder="1" applyProtection="1">
      <protection locked="0"/>
    </xf>
    <xf numFmtId="44" fontId="0" fillId="0" borderId="15" xfId="0" applyNumberFormat="1" applyBorder="1" applyProtection="1">
      <protection locked="0"/>
    </xf>
    <xf numFmtId="9" fontId="0" fillId="0" borderId="12" xfId="2" applyFont="1" applyBorder="1" applyProtection="1">
      <protection locked="0"/>
    </xf>
    <xf numFmtId="9" fontId="0" fillId="0" borderId="15" xfId="2" applyFont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7" borderId="12" xfId="0" applyFill="1" applyBorder="1" applyProtection="1">
      <protection locked="0"/>
    </xf>
    <xf numFmtId="4" fontId="0" fillId="7" borderId="12" xfId="0" applyNumberFormat="1" applyFill="1" applyBorder="1" applyProtection="1">
      <protection locked="0"/>
    </xf>
    <xf numFmtId="0" fontId="3" fillId="0" borderId="12" xfId="0" applyFont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14" fontId="0" fillId="0" borderId="12" xfId="0" applyNumberFormat="1" applyBorder="1"/>
    <xf numFmtId="0" fontId="0" fillId="0" borderId="1" xfId="0" applyBorder="1"/>
    <xf numFmtId="0" fontId="3" fillId="7" borderId="12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0" fillId="0" borderId="12" xfId="1" applyFont="1" applyBorder="1" applyProtection="1">
      <protection locked="0"/>
    </xf>
    <xf numFmtId="164" fontId="3" fillId="7" borderId="12" xfId="1" applyFont="1" applyFill="1" applyBorder="1" applyProtection="1">
      <protection locked="0"/>
    </xf>
    <xf numFmtId="164" fontId="0" fillId="0" borderId="15" xfId="1" applyFont="1" applyBorder="1" applyProtection="1">
      <protection locked="0"/>
    </xf>
    <xf numFmtId="164" fontId="0" fillId="0" borderId="32" xfId="1" applyFont="1" applyBorder="1" applyProtection="1"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8" borderId="1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9" borderId="12" xfId="0" applyFill="1" applyBorder="1" applyProtection="1">
      <protection locked="0"/>
    </xf>
    <xf numFmtId="4" fontId="0" fillId="9" borderId="12" xfId="0" applyNumberFormat="1" applyFill="1" applyBorder="1" applyProtection="1">
      <protection locked="0"/>
    </xf>
    <xf numFmtId="164" fontId="0" fillId="9" borderId="12" xfId="1" applyFont="1" applyFill="1" applyBorder="1" applyProtection="1">
      <protection locked="0"/>
    </xf>
    <xf numFmtId="0" fontId="1" fillId="0" borderId="0" xfId="0" applyFont="1" applyProtection="1">
      <protection locked="0"/>
    </xf>
    <xf numFmtId="0" fontId="23" fillId="10" borderId="0" xfId="0" applyFont="1" applyFill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14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390525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3</xdr:col>
          <xdr:colOff>552450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6</xdr:col>
          <xdr:colOff>47625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13</xdr:col>
          <xdr:colOff>876300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S467"/>
  <sheetViews>
    <sheetView tabSelected="1" zoomScaleNormal="100" workbookViewId="0">
      <selection activeCell="P12" sqref="P12"/>
    </sheetView>
  </sheetViews>
  <sheetFormatPr defaultColWidth="78.28515625" defaultRowHeight="12.75" x14ac:dyDescent="0.2"/>
  <cols>
    <col min="1" max="1" width="13.28515625" style="96" bestFit="1" customWidth="1"/>
    <col min="2" max="2" width="14.7109375" style="96" bestFit="1" customWidth="1"/>
    <col min="3" max="3" width="7" style="96" bestFit="1" customWidth="1"/>
    <col min="4" max="4" width="11.85546875" style="96" bestFit="1" customWidth="1"/>
    <col min="5" max="5" width="10.85546875" style="96" bestFit="1" customWidth="1"/>
    <col min="6" max="6" width="12.5703125" style="96" bestFit="1" customWidth="1"/>
    <col min="7" max="7" width="10.85546875" style="96" bestFit="1" customWidth="1"/>
    <col min="8" max="8" width="63.85546875" style="96" bestFit="1" customWidth="1"/>
    <col min="9" max="9" width="16.85546875" style="96" bestFit="1" customWidth="1"/>
    <col min="10" max="10" width="9.28515625" style="96" bestFit="1" customWidth="1"/>
    <col min="11" max="11" width="21.140625" style="96" bestFit="1" customWidth="1"/>
    <col min="12" max="12" width="10.85546875" style="96" bestFit="1" customWidth="1"/>
    <col min="13" max="13" width="14.85546875" style="96" bestFit="1" customWidth="1"/>
    <col min="14" max="14" width="17.85546875" style="96" bestFit="1" customWidth="1"/>
    <col min="15" max="15" width="18.140625" style="96" bestFit="1" customWidth="1"/>
    <col min="16" max="16" width="10.85546875" style="96" bestFit="1" customWidth="1"/>
    <col min="17" max="17" width="78.28515625" style="96"/>
    <col min="18" max="19" width="2" style="96" bestFit="1" customWidth="1"/>
    <col min="20" max="16384" width="78.28515625" style="96"/>
  </cols>
  <sheetData>
    <row r="1" spans="1:16" ht="13.5" thickBot="1" x14ac:dyDescent="0.25"/>
    <row r="2" spans="1:16" ht="24" thickBot="1" x14ac:dyDescent="0.4">
      <c r="H2" s="97" t="s">
        <v>83</v>
      </c>
      <c r="K2" s="98"/>
      <c r="O2" s="99" t="s">
        <v>115</v>
      </c>
    </row>
    <row r="3" spans="1:16" customFormat="1" x14ac:dyDescent="0.2">
      <c r="O3" s="129">
        <f>SUMIF(O6:O406,"OK",N6:N406)</f>
        <v>2.7000000000000003E-2</v>
      </c>
      <c r="P3" s="129">
        <f>SUMIF(O6:O406,"OK",D6:D406)</f>
        <v>5193</v>
      </c>
    </row>
    <row r="4" spans="1:16" s="1" customFormat="1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45" t="s">
        <v>81</v>
      </c>
      <c r="J4" s="45" t="s">
        <v>2</v>
      </c>
      <c r="K4" s="45" t="s">
        <v>6</v>
      </c>
      <c r="L4" s="45" t="s">
        <v>4</v>
      </c>
      <c r="M4" s="45" t="s">
        <v>48</v>
      </c>
      <c r="N4" s="130" t="str">
        <f>IF(N407=E463,"Totale Provvigioni","ERRORE")</f>
        <v>Totale Provvigioni</v>
      </c>
      <c r="O4" s="4" t="s">
        <v>101</v>
      </c>
      <c r="P4" s="131" t="s">
        <v>51</v>
      </c>
    </row>
    <row r="5" spans="1:16" customFormat="1" x14ac:dyDescent="0.2">
      <c r="A5" s="85"/>
      <c r="B5" s="86"/>
      <c r="C5" s="87"/>
      <c r="D5" s="88"/>
      <c r="E5" s="89"/>
      <c r="F5" s="90"/>
      <c r="G5" s="89"/>
      <c r="H5" s="91">
        <v>0.01</v>
      </c>
      <c r="I5" s="90">
        <f>IF(H5=0,+D5*0.05,G5*H5)</f>
        <v>0</v>
      </c>
      <c r="J5" s="90">
        <f>IF(H5=0,+G5-E5,0)</f>
        <v>0</v>
      </c>
      <c r="K5" s="90">
        <f>+(J5*0.5)*D5</f>
        <v>0</v>
      </c>
      <c r="L5" s="92">
        <f>+I5+K5</f>
        <v>0</v>
      </c>
      <c r="M5" s="93"/>
      <c r="N5" s="92">
        <f>IF(H5=0,IF(L5&gt;G5,L5,G5),L5)</f>
        <v>0</v>
      </c>
      <c r="O5" s="94"/>
    </row>
    <row r="6" spans="1:16" x14ac:dyDescent="0.2">
      <c r="A6" s="81">
        <v>12609</v>
      </c>
      <c r="B6" s="95" t="s">
        <v>84</v>
      </c>
      <c r="C6" s="82"/>
      <c r="D6" s="83">
        <v>20000</v>
      </c>
      <c r="E6" s="77">
        <v>1.35</v>
      </c>
      <c r="F6" s="67"/>
      <c r="G6" s="77">
        <v>1.35</v>
      </c>
      <c r="H6" s="91">
        <v>0.01</v>
      </c>
      <c r="I6" s="67">
        <f>IF(H6=0,+D6*0.05,G6*H6)</f>
        <v>1.3500000000000002E-2</v>
      </c>
      <c r="J6" s="67">
        <f>IF(H6=0,+G6-E6,0)</f>
        <v>0</v>
      </c>
      <c r="K6" s="67">
        <f>+(J6*0.5)*D6</f>
        <v>0</v>
      </c>
      <c r="L6" s="101">
        <f>+I6+K6</f>
        <v>1.3500000000000002E-2</v>
      </c>
      <c r="M6" s="68">
        <v>46112</v>
      </c>
      <c r="N6" s="100">
        <f>IF(H6=0,IF(L6&gt;G6,L6,G6),L6)</f>
        <v>1.3500000000000002E-2</v>
      </c>
      <c r="O6" s="14"/>
    </row>
    <row r="7" spans="1:16" x14ac:dyDescent="0.2">
      <c r="A7" s="81">
        <v>12735</v>
      </c>
      <c r="B7" s="84" t="s">
        <v>114</v>
      </c>
      <c r="C7" s="66"/>
      <c r="D7" s="75">
        <v>180</v>
      </c>
      <c r="E7" s="77">
        <v>882</v>
      </c>
      <c r="F7" s="67"/>
      <c r="G7" s="77">
        <v>1008</v>
      </c>
      <c r="H7" s="91">
        <v>0.01</v>
      </c>
      <c r="I7" s="67">
        <f t="shared" ref="I7:I62" si="0">IF(H7=0,+D7*0.1,G7*H7)</f>
        <v>10.08</v>
      </c>
      <c r="J7" s="67">
        <f t="shared" ref="J7:J62" si="1">IF(H7=0,+G7-E7,0)</f>
        <v>0</v>
      </c>
      <c r="K7" s="67">
        <v>63</v>
      </c>
      <c r="L7" s="100">
        <f t="shared" ref="L7:L62" si="2">+I7+K7</f>
        <v>73.08</v>
      </c>
      <c r="M7" s="68">
        <v>46137</v>
      </c>
      <c r="N7" s="100">
        <v>81</v>
      </c>
      <c r="O7" s="14"/>
    </row>
    <row r="8" spans="1:16" x14ac:dyDescent="0.2">
      <c r="A8" s="81">
        <v>12743</v>
      </c>
      <c r="B8" s="132" t="s">
        <v>84</v>
      </c>
      <c r="C8" s="132"/>
      <c r="D8" s="133">
        <v>2736</v>
      </c>
      <c r="E8" s="77">
        <v>1.35</v>
      </c>
      <c r="F8" s="67"/>
      <c r="G8" s="77">
        <v>1.35</v>
      </c>
      <c r="H8" s="91">
        <v>0.01</v>
      </c>
      <c r="I8" s="67">
        <f>IF(H8=0,+D8*0.05,G8*H8)</f>
        <v>1.3500000000000002E-2</v>
      </c>
      <c r="J8" s="67">
        <f t="shared" si="1"/>
        <v>0</v>
      </c>
      <c r="K8" s="67">
        <f t="shared" ref="K8:K62" si="3">+(J8*0.5)*D8</f>
        <v>0</v>
      </c>
      <c r="L8" s="100">
        <f t="shared" si="2"/>
        <v>1.3500000000000002E-2</v>
      </c>
      <c r="M8" s="68"/>
      <c r="N8" s="134">
        <f t="shared" ref="N8:N62" si="4">IF(H8=0,IF(L8&gt;G8,L8,G8),L8)</f>
        <v>1.3500000000000002E-2</v>
      </c>
      <c r="O8" s="14" t="s">
        <v>116</v>
      </c>
      <c r="P8" s="135"/>
    </row>
    <row r="9" spans="1:16" x14ac:dyDescent="0.2">
      <c r="A9" s="81">
        <v>12743</v>
      </c>
      <c r="B9" s="132" t="s">
        <v>84</v>
      </c>
      <c r="C9" s="132"/>
      <c r="D9" s="133">
        <v>2457</v>
      </c>
      <c r="E9" s="77">
        <v>1.35</v>
      </c>
      <c r="F9" s="67"/>
      <c r="G9" s="77">
        <v>1.35</v>
      </c>
      <c r="H9" s="91">
        <v>0.01</v>
      </c>
      <c r="I9" s="67">
        <f>IF(H9=0,+D9*0.05,G9*H9)</f>
        <v>1.3500000000000002E-2</v>
      </c>
      <c r="J9" s="67">
        <f t="shared" si="1"/>
        <v>0</v>
      </c>
      <c r="K9" s="67">
        <f t="shared" si="3"/>
        <v>0</v>
      </c>
      <c r="L9" s="100">
        <f t="shared" si="2"/>
        <v>1.3500000000000002E-2</v>
      </c>
      <c r="M9" s="68"/>
      <c r="N9" s="134">
        <f t="shared" si="4"/>
        <v>1.3500000000000002E-2</v>
      </c>
      <c r="O9" s="14" t="s">
        <v>116</v>
      </c>
      <c r="P9" s="135"/>
    </row>
    <row r="10" spans="1:16" x14ac:dyDescent="0.2">
      <c r="A10" s="81">
        <v>12743</v>
      </c>
      <c r="B10" s="66" t="s">
        <v>84</v>
      </c>
      <c r="C10" s="66"/>
      <c r="D10" s="75">
        <v>3000</v>
      </c>
      <c r="E10" s="77">
        <v>1.35</v>
      </c>
      <c r="F10" s="67"/>
      <c r="G10" s="77">
        <v>1.3540000000000001</v>
      </c>
      <c r="H10" s="91">
        <v>0.01</v>
      </c>
      <c r="I10" s="67">
        <f>IF(H10=0,+D10*0.05,G10*H10)</f>
        <v>1.3540000000000002E-2</v>
      </c>
      <c r="J10" s="67">
        <f t="shared" si="1"/>
        <v>0</v>
      </c>
      <c r="K10" s="67">
        <f t="shared" si="3"/>
        <v>0</v>
      </c>
      <c r="L10" s="100">
        <f t="shared" si="2"/>
        <v>1.3540000000000002E-2</v>
      </c>
      <c r="M10" s="68">
        <v>46120</v>
      </c>
      <c r="N10" s="100">
        <f t="shared" si="4"/>
        <v>1.3540000000000002E-2</v>
      </c>
      <c r="O10" s="14"/>
    </row>
    <row r="11" spans="1:16" x14ac:dyDescent="0.2">
      <c r="A11" s="81">
        <v>12743</v>
      </c>
      <c r="B11" s="66" t="s">
        <v>84</v>
      </c>
      <c r="C11" s="66"/>
      <c r="D11" s="75">
        <v>2000</v>
      </c>
      <c r="E11" s="77">
        <v>1.35</v>
      </c>
      <c r="F11" s="67"/>
      <c r="G11" s="77">
        <v>1.35</v>
      </c>
      <c r="H11" s="91">
        <v>0.01</v>
      </c>
      <c r="I11" s="67">
        <f>IF(H11=0,+D11*0.05,G11*H11)</f>
        <v>1.3500000000000002E-2</v>
      </c>
      <c r="J11" s="67">
        <f t="shared" si="1"/>
        <v>0</v>
      </c>
      <c r="K11" s="67">
        <f t="shared" si="3"/>
        <v>0</v>
      </c>
      <c r="L11" s="100">
        <f t="shared" si="2"/>
        <v>1.3500000000000002E-2</v>
      </c>
      <c r="M11" s="68">
        <v>46120</v>
      </c>
      <c r="N11" s="100">
        <f t="shared" si="4"/>
        <v>1.3500000000000002E-2</v>
      </c>
      <c r="O11" s="14"/>
    </row>
    <row r="12" spans="1:16" x14ac:dyDescent="0.2">
      <c r="A12" s="66"/>
      <c r="B12" s="66"/>
      <c r="C12" s="66"/>
      <c r="D12" s="75"/>
      <c r="E12" s="77"/>
      <c r="F12" s="67"/>
      <c r="G12" s="77"/>
      <c r="H12" s="91"/>
      <c r="I12" s="67">
        <f t="shared" si="0"/>
        <v>0</v>
      </c>
      <c r="J12" s="67">
        <f t="shared" si="1"/>
        <v>0</v>
      </c>
      <c r="K12" s="67">
        <f t="shared" si="3"/>
        <v>0</v>
      </c>
      <c r="L12" s="100">
        <f t="shared" si="2"/>
        <v>0</v>
      </c>
      <c r="M12" s="68"/>
      <c r="N12" s="100">
        <f t="shared" si="4"/>
        <v>0</v>
      </c>
      <c r="O12" s="14"/>
    </row>
    <row r="13" spans="1:16" x14ac:dyDescent="0.2">
      <c r="A13" s="66"/>
      <c r="B13" s="66"/>
      <c r="C13" s="66"/>
      <c r="D13" s="75"/>
      <c r="E13" s="77"/>
      <c r="F13" s="67"/>
      <c r="G13" s="77"/>
      <c r="H13" s="79"/>
      <c r="I13" s="67">
        <f t="shared" si="0"/>
        <v>0</v>
      </c>
      <c r="J13" s="67">
        <f t="shared" si="1"/>
        <v>0</v>
      </c>
      <c r="K13" s="67">
        <f t="shared" si="3"/>
        <v>0</v>
      </c>
      <c r="L13" s="100">
        <f t="shared" si="2"/>
        <v>0</v>
      </c>
      <c r="M13" s="68"/>
      <c r="N13" s="100">
        <f t="shared" si="4"/>
        <v>0</v>
      </c>
      <c r="O13" s="14"/>
    </row>
    <row r="14" spans="1:16" x14ac:dyDescent="0.2">
      <c r="A14" s="66"/>
      <c r="B14" s="66"/>
      <c r="C14" s="66"/>
      <c r="D14" s="75"/>
      <c r="E14" s="77"/>
      <c r="F14" s="67"/>
      <c r="G14" s="77"/>
      <c r="H14" s="79"/>
      <c r="I14" s="67">
        <f t="shared" si="0"/>
        <v>0</v>
      </c>
      <c r="J14" s="67">
        <f t="shared" si="1"/>
        <v>0</v>
      </c>
      <c r="K14" s="67">
        <f t="shared" si="3"/>
        <v>0</v>
      </c>
      <c r="L14" s="100">
        <f t="shared" si="2"/>
        <v>0</v>
      </c>
      <c r="M14" s="68"/>
      <c r="N14" s="100">
        <f t="shared" si="4"/>
        <v>0</v>
      </c>
      <c r="O14" s="14"/>
    </row>
    <row r="15" spans="1:16" x14ac:dyDescent="0.2">
      <c r="A15" s="66"/>
      <c r="B15" s="66"/>
      <c r="C15" s="66"/>
      <c r="D15" s="75"/>
      <c r="E15" s="77"/>
      <c r="F15" s="67"/>
      <c r="G15" s="77"/>
      <c r="H15" s="79"/>
      <c r="I15" s="67">
        <f t="shared" si="0"/>
        <v>0</v>
      </c>
      <c r="J15" s="67">
        <f t="shared" si="1"/>
        <v>0</v>
      </c>
      <c r="K15" s="67">
        <f t="shared" si="3"/>
        <v>0</v>
      </c>
      <c r="L15" s="100">
        <f t="shared" si="2"/>
        <v>0</v>
      </c>
      <c r="M15" s="68"/>
      <c r="N15" s="100">
        <f t="shared" si="4"/>
        <v>0</v>
      </c>
      <c r="O15" s="14"/>
    </row>
    <row r="16" spans="1:16" x14ac:dyDescent="0.2">
      <c r="A16" s="66"/>
      <c r="B16" s="66"/>
      <c r="C16" s="66"/>
      <c r="D16" s="75"/>
      <c r="E16" s="77"/>
      <c r="F16" s="67"/>
      <c r="G16" s="77"/>
      <c r="H16" s="79"/>
      <c r="I16" s="67">
        <f t="shared" si="0"/>
        <v>0</v>
      </c>
      <c r="J16" s="67">
        <f t="shared" si="1"/>
        <v>0</v>
      </c>
      <c r="K16" s="67">
        <f t="shared" si="3"/>
        <v>0</v>
      </c>
      <c r="L16" s="100">
        <f t="shared" si="2"/>
        <v>0</v>
      </c>
      <c r="M16" s="68"/>
      <c r="N16" s="100">
        <f t="shared" si="4"/>
        <v>0</v>
      </c>
      <c r="O16" s="14"/>
    </row>
    <row r="17" spans="1:15" x14ac:dyDescent="0.2">
      <c r="A17" s="66"/>
      <c r="B17" s="66"/>
      <c r="C17" s="66"/>
      <c r="D17" s="75"/>
      <c r="E17" s="77"/>
      <c r="F17" s="67"/>
      <c r="G17" s="77"/>
      <c r="H17" s="79"/>
      <c r="I17" s="67">
        <f t="shared" si="0"/>
        <v>0</v>
      </c>
      <c r="J17" s="67">
        <f t="shared" si="1"/>
        <v>0</v>
      </c>
      <c r="K17" s="67">
        <f t="shared" si="3"/>
        <v>0</v>
      </c>
      <c r="L17" s="100">
        <f t="shared" si="2"/>
        <v>0</v>
      </c>
      <c r="M17" s="68"/>
      <c r="N17" s="100">
        <f t="shared" si="4"/>
        <v>0</v>
      </c>
      <c r="O17" s="14"/>
    </row>
    <row r="18" spans="1:15" x14ac:dyDescent="0.2">
      <c r="A18" s="66"/>
      <c r="B18" s="66"/>
      <c r="C18" s="66"/>
      <c r="D18" s="75"/>
      <c r="E18" s="77"/>
      <c r="F18" s="67"/>
      <c r="G18" s="77"/>
      <c r="H18" s="79"/>
      <c r="I18" s="67">
        <f t="shared" si="0"/>
        <v>0</v>
      </c>
      <c r="J18" s="67">
        <f t="shared" si="1"/>
        <v>0</v>
      </c>
      <c r="K18" s="67">
        <f t="shared" si="3"/>
        <v>0</v>
      </c>
      <c r="L18" s="100">
        <f t="shared" si="2"/>
        <v>0</v>
      </c>
      <c r="M18" s="68"/>
      <c r="N18" s="100">
        <f t="shared" si="4"/>
        <v>0</v>
      </c>
      <c r="O18" s="14"/>
    </row>
    <row r="19" spans="1:15" x14ac:dyDescent="0.2">
      <c r="A19" s="66"/>
      <c r="B19" s="66"/>
      <c r="C19" s="66"/>
      <c r="D19" s="75"/>
      <c r="E19" s="77"/>
      <c r="F19" s="67"/>
      <c r="G19" s="77"/>
      <c r="H19" s="79"/>
      <c r="I19" s="67">
        <f t="shared" si="0"/>
        <v>0</v>
      </c>
      <c r="J19" s="67">
        <f t="shared" si="1"/>
        <v>0</v>
      </c>
      <c r="K19" s="67">
        <f t="shared" si="3"/>
        <v>0</v>
      </c>
      <c r="L19" s="100">
        <f t="shared" si="2"/>
        <v>0</v>
      </c>
      <c r="M19" s="68"/>
      <c r="N19" s="100">
        <f t="shared" si="4"/>
        <v>0</v>
      </c>
      <c r="O19" s="14"/>
    </row>
    <row r="20" spans="1:15" x14ac:dyDescent="0.2">
      <c r="A20" s="66"/>
      <c r="B20" s="66"/>
      <c r="C20" s="66"/>
      <c r="D20" s="75"/>
      <c r="E20" s="77"/>
      <c r="F20" s="67"/>
      <c r="G20" s="77"/>
      <c r="H20" s="79"/>
      <c r="I20" s="67">
        <f t="shared" si="0"/>
        <v>0</v>
      </c>
      <c r="J20" s="67">
        <f t="shared" si="1"/>
        <v>0</v>
      </c>
      <c r="K20" s="67">
        <f t="shared" si="3"/>
        <v>0</v>
      </c>
      <c r="L20" s="100">
        <f t="shared" si="2"/>
        <v>0</v>
      </c>
      <c r="M20" s="68"/>
      <c r="N20" s="100">
        <f t="shared" si="4"/>
        <v>0</v>
      </c>
      <c r="O20" s="14"/>
    </row>
    <row r="21" spans="1:15" x14ac:dyDescent="0.2">
      <c r="A21" s="66"/>
      <c r="B21" s="66"/>
      <c r="C21" s="66"/>
      <c r="D21" s="75"/>
      <c r="E21" s="77"/>
      <c r="F21" s="67"/>
      <c r="G21" s="77"/>
      <c r="H21" s="79"/>
      <c r="I21" s="67">
        <f t="shared" si="0"/>
        <v>0</v>
      </c>
      <c r="J21" s="67">
        <f t="shared" si="1"/>
        <v>0</v>
      </c>
      <c r="K21" s="67">
        <f t="shared" si="3"/>
        <v>0</v>
      </c>
      <c r="L21" s="100">
        <f t="shared" si="2"/>
        <v>0</v>
      </c>
      <c r="M21" s="68"/>
      <c r="N21" s="100">
        <f t="shared" si="4"/>
        <v>0</v>
      </c>
      <c r="O21" s="14"/>
    </row>
    <row r="22" spans="1:15" x14ac:dyDescent="0.2">
      <c r="A22" s="66"/>
      <c r="B22" s="66"/>
      <c r="C22" s="66"/>
      <c r="D22" s="75"/>
      <c r="E22" s="77"/>
      <c r="F22" s="67"/>
      <c r="G22" s="77"/>
      <c r="H22" s="79"/>
      <c r="I22" s="67">
        <f t="shared" si="0"/>
        <v>0</v>
      </c>
      <c r="J22" s="67">
        <f t="shared" si="1"/>
        <v>0</v>
      </c>
      <c r="K22" s="67">
        <f t="shared" si="3"/>
        <v>0</v>
      </c>
      <c r="L22" s="100">
        <f t="shared" si="2"/>
        <v>0</v>
      </c>
      <c r="M22" s="68"/>
      <c r="N22" s="100">
        <f t="shared" si="4"/>
        <v>0</v>
      </c>
      <c r="O22" s="14"/>
    </row>
    <row r="23" spans="1:15" x14ac:dyDescent="0.2">
      <c r="A23" s="66"/>
      <c r="B23" s="66"/>
      <c r="C23" s="66"/>
      <c r="D23" s="75"/>
      <c r="E23" s="77"/>
      <c r="F23" s="67"/>
      <c r="G23" s="77"/>
      <c r="H23" s="79"/>
      <c r="I23" s="67">
        <f t="shared" si="0"/>
        <v>0</v>
      </c>
      <c r="J23" s="67">
        <f t="shared" si="1"/>
        <v>0</v>
      </c>
      <c r="K23" s="67">
        <f t="shared" si="3"/>
        <v>0</v>
      </c>
      <c r="L23" s="100">
        <f t="shared" si="2"/>
        <v>0</v>
      </c>
      <c r="M23" s="68"/>
      <c r="N23" s="100">
        <f t="shared" si="4"/>
        <v>0</v>
      </c>
      <c r="O23" s="14"/>
    </row>
    <row r="24" spans="1:15" x14ac:dyDescent="0.2">
      <c r="A24" s="66"/>
      <c r="B24" s="66"/>
      <c r="C24" s="66"/>
      <c r="D24" s="75"/>
      <c r="E24" s="77"/>
      <c r="F24" s="67"/>
      <c r="G24" s="77"/>
      <c r="H24" s="79"/>
      <c r="I24" s="67">
        <f t="shared" si="0"/>
        <v>0</v>
      </c>
      <c r="J24" s="67">
        <f t="shared" si="1"/>
        <v>0</v>
      </c>
      <c r="K24" s="67">
        <f t="shared" si="3"/>
        <v>0</v>
      </c>
      <c r="L24" s="100">
        <f t="shared" si="2"/>
        <v>0</v>
      </c>
      <c r="M24" s="68"/>
      <c r="N24" s="100">
        <f t="shared" si="4"/>
        <v>0</v>
      </c>
      <c r="O24" s="14"/>
    </row>
    <row r="25" spans="1:15" x14ac:dyDescent="0.2">
      <c r="A25" s="66"/>
      <c r="B25" s="66"/>
      <c r="C25" s="66"/>
      <c r="D25" s="75"/>
      <c r="E25" s="77"/>
      <c r="F25" s="67"/>
      <c r="G25" s="77"/>
      <c r="H25" s="79"/>
      <c r="I25" s="67">
        <f t="shared" si="0"/>
        <v>0</v>
      </c>
      <c r="J25" s="67">
        <f t="shared" si="1"/>
        <v>0</v>
      </c>
      <c r="K25" s="67">
        <f t="shared" si="3"/>
        <v>0</v>
      </c>
      <c r="L25" s="100">
        <f t="shared" si="2"/>
        <v>0</v>
      </c>
      <c r="M25" s="68"/>
      <c r="N25" s="100">
        <f t="shared" si="4"/>
        <v>0</v>
      </c>
      <c r="O25" s="14"/>
    </row>
    <row r="26" spans="1:15" x14ac:dyDescent="0.2">
      <c r="A26" s="66"/>
      <c r="B26" s="66"/>
      <c r="C26" s="66"/>
      <c r="D26" s="75"/>
      <c r="E26" s="77"/>
      <c r="F26" s="67"/>
      <c r="G26" s="77"/>
      <c r="H26" s="79"/>
      <c r="I26" s="67">
        <f t="shared" si="0"/>
        <v>0</v>
      </c>
      <c r="J26" s="67">
        <f t="shared" si="1"/>
        <v>0</v>
      </c>
      <c r="K26" s="67">
        <f t="shared" si="3"/>
        <v>0</v>
      </c>
      <c r="L26" s="100">
        <f t="shared" si="2"/>
        <v>0</v>
      </c>
      <c r="M26" s="68"/>
      <c r="N26" s="100">
        <f t="shared" si="4"/>
        <v>0</v>
      </c>
      <c r="O26" s="14"/>
    </row>
    <row r="27" spans="1:15" x14ac:dyDescent="0.2">
      <c r="A27" s="66"/>
      <c r="B27" s="66"/>
      <c r="C27" s="66"/>
      <c r="D27" s="75"/>
      <c r="E27" s="77"/>
      <c r="F27" s="67"/>
      <c r="G27" s="77"/>
      <c r="H27" s="79"/>
      <c r="I27" s="67">
        <f t="shared" si="0"/>
        <v>0</v>
      </c>
      <c r="J27" s="67">
        <f t="shared" si="1"/>
        <v>0</v>
      </c>
      <c r="K27" s="67">
        <f t="shared" si="3"/>
        <v>0</v>
      </c>
      <c r="L27" s="100">
        <f t="shared" si="2"/>
        <v>0</v>
      </c>
      <c r="M27" s="68"/>
      <c r="N27" s="100">
        <f t="shared" si="4"/>
        <v>0</v>
      </c>
      <c r="O27" s="14"/>
    </row>
    <row r="28" spans="1:15" x14ac:dyDescent="0.2">
      <c r="A28" s="66"/>
      <c r="B28" s="66"/>
      <c r="C28" s="66"/>
      <c r="D28" s="75"/>
      <c r="E28" s="77"/>
      <c r="F28" s="67"/>
      <c r="G28" s="77"/>
      <c r="H28" s="79"/>
      <c r="I28" s="67">
        <f t="shared" si="0"/>
        <v>0</v>
      </c>
      <c r="J28" s="67">
        <f t="shared" si="1"/>
        <v>0</v>
      </c>
      <c r="K28" s="67">
        <f t="shared" si="3"/>
        <v>0</v>
      </c>
      <c r="L28" s="100">
        <f t="shared" si="2"/>
        <v>0</v>
      </c>
      <c r="M28" s="68"/>
      <c r="N28" s="100">
        <f t="shared" si="4"/>
        <v>0</v>
      </c>
      <c r="O28" s="14"/>
    </row>
    <row r="29" spans="1:15" x14ac:dyDescent="0.2">
      <c r="A29" s="66"/>
      <c r="B29" s="66"/>
      <c r="C29" s="66"/>
      <c r="D29" s="75"/>
      <c r="E29" s="77"/>
      <c r="F29" s="67"/>
      <c r="G29" s="77"/>
      <c r="H29" s="79"/>
      <c r="I29" s="67">
        <f t="shared" si="0"/>
        <v>0</v>
      </c>
      <c r="J29" s="67">
        <f t="shared" si="1"/>
        <v>0</v>
      </c>
      <c r="K29" s="67">
        <f t="shared" si="3"/>
        <v>0</v>
      </c>
      <c r="L29" s="100">
        <f t="shared" si="2"/>
        <v>0</v>
      </c>
      <c r="M29" s="68"/>
      <c r="N29" s="100">
        <f t="shared" si="4"/>
        <v>0</v>
      </c>
      <c r="O29" s="14"/>
    </row>
    <row r="30" spans="1:15" x14ac:dyDescent="0.2">
      <c r="A30" s="66"/>
      <c r="B30" s="66"/>
      <c r="C30" s="66"/>
      <c r="D30" s="75"/>
      <c r="E30" s="77"/>
      <c r="F30" s="67"/>
      <c r="G30" s="77"/>
      <c r="H30" s="79"/>
      <c r="I30" s="67">
        <f t="shared" si="0"/>
        <v>0</v>
      </c>
      <c r="J30" s="67">
        <f t="shared" si="1"/>
        <v>0</v>
      </c>
      <c r="K30" s="67">
        <f t="shared" si="3"/>
        <v>0</v>
      </c>
      <c r="L30" s="100">
        <f t="shared" si="2"/>
        <v>0</v>
      </c>
      <c r="M30" s="68"/>
      <c r="N30" s="100">
        <f t="shared" si="4"/>
        <v>0</v>
      </c>
      <c r="O30" s="14"/>
    </row>
    <row r="31" spans="1:15" x14ac:dyDescent="0.2">
      <c r="A31" s="66"/>
      <c r="B31" s="66"/>
      <c r="C31" s="66"/>
      <c r="D31" s="75"/>
      <c r="E31" s="77"/>
      <c r="F31" s="67"/>
      <c r="G31" s="77"/>
      <c r="H31" s="79"/>
      <c r="I31" s="67">
        <f t="shared" si="0"/>
        <v>0</v>
      </c>
      <c r="J31" s="67">
        <f t="shared" si="1"/>
        <v>0</v>
      </c>
      <c r="K31" s="67">
        <f t="shared" si="3"/>
        <v>0</v>
      </c>
      <c r="L31" s="100">
        <f t="shared" si="2"/>
        <v>0</v>
      </c>
      <c r="M31" s="68"/>
      <c r="N31" s="100">
        <f t="shared" si="4"/>
        <v>0</v>
      </c>
      <c r="O31" s="14"/>
    </row>
    <row r="32" spans="1:15" x14ac:dyDescent="0.2">
      <c r="A32" s="66"/>
      <c r="B32" s="66"/>
      <c r="C32" s="66"/>
      <c r="D32" s="75"/>
      <c r="E32" s="77"/>
      <c r="F32" s="67"/>
      <c r="G32" s="77"/>
      <c r="H32" s="79"/>
      <c r="I32" s="67">
        <f t="shared" si="0"/>
        <v>0</v>
      </c>
      <c r="J32" s="67">
        <f t="shared" si="1"/>
        <v>0</v>
      </c>
      <c r="K32" s="67">
        <f t="shared" si="3"/>
        <v>0</v>
      </c>
      <c r="L32" s="100">
        <f t="shared" si="2"/>
        <v>0</v>
      </c>
      <c r="M32" s="68"/>
      <c r="N32" s="100">
        <f t="shared" si="4"/>
        <v>0</v>
      </c>
      <c r="O32" s="14"/>
    </row>
    <row r="33" spans="1:15" x14ac:dyDescent="0.2">
      <c r="A33" s="66"/>
      <c r="B33" s="66"/>
      <c r="C33" s="66"/>
      <c r="D33" s="75"/>
      <c r="E33" s="77"/>
      <c r="F33" s="67"/>
      <c r="G33" s="77"/>
      <c r="H33" s="79"/>
      <c r="I33" s="67">
        <f t="shared" si="0"/>
        <v>0</v>
      </c>
      <c r="J33" s="67">
        <f t="shared" si="1"/>
        <v>0</v>
      </c>
      <c r="K33" s="67">
        <f t="shared" si="3"/>
        <v>0</v>
      </c>
      <c r="L33" s="100">
        <f t="shared" si="2"/>
        <v>0</v>
      </c>
      <c r="M33" s="68"/>
      <c r="N33" s="100">
        <f t="shared" si="4"/>
        <v>0</v>
      </c>
      <c r="O33" s="14"/>
    </row>
    <row r="34" spans="1:15" x14ac:dyDescent="0.2">
      <c r="A34" s="66"/>
      <c r="B34" s="66"/>
      <c r="C34" s="66"/>
      <c r="D34" s="75"/>
      <c r="E34" s="77"/>
      <c r="F34" s="67"/>
      <c r="G34" s="77"/>
      <c r="H34" s="79"/>
      <c r="I34" s="67">
        <f t="shared" si="0"/>
        <v>0</v>
      </c>
      <c r="J34" s="67">
        <f t="shared" si="1"/>
        <v>0</v>
      </c>
      <c r="K34" s="67">
        <f t="shared" si="3"/>
        <v>0</v>
      </c>
      <c r="L34" s="100">
        <f t="shared" si="2"/>
        <v>0</v>
      </c>
      <c r="M34" s="68"/>
      <c r="N34" s="100">
        <f t="shared" si="4"/>
        <v>0</v>
      </c>
      <c r="O34" s="14"/>
    </row>
    <row r="35" spans="1:15" x14ac:dyDescent="0.2">
      <c r="A35" s="66"/>
      <c r="B35" s="66"/>
      <c r="C35" s="66"/>
      <c r="D35" s="75"/>
      <c r="E35" s="77"/>
      <c r="F35" s="67"/>
      <c r="G35" s="77"/>
      <c r="H35" s="79"/>
      <c r="I35" s="67">
        <f t="shared" si="0"/>
        <v>0</v>
      </c>
      <c r="J35" s="67">
        <f t="shared" si="1"/>
        <v>0</v>
      </c>
      <c r="K35" s="67">
        <f t="shared" si="3"/>
        <v>0</v>
      </c>
      <c r="L35" s="100">
        <f t="shared" si="2"/>
        <v>0</v>
      </c>
      <c r="M35" s="68"/>
      <c r="N35" s="100">
        <f t="shared" si="4"/>
        <v>0</v>
      </c>
      <c r="O35" s="14"/>
    </row>
    <row r="36" spans="1:15" x14ac:dyDescent="0.2">
      <c r="A36" s="66"/>
      <c r="B36" s="66"/>
      <c r="C36" s="66"/>
      <c r="D36" s="75"/>
      <c r="E36" s="77"/>
      <c r="F36" s="67"/>
      <c r="G36" s="77"/>
      <c r="H36" s="79"/>
      <c r="I36" s="67">
        <f t="shared" si="0"/>
        <v>0</v>
      </c>
      <c r="J36" s="67">
        <f t="shared" si="1"/>
        <v>0</v>
      </c>
      <c r="K36" s="67">
        <f t="shared" si="3"/>
        <v>0</v>
      </c>
      <c r="L36" s="100">
        <f t="shared" si="2"/>
        <v>0</v>
      </c>
      <c r="M36" s="68"/>
      <c r="N36" s="100">
        <f t="shared" si="4"/>
        <v>0</v>
      </c>
      <c r="O36" s="14"/>
    </row>
    <row r="37" spans="1:15" x14ac:dyDescent="0.2">
      <c r="A37" s="66"/>
      <c r="B37" s="66"/>
      <c r="C37" s="66"/>
      <c r="D37" s="75"/>
      <c r="E37" s="77"/>
      <c r="F37" s="67"/>
      <c r="G37" s="77"/>
      <c r="H37" s="79"/>
      <c r="I37" s="67">
        <f t="shared" si="0"/>
        <v>0</v>
      </c>
      <c r="J37" s="67">
        <f t="shared" si="1"/>
        <v>0</v>
      </c>
      <c r="K37" s="67">
        <f t="shared" si="3"/>
        <v>0</v>
      </c>
      <c r="L37" s="100">
        <f t="shared" si="2"/>
        <v>0</v>
      </c>
      <c r="M37" s="68"/>
      <c r="N37" s="100">
        <f t="shared" si="4"/>
        <v>0</v>
      </c>
      <c r="O37" s="14"/>
    </row>
    <row r="38" spans="1:15" x14ac:dyDescent="0.2">
      <c r="A38" s="66"/>
      <c r="B38" s="66"/>
      <c r="C38" s="66"/>
      <c r="D38" s="75"/>
      <c r="E38" s="77"/>
      <c r="F38" s="67"/>
      <c r="G38" s="77"/>
      <c r="H38" s="79"/>
      <c r="I38" s="67">
        <f t="shared" si="0"/>
        <v>0</v>
      </c>
      <c r="J38" s="67">
        <f t="shared" si="1"/>
        <v>0</v>
      </c>
      <c r="K38" s="67">
        <f t="shared" si="3"/>
        <v>0</v>
      </c>
      <c r="L38" s="100">
        <f t="shared" si="2"/>
        <v>0</v>
      </c>
      <c r="M38" s="68"/>
      <c r="N38" s="100">
        <f t="shared" si="4"/>
        <v>0</v>
      </c>
      <c r="O38" s="14"/>
    </row>
    <row r="39" spans="1:15" x14ac:dyDescent="0.2">
      <c r="A39" s="66"/>
      <c r="B39" s="66"/>
      <c r="C39" s="66"/>
      <c r="D39" s="75"/>
      <c r="E39" s="77"/>
      <c r="F39" s="67"/>
      <c r="G39" s="77"/>
      <c r="H39" s="79"/>
      <c r="I39" s="67">
        <f t="shared" si="0"/>
        <v>0</v>
      </c>
      <c r="J39" s="67">
        <f t="shared" si="1"/>
        <v>0</v>
      </c>
      <c r="K39" s="67">
        <f t="shared" si="3"/>
        <v>0</v>
      </c>
      <c r="L39" s="100">
        <f t="shared" si="2"/>
        <v>0</v>
      </c>
      <c r="M39" s="68"/>
      <c r="N39" s="100">
        <f t="shared" si="4"/>
        <v>0</v>
      </c>
      <c r="O39" s="14"/>
    </row>
    <row r="40" spans="1:15" x14ac:dyDescent="0.2">
      <c r="A40" s="66"/>
      <c r="B40" s="66"/>
      <c r="C40" s="66"/>
      <c r="D40" s="75"/>
      <c r="E40" s="77"/>
      <c r="F40" s="67"/>
      <c r="G40" s="77"/>
      <c r="H40" s="79"/>
      <c r="I40" s="67">
        <f t="shared" si="0"/>
        <v>0</v>
      </c>
      <c r="J40" s="67">
        <f t="shared" si="1"/>
        <v>0</v>
      </c>
      <c r="K40" s="67">
        <f t="shared" si="3"/>
        <v>0</v>
      </c>
      <c r="L40" s="100">
        <f t="shared" si="2"/>
        <v>0</v>
      </c>
      <c r="M40" s="68"/>
      <c r="N40" s="100">
        <f t="shared" si="4"/>
        <v>0</v>
      </c>
      <c r="O40" s="14"/>
    </row>
    <row r="41" spans="1:15" x14ac:dyDescent="0.2">
      <c r="A41" s="66"/>
      <c r="B41" s="66"/>
      <c r="C41" s="66"/>
      <c r="D41" s="75"/>
      <c r="E41" s="77"/>
      <c r="F41" s="67"/>
      <c r="G41" s="77"/>
      <c r="H41" s="79"/>
      <c r="I41" s="67">
        <f t="shared" si="0"/>
        <v>0</v>
      </c>
      <c r="J41" s="67">
        <f t="shared" si="1"/>
        <v>0</v>
      </c>
      <c r="K41" s="67">
        <f t="shared" si="3"/>
        <v>0</v>
      </c>
      <c r="L41" s="100">
        <f t="shared" si="2"/>
        <v>0</v>
      </c>
      <c r="M41" s="68"/>
      <c r="N41" s="100">
        <f t="shared" si="4"/>
        <v>0</v>
      </c>
      <c r="O41" s="14"/>
    </row>
    <row r="42" spans="1:15" x14ac:dyDescent="0.2">
      <c r="A42" s="66"/>
      <c r="B42" s="66"/>
      <c r="C42" s="66"/>
      <c r="D42" s="75"/>
      <c r="E42" s="77"/>
      <c r="F42" s="67"/>
      <c r="G42" s="77"/>
      <c r="H42" s="79"/>
      <c r="I42" s="67">
        <f t="shared" si="0"/>
        <v>0</v>
      </c>
      <c r="J42" s="67">
        <f t="shared" si="1"/>
        <v>0</v>
      </c>
      <c r="K42" s="67">
        <f t="shared" si="3"/>
        <v>0</v>
      </c>
      <c r="L42" s="100">
        <f t="shared" si="2"/>
        <v>0</v>
      </c>
      <c r="M42" s="68"/>
      <c r="N42" s="100">
        <f t="shared" si="4"/>
        <v>0</v>
      </c>
      <c r="O42" s="14"/>
    </row>
    <row r="43" spans="1:15" x14ac:dyDescent="0.2">
      <c r="A43" s="66"/>
      <c r="B43" s="66"/>
      <c r="C43" s="66"/>
      <c r="D43" s="75"/>
      <c r="E43" s="77"/>
      <c r="F43" s="67"/>
      <c r="G43" s="77"/>
      <c r="H43" s="79"/>
      <c r="I43" s="67">
        <f t="shared" si="0"/>
        <v>0</v>
      </c>
      <c r="J43" s="67">
        <f t="shared" si="1"/>
        <v>0</v>
      </c>
      <c r="K43" s="67">
        <f t="shared" si="3"/>
        <v>0</v>
      </c>
      <c r="L43" s="100">
        <f t="shared" si="2"/>
        <v>0</v>
      </c>
      <c r="M43" s="68"/>
      <c r="N43" s="100">
        <f t="shared" si="4"/>
        <v>0</v>
      </c>
      <c r="O43" s="14"/>
    </row>
    <row r="44" spans="1:15" x14ac:dyDescent="0.2">
      <c r="A44" s="66"/>
      <c r="B44" s="66"/>
      <c r="C44" s="66"/>
      <c r="D44" s="75"/>
      <c r="E44" s="77"/>
      <c r="F44" s="67"/>
      <c r="G44" s="77"/>
      <c r="H44" s="79"/>
      <c r="I44" s="67">
        <f t="shared" si="0"/>
        <v>0</v>
      </c>
      <c r="J44" s="67">
        <f t="shared" si="1"/>
        <v>0</v>
      </c>
      <c r="K44" s="67">
        <f t="shared" si="3"/>
        <v>0</v>
      </c>
      <c r="L44" s="100">
        <f t="shared" si="2"/>
        <v>0</v>
      </c>
      <c r="M44" s="68"/>
      <c r="N44" s="100">
        <f t="shared" si="4"/>
        <v>0</v>
      </c>
      <c r="O44" s="14"/>
    </row>
    <row r="45" spans="1:15" x14ac:dyDescent="0.2">
      <c r="A45" s="66"/>
      <c r="B45" s="66"/>
      <c r="C45" s="66"/>
      <c r="D45" s="75"/>
      <c r="E45" s="77"/>
      <c r="F45" s="67"/>
      <c r="G45" s="77"/>
      <c r="H45" s="79"/>
      <c r="I45" s="67">
        <f t="shared" si="0"/>
        <v>0</v>
      </c>
      <c r="J45" s="67">
        <f t="shared" si="1"/>
        <v>0</v>
      </c>
      <c r="K45" s="67">
        <f t="shared" si="3"/>
        <v>0</v>
      </c>
      <c r="L45" s="100">
        <f t="shared" si="2"/>
        <v>0</v>
      </c>
      <c r="M45" s="68"/>
      <c r="N45" s="100">
        <f t="shared" si="4"/>
        <v>0</v>
      </c>
      <c r="O45" s="14"/>
    </row>
    <row r="46" spans="1:15" x14ac:dyDescent="0.2">
      <c r="A46" s="66"/>
      <c r="B46" s="66"/>
      <c r="C46" s="66"/>
      <c r="D46" s="75"/>
      <c r="E46" s="77"/>
      <c r="F46" s="67"/>
      <c r="G46" s="77"/>
      <c r="H46" s="79"/>
      <c r="I46" s="67">
        <f t="shared" si="0"/>
        <v>0</v>
      </c>
      <c r="J46" s="67">
        <f t="shared" si="1"/>
        <v>0</v>
      </c>
      <c r="K46" s="67">
        <f t="shared" si="3"/>
        <v>0</v>
      </c>
      <c r="L46" s="100">
        <f t="shared" si="2"/>
        <v>0</v>
      </c>
      <c r="M46" s="68"/>
      <c r="N46" s="100">
        <f t="shared" si="4"/>
        <v>0</v>
      </c>
      <c r="O46" s="14"/>
    </row>
    <row r="47" spans="1:15" x14ac:dyDescent="0.2">
      <c r="A47" s="66"/>
      <c r="B47" s="66"/>
      <c r="C47" s="66"/>
      <c r="D47" s="75"/>
      <c r="E47" s="77"/>
      <c r="F47" s="67"/>
      <c r="G47" s="77"/>
      <c r="H47" s="79"/>
      <c r="I47" s="67">
        <f t="shared" si="0"/>
        <v>0</v>
      </c>
      <c r="J47" s="67">
        <f t="shared" si="1"/>
        <v>0</v>
      </c>
      <c r="K47" s="67">
        <f t="shared" si="3"/>
        <v>0</v>
      </c>
      <c r="L47" s="100">
        <f t="shared" si="2"/>
        <v>0</v>
      </c>
      <c r="M47" s="68"/>
      <c r="N47" s="100">
        <f t="shared" si="4"/>
        <v>0</v>
      </c>
      <c r="O47" s="14"/>
    </row>
    <row r="48" spans="1:15" x14ac:dyDescent="0.2">
      <c r="A48" s="66"/>
      <c r="B48" s="66"/>
      <c r="C48" s="66"/>
      <c r="D48" s="75"/>
      <c r="E48" s="77"/>
      <c r="F48" s="67"/>
      <c r="G48" s="77"/>
      <c r="H48" s="79"/>
      <c r="I48" s="67">
        <f t="shared" si="0"/>
        <v>0</v>
      </c>
      <c r="J48" s="67">
        <f t="shared" si="1"/>
        <v>0</v>
      </c>
      <c r="K48" s="67">
        <f t="shared" si="3"/>
        <v>0</v>
      </c>
      <c r="L48" s="100">
        <f t="shared" si="2"/>
        <v>0</v>
      </c>
      <c r="M48" s="68"/>
      <c r="N48" s="100">
        <f t="shared" si="4"/>
        <v>0</v>
      </c>
      <c r="O48" s="14"/>
    </row>
    <row r="49" spans="1:15" x14ac:dyDescent="0.2">
      <c r="A49" s="66"/>
      <c r="B49" s="66"/>
      <c r="C49" s="66"/>
      <c r="D49" s="75"/>
      <c r="E49" s="77"/>
      <c r="F49" s="67"/>
      <c r="G49" s="77"/>
      <c r="H49" s="79"/>
      <c r="I49" s="67">
        <f t="shared" si="0"/>
        <v>0</v>
      </c>
      <c r="J49" s="67">
        <f t="shared" si="1"/>
        <v>0</v>
      </c>
      <c r="K49" s="67">
        <f t="shared" si="3"/>
        <v>0</v>
      </c>
      <c r="L49" s="100">
        <f t="shared" si="2"/>
        <v>0</v>
      </c>
      <c r="M49" s="68"/>
      <c r="N49" s="100">
        <f t="shared" si="4"/>
        <v>0</v>
      </c>
      <c r="O49" s="14"/>
    </row>
    <row r="50" spans="1:15" x14ac:dyDescent="0.2">
      <c r="A50" s="66"/>
      <c r="B50" s="66"/>
      <c r="C50" s="66"/>
      <c r="D50" s="75"/>
      <c r="E50" s="77"/>
      <c r="F50" s="67"/>
      <c r="G50" s="77"/>
      <c r="H50" s="79"/>
      <c r="I50" s="67">
        <f t="shared" si="0"/>
        <v>0</v>
      </c>
      <c r="J50" s="67">
        <f t="shared" si="1"/>
        <v>0</v>
      </c>
      <c r="K50" s="67">
        <f t="shared" si="3"/>
        <v>0</v>
      </c>
      <c r="L50" s="100">
        <f t="shared" si="2"/>
        <v>0</v>
      </c>
      <c r="M50" s="68"/>
      <c r="N50" s="100">
        <f t="shared" si="4"/>
        <v>0</v>
      </c>
      <c r="O50" s="14"/>
    </row>
    <row r="51" spans="1:15" x14ac:dyDescent="0.2">
      <c r="A51" s="66"/>
      <c r="B51" s="66"/>
      <c r="C51" s="66"/>
      <c r="D51" s="75"/>
      <c r="E51" s="77"/>
      <c r="F51" s="67"/>
      <c r="G51" s="77"/>
      <c r="H51" s="79"/>
      <c r="I51" s="67">
        <f t="shared" si="0"/>
        <v>0</v>
      </c>
      <c r="J51" s="67">
        <f t="shared" si="1"/>
        <v>0</v>
      </c>
      <c r="K51" s="67">
        <f t="shared" si="3"/>
        <v>0</v>
      </c>
      <c r="L51" s="100">
        <f t="shared" si="2"/>
        <v>0</v>
      </c>
      <c r="M51" s="68"/>
      <c r="N51" s="100">
        <f t="shared" si="4"/>
        <v>0</v>
      </c>
      <c r="O51" s="14"/>
    </row>
    <row r="52" spans="1:15" x14ac:dyDescent="0.2">
      <c r="A52" s="66"/>
      <c r="B52" s="66"/>
      <c r="C52" s="66"/>
      <c r="D52" s="75"/>
      <c r="E52" s="77"/>
      <c r="F52" s="67"/>
      <c r="G52" s="77"/>
      <c r="H52" s="79"/>
      <c r="I52" s="67">
        <f t="shared" si="0"/>
        <v>0</v>
      </c>
      <c r="J52" s="67">
        <f t="shared" si="1"/>
        <v>0</v>
      </c>
      <c r="K52" s="67">
        <f t="shared" si="3"/>
        <v>0</v>
      </c>
      <c r="L52" s="100">
        <f t="shared" si="2"/>
        <v>0</v>
      </c>
      <c r="M52" s="68"/>
      <c r="N52" s="100">
        <f t="shared" si="4"/>
        <v>0</v>
      </c>
      <c r="O52" s="14"/>
    </row>
    <row r="53" spans="1:15" x14ac:dyDescent="0.2">
      <c r="A53" s="66"/>
      <c r="B53" s="66"/>
      <c r="C53" s="66"/>
      <c r="D53" s="75"/>
      <c r="E53" s="77"/>
      <c r="F53" s="67"/>
      <c r="G53" s="77"/>
      <c r="H53" s="79"/>
      <c r="I53" s="67">
        <f t="shared" si="0"/>
        <v>0</v>
      </c>
      <c r="J53" s="67">
        <f t="shared" si="1"/>
        <v>0</v>
      </c>
      <c r="K53" s="67">
        <f t="shared" si="3"/>
        <v>0</v>
      </c>
      <c r="L53" s="100">
        <f t="shared" si="2"/>
        <v>0</v>
      </c>
      <c r="M53" s="68"/>
      <c r="N53" s="100">
        <f t="shared" si="4"/>
        <v>0</v>
      </c>
      <c r="O53" s="14"/>
    </row>
    <row r="54" spans="1:15" x14ac:dyDescent="0.2">
      <c r="A54" s="66"/>
      <c r="B54" s="66"/>
      <c r="C54" s="66"/>
      <c r="D54" s="75"/>
      <c r="E54" s="77"/>
      <c r="F54" s="67"/>
      <c r="G54" s="77"/>
      <c r="H54" s="79"/>
      <c r="I54" s="67">
        <f t="shared" si="0"/>
        <v>0</v>
      </c>
      <c r="J54" s="67">
        <f t="shared" si="1"/>
        <v>0</v>
      </c>
      <c r="K54" s="67">
        <f t="shared" si="3"/>
        <v>0</v>
      </c>
      <c r="L54" s="100">
        <f t="shared" si="2"/>
        <v>0</v>
      </c>
      <c r="M54" s="68"/>
      <c r="N54" s="100">
        <f t="shared" si="4"/>
        <v>0</v>
      </c>
      <c r="O54" s="14"/>
    </row>
    <row r="55" spans="1:15" x14ac:dyDescent="0.2">
      <c r="A55" s="66"/>
      <c r="B55" s="66"/>
      <c r="C55" s="66"/>
      <c r="D55" s="75"/>
      <c r="E55" s="77"/>
      <c r="F55" s="67"/>
      <c r="G55" s="77"/>
      <c r="H55" s="79"/>
      <c r="I55" s="67">
        <f t="shared" si="0"/>
        <v>0</v>
      </c>
      <c r="J55" s="67">
        <f t="shared" si="1"/>
        <v>0</v>
      </c>
      <c r="K55" s="67">
        <f t="shared" si="3"/>
        <v>0</v>
      </c>
      <c r="L55" s="100">
        <f t="shared" si="2"/>
        <v>0</v>
      </c>
      <c r="M55" s="68"/>
      <c r="N55" s="100">
        <f t="shared" si="4"/>
        <v>0</v>
      </c>
      <c r="O55" s="14"/>
    </row>
    <row r="56" spans="1:15" x14ac:dyDescent="0.2">
      <c r="A56" s="66"/>
      <c r="B56" s="66"/>
      <c r="C56" s="66"/>
      <c r="D56" s="75"/>
      <c r="E56" s="77"/>
      <c r="F56" s="67"/>
      <c r="G56" s="77"/>
      <c r="H56" s="79"/>
      <c r="I56" s="67">
        <f t="shared" si="0"/>
        <v>0</v>
      </c>
      <c r="J56" s="67">
        <f t="shared" si="1"/>
        <v>0</v>
      </c>
      <c r="K56" s="67">
        <f t="shared" si="3"/>
        <v>0</v>
      </c>
      <c r="L56" s="100">
        <f t="shared" si="2"/>
        <v>0</v>
      </c>
      <c r="M56" s="68"/>
      <c r="N56" s="100">
        <f t="shared" si="4"/>
        <v>0</v>
      </c>
      <c r="O56" s="14"/>
    </row>
    <row r="57" spans="1:15" x14ac:dyDescent="0.2">
      <c r="A57" s="66"/>
      <c r="B57" s="66"/>
      <c r="C57" s="66"/>
      <c r="D57" s="75"/>
      <c r="E57" s="77"/>
      <c r="F57" s="67"/>
      <c r="G57" s="77"/>
      <c r="H57" s="79"/>
      <c r="I57" s="67">
        <f t="shared" si="0"/>
        <v>0</v>
      </c>
      <c r="J57" s="67">
        <f t="shared" si="1"/>
        <v>0</v>
      </c>
      <c r="K57" s="67">
        <f t="shared" si="3"/>
        <v>0</v>
      </c>
      <c r="L57" s="100">
        <f t="shared" si="2"/>
        <v>0</v>
      </c>
      <c r="M57" s="68"/>
      <c r="N57" s="100">
        <f t="shared" si="4"/>
        <v>0</v>
      </c>
      <c r="O57" s="14"/>
    </row>
    <row r="58" spans="1:15" x14ac:dyDescent="0.2">
      <c r="A58" s="66"/>
      <c r="B58" s="66"/>
      <c r="C58" s="66"/>
      <c r="D58" s="75"/>
      <c r="E58" s="77"/>
      <c r="F58" s="67"/>
      <c r="G58" s="77"/>
      <c r="H58" s="79"/>
      <c r="I58" s="67">
        <f t="shared" si="0"/>
        <v>0</v>
      </c>
      <c r="J58" s="67">
        <f t="shared" si="1"/>
        <v>0</v>
      </c>
      <c r="K58" s="67">
        <f t="shared" si="3"/>
        <v>0</v>
      </c>
      <c r="L58" s="100">
        <f t="shared" si="2"/>
        <v>0</v>
      </c>
      <c r="M58" s="68"/>
      <c r="N58" s="100">
        <f t="shared" si="4"/>
        <v>0</v>
      </c>
      <c r="O58" s="14"/>
    </row>
    <row r="59" spans="1:15" x14ac:dyDescent="0.2">
      <c r="A59" s="66"/>
      <c r="B59" s="66"/>
      <c r="C59" s="66"/>
      <c r="D59" s="75"/>
      <c r="E59" s="77"/>
      <c r="F59" s="67"/>
      <c r="G59" s="77"/>
      <c r="H59" s="79"/>
      <c r="I59" s="67">
        <f t="shared" si="0"/>
        <v>0</v>
      </c>
      <c r="J59" s="67">
        <f t="shared" si="1"/>
        <v>0</v>
      </c>
      <c r="K59" s="67">
        <f t="shared" si="3"/>
        <v>0</v>
      </c>
      <c r="L59" s="100">
        <f t="shared" si="2"/>
        <v>0</v>
      </c>
      <c r="M59" s="68"/>
      <c r="N59" s="100">
        <f t="shared" si="4"/>
        <v>0</v>
      </c>
      <c r="O59" s="14"/>
    </row>
    <row r="60" spans="1:15" x14ac:dyDescent="0.2">
      <c r="A60" s="66"/>
      <c r="B60" s="66"/>
      <c r="C60" s="66"/>
      <c r="D60" s="75"/>
      <c r="E60" s="77"/>
      <c r="F60" s="67"/>
      <c r="G60" s="77"/>
      <c r="H60" s="79"/>
      <c r="I60" s="67">
        <f t="shared" si="0"/>
        <v>0</v>
      </c>
      <c r="J60" s="67">
        <f t="shared" si="1"/>
        <v>0</v>
      </c>
      <c r="K60" s="67">
        <f t="shared" si="3"/>
        <v>0</v>
      </c>
      <c r="L60" s="100">
        <f t="shared" si="2"/>
        <v>0</v>
      </c>
      <c r="M60" s="68"/>
      <c r="N60" s="100">
        <f t="shared" si="4"/>
        <v>0</v>
      </c>
      <c r="O60" s="14"/>
    </row>
    <row r="61" spans="1:15" x14ac:dyDescent="0.2">
      <c r="A61" s="66"/>
      <c r="B61" s="66"/>
      <c r="C61" s="66"/>
      <c r="D61" s="75"/>
      <c r="E61" s="77"/>
      <c r="F61" s="67"/>
      <c r="G61" s="77"/>
      <c r="H61" s="79"/>
      <c r="I61" s="67">
        <f t="shared" si="0"/>
        <v>0</v>
      </c>
      <c r="J61" s="67">
        <f t="shared" si="1"/>
        <v>0</v>
      </c>
      <c r="K61" s="67">
        <f t="shared" si="3"/>
        <v>0</v>
      </c>
      <c r="L61" s="100">
        <f t="shared" si="2"/>
        <v>0</v>
      </c>
      <c r="M61" s="68"/>
      <c r="N61" s="100">
        <f t="shared" si="4"/>
        <v>0</v>
      </c>
      <c r="O61" s="14"/>
    </row>
    <row r="62" spans="1:15" x14ac:dyDescent="0.2">
      <c r="A62" s="66"/>
      <c r="B62" s="66"/>
      <c r="C62" s="66"/>
      <c r="D62" s="75"/>
      <c r="E62" s="77"/>
      <c r="F62" s="67"/>
      <c r="G62" s="77"/>
      <c r="H62" s="79"/>
      <c r="I62" s="67">
        <f t="shared" si="0"/>
        <v>0</v>
      </c>
      <c r="J62" s="67">
        <f t="shared" si="1"/>
        <v>0</v>
      </c>
      <c r="K62" s="67">
        <f t="shared" si="3"/>
        <v>0</v>
      </c>
      <c r="L62" s="100">
        <f t="shared" si="2"/>
        <v>0</v>
      </c>
      <c r="M62" s="68"/>
      <c r="N62" s="100">
        <f t="shared" si="4"/>
        <v>0</v>
      </c>
      <c r="O62" s="14"/>
    </row>
    <row r="63" spans="1:15" x14ac:dyDescent="0.2">
      <c r="A63" s="66"/>
      <c r="B63" s="66"/>
      <c r="C63" s="66"/>
      <c r="D63" s="75"/>
      <c r="E63" s="77"/>
      <c r="F63" s="67"/>
      <c r="G63" s="77"/>
      <c r="H63" s="79"/>
      <c r="I63" s="67">
        <f t="shared" ref="I63:I126" si="5">IF(H63=0,+D63*0.1,G63*H63)</f>
        <v>0</v>
      </c>
      <c r="J63" s="67">
        <f t="shared" ref="J63:J126" si="6">IF(H63=0,+G63-E63,0)</f>
        <v>0</v>
      </c>
      <c r="K63" s="67">
        <f t="shared" ref="K63:K126" si="7">+(J63*0.5)*D63</f>
        <v>0</v>
      </c>
      <c r="L63" s="100">
        <f t="shared" ref="L63:L126" si="8">+I63+K63</f>
        <v>0</v>
      </c>
      <c r="M63" s="68"/>
      <c r="N63" s="100">
        <f t="shared" ref="N63:N126" si="9">IF(H63=0,IF(L63&gt;G63,L63,G63),L63)</f>
        <v>0</v>
      </c>
      <c r="O63" s="14"/>
    </row>
    <row r="64" spans="1:15" x14ac:dyDescent="0.2">
      <c r="A64" s="66"/>
      <c r="B64" s="66"/>
      <c r="C64" s="66"/>
      <c r="D64" s="75"/>
      <c r="E64" s="77"/>
      <c r="F64" s="67"/>
      <c r="G64" s="77"/>
      <c r="H64" s="79"/>
      <c r="I64" s="67">
        <f t="shared" si="5"/>
        <v>0</v>
      </c>
      <c r="J64" s="67">
        <f t="shared" si="6"/>
        <v>0</v>
      </c>
      <c r="K64" s="67">
        <f t="shared" si="7"/>
        <v>0</v>
      </c>
      <c r="L64" s="100">
        <f t="shared" si="8"/>
        <v>0</v>
      </c>
      <c r="M64" s="68"/>
      <c r="N64" s="100">
        <f t="shared" si="9"/>
        <v>0</v>
      </c>
      <c r="O64" s="14"/>
    </row>
    <row r="65" spans="1:15" x14ac:dyDescent="0.2">
      <c r="A65" s="66"/>
      <c r="B65" s="66"/>
      <c r="C65" s="66"/>
      <c r="D65" s="75"/>
      <c r="E65" s="77"/>
      <c r="F65" s="67"/>
      <c r="G65" s="77"/>
      <c r="H65" s="79"/>
      <c r="I65" s="67">
        <f t="shared" si="5"/>
        <v>0</v>
      </c>
      <c r="J65" s="67">
        <f t="shared" si="6"/>
        <v>0</v>
      </c>
      <c r="K65" s="67">
        <f t="shared" si="7"/>
        <v>0</v>
      </c>
      <c r="L65" s="100">
        <f t="shared" si="8"/>
        <v>0</v>
      </c>
      <c r="M65" s="68"/>
      <c r="N65" s="100">
        <f t="shared" si="9"/>
        <v>0</v>
      </c>
      <c r="O65" s="14"/>
    </row>
    <row r="66" spans="1:15" x14ac:dyDescent="0.2">
      <c r="A66" s="66"/>
      <c r="B66" s="66"/>
      <c r="C66" s="66"/>
      <c r="D66" s="75"/>
      <c r="E66" s="77"/>
      <c r="F66" s="67"/>
      <c r="G66" s="77"/>
      <c r="H66" s="79"/>
      <c r="I66" s="67">
        <f t="shared" si="5"/>
        <v>0</v>
      </c>
      <c r="J66" s="67">
        <f t="shared" si="6"/>
        <v>0</v>
      </c>
      <c r="K66" s="67">
        <f t="shared" si="7"/>
        <v>0</v>
      </c>
      <c r="L66" s="100">
        <f t="shared" si="8"/>
        <v>0</v>
      </c>
      <c r="M66" s="68"/>
      <c r="N66" s="100">
        <f t="shared" si="9"/>
        <v>0</v>
      </c>
      <c r="O66" s="14"/>
    </row>
    <row r="67" spans="1:15" x14ac:dyDescent="0.2">
      <c r="A67" s="66"/>
      <c r="B67" s="66"/>
      <c r="C67" s="66"/>
      <c r="D67" s="75"/>
      <c r="E67" s="77"/>
      <c r="F67" s="67"/>
      <c r="G67" s="77"/>
      <c r="H67" s="79"/>
      <c r="I67" s="67">
        <f t="shared" si="5"/>
        <v>0</v>
      </c>
      <c r="J67" s="67">
        <f t="shared" si="6"/>
        <v>0</v>
      </c>
      <c r="K67" s="67">
        <f t="shared" si="7"/>
        <v>0</v>
      </c>
      <c r="L67" s="100">
        <f t="shared" si="8"/>
        <v>0</v>
      </c>
      <c r="M67" s="68"/>
      <c r="N67" s="100">
        <f t="shared" si="9"/>
        <v>0</v>
      </c>
      <c r="O67" s="14"/>
    </row>
    <row r="68" spans="1:15" x14ac:dyDescent="0.2">
      <c r="A68" s="66"/>
      <c r="B68" s="66"/>
      <c r="C68" s="66"/>
      <c r="D68" s="75"/>
      <c r="E68" s="77"/>
      <c r="F68" s="67"/>
      <c r="G68" s="77"/>
      <c r="H68" s="79"/>
      <c r="I68" s="67">
        <f t="shared" si="5"/>
        <v>0</v>
      </c>
      <c r="J68" s="67">
        <f t="shared" si="6"/>
        <v>0</v>
      </c>
      <c r="K68" s="67">
        <f t="shared" si="7"/>
        <v>0</v>
      </c>
      <c r="L68" s="100">
        <f t="shared" si="8"/>
        <v>0</v>
      </c>
      <c r="M68" s="68"/>
      <c r="N68" s="100">
        <f t="shared" si="9"/>
        <v>0</v>
      </c>
      <c r="O68" s="14"/>
    </row>
    <row r="69" spans="1:15" x14ac:dyDescent="0.2">
      <c r="A69" s="66"/>
      <c r="B69" s="66"/>
      <c r="C69" s="66"/>
      <c r="D69" s="75"/>
      <c r="E69" s="77"/>
      <c r="F69" s="67"/>
      <c r="G69" s="77"/>
      <c r="H69" s="79"/>
      <c r="I69" s="67">
        <f t="shared" si="5"/>
        <v>0</v>
      </c>
      <c r="J69" s="67">
        <f t="shared" si="6"/>
        <v>0</v>
      </c>
      <c r="K69" s="67">
        <f t="shared" si="7"/>
        <v>0</v>
      </c>
      <c r="L69" s="100">
        <f t="shared" si="8"/>
        <v>0</v>
      </c>
      <c r="M69" s="68"/>
      <c r="N69" s="100">
        <f t="shared" si="9"/>
        <v>0</v>
      </c>
      <c r="O69" s="14"/>
    </row>
    <row r="70" spans="1:15" x14ac:dyDescent="0.2">
      <c r="A70" s="66"/>
      <c r="B70" s="66"/>
      <c r="C70" s="66"/>
      <c r="D70" s="75"/>
      <c r="E70" s="77"/>
      <c r="F70" s="67"/>
      <c r="G70" s="77"/>
      <c r="H70" s="79"/>
      <c r="I70" s="67">
        <f t="shared" si="5"/>
        <v>0</v>
      </c>
      <c r="J70" s="67">
        <f t="shared" si="6"/>
        <v>0</v>
      </c>
      <c r="K70" s="67">
        <f t="shared" si="7"/>
        <v>0</v>
      </c>
      <c r="L70" s="100">
        <f t="shared" si="8"/>
        <v>0</v>
      </c>
      <c r="M70" s="68"/>
      <c r="N70" s="100">
        <f t="shared" si="9"/>
        <v>0</v>
      </c>
      <c r="O70" s="14"/>
    </row>
    <row r="71" spans="1:15" x14ac:dyDescent="0.2">
      <c r="A71" s="66"/>
      <c r="B71" s="66"/>
      <c r="C71" s="66"/>
      <c r="D71" s="75"/>
      <c r="E71" s="77"/>
      <c r="F71" s="67"/>
      <c r="G71" s="77"/>
      <c r="H71" s="79"/>
      <c r="I71" s="67">
        <f t="shared" si="5"/>
        <v>0</v>
      </c>
      <c r="J71" s="67">
        <f t="shared" si="6"/>
        <v>0</v>
      </c>
      <c r="K71" s="67">
        <f t="shared" si="7"/>
        <v>0</v>
      </c>
      <c r="L71" s="100">
        <f t="shared" si="8"/>
        <v>0</v>
      </c>
      <c r="M71" s="68"/>
      <c r="N71" s="100">
        <f t="shared" si="9"/>
        <v>0</v>
      </c>
      <c r="O71" s="14"/>
    </row>
    <row r="72" spans="1:15" x14ac:dyDescent="0.2">
      <c r="A72" s="66"/>
      <c r="B72" s="66"/>
      <c r="C72" s="66"/>
      <c r="D72" s="75"/>
      <c r="E72" s="77"/>
      <c r="F72" s="67"/>
      <c r="G72" s="77"/>
      <c r="H72" s="79"/>
      <c r="I72" s="67">
        <f t="shared" si="5"/>
        <v>0</v>
      </c>
      <c r="J72" s="67">
        <f t="shared" si="6"/>
        <v>0</v>
      </c>
      <c r="K72" s="67">
        <f t="shared" si="7"/>
        <v>0</v>
      </c>
      <c r="L72" s="100">
        <f t="shared" si="8"/>
        <v>0</v>
      </c>
      <c r="M72" s="68"/>
      <c r="N72" s="100">
        <f t="shared" si="9"/>
        <v>0</v>
      </c>
      <c r="O72" s="14"/>
    </row>
    <row r="73" spans="1:15" x14ac:dyDescent="0.2">
      <c r="A73" s="66"/>
      <c r="B73" s="66"/>
      <c r="C73" s="66"/>
      <c r="D73" s="75"/>
      <c r="E73" s="77"/>
      <c r="F73" s="67"/>
      <c r="G73" s="77"/>
      <c r="H73" s="79"/>
      <c r="I73" s="67">
        <f t="shared" si="5"/>
        <v>0</v>
      </c>
      <c r="J73" s="67">
        <f t="shared" si="6"/>
        <v>0</v>
      </c>
      <c r="K73" s="67">
        <f t="shared" si="7"/>
        <v>0</v>
      </c>
      <c r="L73" s="100">
        <f t="shared" si="8"/>
        <v>0</v>
      </c>
      <c r="M73" s="68"/>
      <c r="N73" s="100">
        <f t="shared" si="9"/>
        <v>0</v>
      </c>
      <c r="O73" s="14"/>
    </row>
    <row r="74" spans="1:15" x14ac:dyDescent="0.2">
      <c r="A74" s="66"/>
      <c r="B74" s="66"/>
      <c r="C74" s="66"/>
      <c r="D74" s="75"/>
      <c r="E74" s="77"/>
      <c r="F74" s="67"/>
      <c r="G74" s="77"/>
      <c r="H74" s="79"/>
      <c r="I74" s="67">
        <f t="shared" si="5"/>
        <v>0</v>
      </c>
      <c r="J74" s="67">
        <f t="shared" si="6"/>
        <v>0</v>
      </c>
      <c r="K74" s="67">
        <f t="shared" si="7"/>
        <v>0</v>
      </c>
      <c r="L74" s="100">
        <f t="shared" si="8"/>
        <v>0</v>
      </c>
      <c r="M74" s="68"/>
      <c r="N74" s="100">
        <f t="shared" si="9"/>
        <v>0</v>
      </c>
      <c r="O74" s="14"/>
    </row>
    <row r="75" spans="1:15" x14ac:dyDescent="0.2">
      <c r="A75" s="66"/>
      <c r="B75" s="66"/>
      <c r="C75" s="66"/>
      <c r="D75" s="75"/>
      <c r="E75" s="77"/>
      <c r="F75" s="67"/>
      <c r="G75" s="77"/>
      <c r="H75" s="79"/>
      <c r="I75" s="67">
        <f t="shared" si="5"/>
        <v>0</v>
      </c>
      <c r="J75" s="67">
        <f t="shared" si="6"/>
        <v>0</v>
      </c>
      <c r="K75" s="67">
        <f t="shared" si="7"/>
        <v>0</v>
      </c>
      <c r="L75" s="100">
        <f t="shared" si="8"/>
        <v>0</v>
      </c>
      <c r="M75" s="68"/>
      <c r="N75" s="100">
        <f t="shared" si="9"/>
        <v>0</v>
      </c>
      <c r="O75" s="14"/>
    </row>
    <row r="76" spans="1:15" x14ac:dyDescent="0.2">
      <c r="A76" s="66"/>
      <c r="B76" s="66"/>
      <c r="C76" s="66"/>
      <c r="D76" s="75"/>
      <c r="E76" s="77"/>
      <c r="F76" s="67"/>
      <c r="G76" s="77"/>
      <c r="H76" s="79"/>
      <c r="I76" s="67">
        <f t="shared" si="5"/>
        <v>0</v>
      </c>
      <c r="J76" s="67">
        <f t="shared" si="6"/>
        <v>0</v>
      </c>
      <c r="K76" s="67">
        <f t="shared" si="7"/>
        <v>0</v>
      </c>
      <c r="L76" s="100">
        <f t="shared" si="8"/>
        <v>0</v>
      </c>
      <c r="M76" s="68"/>
      <c r="N76" s="100">
        <f t="shared" si="9"/>
        <v>0</v>
      </c>
      <c r="O76" s="14"/>
    </row>
    <row r="77" spans="1:15" x14ac:dyDescent="0.2">
      <c r="A77" s="66"/>
      <c r="B77" s="66"/>
      <c r="C77" s="66"/>
      <c r="D77" s="75"/>
      <c r="E77" s="77"/>
      <c r="F77" s="67"/>
      <c r="G77" s="77"/>
      <c r="H77" s="79"/>
      <c r="I77" s="67">
        <f t="shared" si="5"/>
        <v>0</v>
      </c>
      <c r="J77" s="67">
        <f t="shared" si="6"/>
        <v>0</v>
      </c>
      <c r="K77" s="67">
        <f t="shared" si="7"/>
        <v>0</v>
      </c>
      <c r="L77" s="100">
        <f t="shared" si="8"/>
        <v>0</v>
      </c>
      <c r="M77" s="68"/>
      <c r="N77" s="100">
        <f t="shared" si="9"/>
        <v>0</v>
      </c>
      <c r="O77" s="14"/>
    </row>
    <row r="78" spans="1:15" x14ac:dyDescent="0.2">
      <c r="A78" s="66"/>
      <c r="B78" s="66"/>
      <c r="C78" s="66"/>
      <c r="D78" s="75"/>
      <c r="E78" s="77"/>
      <c r="F78" s="67"/>
      <c r="G78" s="77"/>
      <c r="H78" s="79"/>
      <c r="I78" s="67">
        <f t="shared" si="5"/>
        <v>0</v>
      </c>
      <c r="J78" s="67">
        <f t="shared" si="6"/>
        <v>0</v>
      </c>
      <c r="K78" s="67">
        <f t="shared" si="7"/>
        <v>0</v>
      </c>
      <c r="L78" s="100">
        <f t="shared" si="8"/>
        <v>0</v>
      </c>
      <c r="M78" s="68"/>
      <c r="N78" s="100">
        <f t="shared" si="9"/>
        <v>0</v>
      </c>
      <c r="O78" s="14"/>
    </row>
    <row r="79" spans="1:15" x14ac:dyDescent="0.2">
      <c r="A79" s="66"/>
      <c r="B79" s="66"/>
      <c r="C79" s="66"/>
      <c r="D79" s="75"/>
      <c r="E79" s="77"/>
      <c r="F79" s="67"/>
      <c r="G79" s="77"/>
      <c r="H79" s="79"/>
      <c r="I79" s="67">
        <f t="shared" si="5"/>
        <v>0</v>
      </c>
      <c r="J79" s="67">
        <f t="shared" si="6"/>
        <v>0</v>
      </c>
      <c r="K79" s="67">
        <f t="shared" si="7"/>
        <v>0</v>
      </c>
      <c r="L79" s="100">
        <f t="shared" si="8"/>
        <v>0</v>
      </c>
      <c r="M79" s="68"/>
      <c r="N79" s="100">
        <f t="shared" si="9"/>
        <v>0</v>
      </c>
      <c r="O79" s="14"/>
    </row>
    <row r="80" spans="1:15" x14ac:dyDescent="0.2">
      <c r="A80" s="66"/>
      <c r="B80" s="66"/>
      <c r="C80" s="66"/>
      <c r="D80" s="75"/>
      <c r="E80" s="77"/>
      <c r="F80" s="67"/>
      <c r="G80" s="77"/>
      <c r="H80" s="79"/>
      <c r="I80" s="67">
        <f t="shared" si="5"/>
        <v>0</v>
      </c>
      <c r="J80" s="67">
        <f t="shared" si="6"/>
        <v>0</v>
      </c>
      <c r="K80" s="67">
        <f t="shared" si="7"/>
        <v>0</v>
      </c>
      <c r="L80" s="100">
        <f t="shared" si="8"/>
        <v>0</v>
      </c>
      <c r="M80" s="68"/>
      <c r="N80" s="100">
        <f t="shared" si="9"/>
        <v>0</v>
      </c>
      <c r="O80" s="14"/>
    </row>
    <row r="81" spans="1:15" x14ac:dyDescent="0.2">
      <c r="A81" s="66"/>
      <c r="B81" s="66"/>
      <c r="C81" s="66"/>
      <c r="D81" s="75"/>
      <c r="E81" s="77"/>
      <c r="F81" s="67"/>
      <c r="G81" s="77"/>
      <c r="H81" s="79"/>
      <c r="I81" s="67">
        <f t="shared" si="5"/>
        <v>0</v>
      </c>
      <c r="J81" s="67">
        <f t="shared" si="6"/>
        <v>0</v>
      </c>
      <c r="K81" s="67">
        <f t="shared" si="7"/>
        <v>0</v>
      </c>
      <c r="L81" s="100">
        <f t="shared" si="8"/>
        <v>0</v>
      </c>
      <c r="M81" s="68"/>
      <c r="N81" s="100">
        <f t="shared" si="9"/>
        <v>0</v>
      </c>
      <c r="O81" s="14"/>
    </row>
    <row r="82" spans="1:15" x14ac:dyDescent="0.2">
      <c r="A82" s="66"/>
      <c r="B82" s="66"/>
      <c r="C82" s="66"/>
      <c r="D82" s="75"/>
      <c r="E82" s="77"/>
      <c r="F82" s="67"/>
      <c r="G82" s="77"/>
      <c r="H82" s="79"/>
      <c r="I82" s="67">
        <f t="shared" si="5"/>
        <v>0</v>
      </c>
      <c r="J82" s="67">
        <f t="shared" si="6"/>
        <v>0</v>
      </c>
      <c r="K82" s="67">
        <f t="shared" si="7"/>
        <v>0</v>
      </c>
      <c r="L82" s="100">
        <f t="shared" si="8"/>
        <v>0</v>
      </c>
      <c r="M82" s="68"/>
      <c r="N82" s="100">
        <f t="shared" si="9"/>
        <v>0</v>
      </c>
      <c r="O82" s="14"/>
    </row>
    <row r="83" spans="1:15" x14ac:dyDescent="0.2">
      <c r="A83" s="66"/>
      <c r="B83" s="66"/>
      <c r="C83" s="66"/>
      <c r="D83" s="75"/>
      <c r="E83" s="77"/>
      <c r="F83" s="67"/>
      <c r="G83" s="77"/>
      <c r="H83" s="79"/>
      <c r="I83" s="67">
        <f t="shared" si="5"/>
        <v>0</v>
      </c>
      <c r="J83" s="67">
        <f t="shared" si="6"/>
        <v>0</v>
      </c>
      <c r="K83" s="67">
        <f t="shared" si="7"/>
        <v>0</v>
      </c>
      <c r="L83" s="100">
        <f t="shared" si="8"/>
        <v>0</v>
      </c>
      <c r="M83" s="68"/>
      <c r="N83" s="100">
        <f t="shared" si="9"/>
        <v>0</v>
      </c>
      <c r="O83" s="14"/>
    </row>
    <row r="84" spans="1:15" x14ac:dyDescent="0.2">
      <c r="A84" s="66"/>
      <c r="B84" s="66"/>
      <c r="C84" s="66"/>
      <c r="D84" s="75"/>
      <c r="E84" s="77"/>
      <c r="F84" s="67"/>
      <c r="G84" s="77"/>
      <c r="H84" s="79"/>
      <c r="I84" s="67">
        <f t="shared" si="5"/>
        <v>0</v>
      </c>
      <c r="J84" s="67">
        <f t="shared" si="6"/>
        <v>0</v>
      </c>
      <c r="K84" s="67">
        <f t="shared" si="7"/>
        <v>0</v>
      </c>
      <c r="L84" s="100">
        <f t="shared" si="8"/>
        <v>0</v>
      </c>
      <c r="M84" s="68"/>
      <c r="N84" s="100">
        <f t="shared" si="9"/>
        <v>0</v>
      </c>
      <c r="O84" s="14"/>
    </row>
    <row r="85" spans="1:15" x14ac:dyDescent="0.2">
      <c r="A85" s="66"/>
      <c r="B85" s="66"/>
      <c r="C85" s="66"/>
      <c r="D85" s="75"/>
      <c r="E85" s="77"/>
      <c r="F85" s="67"/>
      <c r="G85" s="77"/>
      <c r="H85" s="79"/>
      <c r="I85" s="67">
        <f t="shared" si="5"/>
        <v>0</v>
      </c>
      <c r="J85" s="67">
        <f t="shared" si="6"/>
        <v>0</v>
      </c>
      <c r="K85" s="67">
        <f t="shared" si="7"/>
        <v>0</v>
      </c>
      <c r="L85" s="100">
        <f t="shared" si="8"/>
        <v>0</v>
      </c>
      <c r="M85" s="68"/>
      <c r="N85" s="100">
        <f t="shared" si="9"/>
        <v>0</v>
      </c>
      <c r="O85" s="14"/>
    </row>
    <row r="86" spans="1:15" x14ac:dyDescent="0.2">
      <c r="A86" s="66"/>
      <c r="B86" s="66"/>
      <c r="C86" s="66"/>
      <c r="D86" s="75"/>
      <c r="E86" s="77"/>
      <c r="F86" s="67"/>
      <c r="G86" s="77"/>
      <c r="H86" s="79"/>
      <c r="I86" s="67">
        <f t="shared" si="5"/>
        <v>0</v>
      </c>
      <c r="J86" s="67">
        <f t="shared" si="6"/>
        <v>0</v>
      </c>
      <c r="K86" s="67">
        <f t="shared" si="7"/>
        <v>0</v>
      </c>
      <c r="L86" s="100">
        <f t="shared" si="8"/>
        <v>0</v>
      </c>
      <c r="M86" s="68"/>
      <c r="N86" s="100">
        <f t="shared" si="9"/>
        <v>0</v>
      </c>
      <c r="O86" s="14"/>
    </row>
    <row r="87" spans="1:15" x14ac:dyDescent="0.2">
      <c r="A87" s="66"/>
      <c r="B87" s="66"/>
      <c r="C87" s="66"/>
      <c r="D87" s="75"/>
      <c r="E87" s="77"/>
      <c r="F87" s="67"/>
      <c r="G87" s="77"/>
      <c r="H87" s="79"/>
      <c r="I87" s="67">
        <f t="shared" si="5"/>
        <v>0</v>
      </c>
      <c r="J87" s="67">
        <f t="shared" si="6"/>
        <v>0</v>
      </c>
      <c r="K87" s="67">
        <f t="shared" si="7"/>
        <v>0</v>
      </c>
      <c r="L87" s="100">
        <f t="shared" si="8"/>
        <v>0</v>
      </c>
      <c r="M87" s="68"/>
      <c r="N87" s="100">
        <f t="shared" si="9"/>
        <v>0</v>
      </c>
      <c r="O87" s="14"/>
    </row>
    <row r="88" spans="1:15" x14ac:dyDescent="0.2">
      <c r="A88" s="66"/>
      <c r="B88" s="66"/>
      <c r="C88" s="66"/>
      <c r="D88" s="75"/>
      <c r="E88" s="77"/>
      <c r="F88" s="67"/>
      <c r="G88" s="77"/>
      <c r="H88" s="79"/>
      <c r="I88" s="67">
        <f t="shared" si="5"/>
        <v>0</v>
      </c>
      <c r="J88" s="67">
        <f t="shared" si="6"/>
        <v>0</v>
      </c>
      <c r="K88" s="67">
        <f t="shared" si="7"/>
        <v>0</v>
      </c>
      <c r="L88" s="100">
        <f t="shared" si="8"/>
        <v>0</v>
      </c>
      <c r="M88" s="68"/>
      <c r="N88" s="100">
        <f t="shared" si="9"/>
        <v>0</v>
      </c>
      <c r="O88" s="14"/>
    </row>
    <row r="89" spans="1:15" x14ac:dyDescent="0.2">
      <c r="A89" s="66"/>
      <c r="B89" s="66"/>
      <c r="C89" s="66"/>
      <c r="D89" s="75"/>
      <c r="E89" s="77"/>
      <c r="F89" s="67"/>
      <c r="G89" s="77"/>
      <c r="H89" s="79"/>
      <c r="I89" s="67">
        <f t="shared" si="5"/>
        <v>0</v>
      </c>
      <c r="J89" s="67">
        <f t="shared" si="6"/>
        <v>0</v>
      </c>
      <c r="K89" s="67">
        <f t="shared" si="7"/>
        <v>0</v>
      </c>
      <c r="L89" s="100">
        <f t="shared" si="8"/>
        <v>0</v>
      </c>
      <c r="M89" s="68"/>
      <c r="N89" s="100">
        <f t="shared" si="9"/>
        <v>0</v>
      </c>
      <c r="O89" s="14"/>
    </row>
    <row r="90" spans="1:15" x14ac:dyDescent="0.2">
      <c r="A90" s="66"/>
      <c r="B90" s="66"/>
      <c r="C90" s="66"/>
      <c r="D90" s="75"/>
      <c r="E90" s="77"/>
      <c r="F90" s="67"/>
      <c r="G90" s="77"/>
      <c r="H90" s="79"/>
      <c r="I90" s="67">
        <f t="shared" si="5"/>
        <v>0</v>
      </c>
      <c r="J90" s="67">
        <f t="shared" si="6"/>
        <v>0</v>
      </c>
      <c r="K90" s="67">
        <f t="shared" si="7"/>
        <v>0</v>
      </c>
      <c r="L90" s="100">
        <f t="shared" si="8"/>
        <v>0</v>
      </c>
      <c r="M90" s="68"/>
      <c r="N90" s="100">
        <f t="shared" si="9"/>
        <v>0</v>
      </c>
      <c r="O90" s="14"/>
    </row>
    <row r="91" spans="1:15" x14ac:dyDescent="0.2">
      <c r="A91" s="66"/>
      <c r="B91" s="66"/>
      <c r="C91" s="66"/>
      <c r="D91" s="75"/>
      <c r="E91" s="77"/>
      <c r="F91" s="67"/>
      <c r="G91" s="77"/>
      <c r="H91" s="79"/>
      <c r="I91" s="67">
        <f t="shared" si="5"/>
        <v>0</v>
      </c>
      <c r="J91" s="67">
        <f t="shared" si="6"/>
        <v>0</v>
      </c>
      <c r="K91" s="67">
        <f t="shared" si="7"/>
        <v>0</v>
      </c>
      <c r="L91" s="100">
        <f t="shared" si="8"/>
        <v>0</v>
      </c>
      <c r="M91" s="68"/>
      <c r="N91" s="100">
        <f t="shared" si="9"/>
        <v>0</v>
      </c>
      <c r="O91" s="14"/>
    </row>
    <row r="92" spans="1:15" x14ac:dyDescent="0.2">
      <c r="A92" s="66"/>
      <c r="B92" s="66"/>
      <c r="C92" s="66"/>
      <c r="D92" s="75"/>
      <c r="E92" s="77"/>
      <c r="F92" s="67"/>
      <c r="G92" s="77"/>
      <c r="H92" s="79"/>
      <c r="I92" s="67">
        <f t="shared" si="5"/>
        <v>0</v>
      </c>
      <c r="J92" s="67">
        <f t="shared" si="6"/>
        <v>0</v>
      </c>
      <c r="K92" s="67">
        <f t="shared" si="7"/>
        <v>0</v>
      </c>
      <c r="L92" s="100">
        <f t="shared" si="8"/>
        <v>0</v>
      </c>
      <c r="M92" s="68"/>
      <c r="N92" s="100">
        <f t="shared" si="9"/>
        <v>0</v>
      </c>
      <c r="O92" s="14"/>
    </row>
    <row r="93" spans="1:15" x14ac:dyDescent="0.2">
      <c r="A93" s="66"/>
      <c r="B93" s="66"/>
      <c r="C93" s="66"/>
      <c r="D93" s="75"/>
      <c r="E93" s="77"/>
      <c r="F93" s="67"/>
      <c r="G93" s="77"/>
      <c r="H93" s="79"/>
      <c r="I93" s="67">
        <f t="shared" si="5"/>
        <v>0</v>
      </c>
      <c r="J93" s="67">
        <f t="shared" si="6"/>
        <v>0</v>
      </c>
      <c r="K93" s="67">
        <f t="shared" si="7"/>
        <v>0</v>
      </c>
      <c r="L93" s="100">
        <f t="shared" si="8"/>
        <v>0</v>
      </c>
      <c r="M93" s="68"/>
      <c r="N93" s="100">
        <f t="shared" si="9"/>
        <v>0</v>
      </c>
      <c r="O93" s="14"/>
    </row>
    <row r="94" spans="1:15" x14ac:dyDescent="0.2">
      <c r="A94" s="66"/>
      <c r="B94" s="66"/>
      <c r="C94" s="66"/>
      <c r="D94" s="75"/>
      <c r="E94" s="77"/>
      <c r="F94" s="67"/>
      <c r="G94" s="77"/>
      <c r="H94" s="79"/>
      <c r="I94" s="67">
        <f t="shared" si="5"/>
        <v>0</v>
      </c>
      <c r="J94" s="67">
        <f t="shared" si="6"/>
        <v>0</v>
      </c>
      <c r="K94" s="67">
        <f t="shared" si="7"/>
        <v>0</v>
      </c>
      <c r="L94" s="100">
        <f t="shared" si="8"/>
        <v>0</v>
      </c>
      <c r="M94" s="68"/>
      <c r="N94" s="100">
        <f t="shared" si="9"/>
        <v>0</v>
      </c>
      <c r="O94" s="14"/>
    </row>
    <row r="95" spans="1:15" x14ac:dyDescent="0.2">
      <c r="A95" s="66"/>
      <c r="B95" s="66"/>
      <c r="C95" s="66"/>
      <c r="D95" s="75"/>
      <c r="E95" s="77"/>
      <c r="F95" s="67"/>
      <c r="G95" s="77"/>
      <c r="H95" s="79"/>
      <c r="I95" s="67">
        <f t="shared" si="5"/>
        <v>0</v>
      </c>
      <c r="J95" s="67">
        <f t="shared" si="6"/>
        <v>0</v>
      </c>
      <c r="K95" s="67">
        <f t="shared" si="7"/>
        <v>0</v>
      </c>
      <c r="L95" s="100">
        <f t="shared" si="8"/>
        <v>0</v>
      </c>
      <c r="M95" s="68"/>
      <c r="N95" s="100">
        <f t="shared" si="9"/>
        <v>0</v>
      </c>
      <c r="O95" s="14"/>
    </row>
    <row r="96" spans="1:15" x14ac:dyDescent="0.2">
      <c r="A96" s="66"/>
      <c r="B96" s="66"/>
      <c r="C96" s="66"/>
      <c r="D96" s="75"/>
      <c r="E96" s="77"/>
      <c r="F96" s="67"/>
      <c r="G96" s="77"/>
      <c r="H96" s="79"/>
      <c r="I96" s="67">
        <f t="shared" si="5"/>
        <v>0</v>
      </c>
      <c r="J96" s="67">
        <f t="shared" si="6"/>
        <v>0</v>
      </c>
      <c r="K96" s="67">
        <f t="shared" si="7"/>
        <v>0</v>
      </c>
      <c r="L96" s="100">
        <f t="shared" si="8"/>
        <v>0</v>
      </c>
      <c r="M96" s="68"/>
      <c r="N96" s="100">
        <f t="shared" si="9"/>
        <v>0</v>
      </c>
      <c r="O96" s="14"/>
    </row>
    <row r="97" spans="1:15" x14ac:dyDescent="0.2">
      <c r="A97" s="66"/>
      <c r="B97" s="66"/>
      <c r="C97" s="66"/>
      <c r="D97" s="75"/>
      <c r="E97" s="77"/>
      <c r="F97" s="67"/>
      <c r="G97" s="77"/>
      <c r="H97" s="79"/>
      <c r="I97" s="67">
        <f t="shared" si="5"/>
        <v>0</v>
      </c>
      <c r="J97" s="67">
        <f t="shared" si="6"/>
        <v>0</v>
      </c>
      <c r="K97" s="67">
        <f t="shared" si="7"/>
        <v>0</v>
      </c>
      <c r="L97" s="100">
        <f t="shared" si="8"/>
        <v>0</v>
      </c>
      <c r="M97" s="68"/>
      <c r="N97" s="100">
        <f t="shared" si="9"/>
        <v>0</v>
      </c>
      <c r="O97" s="14"/>
    </row>
    <row r="98" spans="1:15" x14ac:dyDescent="0.2">
      <c r="A98" s="66"/>
      <c r="B98" s="66"/>
      <c r="C98" s="66"/>
      <c r="D98" s="75"/>
      <c r="E98" s="77"/>
      <c r="F98" s="67"/>
      <c r="G98" s="77"/>
      <c r="H98" s="79"/>
      <c r="I98" s="67">
        <f t="shared" si="5"/>
        <v>0</v>
      </c>
      <c r="J98" s="67">
        <f t="shared" si="6"/>
        <v>0</v>
      </c>
      <c r="K98" s="67">
        <f t="shared" si="7"/>
        <v>0</v>
      </c>
      <c r="L98" s="100">
        <f t="shared" si="8"/>
        <v>0</v>
      </c>
      <c r="M98" s="68"/>
      <c r="N98" s="100">
        <f t="shared" si="9"/>
        <v>0</v>
      </c>
      <c r="O98" s="14"/>
    </row>
    <row r="99" spans="1:15" x14ac:dyDescent="0.2">
      <c r="A99" s="66"/>
      <c r="B99" s="66"/>
      <c r="C99" s="66"/>
      <c r="D99" s="75"/>
      <c r="E99" s="77"/>
      <c r="F99" s="67"/>
      <c r="G99" s="77"/>
      <c r="H99" s="79"/>
      <c r="I99" s="67">
        <f t="shared" si="5"/>
        <v>0</v>
      </c>
      <c r="J99" s="67">
        <f t="shared" si="6"/>
        <v>0</v>
      </c>
      <c r="K99" s="67">
        <f t="shared" si="7"/>
        <v>0</v>
      </c>
      <c r="L99" s="100">
        <f t="shared" si="8"/>
        <v>0</v>
      </c>
      <c r="M99" s="68"/>
      <c r="N99" s="100">
        <f t="shared" si="9"/>
        <v>0</v>
      </c>
      <c r="O99" s="14"/>
    </row>
    <row r="100" spans="1:15" x14ac:dyDescent="0.2">
      <c r="A100" s="66"/>
      <c r="B100" s="66"/>
      <c r="C100" s="66"/>
      <c r="D100" s="75"/>
      <c r="E100" s="77"/>
      <c r="F100" s="67"/>
      <c r="G100" s="77"/>
      <c r="H100" s="79"/>
      <c r="I100" s="67">
        <f t="shared" si="5"/>
        <v>0</v>
      </c>
      <c r="J100" s="67">
        <f t="shared" si="6"/>
        <v>0</v>
      </c>
      <c r="K100" s="67">
        <f t="shared" si="7"/>
        <v>0</v>
      </c>
      <c r="L100" s="100">
        <f t="shared" si="8"/>
        <v>0</v>
      </c>
      <c r="M100" s="68"/>
      <c r="N100" s="100">
        <f t="shared" si="9"/>
        <v>0</v>
      </c>
      <c r="O100" s="14"/>
    </row>
    <row r="101" spans="1:15" x14ac:dyDescent="0.2">
      <c r="A101" s="66"/>
      <c r="B101" s="66"/>
      <c r="C101" s="66"/>
      <c r="D101" s="75"/>
      <c r="E101" s="77"/>
      <c r="F101" s="67"/>
      <c r="G101" s="77"/>
      <c r="H101" s="79"/>
      <c r="I101" s="67">
        <f t="shared" si="5"/>
        <v>0</v>
      </c>
      <c r="J101" s="67">
        <f t="shared" si="6"/>
        <v>0</v>
      </c>
      <c r="K101" s="67">
        <f t="shared" si="7"/>
        <v>0</v>
      </c>
      <c r="L101" s="100">
        <f t="shared" si="8"/>
        <v>0</v>
      </c>
      <c r="M101" s="68"/>
      <c r="N101" s="100">
        <f t="shared" si="9"/>
        <v>0</v>
      </c>
      <c r="O101" s="14"/>
    </row>
    <row r="102" spans="1:15" x14ac:dyDescent="0.2">
      <c r="A102" s="66"/>
      <c r="B102" s="66"/>
      <c r="C102" s="66"/>
      <c r="D102" s="75"/>
      <c r="E102" s="77"/>
      <c r="F102" s="67"/>
      <c r="G102" s="77"/>
      <c r="H102" s="79"/>
      <c r="I102" s="67">
        <f t="shared" si="5"/>
        <v>0</v>
      </c>
      <c r="J102" s="67">
        <f t="shared" si="6"/>
        <v>0</v>
      </c>
      <c r="K102" s="67">
        <f t="shared" si="7"/>
        <v>0</v>
      </c>
      <c r="L102" s="100">
        <f t="shared" si="8"/>
        <v>0</v>
      </c>
      <c r="M102" s="68"/>
      <c r="N102" s="100">
        <f t="shared" si="9"/>
        <v>0</v>
      </c>
      <c r="O102" s="14"/>
    </row>
    <row r="103" spans="1:15" x14ac:dyDescent="0.2">
      <c r="A103" s="66"/>
      <c r="B103" s="66"/>
      <c r="C103" s="66"/>
      <c r="D103" s="75"/>
      <c r="E103" s="77"/>
      <c r="F103" s="67"/>
      <c r="G103" s="77"/>
      <c r="H103" s="79"/>
      <c r="I103" s="67">
        <f t="shared" si="5"/>
        <v>0</v>
      </c>
      <c r="J103" s="67">
        <f t="shared" si="6"/>
        <v>0</v>
      </c>
      <c r="K103" s="67">
        <f t="shared" si="7"/>
        <v>0</v>
      </c>
      <c r="L103" s="100">
        <f t="shared" si="8"/>
        <v>0</v>
      </c>
      <c r="M103" s="68"/>
      <c r="N103" s="100">
        <f t="shared" si="9"/>
        <v>0</v>
      </c>
      <c r="O103" s="14"/>
    </row>
    <row r="104" spans="1:15" x14ac:dyDescent="0.2">
      <c r="A104" s="66"/>
      <c r="B104" s="66"/>
      <c r="C104" s="66"/>
      <c r="D104" s="75"/>
      <c r="E104" s="77"/>
      <c r="F104" s="67"/>
      <c r="G104" s="77"/>
      <c r="H104" s="79"/>
      <c r="I104" s="67">
        <f t="shared" si="5"/>
        <v>0</v>
      </c>
      <c r="J104" s="67">
        <f t="shared" si="6"/>
        <v>0</v>
      </c>
      <c r="K104" s="67">
        <f t="shared" si="7"/>
        <v>0</v>
      </c>
      <c r="L104" s="100">
        <f t="shared" si="8"/>
        <v>0</v>
      </c>
      <c r="M104" s="68"/>
      <c r="N104" s="100">
        <f t="shared" si="9"/>
        <v>0</v>
      </c>
      <c r="O104" s="14"/>
    </row>
    <row r="105" spans="1:15" x14ac:dyDescent="0.2">
      <c r="A105" s="66"/>
      <c r="B105" s="66"/>
      <c r="C105" s="66"/>
      <c r="D105" s="75"/>
      <c r="E105" s="77"/>
      <c r="F105" s="67"/>
      <c r="G105" s="77"/>
      <c r="H105" s="79"/>
      <c r="I105" s="67">
        <f t="shared" si="5"/>
        <v>0</v>
      </c>
      <c r="J105" s="67">
        <f t="shared" si="6"/>
        <v>0</v>
      </c>
      <c r="K105" s="67">
        <f t="shared" si="7"/>
        <v>0</v>
      </c>
      <c r="L105" s="100">
        <f t="shared" si="8"/>
        <v>0</v>
      </c>
      <c r="M105" s="68"/>
      <c r="N105" s="100">
        <f t="shared" si="9"/>
        <v>0</v>
      </c>
      <c r="O105" s="14"/>
    </row>
    <row r="106" spans="1:15" x14ac:dyDescent="0.2">
      <c r="A106" s="66"/>
      <c r="B106" s="66"/>
      <c r="C106" s="66"/>
      <c r="D106" s="75"/>
      <c r="E106" s="77"/>
      <c r="F106" s="67"/>
      <c r="G106" s="77"/>
      <c r="H106" s="79"/>
      <c r="I106" s="67">
        <f t="shared" si="5"/>
        <v>0</v>
      </c>
      <c r="J106" s="67">
        <f t="shared" si="6"/>
        <v>0</v>
      </c>
      <c r="K106" s="67">
        <f t="shared" si="7"/>
        <v>0</v>
      </c>
      <c r="L106" s="100">
        <f t="shared" si="8"/>
        <v>0</v>
      </c>
      <c r="M106" s="68"/>
      <c r="N106" s="100">
        <f t="shared" si="9"/>
        <v>0</v>
      </c>
      <c r="O106" s="14"/>
    </row>
    <row r="107" spans="1:15" x14ac:dyDescent="0.2">
      <c r="A107" s="66"/>
      <c r="B107" s="66"/>
      <c r="C107" s="66"/>
      <c r="D107" s="75"/>
      <c r="E107" s="77"/>
      <c r="F107" s="67"/>
      <c r="G107" s="77"/>
      <c r="H107" s="79"/>
      <c r="I107" s="67">
        <f t="shared" si="5"/>
        <v>0</v>
      </c>
      <c r="J107" s="67">
        <f t="shared" si="6"/>
        <v>0</v>
      </c>
      <c r="K107" s="67">
        <f t="shared" si="7"/>
        <v>0</v>
      </c>
      <c r="L107" s="100">
        <f t="shared" si="8"/>
        <v>0</v>
      </c>
      <c r="M107" s="68"/>
      <c r="N107" s="100">
        <f t="shared" si="9"/>
        <v>0</v>
      </c>
      <c r="O107" s="14"/>
    </row>
    <row r="108" spans="1:15" x14ac:dyDescent="0.2">
      <c r="A108" s="66"/>
      <c r="B108" s="66"/>
      <c r="C108" s="66"/>
      <c r="D108" s="75"/>
      <c r="E108" s="77"/>
      <c r="F108" s="67"/>
      <c r="G108" s="77"/>
      <c r="H108" s="79"/>
      <c r="I108" s="67">
        <f t="shared" si="5"/>
        <v>0</v>
      </c>
      <c r="J108" s="67">
        <f t="shared" si="6"/>
        <v>0</v>
      </c>
      <c r="K108" s="67">
        <f t="shared" si="7"/>
        <v>0</v>
      </c>
      <c r="L108" s="100">
        <f t="shared" si="8"/>
        <v>0</v>
      </c>
      <c r="M108" s="68"/>
      <c r="N108" s="100">
        <f t="shared" si="9"/>
        <v>0</v>
      </c>
      <c r="O108" s="14"/>
    </row>
    <row r="109" spans="1:15" x14ac:dyDescent="0.2">
      <c r="A109" s="66"/>
      <c r="B109" s="66"/>
      <c r="C109" s="66"/>
      <c r="D109" s="75"/>
      <c r="E109" s="77"/>
      <c r="F109" s="67"/>
      <c r="G109" s="77"/>
      <c r="H109" s="79"/>
      <c r="I109" s="67">
        <f t="shared" si="5"/>
        <v>0</v>
      </c>
      <c r="J109" s="67">
        <f t="shared" si="6"/>
        <v>0</v>
      </c>
      <c r="K109" s="67">
        <f t="shared" si="7"/>
        <v>0</v>
      </c>
      <c r="L109" s="100">
        <f t="shared" si="8"/>
        <v>0</v>
      </c>
      <c r="M109" s="68"/>
      <c r="N109" s="100">
        <f t="shared" si="9"/>
        <v>0</v>
      </c>
      <c r="O109" s="14"/>
    </row>
    <row r="110" spans="1:15" x14ac:dyDescent="0.2">
      <c r="A110" s="66"/>
      <c r="B110" s="66"/>
      <c r="C110" s="66"/>
      <c r="D110" s="75"/>
      <c r="E110" s="77"/>
      <c r="F110" s="67"/>
      <c r="G110" s="77"/>
      <c r="H110" s="79"/>
      <c r="I110" s="67">
        <f t="shared" si="5"/>
        <v>0</v>
      </c>
      <c r="J110" s="67">
        <f t="shared" si="6"/>
        <v>0</v>
      </c>
      <c r="K110" s="67">
        <f t="shared" si="7"/>
        <v>0</v>
      </c>
      <c r="L110" s="100">
        <f t="shared" si="8"/>
        <v>0</v>
      </c>
      <c r="M110" s="68"/>
      <c r="N110" s="100">
        <f t="shared" si="9"/>
        <v>0</v>
      </c>
      <c r="O110" s="14"/>
    </row>
    <row r="111" spans="1:15" x14ac:dyDescent="0.2">
      <c r="A111" s="66"/>
      <c r="B111" s="66"/>
      <c r="C111" s="66"/>
      <c r="D111" s="75"/>
      <c r="E111" s="77"/>
      <c r="F111" s="67"/>
      <c r="G111" s="77"/>
      <c r="H111" s="79"/>
      <c r="I111" s="67">
        <f t="shared" si="5"/>
        <v>0</v>
      </c>
      <c r="J111" s="67">
        <f t="shared" si="6"/>
        <v>0</v>
      </c>
      <c r="K111" s="67">
        <f t="shared" si="7"/>
        <v>0</v>
      </c>
      <c r="L111" s="100">
        <f t="shared" si="8"/>
        <v>0</v>
      </c>
      <c r="M111" s="68"/>
      <c r="N111" s="100">
        <f t="shared" si="9"/>
        <v>0</v>
      </c>
      <c r="O111" s="14"/>
    </row>
    <row r="112" spans="1:15" x14ac:dyDescent="0.2">
      <c r="A112" s="66"/>
      <c r="B112" s="66"/>
      <c r="C112" s="66"/>
      <c r="D112" s="75"/>
      <c r="E112" s="77"/>
      <c r="F112" s="67"/>
      <c r="G112" s="77"/>
      <c r="H112" s="79"/>
      <c r="I112" s="67">
        <f t="shared" si="5"/>
        <v>0</v>
      </c>
      <c r="J112" s="67">
        <f t="shared" si="6"/>
        <v>0</v>
      </c>
      <c r="K112" s="67">
        <f t="shared" si="7"/>
        <v>0</v>
      </c>
      <c r="L112" s="100">
        <f t="shared" si="8"/>
        <v>0</v>
      </c>
      <c r="M112" s="68"/>
      <c r="N112" s="100">
        <f t="shared" si="9"/>
        <v>0</v>
      </c>
      <c r="O112" s="14"/>
    </row>
    <row r="113" spans="1:15" x14ac:dyDescent="0.2">
      <c r="A113" s="66"/>
      <c r="B113" s="66"/>
      <c r="C113" s="66"/>
      <c r="D113" s="75"/>
      <c r="E113" s="77"/>
      <c r="F113" s="67"/>
      <c r="G113" s="77"/>
      <c r="H113" s="79"/>
      <c r="I113" s="67">
        <f t="shared" si="5"/>
        <v>0</v>
      </c>
      <c r="J113" s="67">
        <f t="shared" si="6"/>
        <v>0</v>
      </c>
      <c r="K113" s="67">
        <f t="shared" si="7"/>
        <v>0</v>
      </c>
      <c r="L113" s="100">
        <f t="shared" si="8"/>
        <v>0</v>
      </c>
      <c r="M113" s="68"/>
      <c r="N113" s="100">
        <f t="shared" si="9"/>
        <v>0</v>
      </c>
      <c r="O113" s="14"/>
    </row>
    <row r="114" spans="1:15" x14ac:dyDescent="0.2">
      <c r="A114" s="66"/>
      <c r="B114" s="66"/>
      <c r="C114" s="66"/>
      <c r="D114" s="75"/>
      <c r="E114" s="77"/>
      <c r="F114" s="67"/>
      <c r="G114" s="77"/>
      <c r="H114" s="79"/>
      <c r="I114" s="67">
        <f t="shared" si="5"/>
        <v>0</v>
      </c>
      <c r="J114" s="67">
        <f t="shared" si="6"/>
        <v>0</v>
      </c>
      <c r="K114" s="67">
        <f t="shared" si="7"/>
        <v>0</v>
      </c>
      <c r="L114" s="100">
        <f t="shared" si="8"/>
        <v>0</v>
      </c>
      <c r="M114" s="68"/>
      <c r="N114" s="100">
        <f t="shared" si="9"/>
        <v>0</v>
      </c>
      <c r="O114" s="14"/>
    </row>
    <row r="115" spans="1:15" x14ac:dyDescent="0.2">
      <c r="A115" s="66"/>
      <c r="B115" s="66"/>
      <c r="C115" s="66"/>
      <c r="D115" s="75"/>
      <c r="E115" s="77"/>
      <c r="F115" s="67"/>
      <c r="G115" s="77"/>
      <c r="H115" s="79"/>
      <c r="I115" s="67">
        <f t="shared" si="5"/>
        <v>0</v>
      </c>
      <c r="J115" s="67">
        <f t="shared" si="6"/>
        <v>0</v>
      </c>
      <c r="K115" s="67">
        <f t="shared" si="7"/>
        <v>0</v>
      </c>
      <c r="L115" s="100">
        <f t="shared" si="8"/>
        <v>0</v>
      </c>
      <c r="M115" s="68"/>
      <c r="N115" s="100">
        <f t="shared" si="9"/>
        <v>0</v>
      </c>
      <c r="O115" s="14"/>
    </row>
    <row r="116" spans="1:15" x14ac:dyDescent="0.2">
      <c r="A116" s="66"/>
      <c r="B116" s="66"/>
      <c r="C116" s="66"/>
      <c r="D116" s="75"/>
      <c r="E116" s="77"/>
      <c r="F116" s="67"/>
      <c r="G116" s="77"/>
      <c r="H116" s="79"/>
      <c r="I116" s="67">
        <f t="shared" si="5"/>
        <v>0</v>
      </c>
      <c r="J116" s="67">
        <f t="shared" si="6"/>
        <v>0</v>
      </c>
      <c r="K116" s="67">
        <f t="shared" si="7"/>
        <v>0</v>
      </c>
      <c r="L116" s="100">
        <f t="shared" si="8"/>
        <v>0</v>
      </c>
      <c r="M116" s="68"/>
      <c r="N116" s="100">
        <f t="shared" si="9"/>
        <v>0</v>
      </c>
      <c r="O116" s="14"/>
    </row>
    <row r="117" spans="1:15" x14ac:dyDescent="0.2">
      <c r="A117" s="66"/>
      <c r="B117" s="66"/>
      <c r="C117" s="66"/>
      <c r="D117" s="75"/>
      <c r="E117" s="77"/>
      <c r="F117" s="67"/>
      <c r="G117" s="77"/>
      <c r="H117" s="79"/>
      <c r="I117" s="67">
        <f t="shared" si="5"/>
        <v>0</v>
      </c>
      <c r="J117" s="67">
        <f t="shared" si="6"/>
        <v>0</v>
      </c>
      <c r="K117" s="67">
        <f t="shared" si="7"/>
        <v>0</v>
      </c>
      <c r="L117" s="100">
        <f t="shared" si="8"/>
        <v>0</v>
      </c>
      <c r="M117" s="68"/>
      <c r="N117" s="100">
        <f t="shared" si="9"/>
        <v>0</v>
      </c>
      <c r="O117" s="14"/>
    </row>
    <row r="118" spans="1:15" x14ac:dyDescent="0.2">
      <c r="A118" s="66"/>
      <c r="B118" s="66"/>
      <c r="C118" s="66"/>
      <c r="D118" s="75"/>
      <c r="E118" s="77"/>
      <c r="F118" s="67"/>
      <c r="G118" s="77"/>
      <c r="H118" s="79"/>
      <c r="I118" s="67">
        <f t="shared" si="5"/>
        <v>0</v>
      </c>
      <c r="J118" s="67">
        <f t="shared" si="6"/>
        <v>0</v>
      </c>
      <c r="K118" s="67">
        <f t="shared" si="7"/>
        <v>0</v>
      </c>
      <c r="L118" s="100">
        <f t="shared" si="8"/>
        <v>0</v>
      </c>
      <c r="M118" s="68"/>
      <c r="N118" s="100">
        <f t="shared" si="9"/>
        <v>0</v>
      </c>
      <c r="O118" s="14"/>
    </row>
    <row r="119" spans="1:15" x14ac:dyDescent="0.2">
      <c r="A119" s="66"/>
      <c r="B119" s="66"/>
      <c r="C119" s="66"/>
      <c r="D119" s="75"/>
      <c r="E119" s="77"/>
      <c r="F119" s="67"/>
      <c r="G119" s="77"/>
      <c r="H119" s="79"/>
      <c r="I119" s="67">
        <f t="shared" si="5"/>
        <v>0</v>
      </c>
      <c r="J119" s="67">
        <f t="shared" si="6"/>
        <v>0</v>
      </c>
      <c r="K119" s="67">
        <f t="shared" si="7"/>
        <v>0</v>
      </c>
      <c r="L119" s="100">
        <f t="shared" si="8"/>
        <v>0</v>
      </c>
      <c r="M119" s="68"/>
      <c r="N119" s="100">
        <f t="shared" si="9"/>
        <v>0</v>
      </c>
      <c r="O119" s="14"/>
    </row>
    <row r="120" spans="1:15" x14ac:dyDescent="0.2">
      <c r="A120" s="66"/>
      <c r="B120" s="66"/>
      <c r="C120" s="66"/>
      <c r="D120" s="75"/>
      <c r="E120" s="77"/>
      <c r="F120" s="67"/>
      <c r="G120" s="77"/>
      <c r="H120" s="79"/>
      <c r="I120" s="67">
        <f t="shared" si="5"/>
        <v>0</v>
      </c>
      <c r="J120" s="67">
        <f t="shared" si="6"/>
        <v>0</v>
      </c>
      <c r="K120" s="67">
        <f t="shared" si="7"/>
        <v>0</v>
      </c>
      <c r="L120" s="100">
        <f t="shared" si="8"/>
        <v>0</v>
      </c>
      <c r="M120" s="68"/>
      <c r="N120" s="100">
        <f t="shared" si="9"/>
        <v>0</v>
      </c>
      <c r="O120" s="14"/>
    </row>
    <row r="121" spans="1:15" x14ac:dyDescent="0.2">
      <c r="A121" s="66"/>
      <c r="B121" s="66"/>
      <c r="C121" s="66"/>
      <c r="D121" s="75"/>
      <c r="E121" s="77"/>
      <c r="F121" s="67"/>
      <c r="G121" s="77"/>
      <c r="H121" s="79"/>
      <c r="I121" s="67">
        <f t="shared" si="5"/>
        <v>0</v>
      </c>
      <c r="J121" s="67">
        <f t="shared" si="6"/>
        <v>0</v>
      </c>
      <c r="K121" s="67">
        <f t="shared" si="7"/>
        <v>0</v>
      </c>
      <c r="L121" s="100">
        <f t="shared" si="8"/>
        <v>0</v>
      </c>
      <c r="M121" s="68"/>
      <c r="N121" s="100">
        <f t="shared" si="9"/>
        <v>0</v>
      </c>
      <c r="O121" s="14"/>
    </row>
    <row r="122" spans="1:15" x14ac:dyDescent="0.2">
      <c r="A122" s="66"/>
      <c r="B122" s="66"/>
      <c r="C122" s="66"/>
      <c r="D122" s="75"/>
      <c r="E122" s="77"/>
      <c r="F122" s="67"/>
      <c r="G122" s="77"/>
      <c r="H122" s="79"/>
      <c r="I122" s="67">
        <f t="shared" si="5"/>
        <v>0</v>
      </c>
      <c r="J122" s="67">
        <f t="shared" si="6"/>
        <v>0</v>
      </c>
      <c r="K122" s="67">
        <f t="shared" si="7"/>
        <v>0</v>
      </c>
      <c r="L122" s="100">
        <f t="shared" si="8"/>
        <v>0</v>
      </c>
      <c r="M122" s="68"/>
      <c r="N122" s="100">
        <f t="shared" si="9"/>
        <v>0</v>
      </c>
      <c r="O122" s="14"/>
    </row>
    <row r="123" spans="1:15" x14ac:dyDescent="0.2">
      <c r="A123" s="66"/>
      <c r="B123" s="66"/>
      <c r="C123" s="66"/>
      <c r="D123" s="75"/>
      <c r="E123" s="77"/>
      <c r="F123" s="67"/>
      <c r="G123" s="77"/>
      <c r="H123" s="79"/>
      <c r="I123" s="67">
        <f t="shared" si="5"/>
        <v>0</v>
      </c>
      <c r="J123" s="67">
        <f t="shared" si="6"/>
        <v>0</v>
      </c>
      <c r="K123" s="67">
        <f t="shared" si="7"/>
        <v>0</v>
      </c>
      <c r="L123" s="100">
        <f t="shared" si="8"/>
        <v>0</v>
      </c>
      <c r="M123" s="68"/>
      <c r="N123" s="100">
        <f t="shared" si="9"/>
        <v>0</v>
      </c>
      <c r="O123" s="14"/>
    </row>
    <row r="124" spans="1:15" x14ac:dyDescent="0.2">
      <c r="A124" s="66"/>
      <c r="B124" s="66"/>
      <c r="C124" s="66"/>
      <c r="D124" s="75"/>
      <c r="E124" s="77"/>
      <c r="F124" s="67"/>
      <c r="G124" s="77"/>
      <c r="H124" s="79"/>
      <c r="I124" s="67">
        <f t="shared" si="5"/>
        <v>0</v>
      </c>
      <c r="J124" s="67">
        <f t="shared" si="6"/>
        <v>0</v>
      </c>
      <c r="K124" s="67">
        <f t="shared" si="7"/>
        <v>0</v>
      </c>
      <c r="L124" s="100">
        <f t="shared" si="8"/>
        <v>0</v>
      </c>
      <c r="M124" s="68"/>
      <c r="N124" s="100">
        <f t="shared" si="9"/>
        <v>0</v>
      </c>
      <c r="O124" s="14"/>
    </row>
    <row r="125" spans="1:15" x14ac:dyDescent="0.2">
      <c r="A125" s="66"/>
      <c r="B125" s="66"/>
      <c r="C125" s="66"/>
      <c r="D125" s="75"/>
      <c r="E125" s="77"/>
      <c r="F125" s="67"/>
      <c r="G125" s="77"/>
      <c r="H125" s="79"/>
      <c r="I125" s="67">
        <f t="shared" si="5"/>
        <v>0</v>
      </c>
      <c r="J125" s="67">
        <f t="shared" si="6"/>
        <v>0</v>
      </c>
      <c r="K125" s="67">
        <f t="shared" si="7"/>
        <v>0</v>
      </c>
      <c r="L125" s="100">
        <f t="shared" si="8"/>
        <v>0</v>
      </c>
      <c r="M125" s="68"/>
      <c r="N125" s="100">
        <f t="shared" si="9"/>
        <v>0</v>
      </c>
      <c r="O125" s="14"/>
    </row>
    <row r="126" spans="1:15" x14ac:dyDescent="0.2">
      <c r="A126" s="66"/>
      <c r="B126" s="66"/>
      <c r="C126" s="66"/>
      <c r="D126" s="75"/>
      <c r="E126" s="77"/>
      <c r="F126" s="67"/>
      <c r="G126" s="77"/>
      <c r="H126" s="79"/>
      <c r="I126" s="67">
        <f t="shared" si="5"/>
        <v>0</v>
      </c>
      <c r="J126" s="67">
        <f t="shared" si="6"/>
        <v>0</v>
      </c>
      <c r="K126" s="67">
        <f t="shared" si="7"/>
        <v>0</v>
      </c>
      <c r="L126" s="100">
        <f t="shared" si="8"/>
        <v>0</v>
      </c>
      <c r="M126" s="68"/>
      <c r="N126" s="100">
        <f t="shared" si="9"/>
        <v>0</v>
      </c>
      <c r="O126" s="14"/>
    </row>
    <row r="127" spans="1:15" x14ac:dyDescent="0.2">
      <c r="A127" s="66"/>
      <c r="B127" s="66"/>
      <c r="C127" s="66"/>
      <c r="D127" s="75"/>
      <c r="E127" s="77"/>
      <c r="F127" s="67"/>
      <c r="G127" s="77"/>
      <c r="H127" s="79"/>
      <c r="I127" s="67">
        <f t="shared" ref="I127:I190" si="10">IF(H127=0,+D127*0.1,G127*H127)</f>
        <v>0</v>
      </c>
      <c r="J127" s="67">
        <f t="shared" ref="J127:J190" si="11">IF(H127=0,+G127-E127,0)</f>
        <v>0</v>
      </c>
      <c r="K127" s="67">
        <f t="shared" ref="K127:K190" si="12">+(J127*0.5)*D127</f>
        <v>0</v>
      </c>
      <c r="L127" s="100">
        <f t="shared" ref="L127:L190" si="13">+I127+K127</f>
        <v>0</v>
      </c>
      <c r="M127" s="68"/>
      <c r="N127" s="100">
        <f t="shared" ref="N127:N190" si="14">IF(H127=0,IF(L127&gt;G127,L127,G127),L127)</f>
        <v>0</v>
      </c>
      <c r="O127" s="14"/>
    </row>
    <row r="128" spans="1:15" x14ac:dyDescent="0.2">
      <c r="A128" s="66"/>
      <c r="B128" s="66"/>
      <c r="C128" s="66"/>
      <c r="D128" s="75"/>
      <c r="E128" s="77"/>
      <c r="F128" s="67"/>
      <c r="G128" s="77"/>
      <c r="H128" s="79"/>
      <c r="I128" s="67">
        <f t="shared" si="10"/>
        <v>0</v>
      </c>
      <c r="J128" s="67">
        <f t="shared" si="11"/>
        <v>0</v>
      </c>
      <c r="K128" s="67">
        <f t="shared" si="12"/>
        <v>0</v>
      </c>
      <c r="L128" s="100">
        <f t="shared" si="13"/>
        <v>0</v>
      </c>
      <c r="M128" s="68"/>
      <c r="N128" s="100">
        <f t="shared" si="14"/>
        <v>0</v>
      </c>
      <c r="O128" s="14"/>
    </row>
    <row r="129" spans="1:15" x14ac:dyDescent="0.2">
      <c r="A129" s="66"/>
      <c r="B129" s="66"/>
      <c r="C129" s="66"/>
      <c r="D129" s="75"/>
      <c r="E129" s="77"/>
      <c r="F129" s="67"/>
      <c r="G129" s="77"/>
      <c r="H129" s="79"/>
      <c r="I129" s="67">
        <f t="shared" si="10"/>
        <v>0</v>
      </c>
      <c r="J129" s="67">
        <f t="shared" si="11"/>
        <v>0</v>
      </c>
      <c r="K129" s="67">
        <f t="shared" si="12"/>
        <v>0</v>
      </c>
      <c r="L129" s="100">
        <f t="shared" si="13"/>
        <v>0</v>
      </c>
      <c r="M129" s="68"/>
      <c r="N129" s="100">
        <f t="shared" si="14"/>
        <v>0</v>
      </c>
      <c r="O129" s="14"/>
    </row>
    <row r="130" spans="1:15" x14ac:dyDescent="0.2">
      <c r="A130" s="66"/>
      <c r="B130" s="66"/>
      <c r="C130" s="66"/>
      <c r="D130" s="75"/>
      <c r="E130" s="77"/>
      <c r="F130" s="67"/>
      <c r="G130" s="77"/>
      <c r="H130" s="79"/>
      <c r="I130" s="67">
        <f t="shared" si="10"/>
        <v>0</v>
      </c>
      <c r="J130" s="67">
        <f t="shared" si="11"/>
        <v>0</v>
      </c>
      <c r="K130" s="67">
        <f t="shared" si="12"/>
        <v>0</v>
      </c>
      <c r="L130" s="100">
        <f t="shared" si="13"/>
        <v>0</v>
      </c>
      <c r="M130" s="68"/>
      <c r="N130" s="100">
        <f t="shared" si="14"/>
        <v>0</v>
      </c>
      <c r="O130" s="14"/>
    </row>
    <row r="131" spans="1:15" x14ac:dyDescent="0.2">
      <c r="A131" s="66"/>
      <c r="B131" s="66"/>
      <c r="C131" s="66"/>
      <c r="D131" s="75"/>
      <c r="E131" s="77"/>
      <c r="F131" s="67"/>
      <c r="G131" s="77"/>
      <c r="H131" s="79"/>
      <c r="I131" s="67">
        <f t="shared" si="10"/>
        <v>0</v>
      </c>
      <c r="J131" s="67">
        <f t="shared" si="11"/>
        <v>0</v>
      </c>
      <c r="K131" s="67">
        <f t="shared" si="12"/>
        <v>0</v>
      </c>
      <c r="L131" s="100">
        <f t="shared" si="13"/>
        <v>0</v>
      </c>
      <c r="M131" s="68"/>
      <c r="N131" s="100">
        <f t="shared" si="14"/>
        <v>0</v>
      </c>
      <c r="O131" s="14"/>
    </row>
    <row r="132" spans="1:15" x14ac:dyDescent="0.2">
      <c r="A132" s="66"/>
      <c r="B132" s="66"/>
      <c r="C132" s="66"/>
      <c r="D132" s="75"/>
      <c r="E132" s="77"/>
      <c r="F132" s="67"/>
      <c r="G132" s="77"/>
      <c r="H132" s="79"/>
      <c r="I132" s="67">
        <f t="shared" si="10"/>
        <v>0</v>
      </c>
      <c r="J132" s="67">
        <f t="shared" si="11"/>
        <v>0</v>
      </c>
      <c r="K132" s="67">
        <f t="shared" si="12"/>
        <v>0</v>
      </c>
      <c r="L132" s="100">
        <f t="shared" si="13"/>
        <v>0</v>
      </c>
      <c r="M132" s="68"/>
      <c r="N132" s="100">
        <f t="shared" si="14"/>
        <v>0</v>
      </c>
      <c r="O132" s="14"/>
    </row>
    <row r="133" spans="1:15" x14ac:dyDescent="0.2">
      <c r="A133" s="66"/>
      <c r="B133" s="66"/>
      <c r="C133" s="66"/>
      <c r="D133" s="75"/>
      <c r="E133" s="77"/>
      <c r="F133" s="67"/>
      <c r="G133" s="77"/>
      <c r="H133" s="79"/>
      <c r="I133" s="67">
        <f t="shared" si="10"/>
        <v>0</v>
      </c>
      <c r="J133" s="67">
        <f t="shared" si="11"/>
        <v>0</v>
      </c>
      <c r="K133" s="67">
        <f t="shared" si="12"/>
        <v>0</v>
      </c>
      <c r="L133" s="100">
        <f t="shared" si="13"/>
        <v>0</v>
      </c>
      <c r="M133" s="68"/>
      <c r="N133" s="100">
        <f t="shared" si="14"/>
        <v>0</v>
      </c>
      <c r="O133" s="14"/>
    </row>
    <row r="134" spans="1:15" x14ac:dyDescent="0.2">
      <c r="A134" s="66"/>
      <c r="B134" s="66"/>
      <c r="C134" s="66"/>
      <c r="D134" s="75"/>
      <c r="E134" s="77"/>
      <c r="F134" s="67"/>
      <c r="G134" s="77"/>
      <c r="H134" s="79"/>
      <c r="I134" s="67">
        <f t="shared" si="10"/>
        <v>0</v>
      </c>
      <c r="J134" s="67">
        <f t="shared" si="11"/>
        <v>0</v>
      </c>
      <c r="K134" s="67">
        <f t="shared" si="12"/>
        <v>0</v>
      </c>
      <c r="L134" s="100">
        <f t="shared" si="13"/>
        <v>0</v>
      </c>
      <c r="M134" s="68"/>
      <c r="N134" s="100">
        <f t="shared" si="14"/>
        <v>0</v>
      </c>
      <c r="O134" s="14"/>
    </row>
    <row r="135" spans="1:15" x14ac:dyDescent="0.2">
      <c r="A135" s="66"/>
      <c r="B135" s="66"/>
      <c r="C135" s="66"/>
      <c r="D135" s="75"/>
      <c r="E135" s="77"/>
      <c r="F135" s="67"/>
      <c r="G135" s="77"/>
      <c r="H135" s="79"/>
      <c r="I135" s="67">
        <f t="shared" si="10"/>
        <v>0</v>
      </c>
      <c r="J135" s="67">
        <f t="shared" si="11"/>
        <v>0</v>
      </c>
      <c r="K135" s="67">
        <f t="shared" si="12"/>
        <v>0</v>
      </c>
      <c r="L135" s="100">
        <f t="shared" si="13"/>
        <v>0</v>
      </c>
      <c r="M135" s="68"/>
      <c r="N135" s="100">
        <f t="shared" si="14"/>
        <v>0</v>
      </c>
      <c r="O135" s="14"/>
    </row>
    <row r="136" spans="1:15" x14ac:dyDescent="0.2">
      <c r="A136" s="66"/>
      <c r="B136" s="66"/>
      <c r="C136" s="66"/>
      <c r="D136" s="75"/>
      <c r="E136" s="77"/>
      <c r="F136" s="67"/>
      <c r="G136" s="77"/>
      <c r="H136" s="79"/>
      <c r="I136" s="67">
        <f t="shared" si="10"/>
        <v>0</v>
      </c>
      <c r="J136" s="67">
        <f t="shared" si="11"/>
        <v>0</v>
      </c>
      <c r="K136" s="67">
        <f t="shared" si="12"/>
        <v>0</v>
      </c>
      <c r="L136" s="100">
        <f t="shared" si="13"/>
        <v>0</v>
      </c>
      <c r="M136" s="68"/>
      <c r="N136" s="100">
        <f t="shared" si="14"/>
        <v>0</v>
      </c>
      <c r="O136" s="14"/>
    </row>
    <row r="137" spans="1:15" x14ac:dyDescent="0.2">
      <c r="A137" s="66"/>
      <c r="B137" s="66"/>
      <c r="C137" s="66"/>
      <c r="D137" s="75"/>
      <c r="E137" s="77"/>
      <c r="F137" s="67"/>
      <c r="G137" s="77"/>
      <c r="H137" s="79"/>
      <c r="I137" s="67">
        <f t="shared" si="10"/>
        <v>0</v>
      </c>
      <c r="J137" s="67">
        <f t="shared" si="11"/>
        <v>0</v>
      </c>
      <c r="K137" s="67">
        <f t="shared" si="12"/>
        <v>0</v>
      </c>
      <c r="L137" s="100">
        <f t="shared" si="13"/>
        <v>0</v>
      </c>
      <c r="M137" s="68"/>
      <c r="N137" s="100">
        <f t="shared" si="14"/>
        <v>0</v>
      </c>
      <c r="O137" s="14"/>
    </row>
    <row r="138" spans="1:15" x14ac:dyDescent="0.2">
      <c r="A138" s="66"/>
      <c r="B138" s="66"/>
      <c r="C138" s="66"/>
      <c r="D138" s="75"/>
      <c r="E138" s="77"/>
      <c r="F138" s="67"/>
      <c r="G138" s="77"/>
      <c r="H138" s="79"/>
      <c r="I138" s="67">
        <f t="shared" si="10"/>
        <v>0</v>
      </c>
      <c r="J138" s="67">
        <f t="shared" si="11"/>
        <v>0</v>
      </c>
      <c r="K138" s="67">
        <f t="shared" si="12"/>
        <v>0</v>
      </c>
      <c r="L138" s="100">
        <f t="shared" si="13"/>
        <v>0</v>
      </c>
      <c r="M138" s="68"/>
      <c r="N138" s="100">
        <f t="shared" si="14"/>
        <v>0</v>
      </c>
      <c r="O138" s="14"/>
    </row>
    <row r="139" spans="1:15" x14ac:dyDescent="0.2">
      <c r="A139" s="66"/>
      <c r="B139" s="66"/>
      <c r="C139" s="66"/>
      <c r="D139" s="75"/>
      <c r="E139" s="77"/>
      <c r="F139" s="67"/>
      <c r="G139" s="77"/>
      <c r="H139" s="79"/>
      <c r="I139" s="67">
        <f t="shared" si="10"/>
        <v>0</v>
      </c>
      <c r="J139" s="67">
        <f t="shared" si="11"/>
        <v>0</v>
      </c>
      <c r="K139" s="67">
        <f t="shared" si="12"/>
        <v>0</v>
      </c>
      <c r="L139" s="100">
        <f t="shared" si="13"/>
        <v>0</v>
      </c>
      <c r="M139" s="68"/>
      <c r="N139" s="100">
        <f t="shared" si="14"/>
        <v>0</v>
      </c>
      <c r="O139" s="14"/>
    </row>
    <row r="140" spans="1:15" x14ac:dyDescent="0.2">
      <c r="A140" s="66"/>
      <c r="B140" s="66"/>
      <c r="C140" s="66"/>
      <c r="D140" s="75"/>
      <c r="E140" s="77"/>
      <c r="F140" s="67"/>
      <c r="G140" s="77"/>
      <c r="H140" s="79"/>
      <c r="I140" s="67">
        <f t="shared" si="10"/>
        <v>0</v>
      </c>
      <c r="J140" s="67">
        <f t="shared" si="11"/>
        <v>0</v>
      </c>
      <c r="K140" s="67">
        <f t="shared" si="12"/>
        <v>0</v>
      </c>
      <c r="L140" s="100">
        <f t="shared" si="13"/>
        <v>0</v>
      </c>
      <c r="M140" s="68"/>
      <c r="N140" s="100">
        <f t="shared" si="14"/>
        <v>0</v>
      </c>
      <c r="O140" s="14"/>
    </row>
    <row r="141" spans="1:15" x14ac:dyDescent="0.2">
      <c r="A141" s="66"/>
      <c r="B141" s="66"/>
      <c r="C141" s="66"/>
      <c r="D141" s="75"/>
      <c r="E141" s="77"/>
      <c r="F141" s="67"/>
      <c r="G141" s="77"/>
      <c r="H141" s="79"/>
      <c r="I141" s="67">
        <f t="shared" si="10"/>
        <v>0</v>
      </c>
      <c r="J141" s="67">
        <f t="shared" si="11"/>
        <v>0</v>
      </c>
      <c r="K141" s="67">
        <f t="shared" si="12"/>
        <v>0</v>
      </c>
      <c r="L141" s="100">
        <f t="shared" si="13"/>
        <v>0</v>
      </c>
      <c r="M141" s="68"/>
      <c r="N141" s="100">
        <f t="shared" si="14"/>
        <v>0</v>
      </c>
      <c r="O141" s="14"/>
    </row>
    <row r="142" spans="1:15" x14ac:dyDescent="0.2">
      <c r="A142" s="66"/>
      <c r="B142" s="66"/>
      <c r="C142" s="66"/>
      <c r="D142" s="75"/>
      <c r="E142" s="77"/>
      <c r="F142" s="67"/>
      <c r="G142" s="77"/>
      <c r="H142" s="79"/>
      <c r="I142" s="67">
        <f t="shared" si="10"/>
        <v>0</v>
      </c>
      <c r="J142" s="67">
        <f t="shared" si="11"/>
        <v>0</v>
      </c>
      <c r="K142" s="67">
        <f t="shared" si="12"/>
        <v>0</v>
      </c>
      <c r="L142" s="100">
        <f t="shared" si="13"/>
        <v>0</v>
      </c>
      <c r="M142" s="68"/>
      <c r="N142" s="100">
        <f t="shared" si="14"/>
        <v>0</v>
      </c>
      <c r="O142" s="14"/>
    </row>
    <row r="143" spans="1:15" x14ac:dyDescent="0.2">
      <c r="A143" s="66"/>
      <c r="B143" s="66"/>
      <c r="C143" s="66"/>
      <c r="D143" s="75"/>
      <c r="E143" s="77"/>
      <c r="F143" s="67"/>
      <c r="G143" s="77"/>
      <c r="H143" s="79"/>
      <c r="I143" s="67">
        <f t="shared" si="10"/>
        <v>0</v>
      </c>
      <c r="J143" s="67">
        <f t="shared" si="11"/>
        <v>0</v>
      </c>
      <c r="K143" s="67">
        <f t="shared" si="12"/>
        <v>0</v>
      </c>
      <c r="L143" s="100">
        <f t="shared" si="13"/>
        <v>0</v>
      </c>
      <c r="M143" s="68"/>
      <c r="N143" s="100">
        <f t="shared" si="14"/>
        <v>0</v>
      </c>
      <c r="O143" s="14"/>
    </row>
    <row r="144" spans="1:15" x14ac:dyDescent="0.2">
      <c r="A144" s="66"/>
      <c r="B144" s="66"/>
      <c r="C144" s="66"/>
      <c r="D144" s="75"/>
      <c r="E144" s="77"/>
      <c r="F144" s="67"/>
      <c r="G144" s="77"/>
      <c r="H144" s="79"/>
      <c r="I144" s="67">
        <f t="shared" si="10"/>
        <v>0</v>
      </c>
      <c r="J144" s="67">
        <f t="shared" si="11"/>
        <v>0</v>
      </c>
      <c r="K144" s="67">
        <f t="shared" si="12"/>
        <v>0</v>
      </c>
      <c r="L144" s="100">
        <f t="shared" si="13"/>
        <v>0</v>
      </c>
      <c r="M144" s="68"/>
      <c r="N144" s="100">
        <f t="shared" si="14"/>
        <v>0</v>
      </c>
      <c r="O144" s="14"/>
    </row>
    <row r="145" spans="1:15" x14ac:dyDescent="0.2">
      <c r="A145" s="66"/>
      <c r="B145" s="66"/>
      <c r="C145" s="66"/>
      <c r="D145" s="75"/>
      <c r="E145" s="77"/>
      <c r="F145" s="67"/>
      <c r="G145" s="77"/>
      <c r="H145" s="79"/>
      <c r="I145" s="67">
        <f t="shared" si="10"/>
        <v>0</v>
      </c>
      <c r="J145" s="67">
        <f t="shared" si="11"/>
        <v>0</v>
      </c>
      <c r="K145" s="67">
        <f t="shared" si="12"/>
        <v>0</v>
      </c>
      <c r="L145" s="100">
        <f t="shared" si="13"/>
        <v>0</v>
      </c>
      <c r="M145" s="68"/>
      <c r="N145" s="100">
        <f t="shared" si="14"/>
        <v>0</v>
      </c>
      <c r="O145" s="14"/>
    </row>
    <row r="146" spans="1:15" x14ac:dyDescent="0.2">
      <c r="A146" s="66"/>
      <c r="B146" s="66"/>
      <c r="C146" s="66"/>
      <c r="D146" s="75"/>
      <c r="E146" s="77"/>
      <c r="F146" s="67"/>
      <c r="G146" s="77"/>
      <c r="H146" s="79"/>
      <c r="I146" s="67">
        <f t="shared" si="10"/>
        <v>0</v>
      </c>
      <c r="J146" s="67">
        <f t="shared" si="11"/>
        <v>0</v>
      </c>
      <c r="K146" s="67">
        <f t="shared" si="12"/>
        <v>0</v>
      </c>
      <c r="L146" s="100">
        <f t="shared" si="13"/>
        <v>0</v>
      </c>
      <c r="M146" s="68"/>
      <c r="N146" s="100">
        <f t="shared" si="14"/>
        <v>0</v>
      </c>
      <c r="O146" s="14"/>
    </row>
    <row r="147" spans="1:15" x14ac:dyDescent="0.2">
      <c r="A147" s="66"/>
      <c r="B147" s="66"/>
      <c r="C147" s="66"/>
      <c r="D147" s="75"/>
      <c r="E147" s="77"/>
      <c r="F147" s="67"/>
      <c r="G147" s="77"/>
      <c r="H147" s="79"/>
      <c r="I147" s="67">
        <f t="shared" si="10"/>
        <v>0</v>
      </c>
      <c r="J147" s="67">
        <f t="shared" si="11"/>
        <v>0</v>
      </c>
      <c r="K147" s="67">
        <f t="shared" si="12"/>
        <v>0</v>
      </c>
      <c r="L147" s="100">
        <f t="shared" si="13"/>
        <v>0</v>
      </c>
      <c r="M147" s="68"/>
      <c r="N147" s="100">
        <f t="shared" si="14"/>
        <v>0</v>
      </c>
      <c r="O147" s="14"/>
    </row>
    <row r="148" spans="1:15" x14ac:dyDescent="0.2">
      <c r="A148" s="66"/>
      <c r="B148" s="66"/>
      <c r="C148" s="66"/>
      <c r="D148" s="75"/>
      <c r="E148" s="77"/>
      <c r="F148" s="67"/>
      <c r="G148" s="77"/>
      <c r="H148" s="79"/>
      <c r="I148" s="67">
        <f t="shared" si="10"/>
        <v>0</v>
      </c>
      <c r="J148" s="67">
        <f t="shared" si="11"/>
        <v>0</v>
      </c>
      <c r="K148" s="67">
        <f t="shared" si="12"/>
        <v>0</v>
      </c>
      <c r="L148" s="100">
        <f t="shared" si="13"/>
        <v>0</v>
      </c>
      <c r="M148" s="68"/>
      <c r="N148" s="100">
        <f t="shared" si="14"/>
        <v>0</v>
      </c>
      <c r="O148" s="14"/>
    </row>
    <row r="149" spans="1:15" x14ac:dyDescent="0.2">
      <c r="A149" s="66"/>
      <c r="B149" s="66"/>
      <c r="C149" s="66"/>
      <c r="D149" s="75"/>
      <c r="E149" s="77"/>
      <c r="F149" s="67"/>
      <c r="G149" s="77"/>
      <c r="H149" s="79"/>
      <c r="I149" s="67">
        <f t="shared" si="10"/>
        <v>0</v>
      </c>
      <c r="J149" s="67">
        <f t="shared" si="11"/>
        <v>0</v>
      </c>
      <c r="K149" s="67">
        <f t="shared" si="12"/>
        <v>0</v>
      </c>
      <c r="L149" s="100">
        <f t="shared" si="13"/>
        <v>0</v>
      </c>
      <c r="M149" s="68"/>
      <c r="N149" s="100">
        <f t="shared" si="14"/>
        <v>0</v>
      </c>
      <c r="O149" s="14"/>
    </row>
    <row r="150" spans="1:15" x14ac:dyDescent="0.2">
      <c r="A150" s="66"/>
      <c r="B150" s="66"/>
      <c r="C150" s="66"/>
      <c r="D150" s="75"/>
      <c r="E150" s="77"/>
      <c r="F150" s="67"/>
      <c r="G150" s="77"/>
      <c r="H150" s="79"/>
      <c r="I150" s="67">
        <f t="shared" si="10"/>
        <v>0</v>
      </c>
      <c r="J150" s="67">
        <f t="shared" si="11"/>
        <v>0</v>
      </c>
      <c r="K150" s="67">
        <f t="shared" si="12"/>
        <v>0</v>
      </c>
      <c r="L150" s="100">
        <f t="shared" si="13"/>
        <v>0</v>
      </c>
      <c r="M150" s="68"/>
      <c r="N150" s="100">
        <f t="shared" si="14"/>
        <v>0</v>
      </c>
      <c r="O150" s="14"/>
    </row>
    <row r="151" spans="1:15" x14ac:dyDescent="0.2">
      <c r="A151" s="66"/>
      <c r="B151" s="66"/>
      <c r="C151" s="66"/>
      <c r="D151" s="75"/>
      <c r="E151" s="77"/>
      <c r="F151" s="67"/>
      <c r="G151" s="77"/>
      <c r="H151" s="79"/>
      <c r="I151" s="67">
        <f t="shared" si="10"/>
        <v>0</v>
      </c>
      <c r="J151" s="67">
        <f t="shared" si="11"/>
        <v>0</v>
      </c>
      <c r="K151" s="67">
        <f t="shared" si="12"/>
        <v>0</v>
      </c>
      <c r="L151" s="100">
        <f t="shared" si="13"/>
        <v>0</v>
      </c>
      <c r="M151" s="68"/>
      <c r="N151" s="100">
        <f t="shared" si="14"/>
        <v>0</v>
      </c>
      <c r="O151" s="14"/>
    </row>
    <row r="152" spans="1:15" x14ac:dyDescent="0.2">
      <c r="A152" s="66"/>
      <c r="B152" s="66"/>
      <c r="C152" s="66"/>
      <c r="D152" s="75"/>
      <c r="E152" s="77"/>
      <c r="F152" s="67"/>
      <c r="G152" s="77"/>
      <c r="H152" s="79"/>
      <c r="I152" s="67">
        <f t="shared" si="10"/>
        <v>0</v>
      </c>
      <c r="J152" s="67">
        <f t="shared" si="11"/>
        <v>0</v>
      </c>
      <c r="K152" s="67">
        <f t="shared" si="12"/>
        <v>0</v>
      </c>
      <c r="L152" s="100">
        <f t="shared" si="13"/>
        <v>0</v>
      </c>
      <c r="M152" s="68"/>
      <c r="N152" s="100">
        <f t="shared" si="14"/>
        <v>0</v>
      </c>
      <c r="O152" s="14"/>
    </row>
    <row r="153" spans="1:15" x14ac:dyDescent="0.2">
      <c r="A153" s="66"/>
      <c r="B153" s="66"/>
      <c r="C153" s="66"/>
      <c r="D153" s="75"/>
      <c r="E153" s="77"/>
      <c r="F153" s="67"/>
      <c r="G153" s="77"/>
      <c r="H153" s="79"/>
      <c r="I153" s="67">
        <f t="shared" si="10"/>
        <v>0</v>
      </c>
      <c r="J153" s="67">
        <f t="shared" si="11"/>
        <v>0</v>
      </c>
      <c r="K153" s="67">
        <f t="shared" si="12"/>
        <v>0</v>
      </c>
      <c r="L153" s="100">
        <f t="shared" si="13"/>
        <v>0</v>
      </c>
      <c r="M153" s="68"/>
      <c r="N153" s="100">
        <f t="shared" si="14"/>
        <v>0</v>
      </c>
      <c r="O153" s="14"/>
    </row>
    <row r="154" spans="1:15" x14ac:dyDescent="0.2">
      <c r="A154" s="66"/>
      <c r="B154" s="66"/>
      <c r="C154" s="66"/>
      <c r="D154" s="75"/>
      <c r="E154" s="77"/>
      <c r="F154" s="67"/>
      <c r="G154" s="77"/>
      <c r="H154" s="79"/>
      <c r="I154" s="67">
        <f t="shared" si="10"/>
        <v>0</v>
      </c>
      <c r="J154" s="67">
        <f t="shared" si="11"/>
        <v>0</v>
      </c>
      <c r="K154" s="67">
        <f t="shared" si="12"/>
        <v>0</v>
      </c>
      <c r="L154" s="100">
        <f t="shared" si="13"/>
        <v>0</v>
      </c>
      <c r="M154" s="68"/>
      <c r="N154" s="100">
        <f t="shared" si="14"/>
        <v>0</v>
      </c>
      <c r="O154" s="14"/>
    </row>
    <row r="155" spans="1:15" x14ac:dyDescent="0.2">
      <c r="A155" s="66"/>
      <c r="B155" s="66"/>
      <c r="C155" s="66"/>
      <c r="D155" s="75"/>
      <c r="E155" s="77"/>
      <c r="F155" s="67"/>
      <c r="G155" s="77"/>
      <c r="H155" s="79"/>
      <c r="I155" s="67">
        <f t="shared" si="10"/>
        <v>0</v>
      </c>
      <c r="J155" s="67">
        <f t="shared" si="11"/>
        <v>0</v>
      </c>
      <c r="K155" s="67">
        <f t="shared" si="12"/>
        <v>0</v>
      </c>
      <c r="L155" s="100">
        <f t="shared" si="13"/>
        <v>0</v>
      </c>
      <c r="M155" s="68"/>
      <c r="N155" s="100">
        <f t="shared" si="14"/>
        <v>0</v>
      </c>
      <c r="O155" s="14"/>
    </row>
    <row r="156" spans="1:15" x14ac:dyDescent="0.2">
      <c r="A156" s="66"/>
      <c r="B156" s="66"/>
      <c r="C156" s="66"/>
      <c r="D156" s="75"/>
      <c r="E156" s="77"/>
      <c r="F156" s="67"/>
      <c r="G156" s="77"/>
      <c r="H156" s="79"/>
      <c r="I156" s="67">
        <f t="shared" si="10"/>
        <v>0</v>
      </c>
      <c r="J156" s="67">
        <f t="shared" si="11"/>
        <v>0</v>
      </c>
      <c r="K156" s="67">
        <f t="shared" si="12"/>
        <v>0</v>
      </c>
      <c r="L156" s="100">
        <f t="shared" si="13"/>
        <v>0</v>
      </c>
      <c r="M156" s="68"/>
      <c r="N156" s="100">
        <f t="shared" si="14"/>
        <v>0</v>
      </c>
      <c r="O156" s="14"/>
    </row>
    <row r="157" spans="1:15" x14ac:dyDescent="0.2">
      <c r="A157" s="66"/>
      <c r="B157" s="66"/>
      <c r="C157" s="66"/>
      <c r="D157" s="75"/>
      <c r="E157" s="77"/>
      <c r="F157" s="67"/>
      <c r="G157" s="77"/>
      <c r="H157" s="79"/>
      <c r="I157" s="67">
        <f t="shared" si="10"/>
        <v>0</v>
      </c>
      <c r="J157" s="67">
        <f t="shared" si="11"/>
        <v>0</v>
      </c>
      <c r="K157" s="67">
        <f t="shared" si="12"/>
        <v>0</v>
      </c>
      <c r="L157" s="100">
        <f t="shared" si="13"/>
        <v>0</v>
      </c>
      <c r="M157" s="68"/>
      <c r="N157" s="100">
        <f t="shared" si="14"/>
        <v>0</v>
      </c>
      <c r="O157" s="14"/>
    </row>
    <row r="158" spans="1:15" x14ac:dyDescent="0.2">
      <c r="A158" s="66"/>
      <c r="B158" s="66"/>
      <c r="C158" s="66"/>
      <c r="D158" s="75"/>
      <c r="E158" s="77"/>
      <c r="F158" s="67"/>
      <c r="G158" s="77"/>
      <c r="H158" s="79"/>
      <c r="I158" s="67">
        <f t="shared" si="10"/>
        <v>0</v>
      </c>
      <c r="J158" s="67">
        <f t="shared" si="11"/>
        <v>0</v>
      </c>
      <c r="K158" s="67">
        <f t="shared" si="12"/>
        <v>0</v>
      </c>
      <c r="L158" s="100">
        <f t="shared" si="13"/>
        <v>0</v>
      </c>
      <c r="M158" s="68"/>
      <c r="N158" s="100">
        <f t="shared" si="14"/>
        <v>0</v>
      </c>
      <c r="O158" s="14"/>
    </row>
    <row r="159" spans="1:15" x14ac:dyDescent="0.2">
      <c r="A159" s="66"/>
      <c r="B159" s="66"/>
      <c r="C159" s="66"/>
      <c r="D159" s="75"/>
      <c r="E159" s="77"/>
      <c r="F159" s="67"/>
      <c r="G159" s="77"/>
      <c r="H159" s="79"/>
      <c r="I159" s="67">
        <f t="shared" si="10"/>
        <v>0</v>
      </c>
      <c r="J159" s="67">
        <f t="shared" si="11"/>
        <v>0</v>
      </c>
      <c r="K159" s="67">
        <f t="shared" si="12"/>
        <v>0</v>
      </c>
      <c r="L159" s="100">
        <f t="shared" si="13"/>
        <v>0</v>
      </c>
      <c r="M159" s="68"/>
      <c r="N159" s="100">
        <f t="shared" si="14"/>
        <v>0</v>
      </c>
      <c r="O159" s="14"/>
    </row>
    <row r="160" spans="1:15" x14ac:dyDescent="0.2">
      <c r="A160" s="66"/>
      <c r="B160" s="66"/>
      <c r="C160" s="66"/>
      <c r="D160" s="75"/>
      <c r="E160" s="77"/>
      <c r="F160" s="67"/>
      <c r="G160" s="77"/>
      <c r="H160" s="79"/>
      <c r="I160" s="67">
        <f t="shared" si="10"/>
        <v>0</v>
      </c>
      <c r="J160" s="67">
        <f t="shared" si="11"/>
        <v>0</v>
      </c>
      <c r="K160" s="67">
        <f t="shared" si="12"/>
        <v>0</v>
      </c>
      <c r="L160" s="100">
        <f t="shared" si="13"/>
        <v>0</v>
      </c>
      <c r="M160" s="68"/>
      <c r="N160" s="100">
        <f t="shared" si="14"/>
        <v>0</v>
      </c>
      <c r="O160" s="14"/>
    </row>
    <row r="161" spans="1:15" x14ac:dyDescent="0.2">
      <c r="A161" s="66"/>
      <c r="B161" s="66"/>
      <c r="C161" s="66"/>
      <c r="D161" s="75"/>
      <c r="E161" s="77"/>
      <c r="F161" s="67"/>
      <c r="G161" s="77"/>
      <c r="H161" s="79"/>
      <c r="I161" s="67">
        <f t="shared" si="10"/>
        <v>0</v>
      </c>
      <c r="J161" s="67">
        <f t="shared" si="11"/>
        <v>0</v>
      </c>
      <c r="K161" s="67">
        <f t="shared" si="12"/>
        <v>0</v>
      </c>
      <c r="L161" s="100">
        <f t="shared" si="13"/>
        <v>0</v>
      </c>
      <c r="M161" s="68"/>
      <c r="N161" s="100">
        <f t="shared" si="14"/>
        <v>0</v>
      </c>
      <c r="O161" s="14"/>
    </row>
    <row r="162" spans="1:15" x14ac:dyDescent="0.2">
      <c r="A162" s="66"/>
      <c r="B162" s="66"/>
      <c r="C162" s="66"/>
      <c r="D162" s="75"/>
      <c r="E162" s="77"/>
      <c r="F162" s="67"/>
      <c r="G162" s="77"/>
      <c r="H162" s="79"/>
      <c r="I162" s="67">
        <f t="shared" si="10"/>
        <v>0</v>
      </c>
      <c r="J162" s="67">
        <f t="shared" si="11"/>
        <v>0</v>
      </c>
      <c r="K162" s="67">
        <f t="shared" si="12"/>
        <v>0</v>
      </c>
      <c r="L162" s="100">
        <f t="shared" si="13"/>
        <v>0</v>
      </c>
      <c r="M162" s="68"/>
      <c r="N162" s="100">
        <f t="shared" si="14"/>
        <v>0</v>
      </c>
      <c r="O162" s="14"/>
    </row>
    <row r="163" spans="1:15" x14ac:dyDescent="0.2">
      <c r="A163" s="66"/>
      <c r="B163" s="66"/>
      <c r="C163" s="66"/>
      <c r="D163" s="75"/>
      <c r="E163" s="77"/>
      <c r="F163" s="67"/>
      <c r="G163" s="77"/>
      <c r="H163" s="79"/>
      <c r="I163" s="67">
        <f t="shared" si="10"/>
        <v>0</v>
      </c>
      <c r="J163" s="67">
        <f t="shared" si="11"/>
        <v>0</v>
      </c>
      <c r="K163" s="67">
        <f t="shared" si="12"/>
        <v>0</v>
      </c>
      <c r="L163" s="100">
        <f t="shared" si="13"/>
        <v>0</v>
      </c>
      <c r="M163" s="68"/>
      <c r="N163" s="100">
        <f t="shared" si="14"/>
        <v>0</v>
      </c>
      <c r="O163" s="14"/>
    </row>
    <row r="164" spans="1:15" x14ac:dyDescent="0.2">
      <c r="A164" s="66"/>
      <c r="B164" s="66"/>
      <c r="C164" s="66"/>
      <c r="D164" s="75"/>
      <c r="E164" s="77"/>
      <c r="F164" s="67"/>
      <c r="G164" s="77"/>
      <c r="H164" s="79"/>
      <c r="I164" s="67">
        <f t="shared" si="10"/>
        <v>0</v>
      </c>
      <c r="J164" s="67">
        <f t="shared" si="11"/>
        <v>0</v>
      </c>
      <c r="K164" s="67">
        <f t="shared" si="12"/>
        <v>0</v>
      </c>
      <c r="L164" s="100">
        <f t="shared" si="13"/>
        <v>0</v>
      </c>
      <c r="M164" s="68"/>
      <c r="N164" s="100">
        <f t="shared" si="14"/>
        <v>0</v>
      </c>
      <c r="O164" s="14"/>
    </row>
    <row r="165" spans="1:15" x14ac:dyDescent="0.2">
      <c r="A165" s="66"/>
      <c r="B165" s="66"/>
      <c r="C165" s="66"/>
      <c r="D165" s="75"/>
      <c r="E165" s="77"/>
      <c r="F165" s="67"/>
      <c r="G165" s="77"/>
      <c r="H165" s="79"/>
      <c r="I165" s="67">
        <f t="shared" si="10"/>
        <v>0</v>
      </c>
      <c r="J165" s="67">
        <f t="shared" si="11"/>
        <v>0</v>
      </c>
      <c r="K165" s="67">
        <f t="shared" si="12"/>
        <v>0</v>
      </c>
      <c r="L165" s="100">
        <f t="shared" si="13"/>
        <v>0</v>
      </c>
      <c r="M165" s="68"/>
      <c r="N165" s="100">
        <f t="shared" si="14"/>
        <v>0</v>
      </c>
      <c r="O165" s="14"/>
    </row>
    <row r="166" spans="1:15" x14ac:dyDescent="0.2">
      <c r="A166" s="66"/>
      <c r="B166" s="66"/>
      <c r="C166" s="66"/>
      <c r="D166" s="75"/>
      <c r="E166" s="77"/>
      <c r="F166" s="67"/>
      <c r="G166" s="77"/>
      <c r="H166" s="79"/>
      <c r="I166" s="67">
        <f t="shared" si="10"/>
        <v>0</v>
      </c>
      <c r="J166" s="67">
        <f t="shared" si="11"/>
        <v>0</v>
      </c>
      <c r="K166" s="67">
        <f t="shared" si="12"/>
        <v>0</v>
      </c>
      <c r="L166" s="100">
        <f t="shared" si="13"/>
        <v>0</v>
      </c>
      <c r="M166" s="68"/>
      <c r="N166" s="100">
        <f t="shared" si="14"/>
        <v>0</v>
      </c>
      <c r="O166" s="14"/>
    </row>
    <row r="167" spans="1:15" x14ac:dyDescent="0.2">
      <c r="A167" s="66"/>
      <c r="B167" s="66"/>
      <c r="C167" s="66"/>
      <c r="D167" s="75"/>
      <c r="E167" s="77"/>
      <c r="F167" s="67"/>
      <c r="G167" s="77"/>
      <c r="H167" s="79"/>
      <c r="I167" s="67">
        <f t="shared" si="10"/>
        <v>0</v>
      </c>
      <c r="J167" s="67">
        <f t="shared" si="11"/>
        <v>0</v>
      </c>
      <c r="K167" s="67">
        <f t="shared" si="12"/>
        <v>0</v>
      </c>
      <c r="L167" s="100">
        <f t="shared" si="13"/>
        <v>0</v>
      </c>
      <c r="M167" s="68"/>
      <c r="N167" s="100">
        <f t="shared" si="14"/>
        <v>0</v>
      </c>
      <c r="O167" s="14"/>
    </row>
    <row r="168" spans="1:15" x14ac:dyDescent="0.2">
      <c r="A168" s="66"/>
      <c r="B168" s="66"/>
      <c r="C168" s="66"/>
      <c r="D168" s="75"/>
      <c r="E168" s="77"/>
      <c r="F168" s="67"/>
      <c r="G168" s="77"/>
      <c r="H168" s="79"/>
      <c r="I168" s="67">
        <f t="shared" si="10"/>
        <v>0</v>
      </c>
      <c r="J168" s="67">
        <f t="shared" si="11"/>
        <v>0</v>
      </c>
      <c r="K168" s="67">
        <f t="shared" si="12"/>
        <v>0</v>
      </c>
      <c r="L168" s="100">
        <f t="shared" si="13"/>
        <v>0</v>
      </c>
      <c r="M168" s="68"/>
      <c r="N168" s="100">
        <f t="shared" si="14"/>
        <v>0</v>
      </c>
      <c r="O168" s="14"/>
    </row>
    <row r="169" spans="1:15" x14ac:dyDescent="0.2">
      <c r="A169" s="66"/>
      <c r="B169" s="66"/>
      <c r="C169" s="66"/>
      <c r="D169" s="75"/>
      <c r="E169" s="77"/>
      <c r="F169" s="67"/>
      <c r="G169" s="77"/>
      <c r="H169" s="79"/>
      <c r="I169" s="67">
        <f t="shared" si="10"/>
        <v>0</v>
      </c>
      <c r="J169" s="67">
        <f t="shared" si="11"/>
        <v>0</v>
      </c>
      <c r="K169" s="67">
        <f t="shared" si="12"/>
        <v>0</v>
      </c>
      <c r="L169" s="100">
        <f t="shared" si="13"/>
        <v>0</v>
      </c>
      <c r="M169" s="68"/>
      <c r="N169" s="100">
        <f t="shared" si="14"/>
        <v>0</v>
      </c>
      <c r="O169" s="14"/>
    </row>
    <row r="170" spans="1:15" x14ac:dyDescent="0.2">
      <c r="A170" s="66"/>
      <c r="B170" s="66"/>
      <c r="C170" s="66"/>
      <c r="D170" s="75"/>
      <c r="E170" s="77"/>
      <c r="F170" s="67"/>
      <c r="G170" s="77"/>
      <c r="H170" s="79"/>
      <c r="I170" s="67">
        <f t="shared" si="10"/>
        <v>0</v>
      </c>
      <c r="J170" s="67">
        <f t="shared" si="11"/>
        <v>0</v>
      </c>
      <c r="K170" s="67">
        <f t="shared" si="12"/>
        <v>0</v>
      </c>
      <c r="L170" s="100">
        <f t="shared" si="13"/>
        <v>0</v>
      </c>
      <c r="M170" s="68"/>
      <c r="N170" s="100">
        <f t="shared" si="14"/>
        <v>0</v>
      </c>
      <c r="O170" s="14"/>
    </row>
    <row r="171" spans="1:15" x14ac:dyDescent="0.2">
      <c r="A171" s="66"/>
      <c r="B171" s="66"/>
      <c r="C171" s="66"/>
      <c r="D171" s="75"/>
      <c r="E171" s="77"/>
      <c r="F171" s="67"/>
      <c r="G171" s="77"/>
      <c r="H171" s="79"/>
      <c r="I171" s="67">
        <f t="shared" si="10"/>
        <v>0</v>
      </c>
      <c r="J171" s="67">
        <f t="shared" si="11"/>
        <v>0</v>
      </c>
      <c r="K171" s="67">
        <f t="shared" si="12"/>
        <v>0</v>
      </c>
      <c r="L171" s="100">
        <f t="shared" si="13"/>
        <v>0</v>
      </c>
      <c r="M171" s="68"/>
      <c r="N171" s="100">
        <f t="shared" si="14"/>
        <v>0</v>
      </c>
      <c r="O171" s="14"/>
    </row>
    <row r="172" spans="1:15" x14ac:dyDescent="0.2">
      <c r="A172" s="66"/>
      <c r="B172" s="66"/>
      <c r="C172" s="66"/>
      <c r="D172" s="75"/>
      <c r="E172" s="77"/>
      <c r="F172" s="67"/>
      <c r="G172" s="77"/>
      <c r="H172" s="79"/>
      <c r="I172" s="67">
        <f t="shared" si="10"/>
        <v>0</v>
      </c>
      <c r="J172" s="67">
        <f t="shared" si="11"/>
        <v>0</v>
      </c>
      <c r="K172" s="67">
        <f t="shared" si="12"/>
        <v>0</v>
      </c>
      <c r="L172" s="100">
        <f t="shared" si="13"/>
        <v>0</v>
      </c>
      <c r="M172" s="68"/>
      <c r="N172" s="100">
        <f t="shared" si="14"/>
        <v>0</v>
      </c>
      <c r="O172" s="14"/>
    </row>
    <row r="173" spans="1:15" x14ac:dyDescent="0.2">
      <c r="A173" s="66"/>
      <c r="B173" s="66"/>
      <c r="C173" s="66"/>
      <c r="D173" s="75"/>
      <c r="E173" s="77"/>
      <c r="F173" s="67"/>
      <c r="G173" s="77"/>
      <c r="H173" s="79"/>
      <c r="I173" s="67">
        <f t="shared" si="10"/>
        <v>0</v>
      </c>
      <c r="J173" s="67">
        <f t="shared" si="11"/>
        <v>0</v>
      </c>
      <c r="K173" s="67">
        <f t="shared" si="12"/>
        <v>0</v>
      </c>
      <c r="L173" s="100">
        <f t="shared" si="13"/>
        <v>0</v>
      </c>
      <c r="M173" s="68"/>
      <c r="N173" s="100">
        <f t="shared" si="14"/>
        <v>0</v>
      </c>
      <c r="O173" s="14"/>
    </row>
    <row r="174" spans="1:15" x14ac:dyDescent="0.2">
      <c r="A174" s="66"/>
      <c r="B174" s="66"/>
      <c r="C174" s="66"/>
      <c r="D174" s="75"/>
      <c r="E174" s="77"/>
      <c r="F174" s="67"/>
      <c r="G174" s="77"/>
      <c r="H174" s="79"/>
      <c r="I174" s="67">
        <f t="shared" si="10"/>
        <v>0</v>
      </c>
      <c r="J174" s="67">
        <f t="shared" si="11"/>
        <v>0</v>
      </c>
      <c r="K174" s="67">
        <f t="shared" si="12"/>
        <v>0</v>
      </c>
      <c r="L174" s="100">
        <f t="shared" si="13"/>
        <v>0</v>
      </c>
      <c r="M174" s="68"/>
      <c r="N174" s="100">
        <f t="shared" si="14"/>
        <v>0</v>
      </c>
      <c r="O174" s="14"/>
    </row>
    <row r="175" spans="1:15" x14ac:dyDescent="0.2">
      <c r="A175" s="66"/>
      <c r="B175" s="66"/>
      <c r="C175" s="66"/>
      <c r="D175" s="75"/>
      <c r="E175" s="77"/>
      <c r="F175" s="67"/>
      <c r="G175" s="77"/>
      <c r="H175" s="79"/>
      <c r="I175" s="67">
        <f t="shared" si="10"/>
        <v>0</v>
      </c>
      <c r="J175" s="67">
        <f t="shared" si="11"/>
        <v>0</v>
      </c>
      <c r="K175" s="67">
        <f t="shared" si="12"/>
        <v>0</v>
      </c>
      <c r="L175" s="100">
        <f t="shared" si="13"/>
        <v>0</v>
      </c>
      <c r="M175" s="68"/>
      <c r="N175" s="100">
        <f t="shared" si="14"/>
        <v>0</v>
      </c>
      <c r="O175" s="14"/>
    </row>
    <row r="176" spans="1:15" x14ac:dyDescent="0.2">
      <c r="A176" s="66"/>
      <c r="B176" s="66"/>
      <c r="C176" s="66"/>
      <c r="D176" s="75"/>
      <c r="E176" s="77"/>
      <c r="F176" s="67"/>
      <c r="G176" s="77"/>
      <c r="H176" s="79"/>
      <c r="I176" s="67">
        <f t="shared" si="10"/>
        <v>0</v>
      </c>
      <c r="J176" s="67">
        <f t="shared" si="11"/>
        <v>0</v>
      </c>
      <c r="K176" s="67">
        <f t="shared" si="12"/>
        <v>0</v>
      </c>
      <c r="L176" s="100">
        <f t="shared" si="13"/>
        <v>0</v>
      </c>
      <c r="M176" s="68"/>
      <c r="N176" s="100">
        <f t="shared" si="14"/>
        <v>0</v>
      </c>
      <c r="O176" s="14"/>
    </row>
    <row r="177" spans="1:15" x14ac:dyDescent="0.2">
      <c r="A177" s="66"/>
      <c r="B177" s="66"/>
      <c r="C177" s="66"/>
      <c r="D177" s="75"/>
      <c r="E177" s="77"/>
      <c r="F177" s="67"/>
      <c r="G177" s="77"/>
      <c r="H177" s="79"/>
      <c r="I177" s="67">
        <f t="shared" si="10"/>
        <v>0</v>
      </c>
      <c r="J177" s="67">
        <f t="shared" si="11"/>
        <v>0</v>
      </c>
      <c r="K177" s="67">
        <f t="shared" si="12"/>
        <v>0</v>
      </c>
      <c r="L177" s="100">
        <f t="shared" si="13"/>
        <v>0</v>
      </c>
      <c r="M177" s="68"/>
      <c r="N177" s="100">
        <f t="shared" si="14"/>
        <v>0</v>
      </c>
      <c r="O177" s="14"/>
    </row>
    <row r="178" spans="1:15" x14ac:dyDescent="0.2">
      <c r="A178" s="66"/>
      <c r="B178" s="66"/>
      <c r="C178" s="66"/>
      <c r="D178" s="75"/>
      <c r="E178" s="77"/>
      <c r="F178" s="67"/>
      <c r="G178" s="77"/>
      <c r="H178" s="79"/>
      <c r="I178" s="67">
        <f t="shared" si="10"/>
        <v>0</v>
      </c>
      <c r="J178" s="67">
        <f t="shared" si="11"/>
        <v>0</v>
      </c>
      <c r="K178" s="67">
        <f t="shared" si="12"/>
        <v>0</v>
      </c>
      <c r="L178" s="100">
        <f t="shared" si="13"/>
        <v>0</v>
      </c>
      <c r="M178" s="68"/>
      <c r="N178" s="100">
        <f t="shared" si="14"/>
        <v>0</v>
      </c>
      <c r="O178" s="14"/>
    </row>
    <row r="179" spans="1:15" x14ac:dyDescent="0.2">
      <c r="A179" s="66"/>
      <c r="B179" s="66"/>
      <c r="C179" s="66"/>
      <c r="D179" s="75"/>
      <c r="E179" s="77"/>
      <c r="F179" s="67"/>
      <c r="G179" s="77"/>
      <c r="H179" s="79"/>
      <c r="I179" s="67">
        <f t="shared" si="10"/>
        <v>0</v>
      </c>
      <c r="J179" s="67">
        <f t="shared" si="11"/>
        <v>0</v>
      </c>
      <c r="K179" s="67">
        <f t="shared" si="12"/>
        <v>0</v>
      </c>
      <c r="L179" s="100">
        <f t="shared" si="13"/>
        <v>0</v>
      </c>
      <c r="M179" s="68"/>
      <c r="N179" s="100">
        <f t="shared" si="14"/>
        <v>0</v>
      </c>
      <c r="O179" s="14"/>
    </row>
    <row r="180" spans="1:15" x14ac:dyDescent="0.2">
      <c r="A180" s="66"/>
      <c r="B180" s="66"/>
      <c r="C180" s="66"/>
      <c r="D180" s="75"/>
      <c r="E180" s="77"/>
      <c r="F180" s="67"/>
      <c r="G180" s="77"/>
      <c r="H180" s="79"/>
      <c r="I180" s="67">
        <f t="shared" si="10"/>
        <v>0</v>
      </c>
      <c r="J180" s="67">
        <f t="shared" si="11"/>
        <v>0</v>
      </c>
      <c r="K180" s="67">
        <f t="shared" si="12"/>
        <v>0</v>
      </c>
      <c r="L180" s="100">
        <f t="shared" si="13"/>
        <v>0</v>
      </c>
      <c r="M180" s="68"/>
      <c r="N180" s="100">
        <f t="shared" si="14"/>
        <v>0</v>
      </c>
      <c r="O180" s="14"/>
    </row>
    <row r="181" spans="1:15" x14ac:dyDescent="0.2">
      <c r="A181" s="66"/>
      <c r="B181" s="66"/>
      <c r="C181" s="66"/>
      <c r="D181" s="75"/>
      <c r="E181" s="77"/>
      <c r="F181" s="67"/>
      <c r="G181" s="77"/>
      <c r="H181" s="79"/>
      <c r="I181" s="67">
        <f t="shared" si="10"/>
        <v>0</v>
      </c>
      <c r="J181" s="67">
        <f t="shared" si="11"/>
        <v>0</v>
      </c>
      <c r="K181" s="67">
        <f t="shared" si="12"/>
        <v>0</v>
      </c>
      <c r="L181" s="100">
        <f t="shared" si="13"/>
        <v>0</v>
      </c>
      <c r="M181" s="68"/>
      <c r="N181" s="100">
        <f t="shared" si="14"/>
        <v>0</v>
      </c>
      <c r="O181" s="14"/>
    </row>
    <row r="182" spans="1:15" x14ac:dyDescent="0.2">
      <c r="A182" s="66"/>
      <c r="B182" s="66"/>
      <c r="C182" s="66"/>
      <c r="D182" s="75"/>
      <c r="E182" s="77"/>
      <c r="F182" s="67"/>
      <c r="G182" s="77"/>
      <c r="H182" s="79"/>
      <c r="I182" s="67">
        <f t="shared" si="10"/>
        <v>0</v>
      </c>
      <c r="J182" s="67">
        <f t="shared" si="11"/>
        <v>0</v>
      </c>
      <c r="K182" s="67">
        <f t="shared" si="12"/>
        <v>0</v>
      </c>
      <c r="L182" s="100">
        <f t="shared" si="13"/>
        <v>0</v>
      </c>
      <c r="M182" s="68"/>
      <c r="N182" s="100">
        <f t="shared" si="14"/>
        <v>0</v>
      </c>
      <c r="O182" s="14"/>
    </row>
    <row r="183" spans="1:15" x14ac:dyDescent="0.2">
      <c r="A183" s="66"/>
      <c r="B183" s="66"/>
      <c r="C183" s="66"/>
      <c r="D183" s="75"/>
      <c r="E183" s="77"/>
      <c r="F183" s="67"/>
      <c r="G183" s="77"/>
      <c r="H183" s="79"/>
      <c r="I183" s="67">
        <f t="shared" si="10"/>
        <v>0</v>
      </c>
      <c r="J183" s="67">
        <f t="shared" si="11"/>
        <v>0</v>
      </c>
      <c r="K183" s="67">
        <f t="shared" si="12"/>
        <v>0</v>
      </c>
      <c r="L183" s="100">
        <f t="shared" si="13"/>
        <v>0</v>
      </c>
      <c r="M183" s="68"/>
      <c r="N183" s="100">
        <f t="shared" si="14"/>
        <v>0</v>
      </c>
      <c r="O183" s="14"/>
    </row>
    <row r="184" spans="1:15" x14ac:dyDescent="0.2">
      <c r="A184" s="66"/>
      <c r="B184" s="66"/>
      <c r="C184" s="66"/>
      <c r="D184" s="75"/>
      <c r="E184" s="77"/>
      <c r="F184" s="67"/>
      <c r="G184" s="77"/>
      <c r="H184" s="79"/>
      <c r="I184" s="67">
        <f t="shared" si="10"/>
        <v>0</v>
      </c>
      <c r="J184" s="67">
        <f t="shared" si="11"/>
        <v>0</v>
      </c>
      <c r="K184" s="67">
        <f t="shared" si="12"/>
        <v>0</v>
      </c>
      <c r="L184" s="100">
        <f t="shared" si="13"/>
        <v>0</v>
      </c>
      <c r="M184" s="68"/>
      <c r="N184" s="100">
        <f t="shared" si="14"/>
        <v>0</v>
      </c>
      <c r="O184" s="14"/>
    </row>
    <row r="185" spans="1:15" x14ac:dyDescent="0.2">
      <c r="A185" s="66"/>
      <c r="B185" s="66"/>
      <c r="C185" s="66"/>
      <c r="D185" s="75"/>
      <c r="E185" s="77"/>
      <c r="F185" s="67"/>
      <c r="G185" s="77"/>
      <c r="H185" s="79"/>
      <c r="I185" s="67">
        <f t="shared" si="10"/>
        <v>0</v>
      </c>
      <c r="J185" s="67">
        <f t="shared" si="11"/>
        <v>0</v>
      </c>
      <c r="K185" s="67">
        <f t="shared" si="12"/>
        <v>0</v>
      </c>
      <c r="L185" s="100">
        <f t="shared" si="13"/>
        <v>0</v>
      </c>
      <c r="M185" s="68"/>
      <c r="N185" s="100">
        <f t="shared" si="14"/>
        <v>0</v>
      </c>
      <c r="O185" s="14"/>
    </row>
    <row r="186" spans="1:15" x14ac:dyDescent="0.2">
      <c r="A186" s="66"/>
      <c r="B186" s="66"/>
      <c r="C186" s="66"/>
      <c r="D186" s="75"/>
      <c r="E186" s="77"/>
      <c r="F186" s="67"/>
      <c r="G186" s="77"/>
      <c r="H186" s="79"/>
      <c r="I186" s="67">
        <f t="shared" si="10"/>
        <v>0</v>
      </c>
      <c r="J186" s="67">
        <f t="shared" si="11"/>
        <v>0</v>
      </c>
      <c r="K186" s="67">
        <f t="shared" si="12"/>
        <v>0</v>
      </c>
      <c r="L186" s="100">
        <f t="shared" si="13"/>
        <v>0</v>
      </c>
      <c r="M186" s="68"/>
      <c r="N186" s="100">
        <f t="shared" si="14"/>
        <v>0</v>
      </c>
      <c r="O186" s="14"/>
    </row>
    <row r="187" spans="1:15" x14ac:dyDescent="0.2">
      <c r="A187" s="66"/>
      <c r="B187" s="66"/>
      <c r="C187" s="66"/>
      <c r="D187" s="75"/>
      <c r="E187" s="77"/>
      <c r="F187" s="67"/>
      <c r="G187" s="77"/>
      <c r="H187" s="79"/>
      <c r="I187" s="67">
        <f t="shared" si="10"/>
        <v>0</v>
      </c>
      <c r="J187" s="67">
        <f t="shared" si="11"/>
        <v>0</v>
      </c>
      <c r="K187" s="67">
        <f t="shared" si="12"/>
        <v>0</v>
      </c>
      <c r="L187" s="100">
        <f t="shared" si="13"/>
        <v>0</v>
      </c>
      <c r="M187" s="68"/>
      <c r="N187" s="100">
        <f t="shared" si="14"/>
        <v>0</v>
      </c>
      <c r="O187" s="14"/>
    </row>
    <row r="188" spans="1:15" x14ac:dyDescent="0.2">
      <c r="A188" s="66"/>
      <c r="B188" s="66"/>
      <c r="C188" s="66"/>
      <c r="D188" s="75"/>
      <c r="E188" s="77"/>
      <c r="F188" s="67"/>
      <c r="G188" s="77"/>
      <c r="H188" s="79"/>
      <c r="I188" s="67">
        <f t="shared" si="10"/>
        <v>0</v>
      </c>
      <c r="J188" s="67">
        <f t="shared" si="11"/>
        <v>0</v>
      </c>
      <c r="K188" s="67">
        <f t="shared" si="12"/>
        <v>0</v>
      </c>
      <c r="L188" s="100">
        <f t="shared" si="13"/>
        <v>0</v>
      </c>
      <c r="M188" s="68"/>
      <c r="N188" s="100">
        <f t="shared" si="14"/>
        <v>0</v>
      </c>
      <c r="O188" s="14"/>
    </row>
    <row r="189" spans="1:15" x14ac:dyDescent="0.2">
      <c r="A189" s="66"/>
      <c r="B189" s="66"/>
      <c r="C189" s="66"/>
      <c r="D189" s="75"/>
      <c r="E189" s="77"/>
      <c r="F189" s="67"/>
      <c r="G189" s="77"/>
      <c r="H189" s="79"/>
      <c r="I189" s="67">
        <f t="shared" si="10"/>
        <v>0</v>
      </c>
      <c r="J189" s="67">
        <f t="shared" si="11"/>
        <v>0</v>
      </c>
      <c r="K189" s="67">
        <f t="shared" si="12"/>
        <v>0</v>
      </c>
      <c r="L189" s="100">
        <f t="shared" si="13"/>
        <v>0</v>
      </c>
      <c r="M189" s="68"/>
      <c r="N189" s="100">
        <f t="shared" si="14"/>
        <v>0</v>
      </c>
      <c r="O189" s="14"/>
    </row>
    <row r="190" spans="1:15" x14ac:dyDescent="0.2">
      <c r="A190" s="66"/>
      <c r="B190" s="66"/>
      <c r="C190" s="66"/>
      <c r="D190" s="75"/>
      <c r="E190" s="77"/>
      <c r="F190" s="67"/>
      <c r="G190" s="77"/>
      <c r="H190" s="79"/>
      <c r="I190" s="67">
        <f t="shared" si="10"/>
        <v>0</v>
      </c>
      <c r="J190" s="67">
        <f t="shared" si="11"/>
        <v>0</v>
      </c>
      <c r="K190" s="67">
        <f t="shared" si="12"/>
        <v>0</v>
      </c>
      <c r="L190" s="100">
        <f t="shared" si="13"/>
        <v>0</v>
      </c>
      <c r="M190" s="68"/>
      <c r="N190" s="100">
        <f t="shared" si="14"/>
        <v>0</v>
      </c>
      <c r="O190" s="14"/>
    </row>
    <row r="191" spans="1:15" x14ac:dyDescent="0.2">
      <c r="A191" s="66"/>
      <c r="B191" s="66"/>
      <c r="C191" s="66"/>
      <c r="D191" s="75"/>
      <c r="E191" s="77"/>
      <c r="F191" s="67"/>
      <c r="G191" s="77"/>
      <c r="H191" s="79"/>
      <c r="I191" s="67">
        <f t="shared" ref="I191:I254" si="15">IF(H191=0,+D191*0.1,G191*H191)</f>
        <v>0</v>
      </c>
      <c r="J191" s="67">
        <f t="shared" ref="J191:J254" si="16">IF(H191=0,+G191-E191,0)</f>
        <v>0</v>
      </c>
      <c r="K191" s="67">
        <f t="shared" ref="K191:K254" si="17">+(J191*0.5)*D191</f>
        <v>0</v>
      </c>
      <c r="L191" s="100">
        <f t="shared" ref="L191:L254" si="18">+I191+K191</f>
        <v>0</v>
      </c>
      <c r="M191" s="68"/>
      <c r="N191" s="100">
        <f t="shared" ref="N191:N254" si="19">IF(H191=0,IF(L191&gt;G191,L191,G191),L191)</f>
        <v>0</v>
      </c>
      <c r="O191" s="14"/>
    </row>
    <row r="192" spans="1:15" x14ac:dyDescent="0.2">
      <c r="A192" s="66"/>
      <c r="B192" s="66"/>
      <c r="C192" s="66"/>
      <c r="D192" s="75"/>
      <c r="E192" s="77"/>
      <c r="F192" s="67"/>
      <c r="G192" s="77"/>
      <c r="H192" s="79"/>
      <c r="I192" s="67">
        <f t="shared" si="15"/>
        <v>0</v>
      </c>
      <c r="J192" s="67">
        <f t="shared" si="16"/>
        <v>0</v>
      </c>
      <c r="K192" s="67">
        <f t="shared" si="17"/>
        <v>0</v>
      </c>
      <c r="L192" s="100">
        <f t="shared" si="18"/>
        <v>0</v>
      </c>
      <c r="M192" s="68"/>
      <c r="N192" s="100">
        <f t="shared" si="19"/>
        <v>0</v>
      </c>
      <c r="O192" s="14"/>
    </row>
    <row r="193" spans="1:15" x14ac:dyDescent="0.2">
      <c r="A193" s="66"/>
      <c r="B193" s="66"/>
      <c r="C193" s="66"/>
      <c r="D193" s="75"/>
      <c r="E193" s="77"/>
      <c r="F193" s="67"/>
      <c r="G193" s="77"/>
      <c r="H193" s="79"/>
      <c r="I193" s="67">
        <f t="shared" si="15"/>
        <v>0</v>
      </c>
      <c r="J193" s="67">
        <f t="shared" si="16"/>
        <v>0</v>
      </c>
      <c r="K193" s="67">
        <f t="shared" si="17"/>
        <v>0</v>
      </c>
      <c r="L193" s="100">
        <f t="shared" si="18"/>
        <v>0</v>
      </c>
      <c r="M193" s="68"/>
      <c r="N193" s="100">
        <f t="shared" si="19"/>
        <v>0</v>
      </c>
      <c r="O193" s="14"/>
    </row>
    <row r="194" spans="1:15" x14ac:dyDescent="0.2">
      <c r="A194" s="66"/>
      <c r="B194" s="66"/>
      <c r="C194" s="66"/>
      <c r="D194" s="75"/>
      <c r="E194" s="77"/>
      <c r="F194" s="67"/>
      <c r="G194" s="77"/>
      <c r="H194" s="79"/>
      <c r="I194" s="67">
        <f t="shared" si="15"/>
        <v>0</v>
      </c>
      <c r="J194" s="67">
        <f t="shared" si="16"/>
        <v>0</v>
      </c>
      <c r="K194" s="67">
        <f t="shared" si="17"/>
        <v>0</v>
      </c>
      <c r="L194" s="100">
        <f t="shared" si="18"/>
        <v>0</v>
      </c>
      <c r="M194" s="68"/>
      <c r="N194" s="100">
        <f t="shared" si="19"/>
        <v>0</v>
      </c>
      <c r="O194" s="14"/>
    </row>
    <row r="195" spans="1:15" x14ac:dyDescent="0.2">
      <c r="A195" s="66"/>
      <c r="B195" s="66"/>
      <c r="C195" s="66"/>
      <c r="D195" s="75"/>
      <c r="E195" s="77"/>
      <c r="F195" s="67"/>
      <c r="G195" s="77"/>
      <c r="H195" s="79"/>
      <c r="I195" s="67">
        <f t="shared" si="15"/>
        <v>0</v>
      </c>
      <c r="J195" s="67">
        <f t="shared" si="16"/>
        <v>0</v>
      </c>
      <c r="K195" s="67">
        <f t="shared" si="17"/>
        <v>0</v>
      </c>
      <c r="L195" s="100">
        <f t="shared" si="18"/>
        <v>0</v>
      </c>
      <c r="M195" s="68"/>
      <c r="N195" s="100">
        <f t="shared" si="19"/>
        <v>0</v>
      </c>
      <c r="O195" s="14"/>
    </row>
    <row r="196" spans="1:15" x14ac:dyDescent="0.2">
      <c r="A196" s="66"/>
      <c r="B196" s="66"/>
      <c r="C196" s="66"/>
      <c r="D196" s="75"/>
      <c r="E196" s="77"/>
      <c r="F196" s="67"/>
      <c r="G196" s="77"/>
      <c r="H196" s="79"/>
      <c r="I196" s="67">
        <f t="shared" si="15"/>
        <v>0</v>
      </c>
      <c r="J196" s="67">
        <f t="shared" si="16"/>
        <v>0</v>
      </c>
      <c r="K196" s="67">
        <f t="shared" si="17"/>
        <v>0</v>
      </c>
      <c r="L196" s="100">
        <f t="shared" si="18"/>
        <v>0</v>
      </c>
      <c r="M196" s="68"/>
      <c r="N196" s="100">
        <f t="shared" si="19"/>
        <v>0</v>
      </c>
      <c r="O196" s="14"/>
    </row>
    <row r="197" spans="1:15" x14ac:dyDescent="0.2">
      <c r="A197" s="66"/>
      <c r="B197" s="66"/>
      <c r="C197" s="66"/>
      <c r="D197" s="75"/>
      <c r="E197" s="77"/>
      <c r="F197" s="67"/>
      <c r="G197" s="77"/>
      <c r="H197" s="79"/>
      <c r="I197" s="67">
        <f t="shared" si="15"/>
        <v>0</v>
      </c>
      <c r="J197" s="67">
        <f t="shared" si="16"/>
        <v>0</v>
      </c>
      <c r="K197" s="67">
        <f t="shared" si="17"/>
        <v>0</v>
      </c>
      <c r="L197" s="100">
        <f t="shared" si="18"/>
        <v>0</v>
      </c>
      <c r="M197" s="68"/>
      <c r="N197" s="100">
        <f t="shared" si="19"/>
        <v>0</v>
      </c>
      <c r="O197" s="14"/>
    </row>
    <row r="198" spans="1:15" x14ac:dyDescent="0.2">
      <c r="A198" s="66"/>
      <c r="B198" s="66"/>
      <c r="C198" s="66"/>
      <c r="D198" s="75"/>
      <c r="E198" s="77"/>
      <c r="F198" s="67"/>
      <c r="G198" s="77"/>
      <c r="H198" s="79"/>
      <c r="I198" s="67">
        <f t="shared" si="15"/>
        <v>0</v>
      </c>
      <c r="J198" s="67">
        <f t="shared" si="16"/>
        <v>0</v>
      </c>
      <c r="K198" s="67">
        <f t="shared" si="17"/>
        <v>0</v>
      </c>
      <c r="L198" s="100">
        <f t="shared" si="18"/>
        <v>0</v>
      </c>
      <c r="M198" s="68"/>
      <c r="N198" s="100">
        <f t="shared" si="19"/>
        <v>0</v>
      </c>
      <c r="O198" s="14"/>
    </row>
    <row r="199" spans="1:15" x14ac:dyDescent="0.2">
      <c r="A199" s="66"/>
      <c r="B199" s="66"/>
      <c r="C199" s="66"/>
      <c r="D199" s="75"/>
      <c r="E199" s="77"/>
      <c r="F199" s="67"/>
      <c r="G199" s="77"/>
      <c r="H199" s="79"/>
      <c r="I199" s="67">
        <f t="shared" si="15"/>
        <v>0</v>
      </c>
      <c r="J199" s="67">
        <f t="shared" si="16"/>
        <v>0</v>
      </c>
      <c r="K199" s="67">
        <f t="shared" si="17"/>
        <v>0</v>
      </c>
      <c r="L199" s="100">
        <f t="shared" si="18"/>
        <v>0</v>
      </c>
      <c r="M199" s="68"/>
      <c r="N199" s="100">
        <f t="shared" si="19"/>
        <v>0</v>
      </c>
      <c r="O199" s="14"/>
    </row>
    <row r="200" spans="1:15" x14ac:dyDescent="0.2">
      <c r="A200" s="66"/>
      <c r="B200" s="66"/>
      <c r="C200" s="66"/>
      <c r="D200" s="75"/>
      <c r="E200" s="77"/>
      <c r="F200" s="67"/>
      <c r="G200" s="77"/>
      <c r="H200" s="79"/>
      <c r="I200" s="67">
        <f t="shared" si="15"/>
        <v>0</v>
      </c>
      <c r="J200" s="67">
        <f t="shared" si="16"/>
        <v>0</v>
      </c>
      <c r="K200" s="67">
        <f t="shared" si="17"/>
        <v>0</v>
      </c>
      <c r="L200" s="100">
        <f t="shared" si="18"/>
        <v>0</v>
      </c>
      <c r="M200" s="68"/>
      <c r="N200" s="100">
        <f t="shared" si="19"/>
        <v>0</v>
      </c>
      <c r="O200" s="14"/>
    </row>
    <row r="201" spans="1:15" x14ac:dyDescent="0.2">
      <c r="A201" s="66"/>
      <c r="B201" s="66"/>
      <c r="C201" s="66"/>
      <c r="D201" s="75"/>
      <c r="E201" s="77"/>
      <c r="F201" s="67"/>
      <c r="G201" s="77"/>
      <c r="H201" s="79"/>
      <c r="I201" s="67">
        <f t="shared" si="15"/>
        <v>0</v>
      </c>
      <c r="J201" s="67">
        <f t="shared" si="16"/>
        <v>0</v>
      </c>
      <c r="K201" s="67">
        <f t="shared" si="17"/>
        <v>0</v>
      </c>
      <c r="L201" s="100">
        <f t="shared" si="18"/>
        <v>0</v>
      </c>
      <c r="M201" s="68"/>
      <c r="N201" s="100">
        <f t="shared" si="19"/>
        <v>0</v>
      </c>
      <c r="O201" s="14"/>
    </row>
    <row r="202" spans="1:15" x14ac:dyDescent="0.2">
      <c r="A202" s="66"/>
      <c r="B202" s="66"/>
      <c r="C202" s="66"/>
      <c r="D202" s="75"/>
      <c r="E202" s="77"/>
      <c r="F202" s="67"/>
      <c r="G202" s="77"/>
      <c r="H202" s="79"/>
      <c r="I202" s="67">
        <f t="shared" si="15"/>
        <v>0</v>
      </c>
      <c r="J202" s="67">
        <f t="shared" si="16"/>
        <v>0</v>
      </c>
      <c r="K202" s="67">
        <f t="shared" si="17"/>
        <v>0</v>
      </c>
      <c r="L202" s="100">
        <f t="shared" si="18"/>
        <v>0</v>
      </c>
      <c r="M202" s="68"/>
      <c r="N202" s="100">
        <f t="shared" si="19"/>
        <v>0</v>
      </c>
      <c r="O202" s="14"/>
    </row>
    <row r="203" spans="1:15" x14ac:dyDescent="0.2">
      <c r="A203" s="66"/>
      <c r="B203" s="66"/>
      <c r="C203" s="66"/>
      <c r="D203" s="75"/>
      <c r="E203" s="77"/>
      <c r="F203" s="67"/>
      <c r="G203" s="77"/>
      <c r="H203" s="79"/>
      <c r="I203" s="67">
        <f t="shared" si="15"/>
        <v>0</v>
      </c>
      <c r="J203" s="67">
        <f t="shared" si="16"/>
        <v>0</v>
      </c>
      <c r="K203" s="67">
        <f t="shared" si="17"/>
        <v>0</v>
      </c>
      <c r="L203" s="100">
        <f t="shared" si="18"/>
        <v>0</v>
      </c>
      <c r="M203" s="68"/>
      <c r="N203" s="100">
        <f t="shared" si="19"/>
        <v>0</v>
      </c>
      <c r="O203" s="14"/>
    </row>
    <row r="204" spans="1:15" x14ac:dyDescent="0.2">
      <c r="A204" s="66"/>
      <c r="B204" s="66"/>
      <c r="C204" s="66"/>
      <c r="D204" s="75"/>
      <c r="E204" s="77"/>
      <c r="F204" s="67"/>
      <c r="G204" s="77"/>
      <c r="H204" s="79"/>
      <c r="I204" s="67">
        <f t="shared" si="15"/>
        <v>0</v>
      </c>
      <c r="J204" s="67">
        <f t="shared" si="16"/>
        <v>0</v>
      </c>
      <c r="K204" s="67">
        <f t="shared" si="17"/>
        <v>0</v>
      </c>
      <c r="L204" s="100">
        <f t="shared" si="18"/>
        <v>0</v>
      </c>
      <c r="M204" s="68"/>
      <c r="N204" s="100">
        <f t="shared" si="19"/>
        <v>0</v>
      </c>
      <c r="O204" s="14"/>
    </row>
    <row r="205" spans="1:15" x14ac:dyDescent="0.2">
      <c r="A205" s="66"/>
      <c r="B205" s="66"/>
      <c r="C205" s="66"/>
      <c r="D205" s="75"/>
      <c r="E205" s="77"/>
      <c r="F205" s="67"/>
      <c r="G205" s="77"/>
      <c r="H205" s="79"/>
      <c r="I205" s="67">
        <f t="shared" si="15"/>
        <v>0</v>
      </c>
      <c r="J205" s="67">
        <f t="shared" si="16"/>
        <v>0</v>
      </c>
      <c r="K205" s="67">
        <f t="shared" si="17"/>
        <v>0</v>
      </c>
      <c r="L205" s="100">
        <f t="shared" si="18"/>
        <v>0</v>
      </c>
      <c r="M205" s="68"/>
      <c r="N205" s="100">
        <f t="shared" si="19"/>
        <v>0</v>
      </c>
      <c r="O205" s="14"/>
    </row>
    <row r="206" spans="1:15" x14ac:dyDescent="0.2">
      <c r="A206" s="66"/>
      <c r="B206" s="66"/>
      <c r="C206" s="66"/>
      <c r="D206" s="75"/>
      <c r="E206" s="77"/>
      <c r="F206" s="67"/>
      <c r="G206" s="77"/>
      <c r="H206" s="79"/>
      <c r="I206" s="67">
        <f t="shared" si="15"/>
        <v>0</v>
      </c>
      <c r="J206" s="67">
        <f t="shared" si="16"/>
        <v>0</v>
      </c>
      <c r="K206" s="67">
        <f t="shared" si="17"/>
        <v>0</v>
      </c>
      <c r="L206" s="100">
        <f t="shared" si="18"/>
        <v>0</v>
      </c>
      <c r="M206" s="68"/>
      <c r="N206" s="100">
        <f t="shared" si="19"/>
        <v>0</v>
      </c>
      <c r="O206" s="14"/>
    </row>
    <row r="207" spans="1:15" x14ac:dyDescent="0.2">
      <c r="A207" s="66"/>
      <c r="B207" s="66"/>
      <c r="C207" s="66"/>
      <c r="D207" s="75"/>
      <c r="E207" s="77"/>
      <c r="F207" s="67"/>
      <c r="G207" s="77"/>
      <c r="H207" s="79"/>
      <c r="I207" s="67">
        <f t="shared" si="15"/>
        <v>0</v>
      </c>
      <c r="J207" s="67">
        <f t="shared" si="16"/>
        <v>0</v>
      </c>
      <c r="K207" s="67">
        <f t="shared" si="17"/>
        <v>0</v>
      </c>
      <c r="L207" s="100">
        <f t="shared" si="18"/>
        <v>0</v>
      </c>
      <c r="M207" s="68"/>
      <c r="N207" s="100">
        <f t="shared" si="19"/>
        <v>0</v>
      </c>
      <c r="O207" s="14"/>
    </row>
    <row r="208" spans="1:15" x14ac:dyDescent="0.2">
      <c r="A208" s="66"/>
      <c r="B208" s="66"/>
      <c r="C208" s="66"/>
      <c r="D208" s="75"/>
      <c r="E208" s="77"/>
      <c r="F208" s="67"/>
      <c r="G208" s="77"/>
      <c r="H208" s="79"/>
      <c r="I208" s="67">
        <f t="shared" si="15"/>
        <v>0</v>
      </c>
      <c r="J208" s="67">
        <f t="shared" si="16"/>
        <v>0</v>
      </c>
      <c r="K208" s="67">
        <f t="shared" si="17"/>
        <v>0</v>
      </c>
      <c r="L208" s="100">
        <f t="shared" si="18"/>
        <v>0</v>
      </c>
      <c r="M208" s="68"/>
      <c r="N208" s="100">
        <f t="shared" si="19"/>
        <v>0</v>
      </c>
      <c r="O208" s="14"/>
    </row>
    <row r="209" spans="1:15" x14ac:dyDescent="0.2">
      <c r="A209" s="66"/>
      <c r="B209" s="66"/>
      <c r="C209" s="66"/>
      <c r="D209" s="75"/>
      <c r="E209" s="77"/>
      <c r="F209" s="67"/>
      <c r="G209" s="77"/>
      <c r="H209" s="79"/>
      <c r="I209" s="67">
        <f t="shared" si="15"/>
        <v>0</v>
      </c>
      <c r="J209" s="67">
        <f t="shared" si="16"/>
        <v>0</v>
      </c>
      <c r="K209" s="67">
        <f t="shared" si="17"/>
        <v>0</v>
      </c>
      <c r="L209" s="100">
        <f t="shared" si="18"/>
        <v>0</v>
      </c>
      <c r="M209" s="68"/>
      <c r="N209" s="100">
        <f t="shared" si="19"/>
        <v>0</v>
      </c>
      <c r="O209" s="14"/>
    </row>
    <row r="210" spans="1:15" x14ac:dyDescent="0.2">
      <c r="A210" s="66"/>
      <c r="B210" s="66"/>
      <c r="C210" s="66"/>
      <c r="D210" s="75"/>
      <c r="E210" s="77"/>
      <c r="F210" s="67"/>
      <c r="G210" s="77"/>
      <c r="H210" s="79"/>
      <c r="I210" s="67">
        <f t="shared" si="15"/>
        <v>0</v>
      </c>
      <c r="J210" s="67">
        <f t="shared" si="16"/>
        <v>0</v>
      </c>
      <c r="K210" s="67">
        <f t="shared" si="17"/>
        <v>0</v>
      </c>
      <c r="L210" s="100">
        <f t="shared" si="18"/>
        <v>0</v>
      </c>
      <c r="M210" s="68"/>
      <c r="N210" s="100">
        <f t="shared" si="19"/>
        <v>0</v>
      </c>
      <c r="O210" s="14"/>
    </row>
    <row r="211" spans="1:15" x14ac:dyDescent="0.2">
      <c r="A211" s="66"/>
      <c r="B211" s="66"/>
      <c r="C211" s="66"/>
      <c r="D211" s="75"/>
      <c r="E211" s="77"/>
      <c r="F211" s="67"/>
      <c r="G211" s="77"/>
      <c r="H211" s="79"/>
      <c r="I211" s="67">
        <f t="shared" si="15"/>
        <v>0</v>
      </c>
      <c r="J211" s="67">
        <f t="shared" si="16"/>
        <v>0</v>
      </c>
      <c r="K211" s="67">
        <f t="shared" si="17"/>
        <v>0</v>
      </c>
      <c r="L211" s="100">
        <f t="shared" si="18"/>
        <v>0</v>
      </c>
      <c r="M211" s="68"/>
      <c r="N211" s="100">
        <f t="shared" si="19"/>
        <v>0</v>
      </c>
      <c r="O211" s="14"/>
    </row>
    <row r="212" spans="1:15" x14ac:dyDescent="0.2">
      <c r="A212" s="66"/>
      <c r="B212" s="66"/>
      <c r="C212" s="66"/>
      <c r="D212" s="75"/>
      <c r="E212" s="77"/>
      <c r="F212" s="67"/>
      <c r="G212" s="77"/>
      <c r="H212" s="79"/>
      <c r="I212" s="67">
        <f t="shared" si="15"/>
        <v>0</v>
      </c>
      <c r="J212" s="67">
        <f t="shared" si="16"/>
        <v>0</v>
      </c>
      <c r="K212" s="67">
        <f t="shared" si="17"/>
        <v>0</v>
      </c>
      <c r="L212" s="100">
        <f t="shared" si="18"/>
        <v>0</v>
      </c>
      <c r="M212" s="68"/>
      <c r="N212" s="100">
        <f t="shared" si="19"/>
        <v>0</v>
      </c>
      <c r="O212" s="14"/>
    </row>
    <row r="213" spans="1:15" x14ac:dyDescent="0.2">
      <c r="A213" s="66"/>
      <c r="B213" s="66"/>
      <c r="C213" s="66"/>
      <c r="D213" s="75"/>
      <c r="E213" s="77"/>
      <c r="F213" s="67"/>
      <c r="G213" s="77"/>
      <c r="H213" s="79"/>
      <c r="I213" s="67">
        <f t="shared" si="15"/>
        <v>0</v>
      </c>
      <c r="J213" s="67">
        <f t="shared" si="16"/>
        <v>0</v>
      </c>
      <c r="K213" s="67">
        <f t="shared" si="17"/>
        <v>0</v>
      </c>
      <c r="L213" s="100">
        <f t="shared" si="18"/>
        <v>0</v>
      </c>
      <c r="M213" s="68"/>
      <c r="N213" s="100">
        <f t="shared" si="19"/>
        <v>0</v>
      </c>
      <c r="O213" s="14"/>
    </row>
    <row r="214" spans="1:15" x14ac:dyDescent="0.2">
      <c r="A214" s="66"/>
      <c r="B214" s="66"/>
      <c r="C214" s="66"/>
      <c r="D214" s="75"/>
      <c r="E214" s="77"/>
      <c r="F214" s="67"/>
      <c r="G214" s="77"/>
      <c r="H214" s="79"/>
      <c r="I214" s="67">
        <f t="shared" si="15"/>
        <v>0</v>
      </c>
      <c r="J214" s="67">
        <f t="shared" si="16"/>
        <v>0</v>
      </c>
      <c r="K214" s="67">
        <f t="shared" si="17"/>
        <v>0</v>
      </c>
      <c r="L214" s="100">
        <f t="shared" si="18"/>
        <v>0</v>
      </c>
      <c r="M214" s="68"/>
      <c r="N214" s="100">
        <f t="shared" si="19"/>
        <v>0</v>
      </c>
      <c r="O214" s="14"/>
    </row>
    <row r="215" spans="1:15" x14ac:dyDescent="0.2">
      <c r="A215" s="66"/>
      <c r="B215" s="66"/>
      <c r="C215" s="66"/>
      <c r="D215" s="75"/>
      <c r="E215" s="77"/>
      <c r="F215" s="67"/>
      <c r="G215" s="77"/>
      <c r="H215" s="79"/>
      <c r="I215" s="67">
        <f t="shared" si="15"/>
        <v>0</v>
      </c>
      <c r="J215" s="67">
        <f t="shared" si="16"/>
        <v>0</v>
      </c>
      <c r="K215" s="67">
        <f t="shared" si="17"/>
        <v>0</v>
      </c>
      <c r="L215" s="100">
        <f t="shared" si="18"/>
        <v>0</v>
      </c>
      <c r="M215" s="68"/>
      <c r="N215" s="100">
        <f t="shared" si="19"/>
        <v>0</v>
      </c>
      <c r="O215" s="14"/>
    </row>
    <row r="216" spans="1:15" x14ac:dyDescent="0.2">
      <c r="A216" s="66"/>
      <c r="B216" s="66"/>
      <c r="C216" s="66"/>
      <c r="D216" s="75"/>
      <c r="E216" s="77"/>
      <c r="F216" s="67"/>
      <c r="G216" s="77"/>
      <c r="H216" s="79"/>
      <c r="I216" s="67">
        <f t="shared" si="15"/>
        <v>0</v>
      </c>
      <c r="J216" s="67">
        <f t="shared" si="16"/>
        <v>0</v>
      </c>
      <c r="K216" s="67">
        <f t="shared" si="17"/>
        <v>0</v>
      </c>
      <c r="L216" s="100">
        <f t="shared" si="18"/>
        <v>0</v>
      </c>
      <c r="M216" s="68"/>
      <c r="N216" s="100">
        <f t="shared" si="19"/>
        <v>0</v>
      </c>
      <c r="O216" s="14"/>
    </row>
    <row r="217" spans="1:15" x14ac:dyDescent="0.2">
      <c r="A217" s="66"/>
      <c r="B217" s="66"/>
      <c r="C217" s="66"/>
      <c r="D217" s="75"/>
      <c r="E217" s="77"/>
      <c r="F217" s="67"/>
      <c r="G217" s="77"/>
      <c r="H217" s="79"/>
      <c r="I217" s="67">
        <f t="shared" si="15"/>
        <v>0</v>
      </c>
      <c r="J217" s="67">
        <f t="shared" si="16"/>
        <v>0</v>
      </c>
      <c r="K217" s="67">
        <f t="shared" si="17"/>
        <v>0</v>
      </c>
      <c r="L217" s="100">
        <f t="shared" si="18"/>
        <v>0</v>
      </c>
      <c r="M217" s="68"/>
      <c r="N217" s="100">
        <f t="shared" si="19"/>
        <v>0</v>
      </c>
      <c r="O217" s="14"/>
    </row>
    <row r="218" spans="1:15" x14ac:dyDescent="0.2">
      <c r="A218" s="66"/>
      <c r="B218" s="66"/>
      <c r="C218" s="66"/>
      <c r="D218" s="75"/>
      <c r="E218" s="77"/>
      <c r="F218" s="67"/>
      <c r="G218" s="77"/>
      <c r="H218" s="79"/>
      <c r="I218" s="67">
        <f t="shared" si="15"/>
        <v>0</v>
      </c>
      <c r="J218" s="67">
        <f t="shared" si="16"/>
        <v>0</v>
      </c>
      <c r="K218" s="67">
        <f t="shared" si="17"/>
        <v>0</v>
      </c>
      <c r="L218" s="100">
        <f t="shared" si="18"/>
        <v>0</v>
      </c>
      <c r="M218" s="68"/>
      <c r="N218" s="100">
        <f t="shared" si="19"/>
        <v>0</v>
      </c>
      <c r="O218" s="14"/>
    </row>
    <row r="219" spans="1:15" x14ac:dyDescent="0.2">
      <c r="A219" s="66"/>
      <c r="B219" s="66"/>
      <c r="C219" s="66"/>
      <c r="D219" s="75"/>
      <c r="E219" s="77"/>
      <c r="F219" s="67"/>
      <c r="G219" s="77"/>
      <c r="H219" s="79"/>
      <c r="I219" s="67">
        <f t="shared" si="15"/>
        <v>0</v>
      </c>
      <c r="J219" s="67">
        <f t="shared" si="16"/>
        <v>0</v>
      </c>
      <c r="K219" s="67">
        <f t="shared" si="17"/>
        <v>0</v>
      </c>
      <c r="L219" s="100">
        <f t="shared" si="18"/>
        <v>0</v>
      </c>
      <c r="M219" s="68"/>
      <c r="N219" s="100">
        <f t="shared" si="19"/>
        <v>0</v>
      </c>
      <c r="O219" s="14"/>
    </row>
    <row r="220" spans="1:15" x14ac:dyDescent="0.2">
      <c r="A220" s="66"/>
      <c r="B220" s="66"/>
      <c r="C220" s="66"/>
      <c r="D220" s="75"/>
      <c r="E220" s="77"/>
      <c r="F220" s="67"/>
      <c r="G220" s="77"/>
      <c r="H220" s="79"/>
      <c r="I220" s="67">
        <f t="shared" si="15"/>
        <v>0</v>
      </c>
      <c r="J220" s="67">
        <f t="shared" si="16"/>
        <v>0</v>
      </c>
      <c r="K220" s="67">
        <f t="shared" si="17"/>
        <v>0</v>
      </c>
      <c r="L220" s="100">
        <f t="shared" si="18"/>
        <v>0</v>
      </c>
      <c r="M220" s="68"/>
      <c r="N220" s="100">
        <f t="shared" si="19"/>
        <v>0</v>
      </c>
      <c r="O220" s="14"/>
    </row>
    <row r="221" spans="1:15" x14ac:dyDescent="0.2">
      <c r="A221" s="66"/>
      <c r="B221" s="66"/>
      <c r="C221" s="66"/>
      <c r="D221" s="75"/>
      <c r="E221" s="77"/>
      <c r="F221" s="67"/>
      <c r="G221" s="77"/>
      <c r="H221" s="79"/>
      <c r="I221" s="67">
        <f t="shared" si="15"/>
        <v>0</v>
      </c>
      <c r="J221" s="67">
        <f t="shared" si="16"/>
        <v>0</v>
      </c>
      <c r="K221" s="67">
        <f t="shared" si="17"/>
        <v>0</v>
      </c>
      <c r="L221" s="100">
        <f t="shared" si="18"/>
        <v>0</v>
      </c>
      <c r="M221" s="68"/>
      <c r="N221" s="100">
        <f t="shared" si="19"/>
        <v>0</v>
      </c>
      <c r="O221" s="14"/>
    </row>
    <row r="222" spans="1:15" x14ac:dyDescent="0.2">
      <c r="A222" s="66"/>
      <c r="B222" s="66"/>
      <c r="C222" s="66"/>
      <c r="D222" s="75"/>
      <c r="E222" s="77"/>
      <c r="F222" s="67"/>
      <c r="G222" s="77"/>
      <c r="H222" s="79"/>
      <c r="I222" s="67">
        <f t="shared" si="15"/>
        <v>0</v>
      </c>
      <c r="J222" s="67">
        <f t="shared" si="16"/>
        <v>0</v>
      </c>
      <c r="K222" s="67">
        <f t="shared" si="17"/>
        <v>0</v>
      </c>
      <c r="L222" s="100">
        <f t="shared" si="18"/>
        <v>0</v>
      </c>
      <c r="M222" s="68"/>
      <c r="N222" s="100">
        <f t="shared" si="19"/>
        <v>0</v>
      </c>
      <c r="O222" s="14"/>
    </row>
    <row r="223" spans="1:15" x14ac:dyDescent="0.2">
      <c r="A223" s="66"/>
      <c r="B223" s="66"/>
      <c r="C223" s="66"/>
      <c r="D223" s="75"/>
      <c r="E223" s="77"/>
      <c r="F223" s="67"/>
      <c r="G223" s="77"/>
      <c r="H223" s="79"/>
      <c r="I223" s="67">
        <f t="shared" si="15"/>
        <v>0</v>
      </c>
      <c r="J223" s="67">
        <f t="shared" si="16"/>
        <v>0</v>
      </c>
      <c r="K223" s="67">
        <f t="shared" si="17"/>
        <v>0</v>
      </c>
      <c r="L223" s="100">
        <f t="shared" si="18"/>
        <v>0</v>
      </c>
      <c r="M223" s="68"/>
      <c r="N223" s="100">
        <f t="shared" si="19"/>
        <v>0</v>
      </c>
      <c r="O223" s="14"/>
    </row>
    <row r="224" spans="1:15" x14ac:dyDescent="0.2">
      <c r="A224" s="66"/>
      <c r="B224" s="66"/>
      <c r="C224" s="66"/>
      <c r="D224" s="75"/>
      <c r="E224" s="77"/>
      <c r="F224" s="67"/>
      <c r="G224" s="77"/>
      <c r="H224" s="79"/>
      <c r="I224" s="67">
        <f t="shared" si="15"/>
        <v>0</v>
      </c>
      <c r="J224" s="67">
        <f t="shared" si="16"/>
        <v>0</v>
      </c>
      <c r="K224" s="67">
        <f t="shared" si="17"/>
        <v>0</v>
      </c>
      <c r="L224" s="100">
        <f t="shared" si="18"/>
        <v>0</v>
      </c>
      <c r="M224" s="68"/>
      <c r="N224" s="100">
        <f t="shared" si="19"/>
        <v>0</v>
      </c>
      <c r="O224" s="14"/>
    </row>
    <row r="225" spans="1:15" x14ac:dyDescent="0.2">
      <c r="A225" s="66"/>
      <c r="B225" s="66"/>
      <c r="C225" s="66"/>
      <c r="D225" s="75"/>
      <c r="E225" s="77"/>
      <c r="F225" s="67"/>
      <c r="G225" s="77"/>
      <c r="H225" s="79"/>
      <c r="I225" s="67">
        <f t="shared" si="15"/>
        <v>0</v>
      </c>
      <c r="J225" s="67">
        <f t="shared" si="16"/>
        <v>0</v>
      </c>
      <c r="K225" s="67">
        <f t="shared" si="17"/>
        <v>0</v>
      </c>
      <c r="L225" s="100">
        <f t="shared" si="18"/>
        <v>0</v>
      </c>
      <c r="M225" s="68"/>
      <c r="N225" s="100">
        <f t="shared" si="19"/>
        <v>0</v>
      </c>
      <c r="O225" s="14"/>
    </row>
    <row r="226" spans="1:15" x14ac:dyDescent="0.2">
      <c r="A226" s="66"/>
      <c r="B226" s="66"/>
      <c r="C226" s="66"/>
      <c r="D226" s="75"/>
      <c r="E226" s="77"/>
      <c r="F226" s="67"/>
      <c r="G226" s="77"/>
      <c r="H226" s="79"/>
      <c r="I226" s="67">
        <f t="shared" si="15"/>
        <v>0</v>
      </c>
      <c r="J226" s="67">
        <f t="shared" si="16"/>
        <v>0</v>
      </c>
      <c r="K226" s="67">
        <f t="shared" si="17"/>
        <v>0</v>
      </c>
      <c r="L226" s="100">
        <f t="shared" si="18"/>
        <v>0</v>
      </c>
      <c r="M226" s="68"/>
      <c r="N226" s="100">
        <f t="shared" si="19"/>
        <v>0</v>
      </c>
      <c r="O226" s="14"/>
    </row>
    <row r="227" spans="1:15" x14ac:dyDescent="0.2">
      <c r="A227" s="66"/>
      <c r="B227" s="66"/>
      <c r="C227" s="66"/>
      <c r="D227" s="75"/>
      <c r="E227" s="77"/>
      <c r="F227" s="67"/>
      <c r="G227" s="77"/>
      <c r="H227" s="79"/>
      <c r="I227" s="67">
        <f t="shared" si="15"/>
        <v>0</v>
      </c>
      <c r="J227" s="67">
        <f t="shared" si="16"/>
        <v>0</v>
      </c>
      <c r="K227" s="67">
        <f t="shared" si="17"/>
        <v>0</v>
      </c>
      <c r="L227" s="100">
        <f t="shared" si="18"/>
        <v>0</v>
      </c>
      <c r="M227" s="68"/>
      <c r="N227" s="100">
        <f t="shared" si="19"/>
        <v>0</v>
      </c>
      <c r="O227" s="14"/>
    </row>
    <row r="228" spans="1:15" x14ac:dyDescent="0.2">
      <c r="A228" s="66"/>
      <c r="B228" s="66"/>
      <c r="C228" s="66"/>
      <c r="D228" s="75"/>
      <c r="E228" s="77"/>
      <c r="F228" s="67"/>
      <c r="G228" s="77"/>
      <c r="H228" s="79"/>
      <c r="I228" s="67">
        <f t="shared" si="15"/>
        <v>0</v>
      </c>
      <c r="J228" s="67">
        <f t="shared" si="16"/>
        <v>0</v>
      </c>
      <c r="K228" s="67">
        <f t="shared" si="17"/>
        <v>0</v>
      </c>
      <c r="L228" s="100">
        <f t="shared" si="18"/>
        <v>0</v>
      </c>
      <c r="M228" s="68"/>
      <c r="N228" s="100">
        <f t="shared" si="19"/>
        <v>0</v>
      </c>
      <c r="O228" s="14"/>
    </row>
    <row r="229" spans="1:15" x14ac:dyDescent="0.2">
      <c r="A229" s="66"/>
      <c r="B229" s="66"/>
      <c r="C229" s="66"/>
      <c r="D229" s="75"/>
      <c r="E229" s="77"/>
      <c r="F229" s="67"/>
      <c r="G229" s="77"/>
      <c r="H229" s="79"/>
      <c r="I229" s="67">
        <f t="shared" si="15"/>
        <v>0</v>
      </c>
      <c r="J229" s="67">
        <f t="shared" si="16"/>
        <v>0</v>
      </c>
      <c r="K229" s="67">
        <f t="shared" si="17"/>
        <v>0</v>
      </c>
      <c r="L229" s="100">
        <f t="shared" si="18"/>
        <v>0</v>
      </c>
      <c r="M229" s="68"/>
      <c r="N229" s="100">
        <f t="shared" si="19"/>
        <v>0</v>
      </c>
      <c r="O229" s="14"/>
    </row>
    <row r="230" spans="1:15" x14ac:dyDescent="0.2">
      <c r="A230" s="66"/>
      <c r="B230" s="66"/>
      <c r="C230" s="66"/>
      <c r="D230" s="75"/>
      <c r="E230" s="77"/>
      <c r="F230" s="67"/>
      <c r="G230" s="77"/>
      <c r="H230" s="79"/>
      <c r="I230" s="67">
        <f t="shared" si="15"/>
        <v>0</v>
      </c>
      <c r="J230" s="67">
        <f t="shared" si="16"/>
        <v>0</v>
      </c>
      <c r="K230" s="67">
        <f t="shared" si="17"/>
        <v>0</v>
      </c>
      <c r="L230" s="100">
        <f t="shared" si="18"/>
        <v>0</v>
      </c>
      <c r="M230" s="68"/>
      <c r="N230" s="100">
        <f t="shared" si="19"/>
        <v>0</v>
      </c>
      <c r="O230" s="14"/>
    </row>
    <row r="231" spans="1:15" x14ac:dyDescent="0.2">
      <c r="A231" s="66"/>
      <c r="B231" s="66"/>
      <c r="C231" s="66"/>
      <c r="D231" s="75"/>
      <c r="E231" s="77"/>
      <c r="F231" s="67"/>
      <c r="G231" s="77"/>
      <c r="H231" s="79"/>
      <c r="I231" s="67">
        <f t="shared" si="15"/>
        <v>0</v>
      </c>
      <c r="J231" s="67">
        <f t="shared" si="16"/>
        <v>0</v>
      </c>
      <c r="K231" s="67">
        <f t="shared" si="17"/>
        <v>0</v>
      </c>
      <c r="L231" s="100">
        <f t="shared" si="18"/>
        <v>0</v>
      </c>
      <c r="M231" s="68"/>
      <c r="N231" s="100">
        <f t="shared" si="19"/>
        <v>0</v>
      </c>
      <c r="O231" s="14"/>
    </row>
    <row r="232" spans="1:15" x14ac:dyDescent="0.2">
      <c r="A232" s="66"/>
      <c r="B232" s="66"/>
      <c r="C232" s="66"/>
      <c r="D232" s="75"/>
      <c r="E232" s="77"/>
      <c r="F232" s="67"/>
      <c r="G232" s="77"/>
      <c r="H232" s="79"/>
      <c r="I232" s="67">
        <f t="shared" si="15"/>
        <v>0</v>
      </c>
      <c r="J232" s="67">
        <f t="shared" si="16"/>
        <v>0</v>
      </c>
      <c r="K232" s="67">
        <f t="shared" si="17"/>
        <v>0</v>
      </c>
      <c r="L232" s="100">
        <f t="shared" si="18"/>
        <v>0</v>
      </c>
      <c r="M232" s="68"/>
      <c r="N232" s="100">
        <f t="shared" si="19"/>
        <v>0</v>
      </c>
      <c r="O232" s="14"/>
    </row>
    <row r="233" spans="1:15" x14ac:dyDescent="0.2">
      <c r="A233" s="66"/>
      <c r="B233" s="66"/>
      <c r="C233" s="66"/>
      <c r="D233" s="75"/>
      <c r="E233" s="77"/>
      <c r="F233" s="67"/>
      <c r="G233" s="77"/>
      <c r="H233" s="79"/>
      <c r="I233" s="67">
        <f t="shared" si="15"/>
        <v>0</v>
      </c>
      <c r="J233" s="67">
        <f t="shared" si="16"/>
        <v>0</v>
      </c>
      <c r="K233" s="67">
        <f t="shared" si="17"/>
        <v>0</v>
      </c>
      <c r="L233" s="100">
        <f t="shared" si="18"/>
        <v>0</v>
      </c>
      <c r="M233" s="68"/>
      <c r="N233" s="100">
        <f t="shared" si="19"/>
        <v>0</v>
      </c>
      <c r="O233" s="14"/>
    </row>
    <row r="234" spans="1:15" x14ac:dyDescent="0.2">
      <c r="A234" s="66"/>
      <c r="B234" s="66"/>
      <c r="C234" s="66"/>
      <c r="D234" s="75"/>
      <c r="E234" s="77"/>
      <c r="F234" s="67"/>
      <c r="G234" s="77"/>
      <c r="H234" s="79"/>
      <c r="I234" s="67">
        <f t="shared" si="15"/>
        <v>0</v>
      </c>
      <c r="J234" s="67">
        <f t="shared" si="16"/>
        <v>0</v>
      </c>
      <c r="K234" s="67">
        <f t="shared" si="17"/>
        <v>0</v>
      </c>
      <c r="L234" s="100">
        <f t="shared" si="18"/>
        <v>0</v>
      </c>
      <c r="M234" s="68"/>
      <c r="N234" s="100">
        <f t="shared" si="19"/>
        <v>0</v>
      </c>
      <c r="O234" s="14"/>
    </row>
    <row r="235" spans="1:15" x14ac:dyDescent="0.2">
      <c r="A235" s="66"/>
      <c r="B235" s="66"/>
      <c r="C235" s="66"/>
      <c r="D235" s="75"/>
      <c r="E235" s="77"/>
      <c r="F235" s="67"/>
      <c r="G235" s="77"/>
      <c r="H235" s="79"/>
      <c r="I235" s="67">
        <f t="shared" si="15"/>
        <v>0</v>
      </c>
      <c r="J235" s="67">
        <f t="shared" si="16"/>
        <v>0</v>
      </c>
      <c r="K235" s="67">
        <f t="shared" si="17"/>
        <v>0</v>
      </c>
      <c r="L235" s="100">
        <f t="shared" si="18"/>
        <v>0</v>
      </c>
      <c r="M235" s="68"/>
      <c r="N235" s="100">
        <f t="shared" si="19"/>
        <v>0</v>
      </c>
      <c r="O235" s="14"/>
    </row>
    <row r="236" spans="1:15" x14ac:dyDescent="0.2">
      <c r="A236" s="66"/>
      <c r="B236" s="66"/>
      <c r="C236" s="66"/>
      <c r="D236" s="75"/>
      <c r="E236" s="77"/>
      <c r="F236" s="67"/>
      <c r="G236" s="77"/>
      <c r="H236" s="79"/>
      <c r="I236" s="67">
        <f t="shared" si="15"/>
        <v>0</v>
      </c>
      <c r="J236" s="67">
        <f t="shared" si="16"/>
        <v>0</v>
      </c>
      <c r="K236" s="67">
        <f t="shared" si="17"/>
        <v>0</v>
      </c>
      <c r="L236" s="100">
        <f t="shared" si="18"/>
        <v>0</v>
      </c>
      <c r="M236" s="68"/>
      <c r="N236" s="100">
        <f t="shared" si="19"/>
        <v>0</v>
      </c>
      <c r="O236" s="14"/>
    </row>
    <row r="237" spans="1:15" x14ac:dyDescent="0.2">
      <c r="A237" s="66"/>
      <c r="B237" s="66"/>
      <c r="C237" s="66"/>
      <c r="D237" s="75"/>
      <c r="E237" s="77"/>
      <c r="F237" s="67"/>
      <c r="G237" s="77"/>
      <c r="H237" s="79"/>
      <c r="I237" s="67">
        <f t="shared" si="15"/>
        <v>0</v>
      </c>
      <c r="J237" s="67">
        <f t="shared" si="16"/>
        <v>0</v>
      </c>
      <c r="K237" s="67">
        <f t="shared" si="17"/>
        <v>0</v>
      </c>
      <c r="L237" s="100">
        <f t="shared" si="18"/>
        <v>0</v>
      </c>
      <c r="M237" s="68"/>
      <c r="N237" s="100">
        <f t="shared" si="19"/>
        <v>0</v>
      </c>
      <c r="O237" s="14"/>
    </row>
    <row r="238" spans="1:15" x14ac:dyDescent="0.2">
      <c r="A238" s="66"/>
      <c r="B238" s="66"/>
      <c r="C238" s="66"/>
      <c r="D238" s="75"/>
      <c r="E238" s="77"/>
      <c r="F238" s="67"/>
      <c r="G238" s="77"/>
      <c r="H238" s="79"/>
      <c r="I238" s="67">
        <f t="shared" si="15"/>
        <v>0</v>
      </c>
      <c r="J238" s="67">
        <f t="shared" si="16"/>
        <v>0</v>
      </c>
      <c r="K238" s="67">
        <f t="shared" si="17"/>
        <v>0</v>
      </c>
      <c r="L238" s="100">
        <f t="shared" si="18"/>
        <v>0</v>
      </c>
      <c r="M238" s="68"/>
      <c r="N238" s="100">
        <f t="shared" si="19"/>
        <v>0</v>
      </c>
      <c r="O238" s="14"/>
    </row>
    <row r="239" spans="1:15" x14ac:dyDescent="0.2">
      <c r="A239" s="66"/>
      <c r="B239" s="66"/>
      <c r="C239" s="66"/>
      <c r="D239" s="75"/>
      <c r="E239" s="77"/>
      <c r="F239" s="67"/>
      <c r="G239" s="77"/>
      <c r="H239" s="79"/>
      <c r="I239" s="67">
        <f t="shared" si="15"/>
        <v>0</v>
      </c>
      <c r="J239" s="67">
        <f t="shared" si="16"/>
        <v>0</v>
      </c>
      <c r="K239" s="67">
        <f t="shared" si="17"/>
        <v>0</v>
      </c>
      <c r="L239" s="100">
        <f t="shared" si="18"/>
        <v>0</v>
      </c>
      <c r="M239" s="68"/>
      <c r="N239" s="100">
        <f t="shared" si="19"/>
        <v>0</v>
      </c>
      <c r="O239" s="14"/>
    </row>
    <row r="240" spans="1:15" x14ac:dyDescent="0.2">
      <c r="A240" s="66"/>
      <c r="B240" s="66"/>
      <c r="C240" s="66"/>
      <c r="D240" s="75"/>
      <c r="E240" s="77"/>
      <c r="F240" s="67"/>
      <c r="G240" s="77"/>
      <c r="H240" s="79"/>
      <c r="I240" s="67">
        <f t="shared" si="15"/>
        <v>0</v>
      </c>
      <c r="J240" s="67">
        <f t="shared" si="16"/>
        <v>0</v>
      </c>
      <c r="K240" s="67">
        <f t="shared" si="17"/>
        <v>0</v>
      </c>
      <c r="L240" s="100">
        <f t="shared" si="18"/>
        <v>0</v>
      </c>
      <c r="M240" s="68"/>
      <c r="N240" s="100">
        <f t="shared" si="19"/>
        <v>0</v>
      </c>
      <c r="O240" s="14"/>
    </row>
    <row r="241" spans="1:15" x14ac:dyDescent="0.2">
      <c r="A241" s="66"/>
      <c r="B241" s="66"/>
      <c r="C241" s="66"/>
      <c r="D241" s="75"/>
      <c r="E241" s="77"/>
      <c r="F241" s="67"/>
      <c r="G241" s="77"/>
      <c r="H241" s="79"/>
      <c r="I241" s="67">
        <f t="shared" si="15"/>
        <v>0</v>
      </c>
      <c r="J241" s="67">
        <f t="shared" si="16"/>
        <v>0</v>
      </c>
      <c r="K241" s="67">
        <f t="shared" si="17"/>
        <v>0</v>
      </c>
      <c r="L241" s="100">
        <f t="shared" si="18"/>
        <v>0</v>
      </c>
      <c r="M241" s="68"/>
      <c r="N241" s="100">
        <f t="shared" si="19"/>
        <v>0</v>
      </c>
      <c r="O241" s="14"/>
    </row>
    <row r="242" spans="1:15" x14ac:dyDescent="0.2">
      <c r="A242" s="66"/>
      <c r="B242" s="66"/>
      <c r="C242" s="66"/>
      <c r="D242" s="75"/>
      <c r="E242" s="77"/>
      <c r="F242" s="67"/>
      <c r="G242" s="77"/>
      <c r="H242" s="79"/>
      <c r="I242" s="67">
        <f t="shared" si="15"/>
        <v>0</v>
      </c>
      <c r="J242" s="67">
        <f t="shared" si="16"/>
        <v>0</v>
      </c>
      <c r="K242" s="67">
        <f t="shared" si="17"/>
        <v>0</v>
      </c>
      <c r="L242" s="100">
        <f t="shared" si="18"/>
        <v>0</v>
      </c>
      <c r="M242" s="68"/>
      <c r="N242" s="100">
        <f t="shared" si="19"/>
        <v>0</v>
      </c>
      <c r="O242" s="14"/>
    </row>
    <row r="243" spans="1:15" x14ac:dyDescent="0.2">
      <c r="A243" s="66"/>
      <c r="B243" s="66"/>
      <c r="C243" s="66"/>
      <c r="D243" s="75"/>
      <c r="E243" s="77"/>
      <c r="F243" s="67"/>
      <c r="G243" s="77"/>
      <c r="H243" s="79"/>
      <c r="I243" s="67">
        <f t="shared" si="15"/>
        <v>0</v>
      </c>
      <c r="J243" s="67">
        <f t="shared" si="16"/>
        <v>0</v>
      </c>
      <c r="K243" s="67">
        <f t="shared" si="17"/>
        <v>0</v>
      </c>
      <c r="L243" s="100">
        <f t="shared" si="18"/>
        <v>0</v>
      </c>
      <c r="M243" s="68"/>
      <c r="N243" s="100">
        <f t="shared" si="19"/>
        <v>0</v>
      </c>
      <c r="O243" s="14"/>
    </row>
    <row r="244" spans="1:15" x14ac:dyDescent="0.2">
      <c r="A244" s="66"/>
      <c r="B244" s="66"/>
      <c r="C244" s="66"/>
      <c r="D244" s="75"/>
      <c r="E244" s="77"/>
      <c r="F244" s="67"/>
      <c r="G244" s="77"/>
      <c r="H244" s="79"/>
      <c r="I244" s="67">
        <f t="shared" si="15"/>
        <v>0</v>
      </c>
      <c r="J244" s="67">
        <f t="shared" si="16"/>
        <v>0</v>
      </c>
      <c r="K244" s="67">
        <f t="shared" si="17"/>
        <v>0</v>
      </c>
      <c r="L244" s="100">
        <f t="shared" si="18"/>
        <v>0</v>
      </c>
      <c r="M244" s="68"/>
      <c r="N244" s="100">
        <f t="shared" si="19"/>
        <v>0</v>
      </c>
      <c r="O244" s="14"/>
    </row>
    <row r="245" spans="1:15" x14ac:dyDescent="0.2">
      <c r="A245" s="66"/>
      <c r="B245" s="66"/>
      <c r="C245" s="66"/>
      <c r="D245" s="75"/>
      <c r="E245" s="77"/>
      <c r="F245" s="67"/>
      <c r="G245" s="77"/>
      <c r="H245" s="79"/>
      <c r="I245" s="67">
        <f t="shared" si="15"/>
        <v>0</v>
      </c>
      <c r="J245" s="67">
        <f t="shared" si="16"/>
        <v>0</v>
      </c>
      <c r="K245" s="67">
        <f t="shared" si="17"/>
        <v>0</v>
      </c>
      <c r="L245" s="100">
        <f t="shared" si="18"/>
        <v>0</v>
      </c>
      <c r="M245" s="68"/>
      <c r="N245" s="100">
        <f t="shared" si="19"/>
        <v>0</v>
      </c>
      <c r="O245" s="14"/>
    </row>
    <row r="246" spans="1:15" x14ac:dyDescent="0.2">
      <c r="A246" s="66"/>
      <c r="B246" s="66"/>
      <c r="C246" s="66"/>
      <c r="D246" s="75"/>
      <c r="E246" s="77"/>
      <c r="F246" s="67"/>
      <c r="G246" s="77"/>
      <c r="H246" s="79"/>
      <c r="I246" s="67">
        <f t="shared" si="15"/>
        <v>0</v>
      </c>
      <c r="J246" s="67">
        <f t="shared" si="16"/>
        <v>0</v>
      </c>
      <c r="K246" s="67">
        <f t="shared" si="17"/>
        <v>0</v>
      </c>
      <c r="L246" s="100">
        <f t="shared" si="18"/>
        <v>0</v>
      </c>
      <c r="M246" s="68"/>
      <c r="N246" s="100">
        <f t="shared" si="19"/>
        <v>0</v>
      </c>
      <c r="O246" s="14"/>
    </row>
    <row r="247" spans="1:15" x14ac:dyDescent="0.2">
      <c r="A247" s="66"/>
      <c r="B247" s="66"/>
      <c r="C247" s="66"/>
      <c r="D247" s="75"/>
      <c r="E247" s="77"/>
      <c r="F247" s="67"/>
      <c r="G247" s="77"/>
      <c r="H247" s="79"/>
      <c r="I247" s="67">
        <f t="shared" si="15"/>
        <v>0</v>
      </c>
      <c r="J247" s="67">
        <f t="shared" si="16"/>
        <v>0</v>
      </c>
      <c r="K247" s="67">
        <f t="shared" si="17"/>
        <v>0</v>
      </c>
      <c r="L247" s="100">
        <f t="shared" si="18"/>
        <v>0</v>
      </c>
      <c r="M247" s="68"/>
      <c r="N247" s="100">
        <f t="shared" si="19"/>
        <v>0</v>
      </c>
      <c r="O247" s="14"/>
    </row>
    <row r="248" spans="1:15" x14ac:dyDescent="0.2">
      <c r="A248" s="66"/>
      <c r="B248" s="66"/>
      <c r="C248" s="66"/>
      <c r="D248" s="75"/>
      <c r="E248" s="77"/>
      <c r="F248" s="67"/>
      <c r="G248" s="77"/>
      <c r="H248" s="79"/>
      <c r="I248" s="67">
        <f t="shared" si="15"/>
        <v>0</v>
      </c>
      <c r="J248" s="67">
        <f t="shared" si="16"/>
        <v>0</v>
      </c>
      <c r="K248" s="67">
        <f t="shared" si="17"/>
        <v>0</v>
      </c>
      <c r="L248" s="100">
        <f t="shared" si="18"/>
        <v>0</v>
      </c>
      <c r="M248" s="68"/>
      <c r="N248" s="100">
        <f t="shared" si="19"/>
        <v>0</v>
      </c>
      <c r="O248" s="14"/>
    </row>
    <row r="249" spans="1:15" x14ac:dyDescent="0.2">
      <c r="A249" s="66"/>
      <c r="B249" s="66"/>
      <c r="C249" s="66"/>
      <c r="D249" s="75"/>
      <c r="E249" s="77"/>
      <c r="F249" s="67"/>
      <c r="G249" s="77"/>
      <c r="H249" s="79"/>
      <c r="I249" s="67">
        <f t="shared" si="15"/>
        <v>0</v>
      </c>
      <c r="J249" s="67">
        <f t="shared" si="16"/>
        <v>0</v>
      </c>
      <c r="K249" s="67">
        <f t="shared" si="17"/>
        <v>0</v>
      </c>
      <c r="L249" s="100">
        <f t="shared" si="18"/>
        <v>0</v>
      </c>
      <c r="M249" s="68"/>
      <c r="N249" s="100">
        <f t="shared" si="19"/>
        <v>0</v>
      </c>
      <c r="O249" s="14"/>
    </row>
    <row r="250" spans="1:15" x14ac:dyDescent="0.2">
      <c r="A250" s="66"/>
      <c r="B250" s="66"/>
      <c r="C250" s="66"/>
      <c r="D250" s="75"/>
      <c r="E250" s="77"/>
      <c r="F250" s="67"/>
      <c r="G250" s="77"/>
      <c r="H250" s="79"/>
      <c r="I250" s="67">
        <f t="shared" si="15"/>
        <v>0</v>
      </c>
      <c r="J250" s="67">
        <f t="shared" si="16"/>
        <v>0</v>
      </c>
      <c r="K250" s="67">
        <f t="shared" si="17"/>
        <v>0</v>
      </c>
      <c r="L250" s="100">
        <f t="shared" si="18"/>
        <v>0</v>
      </c>
      <c r="M250" s="68"/>
      <c r="N250" s="100">
        <f t="shared" si="19"/>
        <v>0</v>
      </c>
      <c r="O250" s="14"/>
    </row>
    <row r="251" spans="1:15" x14ac:dyDescent="0.2">
      <c r="A251" s="66"/>
      <c r="B251" s="66"/>
      <c r="C251" s="66"/>
      <c r="D251" s="75"/>
      <c r="E251" s="77"/>
      <c r="F251" s="67"/>
      <c r="G251" s="77"/>
      <c r="H251" s="79"/>
      <c r="I251" s="67">
        <f t="shared" si="15"/>
        <v>0</v>
      </c>
      <c r="J251" s="67">
        <f t="shared" si="16"/>
        <v>0</v>
      </c>
      <c r="K251" s="67">
        <f t="shared" si="17"/>
        <v>0</v>
      </c>
      <c r="L251" s="100">
        <f t="shared" si="18"/>
        <v>0</v>
      </c>
      <c r="M251" s="68"/>
      <c r="N251" s="100">
        <f t="shared" si="19"/>
        <v>0</v>
      </c>
      <c r="O251" s="14"/>
    </row>
    <row r="252" spans="1:15" x14ac:dyDescent="0.2">
      <c r="A252" s="66"/>
      <c r="B252" s="66"/>
      <c r="C252" s="66"/>
      <c r="D252" s="75"/>
      <c r="E252" s="77"/>
      <c r="F252" s="67"/>
      <c r="G252" s="77"/>
      <c r="H252" s="79"/>
      <c r="I252" s="67">
        <f t="shared" si="15"/>
        <v>0</v>
      </c>
      <c r="J252" s="67">
        <f t="shared" si="16"/>
        <v>0</v>
      </c>
      <c r="K252" s="67">
        <f t="shared" si="17"/>
        <v>0</v>
      </c>
      <c r="L252" s="100">
        <f t="shared" si="18"/>
        <v>0</v>
      </c>
      <c r="M252" s="68"/>
      <c r="N252" s="100">
        <f t="shared" si="19"/>
        <v>0</v>
      </c>
      <c r="O252" s="14"/>
    </row>
    <row r="253" spans="1:15" x14ac:dyDescent="0.2">
      <c r="A253" s="66"/>
      <c r="B253" s="66"/>
      <c r="C253" s="66"/>
      <c r="D253" s="75"/>
      <c r="E253" s="77"/>
      <c r="F253" s="67"/>
      <c r="G253" s="77"/>
      <c r="H253" s="79"/>
      <c r="I253" s="67">
        <f t="shared" si="15"/>
        <v>0</v>
      </c>
      <c r="J253" s="67">
        <f t="shared" si="16"/>
        <v>0</v>
      </c>
      <c r="K253" s="67">
        <f t="shared" si="17"/>
        <v>0</v>
      </c>
      <c r="L253" s="100">
        <f t="shared" si="18"/>
        <v>0</v>
      </c>
      <c r="M253" s="68"/>
      <c r="N253" s="100">
        <f t="shared" si="19"/>
        <v>0</v>
      </c>
      <c r="O253" s="14"/>
    </row>
    <row r="254" spans="1:15" x14ac:dyDescent="0.2">
      <c r="A254" s="66"/>
      <c r="B254" s="66"/>
      <c r="C254" s="66"/>
      <c r="D254" s="75"/>
      <c r="E254" s="77"/>
      <c r="F254" s="67"/>
      <c r="G254" s="77"/>
      <c r="H254" s="79"/>
      <c r="I254" s="67">
        <f t="shared" si="15"/>
        <v>0</v>
      </c>
      <c r="J254" s="67">
        <f t="shared" si="16"/>
        <v>0</v>
      </c>
      <c r="K254" s="67">
        <f t="shared" si="17"/>
        <v>0</v>
      </c>
      <c r="L254" s="100">
        <f t="shared" si="18"/>
        <v>0</v>
      </c>
      <c r="M254" s="68"/>
      <c r="N254" s="100">
        <f t="shared" si="19"/>
        <v>0</v>
      </c>
      <c r="O254" s="14"/>
    </row>
    <row r="255" spans="1:15" x14ac:dyDescent="0.2">
      <c r="A255" s="66"/>
      <c r="B255" s="66"/>
      <c r="C255" s="66"/>
      <c r="D255" s="75"/>
      <c r="E255" s="77"/>
      <c r="F255" s="67"/>
      <c r="G255" s="77"/>
      <c r="H255" s="79"/>
      <c r="I255" s="67">
        <f t="shared" ref="I255:I302" si="20">IF(H255=0,+D255*0.1,G255*H255)</f>
        <v>0</v>
      </c>
      <c r="J255" s="67">
        <f t="shared" ref="J255:J302" si="21">IF(H255=0,+G255-E255,0)</f>
        <v>0</v>
      </c>
      <c r="K255" s="67">
        <f t="shared" ref="K255:K302" si="22">+(J255*0.5)*D255</f>
        <v>0</v>
      </c>
      <c r="L255" s="100">
        <f t="shared" ref="L255:L302" si="23">+I255+K255</f>
        <v>0</v>
      </c>
      <c r="M255" s="68"/>
      <c r="N255" s="100">
        <f t="shared" ref="N255:N302" si="24">IF(H255=0,IF(L255&gt;G255,L255,G255),L255)</f>
        <v>0</v>
      </c>
      <c r="O255" s="14"/>
    </row>
    <row r="256" spans="1:15" x14ac:dyDescent="0.2">
      <c r="A256" s="66"/>
      <c r="B256" s="66"/>
      <c r="C256" s="66"/>
      <c r="D256" s="75"/>
      <c r="E256" s="77"/>
      <c r="F256" s="67"/>
      <c r="G256" s="77"/>
      <c r="H256" s="79"/>
      <c r="I256" s="67">
        <f t="shared" si="20"/>
        <v>0</v>
      </c>
      <c r="J256" s="67">
        <f t="shared" si="21"/>
        <v>0</v>
      </c>
      <c r="K256" s="67">
        <f t="shared" si="22"/>
        <v>0</v>
      </c>
      <c r="L256" s="100">
        <f t="shared" si="23"/>
        <v>0</v>
      </c>
      <c r="M256" s="68"/>
      <c r="N256" s="100">
        <f t="shared" si="24"/>
        <v>0</v>
      </c>
      <c r="O256" s="14"/>
    </row>
    <row r="257" spans="1:15" x14ac:dyDescent="0.2">
      <c r="A257" s="66"/>
      <c r="B257" s="66"/>
      <c r="C257" s="66"/>
      <c r="D257" s="75"/>
      <c r="E257" s="77"/>
      <c r="F257" s="67"/>
      <c r="G257" s="77"/>
      <c r="H257" s="79"/>
      <c r="I257" s="67">
        <f t="shared" si="20"/>
        <v>0</v>
      </c>
      <c r="J257" s="67">
        <f t="shared" si="21"/>
        <v>0</v>
      </c>
      <c r="K257" s="67">
        <f t="shared" si="22"/>
        <v>0</v>
      </c>
      <c r="L257" s="100">
        <f t="shared" si="23"/>
        <v>0</v>
      </c>
      <c r="M257" s="68"/>
      <c r="N257" s="100">
        <f t="shared" si="24"/>
        <v>0</v>
      </c>
      <c r="O257" s="14"/>
    </row>
    <row r="258" spans="1:15" x14ac:dyDescent="0.2">
      <c r="A258" s="66"/>
      <c r="B258" s="66"/>
      <c r="C258" s="66"/>
      <c r="D258" s="75"/>
      <c r="E258" s="77"/>
      <c r="F258" s="67"/>
      <c r="G258" s="77"/>
      <c r="H258" s="79"/>
      <c r="I258" s="67">
        <f t="shared" si="20"/>
        <v>0</v>
      </c>
      <c r="J258" s="67">
        <f t="shared" si="21"/>
        <v>0</v>
      </c>
      <c r="K258" s="67">
        <f t="shared" si="22"/>
        <v>0</v>
      </c>
      <c r="L258" s="100">
        <f t="shared" si="23"/>
        <v>0</v>
      </c>
      <c r="M258" s="68"/>
      <c r="N258" s="100">
        <f t="shared" si="24"/>
        <v>0</v>
      </c>
      <c r="O258" s="14"/>
    </row>
    <row r="259" spans="1:15" x14ac:dyDescent="0.2">
      <c r="A259" s="66"/>
      <c r="B259" s="66"/>
      <c r="C259" s="66"/>
      <c r="D259" s="75"/>
      <c r="E259" s="77"/>
      <c r="F259" s="67"/>
      <c r="G259" s="77"/>
      <c r="H259" s="79"/>
      <c r="I259" s="67">
        <f t="shared" si="20"/>
        <v>0</v>
      </c>
      <c r="J259" s="67">
        <f t="shared" si="21"/>
        <v>0</v>
      </c>
      <c r="K259" s="67">
        <f t="shared" si="22"/>
        <v>0</v>
      </c>
      <c r="L259" s="100">
        <f t="shared" si="23"/>
        <v>0</v>
      </c>
      <c r="M259" s="68"/>
      <c r="N259" s="100">
        <f t="shared" si="24"/>
        <v>0</v>
      </c>
      <c r="O259" s="14"/>
    </row>
    <row r="260" spans="1:15" x14ac:dyDescent="0.2">
      <c r="A260" s="66"/>
      <c r="B260" s="66"/>
      <c r="C260" s="66"/>
      <c r="D260" s="75"/>
      <c r="E260" s="77"/>
      <c r="F260" s="67"/>
      <c r="G260" s="77"/>
      <c r="H260" s="79"/>
      <c r="I260" s="67">
        <f t="shared" si="20"/>
        <v>0</v>
      </c>
      <c r="J260" s="67">
        <f t="shared" si="21"/>
        <v>0</v>
      </c>
      <c r="K260" s="67">
        <f t="shared" si="22"/>
        <v>0</v>
      </c>
      <c r="L260" s="100">
        <f t="shared" si="23"/>
        <v>0</v>
      </c>
      <c r="M260" s="68"/>
      <c r="N260" s="100">
        <f t="shared" si="24"/>
        <v>0</v>
      </c>
      <c r="O260" s="14"/>
    </row>
    <row r="261" spans="1:15" x14ac:dyDescent="0.2">
      <c r="A261" s="66"/>
      <c r="B261" s="66"/>
      <c r="C261" s="66"/>
      <c r="D261" s="75"/>
      <c r="E261" s="77"/>
      <c r="F261" s="67"/>
      <c r="G261" s="77"/>
      <c r="H261" s="79"/>
      <c r="I261" s="67">
        <f t="shared" si="20"/>
        <v>0</v>
      </c>
      <c r="J261" s="67">
        <f t="shared" si="21"/>
        <v>0</v>
      </c>
      <c r="K261" s="67">
        <f t="shared" si="22"/>
        <v>0</v>
      </c>
      <c r="L261" s="100">
        <f t="shared" si="23"/>
        <v>0</v>
      </c>
      <c r="M261" s="68"/>
      <c r="N261" s="100">
        <f t="shared" si="24"/>
        <v>0</v>
      </c>
      <c r="O261" s="14"/>
    </row>
    <row r="262" spans="1:15" x14ac:dyDescent="0.2">
      <c r="A262" s="66"/>
      <c r="B262" s="66"/>
      <c r="C262" s="66"/>
      <c r="D262" s="75"/>
      <c r="E262" s="77"/>
      <c r="F262" s="67"/>
      <c r="G262" s="77"/>
      <c r="H262" s="79"/>
      <c r="I262" s="67">
        <f t="shared" si="20"/>
        <v>0</v>
      </c>
      <c r="J262" s="67">
        <f t="shared" si="21"/>
        <v>0</v>
      </c>
      <c r="K262" s="67">
        <f t="shared" si="22"/>
        <v>0</v>
      </c>
      <c r="L262" s="100">
        <f t="shared" si="23"/>
        <v>0</v>
      </c>
      <c r="M262" s="68"/>
      <c r="N262" s="100">
        <f t="shared" si="24"/>
        <v>0</v>
      </c>
      <c r="O262" s="14"/>
    </row>
    <row r="263" spans="1:15" x14ac:dyDescent="0.2">
      <c r="A263" s="66"/>
      <c r="B263" s="66"/>
      <c r="C263" s="66"/>
      <c r="D263" s="75"/>
      <c r="E263" s="77"/>
      <c r="F263" s="67"/>
      <c r="G263" s="77"/>
      <c r="H263" s="79"/>
      <c r="I263" s="67">
        <f t="shared" si="20"/>
        <v>0</v>
      </c>
      <c r="J263" s="67">
        <f t="shared" si="21"/>
        <v>0</v>
      </c>
      <c r="K263" s="67">
        <f t="shared" si="22"/>
        <v>0</v>
      </c>
      <c r="L263" s="100">
        <f t="shared" si="23"/>
        <v>0</v>
      </c>
      <c r="M263" s="68"/>
      <c r="N263" s="100">
        <f t="shared" si="24"/>
        <v>0</v>
      </c>
      <c r="O263" s="14"/>
    </row>
    <row r="264" spans="1:15" x14ac:dyDescent="0.2">
      <c r="A264" s="66"/>
      <c r="B264" s="66"/>
      <c r="C264" s="66"/>
      <c r="D264" s="75"/>
      <c r="E264" s="77"/>
      <c r="F264" s="67"/>
      <c r="G264" s="77"/>
      <c r="H264" s="79"/>
      <c r="I264" s="67">
        <f t="shared" si="20"/>
        <v>0</v>
      </c>
      <c r="J264" s="67">
        <f t="shared" si="21"/>
        <v>0</v>
      </c>
      <c r="K264" s="67">
        <f t="shared" si="22"/>
        <v>0</v>
      </c>
      <c r="L264" s="100">
        <f t="shared" si="23"/>
        <v>0</v>
      </c>
      <c r="M264" s="68"/>
      <c r="N264" s="100">
        <f t="shared" si="24"/>
        <v>0</v>
      </c>
      <c r="O264" s="14"/>
    </row>
    <row r="265" spans="1:15" x14ac:dyDescent="0.2">
      <c r="A265" s="66"/>
      <c r="B265" s="66"/>
      <c r="C265" s="66"/>
      <c r="D265" s="75"/>
      <c r="E265" s="77"/>
      <c r="F265" s="67"/>
      <c r="G265" s="77"/>
      <c r="H265" s="79"/>
      <c r="I265" s="67">
        <f t="shared" si="20"/>
        <v>0</v>
      </c>
      <c r="J265" s="67">
        <f t="shared" si="21"/>
        <v>0</v>
      </c>
      <c r="K265" s="67">
        <f t="shared" si="22"/>
        <v>0</v>
      </c>
      <c r="L265" s="100">
        <f t="shared" si="23"/>
        <v>0</v>
      </c>
      <c r="M265" s="68"/>
      <c r="N265" s="100">
        <f t="shared" si="24"/>
        <v>0</v>
      </c>
      <c r="O265" s="14"/>
    </row>
    <row r="266" spans="1:15" x14ac:dyDescent="0.2">
      <c r="A266" s="66"/>
      <c r="B266" s="66"/>
      <c r="C266" s="66"/>
      <c r="D266" s="75"/>
      <c r="E266" s="77"/>
      <c r="F266" s="67"/>
      <c r="G266" s="77"/>
      <c r="H266" s="79"/>
      <c r="I266" s="67">
        <f t="shared" si="20"/>
        <v>0</v>
      </c>
      <c r="J266" s="67">
        <f t="shared" si="21"/>
        <v>0</v>
      </c>
      <c r="K266" s="67">
        <f t="shared" si="22"/>
        <v>0</v>
      </c>
      <c r="L266" s="100">
        <f t="shared" si="23"/>
        <v>0</v>
      </c>
      <c r="M266" s="68"/>
      <c r="N266" s="100">
        <f t="shared" si="24"/>
        <v>0</v>
      </c>
      <c r="O266" s="14"/>
    </row>
    <row r="267" spans="1:15" x14ac:dyDescent="0.2">
      <c r="A267" s="66"/>
      <c r="B267" s="66"/>
      <c r="C267" s="66"/>
      <c r="D267" s="75"/>
      <c r="E267" s="77"/>
      <c r="F267" s="67"/>
      <c r="G267" s="77"/>
      <c r="H267" s="79"/>
      <c r="I267" s="67">
        <f t="shared" si="20"/>
        <v>0</v>
      </c>
      <c r="J267" s="67">
        <f t="shared" si="21"/>
        <v>0</v>
      </c>
      <c r="K267" s="67">
        <f t="shared" si="22"/>
        <v>0</v>
      </c>
      <c r="L267" s="100">
        <f t="shared" si="23"/>
        <v>0</v>
      </c>
      <c r="M267" s="68"/>
      <c r="N267" s="100">
        <f t="shared" si="24"/>
        <v>0</v>
      </c>
      <c r="O267" s="14"/>
    </row>
    <row r="268" spans="1:15" x14ac:dyDescent="0.2">
      <c r="A268" s="66"/>
      <c r="B268" s="66"/>
      <c r="C268" s="66"/>
      <c r="D268" s="75"/>
      <c r="E268" s="77"/>
      <c r="F268" s="67"/>
      <c r="G268" s="77"/>
      <c r="H268" s="79"/>
      <c r="I268" s="67">
        <f t="shared" si="20"/>
        <v>0</v>
      </c>
      <c r="J268" s="67">
        <f t="shared" si="21"/>
        <v>0</v>
      </c>
      <c r="K268" s="67">
        <f t="shared" si="22"/>
        <v>0</v>
      </c>
      <c r="L268" s="100">
        <f t="shared" si="23"/>
        <v>0</v>
      </c>
      <c r="M268" s="68"/>
      <c r="N268" s="100">
        <f t="shared" si="24"/>
        <v>0</v>
      </c>
      <c r="O268" s="14"/>
    </row>
    <row r="269" spans="1:15" x14ac:dyDescent="0.2">
      <c r="A269" s="66"/>
      <c r="B269" s="66"/>
      <c r="C269" s="66"/>
      <c r="D269" s="75"/>
      <c r="E269" s="77"/>
      <c r="F269" s="67"/>
      <c r="G269" s="77"/>
      <c r="H269" s="79"/>
      <c r="I269" s="67">
        <f t="shared" si="20"/>
        <v>0</v>
      </c>
      <c r="J269" s="67">
        <f t="shared" si="21"/>
        <v>0</v>
      </c>
      <c r="K269" s="67">
        <f t="shared" si="22"/>
        <v>0</v>
      </c>
      <c r="L269" s="100">
        <f t="shared" si="23"/>
        <v>0</v>
      </c>
      <c r="M269" s="68"/>
      <c r="N269" s="100">
        <f t="shared" si="24"/>
        <v>0</v>
      </c>
      <c r="O269" s="14"/>
    </row>
    <row r="270" spans="1:15" x14ac:dyDescent="0.2">
      <c r="A270" s="66"/>
      <c r="B270" s="66"/>
      <c r="C270" s="66"/>
      <c r="D270" s="75"/>
      <c r="E270" s="77"/>
      <c r="F270" s="67"/>
      <c r="G270" s="77"/>
      <c r="H270" s="79"/>
      <c r="I270" s="67">
        <f t="shared" si="20"/>
        <v>0</v>
      </c>
      <c r="J270" s="67">
        <f t="shared" si="21"/>
        <v>0</v>
      </c>
      <c r="K270" s="67">
        <f t="shared" si="22"/>
        <v>0</v>
      </c>
      <c r="L270" s="100">
        <f t="shared" si="23"/>
        <v>0</v>
      </c>
      <c r="M270" s="68"/>
      <c r="N270" s="100">
        <f t="shared" si="24"/>
        <v>0</v>
      </c>
      <c r="O270" s="14"/>
    </row>
    <row r="271" spans="1:15" x14ac:dyDescent="0.2">
      <c r="A271" s="66"/>
      <c r="B271" s="66"/>
      <c r="C271" s="66"/>
      <c r="D271" s="75"/>
      <c r="E271" s="77"/>
      <c r="F271" s="67"/>
      <c r="G271" s="77"/>
      <c r="H271" s="79"/>
      <c r="I271" s="67">
        <f t="shared" si="20"/>
        <v>0</v>
      </c>
      <c r="J271" s="67">
        <f t="shared" si="21"/>
        <v>0</v>
      </c>
      <c r="K271" s="67">
        <f t="shared" si="22"/>
        <v>0</v>
      </c>
      <c r="L271" s="100">
        <f t="shared" si="23"/>
        <v>0</v>
      </c>
      <c r="M271" s="68"/>
      <c r="N271" s="100">
        <f t="shared" si="24"/>
        <v>0</v>
      </c>
      <c r="O271" s="14"/>
    </row>
    <row r="272" spans="1:15" x14ac:dyDescent="0.2">
      <c r="A272" s="66"/>
      <c r="B272" s="66"/>
      <c r="C272" s="66"/>
      <c r="D272" s="75"/>
      <c r="E272" s="77"/>
      <c r="F272" s="67"/>
      <c r="G272" s="77"/>
      <c r="H272" s="79"/>
      <c r="I272" s="67">
        <f t="shared" si="20"/>
        <v>0</v>
      </c>
      <c r="J272" s="67">
        <f t="shared" si="21"/>
        <v>0</v>
      </c>
      <c r="K272" s="67">
        <f t="shared" si="22"/>
        <v>0</v>
      </c>
      <c r="L272" s="100">
        <f t="shared" si="23"/>
        <v>0</v>
      </c>
      <c r="M272" s="68"/>
      <c r="N272" s="100">
        <f t="shared" si="24"/>
        <v>0</v>
      </c>
      <c r="O272" s="14"/>
    </row>
    <row r="273" spans="1:15" x14ac:dyDescent="0.2">
      <c r="A273" s="66"/>
      <c r="B273" s="66"/>
      <c r="C273" s="66"/>
      <c r="D273" s="75"/>
      <c r="E273" s="77"/>
      <c r="F273" s="67"/>
      <c r="G273" s="77"/>
      <c r="H273" s="79"/>
      <c r="I273" s="67">
        <f t="shared" si="20"/>
        <v>0</v>
      </c>
      <c r="J273" s="67">
        <f t="shared" si="21"/>
        <v>0</v>
      </c>
      <c r="K273" s="67">
        <f t="shared" si="22"/>
        <v>0</v>
      </c>
      <c r="L273" s="100">
        <f t="shared" si="23"/>
        <v>0</v>
      </c>
      <c r="M273" s="68"/>
      <c r="N273" s="100">
        <f t="shared" si="24"/>
        <v>0</v>
      </c>
      <c r="O273" s="14"/>
    </row>
    <row r="274" spans="1:15" x14ac:dyDescent="0.2">
      <c r="A274" s="66"/>
      <c r="B274" s="66"/>
      <c r="C274" s="66"/>
      <c r="D274" s="75"/>
      <c r="E274" s="77"/>
      <c r="F274" s="67"/>
      <c r="G274" s="77"/>
      <c r="H274" s="79"/>
      <c r="I274" s="67">
        <f t="shared" si="20"/>
        <v>0</v>
      </c>
      <c r="J274" s="67">
        <f t="shared" si="21"/>
        <v>0</v>
      </c>
      <c r="K274" s="67">
        <f t="shared" si="22"/>
        <v>0</v>
      </c>
      <c r="L274" s="100">
        <f t="shared" si="23"/>
        <v>0</v>
      </c>
      <c r="M274" s="68"/>
      <c r="N274" s="100">
        <f t="shared" si="24"/>
        <v>0</v>
      </c>
      <c r="O274" s="14"/>
    </row>
    <row r="275" spans="1:15" x14ac:dyDescent="0.2">
      <c r="A275" s="66"/>
      <c r="B275" s="66"/>
      <c r="C275" s="66"/>
      <c r="D275" s="75"/>
      <c r="E275" s="77"/>
      <c r="F275" s="67"/>
      <c r="G275" s="77"/>
      <c r="H275" s="79"/>
      <c r="I275" s="67">
        <f t="shared" si="20"/>
        <v>0</v>
      </c>
      <c r="J275" s="67">
        <f t="shared" si="21"/>
        <v>0</v>
      </c>
      <c r="K275" s="67">
        <f t="shared" si="22"/>
        <v>0</v>
      </c>
      <c r="L275" s="100">
        <f t="shared" si="23"/>
        <v>0</v>
      </c>
      <c r="M275" s="68"/>
      <c r="N275" s="100">
        <f t="shared" si="24"/>
        <v>0</v>
      </c>
      <c r="O275" s="14"/>
    </row>
    <row r="276" spans="1:15" x14ac:dyDescent="0.2">
      <c r="A276" s="66"/>
      <c r="B276" s="66"/>
      <c r="C276" s="66"/>
      <c r="D276" s="75"/>
      <c r="E276" s="77"/>
      <c r="F276" s="67"/>
      <c r="G276" s="77"/>
      <c r="H276" s="79"/>
      <c r="I276" s="67">
        <f t="shared" si="20"/>
        <v>0</v>
      </c>
      <c r="J276" s="67">
        <f t="shared" si="21"/>
        <v>0</v>
      </c>
      <c r="K276" s="67">
        <f t="shared" si="22"/>
        <v>0</v>
      </c>
      <c r="L276" s="100">
        <f t="shared" si="23"/>
        <v>0</v>
      </c>
      <c r="M276" s="68"/>
      <c r="N276" s="100">
        <f t="shared" si="24"/>
        <v>0</v>
      </c>
      <c r="O276" s="14"/>
    </row>
    <row r="277" spans="1:15" x14ac:dyDescent="0.2">
      <c r="A277" s="66"/>
      <c r="B277" s="66"/>
      <c r="C277" s="66"/>
      <c r="D277" s="75"/>
      <c r="E277" s="77"/>
      <c r="F277" s="67"/>
      <c r="G277" s="77"/>
      <c r="H277" s="79"/>
      <c r="I277" s="67">
        <f t="shared" si="20"/>
        <v>0</v>
      </c>
      <c r="J277" s="67">
        <f t="shared" si="21"/>
        <v>0</v>
      </c>
      <c r="K277" s="67">
        <f t="shared" si="22"/>
        <v>0</v>
      </c>
      <c r="L277" s="100">
        <f t="shared" si="23"/>
        <v>0</v>
      </c>
      <c r="M277" s="68"/>
      <c r="N277" s="100">
        <f t="shared" si="24"/>
        <v>0</v>
      </c>
      <c r="O277" s="14"/>
    </row>
    <row r="278" spans="1:15" x14ac:dyDescent="0.2">
      <c r="A278" s="66"/>
      <c r="B278" s="66"/>
      <c r="C278" s="66"/>
      <c r="D278" s="75"/>
      <c r="E278" s="77"/>
      <c r="F278" s="67"/>
      <c r="G278" s="77"/>
      <c r="H278" s="79"/>
      <c r="I278" s="67">
        <f t="shared" si="20"/>
        <v>0</v>
      </c>
      <c r="J278" s="67">
        <f t="shared" si="21"/>
        <v>0</v>
      </c>
      <c r="K278" s="67">
        <f t="shared" si="22"/>
        <v>0</v>
      </c>
      <c r="L278" s="100">
        <f t="shared" si="23"/>
        <v>0</v>
      </c>
      <c r="M278" s="68"/>
      <c r="N278" s="100">
        <f t="shared" si="24"/>
        <v>0</v>
      </c>
      <c r="O278" s="14"/>
    </row>
    <row r="279" spans="1:15" x14ac:dyDescent="0.2">
      <c r="A279" s="66"/>
      <c r="B279" s="66"/>
      <c r="C279" s="66"/>
      <c r="D279" s="75"/>
      <c r="E279" s="77"/>
      <c r="F279" s="67"/>
      <c r="G279" s="77"/>
      <c r="H279" s="79"/>
      <c r="I279" s="67">
        <f t="shared" si="20"/>
        <v>0</v>
      </c>
      <c r="J279" s="67">
        <f t="shared" si="21"/>
        <v>0</v>
      </c>
      <c r="K279" s="67">
        <f t="shared" si="22"/>
        <v>0</v>
      </c>
      <c r="L279" s="100">
        <f t="shared" si="23"/>
        <v>0</v>
      </c>
      <c r="M279" s="68"/>
      <c r="N279" s="100">
        <f t="shared" si="24"/>
        <v>0</v>
      </c>
      <c r="O279" s="14"/>
    </row>
    <row r="280" spans="1:15" x14ac:dyDescent="0.2">
      <c r="A280" s="66"/>
      <c r="B280" s="66"/>
      <c r="C280" s="66"/>
      <c r="D280" s="75"/>
      <c r="E280" s="77"/>
      <c r="F280" s="67"/>
      <c r="G280" s="77"/>
      <c r="H280" s="79"/>
      <c r="I280" s="67">
        <f t="shared" si="20"/>
        <v>0</v>
      </c>
      <c r="J280" s="67">
        <f t="shared" si="21"/>
        <v>0</v>
      </c>
      <c r="K280" s="67">
        <f t="shared" si="22"/>
        <v>0</v>
      </c>
      <c r="L280" s="100">
        <f t="shared" si="23"/>
        <v>0</v>
      </c>
      <c r="M280" s="68"/>
      <c r="N280" s="100">
        <f t="shared" si="24"/>
        <v>0</v>
      </c>
      <c r="O280" s="14"/>
    </row>
    <row r="281" spans="1:15" x14ac:dyDescent="0.2">
      <c r="A281" s="66"/>
      <c r="B281" s="66"/>
      <c r="C281" s="66"/>
      <c r="D281" s="75"/>
      <c r="E281" s="77"/>
      <c r="F281" s="67"/>
      <c r="G281" s="77"/>
      <c r="H281" s="79"/>
      <c r="I281" s="67">
        <f t="shared" si="20"/>
        <v>0</v>
      </c>
      <c r="J281" s="67">
        <f t="shared" si="21"/>
        <v>0</v>
      </c>
      <c r="K281" s="67">
        <f t="shared" si="22"/>
        <v>0</v>
      </c>
      <c r="L281" s="100">
        <f t="shared" si="23"/>
        <v>0</v>
      </c>
      <c r="M281" s="68"/>
      <c r="N281" s="100">
        <f t="shared" si="24"/>
        <v>0</v>
      </c>
      <c r="O281" s="14"/>
    </row>
    <row r="282" spans="1:15" x14ac:dyDescent="0.2">
      <c r="A282" s="66"/>
      <c r="B282" s="66"/>
      <c r="C282" s="66"/>
      <c r="D282" s="75"/>
      <c r="E282" s="77"/>
      <c r="F282" s="67"/>
      <c r="G282" s="77"/>
      <c r="H282" s="79"/>
      <c r="I282" s="67">
        <f t="shared" si="20"/>
        <v>0</v>
      </c>
      <c r="J282" s="67">
        <f t="shared" si="21"/>
        <v>0</v>
      </c>
      <c r="K282" s="67">
        <f t="shared" si="22"/>
        <v>0</v>
      </c>
      <c r="L282" s="100">
        <f t="shared" si="23"/>
        <v>0</v>
      </c>
      <c r="M282" s="68"/>
      <c r="N282" s="100">
        <f t="shared" si="24"/>
        <v>0</v>
      </c>
      <c r="O282" s="14"/>
    </row>
    <row r="283" spans="1:15" x14ac:dyDescent="0.2">
      <c r="A283" s="66"/>
      <c r="B283" s="66"/>
      <c r="C283" s="66"/>
      <c r="D283" s="75"/>
      <c r="E283" s="77"/>
      <c r="F283" s="67"/>
      <c r="G283" s="77"/>
      <c r="H283" s="79"/>
      <c r="I283" s="67">
        <f t="shared" si="20"/>
        <v>0</v>
      </c>
      <c r="J283" s="67">
        <f t="shared" si="21"/>
        <v>0</v>
      </c>
      <c r="K283" s="67">
        <f t="shared" si="22"/>
        <v>0</v>
      </c>
      <c r="L283" s="100">
        <f t="shared" si="23"/>
        <v>0</v>
      </c>
      <c r="M283" s="68"/>
      <c r="N283" s="100">
        <f t="shared" si="24"/>
        <v>0</v>
      </c>
      <c r="O283" s="14"/>
    </row>
    <row r="284" spans="1:15" x14ac:dyDescent="0.2">
      <c r="A284" s="66"/>
      <c r="B284" s="66"/>
      <c r="C284" s="66"/>
      <c r="D284" s="75"/>
      <c r="E284" s="77"/>
      <c r="F284" s="67"/>
      <c r="G284" s="77"/>
      <c r="H284" s="79"/>
      <c r="I284" s="67">
        <f t="shared" si="20"/>
        <v>0</v>
      </c>
      <c r="J284" s="67">
        <f t="shared" si="21"/>
        <v>0</v>
      </c>
      <c r="K284" s="67">
        <f t="shared" si="22"/>
        <v>0</v>
      </c>
      <c r="L284" s="100">
        <f t="shared" si="23"/>
        <v>0</v>
      </c>
      <c r="M284" s="68"/>
      <c r="N284" s="100">
        <f t="shared" si="24"/>
        <v>0</v>
      </c>
      <c r="O284" s="14"/>
    </row>
    <row r="285" spans="1:15" x14ac:dyDescent="0.2">
      <c r="A285" s="66"/>
      <c r="B285" s="66"/>
      <c r="C285" s="66"/>
      <c r="D285" s="75"/>
      <c r="E285" s="77"/>
      <c r="F285" s="67"/>
      <c r="G285" s="77"/>
      <c r="H285" s="79"/>
      <c r="I285" s="67">
        <f t="shared" si="20"/>
        <v>0</v>
      </c>
      <c r="J285" s="67">
        <f t="shared" si="21"/>
        <v>0</v>
      </c>
      <c r="K285" s="67">
        <f t="shared" si="22"/>
        <v>0</v>
      </c>
      <c r="L285" s="100">
        <f t="shared" si="23"/>
        <v>0</v>
      </c>
      <c r="M285" s="68"/>
      <c r="N285" s="100">
        <f t="shared" si="24"/>
        <v>0</v>
      </c>
      <c r="O285" s="14"/>
    </row>
    <row r="286" spans="1:15" x14ac:dyDescent="0.2">
      <c r="A286" s="66"/>
      <c r="B286" s="66"/>
      <c r="C286" s="66"/>
      <c r="D286" s="75"/>
      <c r="E286" s="77"/>
      <c r="F286" s="67"/>
      <c r="G286" s="77"/>
      <c r="H286" s="79"/>
      <c r="I286" s="67">
        <f t="shared" si="20"/>
        <v>0</v>
      </c>
      <c r="J286" s="67">
        <f t="shared" si="21"/>
        <v>0</v>
      </c>
      <c r="K286" s="67">
        <f t="shared" si="22"/>
        <v>0</v>
      </c>
      <c r="L286" s="100">
        <f t="shared" si="23"/>
        <v>0</v>
      </c>
      <c r="M286" s="68"/>
      <c r="N286" s="100">
        <f t="shared" si="24"/>
        <v>0</v>
      </c>
      <c r="O286" s="14"/>
    </row>
    <row r="287" spans="1:15" x14ac:dyDescent="0.2">
      <c r="A287" s="66"/>
      <c r="B287" s="66"/>
      <c r="C287" s="66"/>
      <c r="D287" s="75"/>
      <c r="E287" s="77"/>
      <c r="F287" s="67"/>
      <c r="G287" s="77"/>
      <c r="H287" s="79"/>
      <c r="I287" s="67">
        <f t="shared" si="20"/>
        <v>0</v>
      </c>
      <c r="J287" s="67">
        <f t="shared" si="21"/>
        <v>0</v>
      </c>
      <c r="K287" s="67">
        <f t="shared" si="22"/>
        <v>0</v>
      </c>
      <c r="L287" s="100">
        <f t="shared" si="23"/>
        <v>0</v>
      </c>
      <c r="M287" s="68"/>
      <c r="N287" s="100">
        <f t="shared" si="24"/>
        <v>0</v>
      </c>
      <c r="O287" s="14"/>
    </row>
    <row r="288" spans="1:15" x14ac:dyDescent="0.2">
      <c r="A288" s="66"/>
      <c r="B288" s="66"/>
      <c r="C288" s="66"/>
      <c r="D288" s="75"/>
      <c r="E288" s="77"/>
      <c r="F288" s="67"/>
      <c r="G288" s="77"/>
      <c r="H288" s="79"/>
      <c r="I288" s="67">
        <f t="shared" si="20"/>
        <v>0</v>
      </c>
      <c r="J288" s="67">
        <f t="shared" si="21"/>
        <v>0</v>
      </c>
      <c r="K288" s="67">
        <f t="shared" si="22"/>
        <v>0</v>
      </c>
      <c r="L288" s="100">
        <f t="shared" si="23"/>
        <v>0</v>
      </c>
      <c r="M288" s="68"/>
      <c r="N288" s="100">
        <f t="shared" si="24"/>
        <v>0</v>
      </c>
      <c r="O288" s="14"/>
    </row>
    <row r="289" spans="1:19" x14ac:dyDescent="0.2">
      <c r="A289" s="66"/>
      <c r="B289" s="66"/>
      <c r="C289" s="66"/>
      <c r="D289" s="75"/>
      <c r="E289" s="77"/>
      <c r="F289" s="67"/>
      <c r="G289" s="77"/>
      <c r="H289" s="79"/>
      <c r="I289" s="67">
        <f t="shared" si="20"/>
        <v>0</v>
      </c>
      <c r="J289" s="67">
        <f t="shared" si="21"/>
        <v>0</v>
      </c>
      <c r="K289" s="67">
        <f t="shared" si="22"/>
        <v>0</v>
      </c>
      <c r="L289" s="100">
        <f t="shared" si="23"/>
        <v>0</v>
      </c>
      <c r="M289" s="68"/>
      <c r="N289" s="100">
        <f t="shared" si="24"/>
        <v>0</v>
      </c>
      <c r="O289" s="14"/>
    </row>
    <row r="290" spans="1:19" x14ac:dyDescent="0.2">
      <c r="A290" s="66"/>
      <c r="B290" s="66"/>
      <c r="C290" s="66"/>
      <c r="D290" s="75"/>
      <c r="E290" s="77"/>
      <c r="F290" s="67"/>
      <c r="G290" s="77"/>
      <c r="H290" s="79"/>
      <c r="I290" s="67">
        <f t="shared" si="20"/>
        <v>0</v>
      </c>
      <c r="J290" s="67">
        <f t="shared" si="21"/>
        <v>0</v>
      </c>
      <c r="K290" s="67">
        <f t="shared" si="22"/>
        <v>0</v>
      </c>
      <c r="L290" s="100">
        <f t="shared" si="23"/>
        <v>0</v>
      </c>
      <c r="M290" s="68"/>
      <c r="N290" s="100">
        <f t="shared" si="24"/>
        <v>0</v>
      </c>
      <c r="O290" s="14"/>
    </row>
    <row r="291" spans="1:19" x14ac:dyDescent="0.2">
      <c r="A291" s="66"/>
      <c r="B291" s="66"/>
      <c r="C291" s="66"/>
      <c r="D291" s="75"/>
      <c r="E291" s="77"/>
      <c r="F291" s="67"/>
      <c r="G291" s="77"/>
      <c r="H291" s="79"/>
      <c r="I291" s="67">
        <f t="shared" si="20"/>
        <v>0</v>
      </c>
      <c r="J291" s="67">
        <f t="shared" si="21"/>
        <v>0</v>
      </c>
      <c r="K291" s="67">
        <f t="shared" si="22"/>
        <v>0</v>
      </c>
      <c r="L291" s="100">
        <f t="shared" si="23"/>
        <v>0</v>
      </c>
      <c r="M291" s="68"/>
      <c r="N291" s="100">
        <f t="shared" si="24"/>
        <v>0</v>
      </c>
      <c r="O291" s="14"/>
    </row>
    <row r="292" spans="1:19" x14ac:dyDescent="0.2">
      <c r="A292" s="66"/>
      <c r="B292" s="66"/>
      <c r="C292" s="66"/>
      <c r="D292" s="75"/>
      <c r="E292" s="77"/>
      <c r="F292" s="67"/>
      <c r="G292" s="77"/>
      <c r="H292" s="79"/>
      <c r="I292" s="67">
        <f t="shared" si="20"/>
        <v>0</v>
      </c>
      <c r="J292" s="67">
        <f t="shared" si="21"/>
        <v>0</v>
      </c>
      <c r="K292" s="67">
        <f t="shared" si="22"/>
        <v>0</v>
      </c>
      <c r="L292" s="100">
        <f t="shared" si="23"/>
        <v>0</v>
      </c>
      <c r="M292" s="68"/>
      <c r="N292" s="100">
        <f t="shared" si="24"/>
        <v>0</v>
      </c>
      <c r="O292" s="14"/>
    </row>
    <row r="293" spans="1:19" x14ac:dyDescent="0.2">
      <c r="A293" s="66"/>
      <c r="B293" s="66"/>
      <c r="C293" s="66"/>
      <c r="D293" s="75"/>
      <c r="E293" s="77"/>
      <c r="F293" s="67"/>
      <c r="G293" s="77"/>
      <c r="H293" s="79"/>
      <c r="I293" s="67">
        <f t="shared" si="20"/>
        <v>0</v>
      </c>
      <c r="J293" s="67">
        <f t="shared" si="21"/>
        <v>0</v>
      </c>
      <c r="K293" s="67">
        <f t="shared" si="22"/>
        <v>0</v>
      </c>
      <c r="L293" s="100">
        <f t="shared" si="23"/>
        <v>0</v>
      </c>
      <c r="M293" s="68"/>
      <c r="N293" s="100">
        <f t="shared" si="24"/>
        <v>0</v>
      </c>
      <c r="O293" s="14"/>
    </row>
    <row r="294" spans="1:19" x14ac:dyDescent="0.2">
      <c r="A294" s="66"/>
      <c r="B294" s="66"/>
      <c r="C294" s="66"/>
      <c r="D294" s="75"/>
      <c r="E294" s="77"/>
      <c r="F294" s="67"/>
      <c r="G294" s="77"/>
      <c r="H294" s="79"/>
      <c r="I294" s="67">
        <f t="shared" si="20"/>
        <v>0</v>
      </c>
      <c r="J294" s="67">
        <f t="shared" si="21"/>
        <v>0</v>
      </c>
      <c r="K294" s="67">
        <f t="shared" si="22"/>
        <v>0</v>
      </c>
      <c r="L294" s="100">
        <f t="shared" si="23"/>
        <v>0</v>
      </c>
      <c r="M294" s="68"/>
      <c r="N294" s="100">
        <f t="shared" si="24"/>
        <v>0</v>
      </c>
      <c r="O294" s="14"/>
    </row>
    <row r="295" spans="1:19" x14ac:dyDescent="0.2">
      <c r="A295" s="66"/>
      <c r="B295" s="66"/>
      <c r="C295" s="66"/>
      <c r="D295" s="75"/>
      <c r="E295" s="77"/>
      <c r="F295" s="67"/>
      <c r="G295" s="77"/>
      <c r="H295" s="79"/>
      <c r="I295" s="67">
        <f t="shared" si="20"/>
        <v>0</v>
      </c>
      <c r="J295" s="67">
        <f t="shared" si="21"/>
        <v>0</v>
      </c>
      <c r="K295" s="67">
        <f t="shared" si="22"/>
        <v>0</v>
      </c>
      <c r="L295" s="100">
        <f t="shared" si="23"/>
        <v>0</v>
      </c>
      <c r="M295" s="68"/>
      <c r="N295" s="100">
        <f t="shared" si="24"/>
        <v>0</v>
      </c>
      <c r="O295" s="14"/>
    </row>
    <row r="296" spans="1:19" x14ac:dyDescent="0.2">
      <c r="A296" s="66"/>
      <c r="B296" s="66"/>
      <c r="C296" s="66"/>
      <c r="D296" s="75"/>
      <c r="E296" s="77"/>
      <c r="F296" s="67"/>
      <c r="G296" s="77"/>
      <c r="H296" s="79"/>
      <c r="I296" s="67">
        <f t="shared" si="20"/>
        <v>0</v>
      </c>
      <c r="J296" s="67">
        <f t="shared" si="21"/>
        <v>0</v>
      </c>
      <c r="K296" s="67">
        <f t="shared" si="22"/>
        <v>0</v>
      </c>
      <c r="L296" s="100">
        <f t="shared" si="23"/>
        <v>0</v>
      </c>
      <c r="M296" s="68"/>
      <c r="N296" s="100">
        <f t="shared" si="24"/>
        <v>0</v>
      </c>
      <c r="O296" s="14"/>
    </row>
    <row r="297" spans="1:19" x14ac:dyDescent="0.2">
      <c r="A297" s="66"/>
      <c r="B297" s="66"/>
      <c r="C297" s="66"/>
      <c r="D297" s="75"/>
      <c r="E297" s="77"/>
      <c r="F297" s="67"/>
      <c r="G297" s="77"/>
      <c r="H297" s="79"/>
      <c r="I297" s="67">
        <f t="shared" si="20"/>
        <v>0</v>
      </c>
      <c r="J297" s="67">
        <f t="shared" si="21"/>
        <v>0</v>
      </c>
      <c r="K297" s="67">
        <f t="shared" si="22"/>
        <v>0</v>
      </c>
      <c r="L297" s="100">
        <f t="shared" si="23"/>
        <v>0</v>
      </c>
      <c r="M297" s="68"/>
      <c r="N297" s="100">
        <f t="shared" si="24"/>
        <v>0</v>
      </c>
      <c r="O297" s="14"/>
    </row>
    <row r="298" spans="1:19" x14ac:dyDescent="0.2">
      <c r="A298" s="66"/>
      <c r="B298" s="66"/>
      <c r="C298" s="66"/>
      <c r="D298" s="75"/>
      <c r="E298" s="77"/>
      <c r="F298" s="67"/>
      <c r="G298" s="77"/>
      <c r="H298" s="79"/>
      <c r="I298" s="67">
        <f t="shared" si="20"/>
        <v>0</v>
      </c>
      <c r="J298" s="67">
        <f t="shared" si="21"/>
        <v>0</v>
      </c>
      <c r="K298" s="67">
        <f t="shared" si="22"/>
        <v>0</v>
      </c>
      <c r="L298" s="100">
        <f t="shared" si="23"/>
        <v>0</v>
      </c>
      <c r="M298" s="68"/>
      <c r="N298" s="100">
        <f t="shared" si="24"/>
        <v>0</v>
      </c>
      <c r="O298" s="14"/>
    </row>
    <row r="299" spans="1:19" x14ac:dyDescent="0.2">
      <c r="A299" s="66"/>
      <c r="B299" s="66"/>
      <c r="C299" s="66"/>
      <c r="D299" s="75"/>
      <c r="E299" s="77"/>
      <c r="F299" s="67"/>
      <c r="G299" s="77"/>
      <c r="H299" s="79"/>
      <c r="I299" s="67">
        <f t="shared" si="20"/>
        <v>0</v>
      </c>
      <c r="J299" s="67">
        <f t="shared" si="21"/>
        <v>0</v>
      </c>
      <c r="K299" s="67">
        <f t="shared" si="22"/>
        <v>0</v>
      </c>
      <c r="L299" s="100">
        <f t="shared" si="23"/>
        <v>0</v>
      </c>
      <c r="M299" s="68"/>
      <c r="N299" s="100">
        <f t="shared" si="24"/>
        <v>0</v>
      </c>
      <c r="O299" s="14"/>
    </row>
    <row r="300" spans="1:19" x14ac:dyDescent="0.2">
      <c r="A300" s="66"/>
      <c r="B300" s="66"/>
      <c r="C300" s="66"/>
      <c r="D300" s="75"/>
      <c r="E300" s="77"/>
      <c r="F300" s="67"/>
      <c r="G300" s="77"/>
      <c r="H300" s="79"/>
      <c r="I300" s="67">
        <f t="shared" si="20"/>
        <v>0</v>
      </c>
      <c r="J300" s="67">
        <f t="shared" si="21"/>
        <v>0</v>
      </c>
      <c r="K300" s="67">
        <f t="shared" si="22"/>
        <v>0</v>
      </c>
      <c r="L300" s="100">
        <f t="shared" si="23"/>
        <v>0</v>
      </c>
      <c r="M300" s="68"/>
      <c r="N300" s="100">
        <f t="shared" si="24"/>
        <v>0</v>
      </c>
      <c r="O300" s="14"/>
    </row>
    <row r="301" spans="1:19" x14ac:dyDescent="0.2">
      <c r="A301" s="66"/>
      <c r="B301" s="66"/>
      <c r="C301" s="66"/>
      <c r="D301" s="75"/>
      <c r="E301" s="77"/>
      <c r="F301" s="67"/>
      <c r="G301" s="77"/>
      <c r="H301" s="79"/>
      <c r="I301" s="67">
        <f t="shared" si="20"/>
        <v>0</v>
      </c>
      <c r="J301" s="67">
        <f t="shared" si="21"/>
        <v>0</v>
      </c>
      <c r="K301" s="67">
        <f t="shared" si="22"/>
        <v>0</v>
      </c>
      <c r="L301" s="100">
        <f t="shared" si="23"/>
        <v>0</v>
      </c>
      <c r="M301" s="68"/>
      <c r="N301" s="100">
        <f t="shared" si="24"/>
        <v>0</v>
      </c>
      <c r="O301" s="14"/>
    </row>
    <row r="302" spans="1:19" x14ac:dyDescent="0.2">
      <c r="A302" s="66"/>
      <c r="B302" s="66"/>
      <c r="C302" s="66"/>
      <c r="D302" s="75"/>
      <c r="E302" s="77"/>
      <c r="F302" s="67"/>
      <c r="G302" s="77"/>
      <c r="H302" s="79"/>
      <c r="I302" s="67">
        <f t="shared" si="20"/>
        <v>0</v>
      </c>
      <c r="J302" s="67">
        <f t="shared" si="21"/>
        <v>0</v>
      </c>
      <c r="K302" s="67">
        <f t="shared" si="22"/>
        <v>0</v>
      </c>
      <c r="L302" s="100">
        <f t="shared" si="23"/>
        <v>0</v>
      </c>
      <c r="M302" s="68"/>
      <c r="N302" s="100">
        <f t="shared" si="24"/>
        <v>0</v>
      </c>
      <c r="O302" s="14"/>
    </row>
    <row r="303" spans="1:19" x14ac:dyDescent="0.2">
      <c r="A303" s="66"/>
      <c r="B303" s="66"/>
      <c r="C303" s="66"/>
      <c r="D303" s="75"/>
      <c r="E303" s="77"/>
      <c r="F303" s="67"/>
      <c r="G303" s="77"/>
      <c r="H303" s="79"/>
      <c r="I303" s="67">
        <f t="shared" ref="I303:I314" si="25">IF(H303=0,+D303*0.1,G303*H303)</f>
        <v>0</v>
      </c>
      <c r="J303" s="67">
        <f t="shared" ref="J303:J314" si="26">IF(H303=0,+G303-E303,0)</f>
        <v>0</v>
      </c>
      <c r="K303" s="67">
        <f t="shared" ref="K303:K314" si="27">+(J303*0.5)*D303</f>
        <v>0</v>
      </c>
      <c r="L303" s="100">
        <f t="shared" ref="L303:L314" si="28">+I303+K303</f>
        <v>0</v>
      </c>
      <c r="M303" s="68"/>
      <c r="N303" s="100">
        <f t="shared" ref="N303:N314" si="29">IF(H303=0,IF(L303&gt;G303,L303,G303),L303)</f>
        <v>0</v>
      </c>
      <c r="O303" s="14"/>
      <c r="R303" s="96">
        <f t="shared" ref="R303:R314" si="30">IF(M303="",0,MONTH(M303))</f>
        <v>0</v>
      </c>
      <c r="S303" s="96">
        <f t="shared" ref="S303:S314" si="31">IF(M303="",0,YEAR(M303))</f>
        <v>0</v>
      </c>
    </row>
    <row r="304" spans="1:19" x14ac:dyDescent="0.2">
      <c r="A304" s="66"/>
      <c r="B304" s="66"/>
      <c r="C304" s="66"/>
      <c r="D304" s="75"/>
      <c r="E304" s="77"/>
      <c r="F304" s="67"/>
      <c r="G304" s="77"/>
      <c r="H304" s="79"/>
      <c r="I304" s="67">
        <f t="shared" si="25"/>
        <v>0</v>
      </c>
      <c r="J304" s="67">
        <f t="shared" si="26"/>
        <v>0</v>
      </c>
      <c r="K304" s="67">
        <f t="shared" si="27"/>
        <v>0</v>
      </c>
      <c r="L304" s="100">
        <f t="shared" si="28"/>
        <v>0</v>
      </c>
      <c r="M304" s="68"/>
      <c r="N304" s="100">
        <f t="shared" si="29"/>
        <v>0</v>
      </c>
      <c r="O304" s="14"/>
      <c r="R304" s="96">
        <f t="shared" si="30"/>
        <v>0</v>
      </c>
      <c r="S304" s="96">
        <f t="shared" si="31"/>
        <v>0</v>
      </c>
    </row>
    <row r="305" spans="1:19" x14ac:dyDescent="0.2">
      <c r="A305" s="66"/>
      <c r="B305" s="66"/>
      <c r="C305" s="66"/>
      <c r="D305" s="75"/>
      <c r="E305" s="77"/>
      <c r="F305" s="67"/>
      <c r="G305" s="77"/>
      <c r="H305" s="79"/>
      <c r="I305" s="67">
        <f t="shared" si="25"/>
        <v>0</v>
      </c>
      <c r="J305" s="67">
        <f t="shared" si="26"/>
        <v>0</v>
      </c>
      <c r="K305" s="67">
        <f t="shared" si="27"/>
        <v>0</v>
      </c>
      <c r="L305" s="100">
        <f t="shared" si="28"/>
        <v>0</v>
      </c>
      <c r="M305" s="68"/>
      <c r="N305" s="100">
        <f t="shared" si="29"/>
        <v>0</v>
      </c>
      <c r="O305" s="14"/>
      <c r="R305" s="96">
        <f t="shared" si="30"/>
        <v>0</v>
      </c>
      <c r="S305" s="96">
        <f t="shared" si="31"/>
        <v>0</v>
      </c>
    </row>
    <row r="306" spans="1:19" x14ac:dyDescent="0.2">
      <c r="A306" s="66"/>
      <c r="B306" s="66"/>
      <c r="C306" s="66"/>
      <c r="D306" s="75"/>
      <c r="E306" s="77"/>
      <c r="F306" s="67"/>
      <c r="G306" s="77"/>
      <c r="H306" s="79"/>
      <c r="I306" s="67">
        <f t="shared" si="25"/>
        <v>0</v>
      </c>
      <c r="J306" s="67">
        <f t="shared" si="26"/>
        <v>0</v>
      </c>
      <c r="K306" s="67">
        <f t="shared" si="27"/>
        <v>0</v>
      </c>
      <c r="L306" s="100">
        <f t="shared" si="28"/>
        <v>0</v>
      </c>
      <c r="M306" s="68"/>
      <c r="N306" s="100">
        <f t="shared" si="29"/>
        <v>0</v>
      </c>
      <c r="O306" s="14"/>
      <c r="R306" s="96">
        <f t="shared" si="30"/>
        <v>0</v>
      </c>
      <c r="S306" s="96">
        <f t="shared" si="31"/>
        <v>0</v>
      </c>
    </row>
    <row r="307" spans="1:19" x14ac:dyDescent="0.2">
      <c r="A307" s="66"/>
      <c r="B307" s="66"/>
      <c r="C307" s="66"/>
      <c r="D307" s="75"/>
      <c r="E307" s="77"/>
      <c r="F307" s="67"/>
      <c r="G307" s="77"/>
      <c r="H307" s="79"/>
      <c r="I307" s="67">
        <f t="shared" si="25"/>
        <v>0</v>
      </c>
      <c r="J307" s="67">
        <f t="shared" si="26"/>
        <v>0</v>
      </c>
      <c r="K307" s="67">
        <f t="shared" si="27"/>
        <v>0</v>
      </c>
      <c r="L307" s="100">
        <f t="shared" si="28"/>
        <v>0</v>
      </c>
      <c r="M307" s="68"/>
      <c r="N307" s="100">
        <f t="shared" si="29"/>
        <v>0</v>
      </c>
      <c r="O307" s="14"/>
      <c r="R307" s="96">
        <f t="shared" si="30"/>
        <v>0</v>
      </c>
      <c r="S307" s="96">
        <f t="shared" si="31"/>
        <v>0</v>
      </c>
    </row>
    <row r="308" spans="1:19" x14ac:dyDescent="0.2">
      <c r="A308" s="66"/>
      <c r="B308" s="66"/>
      <c r="C308" s="66"/>
      <c r="D308" s="75"/>
      <c r="E308" s="77"/>
      <c r="F308" s="67"/>
      <c r="G308" s="77"/>
      <c r="H308" s="79"/>
      <c r="I308" s="67">
        <f t="shared" si="25"/>
        <v>0</v>
      </c>
      <c r="J308" s="67">
        <f t="shared" si="26"/>
        <v>0</v>
      </c>
      <c r="K308" s="67">
        <f t="shared" si="27"/>
        <v>0</v>
      </c>
      <c r="L308" s="100">
        <f t="shared" si="28"/>
        <v>0</v>
      </c>
      <c r="M308" s="68"/>
      <c r="N308" s="100">
        <f t="shared" si="29"/>
        <v>0</v>
      </c>
      <c r="O308" s="14"/>
      <c r="R308" s="96">
        <f t="shared" si="30"/>
        <v>0</v>
      </c>
      <c r="S308" s="96">
        <f t="shared" si="31"/>
        <v>0</v>
      </c>
    </row>
    <row r="309" spans="1:19" x14ac:dyDescent="0.2">
      <c r="A309" s="66"/>
      <c r="B309" s="66"/>
      <c r="C309" s="66"/>
      <c r="D309" s="75"/>
      <c r="E309" s="77"/>
      <c r="F309" s="67"/>
      <c r="G309" s="77"/>
      <c r="H309" s="79"/>
      <c r="I309" s="67">
        <f t="shared" si="25"/>
        <v>0</v>
      </c>
      <c r="J309" s="67">
        <f t="shared" si="26"/>
        <v>0</v>
      </c>
      <c r="K309" s="67">
        <f t="shared" si="27"/>
        <v>0</v>
      </c>
      <c r="L309" s="100">
        <f t="shared" si="28"/>
        <v>0</v>
      </c>
      <c r="M309" s="68"/>
      <c r="N309" s="100">
        <f t="shared" si="29"/>
        <v>0</v>
      </c>
      <c r="O309" s="14"/>
      <c r="R309" s="96">
        <f t="shared" si="30"/>
        <v>0</v>
      </c>
      <c r="S309" s="96">
        <f t="shared" si="31"/>
        <v>0</v>
      </c>
    </row>
    <row r="310" spans="1:19" x14ac:dyDescent="0.2">
      <c r="A310" s="66"/>
      <c r="B310" s="66"/>
      <c r="C310" s="66"/>
      <c r="D310" s="75"/>
      <c r="E310" s="77"/>
      <c r="F310" s="67"/>
      <c r="G310" s="77"/>
      <c r="H310" s="79"/>
      <c r="I310" s="67">
        <f t="shared" si="25"/>
        <v>0</v>
      </c>
      <c r="J310" s="67">
        <f t="shared" si="26"/>
        <v>0</v>
      </c>
      <c r="K310" s="67">
        <f t="shared" si="27"/>
        <v>0</v>
      </c>
      <c r="L310" s="100">
        <f t="shared" si="28"/>
        <v>0</v>
      </c>
      <c r="M310" s="68"/>
      <c r="N310" s="100">
        <f t="shared" si="29"/>
        <v>0</v>
      </c>
      <c r="O310" s="14"/>
      <c r="R310" s="96">
        <f t="shared" si="30"/>
        <v>0</v>
      </c>
      <c r="S310" s="96">
        <f t="shared" si="31"/>
        <v>0</v>
      </c>
    </row>
    <row r="311" spans="1:19" x14ac:dyDescent="0.2">
      <c r="A311" s="66"/>
      <c r="B311" s="66"/>
      <c r="C311" s="66"/>
      <c r="D311" s="75"/>
      <c r="E311" s="77"/>
      <c r="F311" s="67"/>
      <c r="G311" s="77"/>
      <c r="H311" s="79"/>
      <c r="I311" s="67">
        <f t="shared" si="25"/>
        <v>0</v>
      </c>
      <c r="J311" s="67">
        <f t="shared" si="26"/>
        <v>0</v>
      </c>
      <c r="K311" s="67">
        <f t="shared" si="27"/>
        <v>0</v>
      </c>
      <c r="L311" s="100">
        <f t="shared" si="28"/>
        <v>0</v>
      </c>
      <c r="M311" s="68"/>
      <c r="N311" s="100">
        <f t="shared" si="29"/>
        <v>0</v>
      </c>
      <c r="O311" s="14"/>
      <c r="R311" s="96">
        <f t="shared" si="30"/>
        <v>0</v>
      </c>
      <c r="S311" s="96">
        <f t="shared" si="31"/>
        <v>0</v>
      </c>
    </row>
    <row r="312" spans="1:19" x14ac:dyDescent="0.2">
      <c r="A312" s="66"/>
      <c r="B312" s="66"/>
      <c r="C312" s="66"/>
      <c r="D312" s="75"/>
      <c r="E312" s="77"/>
      <c r="F312" s="67"/>
      <c r="G312" s="77"/>
      <c r="H312" s="79"/>
      <c r="I312" s="67">
        <f t="shared" si="25"/>
        <v>0</v>
      </c>
      <c r="J312" s="67">
        <f t="shared" si="26"/>
        <v>0</v>
      </c>
      <c r="K312" s="67">
        <f t="shared" si="27"/>
        <v>0</v>
      </c>
      <c r="L312" s="100">
        <f t="shared" si="28"/>
        <v>0</v>
      </c>
      <c r="M312" s="68"/>
      <c r="N312" s="100">
        <f t="shared" si="29"/>
        <v>0</v>
      </c>
      <c r="O312" s="14"/>
      <c r="R312" s="96">
        <f t="shared" si="30"/>
        <v>0</v>
      </c>
      <c r="S312" s="96">
        <f t="shared" si="31"/>
        <v>0</v>
      </c>
    </row>
    <row r="313" spans="1:19" x14ac:dyDescent="0.2">
      <c r="A313" s="66"/>
      <c r="B313" s="66"/>
      <c r="C313" s="66"/>
      <c r="D313" s="75"/>
      <c r="E313" s="77"/>
      <c r="F313" s="67"/>
      <c r="G313" s="77"/>
      <c r="H313" s="79"/>
      <c r="I313" s="67">
        <f t="shared" si="25"/>
        <v>0</v>
      </c>
      <c r="J313" s="67">
        <f t="shared" si="26"/>
        <v>0</v>
      </c>
      <c r="K313" s="67">
        <f t="shared" si="27"/>
        <v>0</v>
      </c>
      <c r="L313" s="100">
        <f t="shared" si="28"/>
        <v>0</v>
      </c>
      <c r="M313" s="68"/>
      <c r="N313" s="100">
        <f t="shared" si="29"/>
        <v>0</v>
      </c>
      <c r="O313" s="14"/>
      <c r="R313" s="96">
        <f t="shared" si="30"/>
        <v>0</v>
      </c>
      <c r="S313" s="96">
        <f t="shared" si="31"/>
        <v>0</v>
      </c>
    </row>
    <row r="314" spans="1:19" x14ac:dyDescent="0.2">
      <c r="A314" s="66"/>
      <c r="B314" s="66"/>
      <c r="C314" s="66"/>
      <c r="D314" s="75"/>
      <c r="E314" s="77"/>
      <c r="F314" s="67"/>
      <c r="G314" s="77"/>
      <c r="H314" s="79"/>
      <c r="I314" s="67">
        <f t="shared" si="25"/>
        <v>0</v>
      </c>
      <c r="J314" s="67">
        <f t="shared" si="26"/>
        <v>0</v>
      </c>
      <c r="K314" s="67">
        <f t="shared" si="27"/>
        <v>0</v>
      </c>
      <c r="L314" s="100">
        <f t="shared" si="28"/>
        <v>0</v>
      </c>
      <c r="M314" s="68"/>
      <c r="N314" s="100">
        <f t="shared" si="29"/>
        <v>0</v>
      </c>
      <c r="O314" s="14"/>
      <c r="R314" s="96">
        <f t="shared" si="30"/>
        <v>0</v>
      </c>
      <c r="S314" s="96">
        <f t="shared" si="31"/>
        <v>0</v>
      </c>
    </row>
    <row r="315" spans="1:19" x14ac:dyDescent="0.2">
      <c r="A315" s="66"/>
      <c r="B315" s="66"/>
      <c r="C315" s="66"/>
      <c r="D315" s="75"/>
      <c r="E315" s="77"/>
      <c r="F315" s="67"/>
      <c r="G315" s="77"/>
      <c r="H315" s="79"/>
      <c r="I315" s="67">
        <f t="shared" ref="I315:I324" si="32">IF(H315=0,+D315*0.1,G315*H315)</f>
        <v>0</v>
      </c>
      <c r="J315" s="67">
        <f t="shared" ref="J315:J324" si="33">IF(H315=0,+G315-E315,0)</f>
        <v>0</v>
      </c>
      <c r="K315" s="67">
        <f t="shared" ref="K315:K324" si="34">+(J315*0.5)*D315</f>
        <v>0</v>
      </c>
      <c r="L315" s="100">
        <f t="shared" ref="L315:L324" si="35">+I315+K315</f>
        <v>0</v>
      </c>
      <c r="M315" s="68"/>
      <c r="N315" s="100">
        <f t="shared" ref="N315:N324" si="36">IF(H315=0,IF(L315&gt;G315,L315,G315),L315)</f>
        <v>0</v>
      </c>
      <c r="O315" s="14"/>
      <c r="R315" s="96">
        <f t="shared" ref="R315:R343" si="37">IF(M315="",0,MONTH(M315))</f>
        <v>0</v>
      </c>
      <c r="S315" s="96">
        <f t="shared" ref="S315:S343" si="38">IF(M315="",0,YEAR(M315))</f>
        <v>0</v>
      </c>
    </row>
    <row r="316" spans="1:19" x14ac:dyDescent="0.2">
      <c r="A316" s="66"/>
      <c r="B316" s="66"/>
      <c r="C316" s="66"/>
      <c r="D316" s="75"/>
      <c r="E316" s="77"/>
      <c r="F316" s="67"/>
      <c r="G316" s="77"/>
      <c r="H316" s="79"/>
      <c r="I316" s="67">
        <f t="shared" si="32"/>
        <v>0</v>
      </c>
      <c r="J316" s="67">
        <f t="shared" si="33"/>
        <v>0</v>
      </c>
      <c r="K316" s="67">
        <f t="shared" si="34"/>
        <v>0</v>
      </c>
      <c r="L316" s="100">
        <f t="shared" si="35"/>
        <v>0</v>
      </c>
      <c r="M316" s="68"/>
      <c r="N316" s="100">
        <f t="shared" si="36"/>
        <v>0</v>
      </c>
      <c r="O316" s="14"/>
      <c r="R316" s="96">
        <f t="shared" si="37"/>
        <v>0</v>
      </c>
      <c r="S316" s="96">
        <f t="shared" si="38"/>
        <v>0</v>
      </c>
    </row>
    <row r="317" spans="1:19" x14ac:dyDescent="0.2">
      <c r="A317" s="66"/>
      <c r="B317" s="66"/>
      <c r="C317" s="66"/>
      <c r="D317" s="75"/>
      <c r="E317" s="77"/>
      <c r="F317" s="67"/>
      <c r="G317" s="77"/>
      <c r="H317" s="79"/>
      <c r="I317" s="67">
        <f t="shared" si="32"/>
        <v>0</v>
      </c>
      <c r="J317" s="67">
        <f t="shared" si="33"/>
        <v>0</v>
      </c>
      <c r="K317" s="67">
        <f t="shared" si="34"/>
        <v>0</v>
      </c>
      <c r="L317" s="100">
        <f t="shared" si="35"/>
        <v>0</v>
      </c>
      <c r="M317" s="68"/>
      <c r="N317" s="100">
        <f t="shared" si="36"/>
        <v>0</v>
      </c>
      <c r="O317" s="14"/>
      <c r="R317" s="96">
        <f t="shared" si="37"/>
        <v>0</v>
      </c>
      <c r="S317" s="96">
        <f t="shared" si="38"/>
        <v>0</v>
      </c>
    </row>
    <row r="318" spans="1:19" x14ac:dyDescent="0.2">
      <c r="A318" s="66"/>
      <c r="B318" s="66"/>
      <c r="C318" s="66"/>
      <c r="D318" s="75"/>
      <c r="E318" s="77"/>
      <c r="F318" s="67"/>
      <c r="G318" s="77"/>
      <c r="H318" s="79"/>
      <c r="I318" s="67">
        <f t="shared" si="32"/>
        <v>0</v>
      </c>
      <c r="J318" s="67">
        <f t="shared" si="33"/>
        <v>0</v>
      </c>
      <c r="K318" s="67">
        <f t="shared" si="34"/>
        <v>0</v>
      </c>
      <c r="L318" s="100">
        <f t="shared" si="35"/>
        <v>0</v>
      </c>
      <c r="M318" s="68"/>
      <c r="N318" s="100">
        <f t="shared" si="36"/>
        <v>0</v>
      </c>
      <c r="O318" s="14"/>
      <c r="R318" s="96">
        <f t="shared" si="37"/>
        <v>0</v>
      </c>
      <c r="S318" s="96">
        <f t="shared" si="38"/>
        <v>0</v>
      </c>
    </row>
    <row r="319" spans="1:19" x14ac:dyDescent="0.2">
      <c r="A319" s="66"/>
      <c r="B319" s="66"/>
      <c r="C319" s="66"/>
      <c r="D319" s="75"/>
      <c r="E319" s="77"/>
      <c r="F319" s="67"/>
      <c r="G319" s="77"/>
      <c r="H319" s="79"/>
      <c r="I319" s="67">
        <f t="shared" si="32"/>
        <v>0</v>
      </c>
      <c r="J319" s="67">
        <f t="shared" si="33"/>
        <v>0</v>
      </c>
      <c r="K319" s="67">
        <f t="shared" si="34"/>
        <v>0</v>
      </c>
      <c r="L319" s="100">
        <f t="shared" si="35"/>
        <v>0</v>
      </c>
      <c r="M319" s="68"/>
      <c r="N319" s="100">
        <f t="shared" si="36"/>
        <v>0</v>
      </c>
      <c r="O319" s="14"/>
      <c r="R319" s="96">
        <f t="shared" si="37"/>
        <v>0</v>
      </c>
      <c r="S319" s="96">
        <f t="shared" si="38"/>
        <v>0</v>
      </c>
    </row>
    <row r="320" spans="1:19" x14ac:dyDescent="0.2">
      <c r="A320" s="66"/>
      <c r="B320" s="66"/>
      <c r="C320" s="66"/>
      <c r="D320" s="75"/>
      <c r="E320" s="77"/>
      <c r="F320" s="67"/>
      <c r="G320" s="77"/>
      <c r="H320" s="79"/>
      <c r="I320" s="67">
        <f t="shared" si="32"/>
        <v>0</v>
      </c>
      <c r="J320" s="67">
        <f t="shared" si="33"/>
        <v>0</v>
      </c>
      <c r="K320" s="67">
        <f t="shared" si="34"/>
        <v>0</v>
      </c>
      <c r="L320" s="100">
        <f t="shared" si="35"/>
        <v>0</v>
      </c>
      <c r="M320" s="68"/>
      <c r="N320" s="100">
        <f t="shared" si="36"/>
        <v>0</v>
      </c>
      <c r="O320" s="14"/>
      <c r="R320" s="96">
        <f t="shared" si="37"/>
        <v>0</v>
      </c>
      <c r="S320" s="96">
        <f t="shared" si="38"/>
        <v>0</v>
      </c>
    </row>
    <row r="321" spans="1:19" x14ac:dyDescent="0.2">
      <c r="A321" s="66"/>
      <c r="B321" s="66"/>
      <c r="C321" s="66"/>
      <c r="D321" s="75"/>
      <c r="E321" s="77"/>
      <c r="F321" s="67"/>
      <c r="G321" s="77"/>
      <c r="H321" s="79"/>
      <c r="I321" s="67">
        <f t="shared" si="32"/>
        <v>0</v>
      </c>
      <c r="J321" s="67">
        <f t="shared" si="33"/>
        <v>0</v>
      </c>
      <c r="K321" s="67">
        <f t="shared" si="34"/>
        <v>0</v>
      </c>
      <c r="L321" s="100">
        <f t="shared" si="35"/>
        <v>0</v>
      </c>
      <c r="M321" s="68"/>
      <c r="N321" s="100">
        <f t="shared" si="36"/>
        <v>0</v>
      </c>
      <c r="O321" s="14"/>
      <c r="R321" s="96">
        <f t="shared" si="37"/>
        <v>0</v>
      </c>
      <c r="S321" s="96">
        <f t="shared" si="38"/>
        <v>0</v>
      </c>
    </row>
    <row r="322" spans="1:19" x14ac:dyDescent="0.2">
      <c r="A322" s="66"/>
      <c r="B322" s="66"/>
      <c r="C322" s="66"/>
      <c r="D322" s="75"/>
      <c r="E322" s="77"/>
      <c r="F322" s="67"/>
      <c r="G322" s="77"/>
      <c r="H322" s="79"/>
      <c r="I322" s="67">
        <f t="shared" si="32"/>
        <v>0</v>
      </c>
      <c r="J322" s="67">
        <f t="shared" si="33"/>
        <v>0</v>
      </c>
      <c r="K322" s="67">
        <f t="shared" si="34"/>
        <v>0</v>
      </c>
      <c r="L322" s="100">
        <f t="shared" si="35"/>
        <v>0</v>
      </c>
      <c r="M322" s="68"/>
      <c r="N322" s="100">
        <f t="shared" si="36"/>
        <v>0</v>
      </c>
      <c r="O322" s="14"/>
      <c r="R322" s="96">
        <f t="shared" si="37"/>
        <v>0</v>
      </c>
      <c r="S322" s="96">
        <f t="shared" si="38"/>
        <v>0</v>
      </c>
    </row>
    <row r="323" spans="1:19" x14ac:dyDescent="0.2">
      <c r="A323" s="66"/>
      <c r="B323" s="66"/>
      <c r="C323" s="66"/>
      <c r="D323" s="75"/>
      <c r="E323" s="77"/>
      <c r="F323" s="67"/>
      <c r="G323" s="77"/>
      <c r="H323" s="79"/>
      <c r="I323" s="67">
        <f t="shared" si="32"/>
        <v>0</v>
      </c>
      <c r="J323" s="67">
        <f t="shared" si="33"/>
        <v>0</v>
      </c>
      <c r="K323" s="67">
        <f t="shared" si="34"/>
        <v>0</v>
      </c>
      <c r="L323" s="100">
        <f t="shared" si="35"/>
        <v>0</v>
      </c>
      <c r="M323" s="68"/>
      <c r="N323" s="100">
        <f t="shared" si="36"/>
        <v>0</v>
      </c>
      <c r="O323" s="14"/>
      <c r="R323" s="96">
        <f t="shared" si="37"/>
        <v>0</v>
      </c>
      <c r="S323" s="96">
        <f t="shared" si="38"/>
        <v>0</v>
      </c>
    </row>
    <row r="324" spans="1:19" x14ac:dyDescent="0.2">
      <c r="A324" s="66"/>
      <c r="B324" s="66"/>
      <c r="C324" s="66"/>
      <c r="D324" s="75"/>
      <c r="E324" s="77"/>
      <c r="F324" s="67"/>
      <c r="G324" s="77"/>
      <c r="H324" s="79"/>
      <c r="I324" s="67">
        <f t="shared" si="32"/>
        <v>0</v>
      </c>
      <c r="J324" s="67">
        <f t="shared" si="33"/>
        <v>0</v>
      </c>
      <c r="K324" s="67">
        <f t="shared" si="34"/>
        <v>0</v>
      </c>
      <c r="L324" s="100">
        <f t="shared" si="35"/>
        <v>0</v>
      </c>
      <c r="M324" s="68"/>
      <c r="N324" s="100">
        <f t="shared" si="36"/>
        <v>0</v>
      </c>
      <c r="O324" s="14"/>
      <c r="R324" s="96">
        <f t="shared" si="37"/>
        <v>0</v>
      </c>
      <c r="S324" s="96">
        <f t="shared" si="38"/>
        <v>0</v>
      </c>
    </row>
    <row r="325" spans="1:19" x14ac:dyDescent="0.2">
      <c r="A325" s="66"/>
      <c r="B325" s="66"/>
      <c r="C325" s="66"/>
      <c r="D325" s="75"/>
      <c r="E325" s="77"/>
      <c r="F325" s="67"/>
      <c r="G325" s="77"/>
      <c r="H325" s="79"/>
      <c r="I325" s="67">
        <f t="shared" ref="I325:I342" si="39">IF(H325=0,+D325*0.1,G325*H325)</f>
        <v>0</v>
      </c>
      <c r="J325" s="67">
        <f t="shared" ref="J325:J342" si="40">IF(H325=0,+G325-E325,0)</f>
        <v>0</v>
      </c>
      <c r="K325" s="67">
        <f t="shared" ref="K325:K342" si="41">+(J325*0.5)*D325</f>
        <v>0</v>
      </c>
      <c r="L325" s="100">
        <f t="shared" ref="L325:L342" si="42">+I325+K325</f>
        <v>0</v>
      </c>
      <c r="M325" s="68"/>
      <c r="N325" s="100">
        <f t="shared" ref="N325:N342" si="43">IF(H325=0,IF(L325&gt;G325,L325,G325),L325)</f>
        <v>0</v>
      </c>
      <c r="O325" s="14"/>
      <c r="R325" s="96">
        <f t="shared" si="37"/>
        <v>0</v>
      </c>
      <c r="S325" s="96">
        <f t="shared" si="38"/>
        <v>0</v>
      </c>
    </row>
    <row r="326" spans="1:19" x14ac:dyDescent="0.2">
      <c r="A326" s="66"/>
      <c r="B326" s="66"/>
      <c r="C326" s="66"/>
      <c r="D326" s="75"/>
      <c r="E326" s="77"/>
      <c r="F326" s="67"/>
      <c r="G326" s="77"/>
      <c r="H326" s="79"/>
      <c r="I326" s="67">
        <f t="shared" si="39"/>
        <v>0</v>
      </c>
      <c r="J326" s="67">
        <f t="shared" si="40"/>
        <v>0</v>
      </c>
      <c r="K326" s="67">
        <f t="shared" si="41"/>
        <v>0</v>
      </c>
      <c r="L326" s="100">
        <f t="shared" si="42"/>
        <v>0</v>
      </c>
      <c r="M326" s="68"/>
      <c r="N326" s="100">
        <f t="shared" si="43"/>
        <v>0</v>
      </c>
      <c r="O326" s="14"/>
      <c r="R326" s="96">
        <f t="shared" si="37"/>
        <v>0</v>
      </c>
      <c r="S326" s="96">
        <f t="shared" si="38"/>
        <v>0</v>
      </c>
    </row>
    <row r="327" spans="1:19" x14ac:dyDescent="0.2">
      <c r="A327" s="66"/>
      <c r="B327" s="66"/>
      <c r="C327" s="66"/>
      <c r="D327" s="75"/>
      <c r="E327" s="77"/>
      <c r="F327" s="67"/>
      <c r="G327" s="77"/>
      <c r="H327" s="79"/>
      <c r="I327" s="67">
        <f t="shared" si="39"/>
        <v>0</v>
      </c>
      <c r="J327" s="67">
        <f t="shared" si="40"/>
        <v>0</v>
      </c>
      <c r="K327" s="67">
        <f t="shared" si="41"/>
        <v>0</v>
      </c>
      <c r="L327" s="100">
        <f t="shared" si="42"/>
        <v>0</v>
      </c>
      <c r="M327" s="68"/>
      <c r="N327" s="100">
        <f t="shared" si="43"/>
        <v>0</v>
      </c>
      <c r="O327" s="14"/>
      <c r="R327" s="96">
        <f t="shared" si="37"/>
        <v>0</v>
      </c>
      <c r="S327" s="96">
        <f t="shared" si="38"/>
        <v>0</v>
      </c>
    </row>
    <row r="328" spans="1:19" x14ac:dyDescent="0.2">
      <c r="A328" s="66"/>
      <c r="B328" s="66"/>
      <c r="C328" s="66"/>
      <c r="D328" s="75"/>
      <c r="E328" s="77"/>
      <c r="F328" s="67"/>
      <c r="G328" s="77"/>
      <c r="H328" s="79"/>
      <c r="I328" s="67">
        <f t="shared" si="39"/>
        <v>0</v>
      </c>
      <c r="J328" s="67">
        <f t="shared" si="40"/>
        <v>0</v>
      </c>
      <c r="K328" s="67">
        <f t="shared" si="41"/>
        <v>0</v>
      </c>
      <c r="L328" s="100">
        <f t="shared" si="42"/>
        <v>0</v>
      </c>
      <c r="M328" s="68"/>
      <c r="N328" s="100">
        <f t="shared" si="43"/>
        <v>0</v>
      </c>
      <c r="O328" s="14"/>
      <c r="R328" s="96">
        <f t="shared" si="37"/>
        <v>0</v>
      </c>
      <c r="S328" s="96">
        <f t="shared" si="38"/>
        <v>0</v>
      </c>
    </row>
    <row r="329" spans="1:19" x14ac:dyDescent="0.2">
      <c r="A329" s="66"/>
      <c r="B329" s="66"/>
      <c r="C329" s="66"/>
      <c r="D329" s="75"/>
      <c r="E329" s="77"/>
      <c r="F329" s="67"/>
      <c r="G329" s="77"/>
      <c r="H329" s="79"/>
      <c r="I329" s="67">
        <f t="shared" si="39"/>
        <v>0</v>
      </c>
      <c r="J329" s="67">
        <f t="shared" si="40"/>
        <v>0</v>
      </c>
      <c r="K329" s="67">
        <f t="shared" si="41"/>
        <v>0</v>
      </c>
      <c r="L329" s="100">
        <f t="shared" si="42"/>
        <v>0</v>
      </c>
      <c r="M329" s="68"/>
      <c r="N329" s="100">
        <f t="shared" si="43"/>
        <v>0</v>
      </c>
      <c r="O329" s="14"/>
      <c r="R329" s="96">
        <f t="shared" si="37"/>
        <v>0</v>
      </c>
      <c r="S329" s="96">
        <f t="shared" si="38"/>
        <v>0</v>
      </c>
    </row>
    <row r="330" spans="1:19" x14ac:dyDescent="0.2">
      <c r="A330" s="66"/>
      <c r="B330" s="66"/>
      <c r="C330" s="66"/>
      <c r="D330" s="75"/>
      <c r="E330" s="77"/>
      <c r="F330" s="67"/>
      <c r="G330" s="77"/>
      <c r="H330" s="79"/>
      <c r="I330" s="67">
        <f t="shared" si="39"/>
        <v>0</v>
      </c>
      <c r="J330" s="67">
        <f t="shared" si="40"/>
        <v>0</v>
      </c>
      <c r="K330" s="67">
        <f t="shared" si="41"/>
        <v>0</v>
      </c>
      <c r="L330" s="100">
        <f t="shared" si="42"/>
        <v>0</v>
      </c>
      <c r="M330" s="68"/>
      <c r="N330" s="100">
        <f t="shared" si="43"/>
        <v>0</v>
      </c>
      <c r="O330" s="14"/>
      <c r="R330" s="96">
        <f t="shared" si="37"/>
        <v>0</v>
      </c>
      <c r="S330" s="96">
        <f t="shared" si="38"/>
        <v>0</v>
      </c>
    </row>
    <row r="331" spans="1:19" x14ac:dyDescent="0.2">
      <c r="A331" s="66"/>
      <c r="B331" s="66"/>
      <c r="C331" s="66"/>
      <c r="D331" s="75"/>
      <c r="E331" s="77"/>
      <c r="F331" s="67"/>
      <c r="G331" s="77"/>
      <c r="H331" s="79"/>
      <c r="I331" s="67">
        <f t="shared" si="39"/>
        <v>0</v>
      </c>
      <c r="J331" s="67">
        <f t="shared" si="40"/>
        <v>0</v>
      </c>
      <c r="K331" s="67">
        <f t="shared" si="41"/>
        <v>0</v>
      </c>
      <c r="L331" s="100">
        <f t="shared" si="42"/>
        <v>0</v>
      </c>
      <c r="M331" s="68"/>
      <c r="N331" s="100">
        <f t="shared" si="43"/>
        <v>0</v>
      </c>
      <c r="O331" s="14"/>
      <c r="R331" s="96">
        <f t="shared" si="37"/>
        <v>0</v>
      </c>
      <c r="S331" s="96">
        <f t="shared" si="38"/>
        <v>0</v>
      </c>
    </row>
    <row r="332" spans="1:19" x14ac:dyDescent="0.2">
      <c r="A332" s="66"/>
      <c r="B332" s="66"/>
      <c r="C332" s="66"/>
      <c r="D332" s="75"/>
      <c r="E332" s="77"/>
      <c r="F332" s="67"/>
      <c r="G332" s="77"/>
      <c r="H332" s="79"/>
      <c r="I332" s="67">
        <f t="shared" si="39"/>
        <v>0</v>
      </c>
      <c r="J332" s="67">
        <f t="shared" si="40"/>
        <v>0</v>
      </c>
      <c r="K332" s="67">
        <f t="shared" si="41"/>
        <v>0</v>
      </c>
      <c r="L332" s="100">
        <f t="shared" si="42"/>
        <v>0</v>
      </c>
      <c r="M332" s="68"/>
      <c r="N332" s="100">
        <f t="shared" si="43"/>
        <v>0</v>
      </c>
      <c r="O332" s="14"/>
      <c r="R332" s="96">
        <f t="shared" si="37"/>
        <v>0</v>
      </c>
      <c r="S332" s="96">
        <f t="shared" si="38"/>
        <v>0</v>
      </c>
    </row>
    <row r="333" spans="1:19" x14ac:dyDescent="0.2">
      <c r="A333" s="66"/>
      <c r="B333" s="66"/>
      <c r="C333" s="66"/>
      <c r="D333" s="75"/>
      <c r="E333" s="77"/>
      <c r="F333" s="67"/>
      <c r="G333" s="77"/>
      <c r="H333" s="79"/>
      <c r="I333" s="67">
        <f t="shared" si="39"/>
        <v>0</v>
      </c>
      <c r="J333" s="67">
        <f t="shared" si="40"/>
        <v>0</v>
      </c>
      <c r="K333" s="67">
        <f t="shared" si="41"/>
        <v>0</v>
      </c>
      <c r="L333" s="100">
        <f t="shared" si="42"/>
        <v>0</v>
      </c>
      <c r="M333" s="68"/>
      <c r="N333" s="100">
        <f t="shared" si="43"/>
        <v>0</v>
      </c>
      <c r="O333" s="14"/>
      <c r="R333" s="96">
        <f t="shared" si="37"/>
        <v>0</v>
      </c>
      <c r="S333" s="96">
        <f t="shared" si="38"/>
        <v>0</v>
      </c>
    </row>
    <row r="334" spans="1:19" x14ac:dyDescent="0.2">
      <c r="A334" s="66"/>
      <c r="B334" s="66"/>
      <c r="C334" s="66"/>
      <c r="D334" s="75"/>
      <c r="E334" s="77"/>
      <c r="F334" s="67"/>
      <c r="G334" s="77"/>
      <c r="H334" s="79"/>
      <c r="I334" s="67">
        <f t="shared" si="39"/>
        <v>0</v>
      </c>
      <c r="J334" s="67">
        <f t="shared" si="40"/>
        <v>0</v>
      </c>
      <c r="K334" s="67">
        <f t="shared" si="41"/>
        <v>0</v>
      </c>
      <c r="L334" s="100">
        <f t="shared" si="42"/>
        <v>0</v>
      </c>
      <c r="M334" s="68"/>
      <c r="N334" s="100">
        <f t="shared" si="43"/>
        <v>0</v>
      </c>
      <c r="O334" s="14"/>
      <c r="R334" s="96">
        <f t="shared" si="37"/>
        <v>0</v>
      </c>
      <c r="S334" s="96">
        <f t="shared" si="38"/>
        <v>0</v>
      </c>
    </row>
    <row r="335" spans="1:19" x14ac:dyDescent="0.2">
      <c r="A335" s="66"/>
      <c r="B335" s="66"/>
      <c r="C335" s="66"/>
      <c r="D335" s="75"/>
      <c r="E335" s="77"/>
      <c r="F335" s="67"/>
      <c r="G335" s="77"/>
      <c r="H335" s="79"/>
      <c r="I335" s="67">
        <f t="shared" si="39"/>
        <v>0</v>
      </c>
      <c r="J335" s="67">
        <f t="shared" si="40"/>
        <v>0</v>
      </c>
      <c r="K335" s="67">
        <f t="shared" si="41"/>
        <v>0</v>
      </c>
      <c r="L335" s="100">
        <f t="shared" si="42"/>
        <v>0</v>
      </c>
      <c r="M335" s="68"/>
      <c r="N335" s="100">
        <f t="shared" si="43"/>
        <v>0</v>
      </c>
      <c r="O335" s="14"/>
      <c r="R335" s="96">
        <f t="shared" si="37"/>
        <v>0</v>
      </c>
      <c r="S335" s="96">
        <f t="shared" si="38"/>
        <v>0</v>
      </c>
    </row>
    <row r="336" spans="1:19" x14ac:dyDescent="0.2">
      <c r="A336" s="66"/>
      <c r="B336" s="66"/>
      <c r="C336" s="66"/>
      <c r="D336" s="75"/>
      <c r="E336" s="77"/>
      <c r="F336" s="67"/>
      <c r="G336" s="77"/>
      <c r="H336" s="79"/>
      <c r="I336" s="67">
        <f t="shared" si="39"/>
        <v>0</v>
      </c>
      <c r="J336" s="67">
        <f t="shared" si="40"/>
        <v>0</v>
      </c>
      <c r="K336" s="67">
        <f t="shared" si="41"/>
        <v>0</v>
      </c>
      <c r="L336" s="100">
        <f t="shared" si="42"/>
        <v>0</v>
      </c>
      <c r="M336" s="68"/>
      <c r="N336" s="100">
        <f t="shared" si="43"/>
        <v>0</v>
      </c>
      <c r="O336" s="14"/>
      <c r="R336" s="96">
        <f t="shared" si="37"/>
        <v>0</v>
      </c>
      <c r="S336" s="96">
        <f t="shared" si="38"/>
        <v>0</v>
      </c>
    </row>
    <row r="337" spans="1:19" x14ac:dyDescent="0.2">
      <c r="A337" s="66"/>
      <c r="B337" s="66"/>
      <c r="C337" s="66"/>
      <c r="D337" s="75"/>
      <c r="E337" s="77"/>
      <c r="F337" s="67"/>
      <c r="G337" s="77"/>
      <c r="H337" s="79"/>
      <c r="I337" s="67">
        <f t="shared" si="39"/>
        <v>0</v>
      </c>
      <c r="J337" s="67">
        <f t="shared" si="40"/>
        <v>0</v>
      </c>
      <c r="K337" s="67">
        <f t="shared" si="41"/>
        <v>0</v>
      </c>
      <c r="L337" s="100">
        <f t="shared" si="42"/>
        <v>0</v>
      </c>
      <c r="M337" s="68"/>
      <c r="N337" s="100">
        <f t="shared" si="43"/>
        <v>0</v>
      </c>
      <c r="O337" s="14"/>
      <c r="R337" s="96">
        <f t="shared" si="37"/>
        <v>0</v>
      </c>
      <c r="S337" s="96">
        <f t="shared" si="38"/>
        <v>0</v>
      </c>
    </row>
    <row r="338" spans="1:19" x14ac:dyDescent="0.2">
      <c r="A338" s="66"/>
      <c r="B338" s="66"/>
      <c r="C338" s="66"/>
      <c r="D338" s="75"/>
      <c r="E338" s="77"/>
      <c r="F338" s="67"/>
      <c r="G338" s="77"/>
      <c r="H338" s="79"/>
      <c r="I338" s="67">
        <f t="shared" si="39"/>
        <v>0</v>
      </c>
      <c r="J338" s="67">
        <f t="shared" si="40"/>
        <v>0</v>
      </c>
      <c r="K338" s="67">
        <f t="shared" si="41"/>
        <v>0</v>
      </c>
      <c r="L338" s="100">
        <f t="shared" si="42"/>
        <v>0</v>
      </c>
      <c r="M338" s="68"/>
      <c r="N338" s="100">
        <f t="shared" si="43"/>
        <v>0</v>
      </c>
      <c r="O338" s="14"/>
      <c r="R338" s="96">
        <f t="shared" si="37"/>
        <v>0</v>
      </c>
      <c r="S338" s="96">
        <f t="shared" si="38"/>
        <v>0</v>
      </c>
    </row>
    <row r="339" spans="1:19" x14ac:dyDescent="0.2">
      <c r="A339" s="66"/>
      <c r="B339" s="66"/>
      <c r="C339" s="66"/>
      <c r="D339" s="75"/>
      <c r="E339" s="77"/>
      <c r="F339" s="67"/>
      <c r="G339" s="77"/>
      <c r="H339" s="79"/>
      <c r="I339" s="67">
        <f t="shared" si="39"/>
        <v>0</v>
      </c>
      <c r="J339" s="67">
        <f t="shared" si="40"/>
        <v>0</v>
      </c>
      <c r="K339" s="67">
        <f t="shared" si="41"/>
        <v>0</v>
      </c>
      <c r="L339" s="100">
        <f t="shared" si="42"/>
        <v>0</v>
      </c>
      <c r="M339" s="68"/>
      <c r="N339" s="100">
        <f t="shared" si="43"/>
        <v>0</v>
      </c>
      <c r="O339" s="14"/>
      <c r="R339" s="96">
        <f t="shared" si="37"/>
        <v>0</v>
      </c>
      <c r="S339" s="96">
        <f t="shared" si="38"/>
        <v>0</v>
      </c>
    </row>
    <row r="340" spans="1:19" x14ac:dyDescent="0.2">
      <c r="A340" s="66"/>
      <c r="B340" s="66"/>
      <c r="C340" s="66"/>
      <c r="D340" s="75"/>
      <c r="E340" s="77"/>
      <c r="F340" s="67"/>
      <c r="G340" s="77"/>
      <c r="H340" s="79"/>
      <c r="I340" s="67">
        <f t="shared" si="39"/>
        <v>0</v>
      </c>
      <c r="J340" s="67">
        <f t="shared" si="40"/>
        <v>0</v>
      </c>
      <c r="K340" s="67">
        <f t="shared" si="41"/>
        <v>0</v>
      </c>
      <c r="L340" s="100">
        <f t="shared" si="42"/>
        <v>0</v>
      </c>
      <c r="M340" s="68"/>
      <c r="N340" s="100">
        <f t="shared" si="43"/>
        <v>0</v>
      </c>
      <c r="O340" s="14"/>
      <c r="R340" s="96">
        <f t="shared" si="37"/>
        <v>0</v>
      </c>
      <c r="S340" s="96">
        <f t="shared" si="38"/>
        <v>0</v>
      </c>
    </row>
    <row r="341" spans="1:19" x14ac:dyDescent="0.2">
      <c r="A341" s="66"/>
      <c r="B341" s="66"/>
      <c r="C341" s="66"/>
      <c r="D341" s="75"/>
      <c r="E341" s="77"/>
      <c r="F341" s="67"/>
      <c r="G341" s="77"/>
      <c r="H341" s="79"/>
      <c r="I341" s="67">
        <f t="shared" si="39"/>
        <v>0</v>
      </c>
      <c r="J341" s="67">
        <f t="shared" si="40"/>
        <v>0</v>
      </c>
      <c r="K341" s="67">
        <f t="shared" si="41"/>
        <v>0</v>
      </c>
      <c r="L341" s="100">
        <f t="shared" si="42"/>
        <v>0</v>
      </c>
      <c r="M341" s="68"/>
      <c r="N341" s="100">
        <f t="shared" si="43"/>
        <v>0</v>
      </c>
      <c r="O341" s="14"/>
      <c r="R341" s="96">
        <f t="shared" si="37"/>
        <v>0</v>
      </c>
      <c r="S341" s="96">
        <f t="shared" si="38"/>
        <v>0</v>
      </c>
    </row>
    <row r="342" spans="1:19" x14ac:dyDescent="0.2">
      <c r="A342" s="66"/>
      <c r="B342" s="66"/>
      <c r="C342" s="66"/>
      <c r="D342" s="75"/>
      <c r="E342" s="77"/>
      <c r="F342" s="67"/>
      <c r="G342" s="77"/>
      <c r="H342" s="79"/>
      <c r="I342" s="67">
        <f t="shared" si="39"/>
        <v>0</v>
      </c>
      <c r="J342" s="67">
        <f t="shared" si="40"/>
        <v>0</v>
      </c>
      <c r="K342" s="67">
        <f t="shared" si="41"/>
        <v>0</v>
      </c>
      <c r="L342" s="100">
        <f t="shared" si="42"/>
        <v>0</v>
      </c>
      <c r="M342" s="68"/>
      <c r="N342" s="100">
        <f t="shared" si="43"/>
        <v>0</v>
      </c>
      <c r="O342" s="14"/>
      <c r="R342" s="96">
        <f t="shared" si="37"/>
        <v>0</v>
      </c>
      <c r="S342" s="96">
        <f t="shared" si="38"/>
        <v>0</v>
      </c>
    </row>
    <row r="343" spans="1:19" x14ac:dyDescent="0.2">
      <c r="A343" s="66"/>
      <c r="B343" s="66"/>
      <c r="C343" s="66"/>
      <c r="D343" s="75"/>
      <c r="E343" s="77"/>
      <c r="F343" s="67"/>
      <c r="G343" s="77"/>
      <c r="H343" s="79"/>
      <c r="I343" s="67">
        <f>IF(H343=0,+D343*0.1,G343*H343)</f>
        <v>0</v>
      </c>
      <c r="J343" s="67">
        <f>IF(H343=0,+G343-E343,0)</f>
        <v>0</v>
      </c>
      <c r="K343" s="67">
        <f>+(J343*0.5)*D343</f>
        <v>0</v>
      </c>
      <c r="L343" s="100">
        <f>+I343+K343</f>
        <v>0</v>
      </c>
      <c r="M343" s="68"/>
      <c r="N343" s="100">
        <f>IF(H343=0,IF(L343&gt;G343,L343,G343),L343)</f>
        <v>0</v>
      </c>
      <c r="O343" s="14"/>
      <c r="R343" s="96">
        <f t="shared" si="37"/>
        <v>0</v>
      </c>
      <c r="S343" s="96">
        <f t="shared" si="38"/>
        <v>0</v>
      </c>
    </row>
    <row r="344" spans="1:19" x14ac:dyDescent="0.2">
      <c r="A344" s="66"/>
      <c r="B344" s="66"/>
      <c r="C344" s="66"/>
      <c r="D344" s="75"/>
      <c r="E344" s="77"/>
      <c r="F344" s="67"/>
      <c r="G344" s="77"/>
      <c r="H344" s="79"/>
      <c r="I344" s="67">
        <f t="shared" ref="I344:I360" si="44">IF(H344=0,+D344*0.1,G344*H344)</f>
        <v>0</v>
      </c>
      <c r="J344" s="67">
        <f t="shared" ref="J344:J360" si="45">IF(H344=0,+G344-E344,0)</f>
        <v>0</v>
      </c>
      <c r="K344" s="67">
        <f t="shared" ref="K344:K360" si="46">+(J344*0.5)*D344</f>
        <v>0</v>
      </c>
      <c r="L344" s="100">
        <f t="shared" ref="L344:L360" si="47">+I344+K344</f>
        <v>0</v>
      </c>
      <c r="M344" s="68"/>
      <c r="N344" s="100">
        <f t="shared" ref="N344:N360" si="48">IF(H344=0,IF(L344&gt;G344,L344,G344),L344)</f>
        <v>0</v>
      </c>
      <c r="O344" s="14"/>
      <c r="R344" s="96">
        <f>IF(M397="",0,MONTH(M397))</f>
        <v>0</v>
      </c>
      <c r="S344" s="96">
        <f>IF(M397="",0,YEAR(M397))</f>
        <v>0</v>
      </c>
    </row>
    <row r="345" spans="1:19" x14ac:dyDescent="0.2">
      <c r="A345" s="66"/>
      <c r="B345" s="66"/>
      <c r="C345" s="66"/>
      <c r="D345" s="75"/>
      <c r="E345" s="77"/>
      <c r="F345" s="67"/>
      <c r="G345" s="77"/>
      <c r="H345" s="79"/>
      <c r="I345" s="67">
        <f t="shared" si="44"/>
        <v>0</v>
      </c>
      <c r="J345" s="67">
        <f t="shared" si="45"/>
        <v>0</v>
      </c>
      <c r="K345" s="67">
        <f t="shared" si="46"/>
        <v>0</v>
      </c>
      <c r="L345" s="100">
        <f t="shared" si="47"/>
        <v>0</v>
      </c>
      <c r="M345" s="68"/>
      <c r="N345" s="100">
        <f t="shared" si="48"/>
        <v>0</v>
      </c>
      <c r="O345" s="14"/>
      <c r="R345" s="96">
        <f>IF(M398="",0,MONTH(M398))</f>
        <v>0</v>
      </c>
      <c r="S345" s="96">
        <f>IF(M398="",0,YEAR(M398))</f>
        <v>0</v>
      </c>
    </row>
    <row r="346" spans="1:19" x14ac:dyDescent="0.2">
      <c r="A346" s="66"/>
      <c r="B346" s="66"/>
      <c r="C346" s="66"/>
      <c r="D346" s="75"/>
      <c r="E346" s="77"/>
      <c r="F346" s="67"/>
      <c r="G346" s="77"/>
      <c r="H346" s="79"/>
      <c r="I346" s="67">
        <f t="shared" si="44"/>
        <v>0</v>
      </c>
      <c r="J346" s="67">
        <f t="shared" si="45"/>
        <v>0</v>
      </c>
      <c r="K346" s="67">
        <f t="shared" si="46"/>
        <v>0</v>
      </c>
      <c r="L346" s="100">
        <f t="shared" si="47"/>
        <v>0</v>
      </c>
      <c r="M346" s="68"/>
      <c r="N346" s="100">
        <f t="shared" si="48"/>
        <v>0</v>
      </c>
      <c r="O346" s="14"/>
      <c r="R346" s="96">
        <f>IF(M399="",0,MONTH(M399))</f>
        <v>0</v>
      </c>
      <c r="S346" s="96">
        <f>IF(M399="",0,YEAR(M399))</f>
        <v>0</v>
      </c>
    </row>
    <row r="347" spans="1:19" x14ac:dyDescent="0.2">
      <c r="A347" s="66"/>
      <c r="B347" s="66"/>
      <c r="C347" s="66"/>
      <c r="D347" s="75"/>
      <c r="E347" s="77"/>
      <c r="F347" s="67"/>
      <c r="G347" s="77"/>
      <c r="H347" s="79"/>
      <c r="I347" s="67">
        <f t="shared" si="44"/>
        <v>0</v>
      </c>
      <c r="J347" s="67">
        <f t="shared" si="45"/>
        <v>0</v>
      </c>
      <c r="K347" s="67">
        <f t="shared" si="46"/>
        <v>0</v>
      </c>
      <c r="L347" s="100">
        <f t="shared" si="47"/>
        <v>0</v>
      </c>
      <c r="M347" s="68"/>
      <c r="N347" s="100">
        <f t="shared" si="48"/>
        <v>0</v>
      </c>
      <c r="O347" s="14"/>
      <c r="R347" s="96">
        <f>IF(M403="",0,MONTH(M403))</f>
        <v>0</v>
      </c>
      <c r="S347" s="96">
        <f>IF(M403="",0,YEAR(M403))</f>
        <v>0</v>
      </c>
    </row>
    <row r="348" spans="1:19" x14ac:dyDescent="0.2">
      <c r="A348" s="66"/>
      <c r="B348" s="66"/>
      <c r="C348" s="66"/>
      <c r="D348" s="75"/>
      <c r="E348" s="77"/>
      <c r="F348" s="67"/>
      <c r="G348" s="77"/>
      <c r="H348" s="79"/>
      <c r="I348" s="67">
        <f t="shared" si="44"/>
        <v>0</v>
      </c>
      <c r="J348" s="67">
        <f t="shared" si="45"/>
        <v>0</v>
      </c>
      <c r="K348" s="67">
        <f t="shared" si="46"/>
        <v>0</v>
      </c>
      <c r="L348" s="100">
        <f t="shared" si="47"/>
        <v>0</v>
      </c>
      <c r="M348" s="68"/>
      <c r="N348" s="100">
        <f t="shared" si="48"/>
        <v>0</v>
      </c>
      <c r="O348" s="14"/>
      <c r="R348" s="96">
        <f>IF(M404="",0,MONTH(M404))</f>
        <v>0</v>
      </c>
      <c r="S348" s="96">
        <f>IF(M404="",0,YEAR(M404))</f>
        <v>0</v>
      </c>
    </row>
    <row r="349" spans="1:19" x14ac:dyDescent="0.2">
      <c r="A349" s="66"/>
      <c r="B349" s="66"/>
      <c r="C349" s="66"/>
      <c r="D349" s="75"/>
      <c r="E349" s="77"/>
      <c r="F349" s="67"/>
      <c r="G349" s="77"/>
      <c r="H349" s="79"/>
      <c r="I349" s="67">
        <f t="shared" si="44"/>
        <v>0</v>
      </c>
      <c r="J349" s="67">
        <f t="shared" si="45"/>
        <v>0</v>
      </c>
      <c r="K349" s="67">
        <f t="shared" si="46"/>
        <v>0</v>
      </c>
      <c r="L349" s="100">
        <f t="shared" si="47"/>
        <v>0</v>
      </c>
      <c r="M349" s="68"/>
      <c r="N349" s="100">
        <f t="shared" si="48"/>
        <v>0</v>
      </c>
      <c r="O349" s="14"/>
      <c r="R349" s="96">
        <f>IF(M405="",0,MONTH(M405))</f>
        <v>0</v>
      </c>
      <c r="S349" s="96">
        <f>IF(M405="",0,YEAR(M405))</f>
        <v>0</v>
      </c>
    </row>
    <row r="350" spans="1:19" x14ac:dyDescent="0.2">
      <c r="A350" s="66"/>
      <c r="B350" s="66"/>
      <c r="C350" s="66"/>
      <c r="D350" s="75"/>
      <c r="E350" s="77"/>
      <c r="F350" s="67"/>
      <c r="G350" s="77"/>
      <c r="H350" s="79"/>
      <c r="I350" s="67">
        <f t="shared" si="44"/>
        <v>0</v>
      </c>
      <c r="J350" s="67">
        <f t="shared" si="45"/>
        <v>0</v>
      </c>
      <c r="K350" s="67">
        <f t="shared" si="46"/>
        <v>0</v>
      </c>
      <c r="L350" s="100">
        <f t="shared" si="47"/>
        <v>0</v>
      </c>
      <c r="M350" s="68"/>
      <c r="N350" s="100">
        <f t="shared" si="48"/>
        <v>0</v>
      </c>
      <c r="O350" s="14"/>
      <c r="R350" s="96">
        <f>IF(M406="",0,MONTH(M406))</f>
        <v>0</v>
      </c>
      <c r="S350" s="96">
        <f>IF(M406="",0,YEAR(M406))</f>
        <v>0</v>
      </c>
    </row>
    <row r="351" spans="1:19" x14ac:dyDescent="0.2">
      <c r="A351" s="66"/>
      <c r="B351" s="66"/>
      <c r="C351" s="66"/>
      <c r="D351" s="75"/>
      <c r="E351" s="77"/>
      <c r="F351" s="67"/>
      <c r="G351" s="77"/>
      <c r="H351" s="79"/>
      <c r="I351" s="67">
        <f t="shared" si="44"/>
        <v>0</v>
      </c>
      <c r="J351" s="67">
        <f t="shared" si="45"/>
        <v>0</v>
      </c>
      <c r="K351" s="67">
        <f t="shared" si="46"/>
        <v>0</v>
      </c>
      <c r="L351" s="100">
        <f t="shared" si="47"/>
        <v>0</v>
      </c>
      <c r="M351" s="68"/>
      <c r="N351" s="100">
        <f t="shared" si="48"/>
        <v>0</v>
      </c>
      <c r="O351" s="14"/>
    </row>
    <row r="352" spans="1:19" x14ac:dyDescent="0.2">
      <c r="A352" s="66"/>
      <c r="B352" s="66"/>
      <c r="C352" s="66"/>
      <c r="D352" s="75"/>
      <c r="E352" s="77"/>
      <c r="F352" s="67"/>
      <c r="G352" s="77"/>
      <c r="H352" s="79"/>
      <c r="I352" s="67">
        <f t="shared" si="44"/>
        <v>0</v>
      </c>
      <c r="J352" s="67">
        <f t="shared" si="45"/>
        <v>0</v>
      </c>
      <c r="K352" s="67">
        <f t="shared" si="46"/>
        <v>0</v>
      </c>
      <c r="L352" s="100">
        <f t="shared" si="47"/>
        <v>0</v>
      </c>
      <c r="M352" s="68"/>
      <c r="N352" s="100">
        <f t="shared" si="48"/>
        <v>0</v>
      </c>
      <c r="O352" s="14"/>
    </row>
    <row r="353" spans="1:15" x14ac:dyDescent="0.2">
      <c r="A353" s="66"/>
      <c r="B353" s="66"/>
      <c r="C353" s="66"/>
      <c r="D353" s="75"/>
      <c r="E353" s="77"/>
      <c r="F353" s="67"/>
      <c r="G353" s="77"/>
      <c r="H353" s="79"/>
      <c r="I353" s="67">
        <f t="shared" si="44"/>
        <v>0</v>
      </c>
      <c r="J353" s="67">
        <f t="shared" si="45"/>
        <v>0</v>
      </c>
      <c r="K353" s="67">
        <f t="shared" si="46"/>
        <v>0</v>
      </c>
      <c r="L353" s="100">
        <f t="shared" si="47"/>
        <v>0</v>
      </c>
      <c r="M353" s="68"/>
      <c r="N353" s="100">
        <f t="shared" si="48"/>
        <v>0</v>
      </c>
      <c r="O353" s="14"/>
    </row>
    <row r="354" spans="1:15" x14ac:dyDescent="0.2">
      <c r="A354" s="66"/>
      <c r="B354" s="66"/>
      <c r="C354" s="66"/>
      <c r="D354" s="75"/>
      <c r="E354" s="77"/>
      <c r="F354" s="67"/>
      <c r="G354" s="77"/>
      <c r="H354" s="79"/>
      <c r="I354" s="67">
        <f t="shared" si="44"/>
        <v>0</v>
      </c>
      <c r="J354" s="67">
        <f t="shared" si="45"/>
        <v>0</v>
      </c>
      <c r="K354" s="67">
        <f t="shared" si="46"/>
        <v>0</v>
      </c>
      <c r="L354" s="100">
        <f t="shared" si="47"/>
        <v>0</v>
      </c>
      <c r="M354" s="68"/>
      <c r="N354" s="100">
        <f t="shared" si="48"/>
        <v>0</v>
      </c>
      <c r="O354" s="14"/>
    </row>
    <row r="355" spans="1:15" x14ac:dyDescent="0.2">
      <c r="A355" s="66"/>
      <c r="B355" s="66"/>
      <c r="C355" s="66"/>
      <c r="D355" s="75"/>
      <c r="E355" s="77"/>
      <c r="F355" s="67"/>
      <c r="G355" s="77"/>
      <c r="H355" s="79"/>
      <c r="I355" s="67">
        <f t="shared" si="44"/>
        <v>0</v>
      </c>
      <c r="J355" s="67">
        <f t="shared" si="45"/>
        <v>0</v>
      </c>
      <c r="K355" s="67">
        <f t="shared" si="46"/>
        <v>0</v>
      </c>
      <c r="L355" s="100">
        <f t="shared" si="47"/>
        <v>0</v>
      </c>
      <c r="M355" s="68"/>
      <c r="N355" s="100">
        <f t="shared" si="48"/>
        <v>0</v>
      </c>
      <c r="O355" s="14"/>
    </row>
    <row r="356" spans="1:15" x14ac:dyDescent="0.2">
      <c r="A356" s="66"/>
      <c r="B356" s="66"/>
      <c r="C356" s="66"/>
      <c r="D356" s="75"/>
      <c r="E356" s="77"/>
      <c r="F356" s="67"/>
      <c r="G356" s="77"/>
      <c r="H356" s="79"/>
      <c r="I356" s="67">
        <f t="shared" si="44"/>
        <v>0</v>
      </c>
      <c r="J356" s="67">
        <f t="shared" si="45"/>
        <v>0</v>
      </c>
      <c r="K356" s="67">
        <f t="shared" si="46"/>
        <v>0</v>
      </c>
      <c r="L356" s="100">
        <f t="shared" si="47"/>
        <v>0</v>
      </c>
      <c r="M356" s="68"/>
      <c r="N356" s="100">
        <f t="shared" si="48"/>
        <v>0</v>
      </c>
      <c r="O356" s="14"/>
    </row>
    <row r="357" spans="1:15" x14ac:dyDescent="0.2">
      <c r="A357" s="66"/>
      <c r="B357" s="66"/>
      <c r="C357" s="66"/>
      <c r="D357" s="75"/>
      <c r="E357" s="77"/>
      <c r="F357" s="67"/>
      <c r="G357" s="77"/>
      <c r="H357" s="79"/>
      <c r="I357" s="67">
        <f t="shared" si="44"/>
        <v>0</v>
      </c>
      <c r="J357" s="67">
        <f t="shared" si="45"/>
        <v>0</v>
      </c>
      <c r="K357" s="67">
        <f t="shared" si="46"/>
        <v>0</v>
      </c>
      <c r="L357" s="100">
        <f t="shared" si="47"/>
        <v>0</v>
      </c>
      <c r="M357" s="68"/>
      <c r="N357" s="100">
        <f t="shared" si="48"/>
        <v>0</v>
      </c>
      <c r="O357" s="14"/>
    </row>
    <row r="358" spans="1:15" x14ac:dyDescent="0.2">
      <c r="A358" s="66"/>
      <c r="B358" s="66"/>
      <c r="C358" s="66"/>
      <c r="D358" s="75"/>
      <c r="E358" s="77"/>
      <c r="F358" s="67"/>
      <c r="G358" s="77"/>
      <c r="H358" s="79"/>
      <c r="I358" s="67">
        <f t="shared" si="44"/>
        <v>0</v>
      </c>
      <c r="J358" s="67">
        <f t="shared" si="45"/>
        <v>0</v>
      </c>
      <c r="K358" s="67">
        <f t="shared" si="46"/>
        <v>0</v>
      </c>
      <c r="L358" s="100">
        <f t="shared" si="47"/>
        <v>0</v>
      </c>
      <c r="M358" s="68"/>
      <c r="N358" s="100">
        <f t="shared" si="48"/>
        <v>0</v>
      </c>
      <c r="O358" s="14"/>
    </row>
    <row r="359" spans="1:15" x14ac:dyDescent="0.2">
      <c r="A359" s="66"/>
      <c r="B359" s="66"/>
      <c r="C359" s="66"/>
      <c r="D359" s="75"/>
      <c r="E359" s="77"/>
      <c r="F359" s="67"/>
      <c r="G359" s="77"/>
      <c r="H359" s="79"/>
      <c r="I359" s="67">
        <f t="shared" si="44"/>
        <v>0</v>
      </c>
      <c r="J359" s="67">
        <f t="shared" si="45"/>
        <v>0</v>
      </c>
      <c r="K359" s="67">
        <f t="shared" si="46"/>
        <v>0</v>
      </c>
      <c r="L359" s="100">
        <f t="shared" si="47"/>
        <v>0</v>
      </c>
      <c r="M359" s="68"/>
      <c r="N359" s="100">
        <f t="shared" si="48"/>
        <v>0</v>
      </c>
      <c r="O359" s="14"/>
    </row>
    <row r="360" spans="1:15" x14ac:dyDescent="0.2">
      <c r="A360" s="66"/>
      <c r="B360" s="66"/>
      <c r="C360" s="66"/>
      <c r="D360" s="75"/>
      <c r="E360" s="77"/>
      <c r="F360" s="67"/>
      <c r="G360" s="77"/>
      <c r="H360" s="79"/>
      <c r="I360" s="67">
        <f t="shared" si="44"/>
        <v>0</v>
      </c>
      <c r="J360" s="67">
        <f t="shared" si="45"/>
        <v>0</v>
      </c>
      <c r="K360" s="67">
        <f t="shared" si="46"/>
        <v>0</v>
      </c>
      <c r="L360" s="100">
        <f t="shared" si="47"/>
        <v>0</v>
      </c>
      <c r="M360" s="68"/>
      <c r="N360" s="100">
        <f t="shared" si="48"/>
        <v>0</v>
      </c>
      <c r="O360" s="14"/>
    </row>
    <row r="361" spans="1:15" x14ac:dyDescent="0.2">
      <c r="A361" s="66"/>
      <c r="B361" s="66"/>
      <c r="C361" s="66"/>
      <c r="D361" s="75"/>
      <c r="E361" s="77"/>
      <c r="F361" s="67"/>
      <c r="G361" s="77"/>
      <c r="H361" s="79"/>
      <c r="I361" s="67">
        <f t="shared" ref="I361:I366" si="49">IF(H361=0,+D361*0.1,G361*H361)</f>
        <v>0</v>
      </c>
      <c r="J361" s="67">
        <f t="shared" ref="J361:J366" si="50">IF(H361=0,+G361-E361,0)</f>
        <v>0</v>
      </c>
      <c r="K361" s="67">
        <f t="shared" ref="K361:K366" si="51">+(J361*0.5)*D361</f>
        <v>0</v>
      </c>
      <c r="L361" s="100">
        <f t="shared" ref="L361:L366" si="52">+I361+K361</f>
        <v>0</v>
      </c>
      <c r="M361" s="68"/>
      <c r="N361" s="100">
        <f t="shared" ref="N361:N366" si="53">IF(H361=0,IF(L361&gt;G361,L361,G361),L361)</f>
        <v>0</v>
      </c>
      <c r="O361" s="14"/>
    </row>
    <row r="362" spans="1:15" x14ac:dyDescent="0.2">
      <c r="A362" s="66"/>
      <c r="B362" s="66"/>
      <c r="C362" s="66"/>
      <c r="D362" s="75"/>
      <c r="E362" s="77"/>
      <c r="F362" s="67"/>
      <c r="G362" s="77"/>
      <c r="H362" s="79"/>
      <c r="I362" s="67">
        <f t="shared" si="49"/>
        <v>0</v>
      </c>
      <c r="J362" s="67">
        <f t="shared" si="50"/>
        <v>0</v>
      </c>
      <c r="K362" s="67">
        <f t="shared" si="51"/>
        <v>0</v>
      </c>
      <c r="L362" s="100">
        <f t="shared" si="52"/>
        <v>0</v>
      </c>
      <c r="M362" s="68"/>
      <c r="N362" s="100">
        <f t="shared" si="53"/>
        <v>0</v>
      </c>
      <c r="O362" s="14"/>
    </row>
    <row r="363" spans="1:15" x14ac:dyDescent="0.2">
      <c r="A363" s="66"/>
      <c r="B363" s="66"/>
      <c r="C363" s="66"/>
      <c r="D363" s="75"/>
      <c r="E363" s="77"/>
      <c r="F363" s="67"/>
      <c r="G363" s="77"/>
      <c r="H363" s="79"/>
      <c r="I363" s="67">
        <f t="shared" si="49"/>
        <v>0</v>
      </c>
      <c r="J363" s="67">
        <f t="shared" si="50"/>
        <v>0</v>
      </c>
      <c r="K363" s="67">
        <f t="shared" si="51"/>
        <v>0</v>
      </c>
      <c r="L363" s="100">
        <f t="shared" si="52"/>
        <v>0</v>
      </c>
      <c r="M363" s="68"/>
      <c r="N363" s="100">
        <f t="shared" si="53"/>
        <v>0</v>
      </c>
      <c r="O363" s="14"/>
    </row>
    <row r="364" spans="1:15" x14ac:dyDescent="0.2">
      <c r="A364" s="66"/>
      <c r="B364" s="66"/>
      <c r="C364" s="66"/>
      <c r="D364" s="75"/>
      <c r="E364" s="77"/>
      <c r="F364" s="67"/>
      <c r="G364" s="77"/>
      <c r="H364" s="79"/>
      <c r="I364" s="67">
        <f t="shared" si="49"/>
        <v>0</v>
      </c>
      <c r="J364" s="67">
        <f t="shared" si="50"/>
        <v>0</v>
      </c>
      <c r="K364" s="67">
        <f t="shared" si="51"/>
        <v>0</v>
      </c>
      <c r="L364" s="100">
        <f t="shared" si="52"/>
        <v>0</v>
      </c>
      <c r="M364" s="68"/>
      <c r="N364" s="100">
        <f t="shared" si="53"/>
        <v>0</v>
      </c>
      <c r="O364" s="14"/>
    </row>
    <row r="365" spans="1:15" x14ac:dyDescent="0.2">
      <c r="A365" s="66"/>
      <c r="B365" s="66"/>
      <c r="C365" s="66"/>
      <c r="D365" s="75"/>
      <c r="E365" s="77"/>
      <c r="F365" s="67"/>
      <c r="G365" s="77"/>
      <c r="H365" s="79"/>
      <c r="I365" s="67">
        <f t="shared" si="49"/>
        <v>0</v>
      </c>
      <c r="J365" s="67">
        <f t="shared" si="50"/>
        <v>0</v>
      </c>
      <c r="K365" s="67">
        <f t="shared" si="51"/>
        <v>0</v>
      </c>
      <c r="L365" s="100">
        <f t="shared" si="52"/>
        <v>0</v>
      </c>
      <c r="M365" s="68"/>
      <c r="N365" s="100">
        <f t="shared" si="53"/>
        <v>0</v>
      </c>
      <c r="O365" s="14"/>
    </row>
    <row r="366" spans="1:15" x14ac:dyDescent="0.2">
      <c r="A366" s="66"/>
      <c r="B366" s="66"/>
      <c r="C366" s="66"/>
      <c r="D366" s="75"/>
      <c r="E366" s="77"/>
      <c r="F366" s="67"/>
      <c r="G366" s="77"/>
      <c r="H366" s="79"/>
      <c r="I366" s="67">
        <f t="shared" si="49"/>
        <v>0</v>
      </c>
      <c r="J366" s="67">
        <f t="shared" si="50"/>
        <v>0</v>
      </c>
      <c r="K366" s="67">
        <f t="shared" si="51"/>
        <v>0</v>
      </c>
      <c r="L366" s="100">
        <f t="shared" si="52"/>
        <v>0</v>
      </c>
      <c r="M366" s="68"/>
      <c r="N366" s="100">
        <f t="shared" si="53"/>
        <v>0</v>
      </c>
      <c r="O366" s="14"/>
    </row>
    <row r="367" spans="1:15" x14ac:dyDescent="0.2">
      <c r="A367" s="66"/>
      <c r="B367" s="66"/>
      <c r="C367" s="66"/>
      <c r="D367" s="75"/>
      <c r="E367" s="77"/>
      <c r="F367" s="67"/>
      <c r="G367" s="77"/>
      <c r="H367" s="79"/>
      <c r="I367" s="67">
        <f t="shared" ref="I367:I385" si="54">IF(H367=0,+D367*0.1,G367*H367)</f>
        <v>0</v>
      </c>
      <c r="J367" s="67">
        <f t="shared" ref="J367:J385" si="55">IF(H367=0,+G367-E367,0)</f>
        <v>0</v>
      </c>
      <c r="K367" s="67">
        <f t="shared" ref="K367:K385" si="56">+(J367*0.5)*D367</f>
        <v>0</v>
      </c>
      <c r="L367" s="100">
        <f t="shared" ref="L367:L385" si="57">+I367+K367</f>
        <v>0</v>
      </c>
      <c r="M367" s="68"/>
      <c r="N367" s="100">
        <f t="shared" ref="N367:N385" si="58">IF(H367=0,IF(L367&gt;G367,L367,G367),L367)</f>
        <v>0</v>
      </c>
      <c r="O367" s="14"/>
    </row>
    <row r="368" spans="1:15" x14ac:dyDescent="0.2">
      <c r="A368" s="66"/>
      <c r="B368" s="66"/>
      <c r="C368" s="66"/>
      <c r="D368" s="75"/>
      <c r="E368" s="77"/>
      <c r="F368" s="67"/>
      <c r="G368" s="77"/>
      <c r="H368" s="79"/>
      <c r="I368" s="67">
        <f t="shared" si="54"/>
        <v>0</v>
      </c>
      <c r="J368" s="67">
        <f t="shared" si="55"/>
        <v>0</v>
      </c>
      <c r="K368" s="67">
        <f t="shared" si="56"/>
        <v>0</v>
      </c>
      <c r="L368" s="100">
        <f t="shared" si="57"/>
        <v>0</v>
      </c>
      <c r="M368" s="68"/>
      <c r="N368" s="100">
        <f t="shared" si="58"/>
        <v>0</v>
      </c>
      <c r="O368" s="14"/>
    </row>
    <row r="369" spans="1:15" x14ac:dyDescent="0.2">
      <c r="A369" s="66"/>
      <c r="B369" s="66"/>
      <c r="C369" s="66"/>
      <c r="D369" s="75"/>
      <c r="E369" s="77"/>
      <c r="F369" s="67"/>
      <c r="G369" s="77"/>
      <c r="H369" s="79"/>
      <c r="I369" s="67">
        <f t="shared" si="54"/>
        <v>0</v>
      </c>
      <c r="J369" s="67">
        <f t="shared" si="55"/>
        <v>0</v>
      </c>
      <c r="K369" s="67">
        <f t="shared" si="56"/>
        <v>0</v>
      </c>
      <c r="L369" s="100">
        <f t="shared" si="57"/>
        <v>0</v>
      </c>
      <c r="M369" s="68"/>
      <c r="N369" s="100">
        <f t="shared" si="58"/>
        <v>0</v>
      </c>
      <c r="O369" s="14"/>
    </row>
    <row r="370" spans="1:15" x14ac:dyDescent="0.2">
      <c r="A370" s="66"/>
      <c r="B370" s="66"/>
      <c r="C370" s="66"/>
      <c r="D370" s="75"/>
      <c r="E370" s="77"/>
      <c r="F370" s="67"/>
      <c r="G370" s="77"/>
      <c r="H370" s="79"/>
      <c r="I370" s="67">
        <f t="shared" si="54"/>
        <v>0</v>
      </c>
      <c r="J370" s="67">
        <f t="shared" si="55"/>
        <v>0</v>
      </c>
      <c r="K370" s="67">
        <f t="shared" si="56"/>
        <v>0</v>
      </c>
      <c r="L370" s="100">
        <f t="shared" si="57"/>
        <v>0</v>
      </c>
      <c r="M370" s="68"/>
      <c r="N370" s="100">
        <f t="shared" si="58"/>
        <v>0</v>
      </c>
      <c r="O370" s="14"/>
    </row>
    <row r="371" spans="1:15" x14ac:dyDescent="0.2">
      <c r="A371" s="66"/>
      <c r="B371" s="66"/>
      <c r="C371" s="66"/>
      <c r="D371" s="75"/>
      <c r="E371" s="77"/>
      <c r="F371" s="67"/>
      <c r="G371" s="77"/>
      <c r="H371" s="79"/>
      <c r="I371" s="67">
        <f t="shared" si="54"/>
        <v>0</v>
      </c>
      <c r="J371" s="67">
        <f t="shared" si="55"/>
        <v>0</v>
      </c>
      <c r="K371" s="67">
        <f t="shared" si="56"/>
        <v>0</v>
      </c>
      <c r="L371" s="100">
        <f t="shared" si="57"/>
        <v>0</v>
      </c>
      <c r="M371" s="68"/>
      <c r="N371" s="100">
        <f t="shared" si="58"/>
        <v>0</v>
      </c>
      <c r="O371" s="14"/>
    </row>
    <row r="372" spans="1:15" x14ac:dyDescent="0.2">
      <c r="A372" s="66"/>
      <c r="B372" s="66"/>
      <c r="C372" s="66"/>
      <c r="D372" s="75"/>
      <c r="E372" s="77"/>
      <c r="F372" s="67"/>
      <c r="G372" s="77"/>
      <c r="H372" s="79"/>
      <c r="I372" s="67">
        <f t="shared" si="54"/>
        <v>0</v>
      </c>
      <c r="J372" s="67">
        <f t="shared" si="55"/>
        <v>0</v>
      </c>
      <c r="K372" s="67">
        <f t="shared" si="56"/>
        <v>0</v>
      </c>
      <c r="L372" s="100">
        <f t="shared" si="57"/>
        <v>0</v>
      </c>
      <c r="M372" s="68"/>
      <c r="N372" s="100">
        <f t="shared" si="58"/>
        <v>0</v>
      </c>
      <c r="O372" s="14"/>
    </row>
    <row r="373" spans="1:15" x14ac:dyDescent="0.2">
      <c r="A373" s="66"/>
      <c r="B373" s="66"/>
      <c r="C373" s="66"/>
      <c r="D373" s="75"/>
      <c r="E373" s="77"/>
      <c r="F373" s="67"/>
      <c r="G373" s="77"/>
      <c r="H373" s="79"/>
      <c r="I373" s="67">
        <f t="shared" si="54"/>
        <v>0</v>
      </c>
      <c r="J373" s="67">
        <f t="shared" si="55"/>
        <v>0</v>
      </c>
      <c r="K373" s="67">
        <f t="shared" si="56"/>
        <v>0</v>
      </c>
      <c r="L373" s="100">
        <f t="shared" si="57"/>
        <v>0</v>
      </c>
      <c r="M373" s="68"/>
      <c r="N373" s="100">
        <f t="shared" si="58"/>
        <v>0</v>
      </c>
      <c r="O373" s="14"/>
    </row>
    <row r="374" spans="1:15" x14ac:dyDescent="0.2">
      <c r="A374" s="66"/>
      <c r="B374" s="66"/>
      <c r="C374" s="66"/>
      <c r="D374" s="75"/>
      <c r="E374" s="77"/>
      <c r="F374" s="67"/>
      <c r="G374" s="77"/>
      <c r="H374" s="79"/>
      <c r="I374" s="67">
        <f t="shared" si="54"/>
        <v>0</v>
      </c>
      <c r="J374" s="67">
        <f t="shared" si="55"/>
        <v>0</v>
      </c>
      <c r="K374" s="67">
        <f t="shared" si="56"/>
        <v>0</v>
      </c>
      <c r="L374" s="100">
        <f t="shared" si="57"/>
        <v>0</v>
      </c>
      <c r="M374" s="68"/>
      <c r="N374" s="100">
        <f t="shared" si="58"/>
        <v>0</v>
      </c>
      <c r="O374" s="14"/>
    </row>
    <row r="375" spans="1:15" x14ac:dyDescent="0.2">
      <c r="A375" s="66"/>
      <c r="B375" s="66"/>
      <c r="C375" s="66"/>
      <c r="D375" s="75"/>
      <c r="E375" s="77"/>
      <c r="F375" s="67"/>
      <c r="G375" s="77"/>
      <c r="H375" s="79"/>
      <c r="I375" s="67">
        <f t="shared" si="54"/>
        <v>0</v>
      </c>
      <c r="J375" s="67">
        <f t="shared" si="55"/>
        <v>0</v>
      </c>
      <c r="K375" s="67">
        <f t="shared" si="56"/>
        <v>0</v>
      </c>
      <c r="L375" s="100">
        <f t="shared" si="57"/>
        <v>0</v>
      </c>
      <c r="M375" s="68"/>
      <c r="N375" s="100">
        <f t="shared" si="58"/>
        <v>0</v>
      </c>
      <c r="O375" s="14"/>
    </row>
    <row r="376" spans="1:15" x14ac:dyDescent="0.2">
      <c r="A376" s="66"/>
      <c r="B376" s="66"/>
      <c r="C376" s="66"/>
      <c r="D376" s="75"/>
      <c r="E376" s="77"/>
      <c r="F376" s="67"/>
      <c r="G376" s="77"/>
      <c r="H376" s="79"/>
      <c r="I376" s="67">
        <f t="shared" si="54"/>
        <v>0</v>
      </c>
      <c r="J376" s="67">
        <f t="shared" si="55"/>
        <v>0</v>
      </c>
      <c r="K376" s="67">
        <f t="shared" si="56"/>
        <v>0</v>
      </c>
      <c r="L376" s="100">
        <f t="shared" si="57"/>
        <v>0</v>
      </c>
      <c r="M376" s="68"/>
      <c r="N376" s="100">
        <f t="shared" si="58"/>
        <v>0</v>
      </c>
      <c r="O376" s="14"/>
    </row>
    <row r="377" spans="1:15" x14ac:dyDescent="0.2">
      <c r="A377" s="66"/>
      <c r="B377" s="66"/>
      <c r="C377" s="66"/>
      <c r="D377" s="75"/>
      <c r="E377" s="77"/>
      <c r="F377" s="67"/>
      <c r="G377" s="77"/>
      <c r="H377" s="79"/>
      <c r="I377" s="67">
        <f t="shared" si="54"/>
        <v>0</v>
      </c>
      <c r="J377" s="67">
        <f t="shared" si="55"/>
        <v>0</v>
      </c>
      <c r="K377" s="67">
        <f t="shared" si="56"/>
        <v>0</v>
      </c>
      <c r="L377" s="100">
        <f t="shared" si="57"/>
        <v>0</v>
      </c>
      <c r="M377" s="68"/>
      <c r="N377" s="100">
        <f t="shared" si="58"/>
        <v>0</v>
      </c>
      <c r="O377" s="14"/>
    </row>
    <row r="378" spans="1:15" x14ac:dyDescent="0.2">
      <c r="A378" s="66"/>
      <c r="B378" s="66"/>
      <c r="C378" s="66"/>
      <c r="D378" s="75"/>
      <c r="E378" s="77"/>
      <c r="F378" s="67"/>
      <c r="G378" s="77"/>
      <c r="H378" s="79"/>
      <c r="I378" s="67">
        <f t="shared" si="54"/>
        <v>0</v>
      </c>
      <c r="J378" s="67">
        <f t="shared" si="55"/>
        <v>0</v>
      </c>
      <c r="K378" s="67">
        <f t="shared" si="56"/>
        <v>0</v>
      </c>
      <c r="L378" s="100">
        <f t="shared" si="57"/>
        <v>0</v>
      </c>
      <c r="M378" s="68"/>
      <c r="N378" s="100">
        <f t="shared" si="58"/>
        <v>0</v>
      </c>
      <c r="O378" s="14"/>
    </row>
    <row r="379" spans="1:15" x14ac:dyDescent="0.2">
      <c r="A379" s="66"/>
      <c r="B379" s="66"/>
      <c r="C379" s="66"/>
      <c r="D379" s="75"/>
      <c r="E379" s="77"/>
      <c r="F379" s="67"/>
      <c r="G379" s="77"/>
      <c r="H379" s="79"/>
      <c r="I379" s="67">
        <f t="shared" si="54"/>
        <v>0</v>
      </c>
      <c r="J379" s="67">
        <f t="shared" si="55"/>
        <v>0</v>
      </c>
      <c r="K379" s="67">
        <f t="shared" si="56"/>
        <v>0</v>
      </c>
      <c r="L379" s="100">
        <f t="shared" si="57"/>
        <v>0</v>
      </c>
      <c r="M379" s="68"/>
      <c r="N379" s="100">
        <f t="shared" si="58"/>
        <v>0</v>
      </c>
      <c r="O379" s="14"/>
    </row>
    <row r="380" spans="1:15" x14ac:dyDescent="0.2">
      <c r="A380" s="66"/>
      <c r="B380" s="66"/>
      <c r="C380" s="66"/>
      <c r="D380" s="75"/>
      <c r="E380" s="77"/>
      <c r="F380" s="67"/>
      <c r="G380" s="77"/>
      <c r="H380" s="79"/>
      <c r="I380" s="67">
        <f t="shared" si="54"/>
        <v>0</v>
      </c>
      <c r="J380" s="67">
        <f t="shared" si="55"/>
        <v>0</v>
      </c>
      <c r="K380" s="67">
        <f t="shared" si="56"/>
        <v>0</v>
      </c>
      <c r="L380" s="100">
        <f t="shared" si="57"/>
        <v>0</v>
      </c>
      <c r="M380" s="68"/>
      <c r="N380" s="100">
        <f t="shared" si="58"/>
        <v>0</v>
      </c>
      <c r="O380" s="14"/>
    </row>
    <row r="381" spans="1:15" x14ac:dyDescent="0.2">
      <c r="A381" s="66"/>
      <c r="B381" s="66"/>
      <c r="C381" s="66"/>
      <c r="D381" s="75"/>
      <c r="E381" s="77"/>
      <c r="F381" s="67"/>
      <c r="G381" s="77"/>
      <c r="H381" s="79"/>
      <c r="I381" s="67">
        <f t="shared" si="54"/>
        <v>0</v>
      </c>
      <c r="J381" s="67">
        <f t="shared" si="55"/>
        <v>0</v>
      </c>
      <c r="K381" s="67">
        <f t="shared" si="56"/>
        <v>0</v>
      </c>
      <c r="L381" s="100">
        <f t="shared" si="57"/>
        <v>0</v>
      </c>
      <c r="M381" s="68"/>
      <c r="N381" s="100">
        <f t="shared" si="58"/>
        <v>0</v>
      </c>
      <c r="O381" s="14"/>
    </row>
    <row r="382" spans="1:15" x14ac:dyDescent="0.2">
      <c r="A382" s="66"/>
      <c r="B382" s="66"/>
      <c r="C382" s="66"/>
      <c r="D382" s="75"/>
      <c r="E382" s="77"/>
      <c r="F382" s="67"/>
      <c r="G382" s="77"/>
      <c r="H382" s="79"/>
      <c r="I382" s="67">
        <f t="shared" si="54"/>
        <v>0</v>
      </c>
      <c r="J382" s="67">
        <f t="shared" si="55"/>
        <v>0</v>
      </c>
      <c r="K382" s="67">
        <f t="shared" si="56"/>
        <v>0</v>
      </c>
      <c r="L382" s="100">
        <f t="shared" si="57"/>
        <v>0</v>
      </c>
      <c r="M382" s="68"/>
      <c r="N382" s="100">
        <f t="shared" si="58"/>
        <v>0</v>
      </c>
      <c r="O382" s="14"/>
    </row>
    <row r="383" spans="1:15" x14ac:dyDescent="0.2">
      <c r="A383" s="66"/>
      <c r="B383" s="66"/>
      <c r="C383" s="66"/>
      <c r="D383" s="75"/>
      <c r="E383" s="77"/>
      <c r="F383" s="67"/>
      <c r="G383" s="77"/>
      <c r="H383" s="79"/>
      <c r="I383" s="67">
        <f t="shared" si="54"/>
        <v>0</v>
      </c>
      <c r="J383" s="67">
        <f t="shared" si="55"/>
        <v>0</v>
      </c>
      <c r="K383" s="67">
        <f t="shared" si="56"/>
        <v>0</v>
      </c>
      <c r="L383" s="100">
        <f t="shared" si="57"/>
        <v>0</v>
      </c>
      <c r="M383" s="68"/>
      <c r="N383" s="100">
        <f t="shared" si="58"/>
        <v>0</v>
      </c>
      <c r="O383" s="14"/>
    </row>
    <row r="384" spans="1:15" x14ac:dyDescent="0.2">
      <c r="A384" s="66"/>
      <c r="B384" s="66"/>
      <c r="C384" s="66"/>
      <c r="D384" s="75"/>
      <c r="E384" s="77"/>
      <c r="F384" s="67"/>
      <c r="G384" s="77"/>
      <c r="H384" s="79"/>
      <c r="I384" s="67">
        <f t="shared" si="54"/>
        <v>0</v>
      </c>
      <c r="J384" s="67">
        <f t="shared" si="55"/>
        <v>0</v>
      </c>
      <c r="K384" s="67">
        <f t="shared" si="56"/>
        <v>0</v>
      </c>
      <c r="L384" s="100">
        <f t="shared" si="57"/>
        <v>0</v>
      </c>
      <c r="M384" s="68"/>
      <c r="N384" s="100">
        <f t="shared" si="58"/>
        <v>0</v>
      </c>
      <c r="O384" s="14"/>
    </row>
    <row r="385" spans="1:15" x14ac:dyDescent="0.2">
      <c r="A385" s="66"/>
      <c r="B385" s="66"/>
      <c r="C385" s="66"/>
      <c r="D385" s="75"/>
      <c r="E385" s="77"/>
      <c r="F385" s="67"/>
      <c r="G385" s="77"/>
      <c r="H385" s="79"/>
      <c r="I385" s="67">
        <f t="shared" si="54"/>
        <v>0</v>
      </c>
      <c r="J385" s="67">
        <f t="shared" si="55"/>
        <v>0</v>
      </c>
      <c r="K385" s="67">
        <f t="shared" si="56"/>
        <v>0</v>
      </c>
      <c r="L385" s="100">
        <f t="shared" si="57"/>
        <v>0</v>
      </c>
      <c r="M385" s="68"/>
      <c r="N385" s="100">
        <f t="shared" si="58"/>
        <v>0</v>
      </c>
      <c r="O385" s="14"/>
    </row>
    <row r="386" spans="1:15" x14ac:dyDescent="0.2">
      <c r="A386" s="66"/>
      <c r="B386" s="66"/>
      <c r="C386" s="66"/>
      <c r="D386" s="75"/>
      <c r="E386" s="77"/>
      <c r="F386" s="67"/>
      <c r="G386" s="77"/>
      <c r="H386" s="79"/>
      <c r="I386" s="67">
        <f t="shared" ref="I386:I406" si="59">IF(H386=0,+D386*0.1,G386*H386)</f>
        <v>0</v>
      </c>
      <c r="J386" s="67">
        <f t="shared" ref="J386:J406" si="60">IF(H386=0,+G386-E386,0)</f>
        <v>0</v>
      </c>
      <c r="K386" s="67">
        <f t="shared" ref="K386:K406" si="61">+(J386*0.5)*D386</f>
        <v>0</v>
      </c>
      <c r="L386" s="100">
        <f t="shared" ref="L386:L406" si="62">+I386+K386</f>
        <v>0</v>
      </c>
      <c r="M386" s="68"/>
      <c r="N386" s="100">
        <f t="shared" ref="N386:N406" si="63">IF(H386=0,IF(L386&gt;G386,L386,G386),L386)</f>
        <v>0</v>
      </c>
      <c r="O386" s="14"/>
    </row>
    <row r="387" spans="1:15" x14ac:dyDescent="0.2">
      <c r="A387" s="66"/>
      <c r="B387" s="66"/>
      <c r="C387" s="66"/>
      <c r="D387" s="75"/>
      <c r="E387" s="77"/>
      <c r="F387" s="67"/>
      <c r="G387" s="77"/>
      <c r="H387" s="79"/>
      <c r="I387" s="67">
        <f t="shared" si="59"/>
        <v>0</v>
      </c>
      <c r="J387" s="67">
        <f t="shared" si="60"/>
        <v>0</v>
      </c>
      <c r="K387" s="67">
        <f t="shared" si="61"/>
        <v>0</v>
      </c>
      <c r="L387" s="100">
        <f t="shared" si="62"/>
        <v>0</v>
      </c>
      <c r="M387" s="68"/>
      <c r="N387" s="100">
        <f t="shared" si="63"/>
        <v>0</v>
      </c>
      <c r="O387" s="14"/>
    </row>
    <row r="388" spans="1:15" x14ac:dyDescent="0.2">
      <c r="A388" s="66"/>
      <c r="B388" s="66"/>
      <c r="C388" s="66"/>
      <c r="D388" s="75"/>
      <c r="E388" s="77"/>
      <c r="F388" s="67"/>
      <c r="G388" s="77"/>
      <c r="H388" s="79"/>
      <c r="I388" s="67">
        <f t="shared" si="59"/>
        <v>0</v>
      </c>
      <c r="J388" s="67">
        <f t="shared" si="60"/>
        <v>0</v>
      </c>
      <c r="K388" s="67">
        <f t="shared" si="61"/>
        <v>0</v>
      </c>
      <c r="L388" s="100">
        <f t="shared" si="62"/>
        <v>0</v>
      </c>
      <c r="M388" s="68"/>
      <c r="N388" s="100">
        <f t="shared" si="63"/>
        <v>0</v>
      </c>
      <c r="O388" s="14"/>
    </row>
    <row r="389" spans="1:15" x14ac:dyDescent="0.2">
      <c r="A389" s="66"/>
      <c r="B389" s="66"/>
      <c r="C389" s="66"/>
      <c r="D389" s="75"/>
      <c r="E389" s="77"/>
      <c r="F389" s="67"/>
      <c r="G389" s="77"/>
      <c r="H389" s="79"/>
      <c r="I389" s="67">
        <f t="shared" si="59"/>
        <v>0</v>
      </c>
      <c r="J389" s="67">
        <f t="shared" si="60"/>
        <v>0</v>
      </c>
      <c r="K389" s="67">
        <f t="shared" si="61"/>
        <v>0</v>
      </c>
      <c r="L389" s="100">
        <f t="shared" si="62"/>
        <v>0</v>
      </c>
      <c r="M389" s="68"/>
      <c r="N389" s="100">
        <f t="shared" si="63"/>
        <v>0</v>
      </c>
      <c r="O389" s="14"/>
    </row>
    <row r="390" spans="1:15" x14ac:dyDescent="0.2">
      <c r="A390" s="66"/>
      <c r="B390" s="66"/>
      <c r="C390" s="66"/>
      <c r="D390" s="75"/>
      <c r="E390" s="77"/>
      <c r="F390" s="67"/>
      <c r="G390" s="77"/>
      <c r="H390" s="79"/>
      <c r="I390" s="67">
        <f t="shared" si="59"/>
        <v>0</v>
      </c>
      <c r="J390" s="67">
        <f t="shared" si="60"/>
        <v>0</v>
      </c>
      <c r="K390" s="67">
        <f t="shared" si="61"/>
        <v>0</v>
      </c>
      <c r="L390" s="100">
        <f t="shared" si="62"/>
        <v>0</v>
      </c>
      <c r="M390" s="68"/>
      <c r="N390" s="100">
        <f t="shared" si="63"/>
        <v>0</v>
      </c>
      <c r="O390" s="14"/>
    </row>
    <row r="391" spans="1:15" x14ac:dyDescent="0.2">
      <c r="A391" s="66"/>
      <c r="B391" s="66"/>
      <c r="C391" s="66"/>
      <c r="D391" s="75"/>
      <c r="E391" s="77"/>
      <c r="F391" s="67"/>
      <c r="G391" s="77"/>
      <c r="H391" s="79"/>
      <c r="I391" s="67">
        <f t="shared" si="59"/>
        <v>0</v>
      </c>
      <c r="J391" s="67">
        <f t="shared" si="60"/>
        <v>0</v>
      </c>
      <c r="K391" s="67">
        <f t="shared" si="61"/>
        <v>0</v>
      </c>
      <c r="L391" s="100">
        <f t="shared" si="62"/>
        <v>0</v>
      </c>
      <c r="M391" s="68"/>
      <c r="N391" s="100">
        <f t="shared" si="63"/>
        <v>0</v>
      </c>
      <c r="O391" s="14"/>
    </row>
    <row r="392" spans="1:15" x14ac:dyDescent="0.2">
      <c r="A392" s="66"/>
      <c r="B392" s="66"/>
      <c r="C392" s="66"/>
      <c r="D392" s="75"/>
      <c r="E392" s="77"/>
      <c r="F392" s="67"/>
      <c r="G392" s="77"/>
      <c r="H392" s="79"/>
      <c r="I392" s="67">
        <f t="shared" si="59"/>
        <v>0</v>
      </c>
      <c r="J392" s="67">
        <f t="shared" si="60"/>
        <v>0</v>
      </c>
      <c r="K392" s="67">
        <f t="shared" si="61"/>
        <v>0</v>
      </c>
      <c r="L392" s="100">
        <f t="shared" si="62"/>
        <v>0</v>
      </c>
      <c r="M392" s="68"/>
      <c r="N392" s="100">
        <f t="shared" si="63"/>
        <v>0</v>
      </c>
      <c r="O392" s="14"/>
    </row>
    <row r="393" spans="1:15" x14ac:dyDescent="0.2">
      <c r="A393" s="66"/>
      <c r="B393" s="66"/>
      <c r="C393" s="66"/>
      <c r="D393" s="75"/>
      <c r="E393" s="77"/>
      <c r="F393" s="67"/>
      <c r="G393" s="77"/>
      <c r="H393" s="79"/>
      <c r="I393" s="67">
        <f t="shared" si="59"/>
        <v>0</v>
      </c>
      <c r="J393" s="67">
        <f t="shared" si="60"/>
        <v>0</v>
      </c>
      <c r="K393" s="67">
        <f t="shared" si="61"/>
        <v>0</v>
      </c>
      <c r="L393" s="100">
        <f t="shared" si="62"/>
        <v>0</v>
      </c>
      <c r="M393" s="68"/>
      <c r="N393" s="100">
        <f t="shared" si="63"/>
        <v>0</v>
      </c>
      <c r="O393" s="14"/>
    </row>
    <row r="394" spans="1:15" x14ac:dyDescent="0.2">
      <c r="A394" s="66"/>
      <c r="B394" s="66"/>
      <c r="C394" s="66"/>
      <c r="D394" s="75"/>
      <c r="E394" s="77"/>
      <c r="F394" s="67"/>
      <c r="G394" s="77"/>
      <c r="H394" s="79"/>
      <c r="I394" s="67">
        <f t="shared" si="59"/>
        <v>0</v>
      </c>
      <c r="J394" s="67">
        <f t="shared" si="60"/>
        <v>0</v>
      </c>
      <c r="K394" s="67">
        <f t="shared" si="61"/>
        <v>0</v>
      </c>
      <c r="L394" s="100">
        <f t="shared" si="62"/>
        <v>0</v>
      </c>
      <c r="M394" s="68"/>
      <c r="N394" s="100">
        <f t="shared" si="63"/>
        <v>0</v>
      </c>
      <c r="O394" s="14"/>
    </row>
    <row r="395" spans="1:15" x14ac:dyDescent="0.2">
      <c r="A395" s="66"/>
      <c r="B395" s="66"/>
      <c r="C395" s="66"/>
      <c r="D395" s="75"/>
      <c r="E395" s="77"/>
      <c r="F395" s="67"/>
      <c r="G395" s="77"/>
      <c r="H395" s="79"/>
      <c r="I395" s="67">
        <f t="shared" si="59"/>
        <v>0</v>
      </c>
      <c r="J395" s="67">
        <f t="shared" si="60"/>
        <v>0</v>
      </c>
      <c r="K395" s="67">
        <f t="shared" si="61"/>
        <v>0</v>
      </c>
      <c r="L395" s="100">
        <f t="shared" si="62"/>
        <v>0</v>
      </c>
      <c r="M395" s="68"/>
      <c r="N395" s="100">
        <f t="shared" si="63"/>
        <v>0</v>
      </c>
      <c r="O395" s="14"/>
    </row>
    <row r="396" spans="1:15" x14ac:dyDescent="0.2">
      <c r="A396" s="66"/>
      <c r="B396" s="66"/>
      <c r="C396" s="66"/>
      <c r="D396" s="75"/>
      <c r="E396" s="77"/>
      <c r="F396" s="67"/>
      <c r="G396" s="77"/>
      <c r="H396" s="79"/>
      <c r="I396" s="67">
        <f t="shared" si="59"/>
        <v>0</v>
      </c>
      <c r="J396" s="67">
        <f t="shared" si="60"/>
        <v>0</v>
      </c>
      <c r="K396" s="67">
        <f t="shared" si="61"/>
        <v>0</v>
      </c>
      <c r="L396" s="100">
        <f t="shared" si="62"/>
        <v>0</v>
      </c>
      <c r="M396" s="68"/>
      <c r="N396" s="100">
        <f t="shared" si="63"/>
        <v>0</v>
      </c>
      <c r="O396" s="14"/>
    </row>
    <row r="397" spans="1:15" x14ac:dyDescent="0.2">
      <c r="A397" s="66"/>
      <c r="B397" s="66"/>
      <c r="C397" s="66"/>
      <c r="D397" s="75"/>
      <c r="E397" s="77"/>
      <c r="F397" s="67"/>
      <c r="G397" s="77"/>
      <c r="H397" s="79"/>
      <c r="I397" s="67">
        <f t="shared" si="59"/>
        <v>0</v>
      </c>
      <c r="J397" s="67">
        <f t="shared" si="60"/>
        <v>0</v>
      </c>
      <c r="K397" s="67">
        <f t="shared" si="61"/>
        <v>0</v>
      </c>
      <c r="L397" s="100">
        <f t="shared" si="62"/>
        <v>0</v>
      </c>
      <c r="M397" s="68"/>
      <c r="N397" s="100">
        <f t="shared" si="63"/>
        <v>0</v>
      </c>
      <c r="O397" s="14"/>
    </row>
    <row r="398" spans="1:15" x14ac:dyDescent="0.2">
      <c r="A398" s="66"/>
      <c r="B398" s="66"/>
      <c r="C398" s="66"/>
      <c r="D398" s="75"/>
      <c r="E398" s="77"/>
      <c r="F398" s="67"/>
      <c r="G398" s="77"/>
      <c r="H398" s="79"/>
      <c r="I398" s="67">
        <f t="shared" si="59"/>
        <v>0</v>
      </c>
      <c r="J398" s="67">
        <f t="shared" si="60"/>
        <v>0</v>
      </c>
      <c r="K398" s="67">
        <f t="shared" si="61"/>
        <v>0</v>
      </c>
      <c r="L398" s="100">
        <f t="shared" si="62"/>
        <v>0</v>
      </c>
      <c r="M398" s="68"/>
      <c r="N398" s="100">
        <f t="shared" si="63"/>
        <v>0</v>
      </c>
      <c r="O398" s="14"/>
    </row>
    <row r="399" spans="1:15" x14ac:dyDescent="0.2">
      <c r="A399" s="66"/>
      <c r="B399" s="66"/>
      <c r="C399" s="66"/>
      <c r="D399" s="75"/>
      <c r="E399" s="77"/>
      <c r="F399" s="67"/>
      <c r="G399" s="77"/>
      <c r="H399" s="79"/>
      <c r="I399" s="67">
        <f t="shared" si="59"/>
        <v>0</v>
      </c>
      <c r="J399" s="67">
        <f t="shared" si="60"/>
        <v>0</v>
      </c>
      <c r="K399" s="67">
        <f t="shared" si="61"/>
        <v>0</v>
      </c>
      <c r="L399" s="100">
        <f t="shared" si="62"/>
        <v>0</v>
      </c>
      <c r="M399" s="68"/>
      <c r="N399" s="100">
        <f t="shared" si="63"/>
        <v>0</v>
      </c>
      <c r="O399" s="14"/>
    </row>
    <row r="400" spans="1:15" x14ac:dyDescent="0.2">
      <c r="A400" s="66"/>
      <c r="B400" s="66"/>
      <c r="C400" s="66"/>
      <c r="D400" s="75"/>
      <c r="E400" s="77"/>
      <c r="F400" s="67"/>
      <c r="G400" s="77"/>
      <c r="H400" s="79"/>
      <c r="I400" s="67">
        <f t="shared" si="59"/>
        <v>0</v>
      </c>
      <c r="J400" s="67">
        <f t="shared" si="60"/>
        <v>0</v>
      </c>
      <c r="K400" s="67">
        <f t="shared" si="61"/>
        <v>0</v>
      </c>
      <c r="L400" s="100">
        <f t="shared" si="62"/>
        <v>0</v>
      </c>
      <c r="M400" s="68"/>
      <c r="N400" s="100">
        <f t="shared" si="63"/>
        <v>0</v>
      </c>
      <c r="O400" s="14"/>
    </row>
    <row r="401" spans="1:15" x14ac:dyDescent="0.2">
      <c r="A401" s="66"/>
      <c r="B401" s="66"/>
      <c r="C401" s="66"/>
      <c r="D401" s="75"/>
      <c r="E401" s="77"/>
      <c r="F401" s="67"/>
      <c r="G401" s="77"/>
      <c r="H401" s="79"/>
      <c r="I401" s="67">
        <f t="shared" si="59"/>
        <v>0</v>
      </c>
      <c r="J401" s="67">
        <f t="shared" si="60"/>
        <v>0</v>
      </c>
      <c r="K401" s="67">
        <f t="shared" si="61"/>
        <v>0</v>
      </c>
      <c r="L401" s="100">
        <f t="shared" si="62"/>
        <v>0</v>
      </c>
      <c r="M401" s="68"/>
      <c r="N401" s="100">
        <f t="shared" si="63"/>
        <v>0</v>
      </c>
      <c r="O401" s="14"/>
    </row>
    <row r="402" spans="1:15" x14ac:dyDescent="0.2">
      <c r="A402" s="66"/>
      <c r="B402" s="66"/>
      <c r="C402" s="66"/>
      <c r="D402" s="75"/>
      <c r="E402" s="77"/>
      <c r="F402" s="67"/>
      <c r="G402" s="77"/>
      <c r="H402" s="79"/>
      <c r="I402" s="67">
        <f t="shared" si="59"/>
        <v>0</v>
      </c>
      <c r="J402" s="67">
        <f t="shared" si="60"/>
        <v>0</v>
      </c>
      <c r="K402" s="67">
        <f t="shared" si="61"/>
        <v>0</v>
      </c>
      <c r="L402" s="100">
        <f t="shared" si="62"/>
        <v>0</v>
      </c>
      <c r="M402" s="68"/>
      <c r="N402" s="100">
        <f t="shared" si="63"/>
        <v>0</v>
      </c>
      <c r="O402" s="14"/>
    </row>
    <row r="403" spans="1:15" x14ac:dyDescent="0.2">
      <c r="A403" s="66"/>
      <c r="B403" s="66"/>
      <c r="C403" s="66"/>
      <c r="D403" s="75"/>
      <c r="E403" s="77"/>
      <c r="F403" s="67"/>
      <c r="G403" s="77"/>
      <c r="H403" s="79"/>
      <c r="I403" s="67">
        <f t="shared" si="59"/>
        <v>0</v>
      </c>
      <c r="J403" s="67">
        <f t="shared" si="60"/>
        <v>0</v>
      </c>
      <c r="K403" s="67">
        <f t="shared" si="61"/>
        <v>0</v>
      </c>
      <c r="L403" s="100">
        <f t="shared" si="62"/>
        <v>0</v>
      </c>
      <c r="M403" s="68"/>
      <c r="N403" s="100">
        <f t="shared" si="63"/>
        <v>0</v>
      </c>
      <c r="O403" s="14"/>
    </row>
    <row r="404" spans="1:15" x14ac:dyDescent="0.2">
      <c r="A404" s="66"/>
      <c r="B404" s="66"/>
      <c r="C404" s="66"/>
      <c r="D404" s="75"/>
      <c r="E404" s="77"/>
      <c r="F404" s="67"/>
      <c r="G404" s="77"/>
      <c r="H404" s="79"/>
      <c r="I404" s="67">
        <f t="shared" si="59"/>
        <v>0</v>
      </c>
      <c r="J404" s="67">
        <f t="shared" si="60"/>
        <v>0</v>
      </c>
      <c r="K404" s="67">
        <f t="shared" si="61"/>
        <v>0</v>
      </c>
      <c r="L404" s="100">
        <f t="shared" si="62"/>
        <v>0</v>
      </c>
      <c r="M404" s="68"/>
      <c r="N404" s="100">
        <f t="shared" si="63"/>
        <v>0</v>
      </c>
      <c r="O404" s="14"/>
    </row>
    <row r="405" spans="1:15" x14ac:dyDescent="0.2">
      <c r="A405" s="66"/>
      <c r="B405" s="66"/>
      <c r="C405" s="66"/>
      <c r="D405" s="75"/>
      <c r="E405" s="77"/>
      <c r="F405" s="67"/>
      <c r="G405" s="77"/>
      <c r="H405" s="79"/>
      <c r="I405" s="67">
        <f t="shared" si="59"/>
        <v>0</v>
      </c>
      <c r="J405" s="67">
        <f t="shared" si="60"/>
        <v>0</v>
      </c>
      <c r="K405" s="67">
        <f t="shared" si="61"/>
        <v>0</v>
      </c>
      <c r="L405" s="100">
        <f t="shared" si="62"/>
        <v>0</v>
      </c>
      <c r="M405" s="68"/>
      <c r="N405" s="100">
        <f t="shared" si="63"/>
        <v>0</v>
      </c>
      <c r="O405" s="14"/>
    </row>
    <row r="406" spans="1:15" ht="13.5" thickBot="1" x14ac:dyDescent="0.25">
      <c r="A406" s="48"/>
      <c r="B406" s="48"/>
      <c r="C406" s="48"/>
      <c r="D406" s="76"/>
      <c r="E406" s="78"/>
      <c r="F406" s="49"/>
      <c r="G406" s="78"/>
      <c r="H406" s="80"/>
      <c r="I406" s="49">
        <f t="shared" si="59"/>
        <v>0</v>
      </c>
      <c r="J406" s="49">
        <f t="shared" si="60"/>
        <v>0</v>
      </c>
      <c r="K406" s="49">
        <f t="shared" si="61"/>
        <v>0</v>
      </c>
      <c r="L406" s="102">
        <f t="shared" si="62"/>
        <v>0</v>
      </c>
      <c r="M406" s="50"/>
      <c r="N406" s="103">
        <f t="shared" si="63"/>
        <v>0</v>
      </c>
      <c r="O406" s="14"/>
    </row>
    <row r="407" spans="1:15" ht="16.5" thickBot="1" x14ac:dyDescent="0.25">
      <c r="B407" s="136" t="s">
        <v>117</v>
      </c>
      <c r="D407" s="69">
        <f>SUM(D6:D406)</f>
        <v>30373</v>
      </c>
      <c r="N407" s="104">
        <f>SUM(N6:N406)</f>
        <v>81.06753999999998</v>
      </c>
    </row>
    <row r="411" spans="1:15" ht="13.5" thickBot="1" x14ac:dyDescent="0.25"/>
    <row r="412" spans="1:15" ht="13.5" thickBot="1" x14ac:dyDescent="0.25">
      <c r="B412" s="105" t="s">
        <v>21</v>
      </c>
      <c r="D412" s="106" t="s">
        <v>3</v>
      </c>
      <c r="E412" s="106" t="s">
        <v>49</v>
      </c>
      <c r="F412" s="107" t="s">
        <v>50</v>
      </c>
    </row>
    <row r="413" spans="1:15" x14ac:dyDescent="0.2">
      <c r="B413" s="108"/>
      <c r="D413" s="109"/>
      <c r="E413" s="110"/>
      <c r="F413" s="111"/>
    </row>
    <row r="414" spans="1:15" x14ac:dyDescent="0.2">
      <c r="B414" s="112" t="s">
        <v>99</v>
      </c>
      <c r="D414" s="113">
        <f>SUMIF(B$6:B$406,"gbe",D$6:D$406)</f>
        <v>0</v>
      </c>
      <c r="E414" s="114">
        <f>SUMIF(B$6:B$406,"gbe",N$6:N$406)</f>
        <v>0</v>
      </c>
      <c r="F414" s="115">
        <f>SUMIFS(N$6:N$406,B$6:B$406,"Alpe",O$6:O$406,"OK")</f>
        <v>0</v>
      </c>
    </row>
    <row r="415" spans="1:15" x14ac:dyDescent="0.2">
      <c r="B415" s="116" t="s">
        <v>82</v>
      </c>
      <c r="D415" s="113">
        <f>SUMIF(B$6:B$406,"Gedelsa",D$6:D$406)</f>
        <v>0</v>
      </c>
      <c r="E415" s="114">
        <f>SUMIF(B$6:B$406,"Gedelsa",N$6:N$406)</f>
        <v>0</v>
      </c>
      <c r="F415" s="115">
        <f>SUMIFS(N$6:N$406,B$6:B$406,"Gedelsa",O$6:O$406,"OK")</f>
        <v>0</v>
      </c>
    </row>
    <row r="416" spans="1:15" x14ac:dyDescent="0.2">
      <c r="B416" s="116" t="s">
        <v>84</v>
      </c>
      <c r="D416" s="113">
        <f>SUMIF(B$6:B$406,"Ortea",D$6:D$406)</f>
        <v>30193</v>
      </c>
      <c r="E416" s="114">
        <f>SUMIF(B$6:B$406,"Ortea",N$6:N$406)</f>
        <v>6.7540000000000017E-2</v>
      </c>
      <c r="F416" s="115">
        <f>SUMIFS(N$6:N$406,B$6:B$406,"Ortea",O$6:O$406,"OK")</f>
        <v>2.7000000000000003E-2</v>
      </c>
    </row>
    <row r="417" spans="2:6" x14ac:dyDescent="0.2">
      <c r="B417" s="116" t="s">
        <v>98</v>
      </c>
      <c r="D417" s="113">
        <f>SUMIF(B$6:B$406,"zucchiatti",D$6:D$406)</f>
        <v>0</v>
      </c>
      <c r="E417" s="114">
        <f>SUMIF(B$6:B$406,"zucchiatti",N$6:N$406)</f>
        <v>0</v>
      </c>
      <c r="F417" s="115">
        <f>SUMIFS(N$6:N$406,B$6:B$406,"Baimetal",O$6:O$406,"OK")</f>
        <v>0</v>
      </c>
    </row>
    <row r="418" spans="2:6" x14ac:dyDescent="0.2">
      <c r="B418" s="116" t="s">
        <v>100</v>
      </c>
      <c r="D418" s="113">
        <f>SUMIF(B$6:B$406,"ebg",D$6:D$406)</f>
        <v>0</v>
      </c>
      <c r="E418" s="114">
        <f>SUMIF(B$6:B$406,"ebg",N$6:N$406)</f>
        <v>0</v>
      </c>
      <c r="F418" s="115">
        <f>SUMIFS(N$6:N$406,B$6:B$406,"ebg",O$6:O$406,"OK")</f>
        <v>0</v>
      </c>
    </row>
    <row r="419" spans="2:6" x14ac:dyDescent="0.2">
      <c r="B419" s="116" t="s">
        <v>114</v>
      </c>
      <c r="D419" s="113">
        <f>SUMIF(B$6:B$406,"cem",D$6:D$406)</f>
        <v>180</v>
      </c>
      <c r="E419" s="114">
        <f>SUMIF(B$6:B$406,"cem",N$6:N$406)</f>
        <v>81</v>
      </c>
      <c r="F419" s="115">
        <f>SUMIFS(N$6:N$406,B$6:B$406,"elca",O$6:O$406,"OK")</f>
        <v>0</v>
      </c>
    </row>
    <row r="420" spans="2:6" x14ac:dyDescent="0.2">
      <c r="B420" s="116"/>
      <c r="D420" s="113">
        <f>SUMIF(B$6:B$406,"Eletrafo",D$6:D$406)</f>
        <v>0</v>
      </c>
      <c r="E420" s="114">
        <f>SUMIF(B$6:B$406,"eletrafo",N$6:N$406)</f>
        <v>0</v>
      </c>
      <c r="F420" s="115">
        <f>SUMIFS(N$6:N$406,B$6:B$406,"eletrafo",O$6:O$406,"OK")</f>
        <v>0</v>
      </c>
    </row>
    <row r="421" spans="2:6" x14ac:dyDescent="0.2">
      <c r="B421" s="116"/>
      <c r="D421" s="113">
        <f>SUMIF(B$6:B$406,"Elfri",D$6:D$406)</f>
        <v>0</v>
      </c>
      <c r="E421" s="114">
        <f>SUMIF(B$6:B$406,"Elfri",N$6:N$406)</f>
        <v>0</v>
      </c>
      <c r="F421" s="115">
        <f>SUMIFS(N$6:N$406,B$6:B$406,"elfri",O$6:O$406,"OK")</f>
        <v>0</v>
      </c>
    </row>
    <row r="422" spans="2:6" x14ac:dyDescent="0.2">
      <c r="B422" s="116"/>
      <c r="D422" s="113">
        <f>SUMIF(B$6:B$406,"Emg",D$6:D$406)</f>
        <v>0</v>
      </c>
      <c r="E422" s="114">
        <f>SUMIF(B$6:B$406,"emg",N$6:N$406)</f>
        <v>0</v>
      </c>
      <c r="F422" s="115">
        <f>SUMIFS(N$6:N$406,B$6:B$406,"emg",O$6:O$406,"OK")</f>
        <v>0</v>
      </c>
    </row>
    <row r="423" spans="2:6" x14ac:dyDescent="0.2">
      <c r="B423" s="116"/>
      <c r="D423" s="113">
        <f>SUMIF(B$6:B$406,"Facem",D$6:D$406)</f>
        <v>0</v>
      </c>
      <c r="E423" s="114">
        <f>SUMIF(B$6:B$406,"Facem",N$6:N$406)</f>
        <v>0</v>
      </c>
      <c r="F423" s="115">
        <f>SUMIFS(N$6:N$406,B$6:B$406,"Facem",O$6:O$406,"OK")</f>
        <v>0</v>
      </c>
    </row>
    <row r="424" spans="2:6" x14ac:dyDescent="0.2">
      <c r="B424" s="116"/>
      <c r="D424" s="113">
        <f>SUMIF(B$6:B$406,"Fashion",D$6:D$406)</f>
        <v>0</v>
      </c>
      <c r="E424" s="114">
        <f>SUMIF(B$6:B$406,"Fashion",N$6:N$406)</f>
        <v>0</v>
      </c>
      <c r="F424" s="115">
        <f>SUMIFS(N$6:N$406,B$6:B$406,"Fashion",O$6:O$406,"OK")</f>
        <v>0</v>
      </c>
    </row>
    <row r="425" spans="2:6" x14ac:dyDescent="0.2">
      <c r="B425" s="116"/>
      <c r="D425" s="113">
        <f>SUMIF(B$6:B$406,"Firm",D$6:D$406)</f>
        <v>0</v>
      </c>
      <c r="E425" s="114">
        <f>SUMIF(B$6:B$406,"Firm",N$6:N$406)</f>
        <v>0</v>
      </c>
      <c r="F425" s="115">
        <f>SUMIFS(N$6:N$406,B$6:B$406,"Firm",O$6:O$406,"OK")</f>
        <v>0</v>
      </c>
    </row>
    <row r="426" spans="2:6" x14ac:dyDescent="0.2">
      <c r="B426" s="116"/>
      <c r="D426" s="113">
        <f>SUMIF(B$6:B$406,"Galliera",D$6:D$406)</f>
        <v>0</v>
      </c>
      <c r="E426" s="114">
        <f>SUMIF(B$6:B$406,"Galliera",N$6:N$406)</f>
        <v>0</v>
      </c>
      <c r="F426" s="115">
        <f>SUMIFS(N$6:N$406,B$6:B$406,"Galliera",O$6:O$406,"OK")</f>
        <v>0</v>
      </c>
    </row>
    <row r="427" spans="2:6" x14ac:dyDescent="0.2">
      <c r="B427" s="116"/>
      <c r="D427" s="113">
        <f>SUMIF(B$6:B$406,"Galliera",D$6:D$406)</f>
        <v>0</v>
      </c>
      <c r="E427" s="114">
        <f>SUMIF(B$6:B$406,"Galliera",N$6:N$406)</f>
        <v>0</v>
      </c>
      <c r="F427" s="115">
        <f>SUMIFS(N$6:N$406,B$6:B$406,"Gbe",O$6:O$406,"OK")</f>
        <v>0</v>
      </c>
    </row>
    <row r="428" spans="2:6" x14ac:dyDescent="0.2">
      <c r="B428" s="116"/>
      <c r="D428" s="113">
        <f>SUMIF(B$6:B$406,"Green Metal",D$6:D$406)</f>
        <v>0</v>
      </c>
      <c r="E428" s="114">
        <f>SUMIF(B$6:B$406,"Green metal",N$6:N$406)</f>
        <v>0</v>
      </c>
      <c r="F428" s="115">
        <f>SUMIFS(N$6:N$406,B$6:B$406,"Green metal",O$6:O$406,"OK")</f>
        <v>0</v>
      </c>
    </row>
    <row r="429" spans="2:6" x14ac:dyDescent="0.2">
      <c r="B429" s="116"/>
      <c r="D429" s="113">
        <f>SUMIF(B$6:B$406,"Gritti",D$6:D$406)</f>
        <v>0</v>
      </c>
      <c r="E429" s="114">
        <f>SUMIF(B$6:B$406,"Gritti",N$6:N$406)</f>
        <v>0</v>
      </c>
      <c r="F429" s="115">
        <f>SUMIFS(N$6:N$406,B$6:B$406,"Gritti",O$6:O$406,"OK")</f>
        <v>0</v>
      </c>
    </row>
    <row r="430" spans="2:6" x14ac:dyDescent="0.2">
      <c r="B430" s="116"/>
      <c r="D430" s="113">
        <f>SUMIF(B$6:B$406,"Gts",D$6:D$406)</f>
        <v>0</v>
      </c>
      <c r="E430" s="114">
        <f>SUMIF(B$6:B$406,"Gts",N$6:N$406)</f>
        <v>0</v>
      </c>
      <c r="F430" s="115">
        <f>SUMIFS(N$6:N$406,B$6:B$406,"Gts",O$6:O$406,"OK")</f>
        <v>0</v>
      </c>
    </row>
    <row r="431" spans="2:6" x14ac:dyDescent="0.2">
      <c r="B431" s="116"/>
      <c r="D431" s="113">
        <f>SUMIF(B$6:B$406,"Intermagnetics",D$6:D$406)</f>
        <v>0</v>
      </c>
      <c r="E431" s="114">
        <f>SUMIF(B$6:B$406,"Intermagnetics",N$6:N$406)</f>
        <v>0</v>
      </c>
      <c r="F431" s="115">
        <f>SUMIFS(N$6:N$406,B$6:B$406,"Intermagnetics",O$6:O$406,"OK")</f>
        <v>0</v>
      </c>
    </row>
    <row r="432" spans="2:6" x14ac:dyDescent="0.2">
      <c r="B432" s="116"/>
      <c r="D432" s="113">
        <f>SUMIF(B$6:B$406,"mace",D$6:D$406)</f>
        <v>0</v>
      </c>
      <c r="E432" s="114">
        <f>SUMIF(B$6:B$406,"mace",N$6:N$406)</f>
        <v>0</v>
      </c>
      <c r="F432" s="115">
        <f>SUMIFS(N$6:N$406,B$6:B$406,"mace",O$6:O$406,"OK")</f>
        <v>0</v>
      </c>
    </row>
    <row r="433" spans="2:6" x14ac:dyDescent="0.2">
      <c r="B433" s="116"/>
      <c r="D433" s="113">
        <f>SUMIF(B$6:B$406,"mdls",D$6:D$406)</f>
        <v>0</v>
      </c>
      <c r="E433" s="114">
        <f>SUMIF(B$6:B$406,"mdls",N$6:N$406)</f>
        <v>0</v>
      </c>
      <c r="F433" s="115">
        <f>SUMIFS(N$6:N$406,B$6:B$406,"mdls",O$6:O$406,"OK")</f>
        <v>0</v>
      </c>
    </row>
    <row r="434" spans="2:6" x14ac:dyDescent="0.2">
      <c r="B434" s="116"/>
      <c r="D434" s="113">
        <f>SUMIF(B$6:B$406,"meca",D$6:D$406)</f>
        <v>0</v>
      </c>
      <c r="E434" s="114">
        <f>SUMIF(B$6:B$406,"meca",N$6:N$406)</f>
        <v>0</v>
      </c>
      <c r="F434" s="115">
        <f>SUMIFS(N$6:N$406,B$6:B$406,"meca",O$6:O$406,"OK")</f>
        <v>0</v>
      </c>
    </row>
    <row r="435" spans="2:6" x14ac:dyDescent="0.2">
      <c r="B435" s="116"/>
      <c r="D435" s="113">
        <f>SUMIF(B$6:B$406,"mevis",D$6:D$406)</f>
        <v>0</v>
      </c>
      <c r="E435" s="114">
        <f>SUMIF(B$6:B$406,"mevis",N$6:N$406)</f>
        <v>0</v>
      </c>
      <c r="F435" s="115">
        <f>SUMIFS(N$6:N$406,B$6:B$406,"mevis",O$6:O$406,"OK")</f>
        <v>0</v>
      </c>
    </row>
    <row r="436" spans="2:6" x14ac:dyDescent="0.2">
      <c r="B436" s="116"/>
      <c r="D436" s="113">
        <f>SUMIF(B$6:B$406,"mtp",D$6:D$406)</f>
        <v>0</v>
      </c>
      <c r="E436" s="114">
        <f>SUMIF(B$6:B$406,"mtp",N$6:N$406)</f>
        <v>0</v>
      </c>
      <c r="F436" s="115">
        <f>SUMIFS(N$6:N$406,B$6:B$406,"mtp",O$6:O$406,"OK")</f>
        <v>0</v>
      </c>
    </row>
    <row r="437" spans="2:6" x14ac:dyDescent="0.2">
      <c r="B437" s="116"/>
      <c r="D437" s="113">
        <f>SUMIF(B$6:B$406,"ncc",D$6:D$406)</f>
        <v>0</v>
      </c>
      <c r="E437" s="114">
        <f>SUMIF(B$6:B$406,"ncc",N$6:N$406)</f>
        <v>0</v>
      </c>
      <c r="F437" s="115">
        <f>SUMIFS(N$6:N$406,B$6:B$406,"ncc",O$6:O$406,"OK")</f>
        <v>0</v>
      </c>
    </row>
    <row r="438" spans="2:6" x14ac:dyDescent="0.2">
      <c r="B438" s="116"/>
      <c r="D438" s="113">
        <f>SUMIF(B$6:B$406,"New Cemi",D$6:D$406)</f>
        <v>0</v>
      </c>
      <c r="E438" s="114">
        <f>SUMIF(B$6:B$406,"New Cemi",N$6:N$406)</f>
        <v>0</v>
      </c>
      <c r="F438" s="115">
        <f>SUMIFS(N$6:N$406,B$6:B$406,"New Cemi",O$6:O$406,"OK")</f>
        <v>0</v>
      </c>
    </row>
    <row r="439" spans="2:6" x14ac:dyDescent="0.2">
      <c r="B439" s="116"/>
      <c r="D439" s="113">
        <f>SUMIF(B$6:B$406,"Ocrev",D$6:D$406)</f>
        <v>0</v>
      </c>
      <c r="E439" s="114">
        <f>SUMIF(B$6:B$406,"ocrev",N$6:N$406)</f>
        <v>0</v>
      </c>
      <c r="F439" s="115">
        <f>SUMIFS(N$6:N$406,B$6:B$406,"ocrev",O$6:O$406,"OK")</f>
        <v>0</v>
      </c>
    </row>
    <row r="440" spans="2:6" x14ac:dyDescent="0.2">
      <c r="B440" s="116"/>
      <c r="D440" s="113">
        <f>SUMIF(B$6:B$406,"Power",D$6:D$406)</f>
        <v>0</v>
      </c>
      <c r="E440" s="114">
        <f>SUMIF(B$6:B$406,"Power",N$6:N$406)</f>
        <v>0</v>
      </c>
      <c r="F440" s="115">
        <f>SUMIFS(N$6:N$406,B$6:B$406,"Power",O$6:O$406,"OK")</f>
        <v>0</v>
      </c>
    </row>
    <row r="441" spans="2:6" x14ac:dyDescent="0.2">
      <c r="B441" s="116"/>
      <c r="D441" s="113">
        <f>SUMIF(B$6:B$406,"Persico",D$6:D$406)</f>
        <v>0</v>
      </c>
      <c r="E441" s="114">
        <f>SUMIF(B$6:B$406,"Persico",N$6:N$406)</f>
        <v>0</v>
      </c>
      <c r="F441" s="115">
        <f>SUMIFS(N$6:N$406,B$6:B$406,"Persico",O$6:O$406,"OK")</f>
        <v>0</v>
      </c>
    </row>
    <row r="442" spans="2:6" x14ac:dyDescent="0.2">
      <c r="B442" s="116"/>
      <c r="D442" s="113">
        <f>SUMIF(B$6:B$406,"Picenia",D$6:D$406)</f>
        <v>0</v>
      </c>
      <c r="E442" s="114">
        <f>SUMIF(B$6:B$406,"PICENIA",N$6:N$406)</f>
        <v>0</v>
      </c>
      <c r="F442" s="115">
        <f>SUMIFS(N$6:N$406,B$6:B$406,"Picenia",O$6:O$406,"OK")</f>
        <v>0</v>
      </c>
    </row>
    <row r="443" spans="2:6" x14ac:dyDescent="0.2">
      <c r="B443" s="116"/>
      <c r="D443" s="113">
        <f>SUMIF(B$6:B$406,"Pichierri",D$6:D$406)</f>
        <v>0</v>
      </c>
      <c r="E443" s="114">
        <f>SUMIF(B$6:B$406,"Pichierri",N$6:N$406)</f>
        <v>0</v>
      </c>
      <c r="F443" s="115">
        <f>SUMIFS(N$6:N$406,B$6:B$406,"Pichierri",O$6:O$406,"OK")</f>
        <v>0</v>
      </c>
    </row>
    <row r="444" spans="2:6" x14ac:dyDescent="0.2">
      <c r="B444" s="116"/>
      <c r="D444" s="113">
        <f>SUMIF(B$6:B$406,"Piossasco",D$6:D$406)</f>
        <v>0</v>
      </c>
      <c r="E444" s="114">
        <f>SUMIF(B$6:B$406,"piossasco",N$6:N$406)</f>
        <v>0</v>
      </c>
      <c r="F444" s="115">
        <f>SUMIFS(N$6:N$406,B$6:B$406,"piossasco",O$6:O$406,"OK")</f>
        <v>0</v>
      </c>
    </row>
    <row r="445" spans="2:6" x14ac:dyDescent="0.2">
      <c r="B445" s="116"/>
      <c r="D445" s="113">
        <f>SUMIF(B$6:B$406,"ranzenigo",D$6:D$406)</f>
        <v>0</v>
      </c>
      <c r="E445" s="114">
        <f>SUMIF(B$6:B$406,"ranzenigo",N$6:N$406)</f>
        <v>0</v>
      </c>
      <c r="F445" s="115">
        <f>SUMIFS(N$6:N$406,B$6:B$406,"ranzenigo",O$6:O$406,"OK")</f>
        <v>0</v>
      </c>
    </row>
    <row r="446" spans="2:6" x14ac:dyDescent="0.2">
      <c r="B446" s="116"/>
      <c r="D446" s="113">
        <f>SUMIF(B$6:B$406,"Rapeti",D$6:D$406)</f>
        <v>0</v>
      </c>
      <c r="E446" s="114">
        <f>SUMIF(B$6:B$406,"Rapeti",N$6:N$406)</f>
        <v>0</v>
      </c>
      <c r="F446" s="115">
        <f>SUMIFS(N$6:N$406,B$6:B$406,"Rapeti",O$6:O$406,"OK")</f>
        <v>0</v>
      </c>
    </row>
    <row r="447" spans="2:6" x14ac:dyDescent="0.2">
      <c r="B447" s="116"/>
      <c r="D447" s="113">
        <f>SUMIF(B$6:B$406,"Ratto",D$6:D$406)</f>
        <v>0</v>
      </c>
      <c r="E447" s="114">
        <f>SUMIF(B$6:B$406,"Ratto",N$6:N$406)</f>
        <v>0</v>
      </c>
      <c r="F447" s="115">
        <f>SUMIFS(N$6:N$406,B$6:B$406,"Ratto",O$6:O$406,"OK")</f>
        <v>0</v>
      </c>
    </row>
    <row r="448" spans="2:6" x14ac:dyDescent="0.2">
      <c r="B448" s="116"/>
      <c r="D448" s="113">
        <f>SUMIF(B$6:B$406,"Rizzi",D$6:D$406)</f>
        <v>0</v>
      </c>
      <c r="E448" s="114">
        <f>SUMIF(B$6:B$406,"Rizzi",N$6:N$406)</f>
        <v>0</v>
      </c>
      <c r="F448" s="115">
        <f>SUMIFS(N$6:N$406,B$6:B$406,"Rizzi",O$6:O$406,"OK")</f>
        <v>0</v>
      </c>
    </row>
    <row r="449" spans="2:6" x14ac:dyDescent="0.2">
      <c r="B449" s="116"/>
      <c r="D449" s="113">
        <f>SUMIF(B$6:B$406,"Sassi",D$6:D$406)</f>
        <v>0</v>
      </c>
      <c r="E449" s="114">
        <f>SUMIF(B$6:B$406,"Sassi",N$6:N$406)</f>
        <v>0</v>
      </c>
      <c r="F449" s="115">
        <f>SUMIFS(N$6:N$406,B$6:B$406,"Sassi",O$6:O$406,"OK")</f>
        <v>0</v>
      </c>
    </row>
    <row r="450" spans="2:6" x14ac:dyDescent="0.2">
      <c r="B450" s="116"/>
      <c r="D450" s="113">
        <f>SUMIF(B$6:B$406,"Sater",D$6:D$406)</f>
        <v>0</v>
      </c>
      <c r="E450" s="114">
        <f>SUMIF(B$6:B$406,"Sater",N$6:N$406)</f>
        <v>0</v>
      </c>
      <c r="F450" s="115">
        <f>SUMIFS(N$6:N$406,B$6:B$406,"Sater",O$6:O$406,"OK")</f>
        <v>0</v>
      </c>
    </row>
    <row r="451" spans="2:6" x14ac:dyDescent="0.2">
      <c r="B451" s="116"/>
      <c r="D451" s="113">
        <f>SUMIF(B$6:B$406,"Sirmet",D$6:D$406)</f>
        <v>0</v>
      </c>
      <c r="E451" s="114">
        <f>SUMIF(B$6:B$406,"Sirmet",N$6:N$406)</f>
        <v>0</v>
      </c>
      <c r="F451" s="115">
        <f>SUMIFS(N$6:N$406,B$6:B$406,"Sirmet",O$6:O$406,"OK")</f>
        <v>0</v>
      </c>
    </row>
    <row r="452" spans="2:6" x14ac:dyDescent="0.2">
      <c r="B452" s="116"/>
      <c r="D452" s="113">
        <f>SUMIF(B$6:B$406,"technology",D$6:D$406)</f>
        <v>0</v>
      </c>
      <c r="E452" s="114">
        <f>SUMIF(B$6:B$406,"technology",N$6:N$406)</f>
        <v>0</v>
      </c>
      <c r="F452" s="115">
        <f>SUMIFS(N$6:N$406,B$6:B$406,"technology",O$6:O$406,"OK")</f>
        <v>0</v>
      </c>
    </row>
    <row r="453" spans="2:6" x14ac:dyDescent="0.2">
      <c r="B453" s="116"/>
      <c r="D453" s="113">
        <f>SUMIF(B$6:B$406,"trafo",D$6:D$406)</f>
        <v>0</v>
      </c>
      <c r="E453" s="114">
        <f>SUMIF(B$6:B$406,"trafo",N$6:N$406)</f>
        <v>0</v>
      </c>
      <c r="F453" s="115">
        <f>SUMIFS(N$6:N$406,B$6:B$406,"trafo",O$6:O$406,"OK")</f>
        <v>0</v>
      </c>
    </row>
    <row r="454" spans="2:6" x14ac:dyDescent="0.2">
      <c r="B454" s="116"/>
      <c r="D454" s="113">
        <f>SUMIF(B$6:B$406,"Tesar",D$6:D$406)</f>
        <v>0</v>
      </c>
      <c r="E454" s="114">
        <f>SUMIF(B$6:B$406,"Tesar",N$6:N$406)</f>
        <v>0</v>
      </c>
      <c r="F454" s="115">
        <f>SUMIFS(N$6:N$406,B$6:B$406,"Tesar",O$6:O$406,"OK")</f>
        <v>0</v>
      </c>
    </row>
    <row r="455" spans="2:6" x14ac:dyDescent="0.2">
      <c r="B455" s="116"/>
      <c r="D455" s="113">
        <f>SUMIF(B$6:B$406,"Tmc",D$6:D$406)</f>
        <v>0</v>
      </c>
      <c r="E455" s="114">
        <f>SUMIF(B$6:B$406,"Tmc",N$6:N$406)</f>
        <v>0</v>
      </c>
      <c r="F455" s="115">
        <f>SUMIFS(N$6:N$406,B$6:B$406,"Tmc",O$6:O$406,"OK")</f>
        <v>0</v>
      </c>
    </row>
    <row r="456" spans="2:6" x14ac:dyDescent="0.2">
      <c r="B456" s="116"/>
      <c r="D456" s="113">
        <f>SUMIF(B$6:B$406,"Trafomec",D$6:D$406)</f>
        <v>0</v>
      </c>
      <c r="E456" s="114">
        <f>SUMIF(B$6:B$406,"Trafomec",N$6:N$406)</f>
        <v>0</v>
      </c>
      <c r="F456" s="115">
        <f>SUMIFS(N$6:N$406,B$6:B$406,"Trafomec",O$6:O$406,"OK")</f>
        <v>0</v>
      </c>
    </row>
    <row r="457" spans="2:6" x14ac:dyDescent="0.2">
      <c r="B457" s="116"/>
      <c r="D457" s="113">
        <f>SUMIF(B$6:B$406,"Trasfeco",D$6:D$406)</f>
        <v>0</v>
      </c>
      <c r="E457" s="114">
        <f>SUMIF(B$6:B$406,"Trasfeco",N$6:N$406)</f>
        <v>0</v>
      </c>
      <c r="F457" s="115">
        <f>SUMIFS(N$6:N$406,B$6:B$406,"Trasfeco",O$6:O$406,"OK")</f>
        <v>0</v>
      </c>
    </row>
    <row r="458" spans="2:6" x14ac:dyDescent="0.2">
      <c r="B458" s="116"/>
      <c r="D458" s="113">
        <f>SUMIF(B$6:B$406,"Trasfoproject",D$6:D$406)</f>
        <v>0</v>
      </c>
      <c r="E458" s="114">
        <f>SUMIF(B$6:B$406,"Trasfoproject",N$6:N$406)</f>
        <v>0</v>
      </c>
      <c r="F458" s="115">
        <f>SUMIFS(N$6:N$406,B$6:B$406,"Trasfoproject",O$6:O$406,"OK")</f>
        <v>0</v>
      </c>
    </row>
    <row r="459" spans="2:6" x14ac:dyDescent="0.2">
      <c r="B459" s="116"/>
      <c r="D459" s="113">
        <f>SUMIF(B$6:B$406,"Trasfotec",D$6:D$406)</f>
        <v>0</v>
      </c>
      <c r="E459" s="114">
        <f>SUMIF(B$6:B$406,"Trasfotec",N$6:N$406)</f>
        <v>0</v>
      </c>
      <c r="F459" s="115">
        <f>SUMIFS(N$6:N$406,B$6:B$406,"Trasfotec",O$6:O$406,"OK")</f>
        <v>0</v>
      </c>
    </row>
    <row r="460" spans="2:6" x14ac:dyDescent="0.2">
      <c r="B460" s="117"/>
      <c r="D460" s="113">
        <f>SUMIF(B$6:B$406,"Vazzoler",D$6:D$406)</f>
        <v>0</v>
      </c>
      <c r="E460" s="114">
        <f>SUMIF(B$6:B$406,"Vazzoler",N$6:N$406)</f>
        <v>0</v>
      </c>
      <c r="F460" s="115">
        <f>SUMIFS(N$6:N$406,B$6:B$406,"Vazzoler",O$6:O$406,"OK")</f>
        <v>0</v>
      </c>
    </row>
    <row r="461" spans="2:6" x14ac:dyDescent="0.2">
      <c r="B461" s="117"/>
      <c r="D461" s="113">
        <f>SUMIF(B$6:B$406,"Zennaro",D$6:D$406)</f>
        <v>0</v>
      </c>
      <c r="E461" s="114">
        <f>SUMIF(B$6:B$406,"Zennaro",N$6:N$406)</f>
        <v>0</v>
      </c>
      <c r="F461" s="115">
        <f>SUMIFS(N$6:N$406,B$6:B$406,"Zennaro",O$6:O$406,"OK")</f>
        <v>0</v>
      </c>
    </row>
    <row r="462" spans="2:6" ht="13.5" thickBot="1" x14ac:dyDescent="0.25">
      <c r="B462" s="118"/>
      <c r="D462" s="119"/>
      <c r="E462" s="120"/>
      <c r="F462" s="121"/>
    </row>
    <row r="463" spans="2:6" ht="13.5" thickBot="1" x14ac:dyDescent="0.25">
      <c r="B463" s="122"/>
      <c r="D463" s="123">
        <f>SUM(D413:D462)</f>
        <v>30373</v>
      </c>
      <c r="E463" s="124">
        <f>SUM(E413:E462)</f>
        <v>81.067539999999994</v>
      </c>
      <c r="F463" s="125">
        <f>SUM(F413:F462)</f>
        <v>2.7000000000000003E-2</v>
      </c>
    </row>
    <row r="465" spans="4:6" x14ac:dyDescent="0.2">
      <c r="D465" s="126">
        <f>+D407</f>
        <v>30373</v>
      </c>
      <c r="E465" s="126"/>
      <c r="F465" s="127"/>
    </row>
    <row r="466" spans="4:6" x14ac:dyDescent="0.2">
      <c r="E466" s="128">
        <f>+D407-E463</f>
        <v>30291.93246</v>
      </c>
    </row>
    <row r="467" spans="4:6" x14ac:dyDescent="0.2">
      <c r="D467" s="127">
        <f>+D463-D465</f>
        <v>0</v>
      </c>
    </row>
  </sheetData>
  <sheetProtection formatCells="0" insertRows="0" deleteRows="0" sort="0" autoFilter="0"/>
  <conditionalFormatting sqref="M7:M343 M403:M406 M361:M366 M386:M399">
    <cfRule type="expression" priority="33" stopIfTrue="1">
      <formula>M7=0</formula>
    </cfRule>
    <cfRule type="expression" dxfId="13" priority="34" stopIfTrue="1">
      <formula>M7&lt;TODAY()</formula>
    </cfRule>
  </conditionalFormatting>
  <conditionalFormatting sqref="D4">
    <cfRule type="containsText" dxfId="12" priority="30" stopIfTrue="1" operator="containsText" text="ERRORE">
      <formula>NOT(ISERROR(SEARCH("ERRORE",D4)))</formula>
    </cfRule>
  </conditionalFormatting>
  <conditionalFormatting sqref="N4">
    <cfRule type="containsText" dxfId="11" priority="29" stopIfTrue="1" operator="containsText" text="ERRORE">
      <formula>NOT(ISERROR(SEARCH("ERRORE",N4)))</formula>
    </cfRule>
  </conditionalFormatting>
  <conditionalFormatting sqref="O4">
    <cfRule type="containsText" dxfId="10" priority="28" stopIfTrue="1" operator="containsText" text="ERRORE">
      <formula>NOT(ISERROR(SEARCH("ERRORE",O4)))</formula>
    </cfRule>
  </conditionalFormatting>
  <conditionalFormatting sqref="M344:M360">
    <cfRule type="expression" priority="18" stopIfTrue="1">
      <formula>M344=0</formula>
    </cfRule>
    <cfRule type="expression" dxfId="9" priority="19" stopIfTrue="1">
      <formula>M344&lt;TODAY()</formula>
    </cfRule>
  </conditionalFormatting>
  <conditionalFormatting sqref="M400:M402">
    <cfRule type="expression" priority="16" stopIfTrue="1">
      <formula>M400=0</formula>
    </cfRule>
    <cfRule type="expression" dxfId="8" priority="17" stopIfTrue="1">
      <formula>M400&lt;TODAY()</formula>
    </cfRule>
  </conditionalFormatting>
  <conditionalFormatting sqref="M384:M385 M367:M380">
    <cfRule type="expression" priority="14" stopIfTrue="1">
      <formula>M367=0</formula>
    </cfRule>
    <cfRule type="expression" dxfId="7" priority="15" stopIfTrue="1">
      <formula>M367&lt;TODAY()</formula>
    </cfRule>
  </conditionalFormatting>
  <conditionalFormatting sqref="M381:M383">
    <cfRule type="expression" priority="12" stopIfTrue="1">
      <formula>M381=0</formula>
    </cfRule>
    <cfRule type="expression" dxfId="6" priority="13" stopIfTrue="1">
      <formula>M381&lt;TODAY()</formula>
    </cfRule>
  </conditionalFormatting>
  <conditionalFormatting sqref="B7:B406">
    <cfRule type="expression" dxfId="5" priority="9" stopIfTrue="1">
      <formula>AND(B7&lt;&gt;"", COUNTIF($B$414:$B$714, B7)=0)</formula>
    </cfRule>
  </conditionalFormatting>
  <conditionalFormatting sqref="M6">
    <cfRule type="expression" priority="4" stopIfTrue="1">
      <formula>M6=0</formula>
    </cfRule>
    <cfRule type="expression" dxfId="4" priority="5" stopIfTrue="1">
      <formula>M6&lt;TODAY()</formula>
    </cfRule>
  </conditionalFormatting>
  <conditionalFormatting sqref="M5">
    <cfRule type="expression" priority="2" stopIfTrue="1">
      <formula>M5=0</formula>
    </cfRule>
    <cfRule type="expression" dxfId="3" priority="3" stopIfTrue="1">
      <formula>M5&lt;TODAY()</formula>
    </cfRule>
  </conditionalFormatting>
  <conditionalFormatting sqref="B5">
    <cfRule type="expression" dxfId="2" priority="1" stopIfTrue="1">
      <formula>AND(B5&lt;&gt;"", COUNTIF($B$414:$B$714, B5)=0)</formula>
    </cfRule>
  </conditionalFormatting>
  <dataValidations count="1">
    <dataValidation type="list" allowBlank="1" showInputMessage="1" showErrorMessage="1" sqref="O5:O406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6" r:id="rId4" name="CmdSelezionaTabella">
          <controlPr defaultSize="0" autoLine="0" autoPict="0" r:id="rId5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13</xdr:col>
                <xdr:colOff>876300</xdr:colOff>
                <xdr:row>2</xdr:row>
                <xdr:rowOff>19050</xdr:rowOff>
              </to>
            </anchor>
          </controlPr>
        </control>
      </mc:Choice>
      <mc:Fallback>
        <control shapeId="1036" r:id="rId4" name="CmdSelezionaTabella"/>
      </mc:Fallback>
    </mc:AlternateContent>
    <mc:AlternateContent xmlns:mc="http://schemas.openxmlformats.org/markup-compatibility/2006">
      <mc:Choice Requires="x14">
        <control shapeId="1035" r:id="rId6" name="CmdEliminaERipristinaRiga">
          <controlPr defaultSize="0" autoLine="0" r:id="rId7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6</xdr:col>
                <xdr:colOff>47625</xdr:colOff>
                <xdr:row>1</xdr:row>
                <xdr:rowOff>285750</xdr:rowOff>
              </to>
            </anchor>
          </controlPr>
        </control>
      </mc:Choice>
      <mc:Fallback>
        <control shapeId="1035" r:id="rId6" name="CmdEliminaERipristinaRiga"/>
      </mc:Fallback>
    </mc:AlternateContent>
    <mc:AlternateContent xmlns:mc="http://schemas.openxmlformats.org/markup-compatibility/2006">
      <mc:Choice Requires="x14">
        <control shapeId="1034" r:id="rId8" name="cmdDuplicaRigaSelezionata">
          <controlPr defaultSize="0" autoLine="0" r:id="rId9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3</xdr:col>
                <xdr:colOff>552450</xdr:colOff>
                <xdr:row>1</xdr:row>
                <xdr:rowOff>285750</xdr:rowOff>
              </to>
            </anchor>
          </controlPr>
        </control>
      </mc:Choice>
      <mc:Fallback>
        <control shapeId="1034" r:id="rId8" name="cmdDuplicaRigaSelezionata"/>
      </mc:Fallback>
    </mc:AlternateContent>
    <mc:AlternateContent xmlns:mc="http://schemas.openxmlformats.org/markup-compatibility/2006">
      <mc:Choice Requires="x14">
        <control shapeId="1033" r:id="rId10" name="CmdNuovaRiga">
          <controlPr defaultSize="0" autoLine="0" autoPict="0" r:id="rId11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390525</xdr:colOff>
                <xdr:row>1</xdr:row>
                <xdr:rowOff>295275</xdr:rowOff>
              </to>
            </anchor>
          </controlPr>
        </control>
      </mc:Choice>
      <mc:Fallback>
        <control shapeId="1033" r:id="rId10" name="CmdNuov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2">
        <v>2022</v>
      </c>
      <c r="C3" s="72"/>
    </row>
    <row r="4" spans="1:3" ht="16.5" thickBot="1" x14ac:dyDescent="0.3">
      <c r="A4" s="61"/>
      <c r="B4" s="70" t="s">
        <v>56</v>
      </c>
      <c r="C4" s="71"/>
    </row>
    <row r="5" spans="1:3" ht="16.5" thickBot="1" x14ac:dyDescent="0.3">
      <c r="A5" s="62" t="s">
        <v>54</v>
      </c>
      <c r="B5" s="63" t="s">
        <v>55</v>
      </c>
      <c r="C5" s="64" t="s">
        <v>3</v>
      </c>
    </row>
    <row r="6" spans="1:3" x14ac:dyDescent="0.2">
      <c r="A6" s="52" t="s">
        <v>57</v>
      </c>
      <c r="B6" s="53" t="e">
        <f>SUMIFS('calcolo comm.'!N$6:N$406,'calcolo comm.'!$R$6:$R$350,1,'calcolo comm.'!$S$6:$S$350,2022)</f>
        <v>#VALUE!</v>
      </c>
      <c r="C6" s="54" t="e">
        <f>SUMIFS('calcolo comm.'!D$6:D$406,'calcolo comm.'!$R$6:$R$350,1,'calcolo comm.'!$S$6:$S$350,2022)</f>
        <v>#VALUE!</v>
      </c>
    </row>
    <row r="7" spans="1:3" x14ac:dyDescent="0.2">
      <c r="A7" s="55" t="s">
        <v>58</v>
      </c>
      <c r="B7" s="56" t="e">
        <f>SUMIFS('calcolo comm.'!N$6:N$406,'calcolo comm.'!$R$6:$R$350,2,'calcolo comm.'!$S$6:$S$350,2022)</f>
        <v>#VALUE!</v>
      </c>
      <c r="C7" s="57" t="e">
        <f>SUMIFS('calcolo comm.'!D$6:D$406,'calcolo comm.'!$R$6:$R$350,2,'calcolo comm.'!$S$6:$S$350,2022)</f>
        <v>#VALUE!</v>
      </c>
    </row>
    <row r="8" spans="1:3" x14ac:dyDescent="0.2">
      <c r="A8" s="55" t="s">
        <v>59</v>
      </c>
      <c r="B8" s="56" t="e">
        <f>SUMIFS('calcolo comm.'!N$6:N$406,'calcolo comm.'!$R$6:$R$350,3,'calcolo comm.'!$S$6:$S$350,2022)</f>
        <v>#VALUE!</v>
      </c>
      <c r="C8" s="57" t="e">
        <f>SUMIFS('calcolo comm.'!D$6:D$406,'calcolo comm.'!$R$6:$R$350,3,'calcolo comm.'!$S$6:$S$350,2022)</f>
        <v>#VALUE!</v>
      </c>
    </row>
    <row r="9" spans="1:3" x14ac:dyDescent="0.2">
      <c r="A9" s="55" t="s">
        <v>60</v>
      </c>
      <c r="B9" s="56" t="e">
        <f>SUMIFS('calcolo comm.'!N$6:N$406,'calcolo comm.'!$R$6:$R$350,4,'calcolo comm.'!$S$6:$S$350,2022)</f>
        <v>#VALUE!</v>
      </c>
      <c r="C9" s="57" t="e">
        <f>SUMIFS('calcolo comm.'!D$6:D$406,'calcolo comm.'!$R$6:$R$350,4,'calcolo comm.'!$S$6:$S$350,2022)</f>
        <v>#VALUE!</v>
      </c>
    </row>
    <row r="10" spans="1:3" x14ac:dyDescent="0.2">
      <c r="A10" s="55" t="s">
        <v>61</v>
      </c>
      <c r="B10" s="56" t="e">
        <f>SUMIFS('calcolo comm.'!N$6:N$406,'calcolo comm.'!$R$6:$R$350,5,'calcolo comm.'!$S$6:$S$350,2022)</f>
        <v>#VALUE!</v>
      </c>
      <c r="C10" s="57" t="e">
        <f>SUMIFS('calcolo comm.'!D$6:D$406,'calcolo comm.'!$R$6:$R$350,5,'calcolo comm.'!$S$6:$S$350,2022)</f>
        <v>#VALUE!</v>
      </c>
    </row>
    <row r="11" spans="1:3" x14ac:dyDescent="0.2">
      <c r="A11" s="55" t="s">
        <v>62</v>
      </c>
      <c r="B11" s="56" t="e">
        <f>SUMIFS('calcolo comm.'!N$6:N$406,'calcolo comm.'!$R$6:$R$350,6,'calcolo comm.'!$S$6:$S$350,2022)</f>
        <v>#VALUE!</v>
      </c>
      <c r="C11" s="57" t="e">
        <f>SUMIFS('calcolo comm.'!D$6:D$406,'calcolo comm.'!$R$6:$R$350,6,'calcolo comm.'!$S$6:$S$350,2022)</f>
        <v>#VALUE!</v>
      </c>
    </row>
    <row r="12" spans="1:3" x14ac:dyDescent="0.2">
      <c r="A12" s="55" t="s">
        <v>63</v>
      </c>
      <c r="B12" s="56" t="e">
        <f>SUMIFS('calcolo comm.'!N$6:N$406,'calcolo comm.'!$R$6:$R$350,7,'calcolo comm.'!$S$6:$S$350,2022)</f>
        <v>#VALUE!</v>
      </c>
      <c r="C12" s="57" t="e">
        <f>SUMIFS('calcolo comm.'!D$6:D$406,'calcolo comm.'!$R$6:$R$350,7,'calcolo comm.'!$S$6:$S$350,2022)</f>
        <v>#VALUE!</v>
      </c>
    </row>
    <row r="13" spans="1:3" x14ac:dyDescent="0.2">
      <c r="A13" s="55" t="s">
        <v>64</v>
      </c>
      <c r="B13" s="56" t="e">
        <f>SUMIFS('calcolo comm.'!N$6:N$406,'calcolo comm.'!$R$6:$R$350,8,'calcolo comm.'!$S$6:$S$350,2022)</f>
        <v>#VALUE!</v>
      </c>
      <c r="C13" s="57" t="e">
        <f>SUMIFS('calcolo comm.'!D$6:D$406,'calcolo comm.'!$R$6:$R$350,8,'calcolo comm.'!$S$6:$S$350,2022)</f>
        <v>#VALUE!</v>
      </c>
    </row>
    <row r="14" spans="1:3" x14ac:dyDescent="0.2">
      <c r="A14" s="55" t="s">
        <v>65</v>
      </c>
      <c r="B14" s="56" t="e">
        <f>SUMIFS('calcolo comm.'!N$6:N$406,'calcolo comm.'!$R$6:$R$350,9,'calcolo comm.'!$S$6:$S$350,2022)</f>
        <v>#VALUE!</v>
      </c>
      <c r="C14" s="57" t="e">
        <f>SUMIFS('calcolo comm.'!D$6:D$406,'calcolo comm.'!$R$6:$R$350,9,'calcolo comm.'!$S$6:$S$350,2022)</f>
        <v>#VALUE!</v>
      </c>
    </row>
    <row r="15" spans="1:3" x14ac:dyDescent="0.2">
      <c r="A15" s="55" t="s">
        <v>66</v>
      </c>
      <c r="B15" s="56" t="e">
        <f>SUMIFS('calcolo comm.'!N$6:N$406,'calcolo comm.'!$R$6:$R$350,10,'calcolo comm.'!$S$6:$S$350,2022)</f>
        <v>#VALUE!</v>
      </c>
      <c r="C15" s="57" t="e">
        <f>SUMIFS('calcolo comm.'!D$6:D$406,'calcolo comm.'!$R$6:$R$350,10,'calcolo comm.'!$S$6:$S$350,2022)</f>
        <v>#VALUE!</v>
      </c>
    </row>
    <row r="16" spans="1:3" x14ac:dyDescent="0.2">
      <c r="A16" s="55" t="s">
        <v>67</v>
      </c>
      <c r="B16" s="56" t="e">
        <f>SUMIFS('calcolo comm.'!N$6:N$406,'calcolo comm.'!$R$6:$R$350,11,'calcolo comm.'!$S$6:$S$350,2022)</f>
        <v>#VALUE!</v>
      </c>
      <c r="C16" s="57" t="e">
        <f>SUMIFS('calcolo comm.'!D$6:D$406,'calcolo comm.'!$R$6:$R$350,11,'calcolo comm.'!$S$6:$S$350,2022)</f>
        <v>#VALUE!</v>
      </c>
    </row>
    <row r="17" spans="1:3" ht="13.5" thickBot="1" x14ac:dyDescent="0.25">
      <c r="A17" s="58" t="s">
        <v>68</v>
      </c>
      <c r="B17" s="59" t="e">
        <f>SUMIFS('calcolo comm.'!N$6:N$406,'calcolo comm.'!$R$6:$R$350,12,'calcolo comm.'!$S$6:$S$350,2022)</f>
        <v>#VALUE!</v>
      </c>
      <c r="C17" s="60" t="e">
        <f>SUMIFS('calcolo comm.'!D$6:D$406,'calcolo comm.'!$R$6:$R$350,12,'calcolo comm.'!$S$6:$S$350,2022)</f>
        <v>#VALUE!</v>
      </c>
    </row>
    <row r="18" spans="1:3" ht="16.5" thickBot="1" x14ac:dyDescent="0.3">
      <c r="A18" s="51"/>
      <c r="B18" s="73" t="e">
        <f>SUM(B6:B17)</f>
        <v>#VALUE!</v>
      </c>
      <c r="C18" s="74" t="e">
        <f>SUM(C6:C17)</f>
        <v>#VALUE!</v>
      </c>
    </row>
    <row r="21" spans="1:3" ht="19.5" thickBot="1" x14ac:dyDescent="0.35">
      <c r="B21" s="72">
        <v>2023</v>
      </c>
      <c r="C21" s="72"/>
    </row>
    <row r="22" spans="1:3" ht="16.5" thickBot="1" x14ac:dyDescent="0.3">
      <c r="A22" s="61"/>
      <c r="B22" s="70" t="s">
        <v>56</v>
      </c>
      <c r="C22" s="71"/>
    </row>
    <row r="23" spans="1:3" ht="16.5" thickBot="1" x14ac:dyDescent="0.3">
      <c r="A23" s="62" t="s">
        <v>54</v>
      </c>
      <c r="B23" s="63" t="s">
        <v>55</v>
      </c>
      <c r="C23" s="64" t="s">
        <v>3</v>
      </c>
    </row>
    <row r="24" spans="1:3" x14ac:dyDescent="0.2">
      <c r="A24" s="52" t="s">
        <v>69</v>
      </c>
      <c r="B24" s="53" t="e">
        <f>SUMIFS('calcolo comm.'!N$6:N$406,'calcolo comm.'!$R$6:$R$350,1,'calcolo comm.'!$S$6:$S$350,2023)</f>
        <v>#VALUE!</v>
      </c>
      <c r="C24" s="54" t="e">
        <f>SUMIFS('calcolo comm.'!D$6:D$406,'calcolo comm.'!$R$6:$R$350,1,'calcolo comm.'!$S$6:$S$350,2023)</f>
        <v>#VALUE!</v>
      </c>
    </row>
    <row r="25" spans="1:3" x14ac:dyDescent="0.2">
      <c r="A25" s="55" t="s">
        <v>70</v>
      </c>
      <c r="B25" s="56" t="e">
        <f>SUMIFS('calcolo comm.'!N$6:N$406,'calcolo comm.'!$R$6:$R$350,2,'calcolo comm.'!$S$6:$S$350,2023)</f>
        <v>#VALUE!</v>
      </c>
      <c r="C25" s="57" t="e">
        <f>SUMIFS('calcolo comm.'!D$6:D$406,'calcolo comm.'!$R$6:$R$350,2,'calcolo comm.'!$S$6:$S$350,2023)</f>
        <v>#VALUE!</v>
      </c>
    </row>
    <row r="26" spans="1:3" x14ac:dyDescent="0.2">
      <c r="A26" s="55" t="s">
        <v>71</v>
      </c>
      <c r="B26" s="56" t="e">
        <f>SUMIFS('calcolo comm.'!N$6:N$406,'calcolo comm.'!$R$6:$R$350,3,'calcolo comm.'!$S$6:$S$350,2023)</f>
        <v>#VALUE!</v>
      </c>
      <c r="C26" s="57" t="e">
        <f>SUMIFS('calcolo comm.'!D$6:D$406,'calcolo comm.'!$R$6:$R$350,3,'calcolo comm.'!$S$6:$S$350,2023)</f>
        <v>#VALUE!</v>
      </c>
    </row>
    <row r="27" spans="1:3" x14ac:dyDescent="0.2">
      <c r="A27" s="55" t="s">
        <v>72</v>
      </c>
      <c r="B27" s="56" t="e">
        <f>SUMIFS('calcolo comm.'!N$6:N$406,'calcolo comm.'!$R$6:$R$350,4,'calcolo comm.'!$S$6:$S$350,2023)</f>
        <v>#VALUE!</v>
      </c>
      <c r="C27" s="57" t="e">
        <f>SUMIFS('calcolo comm.'!D$6:D$406,'calcolo comm.'!$R$6:$R$350,4,'calcolo comm.'!$S$6:$S$350,2023)</f>
        <v>#VALUE!</v>
      </c>
    </row>
    <row r="28" spans="1:3" x14ac:dyDescent="0.2">
      <c r="A28" s="55" t="s">
        <v>73</v>
      </c>
      <c r="B28" s="56" t="e">
        <f>SUMIFS('calcolo comm.'!N$6:N$406,'calcolo comm.'!$R$6:$R$350,5,'calcolo comm.'!$S$6:$S$350,2023)</f>
        <v>#VALUE!</v>
      </c>
      <c r="C28" s="57" t="e">
        <f>SUMIFS('calcolo comm.'!D$6:D$406,'calcolo comm.'!$R$6:$R$350,5,'calcolo comm.'!$S$6:$S$350,2023)</f>
        <v>#VALUE!</v>
      </c>
    </row>
    <row r="29" spans="1:3" x14ac:dyDescent="0.2">
      <c r="A29" s="55" t="s">
        <v>74</v>
      </c>
      <c r="B29" s="56" t="e">
        <f>SUMIFS('calcolo comm.'!N$6:N$406,'calcolo comm.'!$R$6:$R$350,6,'calcolo comm.'!$S$6:$S$350,2023)</f>
        <v>#VALUE!</v>
      </c>
      <c r="C29" s="57" t="e">
        <f>SUMIFS('calcolo comm.'!D$6:D$406,'calcolo comm.'!$R$6:$R$350,6,'calcolo comm.'!$S$6:$S$350,2023)</f>
        <v>#VALUE!</v>
      </c>
    </row>
    <row r="30" spans="1:3" x14ac:dyDescent="0.2">
      <c r="A30" s="55" t="s">
        <v>75</v>
      </c>
      <c r="B30" s="56" t="e">
        <f>SUMIFS('calcolo comm.'!N$6:N$406,'calcolo comm.'!$R$6:$R$350,7,'calcolo comm.'!$S$6:$S$350,2023)</f>
        <v>#VALUE!</v>
      </c>
      <c r="C30" s="57" t="e">
        <f>SUMIFS('calcolo comm.'!D$6:D$406,'calcolo comm.'!$R$6:$R$350,7,'calcolo comm.'!$S$6:$S$350,2023)</f>
        <v>#VALUE!</v>
      </c>
    </row>
    <row r="31" spans="1:3" x14ac:dyDescent="0.2">
      <c r="A31" s="55" t="s">
        <v>76</v>
      </c>
      <c r="B31" s="56" t="e">
        <f>SUMIFS('calcolo comm.'!N$6:N$406,'calcolo comm.'!$R$6:$R$350,8,'calcolo comm.'!$S$6:$S$350,2023)</f>
        <v>#VALUE!</v>
      </c>
      <c r="C31" s="57" t="e">
        <f>SUMIFS('calcolo comm.'!D$6:D$406,'calcolo comm.'!$R$6:$R$350,8,'calcolo comm.'!$S$6:$S$350,2023)</f>
        <v>#VALUE!</v>
      </c>
    </row>
    <row r="32" spans="1:3" x14ac:dyDescent="0.2">
      <c r="A32" s="55" t="s">
        <v>77</v>
      </c>
      <c r="B32" s="56" t="e">
        <f>SUMIFS('calcolo comm.'!N$6:N$406,'calcolo comm.'!$R$6:$R$350,9,'calcolo comm.'!$S$6:$S$350,2023)</f>
        <v>#VALUE!</v>
      </c>
      <c r="C32" s="57" t="e">
        <f>SUMIFS('calcolo comm.'!D$6:D$406,'calcolo comm.'!$R$6:$R$350,9,'calcolo comm.'!$S$6:$S$350,2023)</f>
        <v>#VALUE!</v>
      </c>
    </row>
    <row r="33" spans="1:3" x14ac:dyDescent="0.2">
      <c r="A33" s="55" t="s">
        <v>78</v>
      </c>
      <c r="B33" s="56" t="e">
        <f>SUMIFS('calcolo comm.'!N$6:N$406,'calcolo comm.'!$R$6:$R$350,10,'calcolo comm.'!$S$6:$S$350,2023)</f>
        <v>#VALUE!</v>
      </c>
      <c r="C33" s="57" t="e">
        <f>SUMIFS('calcolo comm.'!D$6:D$406,'calcolo comm.'!$R$6:$R$350,10,'calcolo comm.'!$S$6:$S$350,2023)</f>
        <v>#VALUE!</v>
      </c>
    </row>
    <row r="34" spans="1:3" x14ac:dyDescent="0.2">
      <c r="A34" s="55" t="s">
        <v>79</v>
      </c>
      <c r="B34" s="56" t="e">
        <f>SUMIFS('calcolo comm.'!N$6:N$406,'calcolo comm.'!$R$6:$R$350,11,'calcolo comm.'!$S$6:$S$350,2023)</f>
        <v>#VALUE!</v>
      </c>
      <c r="C34" s="57" t="e">
        <f>SUMIFS('calcolo comm.'!D$6:D$406,'calcolo comm.'!$R$6:$R$350,11,'calcolo comm.'!$S$6:$S$350,2023)</f>
        <v>#VALUE!</v>
      </c>
    </row>
    <row r="35" spans="1:3" ht="13.5" thickBot="1" x14ac:dyDescent="0.25">
      <c r="A35" s="58" t="s">
        <v>80</v>
      </c>
      <c r="B35" s="59" t="e">
        <f>SUMIFS('calcolo comm.'!N$6:N$406,'calcolo comm.'!$R$6:$R$350,12,'calcolo comm.'!$S$6:$S$350,2023)</f>
        <v>#VALUE!</v>
      </c>
      <c r="C35" s="60" t="e">
        <f>SUMIFS('calcolo comm.'!D$6:D$406,'calcolo comm.'!$R$6:$R$350,12,'calcolo comm.'!$S$6:$S$350,2023)</f>
        <v>#VALUE!</v>
      </c>
    </row>
    <row r="36" spans="1:3" ht="16.5" thickBot="1" x14ac:dyDescent="0.3">
      <c r="A36" s="51"/>
      <c r="B36" s="73" t="e">
        <f>SUM(B24:B35)</f>
        <v>#VALUE!</v>
      </c>
      <c r="C36" s="74" t="e">
        <f>SUM(C24:C35)</f>
        <v>#VALUE!</v>
      </c>
    </row>
    <row r="39" spans="1:3" ht="19.5" thickBot="1" x14ac:dyDescent="0.35">
      <c r="B39" s="72">
        <v>2024</v>
      </c>
      <c r="C39" s="72"/>
    </row>
    <row r="40" spans="1:3" ht="16.5" thickBot="1" x14ac:dyDescent="0.3">
      <c r="A40" s="61"/>
      <c r="B40" s="70" t="s">
        <v>56</v>
      </c>
      <c r="C40" s="71"/>
    </row>
    <row r="41" spans="1:3" ht="16.5" thickBot="1" x14ac:dyDescent="0.3">
      <c r="A41" s="62" t="s">
        <v>54</v>
      </c>
      <c r="B41" s="63" t="s">
        <v>55</v>
      </c>
      <c r="C41" s="64" t="s">
        <v>3</v>
      </c>
    </row>
    <row r="42" spans="1:3" x14ac:dyDescent="0.2">
      <c r="A42" s="52" t="s">
        <v>86</v>
      </c>
      <c r="B42" s="53" t="e">
        <f>SUMIFS('calcolo comm.'!N$6:N$406,'calcolo comm.'!$R$6:$R$350,1,'calcolo comm.'!$S$6:$S$350,2024)</f>
        <v>#VALUE!</v>
      </c>
      <c r="C42" s="54" t="e">
        <f>SUMIFS('calcolo comm.'!D$6:D$406,'calcolo comm.'!$R$6:$R$350,1,'calcolo comm.'!$S$6:$S$350,2024)</f>
        <v>#VALUE!</v>
      </c>
    </row>
    <row r="43" spans="1:3" x14ac:dyDescent="0.2">
      <c r="A43" s="55" t="s">
        <v>87</v>
      </c>
      <c r="B43" s="56" t="e">
        <f>SUMIFS('calcolo comm.'!N$6:N$406,'calcolo comm.'!$R$6:$R$350,2,'calcolo comm.'!$S$6:$S$350,2024)</f>
        <v>#VALUE!</v>
      </c>
      <c r="C43" s="57" t="e">
        <f>SUMIFS('calcolo comm.'!D$6:D$406,'calcolo comm.'!$R$6:$R$350,2,'calcolo comm.'!$S$6:$S$350,2024)</f>
        <v>#VALUE!</v>
      </c>
    </row>
    <row r="44" spans="1:3" x14ac:dyDescent="0.2">
      <c r="A44" s="55" t="s">
        <v>88</v>
      </c>
      <c r="B44" s="56" t="e">
        <f>SUMIFS('calcolo comm.'!N$6:N$406,'calcolo comm.'!$R$6:$R$350,3,'calcolo comm.'!$S$6:$S$350,2024)</f>
        <v>#VALUE!</v>
      </c>
      <c r="C44" s="57" t="e">
        <f>SUMIFS('calcolo comm.'!D$6:D$406,'calcolo comm.'!$R$6:$R$350,3,'calcolo comm.'!$S$6:$S$350,2024)</f>
        <v>#VALUE!</v>
      </c>
    </row>
    <row r="45" spans="1:3" x14ac:dyDescent="0.2">
      <c r="A45" s="55" t="s">
        <v>89</v>
      </c>
      <c r="B45" s="56" t="e">
        <f>SUMIFS('calcolo comm.'!N$6:N$406,'calcolo comm.'!$R$6:$R$350,4,'calcolo comm.'!$S$6:$S$350,2024)</f>
        <v>#VALUE!</v>
      </c>
      <c r="C45" s="57" t="e">
        <f>SUMIFS('calcolo comm.'!D$6:D$406,'calcolo comm.'!$R$6:$R$350,4,'calcolo comm.'!$S$6:$S$350,2024)</f>
        <v>#VALUE!</v>
      </c>
    </row>
    <row r="46" spans="1:3" x14ac:dyDescent="0.2">
      <c r="A46" s="55" t="s">
        <v>90</v>
      </c>
      <c r="B46" s="56" t="e">
        <f>SUMIFS('calcolo comm.'!N$6:N$406,'calcolo comm.'!$R$6:$R$350,5,'calcolo comm.'!$S$6:$S$350,2024)</f>
        <v>#VALUE!</v>
      </c>
      <c r="C46" s="57" t="e">
        <f>SUMIFS('calcolo comm.'!D$6:D$406,'calcolo comm.'!$R$6:$R$350,5,'calcolo comm.'!$S$6:$S$350,2024)</f>
        <v>#VALUE!</v>
      </c>
    </row>
    <row r="47" spans="1:3" x14ac:dyDescent="0.2">
      <c r="A47" s="55" t="s">
        <v>91</v>
      </c>
      <c r="B47" s="56" t="e">
        <f>SUMIFS('calcolo comm.'!N$6:N$406,'calcolo comm.'!$R$6:$R$350,6,'calcolo comm.'!$S$6:$S$350,2024)</f>
        <v>#VALUE!</v>
      </c>
      <c r="C47" s="57" t="e">
        <f>SUMIFS('calcolo comm.'!D$6:D$406,'calcolo comm.'!$R$6:$R$350,6,'calcolo comm.'!$S$6:$S$350,2024)</f>
        <v>#VALUE!</v>
      </c>
    </row>
    <row r="48" spans="1:3" x14ac:dyDescent="0.2">
      <c r="A48" s="55" t="s">
        <v>92</v>
      </c>
      <c r="B48" s="56" t="e">
        <f>SUMIFS('calcolo comm.'!N$6:N$406,'calcolo comm.'!$R$6:$R$350,7,'calcolo comm.'!$S$6:$S$350,2024)</f>
        <v>#VALUE!</v>
      </c>
      <c r="C48" s="57" t="e">
        <f>SUMIFS('calcolo comm.'!D$6:D$406,'calcolo comm.'!$R$6:$R$350,7,'calcolo comm.'!$S$6:$S$350,2024)</f>
        <v>#VALUE!</v>
      </c>
    </row>
    <row r="49" spans="1:3" x14ac:dyDescent="0.2">
      <c r="A49" s="55" t="s">
        <v>93</v>
      </c>
      <c r="B49" s="56" t="e">
        <f>SUMIFS('calcolo comm.'!N$6:N$406,'calcolo comm.'!$R$6:$R$350,8,'calcolo comm.'!$S$6:$S$350,2024)</f>
        <v>#VALUE!</v>
      </c>
      <c r="C49" s="57" t="e">
        <f>SUMIFS('calcolo comm.'!D$6:D$406,'calcolo comm.'!$R$6:$R$350,8,'calcolo comm.'!$S$6:$S$350,2024)</f>
        <v>#VALUE!</v>
      </c>
    </row>
    <row r="50" spans="1:3" x14ac:dyDescent="0.2">
      <c r="A50" s="55" t="s">
        <v>94</v>
      </c>
      <c r="B50" s="56" t="e">
        <f>SUMIFS('calcolo comm.'!N$6:N$406,'calcolo comm.'!$R$6:$R$350,9,'calcolo comm.'!$S$6:$S$350,2024)</f>
        <v>#VALUE!</v>
      </c>
      <c r="C50" s="57" t="e">
        <f>SUMIFS('calcolo comm.'!D$6:D$406,'calcolo comm.'!$R$6:$R$350,9,'calcolo comm.'!$S$6:$S$350,2024)</f>
        <v>#VALUE!</v>
      </c>
    </row>
    <row r="51" spans="1:3" x14ac:dyDescent="0.2">
      <c r="A51" s="55" t="s">
        <v>95</v>
      </c>
      <c r="B51" s="56" t="e">
        <f>SUMIFS('calcolo comm.'!N$6:N$406,'calcolo comm.'!$R$6:$R$350,10,'calcolo comm.'!$S$6:$S$350,2024)</f>
        <v>#VALUE!</v>
      </c>
      <c r="C51" s="57" t="e">
        <f>SUMIFS('calcolo comm.'!D$6:D$406,'calcolo comm.'!$R$6:$R$350,10,'calcolo comm.'!$S$6:$S$350,2024)</f>
        <v>#VALUE!</v>
      </c>
    </row>
    <row r="52" spans="1:3" x14ac:dyDescent="0.2">
      <c r="A52" s="55" t="s">
        <v>96</v>
      </c>
      <c r="B52" s="56" t="e">
        <f>SUMIFS('calcolo comm.'!N$6:N$406,'calcolo comm.'!$R$6:$R$350,11,'calcolo comm.'!$S$6:$S$350,2024)</f>
        <v>#VALUE!</v>
      </c>
      <c r="C52" s="57" t="e">
        <f>SUMIFS('calcolo comm.'!D$6:D$406,'calcolo comm.'!$R$6:$R$350,11,'calcolo comm.'!$S$6:$S$350,2024)</f>
        <v>#VALUE!</v>
      </c>
    </row>
    <row r="53" spans="1:3" ht="13.5" thickBot="1" x14ac:dyDescent="0.25">
      <c r="A53" s="58" t="s">
        <v>97</v>
      </c>
      <c r="B53" s="59" t="e">
        <f>SUMIFS('calcolo comm.'!N$6:N$406,'calcolo comm.'!$R$6:$R$350,12,'calcolo comm.'!$S$6:$S$350,2024)</f>
        <v>#VALUE!</v>
      </c>
      <c r="C53" s="60" t="e">
        <f>SUMIFS('calcolo comm.'!D$6:D$406,'calcolo comm.'!$R$6:$R$350,12,'calcolo comm.'!$S$6:$S$350,2024)</f>
        <v>#VALUE!</v>
      </c>
    </row>
    <row r="54" spans="1:3" ht="16.5" thickBot="1" x14ac:dyDescent="0.3">
      <c r="A54" s="51"/>
      <c r="B54" s="73" t="e">
        <f>SUM(B42:B53)</f>
        <v>#VALUE!</v>
      </c>
      <c r="C54" s="74" t="e">
        <f>SUM(C42:C53)</f>
        <v>#VALUE!</v>
      </c>
    </row>
    <row r="57" spans="1:3" ht="19.5" thickBot="1" x14ac:dyDescent="0.35">
      <c r="B57" s="72">
        <v>2025</v>
      </c>
      <c r="C57" s="72"/>
    </row>
    <row r="58" spans="1:3" ht="16.5" thickBot="1" x14ac:dyDescent="0.3">
      <c r="A58" s="61"/>
      <c r="B58" s="70" t="s">
        <v>56</v>
      </c>
      <c r="C58" s="71"/>
    </row>
    <row r="59" spans="1:3" ht="16.5" thickBot="1" x14ac:dyDescent="0.3">
      <c r="A59" s="62" t="s">
        <v>54</v>
      </c>
      <c r="B59" s="63" t="s">
        <v>55</v>
      </c>
      <c r="C59" s="64" t="s">
        <v>3</v>
      </c>
    </row>
    <row r="60" spans="1:3" x14ac:dyDescent="0.2">
      <c r="A60" s="52" t="s">
        <v>102</v>
      </c>
      <c r="B60" s="53" t="e">
        <f>SUMIFS('calcolo comm.'!N$6:N$406,'calcolo comm.'!$R$6:$R$350,1,'calcolo comm.'!$S$6:$S$350,2025)</f>
        <v>#VALUE!</v>
      </c>
      <c r="C60" s="54" t="e">
        <f>SUMIFS('calcolo comm.'!D$6:D$406,'calcolo comm.'!$R$6:$R$350,1,'calcolo comm.'!$S$6:$S$350,2025)</f>
        <v>#VALUE!</v>
      </c>
    </row>
    <row r="61" spans="1:3" x14ac:dyDescent="0.2">
      <c r="A61" s="55" t="s">
        <v>103</v>
      </c>
      <c r="B61" s="56" t="e">
        <f>SUMIFS('calcolo comm.'!N$6:N$406,'calcolo comm.'!$R$6:$R$350,2,'calcolo comm.'!$S$6:$S$350,2025)</f>
        <v>#VALUE!</v>
      </c>
      <c r="C61" s="57" t="e">
        <f>SUMIFS('calcolo comm.'!D$6:D$406,'calcolo comm.'!$R$6:$R$350,2,'calcolo comm.'!$S$6:$S$350,2025)</f>
        <v>#VALUE!</v>
      </c>
    </row>
    <row r="62" spans="1:3" x14ac:dyDescent="0.2">
      <c r="A62" s="55" t="s">
        <v>104</v>
      </c>
      <c r="B62" s="56" t="e">
        <f>SUMIFS('calcolo comm.'!N$6:N$406,'calcolo comm.'!$R$6:$R$350,3,'calcolo comm.'!$S$6:$S$350,2025)</f>
        <v>#VALUE!</v>
      </c>
      <c r="C62" s="57" t="e">
        <f>SUMIFS('calcolo comm.'!D$6:D$406,'calcolo comm.'!$R$6:$R$350,3,'calcolo comm.'!$S$6:$S$350,2025)</f>
        <v>#VALUE!</v>
      </c>
    </row>
    <row r="63" spans="1:3" x14ac:dyDescent="0.2">
      <c r="A63" s="55" t="s">
        <v>105</v>
      </c>
      <c r="B63" s="56" t="e">
        <f>SUMIFS('calcolo comm.'!N$6:N$406,'calcolo comm.'!$R$6:$R$350,4,'calcolo comm.'!$S$6:$S$350,2025)</f>
        <v>#VALUE!</v>
      </c>
      <c r="C63" s="57" t="e">
        <f>SUMIFS('calcolo comm.'!D$6:D$406,'calcolo comm.'!$R$6:$R$350,4,'calcolo comm.'!$S$6:$S$350,2025)</f>
        <v>#VALUE!</v>
      </c>
    </row>
    <row r="64" spans="1:3" x14ac:dyDescent="0.2">
      <c r="A64" s="55" t="s">
        <v>106</v>
      </c>
      <c r="B64" s="56" t="e">
        <f>SUMIFS('calcolo comm.'!N$6:N$406,'calcolo comm.'!$R$6:$R$350,5,'calcolo comm.'!$S$6:$S$350,2025)</f>
        <v>#VALUE!</v>
      </c>
      <c r="C64" s="57" t="e">
        <f>SUMIFS('calcolo comm.'!D$6:D$406,'calcolo comm.'!$R$6:$R$350,5,'calcolo comm.'!$S$6:$S$350,2025)</f>
        <v>#VALUE!</v>
      </c>
    </row>
    <row r="65" spans="1:3" x14ac:dyDescent="0.2">
      <c r="A65" s="55" t="s">
        <v>107</v>
      </c>
      <c r="B65" s="56" t="e">
        <f>SUMIFS('calcolo comm.'!N$6:N$406,'calcolo comm.'!$R$6:$R$350,6,'calcolo comm.'!$S$6:$S$350,2025)</f>
        <v>#VALUE!</v>
      </c>
      <c r="C65" s="57" t="e">
        <f>SUMIFS('calcolo comm.'!D$6:D$406,'calcolo comm.'!$R$6:$R$350,6,'calcolo comm.'!$S$6:$S$350,2024)</f>
        <v>#VALUE!</v>
      </c>
    </row>
    <row r="66" spans="1:3" x14ac:dyDescent="0.2">
      <c r="A66" s="55" t="s">
        <v>108</v>
      </c>
      <c r="B66" s="56" t="e">
        <f>SUMIFS('calcolo comm.'!N$6:N$406,'calcolo comm.'!$R$6:$R$350,7,'calcolo comm.'!$S$6:$S$350,2025)</f>
        <v>#VALUE!</v>
      </c>
      <c r="C66" s="57" t="e">
        <f>SUMIFS('calcolo comm.'!D$6:D$406,'calcolo comm.'!$R$6:$R$350,7,'calcolo comm.'!$S$6:$S$350,2025)</f>
        <v>#VALUE!</v>
      </c>
    </row>
    <row r="67" spans="1:3" x14ac:dyDescent="0.2">
      <c r="A67" s="55" t="s">
        <v>109</v>
      </c>
      <c r="B67" s="56" t="e">
        <f>SUMIFS('calcolo comm.'!N$6:N$406,'calcolo comm.'!$R$6:$R$350,8,'calcolo comm.'!$S$6:$S$350,2025)</f>
        <v>#VALUE!</v>
      </c>
      <c r="C67" s="57" t="e">
        <f>SUMIFS('calcolo comm.'!D$6:D$406,'calcolo comm.'!$R$6:$R$350,8,'calcolo comm.'!$S$6:$S$350,2025)</f>
        <v>#VALUE!</v>
      </c>
    </row>
    <row r="68" spans="1:3" x14ac:dyDescent="0.2">
      <c r="A68" s="55" t="s">
        <v>110</v>
      </c>
      <c r="B68" s="56" t="e">
        <f>SUMIFS('calcolo comm.'!N$6:N$406,'calcolo comm.'!$R$6:$R$350,9,'calcolo comm.'!$S$6:$S$350,2025)</f>
        <v>#VALUE!</v>
      </c>
      <c r="C68" s="57" t="e">
        <f>SUMIFS('calcolo comm.'!D$6:D$406,'calcolo comm.'!$R$6:$R$350,9,'calcolo comm.'!$S$6:$S$350,2025)</f>
        <v>#VALUE!</v>
      </c>
    </row>
    <row r="69" spans="1:3" x14ac:dyDescent="0.2">
      <c r="A69" s="55" t="s">
        <v>111</v>
      </c>
      <c r="B69" s="56" t="e">
        <f>SUMIFS('calcolo comm.'!N$6:N$406,'calcolo comm.'!$R$6:$R$350,10,'calcolo comm.'!$S$6:$S$350,2025)</f>
        <v>#VALUE!</v>
      </c>
      <c r="C69" s="57" t="e">
        <f>SUMIFS('calcolo comm.'!D$6:D$406,'calcolo comm.'!$R$6:$R$350,10,'calcolo comm.'!$S$6:$S$350,2024)</f>
        <v>#VALUE!</v>
      </c>
    </row>
    <row r="70" spans="1:3" x14ac:dyDescent="0.2">
      <c r="A70" s="55" t="s">
        <v>112</v>
      </c>
      <c r="B70" s="56" t="e">
        <f>SUMIFS('calcolo comm.'!N$6:N$406,'calcolo comm.'!$R$6:$R$350,11,'calcolo comm.'!$S$6:$S$350,2025)</f>
        <v>#VALUE!</v>
      </c>
      <c r="C70" s="57" t="e">
        <f>SUMIFS('calcolo comm.'!D$6:D$406,'calcolo comm.'!$R$6:$R$350,11,'calcolo comm.'!$S$6:$S$350,2025)</f>
        <v>#VALUE!</v>
      </c>
    </row>
    <row r="71" spans="1:3" ht="13.5" thickBot="1" x14ac:dyDescent="0.25">
      <c r="A71" s="58" t="s">
        <v>113</v>
      </c>
      <c r="B71" s="59" t="e">
        <f>SUMIFS('calcolo comm.'!N$6:N$406,'calcolo comm.'!$R$6:$R$350,12,'calcolo comm.'!$S$6:$S$350,2025)</f>
        <v>#VALUE!</v>
      </c>
      <c r="C71" s="60" t="e">
        <f>SUMIFS('calcolo comm.'!D$6:D$406,'calcolo comm.'!$R$6:$R$350,12,'calcolo comm.'!$S$6:$S$350,2025)</f>
        <v>#VALUE!</v>
      </c>
    </row>
    <row r="72" spans="1:3" ht="16.5" thickBot="1" x14ac:dyDescent="0.3">
      <c r="A72" s="51"/>
      <c r="B72" s="73" t="e">
        <f>SUM(B60:B71)</f>
        <v>#VALUE!</v>
      </c>
      <c r="C72" s="74" t="e">
        <f>SUM(C60:C71)</f>
        <v>#VALUE!</v>
      </c>
    </row>
    <row r="81" spans="1:3" ht="19.5" thickBot="1" x14ac:dyDescent="0.35">
      <c r="B81" s="137" t="s">
        <v>28</v>
      </c>
      <c r="C81" s="137"/>
    </row>
    <row r="82" spans="1:3" ht="16.5" thickBot="1" x14ac:dyDescent="0.3">
      <c r="A82" s="61"/>
      <c r="B82" s="138" t="s">
        <v>56</v>
      </c>
      <c r="C82" s="139"/>
    </row>
    <row r="83" spans="1:3" ht="16.5" thickBot="1" x14ac:dyDescent="0.3">
      <c r="A83" s="62" t="s">
        <v>54</v>
      </c>
      <c r="B83" s="63" t="e">
        <f>IF(B88=0,"Euro","Errore")</f>
        <v>#VALUE!</v>
      </c>
      <c r="C83" s="64" t="e">
        <f>IF(C88=0,"Kg","Errore")</f>
        <v>#VALUE!</v>
      </c>
    </row>
    <row r="84" spans="1:3" x14ac:dyDescent="0.2">
      <c r="A84" s="52" t="s">
        <v>20</v>
      </c>
      <c r="B84" s="53" t="e">
        <f>+B18+B36+B54+B72</f>
        <v>#VALUE!</v>
      </c>
      <c r="C84" s="54" t="e">
        <f>+C18+C36+C54+C72</f>
        <v>#VALUE!</v>
      </c>
    </row>
    <row r="86" spans="1:3" x14ac:dyDescent="0.2">
      <c r="B86" s="53">
        <f>SUMIF('calcolo comm.'!R6:R350,0,'calcolo comm.'!N6:N406)</f>
        <v>0</v>
      </c>
      <c r="C86" s="54" t="e">
        <f>SUMIFS('calcolo comm.'!D$6:D$406,'calcolo comm.'!$R$6:$R$350,0,'calcolo comm.'!$S$6:$S$350,0)</f>
        <v>#VALUE!</v>
      </c>
    </row>
    <row r="88" spans="1:3" x14ac:dyDescent="0.2">
      <c r="B88" s="24" t="e">
        <f>+B84+B86-'calcolo comm.'!N407</f>
        <v>#VALUE!</v>
      </c>
      <c r="C88" s="65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1" priority="2" stopIfTrue="1" operator="containsText" text="Errore">
      <formula>NOT(ISERROR(SEARCH("Errore",B83)))</formula>
    </cfRule>
  </conditionalFormatting>
  <conditionalFormatting sqref="C83">
    <cfRule type="containsText" dxfId="0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40" t="s">
        <v>31</v>
      </c>
      <c r="B2" s="140"/>
      <c r="C2" s="140"/>
      <c r="D2" s="140"/>
      <c r="E2" s="140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40" t="s">
        <v>31</v>
      </c>
      <c r="B2" s="140"/>
      <c r="C2" s="140"/>
      <c r="D2" s="140"/>
      <c r="E2" s="140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2022-06-21T09:24:50Z</cp:lastPrinted>
  <dcterms:created xsi:type="dcterms:W3CDTF">2013-01-24T08:45:54Z</dcterms:created>
  <dcterms:modified xsi:type="dcterms:W3CDTF">2026-04-21T10:27:07Z</dcterms:modified>
</cp:coreProperties>
</file>